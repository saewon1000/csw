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uj11\Desktop\"/>
    </mc:Choice>
  </mc:AlternateContent>
  <xr:revisionPtr revIDLastSave="0" documentId="13_ncr:1_{5C8F224F-BF1C-4FBB-8B50-C5B3EFABEF8E}" xr6:coauthVersionLast="47" xr6:coauthVersionMax="47" xr10:uidLastSave="{00000000-0000-0000-0000-000000000000}"/>
  <bookViews>
    <workbookView xWindow="-120" yWindow="-120" windowWidth="38640" windowHeight="21120" activeTab="1" xr2:uid="{E7D54E7A-29A1-4C6E-AB8F-C216C586D2AC}"/>
  </bookViews>
  <sheets>
    <sheet name="Sheet1" sheetId="1" r:id="rId1"/>
    <sheet name="분석" sheetId="2" r:id="rId2"/>
    <sheet name="Sheet3" sheetId="3" r:id="rId3"/>
    <sheet name="Sheet4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4" i="2" l="1"/>
  <c r="C20" i="2" s="1"/>
  <c r="C21" i="2" s="1"/>
  <c r="D20" i="2"/>
  <c r="E20" i="2"/>
  <c r="F20" i="2"/>
  <c r="G20" i="2"/>
  <c r="H20" i="2"/>
  <c r="I20" i="2"/>
  <c r="J20" i="2"/>
  <c r="K20" i="2"/>
  <c r="L20" i="2"/>
  <c r="M20" i="2"/>
  <c r="N20" i="2"/>
  <c r="O20" i="2"/>
  <c r="P20" i="2"/>
  <c r="Q20" i="2"/>
  <c r="R20" i="2"/>
  <c r="S20" i="2"/>
  <c r="T20" i="2"/>
  <c r="U20" i="2"/>
  <c r="V20" i="2"/>
  <c r="W20" i="2"/>
  <c r="X20" i="2"/>
  <c r="Y20" i="2"/>
  <c r="Z20" i="2"/>
  <c r="G6" i="2"/>
  <c r="G7" i="2" s="1"/>
  <c r="C7" i="2"/>
  <c r="D21" i="2" l="1"/>
  <c r="E21" i="2" s="1"/>
  <c r="F21" i="2" s="1"/>
  <c r="G21" i="2" s="1"/>
  <c r="H21" i="2" s="1"/>
  <c r="I21" i="2" s="1"/>
  <c r="J21" i="2" s="1"/>
  <c r="K21" i="2" s="1"/>
  <c r="L21" i="2" s="1"/>
  <c r="M21" i="2" s="1"/>
  <c r="N21" i="2" s="1"/>
  <c r="O21" i="2" s="1"/>
  <c r="P21" i="2" s="1"/>
  <c r="Q21" i="2" s="1"/>
  <c r="R21" i="2" s="1"/>
  <c r="S21" i="2" s="1"/>
  <c r="T21" i="2" s="1"/>
  <c r="U21" i="2" s="1"/>
  <c r="V21" i="2" s="1"/>
  <c r="W21" i="2" s="1"/>
  <c r="X21" i="2" s="1"/>
  <c r="Y21" i="2" s="1"/>
  <c r="Z21" i="2" s="1"/>
</calcChain>
</file>

<file path=xl/sharedStrings.xml><?xml version="1.0" encoding="utf-8"?>
<sst xmlns="http://schemas.openxmlformats.org/spreadsheetml/2006/main" count="47" uniqueCount="42">
  <si>
    <t>학교 자판기 수익성 분석</t>
    <phoneticPr fontId="2" type="noConversion"/>
  </si>
  <si>
    <t>투자금</t>
    <phoneticPr fontId="2" type="noConversion"/>
  </si>
  <si>
    <t>자판기</t>
    <phoneticPr fontId="2" type="noConversion"/>
  </si>
  <si>
    <t>입찰가</t>
    <phoneticPr fontId="2" type="noConversion"/>
  </si>
  <si>
    <t>전기료</t>
    <phoneticPr fontId="2" type="noConversion"/>
  </si>
  <si>
    <t>보수적 연수입</t>
    <phoneticPr fontId="2" type="noConversion"/>
  </si>
  <si>
    <t>1일</t>
    <phoneticPr fontId="2" type="noConversion"/>
  </si>
  <si>
    <t>1달(20일)</t>
    <phoneticPr fontId="2" type="noConversion"/>
  </si>
  <si>
    <t>24달</t>
    <phoneticPr fontId="2" type="noConversion"/>
  </si>
  <si>
    <t>수입</t>
    <phoneticPr fontId="2" type="noConversion"/>
  </si>
  <si>
    <t>지출</t>
    <phoneticPr fontId="2" type="noConversion"/>
  </si>
  <si>
    <t>합</t>
    <phoneticPr fontId="2" type="noConversion"/>
  </si>
  <si>
    <t>수입통계</t>
    <phoneticPr fontId="2" type="noConversion"/>
  </si>
  <si>
    <t>손익분기점</t>
    <phoneticPr fontId="2" type="noConversion"/>
  </si>
  <si>
    <t>세종대성고</t>
    <phoneticPr fontId="2" type="noConversion"/>
  </si>
  <si>
    <t>정원 636명</t>
  </si>
  <si>
    <t>매점 없음(행정실 확인필요)</t>
    <phoneticPr fontId="2" type="noConversion"/>
  </si>
  <si>
    <t>절차</t>
    <phoneticPr fontId="2" type="noConversion"/>
  </si>
  <si>
    <t>사업자 등록 후 입찰</t>
    <phoneticPr fontId="2" type="noConversion"/>
  </si>
  <si>
    <t>입찰보증금 5% 필요</t>
    <phoneticPr fontId="2" type="noConversion"/>
  </si>
  <si>
    <t>2~3일에 30분 일하고 월 100~</t>
    <phoneticPr fontId="2" type="noConversion"/>
  </si>
  <si>
    <t>유지보수</t>
    <phoneticPr fontId="2" type="noConversion"/>
  </si>
  <si>
    <t>다른 곳에 자판기 있는지? 있다면 몇 대?</t>
    <phoneticPr fontId="2" type="noConversion"/>
  </si>
  <si>
    <t>매점 유무?</t>
    <phoneticPr fontId="2" type="noConversion"/>
  </si>
  <si>
    <t>Hana</t>
    <phoneticPr fontId="2" type="noConversion"/>
  </si>
  <si>
    <t>hana544579@gmail.com</t>
    <phoneticPr fontId="2" type="noConversion"/>
  </si>
  <si>
    <t>dul5753!</t>
    <phoneticPr fontId="2" type="noConversion"/>
  </si>
  <si>
    <t>Dul</t>
    <phoneticPr fontId="2" type="noConversion"/>
  </si>
  <si>
    <t>dul239213@gmail.com</t>
    <phoneticPr fontId="2" type="noConversion"/>
  </si>
  <si>
    <t>이름</t>
    <phoneticPr fontId="2" type="noConversion"/>
  </si>
  <si>
    <t>생년월일</t>
    <phoneticPr fontId="2" type="noConversion"/>
  </si>
  <si>
    <t>메일</t>
    <phoneticPr fontId="2" type="noConversion"/>
  </si>
  <si>
    <t>비번</t>
    <phoneticPr fontId="2" type="noConversion"/>
  </si>
  <si>
    <t>Set</t>
    <phoneticPr fontId="2" type="noConversion"/>
  </si>
  <si>
    <t>set544579@gmail.com</t>
    <phoneticPr fontId="2" type="noConversion"/>
  </si>
  <si>
    <t>Net</t>
    <phoneticPr fontId="2" type="noConversion"/>
  </si>
  <si>
    <t>net544579@gmail.com</t>
    <phoneticPr fontId="2" type="noConversion"/>
  </si>
  <si>
    <t>Dasut</t>
    <phoneticPr fontId="2" type="noConversion"/>
  </si>
  <si>
    <t>dasut544579@gmail.com</t>
    <phoneticPr fontId="2" type="noConversion"/>
  </si>
  <si>
    <t>전기료 문의</t>
    <phoneticPr fontId="2" type="noConversion"/>
  </si>
  <si>
    <t>몇일에 한번정도 채우러 오셨는지?</t>
    <phoneticPr fontId="2" type="noConversion"/>
  </si>
  <si>
    <t>고장이 자주 나는 편이었는지?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</si>
</sst>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7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u/>
      <sz val="11"/>
      <color theme="10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20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41" fontId="0" fillId="0" borderId="0" xfId="1" applyFont="1">
      <alignment vertical="center"/>
    </xf>
    <xf numFmtId="41" fontId="4" fillId="0" borderId="0" xfId="1" applyFont="1">
      <alignment vertical="center"/>
    </xf>
    <xf numFmtId="41" fontId="5" fillId="2" borderId="0" xfId="1" applyFont="1" applyFill="1">
      <alignment vertical="center"/>
    </xf>
    <xf numFmtId="41" fontId="0" fillId="2" borderId="0" xfId="1" applyFont="1" applyFill="1">
      <alignment vertical="center"/>
    </xf>
    <xf numFmtId="41" fontId="0" fillId="0" borderId="1" xfId="1" applyFont="1" applyBorder="1">
      <alignment vertical="center"/>
    </xf>
    <xf numFmtId="41" fontId="0" fillId="3" borderId="1" xfId="1" applyFont="1" applyFill="1" applyBorder="1">
      <alignment vertical="center"/>
    </xf>
    <xf numFmtId="41" fontId="0" fillId="4" borderId="1" xfId="1" applyFont="1" applyFill="1" applyBorder="1">
      <alignment vertical="center"/>
    </xf>
    <xf numFmtId="41" fontId="4" fillId="3" borderId="1" xfId="1" applyFont="1" applyFill="1" applyBorder="1">
      <alignment vertical="center"/>
    </xf>
    <xf numFmtId="41" fontId="4" fillId="4" borderId="1" xfId="1" applyFont="1" applyFill="1" applyBorder="1">
      <alignment vertical="center"/>
    </xf>
    <xf numFmtId="0" fontId="3" fillId="0" borderId="0" xfId="2">
      <alignment vertical="center"/>
    </xf>
    <xf numFmtId="41" fontId="0" fillId="4" borderId="0" xfId="1" applyFont="1" applyFill="1">
      <alignment vertical="center"/>
    </xf>
    <xf numFmtId="41" fontId="6" fillId="3" borderId="1" xfId="1" applyFont="1" applyFill="1" applyBorder="1">
      <alignment vertical="center"/>
    </xf>
    <xf numFmtId="41" fontId="6" fillId="4" borderId="1" xfId="1" applyFont="1" applyFill="1" applyBorder="1">
      <alignment vertical="center"/>
    </xf>
  </cellXfs>
  <cellStyles count="3">
    <cellStyle name="쉼표 [0]" xfId="1" builtinId="6"/>
    <cellStyle name="표준" xfId="0" builtinId="0"/>
    <cellStyle name="하이퍼링크" xfId="2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png"/><Relationship Id="rId2" Type="http://schemas.openxmlformats.org/officeDocument/2006/relationships/image" Target="../media/image6.png"/><Relationship Id="rId1" Type="http://schemas.openxmlformats.org/officeDocument/2006/relationships/image" Target="../media/image5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0.png"/><Relationship Id="rId2" Type="http://schemas.openxmlformats.org/officeDocument/2006/relationships/image" Target="../media/image9.png"/><Relationship Id="rId1" Type="http://schemas.openxmlformats.org/officeDocument/2006/relationships/image" Target="../media/image8.png"/><Relationship Id="rId4" Type="http://schemas.openxmlformats.org/officeDocument/2006/relationships/image" Target="../media/image1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161925</xdr:colOff>
      <xdr:row>5</xdr:row>
      <xdr:rowOff>0</xdr:rowOff>
    </xdr:from>
    <xdr:to>
      <xdr:col>21</xdr:col>
      <xdr:colOff>401136</xdr:colOff>
      <xdr:row>30</xdr:row>
      <xdr:rowOff>86468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5924A52C-D60E-CD65-8053-1257E25118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019925" y="1047750"/>
          <a:ext cx="7783011" cy="5325218"/>
        </a:xfrm>
        <a:prstGeom prst="rect">
          <a:avLst/>
        </a:prstGeom>
      </xdr:spPr>
    </xdr:pic>
    <xdr:clientData/>
  </xdr:twoCellAnchor>
  <xdr:twoCellAnchor editAs="oneCell">
    <xdr:from>
      <xdr:col>0</xdr:col>
      <xdr:colOff>333375</xdr:colOff>
      <xdr:row>0</xdr:row>
      <xdr:rowOff>161925</xdr:rowOff>
    </xdr:from>
    <xdr:to>
      <xdr:col>11</xdr:col>
      <xdr:colOff>343954</xdr:colOff>
      <xdr:row>23</xdr:row>
      <xdr:rowOff>67334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DBB8B438-2B2F-D804-8520-D40A153EB4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33375" y="161925"/>
          <a:ext cx="7554379" cy="4725059"/>
        </a:xfrm>
        <a:prstGeom prst="rect">
          <a:avLst/>
        </a:prstGeom>
      </xdr:spPr>
    </xdr:pic>
    <xdr:clientData/>
  </xdr:twoCellAnchor>
  <xdr:twoCellAnchor editAs="oneCell">
    <xdr:from>
      <xdr:col>20</xdr:col>
      <xdr:colOff>438150</xdr:colOff>
      <xdr:row>0</xdr:row>
      <xdr:rowOff>47625</xdr:rowOff>
    </xdr:from>
    <xdr:to>
      <xdr:col>32</xdr:col>
      <xdr:colOff>29666</xdr:colOff>
      <xdr:row>30</xdr:row>
      <xdr:rowOff>96134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44EC0AB-10E3-D7BE-80A8-DC9E3DD742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4154150" y="47625"/>
          <a:ext cx="7821116" cy="6335009"/>
        </a:xfrm>
        <a:prstGeom prst="rect">
          <a:avLst/>
        </a:prstGeom>
      </xdr:spPr>
    </xdr:pic>
    <xdr:clientData/>
  </xdr:twoCellAnchor>
  <xdr:twoCellAnchor editAs="oneCell">
    <xdr:from>
      <xdr:col>20</xdr:col>
      <xdr:colOff>485775</xdr:colOff>
      <xdr:row>24</xdr:row>
      <xdr:rowOff>180975</xdr:rowOff>
    </xdr:from>
    <xdr:to>
      <xdr:col>31</xdr:col>
      <xdr:colOff>362986</xdr:colOff>
      <xdr:row>47</xdr:row>
      <xdr:rowOff>38753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6AF3A582-CFEE-06DB-9559-00360D0C8B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4201775" y="5210175"/>
          <a:ext cx="7421011" cy="467742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30</xdr:row>
      <xdr:rowOff>0</xdr:rowOff>
    </xdr:from>
    <xdr:to>
      <xdr:col>9</xdr:col>
      <xdr:colOff>315289</xdr:colOff>
      <xdr:row>43</xdr:row>
      <xdr:rowOff>380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83D2ECA6-A258-5CAD-A472-1031891CDB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71600" y="6477000"/>
          <a:ext cx="6906589" cy="2724530"/>
        </a:xfrm>
        <a:prstGeom prst="rect">
          <a:avLst/>
        </a:prstGeom>
      </xdr:spPr>
    </xdr:pic>
    <xdr:clientData/>
  </xdr:twoCellAnchor>
  <xdr:twoCellAnchor editAs="oneCell">
    <xdr:from>
      <xdr:col>11</xdr:col>
      <xdr:colOff>57150</xdr:colOff>
      <xdr:row>24</xdr:row>
      <xdr:rowOff>190500</xdr:rowOff>
    </xdr:from>
    <xdr:to>
      <xdr:col>19</xdr:col>
      <xdr:colOff>652680</xdr:colOff>
      <xdr:row>70</xdr:row>
      <xdr:rowOff>201372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F66F28C4-F207-B5DD-538B-B3ECD5BE8F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305925" y="5410200"/>
          <a:ext cx="7582958" cy="9650172"/>
        </a:xfrm>
        <a:prstGeom prst="rect">
          <a:avLst/>
        </a:prstGeom>
      </xdr:spPr>
    </xdr:pic>
    <xdr:clientData/>
  </xdr:twoCellAnchor>
  <xdr:twoCellAnchor editAs="oneCell">
    <xdr:from>
      <xdr:col>8</xdr:col>
      <xdr:colOff>190501</xdr:colOff>
      <xdr:row>2</xdr:row>
      <xdr:rowOff>85726</xdr:rowOff>
    </xdr:from>
    <xdr:to>
      <xdr:col>11</xdr:col>
      <xdr:colOff>457201</xdr:colOff>
      <xdr:row>9</xdr:row>
      <xdr:rowOff>70016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A3E3F074-0DE4-6188-E1FA-971F369ACB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953251" y="695326"/>
          <a:ext cx="3048000" cy="145114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609600</xdr:colOff>
      <xdr:row>19</xdr:row>
      <xdr:rowOff>0</xdr:rowOff>
    </xdr:from>
    <xdr:to>
      <xdr:col>21</xdr:col>
      <xdr:colOff>648758</xdr:colOff>
      <xdr:row>40</xdr:row>
      <xdr:rowOff>67299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402FA9D7-13D3-4608-964F-DC08F55A90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467600" y="3981450"/>
          <a:ext cx="7582958" cy="4467849"/>
        </a:xfrm>
        <a:prstGeom prst="rect">
          <a:avLst/>
        </a:prstGeom>
      </xdr:spPr>
    </xdr:pic>
    <xdr:clientData/>
  </xdr:twoCellAnchor>
  <xdr:twoCellAnchor editAs="oneCell">
    <xdr:from>
      <xdr:col>11</xdr:col>
      <xdr:colOff>123825</xdr:colOff>
      <xdr:row>0</xdr:row>
      <xdr:rowOff>0</xdr:rowOff>
    </xdr:from>
    <xdr:to>
      <xdr:col>22</xdr:col>
      <xdr:colOff>162983</xdr:colOff>
      <xdr:row>20</xdr:row>
      <xdr:rowOff>48217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C03032DA-F7A2-B9C9-6A1B-D5669A999E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667625" y="0"/>
          <a:ext cx="7582958" cy="4239217"/>
        </a:xfrm>
        <a:prstGeom prst="rect">
          <a:avLst/>
        </a:prstGeom>
      </xdr:spPr>
    </xdr:pic>
    <xdr:clientData/>
  </xdr:twoCellAnchor>
  <xdr:twoCellAnchor editAs="oneCell">
    <xdr:from>
      <xdr:col>21</xdr:col>
      <xdr:colOff>504825</xdr:colOff>
      <xdr:row>17</xdr:row>
      <xdr:rowOff>152400</xdr:rowOff>
    </xdr:from>
    <xdr:to>
      <xdr:col>32</xdr:col>
      <xdr:colOff>334404</xdr:colOff>
      <xdr:row>40</xdr:row>
      <xdr:rowOff>10178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C7734A08-E3E7-C92A-5862-84B59EC831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4906625" y="3714750"/>
          <a:ext cx="7373379" cy="4677428"/>
        </a:xfrm>
        <a:prstGeom prst="rect">
          <a:avLst/>
        </a:prstGeom>
      </xdr:spPr>
    </xdr:pic>
    <xdr:clientData/>
  </xdr:twoCellAnchor>
  <xdr:twoCellAnchor editAs="oneCell">
    <xdr:from>
      <xdr:col>0</xdr:col>
      <xdr:colOff>228600</xdr:colOff>
      <xdr:row>20</xdr:row>
      <xdr:rowOff>28575</xdr:rowOff>
    </xdr:from>
    <xdr:to>
      <xdr:col>11</xdr:col>
      <xdr:colOff>86758</xdr:colOff>
      <xdr:row>40</xdr:row>
      <xdr:rowOff>191108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C04812BE-3F2A-E7F3-8AA8-A5E8C6C128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28600" y="4219575"/>
          <a:ext cx="7401958" cy="435353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mailto:set544579@gmail.com" TargetMode="External"/><Relationship Id="rId2" Type="http://schemas.openxmlformats.org/officeDocument/2006/relationships/hyperlink" Target="mailto:dul239213@gmail.com" TargetMode="External"/><Relationship Id="rId1" Type="http://schemas.openxmlformats.org/officeDocument/2006/relationships/hyperlink" Target="mailto:hana544579@gmail.com" TargetMode="External"/><Relationship Id="rId5" Type="http://schemas.openxmlformats.org/officeDocument/2006/relationships/hyperlink" Target="mailto:dasut544579@gmail.com" TargetMode="External"/><Relationship Id="rId4" Type="http://schemas.openxmlformats.org/officeDocument/2006/relationships/hyperlink" Target="mailto:net544579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C260C8-3810-46C3-AEAE-85B2EC5D4414}">
  <dimension ref="A1"/>
  <sheetViews>
    <sheetView workbookViewId="0">
      <selection activeCell="S41" sqref="S41"/>
    </sheetView>
  </sheetViews>
  <sheetFormatPr defaultRowHeight="16.5" x14ac:dyDescent="0.3"/>
  <sheetData/>
  <phoneticPr fontId="2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2E4250-1CDB-485B-90AE-305816B9DE61}">
  <dimension ref="A1:Z30"/>
  <sheetViews>
    <sheetView tabSelected="1" zoomScale="85" zoomScaleNormal="85" workbookViewId="0">
      <selection activeCell="T8" sqref="T8"/>
    </sheetView>
  </sheetViews>
  <sheetFormatPr defaultRowHeight="16.5" x14ac:dyDescent="0.3"/>
  <cols>
    <col min="1" max="1" width="9" style="1"/>
    <col min="2" max="2" width="9" style="1" customWidth="1"/>
    <col min="3" max="3" width="11.875" style="1" bestFit="1" customWidth="1"/>
    <col min="4" max="5" width="10.875" style="1" bestFit="1" customWidth="1"/>
    <col min="6" max="6" width="15.375" style="1" bestFit="1" customWidth="1"/>
    <col min="7" max="7" width="11.875" style="1" bestFit="1" customWidth="1"/>
    <col min="8" max="8" width="10.875" style="1" bestFit="1" customWidth="1"/>
    <col min="9" max="9" width="14.75" style="1" customWidth="1"/>
    <col min="10" max="13" width="10.875" style="1" bestFit="1" customWidth="1"/>
    <col min="14" max="14" width="15.625" style="1" customWidth="1"/>
    <col min="15" max="21" width="10.875" style="1" bestFit="1" customWidth="1"/>
    <col min="22" max="26" width="15.25" style="1" customWidth="1"/>
    <col min="27" max="16384" width="9" style="1"/>
  </cols>
  <sheetData>
    <row r="1" spans="1:26" ht="31.5" x14ac:dyDescent="0.3">
      <c r="A1" s="3" t="s">
        <v>0</v>
      </c>
      <c r="B1" s="4"/>
      <c r="C1" s="4"/>
      <c r="D1" s="4"/>
    </row>
    <row r="3" spans="1:26" x14ac:dyDescent="0.3">
      <c r="B3" s="1" t="s">
        <v>14</v>
      </c>
      <c r="D3" s="1" t="s">
        <v>15</v>
      </c>
      <c r="E3" s="1" t="s">
        <v>16</v>
      </c>
    </row>
    <row r="4" spans="1:26" x14ac:dyDescent="0.3">
      <c r="B4" s="1" t="s">
        <v>1</v>
      </c>
      <c r="F4" s="1" t="s">
        <v>5</v>
      </c>
      <c r="N4" s="1" t="s">
        <v>23</v>
      </c>
    </row>
    <row r="5" spans="1:26" x14ac:dyDescent="0.3">
      <c r="B5" s="1" t="s">
        <v>3</v>
      </c>
      <c r="C5" s="1">
        <v>4444440</v>
      </c>
      <c r="F5" s="1" t="s">
        <v>6</v>
      </c>
      <c r="G5" s="1">
        <v>50000</v>
      </c>
      <c r="N5" s="1" t="s">
        <v>22</v>
      </c>
    </row>
    <row r="6" spans="1:26" x14ac:dyDescent="0.3">
      <c r="B6" s="1" t="s">
        <v>2</v>
      </c>
      <c r="C6" s="1">
        <v>4000000</v>
      </c>
      <c r="F6" s="1" t="s">
        <v>7</v>
      </c>
      <c r="G6" s="1">
        <f>G5*20</f>
        <v>1000000</v>
      </c>
      <c r="N6" s="1" t="s">
        <v>39</v>
      </c>
    </row>
    <row r="7" spans="1:26" x14ac:dyDescent="0.3">
      <c r="B7" s="1" t="s">
        <v>4</v>
      </c>
      <c r="C7" s="1">
        <f>15000*24</f>
        <v>360000</v>
      </c>
      <c r="F7" s="1" t="s">
        <v>8</v>
      </c>
      <c r="G7" s="1">
        <f>G6*24</f>
        <v>24000000</v>
      </c>
      <c r="N7" s="1" t="s">
        <v>40</v>
      </c>
    </row>
    <row r="8" spans="1:26" x14ac:dyDescent="0.3">
      <c r="N8" s="1" t="s">
        <v>41</v>
      </c>
    </row>
    <row r="9" spans="1:26" x14ac:dyDescent="0.3">
      <c r="C9" s="11">
        <v>2222220</v>
      </c>
    </row>
    <row r="13" spans="1:26" x14ac:dyDescent="0.3">
      <c r="B13" s="5"/>
      <c r="C13" s="5">
        <v>1</v>
      </c>
      <c r="D13" s="5">
        <v>2</v>
      </c>
      <c r="E13" s="5">
        <v>3</v>
      </c>
      <c r="F13" s="5">
        <v>4</v>
      </c>
      <c r="G13" s="5">
        <v>5</v>
      </c>
      <c r="H13" s="5">
        <v>6</v>
      </c>
      <c r="I13" s="5">
        <v>7</v>
      </c>
      <c r="J13" s="5">
        <v>8</v>
      </c>
      <c r="K13" s="5">
        <v>9</v>
      </c>
      <c r="L13" s="5">
        <v>10</v>
      </c>
      <c r="M13" s="5">
        <v>11</v>
      </c>
      <c r="N13" s="5">
        <v>12</v>
      </c>
      <c r="O13" s="5">
        <v>13</v>
      </c>
      <c r="P13" s="5">
        <v>14</v>
      </c>
      <c r="Q13" s="5">
        <v>15</v>
      </c>
      <c r="R13" s="5">
        <v>16</v>
      </c>
      <c r="S13" s="5">
        <v>17</v>
      </c>
      <c r="T13" s="5">
        <v>18</v>
      </c>
      <c r="U13" s="5">
        <v>19</v>
      </c>
      <c r="V13" s="5">
        <v>20</v>
      </c>
      <c r="W13" s="5">
        <v>21</v>
      </c>
      <c r="X13" s="5">
        <v>22</v>
      </c>
      <c r="Y13" s="5">
        <v>23</v>
      </c>
      <c r="Z13" s="5">
        <v>24</v>
      </c>
    </row>
    <row r="14" spans="1:26" x14ac:dyDescent="0.3">
      <c r="B14" s="5" t="s">
        <v>10</v>
      </c>
      <c r="C14" s="5">
        <f>-(C5+C6)</f>
        <v>-8444440</v>
      </c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>
        <v>2000000</v>
      </c>
    </row>
    <row r="15" spans="1:26" x14ac:dyDescent="0.3">
      <c r="B15" s="5" t="s">
        <v>4</v>
      </c>
      <c r="C15" s="5">
        <v>-15000</v>
      </c>
      <c r="D15" s="5">
        <v>-15000</v>
      </c>
      <c r="E15" s="5">
        <v>-15000</v>
      </c>
      <c r="F15" s="5">
        <v>-15000</v>
      </c>
      <c r="G15" s="5">
        <v>-15000</v>
      </c>
      <c r="H15" s="5">
        <v>-15000</v>
      </c>
      <c r="I15" s="5">
        <v>-15000</v>
      </c>
      <c r="J15" s="5">
        <v>-15000</v>
      </c>
      <c r="K15" s="5">
        <v>-15000</v>
      </c>
      <c r="L15" s="5">
        <v>-15000</v>
      </c>
      <c r="M15" s="5">
        <v>-15000</v>
      </c>
      <c r="N15" s="5">
        <v>-15000</v>
      </c>
      <c r="O15" s="5">
        <v>-15000</v>
      </c>
      <c r="P15" s="5">
        <v>-15000</v>
      </c>
      <c r="Q15" s="5">
        <v>-15000</v>
      </c>
      <c r="R15" s="5">
        <v>-15000</v>
      </c>
      <c r="S15" s="5">
        <v>-15000</v>
      </c>
      <c r="T15" s="5">
        <v>-15000</v>
      </c>
      <c r="U15" s="5">
        <v>-15000</v>
      </c>
      <c r="V15" s="5">
        <v>-15000</v>
      </c>
      <c r="W15" s="5">
        <v>-15000</v>
      </c>
      <c r="X15" s="5">
        <v>-15000</v>
      </c>
      <c r="Y15" s="5">
        <v>-15000</v>
      </c>
      <c r="Z15" s="5">
        <v>-15000</v>
      </c>
    </row>
    <row r="16" spans="1:26" x14ac:dyDescent="0.3">
      <c r="B16" s="5" t="s">
        <v>21</v>
      </c>
      <c r="C16" s="5">
        <v>-50000</v>
      </c>
      <c r="D16" s="5">
        <v>-50000</v>
      </c>
      <c r="E16" s="5">
        <v>-50000</v>
      </c>
      <c r="F16" s="5">
        <v>-50000</v>
      </c>
      <c r="G16" s="5">
        <v>-50000</v>
      </c>
      <c r="H16" s="5">
        <v>-50000</v>
      </c>
      <c r="I16" s="5">
        <v>-50000</v>
      </c>
      <c r="J16" s="5">
        <v>-50000</v>
      </c>
      <c r="K16" s="5">
        <v>-50000</v>
      </c>
      <c r="L16" s="5">
        <v>-50000</v>
      </c>
      <c r="M16" s="5">
        <v>-50000</v>
      </c>
      <c r="N16" s="5">
        <v>-50000</v>
      </c>
      <c r="O16" s="5">
        <v>-50000</v>
      </c>
      <c r="P16" s="5">
        <v>-50000</v>
      </c>
      <c r="Q16" s="5">
        <v>-50000</v>
      </c>
      <c r="R16" s="5">
        <v>-50000</v>
      </c>
      <c r="S16" s="5">
        <v>-50000</v>
      </c>
      <c r="T16" s="5">
        <v>-50000</v>
      </c>
      <c r="U16" s="5">
        <v>-50000</v>
      </c>
      <c r="V16" s="5">
        <v>-50000</v>
      </c>
      <c r="W16" s="5">
        <v>-50000</v>
      </c>
      <c r="X16" s="5">
        <v>-50000</v>
      </c>
      <c r="Y16" s="5">
        <v>-50000</v>
      </c>
      <c r="Z16" s="5">
        <v>-50000</v>
      </c>
    </row>
    <row r="17" spans="2:26" x14ac:dyDescent="0.3"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2:26" x14ac:dyDescent="0.3">
      <c r="B18" s="5" t="s">
        <v>9</v>
      </c>
      <c r="C18" s="5">
        <v>500000</v>
      </c>
      <c r="D18" s="5">
        <v>500000</v>
      </c>
      <c r="E18" s="5">
        <v>500000</v>
      </c>
      <c r="F18" s="5">
        <v>500000</v>
      </c>
      <c r="G18" s="5">
        <v>500000</v>
      </c>
      <c r="H18" s="5">
        <v>500000</v>
      </c>
      <c r="I18" s="5">
        <v>500000</v>
      </c>
      <c r="J18" s="5">
        <v>500000</v>
      </c>
      <c r="K18" s="5">
        <v>500000</v>
      </c>
      <c r="L18" s="5">
        <v>500000</v>
      </c>
      <c r="M18" s="5">
        <v>500000</v>
      </c>
      <c r="N18" s="5">
        <v>500000</v>
      </c>
      <c r="O18" s="5">
        <v>500000</v>
      </c>
      <c r="P18" s="5">
        <v>500000</v>
      </c>
      <c r="Q18" s="5">
        <v>500000</v>
      </c>
      <c r="R18" s="5">
        <v>500000</v>
      </c>
      <c r="S18" s="5">
        <v>500000</v>
      </c>
      <c r="T18" s="5">
        <v>500000</v>
      </c>
      <c r="U18" s="5">
        <v>500000</v>
      </c>
      <c r="V18" s="5">
        <v>500000</v>
      </c>
      <c r="W18" s="5">
        <v>500000</v>
      </c>
      <c r="X18" s="5">
        <v>500000</v>
      </c>
      <c r="Y18" s="5">
        <v>500000</v>
      </c>
      <c r="Z18" s="5">
        <v>500000</v>
      </c>
    </row>
    <row r="19" spans="2:26" x14ac:dyDescent="0.3"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2:26" x14ac:dyDescent="0.3">
      <c r="B20" s="6" t="s">
        <v>11</v>
      </c>
      <c r="C20" s="6">
        <f>SUM(C14:C19)</f>
        <v>-8009440</v>
      </c>
      <c r="D20" s="6">
        <f t="shared" ref="D20:Z20" si="0">SUM(D14:D19)</f>
        <v>435000</v>
      </c>
      <c r="E20" s="6">
        <f t="shared" si="0"/>
        <v>435000</v>
      </c>
      <c r="F20" s="6">
        <f t="shared" si="0"/>
        <v>435000</v>
      </c>
      <c r="G20" s="6">
        <f t="shared" si="0"/>
        <v>435000</v>
      </c>
      <c r="H20" s="6">
        <f t="shared" si="0"/>
        <v>435000</v>
      </c>
      <c r="I20" s="12">
        <f t="shared" si="0"/>
        <v>435000</v>
      </c>
      <c r="J20" s="6">
        <f t="shared" si="0"/>
        <v>435000</v>
      </c>
      <c r="K20" s="8">
        <f t="shared" si="0"/>
        <v>435000</v>
      </c>
      <c r="L20" s="6">
        <f t="shared" si="0"/>
        <v>435000</v>
      </c>
      <c r="M20" s="6">
        <f t="shared" si="0"/>
        <v>435000</v>
      </c>
      <c r="N20" s="6">
        <f t="shared" si="0"/>
        <v>435000</v>
      </c>
      <c r="O20" s="6">
        <f t="shared" si="0"/>
        <v>435000</v>
      </c>
      <c r="P20" s="6">
        <f t="shared" si="0"/>
        <v>435000</v>
      </c>
      <c r="Q20" s="6">
        <f t="shared" si="0"/>
        <v>435000</v>
      </c>
      <c r="R20" s="6">
        <f t="shared" si="0"/>
        <v>435000</v>
      </c>
      <c r="S20" s="6">
        <f t="shared" si="0"/>
        <v>435000</v>
      </c>
      <c r="T20" s="6">
        <f t="shared" si="0"/>
        <v>435000</v>
      </c>
      <c r="U20" s="6">
        <f t="shared" si="0"/>
        <v>435000</v>
      </c>
      <c r="V20" s="6">
        <f t="shared" si="0"/>
        <v>435000</v>
      </c>
      <c r="W20" s="6">
        <f t="shared" si="0"/>
        <v>435000</v>
      </c>
      <c r="X20" s="6">
        <f t="shared" si="0"/>
        <v>435000</v>
      </c>
      <c r="Y20" s="6">
        <f t="shared" si="0"/>
        <v>435000</v>
      </c>
      <c r="Z20" s="6">
        <f t="shared" si="0"/>
        <v>2435000</v>
      </c>
    </row>
    <row r="21" spans="2:26" x14ac:dyDescent="0.3">
      <c r="B21" s="7" t="s">
        <v>12</v>
      </c>
      <c r="C21" s="7">
        <f>C20</f>
        <v>-8009440</v>
      </c>
      <c r="D21" s="7">
        <f>C21+D20</f>
        <v>-7574440</v>
      </c>
      <c r="E21" s="7">
        <f t="shared" ref="E21:Z21" si="1">D21+E20</f>
        <v>-7139440</v>
      </c>
      <c r="F21" s="7">
        <f t="shared" si="1"/>
        <v>-6704440</v>
      </c>
      <c r="G21" s="7">
        <f t="shared" si="1"/>
        <v>-6269440</v>
      </c>
      <c r="H21" s="7">
        <f t="shared" si="1"/>
        <v>-5834440</v>
      </c>
      <c r="I21" s="13">
        <f t="shared" si="1"/>
        <v>-5399440</v>
      </c>
      <c r="J21" s="7">
        <f t="shared" si="1"/>
        <v>-4964440</v>
      </c>
      <c r="K21" s="9">
        <f t="shared" si="1"/>
        <v>-4529440</v>
      </c>
      <c r="L21" s="7">
        <f t="shared" si="1"/>
        <v>-4094440</v>
      </c>
      <c r="M21" s="7">
        <f t="shared" si="1"/>
        <v>-3659440</v>
      </c>
      <c r="N21" s="7">
        <f t="shared" si="1"/>
        <v>-3224440</v>
      </c>
      <c r="O21" s="7">
        <f t="shared" si="1"/>
        <v>-2789440</v>
      </c>
      <c r="P21" s="7">
        <f t="shared" si="1"/>
        <v>-2354440</v>
      </c>
      <c r="Q21" s="7">
        <f t="shared" si="1"/>
        <v>-1919440</v>
      </c>
      <c r="R21" s="7">
        <f t="shared" si="1"/>
        <v>-1484440</v>
      </c>
      <c r="S21" s="7">
        <f t="shared" si="1"/>
        <v>-1049440</v>
      </c>
      <c r="T21" s="7">
        <f t="shared" si="1"/>
        <v>-614440</v>
      </c>
      <c r="U21" s="7">
        <f t="shared" si="1"/>
        <v>-179440</v>
      </c>
      <c r="V21" s="7">
        <f t="shared" si="1"/>
        <v>255560</v>
      </c>
      <c r="W21" s="7">
        <f t="shared" si="1"/>
        <v>690560</v>
      </c>
      <c r="X21" s="7">
        <f t="shared" si="1"/>
        <v>1125560</v>
      </c>
      <c r="Y21" s="7">
        <f t="shared" si="1"/>
        <v>1560560</v>
      </c>
      <c r="Z21" s="7">
        <f t="shared" si="1"/>
        <v>3995560</v>
      </c>
    </row>
    <row r="22" spans="2:26" x14ac:dyDescent="0.3">
      <c r="K22" s="2" t="s">
        <v>13</v>
      </c>
    </row>
    <row r="23" spans="2:26" x14ac:dyDescent="0.3">
      <c r="B23" s="1" t="s">
        <v>20</v>
      </c>
    </row>
    <row r="29" spans="2:26" x14ac:dyDescent="0.3">
      <c r="B29" s="1" t="s">
        <v>17</v>
      </c>
      <c r="C29" s="1" t="s">
        <v>18</v>
      </c>
    </row>
    <row r="30" spans="2:26" x14ac:dyDescent="0.3">
      <c r="C30" s="1" t="s">
        <v>19</v>
      </c>
    </row>
  </sheetData>
  <phoneticPr fontId="2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8EF812-6590-43C2-A638-80FCCF061BC3}">
  <dimension ref="A1"/>
  <sheetViews>
    <sheetView workbookViewId="0">
      <selection activeCell="Q32" sqref="Q32"/>
    </sheetView>
  </sheetViews>
  <sheetFormatPr defaultRowHeight="16.5" x14ac:dyDescent="0.3"/>
  <sheetData/>
  <phoneticPr fontId="2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7248F7-DAB7-43A4-8E74-D822012B8955}">
  <dimension ref="A2:D7"/>
  <sheetViews>
    <sheetView workbookViewId="0">
      <selection activeCell="G31" sqref="G31"/>
    </sheetView>
  </sheetViews>
  <sheetFormatPr defaultRowHeight="16.5" x14ac:dyDescent="0.3"/>
  <cols>
    <col min="3" max="3" width="28.125" customWidth="1"/>
  </cols>
  <sheetData>
    <row r="2" spans="1:4" x14ac:dyDescent="0.3">
      <c r="A2" t="s">
        <v>29</v>
      </c>
      <c r="B2" t="s">
        <v>30</v>
      </c>
      <c r="C2" t="s">
        <v>31</v>
      </c>
      <c r="D2" t="s">
        <v>32</v>
      </c>
    </row>
    <row r="3" spans="1:4" x14ac:dyDescent="0.3">
      <c r="A3" t="s">
        <v>24</v>
      </c>
      <c r="B3">
        <v>941117</v>
      </c>
      <c r="C3" s="10" t="s">
        <v>25</v>
      </c>
      <c r="D3" t="s">
        <v>26</v>
      </c>
    </row>
    <row r="4" spans="1:4" x14ac:dyDescent="0.3">
      <c r="A4" t="s">
        <v>27</v>
      </c>
      <c r="B4">
        <v>941117</v>
      </c>
      <c r="C4" s="10" t="s">
        <v>28</v>
      </c>
      <c r="D4" t="s">
        <v>26</v>
      </c>
    </row>
    <row r="5" spans="1:4" x14ac:dyDescent="0.3">
      <c r="A5" t="s">
        <v>33</v>
      </c>
      <c r="B5">
        <v>941117</v>
      </c>
      <c r="C5" s="10" t="s">
        <v>34</v>
      </c>
      <c r="D5" t="s">
        <v>26</v>
      </c>
    </row>
    <row r="6" spans="1:4" x14ac:dyDescent="0.3">
      <c r="A6" t="s">
        <v>35</v>
      </c>
      <c r="B6">
        <v>941117</v>
      </c>
      <c r="C6" s="10" t="s">
        <v>36</v>
      </c>
      <c r="D6" t="s">
        <v>26</v>
      </c>
    </row>
    <row r="7" spans="1:4" x14ac:dyDescent="0.3">
      <c r="A7" t="s">
        <v>37</v>
      </c>
      <c r="B7">
        <v>941117</v>
      </c>
      <c r="C7" s="10" t="s">
        <v>38</v>
      </c>
      <c r="D7" t="s">
        <v>26</v>
      </c>
    </row>
  </sheetData>
  <phoneticPr fontId="2" type="noConversion"/>
  <hyperlinks>
    <hyperlink ref="C3" r:id="rId1" xr:uid="{7A1936F9-BE4E-4377-9BFC-2DDA22AC6CC9}"/>
    <hyperlink ref="C4" r:id="rId2" xr:uid="{FA19A036-CED5-4C83-96DA-5C0B76475F2D}"/>
    <hyperlink ref="C5" r:id="rId3" xr:uid="{7D893662-9FB8-4624-9FAD-CD5FFDCFF66B}"/>
    <hyperlink ref="C6" r:id="rId4" xr:uid="{2457027F-78EF-4FB5-A9E7-EBFFFEA9C4E5}"/>
    <hyperlink ref="C7" r:id="rId5" xr:uid="{42D97B36-4A70-4715-A869-25C4D690F07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Sheet1</vt:lpstr>
      <vt:lpstr>분석</vt:lpstr>
      <vt:lpstr>Sheet3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Hayujin Hayujin</dc:creator>
  <cp:lastModifiedBy>Hayujin Hayujin</cp:lastModifiedBy>
  <dcterms:created xsi:type="dcterms:W3CDTF">2026-02-09T12:46:55Z</dcterms:created>
  <dcterms:modified xsi:type="dcterms:W3CDTF">2026-02-10T16:02:16Z</dcterms:modified>
</cp:coreProperties>
</file>