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545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645" windowHeight="11070" activeTab="2"/>
  </x:bookViews>
  <x:sheets>
    <x:sheet name="세종아파트 102동 201호" sheetId="1" r:id="rId4"/>
    <x:sheet name="둥지마을" sheetId="2" r:id="rId5"/>
    <x:sheet name="공주 새뜸현대 302동 202호(공매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<x:sst xmlns:r="http://schemas.openxmlformats.org/officeDocument/2006/relationships" xmlns:c="http://schemas.openxmlformats.org/drawingml/2006/chart" xmlns:x="http://schemas.openxmlformats.org/spreadsheetml/2006/main" count="163" uniqueCount="58">
  <x:si>
    <x:t>15000000 * 15% - 누진공제액(126만원) = 99만원</x:t>
  </x:si>
  <x:si>
    <x:t>* 매매차익을 과세표준에 해당하는 세율로 곱해서 적용한다.</x:t>
  </x:si>
  <x:si>
    <x:t>* 매매사업자는 총부대비용이 필요경비로 처리되어 과세표준을 낮출수 있다.</x:t>
  </x:si>
  <x:si>
    <x:t>②감정가</x:t>
  </x:si>
  <x:si>
    <x:t>ⓗ지방세</x:t>
  </x:si>
  <x:si>
    <x:t>⑬대출이자</x:t>
  </x:si>
  <x:si>
    <x:t>ⓓ낙찰가</x:t>
  </x:si>
  <x:si>
    <x:t>⑫미납관리비</x:t>
  </x:si>
  <x:si>
    <x:t xml:space="preserve">ⓖ소득세 </x:t>
  </x:si>
  <x:si>
    <x:t>세부항목</x:t>
  </x:si>
  <x:si>
    <x:t>①사건번호</x:t>
  </x:si>
  <x:si>
    <x:t>ⓑ총 투자금</x:t>
  </x:si>
  <x:si>
    <x:t>⑤예상 입찰가</x:t>
  </x:si>
  <x:si>
    <x:t>필요비용계산</x:t>
  </x:si>
  <x:si>
    <x:t>OO아파트</x:t>
  </x:si>
  <x:si>
    <x:t>ⓐ총 부대비용</x:t>
  </x:si>
  <x:si>
    <x:t>ⓒ예상 매도가</x:t>
  </x:si>
  <x:si>
    <x:t>③최저 입찰가</x:t>
  </x:si>
  <x:si>
    <x:t>ⓔ필요경비</x:t>
  </x:si>
  <x:si>
    <x:t>총 부대비용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</x:si>
  <x:si>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Segoe UI Symbol"/>
            <x:sz val="18"/>
            <x:color rgb="ffc00000"/>
            <x:b val="1"/>
            <hs:size val="100"/>
            <hs:ratio val="100"/>
            <hs:spacing val="0"/>
            <hs:offset val="0"/>
          </x:rPr>
        </mc:Choice>
        <mc:Fallback>
          <x:rPr>
            <x:rFont val="Segoe UI Symbol"/>
            <x:sz val="18"/>
            <x:color rgb="ffc00000"/>
            <x:b val="1"/>
          </x:rPr>
        </mc:Fallback>
      </mc:AlternateContent>
      <x:t>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8"/>
            <x:color rgb="ffc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8"/>
            <x:color rgb="ffc00000"/>
            <x:b val="1"/>
          </x:rPr>
        </mc:Fallback>
      </mc:AlternateContent>
      <x:t>순수익</x:t>
    </x:r>
  </x:si>
  <x:si>
    <x:t>④입찰 보증금(10%)</x:t>
  </x:si>
  <x:si>
    <x:t>낙찰가의 80% 자동입력→</x:t>
  </x:si>
  <x:si>
    <x:t>kb시세 70% 자동입력 →</x:t>
  </x:si>
  <x:si>
    <x:t>보증금+대출외 잔금+부대비용</x:t>
  </x:si>
  <x:si>
    <x:t>이사비용 (평당 10만원)</x:t>
  </x:si>
  <x:si>
    <x:t>매도가-낙찰가-필요경비</x:t>
  </x:si>
  <x:si>
    <x:t>⑥KB시세 직접 입력→</x:t>
  </x:si>
  <x:si>
    <x:t>단기매도시 중도상환수수료</x:t>
  </x:si>
  <x:si>
    <x:t>⑤번 예상 입찰가 자동입력</x:t>
  </x:si>
  <x:si>
    <x:t>부동산 계산기(등기비용)</x:t>
  </x:si>
  <x:si>
    <x:t>주황색 칸 = 직접입력</x:t>
  </x:si>
  <x:si>
    <x:t>예) 매매차익 1500만원 → [1400만원 ~ 5000만원 ] 구간 적용세율 15%</x:t>
  </x:si>
  <x:si>
    <x:r>
      <x:t>ⓕ매매차익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  <x:b val="1"/>
          </x:rPr>
        </mc:Fallback>
      </mc:AlternateContent>
      <x:t>(과세표준)</x:t>
    </x:r>
  </x:si>
  <x:si>
    <x:t>⑮부동산 중개수수료</x:t>
  </x:si>
  <x:si>
    <x:t>(내가 입찰할 금액)</x:t>
  </x:si>
  <x:si>
    <x:t>⑧대출 외 잔금</x:t>
  </x:si>
  <x:si>
    <x:t>⑩명도비(이사비)</x:t>
  </x:si>
  <x:si>
    <x:t>흰색 칸 = 자동계산</x:t>
  </x:si>
  <x:si>
    <x:t xml:space="preserve">소득세율 적용값 </x:t>
  </x:si>
  <x:si>
    <x:t>⑨취득세&amp;법무사비</x:t>
  </x:si>
  <x:si>
    <x:t>⑭중도상환수수료</x:t>
  </x:si>
  <x:si>
    <x:t>2025-501850</x:t>
  </x:si>
  <x:si>
    <x:t>계산기 클릭 →</x:t>
  </x:si>
  <x:si>
    <x:t>⑪인테리어 비용</x:t>
  </x:si>
  <x:si>
    <x:t>예상 입찰가 자동입력</x:t>
  </x:si>
  <x:si>
    <x:t>소득세에 10%</x:t>
  </x:si>
  <x:si>
    <x:t>2024-105195</x:t>
  </x:si>
  <x:si>
    <x:t>중개보수(중개수수료) 계산기 - 부동산계산기.com</x:t>
  </x:si>
  <x:si>
    <x:t xml:space="preserve"> </x:t>
  </x:si>
  <x:si>
    <x:t>⑦대출</x:t>
  </x:si>
  <x:si>
    <x:t>(금리 4.2%* 6개월) 자동입력</x:t>
  </x:si>
  <x:si>
    <x:t>* 매매사업자 세금계산시 필요경비</x:t>
  </x:si>
  <x:si>
    <x:t>(금리 4.5%* 4개월) 자동입력</x:t>
  </x:si>
  <x:si>
    <x:t>대출과 보증금외' 필요한 잔금</x:t>
  </x:si>
  <x:si>
    <x:t xml:space="preserve">부동산 계산기 어플 이용 → </x:t>
  </x:si>
  <x:si>
    <x:t>내가 매도할 금액 (팔 금액)</x:t>
  </x:si>
  <x:si>
    <x:t>(KB시세70/낙찰가 80 둘중 낮은금액)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</x:si>
</x:sst>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_-* #,##0.0_-;\-* #,##0.0_-;_-* &quot;-&quot;?_-;_-@_-"/>
  </x:numFmts>
  <x:fonts count="30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6607d"/>
          <x:u/>
          <hs:underlineShape val="solid"/>
          <hs:underlineType val="1"/>
          <hs:underlineColor rgb="ff96607d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6607d"/>
          <x:u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b77a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b77a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78206e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78206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c00000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c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cc009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cc009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606ba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606b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70c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70c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78206e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78206e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783e9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783e9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나눔고딕 ExtraBold"/>
          <x:sz val="20"/>
          <x:color rgb="ff78206e"/>
          <hs:size val="100"/>
          <hs:ratio val="100"/>
          <hs:spacing val="0"/>
          <hs:offset val="0"/>
        </x:font>
      </mc:Choice>
      <mc:Fallback>
        <x:font>
          <x:name val="나눔고딕 ExtraBold"/>
          <x:sz val="20"/>
          <x:color rgb="ff78206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egoe UI Symbol"/>
          <x:sz val="18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Segoe UI Symbol"/>
          <x:sz val="18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6c6a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cc"/>
        <x:bgColor indexed="64"/>
      </x:patternFill>
    </x:fill>
  </x:fills>
  <x:borders count="4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000000"/>
      </x:bottom>
    </x:border>
    <x:border>
      <x:left style="medium">
        <x:color rgb="ff000000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000000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rgb="ff000000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rgb="ffff0000"/>
      </x:left>
      <x:right style="thin">
        <x:color rgb="ffff0000"/>
      </x:right>
      <x:top style="thin">
        <x:color rgb="ffff0000"/>
      </x:top>
      <x:bottom style="thin">
        <x:color rgb="ffff0000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</x:borders>
  <x:cellStyleXfs count="15">
    <x:xf numFmtId="0" fontId="0" fillId="0" borderId="0">
      <x:alignment horizontal="general" vertical="center"/>
    </x:xf>
    <x:xf numFmtId="41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</x:cellStyleXfs>
  <x:cellXfs count="82">
    <x:xf numFmtId="0" fontId="0" fillId="0" borderId="0" xfId="0" applyNumberFormat="1">
      <x:alignment horizontal="general" vertical="center"/>
    </x:xf>
    <x:xf numFmtId="0" fontId="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Protection="1">
      <x:alignment horizontal="general" vertical="center"/>
      <x:protection locked="0"/>
    </x:xf>
    <x:xf numFmtId="0" fontId="10" fillId="0" borderId="0" xfId="0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x:xf numFmtId="41" fontId="8" fillId="0" borderId="1" xfId="1" applyNumberFormat="1" applyFont="1" applyBorder="1">
      <x:alignment horizontal="general" vertical="center"/>
    </x:xf>
    <x:xf numFmtId="41" fontId="11" fillId="0" borderId="2" xfId="0" applyNumberFormat="1" applyFont="1" applyBorder="1" applyProtection="1">
      <x:alignment horizontal="general" vertical="center"/>
      <x:protection locked="0"/>
    </x:xf>
    <x:xf numFmtId="41" fontId="11" fillId="0" borderId="3" xfId="1" applyNumberFormat="1" applyFont="1" applyBorder="1">
      <x:alignment horizontal="general" vertical="center"/>
    </x:xf>
    <x:xf numFmtId="41" fontId="11" fillId="0" borderId="4" xfId="1" applyNumberFormat="1" applyFont="1" applyBorder="1">
      <x:alignment horizontal="general" vertical="center"/>
    </x:xf>
    <x:xf numFmtId="41" fontId="8" fillId="0" borderId="5" xfId="1" applyNumberFormat="1" applyFont="1" applyBorder="1">
      <x:alignment horizontal="general" vertical="center"/>
    </x:xf>
    <x:xf numFmtId="41" fontId="8" fillId="0" borderId="0" xfId="1" applyNumberFormat="1" applyFont="1" applyProtection="1">
      <x:alignment horizontal="general" vertical="center"/>
      <x:protection locked="0"/>
    </x:xf>
    <x:xf numFmtId="41" fontId="12" fillId="2" borderId="4" xfId="0" applyNumberFormat="1" applyFont="1" applyFill="1" applyBorder="1">
      <x:alignment horizontal="general" vertical="center"/>
    </x:xf>
    <x:xf numFmtId="41" fontId="13" fillId="3" borderId="6" xfId="1" applyNumberFormat="1" applyFont="1" applyFill="1" applyBorder="1" applyProtection="1">
      <x:alignment horizontal="general" vertical="center"/>
      <x:protection locked="0"/>
    </x:xf>
    <x:xf numFmtId="41" fontId="13" fillId="0" borderId="6" xfId="1" applyNumberFormat="1" applyFont="1" applyBorder="1">
      <x:alignment horizontal="general" vertical="center"/>
    </x:xf>
    <x:xf numFmtId="41" fontId="14" fillId="3" borderId="7" xfId="1" applyNumberFormat="1" applyFont="1" applyFill="1" applyBorder="1" applyProtection="1">
      <x:alignment horizontal="general" vertical="center"/>
      <x:protection locked="0"/>
    </x:xf>
    <x:xf numFmtId="41" fontId="15" fillId="0" borderId="8" xfId="1" applyNumberFormat="1" applyFont="1" applyBorder="1" applyProtection="1">
      <x:alignment horizontal="general" vertical="center"/>
      <x:protection locked="0"/>
    </x:xf>
    <x:xf numFmtId="41" fontId="12" fillId="0" borderId="9" xfId="1" applyNumberFormat="1" applyFont="1" applyBorder="1">
      <x:alignment horizontal="general" vertical="center"/>
    </x:xf>
    <x:xf numFmtId="41" fontId="16" fillId="0" borderId="10" xfId="1" applyNumberFormat="1" applyFont="1" applyBorder="1">
      <x:alignment horizontal="general" vertical="center"/>
    </x:xf>
    <x:xf numFmtId="41" fontId="16" fillId="4" borderId="6" xfId="1" applyNumberFormat="1" applyFont="1" applyFill="1" applyBorder="1">
      <x:alignment horizontal="general" vertical="center"/>
    </x:xf>
    <x:xf numFmtId="41" fontId="16" fillId="4" borderId="7" xfId="1" applyNumberFormat="1" applyFont="1" applyFill="1" applyBorder="1" applyProtection="1">
      <x:alignment horizontal="general" vertical="center"/>
      <x:protection locked="0"/>
    </x:xf>
    <x:xf numFmtId="41" fontId="16" fillId="3" borderId="1" xfId="1" applyNumberFormat="1" applyFont="1" applyFill="1" applyBorder="1" applyProtection="1">
      <x:alignment horizontal="general" vertical="center"/>
      <x:protection locked="0"/>
    </x:xf>
    <x:xf numFmtId="41" fontId="16" fillId="3" borderId="6" xfId="1" applyNumberFormat="1" applyFont="1" applyFill="1" applyBorder="1" applyProtection="1">
      <x:alignment horizontal="general" vertical="center"/>
      <x:protection locked="0"/>
    </x:xf>
    <x:xf numFmtId="41" fontId="17" fillId="4" borderId="11" xfId="1" applyNumberFormat="1" applyFont="1" applyFill="1" applyBorder="1">
      <x:alignment horizontal="general" vertical="center"/>
    </x:xf>
    <x:xf numFmtId="0" fontId="0" fillId="0" borderId="12" xfId="0" applyNumberFormat="1" applyBorder="1" applyProtection="1">
      <x:alignment horizontal="general" vertical="center"/>
      <x:protection locked="0"/>
    </x:xf>
    <x:xf numFmtId="0" fontId="0" fillId="0" borderId="13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1" fillId="0" borderId="1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14" xfId="0" applyNumberFormat="1" applyFont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15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8" fillId="0" borderId="1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8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8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9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9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0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0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8" xfId="0" quotePrefix="1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8" xfId="0" quotePrefix="1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2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3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3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4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x:xf numFmtId="41" fontId="10" fillId="3" borderId="0" xfId="1" applyNumberFormat="1" applyFont="1" applyFill="1">
      <x:alignment horizontal="general" vertical="center"/>
    </x:xf>
    <x:xf numFmtId="41" fontId="19" fillId="3" borderId="25" xfId="1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6" xfId="0" applyNumberFormat="1" applyFont="1" applyBorder="1" applyAlignment="1" applyProtection="1">
          <x:alignment horizontal="center" vertical="center"/>
          <x:protection locked="0"/>
        </x:xf>
      </mc:Fallback>
    </mc:AlternateContent>
    <x:xf numFmtId="0" fontId="20" fillId="0" borderId="0" xfId="0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6" fillId="3" borderId="2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2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6" fillId="0" borderId="27" xfId="0" applyNumberFormat="1" applyFont="1" applyBorder="1" applyProtection="1">
      <x:alignment horizontal="general" vertical="center"/>
      <x:protection locked="0"/>
    </x:xf>
    <x:xf numFmtId="0" fontId="21" fillId="0" borderId="28" xfId="0" applyNumberFormat="1" applyFont="1" applyBorder="1" applyProtection="1">
      <x:alignment horizontal="general" vertical="center"/>
      <x:protection locked="0"/>
    </x:xf>
    <x:xf numFmtId="0" fontId="22" fillId="0" borderId="29" xfId="0" applyNumberFormat="1" applyFont="1" applyBorder="1" applyProtection="1">
      <x:alignment horizontal="general" vertical="center"/>
      <x:protection locked="0"/>
    </x:xf>
    <x:xf numFmtId="0" fontId="12" fillId="0" borderId="0" xfId="0" applyNumberFormat="1" applyFont="1" applyProtection="1">
      <x:alignment horizontal="general" vertical="center"/>
      <x:protection locked="0"/>
    </x:xf>
    <x:xf numFmtId="0" fontId="16" fillId="0" borderId="30" xfId="0" applyNumberFormat="1" applyFont="1" applyBorder="1" applyProtection="1">
      <x:alignment horizontal="general" vertical="center"/>
      <x:protection locked="0"/>
    </x:xf>
    <x:xf numFmtId="0" fontId="16" fillId="5" borderId="31" xfId="0" applyNumberFormat="1" applyFont="1" applyFill="1" applyBorder="1" applyProtection="1">
      <x:alignment horizontal="general" vertical="center"/>
      <x:protection locked="0"/>
    </x:xf>
    <x:xf numFmtId="0" fontId="17" fillId="5" borderId="30" xfId="0" applyNumberFormat="1" applyFont="1" applyFill="1" applyBorder="1" applyProtection="1">
      <x:alignment horizontal="general" vertical="center"/>
      <x:protection locked="0"/>
    </x:xf>
    <x:xf numFmtId="0" fontId="12" fillId="0" borderId="32" xfId="0" applyNumberFormat="1" applyFont="1" applyBorder="1" applyProtection="1">
      <x:alignment horizontal="general" vertical="center"/>
      <x:protection locked="0"/>
    </x:xf>
    <x:xf numFmtId="0" fontId="16" fillId="0" borderId="33" xfId="0" applyNumberFormat="1" applyFont="1" applyBorder="1" applyProtection="1">
      <x:alignment horizontal="general" vertical="center"/>
      <x:protection locked="0"/>
    </x:xf>
    <x:xf numFmtId="0" fontId="23" fillId="0" borderId="34" xfId="0" applyNumberFormat="1" applyFont="1" applyBorder="1" applyProtection="1">
      <x:alignment horizontal="general" vertical="center"/>
      <x:protection locked="0"/>
    </x:xf>
    <x:xf numFmtId="0" fontId="24" fillId="0" borderId="30" xfId="0" applyNumberFormat="1" applyFont="1" applyBorder="1" applyProtection="1">
      <x:alignment horizontal="general" vertical="center"/>
      <x:protection locked="0"/>
    </x:xf>
    <x:xf numFmtId="0" fontId="25" fillId="2" borderId="35" xfId="0" applyNumberFormat="1" applyFont="1" applyFill="1" applyBorder="1" applyProtection="1">
      <x:alignment horizontal="general" vertical="center"/>
      <x:protection locked="0"/>
    </x:xf>
    <x:xf numFmtId="164" fontId="0" fillId="0" borderId="0" xfId="0" applyNumberFormat="1">
      <x:alignment horizontal="general" vertical="center"/>
    </x:xf>
    <x:xf numFmtId="0" fontId="6" fillId="0" borderId="0" xfId="2" applyNumberFormat="1" applyProtection="1">
      <x:alignment horizontal="general" vertical="center"/>
      <x:protection locked="0"/>
    </x:xf>
    <x:xf numFmtId="41" fontId="0" fillId="0" borderId="0" xfId="0" applyNumberFormat="1">
      <x:alignment horizontal="general" vertical="center"/>
    </x:xf>
    <x:xf numFmtId="41" fontId="16" fillId="3" borderId="10" xfId="1" applyNumberFormat="1" applyFont="1" applyFill="1" applyBorder="1">
      <x:alignment horizontal="general" vertical="center"/>
    </x:xf>
    <x:xf numFmtId="0" fontId="26" fillId="3" borderId="36" xfId="0" applyNumberFormat="1" applyFont="1" applyFill="1" applyBorder="1" applyProtection="1">
      <x:alignment horizontal="general" vertical="center"/>
      <x:protection locked="0"/>
    </x:xf>
    <x:xf numFmtId="0" fontId="26" fillId="0" borderId="37" xfId="0" applyNumberFormat="1" applyFont="1" applyBorder="1" applyProtection="1">
      <x:alignment horizontal="general" vertical="center"/>
      <x:protection locked="0"/>
    </x:xf>
    <x:xf numFmtId="41" fontId="11" fillId="0" borderId="0" xfId="1" applyNumberFormat="1" applyFont="1">
      <x:alignment horizontal="general" vertical="center"/>
    </x:xf>
    <x:xf numFmtId="0" fontId="0" fillId="0" borderId="38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0" borderId="2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2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39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39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40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40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 applyProtection="1">
          <x:alignment horizontal="center" vertical="center"/>
          <x:protection locked="0"/>
        </x:xf>
      </mc:Fallback>
    </mc:AlternateContent>
    <x:xf numFmtId="0" fontId="20" fillId="0" borderId="0" xfId="0" applyNumberFormat="1" applyFont="1" applyAlignment="1" applyProtection="1">
      <x:alignment horizontal="general" vertical="center"/>
      <x:protection locked="0"/>
    </x:xf>
  </x:cellXfs>
  <x:cellStyles count="3">
    <x:cellStyle xfId="1" builtinId="6"/>
    <x:cellStyle name="열어 본 하이퍼링크" xfId="2"/>
    <x:cellStyle xfId="0" builtinId="0"/>
  </x:cellStyles>
  <x:dxfs count="32"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2" defaultTableStyle="TableStyleMedium2" defaultPivotStyle="PivotStyleLight16">
    <x:tableStyle name="Normal Style 1 - Accent 1" pivot="0" table="1" count="7">
      <x:tableStyleElement type="wholeTable" size="1" dxfId="13"/>
      <x:tableStyleElement type="headerRow" size="1" dxfId="12"/>
      <x:tableStyleElement type="totalRow" size="1" dxfId="11"/>
      <x:tableStyleElement type="firstColumn" size="1" dxfId="10"/>
      <x:tableStyleElement type="lastColumn" size="1" dxfId="9"/>
      <x:tableStyleElement type="firstRowStripe" size="1" dxfId="8"/>
      <x:tableStyleElement type="firstColumnStripe" size="1" dxfId="7"/>
    </x:tableStyle>
    <x:tableStyle name="Light Style 1 - Accent 1" pivot="1" table="0" count="7">
      <x:tableStyleElement type="wholeTable" size="1" dxfId="6"/>
      <x:tableStyleElement type="headerRow" size="1" dxfId="5"/>
      <x:tableStyleElement type="totalRow" size="1" dxfId="4"/>
      <x:tableStyleElement type="firstColumn" size="1" dxfId="3"/>
      <x:tableStyleElement type="lastColumn" size="1" dxfId="2"/>
      <x:tableStyleElement type="first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6</xdr:col>
      <xdr:colOff>200025</xdr:colOff>
      <xdr:row>21</xdr:row>
      <xdr:rowOff>400050</xdr:rowOff>
    </xdr:from>
    <xdr:to>
      <xdr:col>8</xdr:col>
      <xdr:colOff>1143000</xdr:colOff>
      <xdr:row>28</xdr:row>
      <xdr:rowOff>266700</xdr:rowOff>
    </xdr:to>
    <xdr:pic macro="" fPublished="0">
      <xdr:nvPicPr>
        <xdr:cNvPr id="2" name="그림 1"/>
        <xdr:cNvPicPr>
          <a:picLocks noChangeAspect="1" noChangeArrowheads="1"/>
        </xdr:cNvPicPr>
      </xdr:nvPicPr>
      <xdr:blipFill rotWithShape="1">
        <a:blip r:embed="rId1"/>
        <a:srcRect/>
        <a:stretch>
          <a:fillRect/>
        </a:stretch>
      </xdr:blipFill>
      <xdr:spPr>
        <a:xfrm>
          <a:off x="9299863" y="9126682"/>
          <a:ext cx="3844636" cy="2770909"/>
        </a:xfrm>
        <a:prstGeom prst="rect">
          <a:avLst/>
        </a:prstGeom>
        <a:noFill/>
      </xdr:spPr>
    </xdr:pic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6</xdr:col>
      <xdr:colOff>200025</xdr:colOff>
      <xdr:row>21</xdr:row>
      <xdr:rowOff>400050</xdr:rowOff>
    </xdr:from>
    <xdr:to>
      <xdr:col>8</xdr:col>
      <xdr:colOff>1143000</xdr:colOff>
      <xdr:row>28</xdr:row>
      <xdr:rowOff>266700</xdr:rowOff>
    </xdr:to>
    <xdr:pic macro="" fPublished="0">
      <xdr:nvPicPr>
        <xdr:cNvPr id="2" name="그림 1"/>
        <xdr:cNvPicPr>
          <a:picLocks noChangeAspect="1" noChangeArrowheads="1"/>
        </xdr:cNvPicPr>
      </xdr:nvPicPr>
      <xdr:blipFill rotWithShape="1">
        <a:blip r:embed="rId1"/>
        <a:srcRect/>
        <a:stretch>
          <a:fillRect/>
        </a:stretch>
      </xdr:blipFill>
      <xdr:spPr>
        <a:xfrm>
          <a:off x="9802091" y="9126682"/>
          <a:ext cx="3844636" cy="2770909"/>
        </a:xfrm>
        <a:prstGeom prst="rect">
          <a:avLst/>
        </a:prstGeom>
        <a:noFill/>
      </xdr:spPr>
    </xdr:pic>
    <xdr:clientData fLocksWithSheet="1" fPrintsWithSheet="1"/>
  </xdr:twoCellAnchor>
</xdr:wsDr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6</xdr:col>
      <xdr:colOff>200025</xdr:colOff>
      <xdr:row>20</xdr:row>
      <xdr:rowOff>190500</xdr:rowOff>
    </xdr:from>
    <xdr:to>
      <xdr:col>8</xdr:col>
      <xdr:colOff>1781175</xdr:colOff>
      <xdr:row>28</xdr:row>
      <xdr:rowOff>257175</xdr:rowOff>
    </xdr:to>
    <xdr:pic macro="" fPublished="0">
      <xdr:nvPicPr>
        <xdr:cNvPr id="2" name="그림 1"/>
        <xdr:cNvPicPr>
          <a:picLocks noChangeAspect="1" noChangeArrowheads="1"/>
        </xdr:cNvPicPr>
      </xdr:nvPicPr>
      <xdr:blipFill rotWithShape="1">
        <a:blip r:embed="rId1"/>
        <a:srcRect/>
        <a:stretch>
          <a:fillRect/>
        </a:stretch>
      </xdr:blipFill>
      <xdr:spPr>
        <a:xfrm>
          <a:off x="9802091" y="8503227"/>
          <a:ext cx="4693227" cy="3394363"/>
        </a:xfrm>
        <a:prstGeom prst="rect">
          <a:avLst/>
        </a:prstGeom>
        <a:noFill/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&#48512;&#46041;&#49328;&#44228;&#49328;&#44592;.com/%EB%93%B1%EA%B8%B0%EB%B9%84%EC%9A%A9" TargetMode="External" /><Relationship Id="rId2" Type="http://schemas.openxmlformats.org/officeDocument/2006/relationships/hyperlink" Target="https://&#48512;&#46041;&#49328;&#44228;&#49328;&#44592;.com/%EC%A4%91%EA%B0%9C%EB%B3%B4%EC%88%98" TargetMode="External" /><Relationship Id="rId3" Type="http://schemas.openxmlformats.org/officeDocument/2006/relationships/drawing" Target="../drawings/drawing0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https://&#48512;&#46041;&#49328;&#44228;&#49328;&#44592;.com/%EB%93%B1%EA%B8%B0%EB%B9%84%EC%9A%A9" TargetMode="External" /><Relationship Id="rId2" Type="http://schemas.openxmlformats.org/officeDocument/2006/relationships/hyperlink" Target="https://&#48512;&#46041;&#49328;&#44228;&#49328;&#44592;.com/%EC%A4%91%EA%B0%9C%EB%B3%B4%EC%88%98" TargetMode="External" /><Relationship Id="rId3" Type="http://schemas.openxmlformats.org/officeDocument/2006/relationships/drawing" Target="../drawings/drawing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hyperlink" Target="https://&#48512;&#46041;&#49328;&#44228;&#49328;&#44592;.com/%EB%93%B1%EA%B8%B0%EB%B9%84%EC%9A%A9" TargetMode="External" /><Relationship Id="rId2" Type="http://schemas.openxmlformats.org/officeDocument/2006/relationships/hyperlink" Target="https://&#48512;&#46041;&#49328;&#44228;&#49328;&#44592;.com/%EC%A4%91%EA%B0%9C%EB%B3%B4%EC%88%98" TargetMode="External" /><Relationship Id="rId3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3:R30"/>
  <x:sheetViews>
    <x:sheetView topLeftCell="A1" zoomScale="55" zoomScaleNormal="55" zoomScaleSheetLayoutView="55" workbookViewId="0">
      <x:selection activeCell="F31" activeCellId="0" sqref="F31:F31"/>
    </x:sheetView>
  </x:sheetViews>
  <x:sheetFormatPr defaultColWidth="9" defaultRowHeight="32.149999999999999" customHeight="1"/>
  <x:cols>
    <x:col min="4" max="4" width="25.5" style="2" customWidth="1"/>
    <x:col min="5" max="5" width="24.5" customWidth="1"/>
    <x:col min="6" max="6" width="42" style="29" bestFit="1" customWidth="1"/>
    <x:col min="8" max="8" width="29" customWidth="1"/>
    <x:col min="9" max="9" width="20.83203125" customWidth="1"/>
    <x:col min="10" max="10" width="13.83203125" customWidth="1"/>
    <x:col min="11" max="11" width="13.25" bestFit="1" customWidth="1"/>
    <x:col min="14" max="14" width="9.58203125" customWidth="1"/>
    <x:col min="16" max="16" width="13.25" bestFit="1" customWidth="1"/>
    <x:col min="18" max="18" width="12.58203125" bestFit="1" customWidth="1"/>
  </x:cols>
  <x:sheetData>
    <x:row r="3" spans="2:10" customHeight="1">
      <x:c r="B3" s="65" t="s">
        <x:v>14</x:v>
      </x:c>
      <x:c r="C3" s="66"/>
      <x:c r="D3" s="71" t="s">
        <x:v>13</x:v>
      </x:c>
      <x:c r="E3" s="72"/>
      <x:c r="F3" s="30"/>
      <x:c r="G3" s="3"/>
      <x:c r="H3" s="3"/>
      <x:c r="I3" s="3"/>
      <x:c r="J3" s="3"/>
    </x:row>
    <x:row r="4" spans="2:10" customHeight="1">
      <x:c r="B4" s="67"/>
      <x:c r="C4" s="68"/>
      <x:c r="D4" s="45" t="s">
        <x:v>10</x:v>
      </x:c>
      <x:c r="E4" s="44" t="s">
        <x:v>47</x:v>
      </x:c>
      <x:c r="F4" s="31"/>
      <x:c r="G4" s="3"/>
      <x:c r="H4" s="3"/>
      <x:c r="I4" s="3"/>
      <x:c r="J4" s="3"/>
    </x:row>
    <x:row r="5" spans="2:10" customHeight="1">
      <x:c r="B5" s="67"/>
      <x:c r="C5" s="68"/>
      <x:c r="D5" s="46" t="s">
        <x:v>3</x:v>
      </x:c>
      <x:c r="E5" s="13">
        <x:v>281000000</x:v>
      </x:c>
      <x:c r="F5" s="31"/>
      <x:c r="G5" s="3"/>
      <x:c r="H5" s="3"/>
      <x:c r="I5" s="3"/>
      <x:c r="J5" s="3"/>
    </x:row>
    <x:row r="6" spans="2:10" customHeight="1">
      <x:c r="B6" s="67"/>
      <x:c r="C6" s="68"/>
      <x:c r="D6" s="46" t="s">
        <x:v>17</x:v>
      </x:c>
      <x:c r="E6" s="13">
        <x:f>E5*70%</x:f>
        <x:v>196700000</x:v>
      </x:c>
      <x:c r="F6" s="31"/>
      <x:c r="G6" s="3"/>
      <x:c r="H6" s="3"/>
      <x:c r="I6" s="3"/>
      <x:c r="J6" s="3"/>
    </x:row>
    <x:row r="7" spans="2:10" customHeight="1">
      <x:c r="B7" s="67"/>
      <x:c r="C7" s="68"/>
      <x:c r="D7" s="46" t="s">
        <x:v>21</x:v>
      </x:c>
      <x:c r="E7" s="14">
        <x:f>E6*10%</x:f>
        <x:v>19670000</x:v>
      </x:c>
      <x:c r="F7" s="31"/>
      <x:c r="G7" s="3"/>
      <x:c r="H7" s="3"/>
      <x:c r="I7" s="3"/>
      <x:c r="J7" s="3"/>
    </x:row>
    <x:row r="8" spans="2:14" customHeight="1">
      <x:c r="B8" s="69"/>
      <x:c r="C8" s="70"/>
      <x:c r="D8" s="47" t="s">
        <x:v>12</x:v>
      </x:c>
      <x:c r="E8" s="15">
        <x:f>E5*81.18%</x:f>
        <x:v>228115800.00000003</x:v>
      </x:c>
      <x:c r="F8" s="28" t="s">
        <x:v>35</x:v>
      </x:c>
      <x:c r="G8" s="3"/>
      <x:c r="H8" s="3"/>
      <x:c r="I8" s="24"/>
      <x:c r="J8" s="3"/>
      <x:c r="N8" s="1"/>
    </x:row>
    <x:row r="9" spans="2:16" customHeight="1">
      <x:c r="B9" s="73"/>
      <x:c r="C9" s="73"/>
      <x:c r="D9" s="48"/>
      <x:c r="E9" s="16"/>
      <x:c r="F9" s="32"/>
      <x:c r="G9" s="3"/>
      <x:c r="H9" s="42" t="s">
        <x:v>27</x:v>
      </x:c>
      <x:c r="I9" s="40">
        <x:v>285000000</x:v>
      </x:c>
      <x:c r="J9" s="25"/>
      <x:c r="N9" s="1"/>
      <x:c r="P9" s="59">
        <x:f>E8*80%</x:f>
        <x:v>182492640.00000003</x:v>
      </x:c>
    </x:row>
    <x:row r="10" spans="2:16" customHeight="1">
      <x:c r="B10" s="74" t="s">
        <x:v>9</x:v>
      </x:c>
      <x:c r="C10" s="75"/>
      <x:c r="D10" s="45" t="s">
        <x:v>50</x:v>
      </x:c>
      <x:c r="E10" s="18">
        <x:v>168600000</x:v>
      </x:c>
      <x:c r="F10" s="33" t="s">
        <x:v>57</x:v>
      </x:c>
      <x:c r="G10" s="3"/>
      <x:c r="H10" s="7" t="s">
        <x:v>23</x:v>
      </x:c>
      <x:c r="I10" s="8">
        <x:f>I9*70%</x:f>
        <x:v>199500000</x:v>
      </x:c>
      <x:c r="J10" s="3"/>
      <x:c r="K10" s="59">
        <x:f>I9*60%</x:f>
        <x:v>171000000</x:v>
      </x:c>
      <x:c r="P10" s="59">
        <x:f>E5*60%</x:f>
        <x:v>168600000</x:v>
      </x:c>
    </x:row>
    <x:row r="11" spans="2:11" customHeight="1">
      <x:c r="B11" s="76"/>
      <x:c r="C11" s="77"/>
      <x:c r="D11" s="49" t="s">
        <x:v>36</x:v>
      </x:c>
      <x:c r="E11" s="19">
        <x:f>E8-E7-E10</x:f>
        <x:v>39845800.00000003</x:v>
      </x:c>
      <x:c r="F11" s="34" t="s">
        <x:v>54</x:v>
      </x:c>
      <x:c r="G11" s="27"/>
      <x:c r="H11" s="26" t="s">
        <x:v>22</x:v>
      </x:c>
      <x:c r="I11" s="9">
        <x:f>E8*80%</x:f>
        <x:v>182492640.00000003</x:v>
      </x:c>
      <x:c r="J11" s="4"/>
      <x:c r="K11" s="59">
        <x:f>E8*80%</x:f>
        <x:v>182492640.00000003</x:v>
      </x:c>
    </x:row>
    <x:row r="12" spans="2:10" customHeight="1">
      <x:c r="B12" s="76"/>
      <x:c r="C12" s="77"/>
      <x:c r="D12" s="49"/>
      <x:c r="E12" s="20"/>
      <x:c r="F12" s="31"/>
      <x:c r="G12" s="3"/>
      <x:c r="H12" s="3"/>
      <x:c r="I12" s="3"/>
      <x:c r="J12" s="3"/>
    </x:row>
    <x:row r="13" spans="2:18" customHeight="1">
      <x:c r="B13" s="76"/>
      <x:c r="C13" s="77"/>
      <x:c r="D13" s="50" t="s">
        <x:v>40</x:v>
      </x:c>
      <x:c r="E13" s="21">
        <x:f>E8*1.61%</x:f>
        <x:v>3672664.3800000004</x:v>
      </x:c>
      <x:c r="F13" s="35" t="s">
        <x:v>55</x:v>
      </x:c>
      <x:c r="G13" s="81" t="s">
        <x:v>30</x:v>
      </x:c>
      <x:c r="H13" s="81"/>
      <x:c r="I13" s="81"/>
      <x:c r="J13" s="81"/>
      <x:c r="R13" s="57"/>
    </x:row>
    <x:row r="14" spans="2:10" customHeight="1">
      <x:c r="B14" s="76"/>
      <x:c r="C14" s="77"/>
      <x:c r="D14" s="50" t="s">
        <x:v>37</x:v>
      </x:c>
      <x:c r="E14" s="22"/>
      <x:c r="F14" s="31" t="s">
        <x:v>25</x:v>
      </x:c>
      <x:c r="G14" s="3"/>
      <x:c r="H14" s="43"/>
      <x:c r="I14" s="3"/>
      <x:c r="J14" s="3"/>
    </x:row>
    <x:row r="15" spans="2:10" customHeight="1">
      <x:c r="B15" s="76"/>
      <x:c r="C15" s="77"/>
      <x:c r="D15" s="50" t="s">
        <x:v>44</x:v>
      </x:c>
      <x:c r="E15" s="22"/>
      <x:c r="F15" s="31"/>
      <x:c r="G15" s="3"/>
      <x:c r="H15" s="3"/>
      <x:c r="I15" s="3"/>
      <x:c r="J15" s="3"/>
    </x:row>
    <x:row r="16" spans="2:10" customHeight="1">
      <x:c r="B16" s="76"/>
      <x:c r="C16" s="77"/>
      <x:c r="D16" s="50" t="s">
        <x:v>7</x:v>
      </x:c>
      <x:c r="E16" s="22">
        <x:v>4800000</x:v>
      </x:c>
      <x:c r="F16" s="31"/>
      <x:c r="G16" s="3"/>
      <x:c r="H16" s="3"/>
      <x:c r="I16" s="3"/>
      <x:c r="J16" s="3"/>
    </x:row>
    <x:row r="17" spans="2:10" customHeight="1">
      <x:c r="B17" s="76"/>
      <x:c r="C17" s="77"/>
      <x:c r="D17" s="50" t="s">
        <x:v>5</x:v>
      </x:c>
      <x:c r="E17" s="19">
        <x:f>(E10*4.5%/12)*3</x:f>
        <x:v>1896750</x:v>
      </x:c>
      <x:c r="F17" s="31" t="s">
        <x:v>51</x:v>
      </x:c>
      <x:c r="G17" s="3"/>
      <x:c r="H17" s="3"/>
      <x:c r="I17" s="3"/>
      <x:c r="J17" s="3"/>
    </x:row>
    <x:row r="18" spans="2:10" customHeight="1">
      <x:c r="B18" s="76"/>
      <x:c r="C18" s="77"/>
      <x:c r="D18" s="50" t="s">
        <x:v>41</x:v>
      </x:c>
      <x:c r="E18" s="21">
        <x:v>0</x:v>
      </x:c>
      <x:c r="F18" s="35" t="s">
        <x:v>28</x:v>
      </x:c>
      <x:c r="G18" s="3"/>
      <x:c r="H18" s="3"/>
      <x:c r="I18" s="3"/>
      <x:c r="J18" s="3"/>
    </x:row>
    <x:row r="19" spans="2:10" customHeight="1">
      <x:c r="B19" s="76"/>
      <x:c r="C19" s="77"/>
      <x:c r="D19" s="50" t="s">
        <x:v>34</x:v>
      </x:c>
      <x:c r="E19" s="21">
        <x:f>E23*0.4%</x:f>
        <x:v>1000000</x:v>
      </x:c>
      <x:c r="F19" s="35" t="s">
        <x:v>43</x:v>
      </x:c>
      <x:c r="G19" s="58" t="s">
        <x:v>48</x:v>
      </x:c>
      <x:c r="H19" s="3"/>
      <x:c r="I19" s="3"/>
      <x:c r="J19" s="3"/>
    </x:row>
    <x:row r="20" spans="2:10" customHeight="1">
      <x:c r="B20" s="76"/>
      <x:c r="C20" s="77"/>
      <x:c r="D20" s="51" t="s">
        <x:v>15</x:v>
      </x:c>
      <x:c r="E20" s="23">
        <x:f>SUM(E13:E19)</x:f>
        <x:v>11369414.380000001</x:v>
      </x:c>
      <x:c r="F20" s="31" t="s">
        <x:v>52</x:v>
      </x:c>
      <x:c r="G20" s="3"/>
      <x:c r="H20" s="3"/>
      <x:c r="I20" s="3"/>
      <x:c r="J20" s="3"/>
    </x:row>
    <x:row r="21" spans="2:10" customHeight="1">
      <x:c r="B21" s="78"/>
      <x:c r="C21" s="78"/>
      <x:c r="D21" s="52" t="s">
        <x:v>11</x:v>
      </x:c>
      <x:c r="E21" s="17">
        <x:f>E20+E11+E7</x:f>
        <x:v>70885214.380000025</x:v>
      </x:c>
      <x:c r="F21" s="36" t="s">
        <x:v>24</x:v>
      </x:c>
      <x:c r="G21" s="3"/>
      <x:c r="H21" s="3"/>
      <x:c r="I21" s="3"/>
      <x:c r="J21" s="3"/>
    </x:row>
    <x:row r="22" spans="2:15" customHeight="1">
      <x:c r="B22" s="76"/>
      <x:c r="C22" s="73"/>
      <x:c r="D22" s="53"/>
      <x:c r="E22" s="11"/>
      <x:c r="F22" s="37"/>
      <x:c r="G22" s="3"/>
      <x:c r="H22" s="3"/>
      <x:c r="I22" s="3"/>
      <x:c r="J22" s="3"/>
      <x:c r="O22" t="s">
        <x:v>49</x:v>
      </x:c>
    </x:row>
    <x:row r="23" spans="2:10" customHeight="1">
      <x:c r="B23" s="76"/>
      <x:c r="C23" s="77"/>
      <x:c r="D23" s="54" t="s">
        <x:v>16</x:v>
      </x:c>
      <x:c r="E23" s="41">
        <x:v>250000000</x:v>
      </x:c>
      <x:c r="F23" s="33" t="s">
        <x:v>56</x:v>
      </x:c>
      <x:c r="G23" s="3"/>
      <x:c r="H23" s="3"/>
      <x:c r="I23" s="3"/>
      <x:c r="J23" s="3"/>
    </x:row>
    <x:row r="24" spans="2:10" customHeight="1">
      <x:c r="B24" s="76"/>
      <x:c r="C24" s="73"/>
      <x:c r="D24" s="55" t="s">
        <x:v>6</x:v>
      </x:c>
      <x:c r="E24" s="10">
        <x:f>E8</x:f>
        <x:v>228115800.00000003</x:v>
      </x:c>
      <x:c r="F24" s="35" t="s">
        <x:v>45</x:v>
      </x:c>
      <x:c r="G24" s="3"/>
      <x:c r="H24" s="3"/>
      <x:c r="I24" s="3"/>
      <x:c r="J24" s="3"/>
    </x:row>
    <x:row r="25" spans="2:10" customHeight="1">
      <x:c r="B25" s="76"/>
      <x:c r="C25" s="73"/>
      <x:c r="D25" s="49" t="s">
        <x:v>18</x:v>
      </x:c>
      <x:c r="E25" s="6">
        <x:f>E20</x:f>
        <x:v>11369414.380000001</x:v>
      </x:c>
      <x:c r="F25" s="35" t="s">
        <x:v>19</x:v>
      </x:c>
      <x:c r="G25" s="3"/>
      <x:c r="H25" s="3"/>
      <x:c r="I25" s="3"/>
      <x:c r="J25" s="3" t="s">
        <x:v>2</x:v>
      </x:c>
    </x:row>
    <x:row r="26" spans="2:10" customHeight="1">
      <x:c r="B26" s="76"/>
      <x:c r="C26" s="77"/>
      <x:c r="D26" s="49" t="s">
        <x:v>33</x:v>
      </x:c>
      <x:c r="E26" s="6">
        <x:f>E23-E24-E25</x:f>
        <x:v>10514785.619999969</x:v>
      </x:c>
      <x:c r="F26" s="35" t="s">
        <x:v>26</x:v>
      </x:c>
      <x:c r="G26" s="3"/>
      <x:c r="H26" s="3"/>
      <x:c r="I26" s="3"/>
      <x:c r="J26" s="3" t="s">
        <x:v>1</x:v>
      </x:c>
    </x:row>
    <x:row r="27" spans="2:13" customHeight="1">
      <x:c r="B27" s="78"/>
      <x:c r="C27" s="78"/>
      <x:c r="D27" s="49" t="s">
        <x:v>8</x:v>
      </x:c>
      <x:c r="E27" s="6">
        <x:f>IF(E26&lt;=14000000,E26*0.06,IF(E26&lt;=50000000,E26*0.15-1260000,IF(E26&lt;=88000000,E26*0.24-5760000,IF(E26&lt;=150000000,E26*0.35-15440000,IF(E26&lt;=300000000,E26*0.38-19940000,IF(E26&lt;=500000000,E26*0.4-25940000,IF(E26&lt;=1000000000,E26*0.42-35940000,E26*0.45-65940000)))))))</x:f>
        <x:v>630887.13719999813</x:v>
      </x:c>
      <x:c r="F27" s="35" t="s">
        <x:v>39</x:v>
      </x:c>
      <x:c r="G27" s="3"/>
      <x:c r="H27" s="3"/>
      <x:c r="I27" s="3"/>
      <x:c r="J27" s="3" t="s">
        <x:v>32</x:v>
      </x:c>
      <x:c r="M27" t="s">
        <x:v>49</x:v>
      </x:c>
    </x:row>
    <x:row r="28" spans="2:10" customHeight="1">
      <x:c r="B28" s="76"/>
      <x:c r="C28" s="77"/>
      <x:c r="D28" s="49" t="s">
        <x:v>4</x:v>
      </x:c>
      <x:c r="E28" s="6">
        <x:f>E27*0.1</x:f>
        <x:v>63088.713719999818</x:v>
      </x:c>
      <x:c r="F28" s="35" t="s">
        <x:v>46</x:v>
      </x:c>
      <x:c r="G28" s="3"/>
      <x:c r="H28" s="3"/>
      <x:c r="I28" s="3"/>
      <x:c r="J28" s="3" t="s">
        <x:v>0</x:v>
      </x:c>
    </x:row>
    <x:row r="29" spans="2:10" customHeight="1">
      <x:c r="B29" s="79"/>
      <x:c r="C29" s="80"/>
      <x:c r="D29" s="56" t="s">
        <x:v>20</x:v>
      </x:c>
      <x:c r="E29" s="12">
        <x:f>E26-E27-E28</x:f>
        <x:v>9820809.7690799721</x:v>
      </x:c>
      <x:c r="F29" s="38"/>
      <x:c r="G29" s="3"/>
      <x:c r="H29" s="3"/>
      <x:c r="I29" s="3"/>
      <x:c r="J29" s="3"/>
    </x:row>
    <x:row r="30" spans="2:10" customHeight="1">
      <x:c r="B30" s="3"/>
      <x:c r="C30" s="3"/>
      <x:c r="D30" s="5"/>
      <x:c r="E30" s="3"/>
      <x:c r="F30" s="39"/>
      <x:c r="G30" s="3"/>
      <x:c r="H30" s="3"/>
      <x:c r="I30" s="3"/>
      <x:c r="J30" s="3"/>
    </x:row>
  </x:sheetData>
  <x:mergeCells count="5">
    <x:mergeCell ref="B3:C8"/>
    <x:mergeCell ref="D3:E3"/>
    <x:mergeCell ref="B9:C9"/>
    <x:mergeCell ref="B10:C29"/>
    <x:mergeCell ref="G13:J13"/>
  </x:mergeCells>
  <x:hyperlinks>
    <x:hyperlink ref="H14:H14" r:id="rId1"/>
    <x:hyperlink ref="G13:J13" r:id="rId1"/>
    <x:hyperlink ref="G19:G19" r:id="rId2"/>
  </x:hyperlink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3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3:R30"/>
  <x:sheetViews>
    <x:sheetView topLeftCell="A1" zoomScale="55" zoomScaleNormal="55" zoomScaleSheetLayoutView="55" workbookViewId="0">
      <x:selection activeCell="F28" activeCellId="0" sqref="F28:F28"/>
    </x:sheetView>
  </x:sheetViews>
  <x:sheetFormatPr defaultColWidth="9" defaultRowHeight="32.149999999999999" customHeight="1"/>
  <x:cols>
    <x:col min="4" max="4" width="32" style="2" bestFit="1" customWidth="1"/>
    <x:col min="5" max="5" width="24.5" customWidth="1"/>
    <x:col min="6" max="6" width="42" style="29" bestFit="1" customWidth="1"/>
    <x:col min="8" max="8" width="29" customWidth="1"/>
    <x:col min="9" max="9" width="20.83203125" customWidth="1"/>
    <x:col min="10" max="10" width="13.83203125" customWidth="1"/>
    <x:col min="11" max="11" width="13.25" bestFit="1" customWidth="1"/>
    <x:col min="14" max="14" width="9.58203125" customWidth="1"/>
    <x:col min="16" max="16" width="13.25" bestFit="1" customWidth="1"/>
    <x:col min="18" max="18" width="12.58203125" bestFit="1" customWidth="1"/>
  </x:cols>
  <x:sheetData>
    <x:row r="3" spans="2:10" customHeight="1">
      <x:c r="B3" s="65" t="s">
        <x:v>14</x:v>
      </x:c>
      <x:c r="C3" s="66"/>
      <x:c r="D3" s="71" t="s">
        <x:v>13</x:v>
      </x:c>
      <x:c r="E3" s="72"/>
      <x:c r="F3" s="30"/>
      <x:c r="G3" s="3"/>
      <x:c r="H3" s="3"/>
      <x:c r="I3" s="3"/>
      <x:c r="J3" s="3"/>
    </x:row>
    <x:row r="4" spans="2:10" customHeight="1">
      <x:c r="B4" s="67"/>
      <x:c r="C4" s="68"/>
      <x:c r="D4" s="45" t="s">
        <x:v>10</x:v>
      </x:c>
      <x:c r="E4" s="44" t="s">
        <x:v>42</x:v>
      </x:c>
      <x:c r="F4" s="31"/>
      <x:c r="G4" s="3"/>
      <x:c r="H4" s="3"/>
      <x:c r="I4" s="3"/>
      <x:c r="J4" s="3"/>
    </x:row>
    <x:row r="5" spans="2:10" customHeight="1">
      <x:c r="B5" s="67"/>
      <x:c r="C5" s="68"/>
      <x:c r="D5" s="46" t="s">
        <x:v>3</x:v>
      </x:c>
      <x:c r="E5" s="13">
        <x:v>410000000</x:v>
      </x:c>
      <x:c r="F5" s="31"/>
      <x:c r="G5" s="3"/>
      <x:c r="H5" s="3"/>
      <x:c r="I5" s="3"/>
      <x:c r="J5" s="3"/>
    </x:row>
    <x:row r="6" spans="2:10" customHeight="1">
      <x:c r="B6" s="67"/>
      <x:c r="C6" s="68"/>
      <x:c r="D6" s="46" t="s">
        <x:v>17</x:v>
      </x:c>
      <x:c r="E6" s="13">
        <x:f>E5*70%</x:f>
        <x:v>287000000</x:v>
      </x:c>
      <x:c r="F6" s="31"/>
      <x:c r="G6" s="3"/>
      <x:c r="H6" s="3"/>
      <x:c r="I6" s="3"/>
      <x:c r="J6" s="3"/>
    </x:row>
    <x:row r="7" spans="2:10" customHeight="1">
      <x:c r="B7" s="67"/>
      <x:c r="C7" s="68"/>
      <x:c r="D7" s="46" t="s">
        <x:v>21</x:v>
      </x:c>
      <x:c r="E7" s="14">
        <x:f>E6*10%</x:f>
        <x:v>28700000</x:v>
      </x:c>
      <x:c r="F7" s="31"/>
      <x:c r="G7" s="3"/>
      <x:c r="H7" s="3"/>
      <x:c r="I7" s="3"/>
      <x:c r="J7" s="3"/>
    </x:row>
    <x:row r="8" spans="2:14" customHeight="1">
      <x:c r="B8" s="69"/>
      <x:c r="C8" s="70"/>
      <x:c r="D8" s="47" t="s">
        <x:v>12</x:v>
      </x:c>
      <x:c r="E8" s="15">
        <x:f>E5*82.4%</x:f>
        <x:v>337840000</x:v>
      </x:c>
      <x:c r="F8" s="28" t="s">
        <x:v>35</x:v>
      </x:c>
      <x:c r="G8" s="3"/>
      <x:c r="H8" s="3"/>
      <x:c r="I8" s="24"/>
      <x:c r="J8" s="3"/>
      <x:c r="N8" s="1"/>
    </x:row>
    <x:row r="9" spans="2:16" customHeight="1">
      <x:c r="B9" s="73"/>
      <x:c r="C9" s="73"/>
      <x:c r="D9" s="48"/>
      <x:c r="E9" s="16"/>
      <x:c r="F9" s="32"/>
      <x:c r="G9" s="3"/>
      <x:c r="H9" s="42" t="s">
        <x:v>27</x:v>
      </x:c>
      <x:c r="I9" s="40">
        <x:v>385000000</x:v>
      </x:c>
      <x:c r="J9" s="25"/>
      <x:c r="K9" s="59"/>
      <x:c r="N9" s="1"/>
      <x:c r="P9" s="59"/>
    </x:row>
    <x:row r="10" spans="2:11" customHeight="1">
      <x:c r="B10" s="74" t="s">
        <x:v>9</x:v>
      </x:c>
      <x:c r="C10" s="75"/>
      <x:c r="D10" s="45" t="s">
        <x:v>50</x:v>
      </x:c>
      <x:c r="E10" s="18">
        <x:v>269500000</x:v>
      </x:c>
      <x:c r="F10" s="33" t="s">
        <x:v>57</x:v>
      </x:c>
      <x:c r="G10" s="3"/>
      <x:c r="H10" s="7" t="s">
        <x:v>23</x:v>
      </x:c>
      <x:c r="I10" s="8">
        <x:f>I9*70%</x:f>
        <x:v>269500000</x:v>
      </x:c>
      <x:c r="J10" s="3"/>
      <x:c r="K10" s="59"/>
    </x:row>
    <x:row r="11" spans="2:11" customHeight="1">
      <x:c r="B11" s="76"/>
      <x:c r="C11" s="77"/>
      <x:c r="D11" s="49" t="s">
        <x:v>36</x:v>
      </x:c>
      <x:c r="E11" s="19">
        <x:f>E8-E7-E10</x:f>
        <x:v>39640000</x:v>
      </x:c>
      <x:c r="F11" s="34" t="s">
        <x:v>54</x:v>
      </x:c>
      <x:c r="G11" s="27"/>
      <x:c r="H11" s="26" t="s">
        <x:v>22</x:v>
      </x:c>
      <x:c r="I11" s="9">
        <x:f>E8*80%</x:f>
        <x:v>270272000</x:v>
      </x:c>
      <x:c r="J11" s="4"/>
      <x:c r="K11" s="59"/>
    </x:row>
    <x:row r="12" spans="2:10" customHeight="1">
      <x:c r="B12" s="76"/>
      <x:c r="C12" s="77"/>
      <x:c r="D12" s="49"/>
      <x:c r="E12" s="20"/>
      <x:c r="F12" s="31"/>
      <x:c r="G12" s="3"/>
      <x:c r="H12" s="3"/>
      <x:c r="I12" s="3"/>
      <x:c r="J12" s="3"/>
    </x:row>
    <x:row r="13" spans="2:18" customHeight="1">
      <x:c r="B13" s="76"/>
      <x:c r="C13" s="77"/>
      <x:c r="D13" s="50" t="s">
        <x:v>40</x:v>
      </x:c>
      <x:c r="E13" s="21">
        <x:f>E8*1.61%</x:f>
        <x:v>5439224</x:v>
      </x:c>
      <x:c r="F13" s="35" t="s">
        <x:v>55</x:v>
      </x:c>
      <x:c r="G13" s="81" t="s">
        <x:v>30</x:v>
      </x:c>
      <x:c r="H13" s="81"/>
      <x:c r="I13" s="81"/>
      <x:c r="J13" s="81"/>
      <x:c r="R13" s="57"/>
    </x:row>
    <x:row r="14" spans="2:10" customHeight="1">
      <x:c r="B14" s="76"/>
      <x:c r="C14" s="77"/>
      <x:c r="D14" s="50" t="s">
        <x:v>37</x:v>
      </x:c>
      <x:c r="E14" s="22">
        <x:v>1000000</x:v>
      </x:c>
      <x:c r="F14" s="31" t="s">
        <x:v>25</x:v>
      </x:c>
      <x:c r="G14" s="3"/>
      <x:c r="H14" s="43"/>
      <x:c r="I14" s="3"/>
      <x:c r="J14" s="3"/>
    </x:row>
    <x:row r="15" spans="2:10" customHeight="1">
      <x:c r="B15" s="76"/>
      <x:c r="C15" s="77"/>
      <x:c r="D15" s="50" t="s">
        <x:v>44</x:v>
      </x:c>
      <x:c r="E15" s="22">
        <x:v>0</x:v>
      </x:c>
      <x:c r="F15" s="31"/>
      <x:c r="G15" s="3"/>
      <x:c r="H15" s="3"/>
      <x:c r="I15" s="3"/>
      <x:c r="J15" s="3"/>
    </x:row>
    <x:row r="16" spans="2:10" customHeight="1">
      <x:c r="B16" s="76"/>
      <x:c r="C16" s="77"/>
      <x:c r="D16" s="50" t="s">
        <x:v>7</x:v>
      </x:c>
      <x:c r="E16" s="22">
        <x:v>400000</x:v>
      </x:c>
      <x:c r="F16" s="31"/>
      <x:c r="G16" s="3"/>
      <x:c r="H16" s="3"/>
      <x:c r="I16" s="3"/>
      <x:c r="J16" s="3"/>
    </x:row>
    <x:row r="17" spans="2:10" customHeight="1">
      <x:c r="B17" s="76"/>
      <x:c r="C17" s="77"/>
      <x:c r="D17" s="50" t="s">
        <x:v>5</x:v>
      </x:c>
      <x:c r="E17" s="19">
        <x:f>(E10*4.3%/12)*3</x:f>
        <x:v>2897125</x:v>
      </x:c>
      <x:c r="F17" s="31" t="s">
        <x:v>51</x:v>
      </x:c>
      <x:c r="G17" s="3"/>
      <x:c r="H17" s="3"/>
      <x:c r="I17" s="3"/>
      <x:c r="J17" s="3"/>
    </x:row>
    <x:row r="18" spans="2:10" customHeight="1">
      <x:c r="B18" s="76"/>
      <x:c r="C18" s="77"/>
      <x:c r="D18" s="50" t="s">
        <x:v>41</x:v>
      </x:c>
      <x:c r="E18" s="21">
        <x:v>0</x:v>
      </x:c>
      <x:c r="F18" s="35" t="s">
        <x:v>28</x:v>
      </x:c>
      <x:c r="G18" s="3"/>
      <x:c r="H18" s="3"/>
      <x:c r="I18" s="3"/>
      <x:c r="J18" s="3"/>
    </x:row>
    <x:row r="19" spans="2:10" customHeight="1">
      <x:c r="B19" s="76"/>
      <x:c r="C19" s="77"/>
      <x:c r="D19" s="50" t="s">
        <x:v>34</x:v>
      </x:c>
      <x:c r="E19" s="21">
        <x:f>E23*0.4%</x:f>
        <x:v>1480000</x:v>
      </x:c>
      <x:c r="F19" s="35" t="s">
        <x:v>43</x:v>
      </x:c>
      <x:c r="G19" s="58" t="s">
        <x:v>48</x:v>
      </x:c>
      <x:c r="H19" s="3"/>
      <x:c r="I19" s="3"/>
      <x:c r="J19" s="3"/>
    </x:row>
    <x:row r="20" spans="2:10" customHeight="1">
      <x:c r="B20" s="76"/>
      <x:c r="C20" s="77"/>
      <x:c r="D20" s="51" t="s">
        <x:v>15</x:v>
      </x:c>
      <x:c r="E20" s="23">
        <x:f>SUM(E13:E19)</x:f>
        <x:v>11216349</x:v>
      </x:c>
      <x:c r="F20" s="31" t="s">
        <x:v>52</x:v>
      </x:c>
      <x:c r="G20" s="3"/>
      <x:c r="H20" s="3"/>
      <x:c r="I20" s="3"/>
      <x:c r="J20" s="3"/>
    </x:row>
    <x:row r="21" spans="2:10" customHeight="1">
      <x:c r="B21" s="78"/>
      <x:c r="C21" s="78"/>
      <x:c r="D21" s="52" t="s">
        <x:v>11</x:v>
      </x:c>
      <x:c r="E21" s="17">
        <x:f>E20+E11+E7</x:f>
        <x:v>79556349</x:v>
      </x:c>
      <x:c r="F21" s="36" t="s">
        <x:v>24</x:v>
      </x:c>
      <x:c r="G21" s="3"/>
      <x:c r="H21" s="3"/>
      <x:c r="I21" s="3"/>
      <x:c r="J21" s="3"/>
    </x:row>
    <x:row r="22" spans="2:15" customHeight="1">
      <x:c r="B22" s="76"/>
      <x:c r="C22" s="73"/>
      <x:c r="D22" s="53"/>
      <x:c r="E22" s="11"/>
      <x:c r="F22" s="37"/>
      <x:c r="G22" s="3"/>
      <x:c r="H22" s="3"/>
      <x:c r="I22" s="3"/>
      <x:c r="J22" s="3"/>
      <x:c r="O22" t="s">
        <x:v>49</x:v>
      </x:c>
    </x:row>
    <x:row r="23" spans="2:10" customHeight="1">
      <x:c r="B23" s="76"/>
      <x:c r="C23" s="77"/>
      <x:c r="D23" s="54" t="s">
        <x:v>16</x:v>
      </x:c>
      <x:c r="E23" s="41">
        <x:v>370000000</x:v>
      </x:c>
      <x:c r="F23" s="33" t="s">
        <x:v>56</x:v>
      </x:c>
      <x:c r="G23" s="3"/>
      <x:c r="H23" s="3"/>
      <x:c r="I23" s="3"/>
      <x:c r="J23" s="3"/>
    </x:row>
    <x:row r="24" spans="2:10" customHeight="1">
      <x:c r="B24" s="76"/>
      <x:c r="C24" s="73"/>
      <x:c r="D24" s="55" t="s">
        <x:v>6</x:v>
      </x:c>
      <x:c r="E24" s="10">
        <x:f>E8</x:f>
        <x:v>337840000</x:v>
      </x:c>
      <x:c r="F24" s="35" t="s">
        <x:v>45</x:v>
      </x:c>
      <x:c r="G24" s="3"/>
      <x:c r="H24" s="3"/>
      <x:c r="I24" s="3"/>
      <x:c r="J24" s="3"/>
    </x:row>
    <x:row r="25" spans="2:10" customHeight="1">
      <x:c r="B25" s="76"/>
      <x:c r="C25" s="73"/>
      <x:c r="D25" s="49" t="s">
        <x:v>18</x:v>
      </x:c>
      <x:c r="E25" s="6">
        <x:f>E20</x:f>
        <x:v>11216349</x:v>
      </x:c>
      <x:c r="F25" s="35" t="s">
        <x:v>19</x:v>
      </x:c>
      <x:c r="G25" s="3"/>
      <x:c r="H25" s="3"/>
      <x:c r="I25" s="3"/>
      <x:c r="J25" s="3" t="s">
        <x:v>2</x:v>
      </x:c>
    </x:row>
    <x:row r="26" spans="2:10" customHeight="1">
      <x:c r="B26" s="76"/>
      <x:c r="C26" s="77"/>
      <x:c r="D26" s="49" t="s">
        <x:v>33</x:v>
      </x:c>
      <x:c r="E26" s="6">
        <x:f>E23-E24-E25</x:f>
        <x:v>20943651</x:v>
      </x:c>
      <x:c r="F26" s="35" t="s">
        <x:v>26</x:v>
      </x:c>
      <x:c r="G26" s="3"/>
      <x:c r="H26" s="3"/>
      <x:c r="I26" s="3"/>
      <x:c r="J26" s="3" t="s">
        <x:v>1</x:v>
      </x:c>
    </x:row>
    <x:row r="27" spans="2:13" customHeight="1">
      <x:c r="B27" s="78"/>
      <x:c r="C27" s="78"/>
      <x:c r="D27" s="49" t="s">
        <x:v>8</x:v>
      </x:c>
      <x:c r="E27" s="6">
        <x:f>IF(E26&lt;=14000000,E26*0.06,IF(E26&lt;=50000000,E26*0.15-1260000,IF(E26&lt;=88000000,E26*0.24-5760000,IF(E26&lt;=150000000,E26*0.35-15440000,IF(E26&lt;=300000000,E26*0.38-19940000,IF(E26&lt;=500000000,E26*0.4-25940000,IF(E26&lt;=1000000000,E26*0.42-35940000,E26*0.45-65940000)))))))</x:f>
        <x:v>1881547.6499999999</x:v>
      </x:c>
      <x:c r="F27" s="35" t="s">
        <x:v>39</x:v>
      </x:c>
      <x:c r="G27" s="3"/>
      <x:c r="H27" s="3"/>
      <x:c r="I27" s="3"/>
      <x:c r="J27" s="3" t="s">
        <x:v>32</x:v>
      </x:c>
      <x:c r="M27" t="s">
        <x:v>49</x:v>
      </x:c>
    </x:row>
    <x:row r="28" spans="2:10" customHeight="1">
      <x:c r="B28" s="76"/>
      <x:c r="C28" s="77"/>
      <x:c r="D28" s="49" t="s">
        <x:v>4</x:v>
      </x:c>
      <x:c r="E28" s="6">
        <x:f>E27*0.1</x:f>
        <x:v>188154.76500000001</x:v>
      </x:c>
      <x:c r="F28" s="35" t="s">
        <x:v>46</x:v>
      </x:c>
      <x:c r="G28" s="3"/>
      <x:c r="H28" s="3"/>
      <x:c r="I28" s="3"/>
      <x:c r="J28" s="3" t="s">
        <x:v>0</x:v>
      </x:c>
    </x:row>
    <x:row r="29" spans="2:10" customHeight="1">
      <x:c r="B29" s="79"/>
      <x:c r="C29" s="80"/>
      <x:c r="D29" s="56" t="s">
        <x:v>20</x:v>
      </x:c>
      <x:c r="E29" s="12">
        <x:f>E26-E27-E28</x:f>
        <x:v>18873948.585000001</x:v>
      </x:c>
      <x:c r="F29" s="38"/>
      <x:c r="G29" s="3"/>
      <x:c r="H29" s="3"/>
      <x:c r="I29" s="3"/>
      <x:c r="J29" s="3"/>
    </x:row>
    <x:row r="30" spans="2:10" customHeight="1">
      <x:c r="B30" s="3"/>
      <x:c r="C30" s="3"/>
      <x:c r="D30" s="5"/>
      <x:c r="E30" s="3"/>
      <x:c r="F30" s="39"/>
      <x:c r="G30" s="3"/>
      <x:c r="H30" s="3"/>
      <x:c r="I30" s="3"/>
      <x:c r="J30" s="3"/>
    </x:row>
  </x:sheetData>
  <x:mergeCells count="5">
    <x:mergeCell ref="B3:C8"/>
    <x:mergeCell ref="D3:E3"/>
    <x:mergeCell ref="B9:C9"/>
    <x:mergeCell ref="B10:C29"/>
    <x:mergeCell ref="G13:J13"/>
  </x:mergeCells>
  <x:hyperlinks>
    <x:hyperlink ref="H14:H14" r:id="rId1"/>
    <x:hyperlink ref="G13:J13" r:id="rId1"/>
    <x:hyperlink ref="G19:G19" r:id="rId2"/>
  </x:hyperlink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3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B3:R30"/>
  <x:sheetViews>
    <x:sheetView tabSelected="1" topLeftCell="A1" zoomScale="55" zoomScaleNormal="55" zoomScaleSheetLayoutView="55" workbookViewId="0">
      <x:selection activeCell="E24" activeCellId="0" sqref="E24:E24"/>
    </x:sheetView>
  </x:sheetViews>
  <x:sheetFormatPr defaultColWidth="9" defaultRowHeight="32.149999999999999" customHeight="1"/>
  <x:cols>
    <x:col min="4" max="4" width="32" style="2" bestFit="1" customWidth="1"/>
    <x:col min="5" max="5" width="24.5" customWidth="1"/>
    <x:col min="6" max="6" width="42" style="29" bestFit="1" customWidth="1"/>
    <x:col min="8" max="8" width="31.75" customWidth="1"/>
    <x:col min="9" max="9" width="31.4140625" customWidth="1"/>
    <x:col min="10" max="10" width="13.83203125" customWidth="1"/>
    <x:col min="11" max="11" width="13.25" bestFit="1" customWidth="1"/>
    <x:col min="14" max="14" width="9.58203125" customWidth="1"/>
    <x:col min="16" max="16" width="13.25" bestFit="1" customWidth="1"/>
    <x:col min="18" max="18" width="12.58203125" bestFit="1" customWidth="1"/>
  </x:cols>
  <x:sheetData>
    <x:row r="3" spans="2:10" customHeight="1">
      <x:c r="B3" s="65" t="s">
        <x:v>14</x:v>
      </x:c>
      <x:c r="C3" s="66"/>
      <x:c r="D3" s="71" t="s">
        <x:v>13</x:v>
      </x:c>
      <x:c r="E3" s="72"/>
      <x:c r="F3" s="30"/>
      <x:c r="G3" s="3"/>
      <x:c r="H3" s="61" t="s">
        <x:v>31</x:v>
      </x:c>
      <x:c r="I3" s="3"/>
      <x:c r="J3" s="3"/>
    </x:row>
    <x:row r="4" spans="2:10" customHeight="1">
      <x:c r="B4" s="67"/>
      <x:c r="C4" s="68"/>
      <x:c r="D4" s="45" t="s">
        <x:v>10</x:v>
      </x:c>
      <x:c r="E4" s="44"/>
      <x:c r="F4" s="31"/>
      <x:c r="G4" s="3"/>
      <x:c r="H4" s="62" t="s">
        <x:v>38</x:v>
      </x:c>
      <x:c r="I4" s="3"/>
      <x:c r="J4" s="3"/>
    </x:row>
    <x:row r="5" spans="2:10" customHeight="1">
      <x:c r="B5" s="67"/>
      <x:c r="C5" s="68"/>
      <x:c r="D5" s="46" t="s">
        <x:v>3</x:v>
      </x:c>
      <x:c r="E5" s="13"/>
      <x:c r="F5" s="31"/>
      <x:c r="G5" s="3"/>
      <x:c r="H5" s="3"/>
      <x:c r="I5" s="3"/>
      <x:c r="J5" s="3"/>
    </x:row>
    <x:row r="6" spans="2:10" customHeight="1">
      <x:c r="B6" s="67"/>
      <x:c r="C6" s="68"/>
      <x:c r="D6" s="46" t="s">
        <x:v>17</x:v>
      </x:c>
      <x:c r="E6" s="13"/>
      <x:c r="F6" s="31"/>
      <x:c r="G6" s="3"/>
      <x:c r="H6" s="3"/>
      <x:c r="I6" s="3"/>
      <x:c r="J6" s="3"/>
    </x:row>
    <x:row r="7" spans="2:10" customHeight="1">
      <x:c r="B7" s="67"/>
      <x:c r="C7" s="68"/>
      <x:c r="D7" s="46" t="s">
        <x:v>21</x:v>
      </x:c>
      <x:c r="E7" s="14">
        <x:f>E6*10%</x:f>
        <x:v>0</x:v>
      </x:c>
      <x:c r="F7" s="31"/>
      <x:c r="G7" s="3"/>
      <x:c r="H7" s="3"/>
      <x:c r="I7" s="3"/>
      <x:c r="J7" s="3"/>
    </x:row>
    <x:row r="8" spans="2:14" customHeight="1">
      <x:c r="B8" s="69"/>
      <x:c r="C8" s="70"/>
      <x:c r="D8" s="47" t="s">
        <x:v>12</x:v>
      </x:c>
      <x:c r="E8" s="15"/>
      <x:c r="F8" s="28" t="s">
        <x:v>35</x:v>
      </x:c>
      <x:c r="G8" s="3"/>
      <x:c r="H8" s="3"/>
      <x:c r="I8" s="24"/>
      <x:c r="J8" s="3"/>
      <x:c r="N8" s="1"/>
    </x:row>
    <x:row r="9" spans="2:16" customHeight="1">
      <x:c r="B9" s="73"/>
      <x:c r="C9" s="73"/>
      <x:c r="D9" s="48"/>
      <x:c r="E9" s="16"/>
      <x:c r="F9" s="32"/>
      <x:c r="G9" s="3"/>
      <x:c r="H9" s="42" t="s">
        <x:v>27</x:v>
      </x:c>
      <x:c r="I9" s="40"/>
      <x:c r="J9" s="25"/>
      <x:c r="K9" s="59"/>
      <x:c r="N9" s="1"/>
      <x:c r="P9" s="59"/>
    </x:row>
    <x:row r="10" spans="2:11" customHeight="1">
      <x:c r="B10" s="74" t="s">
        <x:v>9</x:v>
      </x:c>
      <x:c r="C10" s="75"/>
      <x:c r="D10" s="45" t="s">
        <x:v>50</x:v>
      </x:c>
      <x:c r="E10" s="60">
        <x:f>MIN(I10,I11)</x:f>
        <x:v>0</x:v>
      </x:c>
      <x:c r="F10" s="33" t="s">
        <x:v>57</x:v>
      </x:c>
      <x:c r="G10" s="3"/>
      <x:c r="H10" s="7" t="s">
        <x:v>23</x:v>
      </x:c>
      <x:c r="I10" s="63">
        <x:f>I9*70%</x:f>
        <x:v>0</x:v>
      </x:c>
      <x:c r="J10" s="64"/>
      <x:c r="K10" s="59"/>
    </x:row>
    <x:row r="11" spans="2:11" customHeight="1">
      <x:c r="B11" s="76"/>
      <x:c r="C11" s="77"/>
      <x:c r="D11" s="49" t="s">
        <x:v>36</x:v>
      </x:c>
      <x:c r="E11" s="19">
        <x:f>E8-E7-E10</x:f>
        <x:v>0</x:v>
      </x:c>
      <x:c r="F11" s="34" t="s">
        <x:v>54</x:v>
      </x:c>
      <x:c r="G11" s="27"/>
      <x:c r="H11" s="26" t="s">
        <x:v>22</x:v>
      </x:c>
      <x:c r="I11" s="9">
        <x:f>E8*80%</x:f>
        <x:v>0</x:v>
      </x:c>
      <x:c r="J11" s="4"/>
      <x:c r="K11" s="59"/>
    </x:row>
    <x:row r="12" spans="2:10" customHeight="1">
      <x:c r="B12" s="76"/>
      <x:c r="C12" s="77"/>
      <x:c r="D12" s="49"/>
      <x:c r="E12" s="20"/>
      <x:c r="F12" s="31"/>
      <x:c r="G12" s="3"/>
      <x:c r="H12" s="3"/>
      <x:c r="I12" s="3"/>
      <x:c r="J12" s="3"/>
    </x:row>
    <x:row r="13" spans="2:18" customHeight="1">
      <x:c r="B13" s="76"/>
      <x:c r="C13" s="77"/>
      <x:c r="D13" s="50" t="s">
        <x:v>40</x:v>
      </x:c>
      <x:c r="E13" s="21"/>
      <x:c r="F13" s="35" t="s">
        <x:v>55</x:v>
      </x:c>
      <x:c r="G13" s="81" t="s">
        <x:v>30</x:v>
      </x:c>
      <x:c r="H13" s="81"/>
      <x:c r="I13" s="81"/>
      <x:c r="J13" s="81"/>
      <x:c r="R13" s="57"/>
    </x:row>
    <x:row r="14" spans="2:10" customHeight="1">
      <x:c r="B14" s="76"/>
      <x:c r="C14" s="77"/>
      <x:c r="D14" s="50" t="s">
        <x:v>37</x:v>
      </x:c>
      <x:c r="E14" s="22">
        <x:v>0</x:v>
      </x:c>
      <x:c r="F14" s="31" t="s">
        <x:v>25</x:v>
      </x:c>
      <x:c r="G14" s="3"/>
      <x:c r="H14" s="43"/>
      <x:c r="I14" s="3"/>
      <x:c r="J14" s="3"/>
    </x:row>
    <x:row r="15" spans="2:10" customHeight="1">
      <x:c r="B15" s="76"/>
      <x:c r="C15" s="77"/>
      <x:c r="D15" s="50" t="s">
        <x:v>44</x:v>
      </x:c>
      <x:c r="E15" s="22"/>
      <x:c r="F15" s="31"/>
      <x:c r="G15" s="3"/>
      <x:c r="H15" s="3"/>
      <x:c r="I15" s="3"/>
      <x:c r="J15" s="3"/>
    </x:row>
    <x:row r="16" spans="2:10" customHeight="1">
      <x:c r="B16" s="76"/>
      <x:c r="C16" s="77"/>
      <x:c r="D16" s="50" t="s">
        <x:v>7</x:v>
      </x:c>
      <x:c r="E16" s="22"/>
      <x:c r="F16" s="31"/>
      <x:c r="G16" s="3"/>
      <x:c r="H16" s="3"/>
      <x:c r="I16" s="3"/>
      <x:c r="J16" s="3"/>
    </x:row>
    <x:row r="17" spans="2:10" customHeight="1">
      <x:c r="B17" s="76"/>
      <x:c r="C17" s="77"/>
      <x:c r="D17" s="50" t="s">
        <x:v>5</x:v>
      </x:c>
      <x:c r="E17" s="19">
        <x:f>(E10*4.5%/12)*4</x:f>
        <x:v>0</x:v>
      </x:c>
      <x:c r="F17" s="31" t="s">
        <x:v>53</x:v>
      </x:c>
      <x:c r="G17" s="3"/>
      <x:c r="H17" s="3"/>
      <x:c r="I17" s="3"/>
      <x:c r="J17" s="3"/>
    </x:row>
    <x:row r="18" spans="2:10" customHeight="1">
      <x:c r="B18" s="76"/>
      <x:c r="C18" s="77"/>
      <x:c r="D18" s="50" t="s">
        <x:v>41</x:v>
      </x:c>
      <x:c r="E18" s="21">
        <x:v>0</x:v>
      </x:c>
      <x:c r="F18" s="35" t="s">
        <x:v>28</x:v>
      </x:c>
      <x:c r="G18" s="3"/>
      <x:c r="H18" s="3"/>
      <x:c r="I18" s="3"/>
      <x:c r="J18" s="3"/>
    </x:row>
    <x:row r="19" spans="2:10" customHeight="1">
      <x:c r="B19" s="76"/>
      <x:c r="C19" s="77"/>
      <x:c r="D19" s="50" t="s">
        <x:v>34</x:v>
      </x:c>
      <x:c r="E19" s="21"/>
      <x:c r="F19" s="35" t="s">
        <x:v>43</x:v>
      </x:c>
      <x:c r="G19" s="58" t="s">
        <x:v>48</x:v>
      </x:c>
      <x:c r="H19" s="3"/>
      <x:c r="I19" s="3"/>
      <x:c r="J19" s="3"/>
    </x:row>
    <x:row r="20" spans="2:10" customHeight="1">
      <x:c r="B20" s="76"/>
      <x:c r="C20" s="77"/>
      <x:c r="D20" s="51" t="s">
        <x:v>15</x:v>
      </x:c>
      <x:c r="E20" s="23">
        <x:f>SUM(E13:E19)</x:f>
        <x:v>0</x:v>
      </x:c>
      <x:c r="F20" s="31" t="s">
        <x:v>52</x:v>
      </x:c>
      <x:c r="G20" s="3"/>
      <x:c r="H20" s="3"/>
      <x:c r="I20" s="3"/>
      <x:c r="J20" s="3"/>
    </x:row>
    <x:row r="21" spans="2:10" customHeight="1">
      <x:c r="B21" s="78"/>
      <x:c r="C21" s="78"/>
      <x:c r="D21" s="52" t="s">
        <x:v>11</x:v>
      </x:c>
      <x:c r="E21" s="17">
        <x:f>E20+E11+E7</x:f>
        <x:v>0</x:v>
      </x:c>
      <x:c r="F21" s="36" t="s">
        <x:v>24</x:v>
      </x:c>
      <x:c r="G21" s="3"/>
      <x:c r="H21" s="3"/>
      <x:c r="I21" s="3"/>
      <x:c r="J21" s="3"/>
    </x:row>
    <x:row r="22" spans="2:15" customHeight="1">
      <x:c r="B22" s="76"/>
      <x:c r="C22" s="73"/>
      <x:c r="D22" s="53"/>
      <x:c r="E22" s="11"/>
      <x:c r="F22" s="37"/>
      <x:c r="G22" s="3"/>
      <x:c r="H22" s="3"/>
      <x:c r="I22" s="3"/>
      <x:c r="J22" s="3"/>
      <x:c r="O22" t="s">
        <x:v>49</x:v>
      </x:c>
    </x:row>
    <x:row r="23" spans="2:10" customHeight="1">
      <x:c r="B23" s="76"/>
      <x:c r="C23" s="77"/>
      <x:c r="D23" s="54" t="s">
        <x:v>16</x:v>
      </x:c>
      <x:c r="E23" s="41"/>
      <x:c r="F23" s="33" t="s">
        <x:v>56</x:v>
      </x:c>
      <x:c r="G23" s="3"/>
      <x:c r="H23" s="3"/>
      <x:c r="I23" s="3"/>
      <x:c r="J23" s="3"/>
    </x:row>
    <x:row r="24" spans="2:10" customHeight="1">
      <x:c r="B24" s="76"/>
      <x:c r="C24" s="73"/>
      <x:c r="D24" s="55" t="s">
        <x:v>6</x:v>
      </x:c>
      <x:c r="E24" s="10"/>
      <x:c r="F24" s="35" t="s">
        <x:v>29</x:v>
      </x:c>
      <x:c r="G24" s="3"/>
      <x:c r="H24" s="3"/>
      <x:c r="I24" s="3"/>
      <x:c r="J24" s="3"/>
    </x:row>
    <x:row r="25" spans="2:10" customHeight="1">
      <x:c r="B25" s="76"/>
      <x:c r="C25" s="73"/>
      <x:c r="D25" s="49" t="s">
        <x:v>18</x:v>
      </x:c>
      <x:c r="E25" s="6">
        <x:f>E20</x:f>
        <x:v>0</x:v>
      </x:c>
      <x:c r="F25" s="35" t="s">
        <x:v>19</x:v>
      </x:c>
      <x:c r="G25" s="3"/>
      <x:c r="H25" s="3"/>
      <x:c r="I25" s="3"/>
      <x:c r="J25" s="3" t="s">
        <x:v>2</x:v>
      </x:c>
    </x:row>
    <x:row r="26" spans="2:10" customHeight="1">
      <x:c r="B26" s="76"/>
      <x:c r="C26" s="77"/>
      <x:c r="D26" s="49" t="s">
        <x:v>33</x:v>
      </x:c>
      <x:c r="E26" s="6">
        <x:f>E23-E24-E25</x:f>
        <x:v>0</x:v>
      </x:c>
      <x:c r="F26" s="35" t="s">
        <x:v>26</x:v>
      </x:c>
      <x:c r="G26" s="3"/>
      <x:c r="H26" s="3"/>
      <x:c r="I26" s="3"/>
      <x:c r="J26" s="3" t="s">
        <x:v>1</x:v>
      </x:c>
    </x:row>
    <x:row r="27" spans="2:13" customHeight="1">
      <x:c r="B27" s="78"/>
      <x:c r="C27" s="78"/>
      <x:c r="D27" s="49" t="s">
        <x:v>8</x:v>
      </x:c>
      <x:c r="E27" s="6">
        <x:f>IF(E26&lt;=14000000,E26*0.06,IF(E26&lt;=50000000,E26*0.15-1260000,IF(E26&lt;=88000000,E26*0.24-5760000,IF(E26&lt;=150000000,E26*0.35-15440000,IF(E26&lt;=300000000,E26*0.38-19940000,IF(E26&lt;=500000000,E26*0.4-25940000,IF(E26&lt;=1000000000,E26*0.42-35940000,E26*0.45-65940000)))))))</x:f>
        <x:v>0</x:v>
      </x:c>
      <x:c r="F27" s="35" t="s">
        <x:v>39</x:v>
      </x:c>
      <x:c r="G27" s="3"/>
      <x:c r="H27" s="3"/>
      <x:c r="I27" s="3"/>
      <x:c r="J27" s="3" t="s">
        <x:v>32</x:v>
      </x:c>
      <x:c r="M27" t="s">
        <x:v>49</x:v>
      </x:c>
    </x:row>
    <x:row r="28" spans="2:10" customHeight="1">
      <x:c r="B28" s="76"/>
      <x:c r="C28" s="77"/>
      <x:c r="D28" s="49" t="s">
        <x:v>4</x:v>
      </x:c>
      <x:c r="E28" s="6">
        <x:f>E27*0.1</x:f>
        <x:v>0</x:v>
      </x:c>
      <x:c r="F28" s="35" t="s">
        <x:v>46</x:v>
      </x:c>
      <x:c r="G28" s="3"/>
      <x:c r="H28" s="3"/>
      <x:c r="I28" s="3"/>
      <x:c r="J28" s="3" t="s">
        <x:v>0</x:v>
      </x:c>
    </x:row>
    <x:row r="29" spans="2:10" customHeight="1">
      <x:c r="B29" s="79"/>
      <x:c r="C29" s="80"/>
      <x:c r="D29" s="56" t="s">
        <x:v>20</x:v>
      </x:c>
      <x:c r="E29" s="12">
        <x:f>E26-E27-E28</x:f>
        <x:v>0</x:v>
      </x:c>
      <x:c r="F29" s="38"/>
      <x:c r="G29" s="3"/>
      <x:c r="H29" s="3"/>
      <x:c r="I29" s="3"/>
      <x:c r="J29" s="3"/>
    </x:row>
    <x:row r="30" spans="2:10" customHeight="1">
      <x:c r="B30" s="3"/>
      <x:c r="C30" s="3"/>
      <x:c r="D30" s="5"/>
      <x:c r="E30" s="3"/>
      <x:c r="F30" s="39"/>
      <x:c r="G30" s="3"/>
      <x:c r="H30" s="3"/>
      <x:c r="I30" s="3"/>
      <x:c r="J30" s="3"/>
    </x:row>
  </x:sheetData>
  <x:mergeCells count="5">
    <x:mergeCell ref="B3:C8"/>
    <x:mergeCell ref="D3:E3"/>
    <x:mergeCell ref="B9:C9"/>
    <x:mergeCell ref="B10:C29"/>
    <x:mergeCell ref="G13:J13"/>
  </x:mergeCells>
  <x:hyperlinks>
    <x:hyperlink ref="H14:H14" r:id="rId1"/>
    <x:hyperlink ref="G13:J13" r:id="rId1"/>
    <x:hyperlink ref="G19:G19" r:id="rId2"/>
  </x:hyperlink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3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세종아파트 102동 201호</vt:lpstr>
      <vt:lpstr>둥지마을</vt:lpstr>
      <vt:lpstr>공주 새뜸현대 302동 202호(공매)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Seoyeon Lee</dc:creator>
  <cp:lastModifiedBy>박기정방성욱컴퓨터</cp:lastModifiedBy>
  <cp:revision>14</cp:revision>
  <dcterms:created xsi:type="dcterms:W3CDTF">2024-11-08T02:50:57.000</dcterms:created>
  <dcterms:modified xsi:type="dcterms:W3CDTF">2026-01-27T04:11:08.109</dcterms:modified>
  <cp:version>0906.0200.01</cp:version>
</cp:coreProperties>
</file>