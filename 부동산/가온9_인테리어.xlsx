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git\csw\부동산\"/>
    </mc:Choice>
  </mc:AlternateContent>
  <xr:revisionPtr revIDLastSave="0" documentId="13_ncr:1_{1BC67273-9843-47A5-8B6F-555607FEEE3D}" xr6:coauthVersionLast="47" xr6:coauthVersionMax="47" xr10:uidLastSave="{00000000-0000-0000-0000-000000000000}"/>
  <bookViews>
    <workbookView xWindow="28680" yWindow="4500" windowWidth="29040" windowHeight="15720" xr2:uid="{45F77FF4-D7D6-4945-9C9C-423D097BBE1D}"/>
  </bookViews>
  <sheets>
    <sheet name="일정" sheetId="2" r:id="rId1"/>
    <sheet name="예산" sheetId="1" r:id="rId2"/>
    <sheet name="식세기장" sheetId="8" r:id="rId3"/>
    <sheet name="마루" sheetId="3" r:id="rId4"/>
    <sheet name="도배" sheetId="5" r:id="rId5"/>
    <sheet name="전기_목공" sheetId="4" r:id="rId6"/>
    <sheet name="이사" sheetId="6" r:id="rId7"/>
    <sheet name="입주청소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<sst xmlns="http://schemas.openxmlformats.org/spreadsheetml/2006/main" count="215" uniqueCount="163">
  <si>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</si>
  <si>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</si>
  <si>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</si>
  <si>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</si>
  <si>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</si>
  <si>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</si>
  <si>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</si>
  <si>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</si>
  <si>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</si>
  <si>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</si>
  <si>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</si>
  <si>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</si>
  <si>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</si>
  <si>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</si>
  <si>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</si>
  <si>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</si>
  <si>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</si>
  <si>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</si>
  <si>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</si>
  <si>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</si>
  <si>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</si>
  <si>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</si>
  <si>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</si>
  <si>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</si>
  <si>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</si>
  <si>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</si>
  <si>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</si>
  <si>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</si>
  <si>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</si>
  <si>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</si>
  <si>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</si>
  <si>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</si>
  <si>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</si>
  <si>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</si>
  <si>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</si>
  <si>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</si>
  <si>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</si>
  <si>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</si>
  <si>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</si>
  <si>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</si>
  <si>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</si>
  <si>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</si>
  <si>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</si>
  <si>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</si>
  <si>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</si>
  <si>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</si>
  <si>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</si>
  <si>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</si>
  <si>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</si>
  <si>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</si>
  <si>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</si>
  <si>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</si>
  <si>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</si>
  <si>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</si>
  <si>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</si>
  <si>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</si>
  <si>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</si>
  <si>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</si>
  <si>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</si>
  <si>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</si>
  <si>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</si>
  <si>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</si>
  <si>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</si>
  <si>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</si>
  <si>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</si>
  <si>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</si>
  <si>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</si>
  <si>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</si>
  <si>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</si>
  <si>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</si>
  <si>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</si>
  <si>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</si>
  <si>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</si>
  <si>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</si>
  <si>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</si>
  <si>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</si>
  <si>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</si>
  <si>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</si>
  <si>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</si>
  <si>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</si>
  <si>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</si>
  <si>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</si>
  <si>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</si>
  <si>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</si>
  <si>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</si>
  <si>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</si>
  <si>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</si>
  <si>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</si>
  <si>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</si>
  <si>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</si>
  <si>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</si>
  <si>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</si>
  <si>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</si>
  <si>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</si>
  <si>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</si>
  <si>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</si>
  <si>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</si>
  <si>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</si>
  <si>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</si>
  <si>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</si>
  <si>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</si>
  <si>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</si>
  <si>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</si>
  <si>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</si>
  <si>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</si>
  <si>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</si>
  <si>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</si>
  <si>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</si>
  <si>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</si>
  <si>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토브홈케어
입주청소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</si>
  <si>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</si>
  <si>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</si>
  <si>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</si>
  <si>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</si>
  <si>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</si>
  <si>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</si>
  <si>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</si>
  <si>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</si>
  <si>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</si>
  <si>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</si>
  <si>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</si>
  <si>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</si>
  <si>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</si>
  <si>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</si>
  <si>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</si>
  <si>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</si>
  <si>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</si>
  <si>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</si>
  <si>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</si>
  <si>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</si>
  <si>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</si>
  <si>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</si>
  <si>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</si>
  <si>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</si>
  <si>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</si>
  <si>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</si>
  <si>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</si>
  <si>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</si>
  <si>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</si>
  <si>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</si>
  <si>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</si>
  <si>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자재비
ps101 : 17.3만원
ps170 : 6.8만원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</si>
  <si>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</si>
  <si>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</si>
  <si>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</si>
  <si>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</si>
  <si>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</si>
  <si>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</si>
  <si>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아라 익스프레스 이사
정수기 철거(오전 8-10시)
정수기 설치(오후 3시 이후)</t>
    <phoneticPr fontId="2" type="noConversion"/>
  </si>
  <si>
    <t>방문당일 결제예정
철거 : 3.4만원
설치 : 4.9만원</t>
    <phoneticPr fontId="2" type="noConversion"/>
  </si>
  <si>
    <t>목공/전기
도시가스 철거</t>
    <phoneticPr fontId="2" type="noConversion"/>
  </si>
  <si>
    <t>뽀빠이 집수리</t>
    <phoneticPr fontId="2" type="noConversion"/>
  </si>
  <si>
    <t>식세기 장 설치</t>
    <phoneticPr fontId="2" type="noConversion"/>
  </si>
  <si>
    <t>원상복구</t>
    <phoneticPr fontId="2" type="noConversion"/>
  </si>
  <si>
    <t>현이네홈케어</t>
    <phoneticPr fontId="2" type="noConversion"/>
  </si>
  <si>
    <t>더원매직</t>
    <phoneticPr fontId="2" type="noConversion"/>
  </si>
  <si>
    <t>복구, 설치 동시진행 시 만원 할인</t>
    <phoneticPr fontId="2" type="noConversion"/>
  </si>
  <si>
    <t>맘카페</t>
    <phoneticPr fontId="2" type="noConversion"/>
  </si>
  <si>
    <t>싱크대 아저씨</t>
    <phoneticPr fontId="2" type="noConversion"/>
  </si>
  <si>
    <t>1.10 토</t>
    <phoneticPr fontId="2" type="noConversion"/>
  </si>
  <si>
    <t>로봇청소기 장 : 19만원
광파오븐 : 테두리 마감 - 금액 확인 필요</t>
    <phoneticPr fontId="2" type="noConversion"/>
  </si>
  <si>
    <t>설치 : 16만원
철거 : 15만원
로청장 : 19만원
광파오븐장 : ?</t>
    <phoneticPr fontId="2" type="noConversion"/>
  </si>
  <si>
    <t>식세기 장 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</si>
</sst>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6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0" borderId="1" xfId="0" applyBorder="1" applyAlignment="1">
      <alignment vertical="center"/>
    </xf>
    <xf numFmtId="0" fontId="0" fillId="5" borderId="1" xfId="0" applyFill="1" applyBorder="1" applyAlignment="1">
      <alignment vertical="center"/>
    </xf>
    <xf numFmtId="3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12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abSelected="1" workbookViewId="0">
      <selection activeCell="G13" sqref="G13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13.75" bestFit="1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70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71</v>
      </c>
    </row>
    <row r="9" spans="1:15" ht="66" x14ac:dyDescent="0.3">
      <c r="A9" s="43" t="s">
        <v>97</v>
      </c>
      <c r="B9" s="46" t="s">
        <v>101</v>
      </c>
      <c r="C9" s="21" t="s">
        <v>136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12"/>
      <c r="B11" s="12"/>
      <c r="C11" s="12"/>
      <c r="D11" s="42" t="s">
        <v>51</v>
      </c>
      <c r="E11" s="12"/>
      <c r="F11" s="46" t="s">
        <v>150</v>
      </c>
      <c r="G11" s="85" t="s">
        <v>162</v>
      </c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49.5" x14ac:dyDescent="0.3">
      <c r="A13" s="48" t="s">
        <v>55</v>
      </c>
      <c r="B13" s="12"/>
      <c r="C13" s="12"/>
      <c r="D13" s="46" t="s">
        <v>137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/>
      <c r="C15" s="12"/>
      <c r="D15" s="12"/>
      <c r="E15" s="12"/>
      <c r="F15" s="21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50.25" thickBot="1" x14ac:dyDescent="0.35">
      <c r="A17" s="44" t="s">
        <v>53</v>
      </c>
      <c r="B17" s="41"/>
      <c r="C17" s="41"/>
      <c r="D17" s="56" t="s">
        <v>98</v>
      </c>
      <c r="E17" s="47"/>
      <c r="F17" s="64" t="s">
        <v>109</v>
      </c>
      <c r="G17" s="59" t="s">
        <v>148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workbookViewId="0">
      <selection activeCell="C13" sqref="C13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21.375" bestFit="1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81</v>
      </c>
      <c r="D1" s="68" t="s">
        <v>19</v>
      </c>
      <c r="E1" s="69" t="s">
        <v>20</v>
      </c>
    </row>
    <row r="2" spans="1:9" ht="99" x14ac:dyDescent="0.3">
      <c r="A2" s="6" t="s">
        <v>7</v>
      </c>
      <c r="B2" s="70">
        <v>46020</v>
      </c>
      <c r="C2" s="57" t="s">
        <v>138</v>
      </c>
      <c r="D2" s="3">
        <v>5300000</v>
      </c>
      <c r="E2" s="50">
        <v>5444000</v>
      </c>
    </row>
    <row r="3" spans="1:9" ht="49.5" x14ac:dyDescent="0.3">
      <c r="A3" s="2" t="s">
        <v>9</v>
      </c>
      <c r="B3" s="12"/>
      <c r="C3" s="63" t="s">
        <v>141</v>
      </c>
      <c r="D3" s="3">
        <v>1000000</v>
      </c>
      <c r="E3" s="5">
        <v>241000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130</v>
      </c>
      <c r="C5" s="2" t="s">
        <v>140</v>
      </c>
      <c r="D5" s="3">
        <v>350000</v>
      </c>
      <c r="E5" s="71">
        <v>350000</v>
      </c>
      <c r="H5" t="s">
        <v>25</v>
      </c>
    </row>
    <row r="6" spans="1:9" ht="33" x14ac:dyDescent="0.3">
      <c r="A6" s="4" t="s">
        <v>13</v>
      </c>
      <c r="B6" s="12" t="s">
        <v>129</v>
      </c>
      <c r="C6" s="63" t="s">
        <v>142</v>
      </c>
      <c r="D6" s="3">
        <v>472300</v>
      </c>
      <c r="E6" s="71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129</v>
      </c>
      <c r="C7" s="2"/>
      <c r="D7" s="3">
        <v>800000</v>
      </c>
      <c r="E7" s="71">
        <v>800000</v>
      </c>
    </row>
    <row r="8" spans="1:9" x14ac:dyDescent="0.3">
      <c r="A8" s="2" t="s">
        <v>143</v>
      </c>
      <c r="B8" s="12"/>
      <c r="C8" s="2"/>
      <c r="D8" s="3">
        <v>41565</v>
      </c>
      <c r="E8" s="71">
        <v>41565</v>
      </c>
    </row>
    <row r="9" spans="1:9" ht="33" x14ac:dyDescent="0.3">
      <c r="A9" s="4" t="s">
        <v>35</v>
      </c>
      <c r="B9" s="12" t="s">
        <v>131</v>
      </c>
      <c r="C9" s="63" t="s">
        <v>139</v>
      </c>
      <c r="D9" s="3">
        <v>2980000</v>
      </c>
      <c r="E9" s="71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71">
        <v>2700000</v>
      </c>
    </row>
    <row r="11" spans="1:9" ht="49.5" x14ac:dyDescent="0.3">
      <c r="A11" s="2" t="s">
        <v>147</v>
      </c>
      <c r="B11" s="12"/>
      <c r="C11" s="63" t="s">
        <v>149</v>
      </c>
      <c r="D11" s="3">
        <v>83000</v>
      </c>
      <c r="E11" s="71">
        <v>83000</v>
      </c>
    </row>
    <row r="12" spans="1:9" ht="82.5" x14ac:dyDescent="0.3">
      <c r="A12" s="2" t="s">
        <v>145</v>
      </c>
      <c r="B12" s="12"/>
      <c r="C12" s="63" t="s">
        <v>161</v>
      </c>
      <c r="D12" s="3">
        <v>350000</v>
      </c>
      <c r="E12" s="5"/>
    </row>
    <row r="13" spans="1:9" x14ac:dyDescent="0.3">
      <c r="A13" s="4"/>
      <c r="B13" s="12"/>
      <c r="C13" s="2"/>
      <c r="D13" s="3"/>
      <c r="E13" s="5"/>
    </row>
    <row r="14" spans="1:9" x14ac:dyDescent="0.3">
      <c r="A14" s="4" t="s">
        <v>146</v>
      </c>
      <c r="B14" s="12"/>
      <c r="C14" s="2"/>
      <c r="D14" s="3">
        <v>1000000</v>
      </c>
      <c r="E14" s="5"/>
    </row>
    <row r="15" spans="1:9" x14ac:dyDescent="0.3">
      <c r="A15" s="2" t="s">
        <v>16</v>
      </c>
      <c r="B15" s="12"/>
      <c r="C15" s="2"/>
      <c r="D15" s="3">
        <v>1500000</v>
      </c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132</v>
      </c>
      <c r="C19" s="2" t="s">
        <v>110</v>
      </c>
      <c r="D19" s="3">
        <v>450000</v>
      </c>
      <c r="E19" s="71">
        <v>450000</v>
      </c>
    </row>
    <row r="20" spans="1:5" x14ac:dyDescent="0.3">
      <c r="A20" s="4" t="s">
        <v>12</v>
      </c>
      <c r="B20" s="12" t="s">
        <v>133</v>
      </c>
      <c r="C20" s="2" t="s">
        <v>111</v>
      </c>
      <c r="D20" s="3">
        <v>1450000</v>
      </c>
      <c r="E20" s="71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18476865</v>
      </c>
      <c r="E22" s="11">
        <f>SUM(E2:E21)</f>
        <v>15011865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C661-8E84-49E6-9E10-7A8202BDFF7E}">
  <dimension ref="B5:F16"/>
  <sheetViews>
    <sheetView workbookViewId="0">
      <selection activeCell="F15" sqref="F15:F16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47.75" bestFit="1" customWidth="1"/>
    <col min="7" max="7" width="30.875" customWidth="1"/>
    <col min="8" max="8" width="7" bestFit="1" customWidth="1"/>
    <col min="9" max="9" width="32" bestFit="1" customWidth="1"/>
  </cols>
  <sheetData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78" t="s">
        <v>151</v>
      </c>
      <c r="C7" s="76">
        <v>280000</v>
      </c>
      <c r="D7" s="77" t="s">
        <v>153</v>
      </c>
      <c r="E7" s="78"/>
      <c r="F7" s="78"/>
    </row>
    <row r="8" spans="2:6" x14ac:dyDescent="0.3">
      <c r="B8" s="79"/>
      <c r="C8" s="76">
        <v>260000</v>
      </c>
      <c r="D8" s="77" t="s">
        <v>152</v>
      </c>
      <c r="E8" s="79"/>
      <c r="F8" s="79"/>
    </row>
    <row r="9" spans="2:6" x14ac:dyDescent="0.3">
      <c r="B9" s="78" t="s">
        <v>154</v>
      </c>
      <c r="C9" s="76">
        <v>300000</v>
      </c>
      <c r="D9" s="77" t="s">
        <v>153</v>
      </c>
      <c r="E9" s="78"/>
      <c r="F9" s="78"/>
    </row>
    <row r="10" spans="2:6" x14ac:dyDescent="0.3">
      <c r="B10" s="79"/>
      <c r="C10" s="76">
        <v>300000</v>
      </c>
      <c r="D10" s="77" t="s">
        <v>152</v>
      </c>
      <c r="E10" s="79"/>
      <c r="F10" s="79"/>
    </row>
    <row r="11" spans="2:6" x14ac:dyDescent="0.3">
      <c r="B11" s="78" t="s">
        <v>155</v>
      </c>
      <c r="C11" s="76">
        <v>230000</v>
      </c>
      <c r="D11" s="77" t="s">
        <v>153</v>
      </c>
      <c r="E11" s="78"/>
      <c r="F11" s="78" t="s">
        <v>156</v>
      </c>
    </row>
    <row r="12" spans="2:6" x14ac:dyDescent="0.3">
      <c r="B12" s="79"/>
      <c r="C12" s="76">
        <v>190000</v>
      </c>
      <c r="D12" s="77" t="s">
        <v>152</v>
      </c>
      <c r="E12" s="79"/>
      <c r="F12" s="79"/>
    </row>
    <row r="13" spans="2:6" x14ac:dyDescent="0.3">
      <c r="B13" s="78" t="s">
        <v>157</v>
      </c>
      <c r="C13" s="76">
        <v>150000</v>
      </c>
      <c r="D13" s="77" t="s">
        <v>153</v>
      </c>
      <c r="E13" s="78" t="s">
        <v>159</v>
      </c>
      <c r="F13" s="84" t="s">
        <v>160</v>
      </c>
    </row>
    <row r="14" spans="2:6" x14ac:dyDescent="0.3">
      <c r="B14" s="79"/>
      <c r="C14" s="76">
        <v>160000</v>
      </c>
      <c r="D14" s="77" t="s">
        <v>152</v>
      </c>
      <c r="E14" s="79"/>
      <c r="F14" s="79"/>
    </row>
    <row r="15" spans="2:6" x14ac:dyDescent="0.3">
      <c r="B15" s="78" t="s">
        <v>158</v>
      </c>
      <c r="C15" s="76"/>
      <c r="D15" s="77" t="s">
        <v>153</v>
      </c>
      <c r="E15" s="78"/>
      <c r="F15" s="78"/>
    </row>
    <row r="16" spans="2:6" x14ac:dyDescent="0.3">
      <c r="B16" s="79"/>
      <c r="C16" s="76"/>
      <c r="D16" s="77" t="s">
        <v>152</v>
      </c>
      <c r="E16" s="79"/>
      <c r="F16" s="79"/>
    </row>
  </sheetData>
  <mergeCells count="15">
    <mergeCell ref="B7:B8"/>
    <mergeCell ref="E7:E8"/>
    <mergeCell ref="F7:F8"/>
    <mergeCell ref="B9:B10"/>
    <mergeCell ref="E9:E10"/>
    <mergeCell ref="F9:F10"/>
    <mergeCell ref="B15:B16"/>
    <mergeCell ref="E15:E16"/>
    <mergeCell ref="F15:F16"/>
    <mergeCell ref="B11:B12"/>
    <mergeCell ref="E11:E12"/>
    <mergeCell ref="F11:F12"/>
    <mergeCell ref="B13:B14"/>
    <mergeCell ref="E13:E14"/>
    <mergeCell ref="F13:F1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7" sqref="H7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80" t="s">
        <v>33</v>
      </c>
      <c r="G4" s="81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>
        <v>150000</v>
      </c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sheetPr>
    <tabColor theme="9" tint="0.79998168889431442"/>
  </sheetPr>
  <dimension ref="B2:F10"/>
  <sheetViews>
    <sheetView workbookViewId="0">
      <selection activeCell="D23" sqref="D2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44</v>
      </c>
      <c r="C2" s="12" t="s">
        <v>40</v>
      </c>
    </row>
    <row r="3" spans="2:6" x14ac:dyDescent="0.3">
      <c r="B3" s="12" t="s">
        <v>43</v>
      </c>
      <c r="C3" s="12" t="s">
        <v>64</v>
      </c>
    </row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82" t="s">
        <v>65</v>
      </c>
      <c r="C7" s="72">
        <v>2700000</v>
      </c>
      <c r="D7" s="75" t="s">
        <v>41</v>
      </c>
      <c r="E7" s="82">
        <v>1.23</v>
      </c>
      <c r="F7" s="82"/>
    </row>
    <row r="8" spans="2:6" x14ac:dyDescent="0.3">
      <c r="B8" s="83"/>
      <c r="C8" s="72">
        <v>2600000</v>
      </c>
      <c r="D8" s="75" t="s">
        <v>42</v>
      </c>
      <c r="E8" s="83"/>
      <c r="F8" s="83"/>
    </row>
    <row r="9" spans="2:6" ht="49.5" x14ac:dyDescent="0.3">
      <c r="B9" s="12" t="s">
        <v>66</v>
      </c>
      <c r="C9" s="66">
        <v>3200000</v>
      </c>
      <c r="D9" s="74" t="s">
        <v>99</v>
      </c>
      <c r="E9" s="12"/>
      <c r="F9" s="42" t="s">
        <v>100</v>
      </c>
    </row>
    <row r="10" spans="2:6" ht="33" x14ac:dyDescent="0.3">
      <c r="B10" s="42" t="s">
        <v>144</v>
      </c>
      <c r="C10" s="12"/>
      <c r="D10" s="74" t="s">
        <v>67</v>
      </c>
      <c r="E10" s="12" t="s">
        <v>135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80</v>
      </c>
      <c r="N9" s="55" t="s">
        <v>81</v>
      </c>
      <c r="O9" s="55" t="s">
        <v>17</v>
      </c>
      <c r="P9" s="55" t="s">
        <v>87</v>
      </c>
    </row>
    <row r="10" spans="12:16" ht="33" x14ac:dyDescent="0.3">
      <c r="L10" s="63" t="s">
        <v>116</v>
      </c>
      <c r="M10" s="66"/>
      <c r="N10" s="2" t="s">
        <v>112</v>
      </c>
      <c r="O10" s="12"/>
      <c r="P10" s="12"/>
    </row>
    <row r="11" spans="12:16" ht="33" x14ac:dyDescent="0.3">
      <c r="L11" s="63" t="s">
        <v>117</v>
      </c>
      <c r="M11" s="66">
        <v>800000</v>
      </c>
      <c r="N11" s="2"/>
      <c r="O11" s="12">
        <v>1.9</v>
      </c>
      <c r="P11" s="12" t="s">
        <v>125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118</v>
      </c>
      <c r="M13" s="12"/>
      <c r="N13" s="2"/>
      <c r="O13" s="12"/>
      <c r="P13" s="12"/>
    </row>
    <row r="14" spans="12:16" ht="33" x14ac:dyDescent="0.3">
      <c r="L14" s="65" t="s">
        <v>119</v>
      </c>
      <c r="M14" s="72">
        <v>340000</v>
      </c>
      <c r="N14" s="65" t="s">
        <v>113</v>
      </c>
      <c r="O14" s="21">
        <v>1.9</v>
      </c>
      <c r="P14" s="21" t="s">
        <v>124</v>
      </c>
    </row>
    <row r="15" spans="12:16" ht="33" x14ac:dyDescent="0.3">
      <c r="L15" s="63" t="s">
        <v>120</v>
      </c>
      <c r="M15" s="66">
        <v>600000</v>
      </c>
      <c r="N15" s="2" t="s">
        <v>122</v>
      </c>
      <c r="O15" s="12"/>
      <c r="P15" s="12"/>
    </row>
    <row r="16" spans="12:16" ht="33" x14ac:dyDescent="0.3">
      <c r="L16" s="63" t="s">
        <v>121</v>
      </c>
      <c r="M16" s="66">
        <v>400000</v>
      </c>
      <c r="N16" s="63" t="s">
        <v>115</v>
      </c>
      <c r="O16" s="12"/>
      <c r="P16" s="12"/>
    </row>
    <row r="17" spans="5:16" ht="33" x14ac:dyDescent="0.3">
      <c r="L17" s="63" t="s">
        <v>123</v>
      </c>
      <c r="M17" s="66">
        <v>430000</v>
      </c>
      <c r="N17" s="63" t="s">
        <v>114</v>
      </c>
      <c r="O17" s="12"/>
      <c r="P17" s="12"/>
    </row>
    <row r="18" spans="5:16" x14ac:dyDescent="0.3">
      <c r="L18" s="63" t="s">
        <v>58</v>
      </c>
      <c r="M18" s="66"/>
      <c r="N18" s="63" t="s">
        <v>126</v>
      </c>
      <c r="O18" s="12"/>
      <c r="P18" s="12"/>
    </row>
    <row r="20" spans="5:16" x14ac:dyDescent="0.3">
      <c r="L20" s="67" t="s">
        <v>127</v>
      </c>
    </row>
    <row r="21" spans="5:16" ht="49.5" x14ac:dyDescent="0.3">
      <c r="L21" s="73" t="s">
        <v>59</v>
      </c>
      <c r="M21" s="72">
        <v>800000</v>
      </c>
      <c r="N21" s="65" t="s">
        <v>128</v>
      </c>
      <c r="O21" s="21">
        <v>1.9</v>
      </c>
      <c r="P21" s="21" t="s">
        <v>124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K17" sqref="K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68</v>
      </c>
    </row>
    <row r="5" spans="9:22" x14ac:dyDescent="0.3">
      <c r="R5" s="55" t="s">
        <v>18</v>
      </c>
      <c r="S5" s="55" t="s">
        <v>80</v>
      </c>
      <c r="T5" s="55" t="s">
        <v>81</v>
      </c>
      <c r="U5" s="55" t="s">
        <v>17</v>
      </c>
      <c r="V5" s="55" t="s">
        <v>87</v>
      </c>
    </row>
    <row r="6" spans="9:22" ht="115.5" x14ac:dyDescent="0.3">
      <c r="R6" s="54" t="s">
        <v>69</v>
      </c>
      <c r="S6" s="54">
        <v>1800000</v>
      </c>
      <c r="T6" s="52" t="s">
        <v>82</v>
      </c>
      <c r="U6" s="54" t="s">
        <v>84</v>
      </c>
      <c r="V6" s="54" t="s">
        <v>88</v>
      </c>
    </row>
    <row r="7" spans="9:22" ht="99" x14ac:dyDescent="0.3">
      <c r="R7" s="54" t="s">
        <v>79</v>
      </c>
      <c r="S7" s="54">
        <v>1500000</v>
      </c>
      <c r="T7" s="52" t="s">
        <v>83</v>
      </c>
      <c r="U7" s="53" t="s">
        <v>85</v>
      </c>
      <c r="V7" s="54" t="s">
        <v>88</v>
      </c>
    </row>
    <row r="8" spans="9:22" x14ac:dyDescent="0.3">
      <c r="R8" s="54" t="s">
        <v>91</v>
      </c>
      <c r="S8" s="54"/>
      <c r="T8" s="52"/>
      <c r="U8" s="53"/>
      <c r="V8" s="54" t="s">
        <v>92</v>
      </c>
    </row>
    <row r="9" spans="9:22" x14ac:dyDescent="0.3">
      <c r="R9" s="54" t="s">
        <v>90</v>
      </c>
      <c r="S9" s="54"/>
      <c r="T9" s="52"/>
      <c r="U9" s="53"/>
      <c r="V9" s="54" t="s">
        <v>93</v>
      </c>
    </row>
    <row r="10" spans="9:22" x14ac:dyDescent="0.3">
      <c r="R10" s="60" t="s">
        <v>96</v>
      </c>
      <c r="S10" s="60"/>
      <c r="T10" s="61"/>
      <c r="U10" s="62" t="s">
        <v>134</v>
      </c>
      <c r="V10" s="60" t="s">
        <v>93</v>
      </c>
    </row>
    <row r="11" spans="9:22" x14ac:dyDescent="0.3">
      <c r="R11" s="54" t="s">
        <v>89</v>
      </c>
      <c r="S11" s="54"/>
      <c r="T11" s="52"/>
      <c r="U11" s="53"/>
      <c r="V11" s="54" t="s">
        <v>94</v>
      </c>
    </row>
    <row r="12" spans="9:22" x14ac:dyDescent="0.3">
      <c r="R12" s="54" t="s">
        <v>86</v>
      </c>
      <c r="S12" s="54"/>
      <c r="T12" s="52"/>
      <c r="U12" s="53"/>
      <c r="V12" s="54" t="s">
        <v>95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72</v>
      </c>
    </row>
    <row r="4" spans="1:10" x14ac:dyDescent="0.3">
      <c r="A4" t="s">
        <v>73</v>
      </c>
      <c r="B4" t="s">
        <v>76</v>
      </c>
    </row>
    <row r="5" spans="1:10" x14ac:dyDescent="0.3">
      <c r="A5" t="s">
        <v>74</v>
      </c>
    </row>
    <row r="6" spans="1:10" x14ac:dyDescent="0.3">
      <c r="A6" t="s">
        <v>75</v>
      </c>
      <c r="B6" t="s">
        <v>77</v>
      </c>
      <c r="C6" t="s">
        <v>78</v>
      </c>
    </row>
    <row r="10" spans="1:10" x14ac:dyDescent="0.3">
      <c r="F10" s="55" t="s">
        <v>18</v>
      </c>
      <c r="G10" s="55" t="s">
        <v>80</v>
      </c>
      <c r="H10" s="55" t="s">
        <v>81</v>
      </c>
      <c r="I10" s="55" t="s">
        <v>17</v>
      </c>
      <c r="J10" s="55" t="s">
        <v>87</v>
      </c>
    </row>
    <row r="11" spans="1:10" ht="165" x14ac:dyDescent="0.3">
      <c r="F11" s="46" t="s">
        <v>106</v>
      </c>
      <c r="G11" s="21" t="s">
        <v>102</v>
      </c>
      <c r="H11" s="65" t="s">
        <v>104</v>
      </c>
      <c r="I11" s="21" t="s">
        <v>103</v>
      </c>
      <c r="J11" s="21" t="s">
        <v>105</v>
      </c>
    </row>
    <row r="12" spans="1:10" ht="33" x14ac:dyDescent="0.3">
      <c r="F12" s="42" t="s">
        <v>107</v>
      </c>
      <c r="G12" s="12"/>
      <c r="H12" s="63"/>
      <c r="I12" s="12"/>
      <c r="J12" s="12"/>
    </row>
    <row r="13" spans="1:10" ht="33" x14ac:dyDescent="0.3">
      <c r="F13" s="42" t="s">
        <v>108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일정</vt:lpstr>
      <vt:lpstr>예산</vt:lpstr>
      <vt:lpstr>식세기장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Chun, SaeWon</cp:lastModifiedBy>
  <cp:revision/>
  <dcterms:created xsi:type="dcterms:W3CDTF">2025-12-22T04:24:11Z</dcterms:created>
  <dcterms:modified xsi:type="dcterms:W3CDTF">2026-01-08T06:17:43Z</dcterms:modified>
  <cp:category/>
  <cp:contentStatus/>
</cp:coreProperties>
</file>