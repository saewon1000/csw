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096A9B59-CC49-4B42-B1E1-652D19F78226}" xr6:coauthVersionLast="47" xr6:coauthVersionMax="47" xr10:uidLastSave="{00000000-0000-0000-0000-000000000000}"/>
  <bookViews>
    <workbookView xWindow="-120" yWindow="-120" windowWidth="38640" windowHeight="21120" activeTab="5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_목공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<sst xmlns="http://schemas.openxmlformats.org/spreadsheetml/2006/main" count="196" uniqueCount="150">
  <si>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</si>
  <si>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</si>
  <si>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</si>
  <si>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</si>
  <si>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</si>
  <si>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</si>
  <si>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</si>
  <si>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</si>
  <si>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</si>
  <si>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</si>
  <si>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</si>
  <si>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</si>
  <si>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</si>
  <si>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</si>
  <si>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</si>
  <si>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</si>
  <si>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</si>
  <si>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</si>
  <si>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</si>
  <si>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</si>
  <si>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</si>
  <si>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</si>
  <si>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</si>
  <si>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</si>
  <si>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</si>
  <si>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</si>
  <si>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</si>
  <si>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</si>
  <si>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</si>
  <si>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</si>
  <si>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</si>
  <si>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</si>
  <si>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</si>
  <si>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</si>
  <si>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</si>
  <si>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</si>
  <si>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</si>
  <si>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</si>
  <si>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</si>
  <si>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</si>
  <si>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</si>
  <si>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</si>
  <si>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</si>
  <si>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</si>
  <si>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</si>
  <si>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</si>
  <si>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</si>
  <si>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</si>
  <si>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</si>
  <si>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</si>
  <si>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</si>
  <si>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</si>
  <si>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</si>
  <si>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</si>
  <si>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</si>
  <si>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</si>
  <si>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</si>
  <si>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</si>
  <si>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</si>
  <si>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</si>
  <si>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</si>
  <si>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</si>
  <si>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</si>
  <si>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</si>
  <si>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</si>
  <si>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</si>
  <si>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</si>
  <si>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</si>
  <si>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</si>
  <si>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</si>
  <si>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</si>
  <si>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</si>
  <si>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</si>
  <si>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</si>
  <si>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</si>
  <si>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</si>
  <si>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</si>
  <si>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</si>
  <si>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</si>
  <si>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</si>
  <si>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</si>
  <si>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</si>
  <si>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</si>
  <si>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</si>
  <si>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</si>
  <si>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</si>
  <si>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</si>
  <si>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</si>
  <si>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</si>
  <si>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</si>
  <si>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</si>
  <si>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</si>
  <si>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</si>
  <si>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</si>
  <si>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</si>
  <si>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</si>
  <si>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</si>
  <si>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</si>
  <si>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</si>
  <si>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</si>
  <si>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</si>
  <si>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</si>
  <si>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</si>
  <si>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</si>
  <si>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</si>
  <si>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</si>
  <si>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</si>
  <si>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</si>
  <si>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</si>
  <si>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토브홈케어
입주청소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</si>
  <si>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</si>
  <si>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</si>
  <si>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</si>
  <si>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</si>
  <si>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</si>
  <si>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</si>
  <si>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</si>
  <si>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</si>
  <si>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</si>
  <si>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</si>
  <si>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</si>
  <si>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</si>
  <si>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</si>
  <si>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</si>
  <si>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</si>
  <si>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</si>
  <si>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</si>
  <si>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</si>
  <si>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</si>
  <si>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</si>
  <si>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</si>
  <si>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</si>
  <si>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</si>
  <si>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</si>
  <si>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</si>
  <si>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</si>
  <si>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</si>
  <si>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</si>
  <si>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</si>
  <si>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</si>
  <si>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</si>
  <si>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자재비
ps101 : 17.3만원
ps170 : 6.8만원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</si>
  <si>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</si>
  <si>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</si>
  <si>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</si>
  <si>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</si>
  <si>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</si>
  <si>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</si>
  <si>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아라 익스프레스 이사
정수기 철거(오전 8-10시)
정수기 설치(오후 3시 이후)</t>
    <phoneticPr fontId="2" type="noConversion"/>
  </si>
  <si>
    <t>방문당일 결제예정
철거 : 3.4만원
설치 : 4.9만원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</si>
</sst>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12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workbookViewId="0">
      <selection activeCell="G21" sqref="G21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11" bestFit="1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70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71</v>
      </c>
    </row>
    <row r="9" spans="1:15" ht="66" x14ac:dyDescent="0.3">
      <c r="A9" s="43" t="s">
        <v>97</v>
      </c>
      <c r="B9" s="46" t="s">
        <v>101</v>
      </c>
      <c r="C9" s="21" t="s">
        <v>136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12"/>
      <c r="B11" s="12"/>
      <c r="C11" s="12"/>
      <c r="D11" s="42" t="s">
        <v>51</v>
      </c>
      <c r="E11" s="12"/>
      <c r="F11" s="21" t="s">
        <v>46</v>
      </c>
      <c r="G11" s="14"/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48" t="s">
        <v>55</v>
      </c>
      <c r="B13" s="12"/>
      <c r="C13" s="12"/>
      <c r="D13" s="46" t="s">
        <v>137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 t="s">
        <v>15</v>
      </c>
      <c r="C15" s="12" t="s">
        <v>15</v>
      </c>
      <c r="D15" s="12" t="s">
        <v>15</v>
      </c>
      <c r="E15" s="12" t="s">
        <v>15</v>
      </c>
      <c r="F15" s="12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50.25" thickBot="1" x14ac:dyDescent="0.35">
      <c r="A17" s="44" t="s">
        <v>53</v>
      </c>
      <c r="B17" s="41" t="s">
        <v>15</v>
      </c>
      <c r="C17" s="41" t="s">
        <v>15</v>
      </c>
      <c r="D17" s="56" t="s">
        <v>98</v>
      </c>
      <c r="E17" s="47"/>
      <c r="F17" s="64" t="s">
        <v>109</v>
      </c>
      <c r="G17" s="59" t="s">
        <v>148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workbookViewId="0">
      <selection activeCell="H19" sqref="H19:H20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81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138</v>
      </c>
      <c r="D2" s="3">
        <v>5300000</v>
      </c>
      <c r="E2" s="50">
        <v>5444000</v>
      </c>
    </row>
    <row r="3" spans="1:9" ht="49.5" x14ac:dyDescent="0.3">
      <c r="A3" s="2" t="s">
        <v>9</v>
      </c>
      <c r="B3" s="12"/>
      <c r="C3" s="63" t="s">
        <v>141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130</v>
      </c>
      <c r="C5" s="2" t="s">
        <v>140</v>
      </c>
      <c r="D5" s="3">
        <v>350000</v>
      </c>
      <c r="E5" s="71">
        <v>350000</v>
      </c>
      <c r="H5" t="s">
        <v>25</v>
      </c>
    </row>
    <row r="6" spans="1:9" ht="33" x14ac:dyDescent="0.3">
      <c r="A6" s="4" t="s">
        <v>13</v>
      </c>
      <c r="B6" s="12" t="s">
        <v>129</v>
      </c>
      <c r="C6" s="63" t="s">
        <v>142</v>
      </c>
      <c r="D6" s="3">
        <v>472300</v>
      </c>
      <c r="E6" s="71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129</v>
      </c>
      <c r="C7" s="2"/>
      <c r="D7" s="3">
        <v>800000</v>
      </c>
      <c r="E7" s="71">
        <v>800000</v>
      </c>
    </row>
    <row r="8" spans="1:9" x14ac:dyDescent="0.3">
      <c r="A8" s="2" t="s">
        <v>143</v>
      </c>
      <c r="B8" s="12"/>
      <c r="C8" s="2"/>
      <c r="D8" s="3">
        <v>41565</v>
      </c>
      <c r="E8" s="71">
        <v>41565</v>
      </c>
    </row>
    <row r="9" spans="1:9" ht="33" x14ac:dyDescent="0.3">
      <c r="A9" s="4" t="s">
        <v>35</v>
      </c>
      <c r="B9" s="12" t="s">
        <v>131</v>
      </c>
      <c r="C9" s="63" t="s">
        <v>139</v>
      </c>
      <c r="D9" s="3">
        <v>2980000</v>
      </c>
      <c r="E9" s="71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5">
        <v>2700000</v>
      </c>
    </row>
    <row r="11" spans="1:9" ht="49.5" x14ac:dyDescent="0.3">
      <c r="A11" s="2" t="s">
        <v>147</v>
      </c>
      <c r="B11" s="12"/>
      <c r="C11" s="63" t="s">
        <v>149</v>
      </c>
      <c r="D11" s="3">
        <v>83000</v>
      </c>
      <c r="E11" s="71">
        <v>83000</v>
      </c>
    </row>
    <row r="12" spans="1:9" x14ac:dyDescent="0.3">
      <c r="A12" s="2" t="s">
        <v>145</v>
      </c>
      <c r="B12" s="12"/>
      <c r="C12" s="2"/>
      <c r="D12" s="3">
        <v>350000</v>
      </c>
      <c r="E12" s="5"/>
    </row>
    <row r="13" spans="1:9" x14ac:dyDescent="0.3">
      <c r="A13" s="4" t="s">
        <v>146</v>
      </c>
      <c r="B13" s="12"/>
      <c r="C13" s="2"/>
      <c r="D13" s="3">
        <v>1000000</v>
      </c>
      <c r="E13" s="5"/>
    </row>
    <row r="14" spans="1:9" x14ac:dyDescent="0.3">
      <c r="A14" s="2" t="s">
        <v>16</v>
      </c>
      <c r="B14" s="12"/>
      <c r="C14" s="2"/>
      <c r="D14" s="3">
        <v>1500000</v>
      </c>
      <c r="E14" s="5"/>
    </row>
    <row r="15" spans="1:9" x14ac:dyDescent="0.3">
      <c r="A15" s="4"/>
      <c r="B15" s="12"/>
      <c r="C15" s="2"/>
      <c r="D15" s="3"/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132</v>
      </c>
      <c r="C19" s="2" t="s">
        <v>110</v>
      </c>
      <c r="D19" s="3">
        <v>450000</v>
      </c>
      <c r="E19" s="71">
        <v>450000</v>
      </c>
    </row>
    <row r="20" spans="1:5" x14ac:dyDescent="0.3">
      <c r="A20" s="4" t="s">
        <v>12</v>
      </c>
      <c r="B20" s="12" t="s">
        <v>133</v>
      </c>
      <c r="C20" s="2" t="s">
        <v>111</v>
      </c>
      <c r="D20" s="3">
        <v>1450000</v>
      </c>
      <c r="E20" s="71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18476865</v>
      </c>
      <c r="E22" s="11">
        <f>SUM(E2:E21)</f>
        <v>15011865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74" t="s">
        <v>33</v>
      </c>
      <c r="G4" s="75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B2:F10"/>
  <sheetViews>
    <sheetView workbookViewId="0">
      <selection activeCell="D13" sqref="D1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44</v>
      </c>
      <c r="C2" s="12" t="s">
        <v>40</v>
      </c>
    </row>
    <row r="3" spans="2:6" x14ac:dyDescent="0.3">
      <c r="B3" s="12" t="s">
        <v>43</v>
      </c>
      <c r="C3" s="12" t="s">
        <v>64</v>
      </c>
    </row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77" t="s">
        <v>65</v>
      </c>
      <c r="C7" s="66">
        <v>2700000</v>
      </c>
      <c r="D7" s="76" t="s">
        <v>41</v>
      </c>
      <c r="E7" s="77"/>
      <c r="F7" s="77"/>
    </row>
    <row r="8" spans="2:6" x14ac:dyDescent="0.3">
      <c r="B8" s="78"/>
      <c r="C8" s="66">
        <v>2600000</v>
      </c>
      <c r="D8" s="76" t="s">
        <v>42</v>
      </c>
      <c r="E8" s="78"/>
      <c r="F8" s="78"/>
    </row>
    <row r="9" spans="2:6" ht="49.5" x14ac:dyDescent="0.3">
      <c r="B9" s="12" t="s">
        <v>66</v>
      </c>
      <c r="C9" s="66">
        <v>3200000</v>
      </c>
      <c r="D9" s="76" t="s">
        <v>99</v>
      </c>
      <c r="E9" s="12"/>
      <c r="F9" s="42" t="s">
        <v>100</v>
      </c>
    </row>
    <row r="10" spans="2:6" ht="33" x14ac:dyDescent="0.3">
      <c r="B10" s="42" t="s">
        <v>144</v>
      </c>
      <c r="C10" s="12"/>
      <c r="D10" s="76" t="s">
        <v>67</v>
      </c>
      <c r="E10" s="12" t="s">
        <v>135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80</v>
      </c>
      <c r="N9" s="55" t="s">
        <v>81</v>
      </c>
      <c r="O9" s="55" t="s">
        <v>17</v>
      </c>
      <c r="P9" s="55" t="s">
        <v>87</v>
      </c>
    </row>
    <row r="10" spans="12:16" ht="33" x14ac:dyDescent="0.3">
      <c r="L10" s="63" t="s">
        <v>116</v>
      </c>
      <c r="M10" s="66"/>
      <c r="N10" s="2" t="s">
        <v>112</v>
      </c>
      <c r="O10" s="12"/>
      <c r="P10" s="12"/>
    </row>
    <row r="11" spans="12:16" ht="33" x14ac:dyDescent="0.3">
      <c r="L11" s="63" t="s">
        <v>117</v>
      </c>
      <c r="M11" s="66">
        <v>800000</v>
      </c>
      <c r="N11" s="2"/>
      <c r="O11" s="12">
        <v>1.9</v>
      </c>
      <c r="P11" s="12" t="s">
        <v>125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118</v>
      </c>
      <c r="M13" s="12"/>
      <c r="N13" s="2"/>
      <c r="O13" s="12"/>
      <c r="P13" s="12"/>
    </row>
    <row r="14" spans="12:16" ht="33" x14ac:dyDescent="0.3">
      <c r="L14" s="65" t="s">
        <v>119</v>
      </c>
      <c r="M14" s="72">
        <v>340000</v>
      </c>
      <c r="N14" s="65" t="s">
        <v>113</v>
      </c>
      <c r="O14" s="21">
        <v>1.9</v>
      </c>
      <c r="P14" s="21" t="s">
        <v>124</v>
      </c>
    </row>
    <row r="15" spans="12:16" ht="33" x14ac:dyDescent="0.3">
      <c r="L15" s="63" t="s">
        <v>120</v>
      </c>
      <c r="M15" s="66">
        <v>600000</v>
      </c>
      <c r="N15" s="2" t="s">
        <v>122</v>
      </c>
      <c r="O15" s="12"/>
      <c r="P15" s="12"/>
    </row>
    <row r="16" spans="12:16" ht="33" x14ac:dyDescent="0.3">
      <c r="L16" s="63" t="s">
        <v>121</v>
      </c>
      <c r="M16" s="66">
        <v>400000</v>
      </c>
      <c r="N16" s="63" t="s">
        <v>115</v>
      </c>
      <c r="O16" s="12"/>
      <c r="P16" s="12"/>
    </row>
    <row r="17" spans="5:16" ht="33" x14ac:dyDescent="0.3">
      <c r="L17" s="63" t="s">
        <v>123</v>
      </c>
      <c r="M17" s="66">
        <v>430000</v>
      </c>
      <c r="N17" s="63" t="s">
        <v>114</v>
      </c>
      <c r="O17" s="12"/>
      <c r="P17" s="12"/>
    </row>
    <row r="18" spans="5:16" x14ac:dyDescent="0.3">
      <c r="L18" s="63" t="s">
        <v>58</v>
      </c>
      <c r="M18" s="66"/>
      <c r="N18" s="63" t="s">
        <v>126</v>
      </c>
      <c r="O18" s="12"/>
      <c r="P18" s="12"/>
    </row>
    <row r="20" spans="5:16" x14ac:dyDescent="0.3">
      <c r="L20" s="67" t="s">
        <v>127</v>
      </c>
    </row>
    <row r="21" spans="5:16" ht="49.5" x14ac:dyDescent="0.3">
      <c r="L21" s="73" t="s">
        <v>59</v>
      </c>
      <c r="M21" s="72">
        <v>800000</v>
      </c>
      <c r="N21" s="65" t="s">
        <v>128</v>
      </c>
      <c r="O21" s="21">
        <v>1.9</v>
      </c>
      <c r="P21" s="21" t="s">
        <v>124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tabSelected="1" workbookViewId="0">
      <selection activeCell="K17" sqref="K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68</v>
      </c>
    </row>
    <row r="5" spans="9:22" x14ac:dyDescent="0.3">
      <c r="R5" s="55" t="s">
        <v>18</v>
      </c>
      <c r="S5" s="55" t="s">
        <v>80</v>
      </c>
      <c r="T5" s="55" t="s">
        <v>81</v>
      </c>
      <c r="U5" s="55" t="s">
        <v>17</v>
      </c>
      <c r="V5" s="55" t="s">
        <v>87</v>
      </c>
    </row>
    <row r="6" spans="9:22" ht="115.5" x14ac:dyDescent="0.3">
      <c r="R6" s="54" t="s">
        <v>69</v>
      </c>
      <c r="S6" s="54">
        <v>1800000</v>
      </c>
      <c r="T6" s="52" t="s">
        <v>82</v>
      </c>
      <c r="U6" s="54" t="s">
        <v>84</v>
      </c>
      <c r="V6" s="54" t="s">
        <v>88</v>
      </c>
    </row>
    <row r="7" spans="9:22" ht="99" x14ac:dyDescent="0.3">
      <c r="R7" s="54" t="s">
        <v>79</v>
      </c>
      <c r="S7" s="54">
        <v>1500000</v>
      </c>
      <c r="T7" s="52" t="s">
        <v>83</v>
      </c>
      <c r="U7" s="53" t="s">
        <v>85</v>
      </c>
      <c r="V7" s="54" t="s">
        <v>88</v>
      </c>
    </row>
    <row r="8" spans="9:22" x14ac:dyDescent="0.3">
      <c r="R8" s="54" t="s">
        <v>91</v>
      </c>
      <c r="S8" s="54"/>
      <c r="T8" s="52"/>
      <c r="U8" s="53"/>
      <c r="V8" s="54" t="s">
        <v>92</v>
      </c>
    </row>
    <row r="9" spans="9:22" x14ac:dyDescent="0.3">
      <c r="R9" s="54" t="s">
        <v>90</v>
      </c>
      <c r="S9" s="54"/>
      <c r="T9" s="52"/>
      <c r="U9" s="53"/>
      <c r="V9" s="54" t="s">
        <v>93</v>
      </c>
    </row>
    <row r="10" spans="9:22" x14ac:dyDescent="0.3">
      <c r="R10" s="60" t="s">
        <v>96</v>
      </c>
      <c r="S10" s="60"/>
      <c r="T10" s="61"/>
      <c r="U10" s="62" t="s">
        <v>134</v>
      </c>
      <c r="V10" s="60" t="s">
        <v>93</v>
      </c>
    </row>
    <row r="11" spans="9:22" x14ac:dyDescent="0.3">
      <c r="R11" s="54" t="s">
        <v>89</v>
      </c>
      <c r="S11" s="54"/>
      <c r="T11" s="52"/>
      <c r="U11" s="53"/>
      <c r="V11" s="54" t="s">
        <v>94</v>
      </c>
    </row>
    <row r="12" spans="9:22" x14ac:dyDescent="0.3">
      <c r="R12" s="54" t="s">
        <v>86</v>
      </c>
      <c r="S12" s="54"/>
      <c r="T12" s="52"/>
      <c r="U12" s="53"/>
      <c r="V12" s="54" t="s">
        <v>95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72</v>
      </c>
    </row>
    <row r="4" spans="1:10" x14ac:dyDescent="0.3">
      <c r="A4" t="s">
        <v>73</v>
      </c>
      <c r="B4" t="s">
        <v>76</v>
      </c>
    </row>
    <row r="5" spans="1:10" x14ac:dyDescent="0.3">
      <c r="A5" t="s">
        <v>74</v>
      </c>
    </row>
    <row r="6" spans="1:10" x14ac:dyDescent="0.3">
      <c r="A6" t="s">
        <v>75</v>
      </c>
      <c r="B6" t="s">
        <v>77</v>
      </c>
      <c r="C6" t="s">
        <v>78</v>
      </c>
    </row>
    <row r="10" spans="1:10" x14ac:dyDescent="0.3">
      <c r="F10" s="55" t="s">
        <v>18</v>
      </c>
      <c r="G10" s="55" t="s">
        <v>80</v>
      </c>
      <c r="H10" s="55" t="s">
        <v>81</v>
      </c>
      <c r="I10" s="55" t="s">
        <v>17</v>
      </c>
      <c r="J10" s="55" t="s">
        <v>87</v>
      </c>
    </row>
    <row r="11" spans="1:10" ht="165" x14ac:dyDescent="0.3">
      <c r="F11" s="46" t="s">
        <v>106</v>
      </c>
      <c r="G11" s="21" t="s">
        <v>102</v>
      </c>
      <c r="H11" s="65" t="s">
        <v>104</v>
      </c>
      <c r="I11" s="21" t="s">
        <v>103</v>
      </c>
      <c r="J11" s="21" t="s">
        <v>105</v>
      </c>
    </row>
    <row r="12" spans="1:10" ht="33" x14ac:dyDescent="0.3">
      <c r="F12" s="42" t="s">
        <v>107</v>
      </c>
      <c r="G12" s="12"/>
      <c r="H12" s="63"/>
      <c r="I12" s="12"/>
      <c r="J12" s="12"/>
    </row>
    <row r="13" spans="1:10" ht="33" x14ac:dyDescent="0.3">
      <c r="F13" s="42" t="s">
        <v>108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2026-01-05T15:52:03Z</dcterms:modified>
  <cp:category/>
  <cp:contentStatus/>
</cp:coreProperties>
</file>