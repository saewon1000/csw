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git\csw\부동산\"/>
    </mc:Choice>
  </mc:AlternateContent>
  <xr:revisionPtr revIDLastSave="0" documentId="13_ncr:1_{2A2522C3-476B-4057-9753-49924723F070}" xr6:coauthVersionLast="47" xr6:coauthVersionMax="47" xr10:uidLastSave="{00000000-0000-0000-0000-000000000000}"/>
  <bookViews>
    <workbookView xWindow="-120" yWindow="-120" windowWidth="38640" windowHeight="21120" activeTab="1" xr2:uid="{45F77FF4-D7D6-4945-9C9C-423D097BBE1D}"/>
  </bookViews>
  <sheets>
    <sheet name="일정" sheetId="2" r:id="rId1"/>
    <sheet name="예산" sheetId="1" r:id="rId2"/>
    <sheet name="마루" sheetId="3" r:id="rId3"/>
    <sheet name="도배" sheetId="5" r:id="rId4"/>
    <sheet name="전기_목공" sheetId="4" r:id="rId5"/>
    <sheet name="이사" sheetId="6" r:id="rId6"/>
    <sheet name="입주청소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3" l="1"/>
  <c r="D23" i="1"/>
  <c r="E23" i="1"/>
</calcChain>
</file>

<file path=xl/sharedStrings.xml><?xml version="1.0" encoding="utf-8"?>
<sst xmlns="http://schemas.openxmlformats.org/spreadsheetml/2006/main" count="186" uniqueCount="143">
  <si>
    <t>일</t>
    <phoneticPr fontId="2" type="noConversion"/>
  </si>
  <si>
    <t>월</t>
    <phoneticPr fontId="2" type="noConversion"/>
  </si>
  <si>
    <t>화</t>
  </si>
  <si>
    <t>수</t>
  </si>
  <si>
    <t>목</t>
  </si>
  <si>
    <t>금</t>
  </si>
  <si>
    <t>토</t>
  </si>
  <si>
    <t>에어컨</t>
    <phoneticPr fontId="2" type="noConversion"/>
  </si>
  <si>
    <t>집 계약일</t>
    <phoneticPr fontId="2" type="noConversion"/>
  </si>
  <si>
    <t>시트지</t>
    <phoneticPr fontId="2" type="noConversion"/>
  </si>
  <si>
    <t>입주청소</t>
    <phoneticPr fontId="2" type="noConversion"/>
  </si>
  <si>
    <t>바닥</t>
    <phoneticPr fontId="2" type="noConversion"/>
  </si>
  <si>
    <t>이사</t>
    <phoneticPr fontId="2" type="noConversion"/>
  </si>
  <si>
    <t>전기</t>
    <phoneticPr fontId="2" type="noConversion"/>
  </si>
  <si>
    <t>목공</t>
    <phoneticPr fontId="2" type="noConversion"/>
  </si>
  <si>
    <t>도배</t>
    <phoneticPr fontId="2" type="noConversion"/>
  </si>
  <si>
    <t>중문</t>
    <phoneticPr fontId="2" type="noConversion"/>
  </si>
  <si>
    <t>날짜</t>
    <phoneticPr fontId="2" type="noConversion"/>
  </si>
  <si>
    <t>업체</t>
    <phoneticPr fontId="2" type="noConversion"/>
  </si>
  <si>
    <t>예산</t>
    <phoneticPr fontId="2" type="noConversion"/>
  </si>
  <si>
    <t>실 금액</t>
    <phoneticPr fontId="2" type="noConversion"/>
  </si>
  <si>
    <t>아트월 선택지</t>
    <phoneticPr fontId="2" type="noConversion"/>
  </si>
  <si>
    <t>철거 후 석고보드 + 도배</t>
    <phoneticPr fontId="2" type="noConversion"/>
  </si>
  <si>
    <t>철거없이 석고보드 + 도배</t>
    <phoneticPr fontId="2" type="noConversion"/>
  </si>
  <si>
    <t>목수님께 문의 필요</t>
    <phoneticPr fontId="2" type="noConversion"/>
  </si>
  <si>
    <t>ㄴ 이렇게 할 경우 문과 단차 발생 (석고보드가 튀어나옴)</t>
    <phoneticPr fontId="2" type="noConversion"/>
  </si>
  <si>
    <t>돈없으니까 아껴서 그대로</t>
    <phoneticPr fontId="2" type="noConversion"/>
  </si>
  <si>
    <t>도배 견적 둘 다 따로 받아봐야함</t>
    <phoneticPr fontId="2" type="noConversion"/>
  </si>
  <si>
    <t>합계</t>
    <phoneticPr fontId="2" type="noConversion"/>
  </si>
  <si>
    <t>구정마루 세종점</t>
    <phoneticPr fontId="2" type="noConversion"/>
  </si>
  <si>
    <t>https://naver.me/GpCSkzyv</t>
  </si>
  <si>
    <t>대전 우드마을</t>
    <phoneticPr fontId="2" type="noConversion"/>
  </si>
  <si>
    <t>https://naver.me/GkRAVBCL</t>
  </si>
  <si>
    <t>우드스토리</t>
    <phoneticPr fontId="2" type="noConversion"/>
  </si>
  <si>
    <t>철거</t>
    <phoneticPr fontId="2" type="noConversion"/>
  </si>
  <si>
    <t>마루</t>
    <phoneticPr fontId="2" type="noConversion"/>
  </si>
  <si>
    <t>보양</t>
    <phoneticPr fontId="2" type="noConversion"/>
  </si>
  <si>
    <t>비용</t>
    <phoneticPr fontId="2" type="noConversion"/>
  </si>
  <si>
    <t>항목</t>
    <phoneticPr fontId="2" type="noConversion"/>
  </si>
  <si>
    <t>테라 캐러멜 (보드)</t>
    <phoneticPr fontId="2" type="noConversion"/>
  </si>
  <si>
    <t>회벽 크림화이트</t>
    <phoneticPr fontId="2" type="noConversion"/>
  </si>
  <si>
    <t>아트월 포함</t>
    <phoneticPr fontId="2" type="noConversion"/>
  </si>
  <si>
    <t>아트월 미포함</t>
    <phoneticPr fontId="2" type="noConversion"/>
  </si>
  <si>
    <t>방</t>
    <phoneticPr fontId="2" type="noConversion"/>
  </si>
  <si>
    <t>거실, 천장</t>
    <phoneticPr fontId="2" type="noConversion"/>
  </si>
  <si>
    <t>시공 순서</t>
    <phoneticPr fontId="2" type="noConversion"/>
  </si>
  <si>
    <t>목공/전기</t>
    <phoneticPr fontId="2" type="noConversion"/>
  </si>
  <si>
    <t>철거/시트지</t>
    <phoneticPr fontId="2" type="noConversion"/>
  </si>
  <si>
    <t>마루(보양 예정)</t>
    <phoneticPr fontId="2" type="noConversion"/>
  </si>
  <si>
    <t xml:space="preserve">
(진경재윤나형)</t>
    <phoneticPr fontId="2" type="noConversion"/>
  </si>
  <si>
    <t xml:space="preserve">
(남권 청모)</t>
    <phoneticPr fontId="2" type="noConversion"/>
  </si>
  <si>
    <t xml:space="preserve">
(유진 회식)</t>
    <phoneticPr fontId="2" type="noConversion"/>
  </si>
  <si>
    <t xml:space="preserve">
(현수 결혼)</t>
    <phoneticPr fontId="2" type="noConversion"/>
  </si>
  <si>
    <t xml:space="preserve">
(엄빠 생일)</t>
    <phoneticPr fontId="2" type="noConversion"/>
  </si>
  <si>
    <t>에어컨 사전방문</t>
    <phoneticPr fontId="2" type="noConversion"/>
  </si>
  <si>
    <t>시트지 마감</t>
    <phoneticPr fontId="2" type="noConversion"/>
  </si>
  <si>
    <t>공휴일</t>
    <phoneticPr fontId="2" type="noConversion"/>
  </si>
  <si>
    <t>저스트전기</t>
    <phoneticPr fontId="2" type="noConversion"/>
  </si>
  <si>
    <t>미래전기</t>
    <phoneticPr fontId="2" type="noConversion"/>
  </si>
  <si>
    <t>한재인목수님</t>
    <phoneticPr fontId="2" type="noConversion"/>
  </si>
  <si>
    <t>전에 아람전기에서 했음 (40만)</t>
    <phoneticPr fontId="2" type="noConversion"/>
  </si>
  <si>
    <t>시우산업</t>
    <phoneticPr fontId="2" type="noConversion"/>
  </si>
  <si>
    <t xml:space="preserve"> 010-6822-2056</t>
    <phoneticPr fontId="2" type="noConversion"/>
  </si>
  <si>
    <t>폴라베어 아저씨 추천</t>
    <phoneticPr fontId="2" type="noConversion"/>
  </si>
  <si>
    <t>가성비(개나리)</t>
    <phoneticPr fontId="2" type="noConversion"/>
  </si>
  <si>
    <t>가수원지업사</t>
    <phoneticPr fontId="2" type="noConversion"/>
  </si>
  <si>
    <t>아빠는 도배왕</t>
    <phoneticPr fontId="2" type="noConversion"/>
  </si>
  <si>
    <t>다복도배</t>
    <phoneticPr fontId="2" type="noConversion"/>
  </si>
  <si>
    <t>010-2435-1256</t>
    <phoneticPr fontId="2" type="noConversion"/>
  </si>
  <si>
    <t>걸레받이 퍼티포함 엄청 잘해줌</t>
    <phoneticPr fontId="2" type="noConversion"/>
  </si>
  <si>
    <t>식세기 장짜기</t>
    <phoneticPr fontId="2" type="noConversion"/>
  </si>
  <si>
    <t>https://www.lge.co.kr/lg-best-care/service-installation-removal</t>
    <phoneticPr fontId="2" type="noConversion"/>
  </si>
  <si>
    <t>상민이형</t>
    <phoneticPr fontId="2" type="noConversion"/>
  </si>
  <si>
    <t>정수기 철거 타공 막아주는지 확인 필요</t>
    <phoneticPr fontId="2" type="noConversion"/>
  </si>
  <si>
    <t>식세기 장짜는 비용 알아봐야됨</t>
    <phoneticPr fontId="2" type="noConversion"/>
  </si>
  <si>
    <t>대전 3대장 입주청소</t>
    <phoneticPr fontId="2" type="noConversion"/>
  </si>
  <si>
    <t>개미군단</t>
    <phoneticPr fontId="2" type="noConversion"/>
  </si>
  <si>
    <t>이루다</t>
    <phoneticPr fontId="2" type="noConversion"/>
  </si>
  <si>
    <t>해들임</t>
    <phoneticPr fontId="2" type="noConversion"/>
  </si>
  <si>
    <t>010-9039-5989</t>
    <phoneticPr fontId="2" type="noConversion"/>
  </si>
  <si>
    <t>042-365-5056</t>
    <phoneticPr fontId="2" type="noConversion"/>
  </si>
  <si>
    <t>010-9172-5056</t>
    <phoneticPr fontId="2" type="noConversion"/>
  </si>
  <si>
    <t>KGB 유성익스프레스</t>
    <phoneticPr fontId="2" type="noConversion"/>
  </si>
  <si>
    <t>가격</t>
    <phoneticPr fontId="2" type="noConversion"/>
  </si>
  <si>
    <t>내용</t>
    <phoneticPr fontId="2" type="noConversion"/>
  </si>
  <si>
    <t>1시이후 시간당 대기금 10만원 추가금
인덕션 철거/이동 가능, 설치는 기사 불러서
비데 철거/이동 가능, 설치 별도
정수기 철거/이동/설치 불가능
식세기 철거/설치 불가능 이동만 가능
워시타워 철거/설치 불가능 이동만 가능
TV 이동만</t>
    <phoneticPr fontId="2" type="noConversion"/>
  </si>
  <si>
    <t>직원 5명 ( 몽골인 1명 포함)
추가금 없음
직원 4명 ( 남 3, 여 1)
세탁기, 냉장고 철거/설치 가능
현대해상보험 보상
별도 약품처리 없음 (간단한 세척)</t>
    <phoneticPr fontId="2" type="noConversion"/>
  </si>
  <si>
    <t>1.31(토)</t>
    <phoneticPr fontId="2" type="noConversion"/>
  </si>
  <si>
    <t>1.31(토)
2.1(일)</t>
    <phoneticPr fontId="2" type="noConversion"/>
  </si>
  <si>
    <t>무빙 익스프레스</t>
    <phoneticPr fontId="2" type="noConversion"/>
  </si>
  <si>
    <t>비고</t>
    <phoneticPr fontId="2" type="noConversion"/>
  </si>
  <si>
    <t>견적 완료</t>
    <phoneticPr fontId="2" type="noConversion"/>
  </si>
  <si>
    <t>이사의 명인</t>
    <phoneticPr fontId="2" type="noConversion"/>
  </si>
  <si>
    <t>퍼펙트 이사</t>
    <phoneticPr fontId="2" type="noConversion"/>
  </si>
  <si>
    <t>참조은 이사</t>
    <phoneticPr fontId="2" type="noConversion"/>
  </si>
  <si>
    <t>12.28 14시 방문예정</t>
    <phoneticPr fontId="2" type="noConversion"/>
  </si>
  <si>
    <t>12.28 16시 방문예정</t>
    <phoneticPr fontId="2" type="noConversion"/>
  </si>
  <si>
    <t>12.28 18시 방문예정</t>
    <phoneticPr fontId="2" type="noConversion"/>
  </si>
  <si>
    <t>1.2 13시 방문예정</t>
    <phoneticPr fontId="2" type="noConversion"/>
  </si>
  <si>
    <t>아라 익스프레스</t>
    <phoneticPr fontId="2" type="noConversion"/>
  </si>
  <si>
    <t>참조은 이사 14시 방문견적
퍼펙트 이사 16시 방문견적
아라 익스프레스 16시 방문견적
이사의 명인 18시 방문견적</t>
    <phoneticPr fontId="2" type="noConversion"/>
  </si>
  <si>
    <t>에어컨 커버 마무리</t>
    <phoneticPr fontId="2" type="noConversion"/>
  </si>
  <si>
    <t>초배시공
거실 우물직각무몰딩 도배시공</t>
    <phoneticPr fontId="2" type="noConversion"/>
  </si>
  <si>
    <t>[옵션]
펜트리/드레스룸 탈거조립 45만원
퍼티시공 40만원</t>
    <phoneticPr fontId="2" type="noConversion"/>
  </si>
  <si>
    <t>아라 익스프레스
이사</t>
    <phoneticPr fontId="2" type="noConversion"/>
  </si>
  <si>
    <t>제이와이시스템
에어컨 설치
(유진 경락)</t>
    <phoneticPr fontId="2" type="noConversion"/>
  </si>
  <si>
    <t>45만원</t>
    <phoneticPr fontId="2" type="noConversion"/>
  </si>
  <si>
    <t>1.29, 1.30 가능</t>
    <phoneticPr fontId="2" type="noConversion"/>
  </si>
  <si>
    <t>친환경세제 사용
미순수, 편백나무, 키엘 세제
피톤치드 서비스
창호 외부 제외, 창틀 안쪽, 유리
전등 분해, 욕실 배수구/환풍구 청소
싱크대 서랍장 탈거 후 청소
도배풀 최대한 깔끔하게 청소
소요 시간 : 약 7시간
계약금 받지 않음. A/S 해줌</t>
    <phoneticPr fontId="2" type="noConversion"/>
  </si>
  <si>
    <t>3대장 다음으로 후기 괜찮은 곳</t>
    <phoneticPr fontId="2" type="noConversion"/>
  </si>
  <si>
    <t>토브홈케어
010-3044-2222</t>
    <phoneticPr fontId="2" type="noConversion"/>
  </si>
  <si>
    <t>뉴엘클린
010-3451-2421</t>
    <phoneticPr fontId="2" type="noConversion"/>
  </si>
  <si>
    <t>엄마손청소
010-8524-4627</t>
    <phoneticPr fontId="2" type="noConversion"/>
  </si>
  <si>
    <t>제이와이시스템에어컨
추가 비용 발생
차단기 2만원
전선 1m당 1.2만원
12m 추가 14.4만원</t>
    <phoneticPr fontId="2" type="noConversion"/>
  </si>
  <si>
    <t>토브홈케어
입주청소</t>
    <phoneticPr fontId="2" type="noConversion"/>
  </si>
  <si>
    <t>우드스토리
마루 시공</t>
    <phoneticPr fontId="2" type="noConversion"/>
  </si>
  <si>
    <t>계약금 50만원 입금완료</t>
    <phoneticPr fontId="2" type="noConversion"/>
  </si>
  <si>
    <t>계약금 없음</t>
    <phoneticPr fontId="2" type="noConversion"/>
  </si>
  <si>
    <t>계약금 10만원 입금완료</t>
    <phoneticPr fontId="2" type="noConversion"/>
  </si>
  <si>
    <t>세종 시공 어렵</t>
    <phoneticPr fontId="2" type="noConversion"/>
  </si>
  <si>
    <t>일당 28
자재비 6</t>
    <phoneticPr fontId="2" type="noConversion"/>
  </si>
  <si>
    <t>일당 33
자재비 10</t>
    <phoneticPr fontId="2" type="noConversion"/>
  </si>
  <si>
    <t>일당 30
자재비 10</t>
    <phoneticPr fontId="2" type="noConversion"/>
  </si>
  <si>
    <t>친절한 영동씨
010-9382-1880</t>
    <phoneticPr fontId="2" type="noConversion"/>
  </si>
  <si>
    <t>에스이전기
010-3339-4509</t>
    <phoneticPr fontId="2" type="noConversion"/>
  </si>
  <si>
    <t>월드전기
010-8746-1205</t>
    <phoneticPr fontId="2" type="noConversion"/>
  </si>
  <si>
    <t>백선빌더
010-5070-6740</t>
    <phoneticPr fontId="2" type="noConversion"/>
  </si>
  <si>
    <t>전기 조윤호 사장님
010-8487-5580</t>
    <phoneticPr fontId="2" type="noConversion"/>
  </si>
  <si>
    <t>가람전기조명
010-5401-2147</t>
    <phoneticPr fontId="2" type="noConversion"/>
  </si>
  <si>
    <t>까대기 작업 필요</t>
    <phoneticPr fontId="2" type="noConversion"/>
  </si>
  <si>
    <t>전기
010-8427-1469</t>
    <phoneticPr fontId="2" type="noConversion"/>
  </si>
  <si>
    <t>가능</t>
    <phoneticPr fontId="2" type="noConversion"/>
  </si>
  <si>
    <t>불가능</t>
    <phoneticPr fontId="2" type="noConversion"/>
  </si>
  <si>
    <t>??</t>
    <phoneticPr fontId="2" type="noConversion"/>
  </si>
  <si>
    <t>목수</t>
    <phoneticPr fontId="2" type="noConversion"/>
  </si>
  <si>
    <t>간접조명 사각 60
아트월 석고부착 20
실링팬보강 서비스</t>
    <phoneticPr fontId="2" type="noConversion"/>
  </si>
  <si>
    <t>자재비 별도</t>
    <phoneticPr fontId="2" type="noConversion"/>
  </si>
  <si>
    <t>1월 9일</t>
    <phoneticPr fontId="2" type="noConversion"/>
  </si>
  <si>
    <t>12월 30일</t>
    <phoneticPr fontId="2" type="noConversion"/>
  </si>
  <si>
    <t>1월 14일</t>
    <phoneticPr fontId="2" type="noConversion"/>
  </si>
  <si>
    <t>1월 30일</t>
    <phoneticPr fontId="2" type="noConversion"/>
  </si>
  <si>
    <t>1월 31일</t>
    <phoneticPr fontId="2" type="noConversion"/>
  </si>
  <si>
    <t>1.31(일)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</si>
</sst>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mm&quot;월&quot;\ dd&quot;일&quot;"/>
    <numFmt numFmtId="177" formatCode="m&quot;/&quot;d;@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76">
    <xf numFmtId="0" fontId="0" fillId="0" borderId="0" xfId="0">
      <alignment vertical="center"/>
    </xf>
    <xf numFmtId="41" fontId="0" fillId="0" borderId="0" xfId="1" applyFont="1">
      <alignment vertical="center"/>
    </xf>
    <xf numFmtId="0" fontId="0" fillId="0" borderId="1" xfId="0" applyBorder="1">
      <alignment vertical="center"/>
    </xf>
    <xf numFmtId="41" fontId="0" fillId="0" borderId="1" xfId="1" applyFont="1" applyBorder="1">
      <alignment vertical="center"/>
    </xf>
    <xf numFmtId="0" fontId="0" fillId="0" borderId="2" xfId="0" applyBorder="1">
      <alignment vertical="center"/>
    </xf>
    <xf numFmtId="41" fontId="0" fillId="0" borderId="3" xfId="1" applyFont="1" applyBorder="1">
      <alignment vertical="center"/>
    </xf>
    <xf numFmtId="0" fontId="0" fillId="0" borderId="4" xfId="0" applyBorder="1">
      <alignment vertical="center"/>
    </xf>
    <xf numFmtId="41" fontId="0" fillId="0" borderId="10" xfId="1" applyFont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41" fontId="0" fillId="2" borderId="8" xfId="1" applyFont="1" applyFill="1" applyBorder="1">
      <alignment vertical="center"/>
    </xf>
    <xf numFmtId="41" fontId="0" fillId="2" borderId="9" xfId="1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7" fontId="3" fillId="0" borderId="4" xfId="0" applyNumberFormat="1" applyFont="1" applyBorder="1" applyAlignment="1">
      <alignment horizontal="center" vertical="center"/>
    </xf>
    <xf numFmtId="177" fontId="3" fillId="0" borderId="5" xfId="0" applyNumberFormat="1" applyFont="1" applyBorder="1" applyAlignment="1">
      <alignment horizontal="center" vertical="center"/>
    </xf>
    <xf numFmtId="177" fontId="3" fillId="0" borderId="6" xfId="0" applyNumberFormat="1" applyFont="1" applyBorder="1" applyAlignment="1">
      <alignment horizontal="center" vertical="center"/>
    </xf>
    <xf numFmtId="177" fontId="3" fillId="0" borderId="2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7" fontId="3" fillId="0" borderId="3" xfId="0" applyNumberFormat="1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4" fillId="0" borderId="0" xfId="2">
      <alignment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41" fontId="0" fillId="0" borderId="6" xfId="0" applyNumberFormat="1" applyBorder="1" applyAlignment="1">
      <alignment horizontal="center" vertical="center"/>
    </xf>
    <xf numFmtId="41" fontId="0" fillId="0" borderId="3" xfId="0" applyNumberFormat="1" applyBorder="1" applyAlignment="1">
      <alignment horizontal="center" vertical="center"/>
    </xf>
    <xf numFmtId="41" fontId="0" fillId="0" borderId="13" xfId="0" applyNumberFormat="1" applyBorder="1" applyAlignment="1">
      <alignment horizontal="center" vertical="center"/>
    </xf>
    <xf numFmtId="41" fontId="0" fillId="0" borderId="17" xfId="0" applyNumberFormat="1" applyBorder="1" applyAlignment="1">
      <alignment horizontal="center" vertical="center"/>
    </xf>
    <xf numFmtId="41" fontId="0" fillId="0" borderId="0" xfId="0" applyNumberFormat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/>
    </xf>
    <xf numFmtId="176" fontId="0" fillId="7" borderId="2" xfId="0" applyNumberFormat="1" applyFill="1" applyBorder="1" applyAlignment="1">
      <alignment horizontal="center" vertical="center"/>
    </xf>
    <xf numFmtId="177" fontId="3" fillId="8" borderId="1" xfId="0" applyNumberFormat="1" applyFont="1" applyFill="1" applyBorder="1" applyAlignment="1">
      <alignment horizontal="center" vertical="center"/>
    </xf>
    <xf numFmtId="41" fontId="0" fillId="5" borderId="6" xfId="1" applyFont="1" applyFill="1" applyBorder="1">
      <alignment vertical="center"/>
    </xf>
    <xf numFmtId="41" fontId="4" fillId="0" borderId="0" xfId="1" applyFont="1">
      <alignment vertical="center"/>
    </xf>
    <xf numFmtId="41" fontId="0" fillId="0" borderId="1" xfId="1" applyFont="1" applyBorder="1" applyAlignment="1">
      <alignment vertical="center" wrapText="1"/>
    </xf>
    <xf numFmtId="41" fontId="0" fillId="0" borderId="1" xfId="1" applyFont="1" applyBorder="1" applyAlignment="1">
      <alignment horizontal="center" vertical="center" wrapText="1"/>
    </xf>
    <xf numFmtId="41" fontId="0" fillId="0" borderId="1" xfId="1" applyFont="1" applyBorder="1" applyAlignment="1">
      <alignment horizontal="center" vertical="center"/>
    </xf>
    <xf numFmtId="41" fontId="3" fillId="0" borderId="1" xfId="1" applyFont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0" borderId="5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5" borderId="13" xfId="0" applyFill="1" applyBorder="1" applyAlignment="1">
      <alignment horizontal="center" vertical="center" wrapText="1"/>
    </xf>
    <xf numFmtId="41" fontId="0" fillId="5" borderId="1" xfId="1" applyFont="1" applyFill="1" applyBorder="1" applyAlignment="1">
      <alignment horizontal="center" vertical="center"/>
    </xf>
    <xf numFmtId="41" fontId="0" fillId="5" borderId="1" xfId="1" applyFont="1" applyFill="1" applyBorder="1" applyAlignment="1">
      <alignment vertical="center" wrapText="1"/>
    </xf>
    <xf numFmtId="41" fontId="0" fillId="5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5" borderId="12" xfId="0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3" fontId="0" fillId="0" borderId="1" xfId="0" applyNumberForma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41" fontId="3" fillId="0" borderId="8" xfId="1" applyFont="1" applyBorder="1" applyAlignment="1">
      <alignment horizontal="center" vertical="center"/>
    </xf>
    <xf numFmtId="41" fontId="3" fillId="0" borderId="9" xfId="1" applyFon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41" fontId="0" fillId="5" borderId="3" xfId="1" applyFont="1" applyFill="1" applyBorder="1">
      <alignment vertical="center"/>
    </xf>
    <xf numFmtId="3" fontId="0" fillId="5" borderId="1" xfId="0" applyNumberFormat="1" applyFill="1" applyBorder="1" applyAlignment="1">
      <alignment horizontal="center" vertical="center"/>
    </xf>
    <xf numFmtId="0" fontId="0" fillId="5" borderId="1" xfId="0" applyFill="1" applyBorder="1">
      <alignment vertical="center"/>
    </xf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6</xdr:row>
      <xdr:rowOff>47625</xdr:rowOff>
    </xdr:from>
    <xdr:to>
      <xdr:col>3</xdr:col>
      <xdr:colOff>657225</xdr:colOff>
      <xdr:row>27</xdr:row>
      <xdr:rowOff>104775</xdr:rowOff>
    </xdr:to>
    <xdr:pic>
      <xdr:nvPicPr>
        <xdr:cNvPr id="6" name="그림 2">
          <a:extLst>
            <a:ext uri="{FF2B5EF4-FFF2-40B4-BE49-F238E27FC236}">
              <a16:creationId xmlns:a16="http://schemas.microsoft.com/office/drawing/2014/main" id="{555C29AE-721E-8C88-92E5-DBA45280249C}"/>
            </a:ext>
            <a:ext uri="{147F2762-F138-4A5C-976F-8EAC2B608ADB}">
              <a16:predDERef xmlns:a16="http://schemas.microsoft.com/office/drawing/2014/main" pred="{C9E9E3E6-2CFA-6A18-EA18-7ED26EEF2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1304925"/>
          <a:ext cx="4562475" cy="4476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8</xdr:col>
      <xdr:colOff>67608</xdr:colOff>
      <xdr:row>15</xdr:row>
      <xdr:rowOff>200521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C4A9C0A-983C-4909-9937-5032A0F85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838200"/>
          <a:ext cx="6687483" cy="355332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6</xdr:col>
      <xdr:colOff>629312</xdr:colOff>
      <xdr:row>21</xdr:row>
      <xdr:rowOff>124749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6420055-3F3B-7F38-7F53-ABE137B3C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550"/>
          <a:ext cx="4744112" cy="66207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naver.me/GkRAVBCL" TargetMode="External"/><Relationship Id="rId1" Type="http://schemas.openxmlformats.org/officeDocument/2006/relationships/hyperlink" Target="https://naver.me/GpCSkzyv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www.lge.co.kr/lg-best-care/service-installation-remov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5FA7E-E94C-4703-9AAD-5AD5E5169CB8}">
  <dimension ref="A1:O22"/>
  <sheetViews>
    <sheetView workbookViewId="0">
      <selection activeCell="A11" sqref="A11"/>
    </sheetView>
  </sheetViews>
  <sheetFormatPr defaultRowHeight="16.5" x14ac:dyDescent="0.3"/>
  <cols>
    <col min="1" max="1" width="29.875" bestFit="1" customWidth="1"/>
    <col min="2" max="3" width="17.75" customWidth="1"/>
    <col min="4" max="4" width="18.625" bestFit="1" customWidth="1"/>
    <col min="5" max="5" width="17.75" customWidth="1"/>
    <col min="6" max="6" width="27.625" customWidth="1"/>
    <col min="7" max="7" width="17.75" customWidth="1"/>
    <col min="8" max="8" width="15.125" bestFit="1" customWidth="1"/>
  </cols>
  <sheetData>
    <row r="1" spans="1:15" ht="17.25" thickBot="1" x14ac:dyDescent="0.35"/>
    <row r="2" spans="1:15" ht="17.25" thickBot="1" x14ac:dyDescent="0.35">
      <c r="B2" s="40" t="s">
        <v>45</v>
      </c>
      <c r="C2" s="38" t="s">
        <v>47</v>
      </c>
      <c r="D2" s="38" t="s">
        <v>46</v>
      </c>
      <c r="E2" s="38" t="s">
        <v>48</v>
      </c>
      <c r="F2" s="39" t="s">
        <v>15</v>
      </c>
    </row>
    <row r="4" spans="1:15" ht="17.25" thickBot="1" x14ac:dyDescent="0.35"/>
    <row r="5" spans="1:15" ht="17.25" thickBot="1" x14ac:dyDescent="0.35">
      <c r="A5" s="22" t="s">
        <v>0</v>
      </c>
      <c r="B5" s="23" t="s">
        <v>1</v>
      </c>
      <c r="C5" s="23" t="s">
        <v>2</v>
      </c>
      <c r="D5" s="23" t="s">
        <v>3</v>
      </c>
      <c r="E5" s="23" t="s">
        <v>4</v>
      </c>
      <c r="F5" s="23" t="s">
        <v>5</v>
      </c>
      <c r="G5" s="24" t="s">
        <v>6</v>
      </c>
    </row>
    <row r="6" spans="1:15" x14ac:dyDescent="0.3">
      <c r="A6" s="15">
        <v>46012</v>
      </c>
      <c r="B6" s="16">
        <v>46013</v>
      </c>
      <c r="C6" s="16">
        <v>46014</v>
      </c>
      <c r="D6" s="16">
        <v>46015</v>
      </c>
      <c r="E6" s="16">
        <v>46016</v>
      </c>
      <c r="F6" s="16">
        <v>46017</v>
      </c>
      <c r="G6" s="17">
        <v>46018</v>
      </c>
      <c r="J6" s="21" t="s">
        <v>7</v>
      </c>
    </row>
    <row r="7" spans="1:15" x14ac:dyDescent="0.3">
      <c r="A7" s="13"/>
      <c r="B7" s="12"/>
      <c r="C7" s="12"/>
      <c r="D7" s="12"/>
      <c r="E7" s="12"/>
      <c r="F7" s="12" t="s">
        <v>8</v>
      </c>
      <c r="G7" s="14" t="s">
        <v>54</v>
      </c>
      <c r="J7" s="12" t="s">
        <v>9</v>
      </c>
      <c r="L7" s="12" t="s">
        <v>10</v>
      </c>
      <c r="O7" t="s">
        <v>73</v>
      </c>
    </row>
    <row r="8" spans="1:15" x14ac:dyDescent="0.3">
      <c r="A8" s="18">
        <v>46019</v>
      </c>
      <c r="B8" s="19">
        <v>46020</v>
      </c>
      <c r="C8" s="19">
        <v>46021</v>
      </c>
      <c r="D8" s="19">
        <v>46022</v>
      </c>
      <c r="E8" s="49">
        <v>46023</v>
      </c>
      <c r="F8" s="19">
        <v>46024</v>
      </c>
      <c r="G8" s="20">
        <v>46025</v>
      </c>
      <c r="J8" s="12" t="s">
        <v>11</v>
      </c>
      <c r="L8" s="12" t="s">
        <v>12</v>
      </c>
      <c r="O8" t="s">
        <v>74</v>
      </c>
    </row>
    <row r="9" spans="1:15" ht="66" x14ac:dyDescent="0.3">
      <c r="A9" s="43" t="s">
        <v>100</v>
      </c>
      <c r="B9" s="46" t="s">
        <v>105</v>
      </c>
      <c r="C9" s="21" t="s">
        <v>34</v>
      </c>
      <c r="D9" s="12"/>
      <c r="E9" s="12" t="s">
        <v>56</v>
      </c>
      <c r="F9" s="42"/>
      <c r="G9" s="14"/>
      <c r="J9" s="12" t="s">
        <v>14</v>
      </c>
      <c r="L9" s="12" t="s">
        <v>13</v>
      </c>
    </row>
    <row r="10" spans="1:15" x14ac:dyDescent="0.3">
      <c r="A10" s="18">
        <v>45661</v>
      </c>
      <c r="B10" s="19">
        <v>45662</v>
      </c>
      <c r="C10" s="19">
        <v>45663</v>
      </c>
      <c r="D10" s="19">
        <v>45664</v>
      </c>
      <c r="E10" s="19">
        <v>45665</v>
      </c>
      <c r="F10" s="19">
        <v>45666</v>
      </c>
      <c r="G10" s="20">
        <v>45667</v>
      </c>
      <c r="J10" s="12" t="s">
        <v>15</v>
      </c>
    </row>
    <row r="11" spans="1:15" ht="33" x14ac:dyDescent="0.3">
      <c r="A11" s="48" t="s">
        <v>55</v>
      </c>
      <c r="B11" s="12"/>
      <c r="C11" s="12"/>
      <c r="D11" s="42" t="s">
        <v>51</v>
      </c>
      <c r="E11" s="12"/>
      <c r="F11" s="21" t="s">
        <v>46</v>
      </c>
      <c r="G11" s="14"/>
    </row>
    <row r="12" spans="1:15" x14ac:dyDescent="0.3">
      <c r="A12" s="18">
        <v>45668</v>
      </c>
      <c r="B12" s="19">
        <v>45669</v>
      </c>
      <c r="C12" s="19">
        <v>45670</v>
      </c>
      <c r="D12" s="19">
        <v>45671</v>
      </c>
      <c r="E12" s="19">
        <v>45672</v>
      </c>
      <c r="F12" s="19">
        <v>45673</v>
      </c>
      <c r="G12" s="20">
        <v>45674</v>
      </c>
      <c r="J12" s="12" t="s">
        <v>16</v>
      </c>
    </row>
    <row r="13" spans="1:15" ht="33" x14ac:dyDescent="0.3">
      <c r="A13" s="13"/>
      <c r="B13" s="12"/>
      <c r="C13" s="12"/>
      <c r="D13" s="46" t="s">
        <v>115</v>
      </c>
      <c r="E13" s="42" t="s">
        <v>49</v>
      </c>
      <c r="F13" s="42" t="s">
        <v>50</v>
      </c>
      <c r="G13" s="45" t="s">
        <v>50</v>
      </c>
    </row>
    <row r="14" spans="1:15" x14ac:dyDescent="0.3">
      <c r="A14" s="18">
        <v>45675</v>
      </c>
      <c r="B14" s="19">
        <v>45676</v>
      </c>
      <c r="C14" s="19">
        <v>45677</v>
      </c>
      <c r="D14" s="19">
        <v>45678</v>
      </c>
      <c r="E14" s="19">
        <v>45679</v>
      </c>
      <c r="F14" s="19">
        <v>45680</v>
      </c>
      <c r="G14" s="20">
        <v>45681</v>
      </c>
    </row>
    <row r="15" spans="1:15" ht="33" x14ac:dyDescent="0.3">
      <c r="A15" s="43" t="s">
        <v>52</v>
      </c>
      <c r="B15" s="12" t="s">
        <v>15</v>
      </c>
      <c r="C15" s="12" t="s">
        <v>15</v>
      </c>
      <c r="D15" s="12" t="s">
        <v>15</v>
      </c>
      <c r="E15" s="12" t="s">
        <v>15</v>
      </c>
      <c r="F15" s="12" t="s">
        <v>15</v>
      </c>
      <c r="G15" s="45" t="s">
        <v>53</v>
      </c>
    </row>
    <row r="16" spans="1:15" x14ac:dyDescent="0.3">
      <c r="A16" s="18">
        <v>45682</v>
      </c>
      <c r="B16" s="19">
        <v>45683</v>
      </c>
      <c r="C16" s="19">
        <v>45684</v>
      </c>
      <c r="D16" s="19">
        <v>45685</v>
      </c>
      <c r="E16" s="19">
        <v>45686</v>
      </c>
      <c r="F16" s="19">
        <v>45687</v>
      </c>
      <c r="G16" s="20">
        <v>45688</v>
      </c>
    </row>
    <row r="17" spans="1:10" ht="33.75" thickBot="1" x14ac:dyDescent="0.35">
      <c r="A17" s="44" t="s">
        <v>53</v>
      </c>
      <c r="B17" s="41" t="s">
        <v>15</v>
      </c>
      <c r="C17" s="41" t="s">
        <v>15</v>
      </c>
      <c r="D17" s="56" t="s">
        <v>101</v>
      </c>
      <c r="E17" s="47"/>
      <c r="F17" s="66" t="s">
        <v>114</v>
      </c>
      <c r="G17" s="59" t="s">
        <v>104</v>
      </c>
    </row>
    <row r="22" spans="1:10" x14ac:dyDescent="0.3">
      <c r="F22" t="s">
        <v>34</v>
      </c>
      <c r="G22" t="s">
        <v>61</v>
      </c>
      <c r="H22" t="s">
        <v>62</v>
      </c>
      <c r="J22" t="s">
        <v>63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6C1DD-F74D-4551-9A0B-DC7EB4C77356}">
  <dimension ref="A1:I23"/>
  <sheetViews>
    <sheetView tabSelected="1" workbookViewId="0">
      <selection activeCell="H13" sqref="H13"/>
    </sheetView>
  </sheetViews>
  <sheetFormatPr defaultRowHeight="16.5" x14ac:dyDescent="0.3"/>
  <cols>
    <col min="1" max="1" width="13.75" bestFit="1" customWidth="1"/>
    <col min="2" max="2" width="9.875" bestFit="1" customWidth="1"/>
    <col min="3" max="3" width="21.375" bestFit="1" customWidth="1"/>
    <col min="4" max="4" width="11.875" style="1" bestFit="1" customWidth="1"/>
    <col min="5" max="5" width="10.875" style="1" bestFit="1" customWidth="1"/>
    <col min="7" max="7" width="19.625" customWidth="1"/>
    <col min="8" max="8" width="30.125" customWidth="1"/>
  </cols>
  <sheetData>
    <row r="1" spans="1:9" ht="17.25" thickBot="1" x14ac:dyDescent="0.35">
      <c r="A1" s="29" t="s">
        <v>38</v>
      </c>
      <c r="B1" s="23" t="s">
        <v>17</v>
      </c>
      <c r="C1" s="23" t="s">
        <v>84</v>
      </c>
      <c r="D1" s="70" t="s">
        <v>19</v>
      </c>
      <c r="E1" s="71" t="s">
        <v>20</v>
      </c>
    </row>
    <row r="2" spans="1:9" ht="82.5" x14ac:dyDescent="0.3">
      <c r="A2" s="6" t="s">
        <v>7</v>
      </c>
      <c r="B2" s="72">
        <v>46020</v>
      </c>
      <c r="C2" s="57" t="s">
        <v>113</v>
      </c>
      <c r="D2" s="3">
        <v>5300000</v>
      </c>
      <c r="E2" s="50">
        <v>5444000</v>
      </c>
    </row>
    <row r="3" spans="1:9" x14ac:dyDescent="0.3">
      <c r="A3" s="2" t="s">
        <v>9</v>
      </c>
      <c r="B3" s="12"/>
      <c r="C3" s="2" t="s">
        <v>136</v>
      </c>
      <c r="D3" s="3">
        <v>1000000</v>
      </c>
      <c r="E3" s="5"/>
      <c r="G3" t="s">
        <v>21</v>
      </c>
      <c r="H3" t="s">
        <v>22</v>
      </c>
    </row>
    <row r="4" spans="1:9" x14ac:dyDescent="0.3">
      <c r="A4" s="2"/>
      <c r="B4" s="12"/>
      <c r="C4" s="2"/>
      <c r="D4" s="3"/>
      <c r="E4" s="5"/>
      <c r="H4" t="s">
        <v>23</v>
      </c>
      <c r="I4" t="s">
        <v>24</v>
      </c>
    </row>
    <row r="5" spans="1:9" x14ac:dyDescent="0.3">
      <c r="A5" s="2" t="s">
        <v>34</v>
      </c>
      <c r="B5" s="12" t="s">
        <v>138</v>
      </c>
      <c r="C5" s="2"/>
      <c r="D5" s="3">
        <v>400000</v>
      </c>
      <c r="E5" s="73">
        <v>400000</v>
      </c>
      <c r="H5" t="s">
        <v>25</v>
      </c>
    </row>
    <row r="6" spans="1:9" x14ac:dyDescent="0.3">
      <c r="A6" s="4" t="s">
        <v>13</v>
      </c>
      <c r="B6" s="12" t="s">
        <v>137</v>
      </c>
      <c r="C6" s="2" t="s">
        <v>136</v>
      </c>
      <c r="D6" s="3">
        <v>340000</v>
      </c>
      <c r="E6" s="73">
        <v>340000</v>
      </c>
      <c r="H6" t="s">
        <v>26</v>
      </c>
      <c r="I6" t="s">
        <v>27</v>
      </c>
    </row>
    <row r="7" spans="1:9" x14ac:dyDescent="0.3">
      <c r="A7" s="4" t="s">
        <v>14</v>
      </c>
      <c r="B7" s="12" t="s">
        <v>137</v>
      </c>
      <c r="C7" s="2"/>
      <c r="D7" s="3">
        <v>800000</v>
      </c>
      <c r="E7" s="73">
        <v>800000</v>
      </c>
    </row>
    <row r="8" spans="1:9" x14ac:dyDescent="0.3">
      <c r="A8" s="4" t="s">
        <v>35</v>
      </c>
      <c r="B8" s="12" t="s">
        <v>139</v>
      </c>
      <c r="C8" s="2" t="s">
        <v>116</v>
      </c>
      <c r="D8" s="3">
        <v>2830000</v>
      </c>
      <c r="E8" s="73">
        <v>2830000</v>
      </c>
    </row>
    <row r="9" spans="1:9" x14ac:dyDescent="0.3">
      <c r="A9" s="4" t="s">
        <v>15</v>
      </c>
      <c r="B9" s="12"/>
      <c r="C9" s="2"/>
      <c r="D9" s="3">
        <v>2500000</v>
      </c>
      <c r="E9" s="5">
        <v>2700000</v>
      </c>
    </row>
    <row r="10" spans="1:9" x14ac:dyDescent="0.3">
      <c r="A10" s="2"/>
      <c r="B10" s="12"/>
      <c r="C10" s="2"/>
      <c r="D10" s="3"/>
      <c r="E10" s="5"/>
    </row>
    <row r="11" spans="1:9" x14ac:dyDescent="0.3">
      <c r="A11" s="2"/>
      <c r="B11" s="12"/>
      <c r="C11" s="2"/>
      <c r="D11" s="3"/>
      <c r="E11" s="5"/>
    </row>
    <row r="12" spans="1:9" x14ac:dyDescent="0.3">
      <c r="A12" s="2"/>
      <c r="B12" s="12"/>
      <c r="C12" s="2"/>
      <c r="D12" s="3"/>
      <c r="E12" s="5"/>
    </row>
    <row r="13" spans="1:9" x14ac:dyDescent="0.3">
      <c r="A13" s="2" t="s">
        <v>70</v>
      </c>
      <c r="B13" s="12"/>
      <c r="C13" s="2"/>
      <c r="D13" s="3">
        <v>350000</v>
      </c>
      <c r="E13" s="5"/>
    </row>
    <row r="14" spans="1:9" x14ac:dyDescent="0.3">
      <c r="A14" s="4"/>
      <c r="B14" s="12"/>
      <c r="C14" s="2"/>
      <c r="D14" s="3"/>
      <c r="E14" s="5"/>
    </row>
    <row r="15" spans="1:9" x14ac:dyDescent="0.3">
      <c r="A15" s="4"/>
      <c r="B15" s="12"/>
      <c r="C15" s="2"/>
      <c r="D15" s="3"/>
      <c r="E15" s="5"/>
    </row>
    <row r="16" spans="1:9" x14ac:dyDescent="0.3">
      <c r="A16" s="4"/>
      <c r="B16" s="12"/>
      <c r="C16" s="2"/>
      <c r="D16" s="3"/>
      <c r="E16" s="5"/>
    </row>
    <row r="17" spans="1:5" x14ac:dyDescent="0.3">
      <c r="A17" s="4"/>
      <c r="B17" s="12"/>
      <c r="C17" s="2"/>
      <c r="D17" s="3"/>
      <c r="E17" s="5"/>
    </row>
    <row r="18" spans="1:5" x14ac:dyDescent="0.3">
      <c r="A18" s="4"/>
      <c r="B18" s="12"/>
      <c r="C18" s="2"/>
      <c r="D18" s="3"/>
      <c r="E18" s="5"/>
    </row>
    <row r="19" spans="1:5" x14ac:dyDescent="0.3">
      <c r="A19" s="4"/>
      <c r="B19" s="12"/>
      <c r="C19" s="2"/>
      <c r="D19" s="3"/>
      <c r="E19" s="5"/>
    </row>
    <row r="20" spans="1:5" x14ac:dyDescent="0.3">
      <c r="A20" s="4" t="s">
        <v>10</v>
      </c>
      <c r="B20" s="12" t="s">
        <v>140</v>
      </c>
      <c r="C20" s="2" t="s">
        <v>117</v>
      </c>
      <c r="D20" s="3">
        <v>450000</v>
      </c>
      <c r="E20" s="73">
        <v>450000</v>
      </c>
    </row>
    <row r="21" spans="1:5" x14ac:dyDescent="0.3">
      <c r="A21" s="4" t="s">
        <v>12</v>
      </c>
      <c r="B21" s="12" t="s">
        <v>141</v>
      </c>
      <c r="C21" s="2" t="s">
        <v>118</v>
      </c>
      <c r="D21" s="3">
        <v>1450000</v>
      </c>
      <c r="E21" s="73">
        <v>1450000</v>
      </c>
    </row>
    <row r="22" spans="1:5" ht="17.25" thickBot="1" x14ac:dyDescent="0.35">
      <c r="A22" s="2" t="s">
        <v>16</v>
      </c>
      <c r="B22" s="12"/>
      <c r="C22" s="2"/>
      <c r="D22" s="3">
        <v>1500000</v>
      </c>
      <c r="E22" s="7"/>
    </row>
    <row r="23" spans="1:5" ht="17.25" thickBot="1" x14ac:dyDescent="0.35">
      <c r="A23" s="8" t="s">
        <v>28</v>
      </c>
      <c r="B23" s="9"/>
      <c r="C23" s="9"/>
      <c r="D23" s="10">
        <f>SUM(D2:D22)</f>
        <v>16920000</v>
      </c>
      <c r="E23" s="11">
        <f>SUM(E2:E22)</f>
        <v>14414000</v>
      </c>
    </row>
  </sheetData>
  <phoneticPr fontId="2" type="noConversion"/>
  <pageMargins left="0.7" right="0.7" top="0.75" bottom="0.75" header="0.3" footer="0.3"/>
  <headerFooter>
    <oddFooter>&amp;C_x000D_&amp;1#&amp;"Calibri"&amp;8&amp;K000000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1D11-0342-4ADE-AC93-795747EE8A11}">
  <sheetPr>
    <tabColor theme="9" tint="0.79998168889431442"/>
  </sheetPr>
  <dimension ref="A3:G10"/>
  <sheetViews>
    <sheetView workbookViewId="0">
      <selection activeCell="G16" sqref="G16"/>
    </sheetView>
  </sheetViews>
  <sheetFormatPr defaultRowHeight="16.5" x14ac:dyDescent="0.3"/>
  <cols>
    <col min="1" max="1" width="37.125" customWidth="1"/>
    <col min="6" max="6" width="11" bestFit="1" customWidth="1"/>
    <col min="7" max="7" width="17.875" bestFit="1" customWidth="1"/>
  </cols>
  <sheetData>
    <row r="3" spans="1:7" ht="17.25" thickBot="1" x14ac:dyDescent="0.35"/>
    <row r="4" spans="1:7" ht="17.25" thickBot="1" x14ac:dyDescent="0.35">
      <c r="A4" t="s">
        <v>29</v>
      </c>
      <c r="B4" s="25" t="s">
        <v>30</v>
      </c>
      <c r="F4" s="64" t="s">
        <v>33</v>
      </c>
      <c r="G4" s="65"/>
    </row>
    <row r="5" spans="1:7" ht="17.25" thickBot="1" x14ac:dyDescent="0.35">
      <c r="A5" t="s">
        <v>31</v>
      </c>
      <c r="B5" s="25" t="s">
        <v>32</v>
      </c>
      <c r="F5" s="31" t="s">
        <v>35</v>
      </c>
      <c r="G5" s="32" t="s">
        <v>39</v>
      </c>
    </row>
    <row r="6" spans="1:7" ht="17.25" thickBot="1" x14ac:dyDescent="0.35">
      <c r="F6" s="29" t="s">
        <v>38</v>
      </c>
      <c r="G6" s="30" t="s">
        <v>37</v>
      </c>
    </row>
    <row r="7" spans="1:7" x14ac:dyDescent="0.3">
      <c r="F7" s="28" t="s">
        <v>34</v>
      </c>
      <c r="G7" s="33"/>
    </row>
    <row r="8" spans="1:7" x14ac:dyDescent="0.3">
      <c r="F8" s="13" t="s">
        <v>35</v>
      </c>
      <c r="G8" s="34">
        <v>2730000</v>
      </c>
    </row>
    <row r="9" spans="1:7" ht="17.25" thickBot="1" x14ac:dyDescent="0.35">
      <c r="F9" s="27" t="s">
        <v>36</v>
      </c>
      <c r="G9" s="35">
        <v>100000</v>
      </c>
    </row>
    <row r="10" spans="1:7" ht="17.25" thickBot="1" x14ac:dyDescent="0.35">
      <c r="F10" s="31" t="s">
        <v>28</v>
      </c>
      <c r="G10" s="36">
        <f>SUM(G7:G9)</f>
        <v>2830000</v>
      </c>
    </row>
  </sheetData>
  <mergeCells count="1">
    <mergeCell ref="F4:G4"/>
  </mergeCells>
  <phoneticPr fontId="2" type="noConversion"/>
  <hyperlinks>
    <hyperlink ref="B4" r:id="rId1" xr:uid="{8E6C20CF-CD32-42D6-801D-9F02C47B44B9}"/>
    <hyperlink ref="B5" r:id="rId2" xr:uid="{FEB7FB5A-848D-4721-B046-63B9A6992D2D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C2C85-377E-44C0-AF06-9352B1C642E8}">
  <dimension ref="A2:C13"/>
  <sheetViews>
    <sheetView workbookViewId="0">
      <selection activeCell="B12" sqref="B12"/>
    </sheetView>
  </sheetViews>
  <sheetFormatPr defaultRowHeight="16.5" x14ac:dyDescent="0.3"/>
  <cols>
    <col min="1" max="1" width="15.875" customWidth="1"/>
    <col min="2" max="2" width="29" bestFit="1" customWidth="1"/>
    <col min="3" max="3" width="29.625" bestFit="1" customWidth="1"/>
  </cols>
  <sheetData>
    <row r="2" spans="1:3" x14ac:dyDescent="0.3">
      <c r="B2" s="26" t="s">
        <v>44</v>
      </c>
      <c r="C2" s="26" t="s">
        <v>40</v>
      </c>
    </row>
    <row r="3" spans="1:3" x14ac:dyDescent="0.3">
      <c r="B3" s="26" t="s">
        <v>43</v>
      </c>
      <c r="C3" s="26" t="s">
        <v>64</v>
      </c>
    </row>
    <row r="5" spans="1:3" x14ac:dyDescent="0.3">
      <c r="A5" t="s">
        <v>65</v>
      </c>
      <c r="B5" s="26" t="s">
        <v>41</v>
      </c>
      <c r="C5" s="37">
        <v>2700000</v>
      </c>
    </row>
    <row r="6" spans="1:3" x14ac:dyDescent="0.3">
      <c r="B6" s="26" t="s">
        <v>42</v>
      </c>
      <c r="C6" s="37">
        <v>2600000</v>
      </c>
    </row>
    <row r="9" spans="1:3" ht="33" x14ac:dyDescent="0.3">
      <c r="A9" t="s">
        <v>66</v>
      </c>
      <c r="B9" s="58" t="s">
        <v>102</v>
      </c>
      <c r="C9" s="37">
        <v>3200000</v>
      </c>
    </row>
    <row r="10" spans="1:3" ht="49.5" x14ac:dyDescent="0.3">
      <c r="B10" s="58" t="s">
        <v>103</v>
      </c>
    </row>
    <row r="12" spans="1:3" x14ac:dyDescent="0.3">
      <c r="A12" t="s">
        <v>67</v>
      </c>
      <c r="B12" t="s">
        <v>68</v>
      </c>
    </row>
    <row r="13" spans="1:3" x14ac:dyDescent="0.3">
      <c r="B13" t="s">
        <v>69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34AEF-059E-44D0-B638-C21A69458B7B}">
  <sheetPr>
    <tabColor theme="9" tint="0.79998168889431442"/>
  </sheetPr>
  <dimension ref="E5:P30"/>
  <sheetViews>
    <sheetView workbookViewId="0">
      <selection activeCell="F29" sqref="F29"/>
    </sheetView>
  </sheetViews>
  <sheetFormatPr defaultRowHeight="16.5" x14ac:dyDescent="0.3"/>
  <cols>
    <col min="3" max="3" width="18.875" customWidth="1"/>
    <col min="4" max="4" width="23" customWidth="1"/>
    <col min="12" max="12" width="29.125" bestFit="1" customWidth="1"/>
    <col min="13" max="13" width="7.875" bestFit="1" customWidth="1"/>
    <col min="14" max="14" width="53.25" bestFit="1" customWidth="1"/>
  </cols>
  <sheetData>
    <row r="5" spans="12:16" x14ac:dyDescent="0.3">
      <c r="L5" t="s">
        <v>60</v>
      </c>
    </row>
    <row r="9" spans="12:16" x14ac:dyDescent="0.3">
      <c r="L9" s="55" t="s">
        <v>18</v>
      </c>
      <c r="M9" s="55" t="s">
        <v>83</v>
      </c>
      <c r="N9" s="55" t="s">
        <v>84</v>
      </c>
      <c r="O9" s="55" t="s">
        <v>17</v>
      </c>
      <c r="P9" s="55" t="s">
        <v>90</v>
      </c>
    </row>
    <row r="10" spans="12:16" ht="33" x14ac:dyDescent="0.3">
      <c r="L10" s="63" t="s">
        <v>123</v>
      </c>
      <c r="M10" s="68"/>
      <c r="N10" s="2" t="s">
        <v>119</v>
      </c>
      <c r="O10" s="12"/>
      <c r="P10" s="12"/>
    </row>
    <row r="11" spans="12:16" ht="33" x14ac:dyDescent="0.3">
      <c r="L11" s="63" t="s">
        <v>124</v>
      </c>
      <c r="M11" s="68">
        <v>800000</v>
      </c>
      <c r="N11" s="2"/>
      <c r="O11" s="12">
        <v>1.9</v>
      </c>
      <c r="P11" s="12" t="s">
        <v>132</v>
      </c>
    </row>
    <row r="12" spans="12:16" x14ac:dyDescent="0.3">
      <c r="L12" s="2" t="s">
        <v>57</v>
      </c>
      <c r="M12" s="68"/>
      <c r="N12" s="2"/>
      <c r="O12" s="12"/>
      <c r="P12" s="12"/>
    </row>
    <row r="13" spans="12:16" ht="33" x14ac:dyDescent="0.3">
      <c r="L13" s="63" t="s">
        <v>125</v>
      </c>
      <c r="M13" s="12"/>
      <c r="N13" s="2"/>
      <c r="O13" s="12"/>
      <c r="P13" s="12"/>
    </row>
    <row r="14" spans="12:16" ht="33" x14ac:dyDescent="0.3">
      <c r="L14" s="67" t="s">
        <v>126</v>
      </c>
      <c r="M14" s="74">
        <v>340000</v>
      </c>
      <c r="N14" s="67" t="s">
        <v>120</v>
      </c>
      <c r="O14" s="21">
        <v>1.9</v>
      </c>
      <c r="P14" s="21" t="s">
        <v>131</v>
      </c>
    </row>
    <row r="15" spans="12:16" ht="33" x14ac:dyDescent="0.3">
      <c r="L15" s="63" t="s">
        <v>127</v>
      </c>
      <c r="M15" s="68">
        <v>600000</v>
      </c>
      <c r="N15" s="2" t="s">
        <v>129</v>
      </c>
      <c r="O15" s="12"/>
      <c r="P15" s="12"/>
    </row>
    <row r="16" spans="12:16" ht="33" x14ac:dyDescent="0.3">
      <c r="L16" s="63" t="s">
        <v>128</v>
      </c>
      <c r="M16" s="68">
        <v>400000</v>
      </c>
      <c r="N16" s="63" t="s">
        <v>122</v>
      </c>
      <c r="O16" s="12"/>
      <c r="P16" s="12"/>
    </row>
    <row r="17" spans="5:16" ht="33" x14ac:dyDescent="0.3">
      <c r="L17" s="63" t="s">
        <v>130</v>
      </c>
      <c r="M17" s="68">
        <v>430000</v>
      </c>
      <c r="N17" s="63" t="s">
        <v>121</v>
      </c>
      <c r="O17" s="12"/>
      <c r="P17" s="12"/>
    </row>
    <row r="18" spans="5:16" x14ac:dyDescent="0.3">
      <c r="L18" s="63" t="s">
        <v>58</v>
      </c>
      <c r="M18" s="68"/>
      <c r="N18" s="63" t="s">
        <v>133</v>
      </c>
      <c r="O18" s="12"/>
      <c r="P18" s="12"/>
    </row>
    <row r="20" spans="5:16" x14ac:dyDescent="0.3">
      <c r="L20" s="69" t="s">
        <v>134</v>
      </c>
    </row>
    <row r="21" spans="5:16" ht="49.5" x14ac:dyDescent="0.3">
      <c r="L21" s="75" t="s">
        <v>59</v>
      </c>
      <c r="M21" s="74">
        <v>800000</v>
      </c>
      <c r="N21" s="67" t="s">
        <v>135</v>
      </c>
      <c r="O21" s="21">
        <v>1.9</v>
      </c>
      <c r="P21" s="21" t="s">
        <v>131</v>
      </c>
    </row>
    <row r="28" spans="5:16" x14ac:dyDescent="0.3">
      <c r="E28" s="58"/>
    </row>
    <row r="30" spans="5:16" x14ac:dyDescent="0.3">
      <c r="E30" s="58"/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5FDF9-1A2C-47EC-9ABE-E6DB06A3AD0E}">
  <sheetPr>
    <tabColor theme="9" tint="0.79998168889431442"/>
  </sheetPr>
  <dimension ref="I2:V12"/>
  <sheetViews>
    <sheetView workbookViewId="0">
      <selection activeCell="U11" sqref="U11"/>
    </sheetView>
  </sheetViews>
  <sheetFormatPr defaultRowHeight="16.5" x14ac:dyDescent="0.3"/>
  <cols>
    <col min="1" max="17" width="9" style="1"/>
    <col min="18" max="18" width="21.5" style="1" bestFit="1" customWidth="1"/>
    <col min="19" max="19" width="10.875" style="1" bestFit="1" customWidth="1"/>
    <col min="20" max="20" width="40.625" style="1" bestFit="1" customWidth="1"/>
    <col min="21" max="21" width="9.5" style="1" bestFit="1" customWidth="1"/>
    <col min="22" max="22" width="21.125" style="1" bestFit="1" customWidth="1"/>
    <col min="23" max="16384" width="9" style="1"/>
  </cols>
  <sheetData>
    <row r="2" spans="9:22" x14ac:dyDescent="0.3">
      <c r="I2" s="51" t="s">
        <v>71</v>
      </c>
    </row>
    <row r="5" spans="9:22" x14ac:dyDescent="0.3">
      <c r="R5" s="55" t="s">
        <v>18</v>
      </c>
      <c r="S5" s="55" t="s">
        <v>83</v>
      </c>
      <c r="T5" s="55" t="s">
        <v>84</v>
      </c>
      <c r="U5" s="55" t="s">
        <v>17</v>
      </c>
      <c r="V5" s="55" t="s">
        <v>90</v>
      </c>
    </row>
    <row r="6" spans="9:22" ht="115.5" x14ac:dyDescent="0.3">
      <c r="R6" s="54" t="s">
        <v>72</v>
      </c>
      <c r="S6" s="54">
        <v>1800000</v>
      </c>
      <c r="T6" s="52" t="s">
        <v>85</v>
      </c>
      <c r="U6" s="54" t="s">
        <v>87</v>
      </c>
      <c r="V6" s="54" t="s">
        <v>91</v>
      </c>
    </row>
    <row r="7" spans="9:22" ht="99" x14ac:dyDescent="0.3">
      <c r="R7" s="54" t="s">
        <v>82</v>
      </c>
      <c r="S7" s="54">
        <v>1500000</v>
      </c>
      <c r="T7" s="52" t="s">
        <v>86</v>
      </c>
      <c r="U7" s="53" t="s">
        <v>88</v>
      </c>
      <c r="V7" s="54" t="s">
        <v>91</v>
      </c>
    </row>
    <row r="8" spans="9:22" x14ac:dyDescent="0.3">
      <c r="R8" s="54" t="s">
        <v>94</v>
      </c>
      <c r="S8" s="54"/>
      <c r="T8" s="52"/>
      <c r="U8" s="53"/>
      <c r="V8" s="54" t="s">
        <v>95</v>
      </c>
    </row>
    <row r="9" spans="9:22" x14ac:dyDescent="0.3">
      <c r="R9" s="54" t="s">
        <v>93</v>
      </c>
      <c r="S9" s="54"/>
      <c r="T9" s="52"/>
      <c r="U9" s="53"/>
      <c r="V9" s="54" t="s">
        <v>96</v>
      </c>
    </row>
    <row r="10" spans="9:22" x14ac:dyDescent="0.3">
      <c r="R10" s="60" t="s">
        <v>99</v>
      </c>
      <c r="S10" s="60"/>
      <c r="T10" s="61"/>
      <c r="U10" s="62" t="s">
        <v>142</v>
      </c>
      <c r="V10" s="60" t="s">
        <v>96</v>
      </c>
    </row>
    <row r="11" spans="9:22" x14ac:dyDescent="0.3">
      <c r="R11" s="54" t="s">
        <v>92</v>
      </c>
      <c r="S11" s="54"/>
      <c r="T11" s="52"/>
      <c r="U11" s="53"/>
      <c r="V11" s="54" t="s">
        <v>97</v>
      </c>
    </row>
    <row r="12" spans="9:22" x14ac:dyDescent="0.3">
      <c r="R12" s="54" t="s">
        <v>89</v>
      </c>
      <c r="S12" s="54"/>
      <c r="T12" s="52"/>
      <c r="U12" s="53"/>
      <c r="V12" s="54" t="s">
        <v>98</v>
      </c>
    </row>
  </sheetData>
  <phoneticPr fontId="2" type="noConversion"/>
  <hyperlinks>
    <hyperlink ref="I2" r:id="rId1" xr:uid="{743186CF-C703-420F-A769-9DA1DB600207}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7A129-DA4D-4E6F-A6C8-C3AF9DBC48AA}">
  <sheetPr>
    <tabColor theme="9" tint="0.79998168889431442"/>
  </sheetPr>
  <dimension ref="A3:J13"/>
  <sheetViews>
    <sheetView workbookViewId="0">
      <selection activeCell="H23" sqref="H23"/>
    </sheetView>
  </sheetViews>
  <sheetFormatPr defaultRowHeight="16.5" x14ac:dyDescent="0.3"/>
  <cols>
    <col min="1" max="1" width="19.75" bestFit="1" customWidth="1"/>
    <col min="2" max="2" width="24.625" customWidth="1"/>
    <col min="6" max="6" width="14.375" bestFit="1" customWidth="1"/>
    <col min="8" max="8" width="37.25" bestFit="1" customWidth="1"/>
    <col min="9" max="9" width="14" bestFit="1" customWidth="1"/>
    <col min="10" max="10" width="29.375" bestFit="1" customWidth="1"/>
  </cols>
  <sheetData>
    <row r="3" spans="1:10" x14ac:dyDescent="0.3">
      <c r="A3" t="s">
        <v>75</v>
      </c>
    </row>
    <row r="4" spans="1:10" x14ac:dyDescent="0.3">
      <c r="A4" t="s">
        <v>76</v>
      </c>
      <c r="B4" t="s">
        <v>79</v>
      </c>
    </row>
    <row r="5" spans="1:10" x14ac:dyDescent="0.3">
      <c r="A5" t="s">
        <v>77</v>
      </c>
    </row>
    <row r="6" spans="1:10" x14ac:dyDescent="0.3">
      <c r="A6" t="s">
        <v>78</v>
      </c>
      <c r="B6" t="s">
        <v>80</v>
      </c>
      <c r="C6" t="s">
        <v>81</v>
      </c>
    </row>
    <row r="10" spans="1:10" x14ac:dyDescent="0.3">
      <c r="F10" s="55" t="s">
        <v>18</v>
      </c>
      <c r="G10" s="55" t="s">
        <v>83</v>
      </c>
      <c r="H10" s="55" t="s">
        <v>84</v>
      </c>
      <c r="I10" s="55" t="s">
        <v>17</v>
      </c>
      <c r="J10" s="55" t="s">
        <v>90</v>
      </c>
    </row>
    <row r="11" spans="1:10" ht="165" x14ac:dyDescent="0.3">
      <c r="F11" s="46" t="s">
        <v>110</v>
      </c>
      <c r="G11" s="21" t="s">
        <v>106</v>
      </c>
      <c r="H11" s="67" t="s">
        <v>108</v>
      </c>
      <c r="I11" s="21" t="s">
        <v>107</v>
      </c>
      <c r="J11" s="21" t="s">
        <v>109</v>
      </c>
    </row>
    <row r="12" spans="1:10" ht="33" x14ac:dyDescent="0.3">
      <c r="F12" s="42" t="s">
        <v>111</v>
      </c>
      <c r="G12" s="12"/>
      <c r="H12" s="63"/>
      <c r="I12" s="12"/>
      <c r="J12" s="12"/>
    </row>
    <row r="13" spans="1:10" ht="33" x14ac:dyDescent="0.3">
      <c r="F13" s="42" t="s">
        <v>112</v>
      </c>
      <c r="G13" s="12"/>
      <c r="H13" s="63"/>
      <c r="I13" s="12"/>
      <c r="J13" s="12"/>
    </row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e753c2c-bb14-4786-921b-97c6a6fc424f}" enabled="1" method="Standard" siteId="{3bd97919-57c3-48d3-9e9a-8e4c01614a8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일정</vt:lpstr>
      <vt:lpstr>예산</vt:lpstr>
      <vt:lpstr>마루</vt:lpstr>
      <vt:lpstr>도배</vt:lpstr>
      <vt:lpstr>전기_목공</vt:lpstr>
      <vt:lpstr>이사</vt:lpstr>
      <vt:lpstr>입주청소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Ha, YuJin</dc:creator>
  <cp:keywords/>
  <dc:description/>
  <cp:lastModifiedBy>3337</cp:lastModifiedBy>
  <cp:revision/>
  <dcterms:created xsi:type="dcterms:W3CDTF">2025-12-22T04:24:11Z</dcterms:created>
  <dcterms:modified xsi:type="dcterms:W3CDTF">2025-12-29T13:36:45Z</dcterms:modified>
  <cp:category/>
  <cp:contentStatus/>
</cp:coreProperties>
</file>