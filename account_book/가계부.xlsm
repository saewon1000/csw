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7CCA5587-A63F-4B0B-91C3-D5167CD5C929}" xr6:coauthVersionLast="47" xr6:coauthVersionMax="47" xr10:uidLastSave="{00000000-0000-0000-0000-000000000000}"/>
  <bookViews>
    <workbookView xWindow="-120" yWindow="-120" windowWidth="38640" windowHeight="21240" activeTab="11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3" l="1"/>
  <c r="R16" i="3"/>
  <c r="T16" i="3"/>
  <c r="V16" i="3"/>
  <c r="X16" i="3"/>
  <c r="Q4" i="12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C57" i="19" s="1"/>
  <c r="O89" i="18"/>
  <c r="L89" i="18"/>
  <c r="C48" i="18" s="1"/>
  <c r="I89" i="18"/>
  <c r="C57" i="18" s="1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39" i="8"/>
  <c r="B11" i="8"/>
  <c r="C24" i="21" a="1"/>
  <c r="C23" i="21" a="1"/>
  <c r="C48" i="15" l="1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7" i="19" s="1"/>
  <c r="C5" i="15"/>
  <c r="C7" i="15" s="1"/>
  <c r="C5" i="14"/>
  <c r="C5" i="10"/>
  <c r="C5" i="20"/>
  <c r="C7" i="20" s="1"/>
  <c r="C5" i="18"/>
  <c r="C6" i="18" s="1"/>
  <c r="C5" i="17"/>
  <c r="C7" i="17" s="1"/>
  <c r="C5" i="16"/>
  <c r="C7" i="16" s="1"/>
  <c r="C5" i="13"/>
  <c r="C5" i="12"/>
  <c r="C5" i="11"/>
  <c r="C5" i="9"/>
  <c r="C6" i="15" l="1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67" i="8" l="1"/>
  <c r="W10" i="3" s="1"/>
  <c r="V67" i="8"/>
  <c r="U10" i="3" s="1"/>
  <c r="T67" i="8"/>
  <c r="S10" i="3" s="1"/>
  <c r="R67" i="8"/>
  <c r="Q10" i="3" s="1"/>
  <c r="P67" i="8"/>
  <c r="O10" i="3" s="1"/>
  <c r="N67" i="8"/>
  <c r="M10" i="3" s="1"/>
  <c r="L67" i="8"/>
  <c r="K10" i="3" s="1"/>
  <c r="J67" i="8"/>
  <c r="I10" i="3" s="1"/>
  <c r="H67" i="8"/>
  <c r="G10" i="3" s="1"/>
  <c r="F67" i="8"/>
  <c r="E10" i="3" s="1"/>
  <c r="D67" i="8"/>
  <c r="C10" i="3" s="1"/>
  <c r="AC19" i="8"/>
  <c r="AB10" i="3" s="1"/>
  <c r="AA19" i="8"/>
  <c r="Z10" i="3" s="1"/>
  <c r="S11" i="3" l="1"/>
  <c r="Z11" i="3"/>
  <c r="C5" i="3" s="1"/>
  <c r="C11" i="3"/>
  <c r="T68" i="8"/>
  <c r="AA20" i="8"/>
  <c r="D68" i="8"/>
  <c r="C12" i="3" l="1"/>
  <c r="C4" i="3" s="1"/>
  <c r="D69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<sst xmlns="http://schemas.openxmlformats.org/spreadsheetml/2006/main" count="3262" uniqueCount="575">
  <si>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</si>
  <si>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</si>
  <si>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</si>
  <si>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</si>
  <si>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</si>
  <si>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</si>
  <si>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</si>
  <si>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</si>
  <si>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</si>
  <si>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</si>
  <si>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</si>
  <si>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</si>
  <si>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</si>
  <si>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</si>
  <si>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</si>
  <si>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</si>
  <si>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</si>
  <si>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</si>
  <si>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</si>
  <si>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</si>
  <si>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</si>
  <si>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</si>
  <si>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</si>
  <si>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</si>
  <si>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</si>
  <si>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</si>
  <si>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</si>
  <si>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</si>
  <si>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</si>
  <si>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</si>
  <si>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</si>
  <si>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</si>
  <si>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</si>
  <si>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</si>
  <si>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</si>
  <si>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</si>
  <si>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</si>
  <si>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</si>
  <si>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</si>
  <si>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</si>
  <si>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</si>
  <si>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</si>
  <si>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</si>
  <si>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</si>
  <si>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</si>
  <si>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</si>
  <si>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</si>
  <si>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</si>
  <si>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</si>
  <si>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</si>
  <si>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</si>
  <si>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</si>
  <si>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</si>
  <si>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</si>
  <si>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</si>
  <si>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</si>
  <si>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</si>
  <si>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</si>
  <si>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</si>
  <si>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</si>
  <si>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</si>
  <si>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</si>
  <si>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</si>
  <si>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</si>
  <si>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</si>
  <si>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</si>
  <si>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</si>
  <si>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</si>
  <si>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</si>
  <si>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</si>
  <si>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</si>
  <si>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</si>
  <si>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</si>
  <si>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</si>
  <si>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</si>
  <si>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</si>
  <si>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</si>
  <si>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</si>
  <si>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</si>
  <si>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</si>
  <si>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</si>
  <si>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</si>
  <si>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</si>
  <si>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</si>
  <si>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</si>
  <si>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</si>
  <si>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</si>
  <si>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</si>
  <si>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</si>
  <si>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</si>
  <si>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</si>
  <si>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</si>
  <si>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</si>
  <si>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</si>
  <si>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</si>
  <si>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</si>
  <si>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</si>
  <si>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</si>
  <si>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</si>
  <si>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</si>
  <si>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</si>
  <si>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</si>
  <si>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</si>
  <si>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</si>
  <si>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</si>
  <si>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</si>
  <si>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</si>
  <si>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</si>
  <si>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</si>
  <si>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</si>
  <si>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</si>
  <si>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</si>
  <si>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</si>
  <si>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</si>
  <si>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</si>
  <si>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아워홈콘티넨탈세종점</t>
  </si>
  <si>
    <t>DB손해보험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</si>
  <si>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</si>
  <si>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</si>
  <si>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</si>
  <si>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</si>
  <si>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</si>
  <si>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</si>
  <si>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</si>
  <si>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</si>
  <si>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</si>
  <si>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</si>
  <si>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</si>
  <si>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</si>
  <si>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</si>
  <si>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</si>
  <si>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</si>
  <si>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</si>
  <si>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</si>
  <si>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</si>
  <si>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</si>
  <si>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</si>
  <si>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</si>
  <si>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</si>
  <si>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</si>
  <si>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</si>
  <si>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</si>
  <si>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</si>
  <si>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</si>
  <si>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</si>
  <si>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</si>
  <si>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</si>
  <si>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</si>
  <si>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</si>
  <si>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</si>
  <si>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</si>
  <si>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</si>
  <si>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</si>
  <si>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</si>
  <si>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</si>
  <si>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</si>
  <si>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</si>
  <si>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</si>
  <si>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</si>
  <si>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</si>
  <si>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</si>
  <si>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</si>
  <si>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</si>
  <si>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</si>
  <si>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</si>
  <si>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</si>
  <si>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</si>
  <si>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</si>
  <si>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</si>
  <si>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</si>
  <si>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</si>
  <si>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</si>
  <si>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</si>
  <si>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</si>
  <si>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</si>
  <si>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</si>
  <si>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</si>
  <si>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</si>
  <si>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</si>
  <si>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</si>
  <si>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</si>
  <si>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</si>
  <si>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</si>
  <si>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</si>
  <si>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</si>
  <si>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</si>
  <si>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</si>
  <si>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</si>
  <si>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</si>
  <si>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</si>
  <si>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</si>
  <si>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</si>
  <si>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</si>
  <si>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</si>
  <si>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</si>
  <si>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</si>
  <si>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</si>
  <si>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</si>
  <si>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</si>
  <si>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</si>
  <si>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</si>
  <si>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</si>
  <si>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</si>
  <si>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</si>
  <si>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</si>
  <si>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애플</t>
  </si>
  <si>
    <t>DB손12701</t>
  </si>
  <si>
    <t>국민은행LiivM</t>
  </si>
  <si>
    <t>세종부강농업협동</t>
  </si>
  <si>
    <t>서울삼성이비인후</t>
  </si>
  <si>
    <t>노브랜드세종나성</t>
  </si>
  <si>
    <t>스타벅스 코리아</t>
  </si>
  <si>
    <t>급여</t>
  </si>
  <si>
    <t>급여 콘티넨탈</t>
  </si>
  <si>
    <t>상여 콘티넨탈</t>
  </si>
  <si>
    <t>삼성305</t>
  </si>
  <si>
    <t>CONTINENTA</t>
  </si>
  <si>
    <t>내계좌이체</t>
  </si>
  <si>
    <t>삼성천세원</t>
  </si>
  <si>
    <t>주식회사 아성다</t>
  </si>
  <si>
    <t>지방세입금1건</t>
  </si>
  <si>
    <t>이자</t>
  </si>
  <si>
    <t>(주)케이비손해</t>
  </si>
  <si>
    <t>(주)부자송산휴</t>
  </si>
  <si>
    <t>터미널W PHO</t>
  </si>
  <si>
    <t>트래블월렛</t>
  </si>
  <si>
    <t>우리카드결제대금</t>
  </si>
  <si>
    <t>메리츠001건</t>
  </si>
  <si>
    <t>2회-천세원</t>
  </si>
  <si>
    <t>입금 내역</t>
  </si>
  <si>
    <t>천세원청약82</t>
  </si>
  <si>
    <t>퇴직연금-천세원</t>
  </si>
  <si>
    <t>하유진</t>
  </si>
  <si>
    <t>용돈</t>
  </si>
  <si>
    <t>김경희비행기</t>
  </si>
  <si>
    <t>정기이자 입금</t>
  </si>
  <si>
    <t>입출금통장 이자</t>
  </si>
  <si>
    <t>COCO SPRMRKET UBUD MBL\PT.BALI PAWIWAHAN</t>
  </si>
  <si>
    <t>APPROPRIATE\NI LUH SUR     JL.MONKEY\GIA</t>
  </si>
  <si>
    <t>UBUD VILLAGE HOTEL\VIYASA KAR     JL.MON</t>
  </si>
  <si>
    <t>한화손02건</t>
  </si>
  <si>
    <t>HONZEN SUMIZEN\CIPTA PRIM     AYANA RESO</t>
  </si>
  <si>
    <t>오늘은타이어</t>
  </si>
  <si>
    <t>주식회사마켓세종</t>
  </si>
  <si>
    <t>(주)아워홈 콘티넨탈 세종점</t>
  </si>
  <si>
    <t>HATIKU JIMBARAN MBL\HATIKU JIMBARAN</t>
  </si>
  <si>
    <t>김경희여행경비</t>
  </si>
  <si>
    <t>김경희하봉수</t>
  </si>
  <si>
    <t>대출</t>
  </si>
  <si>
    <t>천세원_생활비</t>
  </si>
  <si>
    <t>AMAZON.COM LLC                        \\</t>
  </si>
  <si>
    <t>AMAZON MARKEPLACE NA  PA              \\</t>
  </si>
  <si>
    <t>주식회사 놀유니버스</t>
  </si>
  <si>
    <t>모바일입출금계좌해지</t>
  </si>
  <si>
    <t>아마존닷컴</t>
  </si>
  <si>
    <t>오넌커피로스터스</t>
  </si>
  <si>
    <t>회싸게파는집 활</t>
  </si>
  <si>
    <t>지에스25 대화</t>
  </si>
  <si>
    <t>국민천세원</t>
  </si>
  <si>
    <t>에스엠하이플러스</t>
  </si>
  <si>
    <t>DB손12802</t>
  </si>
  <si>
    <t>메리츠천세원</t>
  </si>
  <si>
    <t>3회-천세원</t>
  </si>
  <si>
    <t>하나카드</t>
  </si>
  <si>
    <t>천세원청약83</t>
  </si>
  <si>
    <t>한*화</t>
  </si>
  <si>
    <t>박*용</t>
  </si>
  <si>
    <t>김*수</t>
  </si>
  <si>
    <t>김*영</t>
  </si>
  <si>
    <t>신*수</t>
  </si>
  <si>
    <t>정*영</t>
  </si>
  <si>
    <t>농협송보경</t>
  </si>
  <si>
    <t>323계좌개설</t>
  </si>
  <si>
    <t>BC바로카드</t>
  </si>
  <si>
    <t>C:\git\csw\account_book\지출내역\세원_2024-07-21~2025-07-21.xlsx</t>
    <phoneticPr fontId="1" type="noConversion"/>
  </si>
  <si>
    <t>C:\git\csw\account_book\지출내역\유진_2024-07-21~2025-07-21.xlsx</t>
    <phoneticPr fontId="1" type="noConversion"/>
  </si>
  <si>
    <t>Invesco QQQ Trust ETF</t>
  </si>
  <si>
    <t>테슬라</t>
  </si>
  <si>
    <t>퓨어 스토리지</t>
  </si>
  <si>
    <t>존슨앤드존슨</t>
  </si>
  <si>
    <t>KB 특★한 적금</t>
  </si>
  <si>
    <t>네이버페이 머니 - epik****</t>
  </si>
  <si>
    <t>네이버페이 머니 - huj1****</t>
  </si>
  <si>
    <t>메리츠다이렉트(인터넷)개인용자동차보험</t>
  </si>
  <si>
    <t>콘티넨탈오토모티브일렉트로닉스 유한책임회사</t>
  </si>
  <si>
    <t>네이버플러스멤버십</t>
  </si>
  <si>
    <t>(주)우아한형제들</t>
  </si>
  <si>
    <t>충전 내역</t>
  </si>
  <si>
    <t>한국철도공사</t>
  </si>
  <si>
    <t>현대카드주식회사</t>
  </si>
  <si>
    <t>세종권약국</t>
  </si>
  <si>
    <t>케이비손해보험</t>
  </si>
  <si>
    <t>부자송산휴게소</t>
  </si>
  <si>
    <t>Grab* A-7ESWBP3WWIVQ   JAKARTA PUSAT IDN</t>
  </si>
  <si>
    <t>Grab* A-7ES7E2GWWJ6H   JAKARTA PUSAT IDN</t>
  </si>
  <si>
    <t>Grab* A-7FWDUWFWWIOB   JAKARTA PUSAT IDN</t>
  </si>
  <si>
    <t>Grab* A-7F8BI7CWWJCR   JAKARTA PUSAT IDN</t>
  </si>
  <si>
    <t>Grab* A-7F8QRB3GWJCR   JAKARTA PUSAT IDN</t>
  </si>
  <si>
    <t>Grab* A-7FCQ48OGWIWM   JAKARTA PUSAT IDN</t>
  </si>
  <si>
    <t>백채김치찌개 세종나성점</t>
  </si>
  <si>
    <t>샤브마니아</t>
  </si>
  <si>
    <t>참치정육점 세종점</t>
  </si>
  <si>
    <t>코스트코_온라인</t>
  </si>
  <si>
    <t>신협온뱅크신규</t>
  </si>
  <si>
    <t>복도리 협동조합</t>
  </si>
  <si>
    <t>세븐일레븐케이트리호텔점</t>
  </si>
  <si>
    <t>아파트관리비</t>
  </si>
  <si>
    <t>컴포즈커피세종새롬점</t>
  </si>
  <si>
    <t>씨유CU아산권곡주공점</t>
  </si>
  <si>
    <t>여민전</t>
  </si>
  <si>
    <t>하*진</t>
  </si>
  <si>
    <t>한승화</t>
  </si>
  <si>
    <t>갓 튀긴 후라이드</t>
  </si>
  <si>
    <t>예금결산이자</t>
  </si>
  <si>
    <t>GS25세종캐슬</t>
  </si>
  <si>
    <t>SKB6522025232</t>
  </si>
  <si>
    <t>DB손12903</t>
  </si>
  <si>
    <t>4회-천세원</t>
  </si>
  <si>
    <t>천세원청약84</t>
  </si>
  <si>
    <t>삼성히어링</t>
  </si>
  <si>
    <t>80350300100418  , 2회차</t>
  </si>
  <si>
    <t>하*헌</t>
  </si>
  <si>
    <t>롯데카드2503</t>
  </si>
  <si>
    <t>테크런 대전점</t>
  </si>
  <si>
    <t>센스프레임</t>
  </si>
  <si>
    <t>현대카드</t>
  </si>
  <si>
    <t>현대자동차 블루핸즈 세종서부점</t>
  </si>
  <si>
    <t>비즈플레이</t>
  </si>
  <si>
    <t>카페하노이</t>
  </si>
  <si>
    <t>롯데슈퍼세종캐슬점</t>
  </si>
  <si>
    <t>감성먹거리</t>
  </si>
  <si>
    <t>다이소아성산업</t>
  </si>
  <si>
    <t>복도리카페</t>
  </si>
  <si>
    <t>Steam Purchase</t>
  </si>
  <si>
    <t>*****</t>
  </si>
  <si>
    <t>결산이자</t>
  </si>
  <si>
    <t>출금 내역</t>
  </si>
  <si>
    <t>세종중앙농협새뜸지점</t>
  </si>
  <si>
    <t>롯데리아세종새롬점</t>
  </si>
  <si>
    <t>송기원진주냉면 세종부강점</t>
  </si>
  <si>
    <t>통장 개설</t>
  </si>
  <si>
    <t>모로칸오일 공식스토어</t>
  </si>
  <si>
    <t>코스트코코리아</t>
  </si>
  <si>
    <t>차이니스루</t>
  </si>
  <si>
    <t>곽*경</t>
  </si>
  <si>
    <t>천*원</t>
  </si>
  <si>
    <t>동방에프앤비부강옥세종지점</t>
  </si>
  <si>
    <t>행복주유소</t>
  </si>
  <si>
    <t>3월 사내의료비</t>
  </si>
  <si>
    <t>국민하유진_생활비</t>
  </si>
  <si>
    <t>롯데월드어드벤처부산</t>
  </si>
  <si>
    <t>한국전자금융</t>
  </si>
  <si>
    <t>주식회사 티머니</t>
  </si>
  <si>
    <t>쿠팡 주식회사</t>
  </si>
  <si>
    <t>용포호랑이 칼국수</t>
  </si>
  <si>
    <t>군산조개천국</t>
  </si>
  <si>
    <t>DB손13004</t>
  </si>
  <si>
    <t>노브랜드버거  세종새롬점</t>
  </si>
  <si>
    <t>서해영</t>
  </si>
  <si>
    <t>정훈카전문정비</t>
  </si>
  <si>
    <t>엔에이치엔케이씨피 주식회사</t>
  </si>
  <si>
    <t>5회-천세원</t>
  </si>
  <si>
    <t>농협권영진</t>
  </si>
  <si>
    <t>천세원청약85</t>
  </si>
  <si>
    <t>복도리 카페</t>
  </si>
  <si>
    <t>80350300100418  , 3회차</t>
  </si>
  <si>
    <t>ALIPAY CONNECT PTE. LTD</t>
  </si>
  <si>
    <t>롯데카드2504</t>
  </si>
  <si>
    <t>캡스톤 공식몰</t>
  </si>
  <si>
    <t>온누리충전</t>
  </si>
  <si>
    <t>김국자</t>
  </si>
  <si>
    <t>주식회사 카카오스타일</t>
  </si>
  <si>
    <t>마이리얼트립</t>
  </si>
  <si>
    <t>주식회사케이엠디에</t>
  </si>
  <si>
    <t>구주나성</t>
  </si>
  <si>
    <t>박가네돼지국밥</t>
  </si>
  <si>
    <t>명작자동차공업사</t>
  </si>
  <si>
    <t>피앙세포토</t>
  </si>
  <si>
    <t>GS THE FRESH 세종가온마을점</t>
  </si>
  <si>
    <t>쿠프마케팅</t>
  </si>
  <si>
    <t>일본직구 엔핍</t>
  </si>
  <si>
    <t>정두영</t>
  </si>
  <si>
    <t>곽진경</t>
  </si>
  <si>
    <t>61610304323291  , 2회차</t>
  </si>
  <si>
    <t>노브랜드세종나성점</t>
  </si>
  <si>
    <t>롯데프레시세종나성점</t>
  </si>
  <si>
    <t>도블레</t>
  </si>
  <si>
    <t>돌솥순두부</t>
  </si>
  <si>
    <t>좋은느낌 스토어</t>
  </si>
  <si>
    <t>(의재)인화재단</t>
  </si>
  <si>
    <t>마이신한포인트</t>
  </si>
  <si>
    <t>(주)베이콜로지</t>
  </si>
  <si>
    <t>(주)커피빈코리</t>
  </si>
  <si>
    <t>티웨이항공(마이리얼트립)</t>
  </si>
  <si>
    <t>(주) 제주항공</t>
  </si>
  <si>
    <t>(주)제주항공</t>
  </si>
  <si>
    <t>교통-버스2건</t>
  </si>
  <si>
    <t>연와종</t>
  </si>
  <si>
    <t>코오롱글로벌(주)스</t>
  </si>
  <si>
    <t>카카오페이</t>
  </si>
  <si>
    <t>인생아구찜 세종</t>
  </si>
  <si>
    <t>DB손해보험(주</t>
  </si>
  <si>
    <t>티머니GO</t>
  </si>
  <si>
    <t>DB손13105</t>
  </si>
  <si>
    <t>국시트멍</t>
  </si>
  <si>
    <t>중문회어시장</t>
  </si>
  <si>
    <t>지에스 25 중</t>
  </si>
  <si>
    <t>노란열매농업회사</t>
  </si>
  <si>
    <t>고깃집돈누리</t>
  </si>
  <si>
    <t>6회-천세원</t>
  </si>
  <si>
    <t>천세원청약86</t>
  </si>
  <si>
    <t>80350300100418  , 4회차</t>
  </si>
  <si>
    <t>모밀엔카츠</t>
  </si>
  <si>
    <t>인화재단한국병원</t>
  </si>
  <si>
    <t>아이디헤어 세종나성점</t>
  </si>
  <si>
    <t>당근페이</t>
  </si>
  <si>
    <t>카카오326</t>
  </si>
  <si>
    <t>대한항공_온라인</t>
  </si>
  <si>
    <t>말리오션스파펜션</t>
  </si>
  <si>
    <t>월급쟁이부자들</t>
  </si>
  <si>
    <t>세종로주유소</t>
  </si>
  <si>
    <t>김훈</t>
  </si>
  <si>
    <t>소원하나로마트</t>
  </si>
  <si>
    <t>GS25태안만리포점</t>
  </si>
  <si>
    <t>씨유태안만리포점</t>
  </si>
  <si>
    <t>적립 내역</t>
  </si>
  <si>
    <t>박*현</t>
  </si>
  <si>
    <t>김*진</t>
  </si>
  <si>
    <t>십일번가 주식회사</t>
  </si>
  <si>
    <t>모슬여휘</t>
  </si>
  <si>
    <t>차수정</t>
  </si>
  <si>
    <t>주차장_나이스</t>
  </si>
  <si>
    <t>사업수입</t>
  </si>
  <si>
    <t>삼성카드</t>
  </si>
  <si>
    <t>이마트세종점</t>
  </si>
  <si>
    <t>주식회사 여기어때컴퍼니</t>
  </si>
  <si>
    <t>황남빵</t>
  </si>
  <si>
    <t>신지몰스토어</t>
  </si>
  <si>
    <t>김경희</t>
  </si>
  <si>
    <t>카카오454</t>
  </si>
  <si>
    <t>61610304323291  , 3회차</t>
  </si>
  <si>
    <t>카카오356</t>
  </si>
  <si>
    <t>Alipay Plus</t>
  </si>
  <si>
    <t>피제리아무로</t>
  </si>
  <si>
    <t>카카오533</t>
  </si>
  <si>
    <t>카카오350</t>
  </si>
  <si>
    <t>김*화</t>
  </si>
  <si>
    <t>이*원</t>
  </si>
  <si>
    <t>서울삼성이비인후과의원</t>
  </si>
  <si>
    <t>세종다온약국</t>
  </si>
  <si>
    <t>유쎈아이디</t>
  </si>
  <si>
    <t>체크535</t>
  </si>
  <si>
    <t>여민전__체크</t>
  </si>
  <si>
    <t>농업회사법인주식</t>
  </si>
  <si>
    <t>토스페이먼츠 주식회사</t>
  </si>
  <si>
    <t>금용 중화요리</t>
  </si>
  <si>
    <t>(주)카카오페이</t>
  </si>
  <si>
    <t>롯데슈퍼 세종캐</t>
  </si>
  <si>
    <t>지에스25 세종</t>
  </si>
  <si>
    <t>폴 바셋 파미에</t>
  </si>
  <si>
    <t>이마트24 서울</t>
  </si>
  <si>
    <t>포토 그레이(나</t>
  </si>
  <si>
    <t>교통-버스3건</t>
  </si>
  <si>
    <t>교통-지하철6건</t>
  </si>
  <si>
    <t>해피데이 파자마</t>
  </si>
  <si>
    <t>곤드레말(주)</t>
  </si>
  <si>
    <t>티머니 전국시외버스</t>
  </si>
  <si>
    <t>씨제이올리브영(</t>
  </si>
  <si>
    <t>롯데쇼핑(주)아</t>
  </si>
  <si>
    <t>장원갑칼국수 세종본점</t>
  </si>
  <si>
    <t>체크카드취소</t>
  </si>
  <si>
    <t>맛찬들왕소금구이 세종새롬점</t>
  </si>
  <si>
    <t>덴까이</t>
  </si>
  <si>
    <t>뚜레쥬르마두점</t>
  </si>
  <si>
    <t>주식회사 무신사페이먼츠</t>
  </si>
  <si>
    <t>DB손13206</t>
  </si>
  <si>
    <t>이케아코리아</t>
  </si>
  <si>
    <t>누비홈</t>
  </si>
  <si>
    <t>주식회사 무신사</t>
  </si>
  <si>
    <t>7회-천세원</t>
  </si>
  <si>
    <t>천세원청약87</t>
  </si>
  <si>
    <t>80350300100418  , 5회차</t>
  </si>
  <si>
    <t>NHNKCP</t>
  </si>
  <si>
    <t>우리카드캐시백</t>
  </si>
  <si>
    <t>티머니 지하철</t>
  </si>
  <si>
    <t>필터포유공식몰</t>
  </si>
  <si>
    <t>유람</t>
  </si>
  <si>
    <t>해인유통</t>
  </si>
  <si>
    <t>땅스부대찌개새롬점</t>
  </si>
  <si>
    <t>고속버스 티머니</t>
  </si>
  <si>
    <t>딤딤섬센트럴시티점</t>
  </si>
  <si>
    <t>Agoda</t>
  </si>
  <si>
    <t>(주)카카오</t>
  </si>
  <si>
    <t>하봉수</t>
  </si>
  <si>
    <t>순한양꼬치</t>
  </si>
  <si>
    <t>트립일레븐</t>
  </si>
  <si>
    <t>카페24</t>
  </si>
  <si>
    <t>박지현</t>
  </si>
  <si>
    <t>롯데쇼핑아울렛청주점</t>
  </si>
  <si>
    <t>김경희이자</t>
  </si>
  <si>
    <t>민팃</t>
  </si>
  <si>
    <t>메가엠지씨커피세종첫마을점</t>
  </si>
  <si>
    <t>신세계인터넷면세점</t>
  </si>
  <si>
    <t>SK네트웍스워커힐인천공항</t>
  </si>
  <si>
    <t>TARGET T1825                          \\</t>
  </si>
  <si>
    <t>CALVIN KLEIN 016                      \\</t>
  </si>
  <si>
    <t>POLO RALPH  LAUREN 81                 \\</t>
  </si>
  <si>
    <t>THE COACH STORE-DESTIN D4             \\</t>
  </si>
  <si>
    <t>BACK PORCH                            \\</t>
  </si>
  <si>
    <t>AGODA USD - FLIGHT                    \\</t>
  </si>
  <si>
    <t>CANDLEWOOD SUITES FWB                 \\</t>
  </si>
  <si>
    <t>DEWEY DESTIN'S SEAFOOD C              \\</t>
  </si>
  <si>
    <t>HYUNDAIGACAFE                         \\</t>
  </si>
  <si>
    <t>PUBLIX STR# 1026                      \\</t>
  </si>
  <si>
    <t>10363 CAVA EASTCHASE PKWY             \\</t>
  </si>
  <si>
    <t>61610304323291  , 4회차</t>
  </si>
  <si>
    <t>STOCKYARD GRILL                       \\</t>
  </si>
  <si>
    <t>EQUAL JUSTICE INITIATIVE OF ALABAMA   \\</t>
  </si>
  <si>
    <t>SHELL OIL                             \\</t>
  </si>
  <si>
    <t>GS25세종캐슬점</t>
  </si>
  <si>
    <t>경기시내버스</t>
  </si>
  <si>
    <t>경기마을</t>
  </si>
  <si>
    <t>티머니지하철</t>
  </si>
  <si>
    <t>화해</t>
  </si>
  <si>
    <t>(주)아성다이소</t>
  </si>
  <si>
    <t>(주)동방에프앤비 부강옥(세종지점</t>
  </si>
  <si>
    <t>(주)아워홈 콘</t>
  </si>
  <si>
    <t>주식회사 베스트</t>
  </si>
  <si>
    <t>aladdin 코인노래</t>
  </si>
  <si>
    <t>포담</t>
  </si>
  <si>
    <t>굿윌스토어 밀알</t>
  </si>
  <si>
    <t>쿠팡(쿠페이)</t>
  </si>
  <si>
    <t>리틀스토리</t>
  </si>
  <si>
    <t>633업비트</t>
  </si>
  <si>
    <t>코지하우스 세종점</t>
  </si>
  <si>
    <t>서초김밥</t>
  </si>
  <si>
    <t>보경주유소</t>
  </si>
  <si>
    <t>장*윤</t>
  </si>
  <si>
    <t>제주맥주 양조장</t>
  </si>
  <si>
    <t>세종이안과의원</t>
  </si>
  <si>
    <t>새롬정약국</t>
  </si>
  <si>
    <t>맛KET세종새롬점</t>
  </si>
  <si>
    <t>카카오T일반택시_</t>
  </si>
  <si>
    <t>GS25세종하늘채점</t>
  </si>
  <si>
    <t>DB손13307</t>
  </si>
  <si>
    <t>카페녹녹</t>
  </si>
  <si>
    <t>마담아네뜨풀빌라</t>
  </si>
  <si>
    <t>필립스</t>
  </si>
  <si>
    <t>롯데카드2507</t>
  </si>
  <si>
    <t>신대구막창 나성점</t>
  </si>
  <si>
    <t>호텔 시크릿몰</t>
  </si>
  <si>
    <t>네이버페이</t>
  </si>
  <si>
    <t>김다송</t>
  </si>
  <si>
    <t>김경희하봉수 축하해</t>
  </si>
  <si>
    <t>자매푸드</t>
  </si>
  <si>
    <t>초로초로</t>
  </si>
  <si>
    <t>알라딘코인노래연습장</t>
  </si>
  <si>
    <t>AGE20S 에이지투웨니스</t>
  </si>
  <si>
    <t>동영</t>
  </si>
  <si>
    <t>굿윌스토어밀알전주점</t>
  </si>
  <si>
    <t>변산농협격포하나로마트</t>
  </si>
  <si>
    <t>이재훈</t>
  </si>
  <si>
    <t>박수혁</t>
  </si>
  <si>
    <t>포토이즘박스세종나성점</t>
  </si>
  <si>
    <t>야키(yaki)</t>
  </si>
  <si>
    <t>김*형</t>
  </si>
  <si>
    <t>STEAMGAMES.COM 4259522985</t>
  </si>
  <si>
    <t>현대식자재</t>
  </si>
  <si>
    <t>서원축산</t>
  </si>
  <si>
    <t>피지오겔 공식몰</t>
  </si>
  <si>
    <t>복누룽지삼계탕</t>
  </si>
  <si>
    <t>베베데코</t>
  </si>
  <si>
    <t>초목한의원</t>
  </si>
  <si>
    <t>도시시월</t>
  </si>
  <si>
    <t>NHNKCP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</si>
</sst>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-15637165</c:v>
                </c:pt>
                <c:pt idx="1">
                  <c:v>26240885</c:v>
                </c:pt>
                <c:pt idx="2">
                  <c:v>-12174686</c:v>
                </c:pt>
                <c:pt idx="3">
                  <c:v>11578440</c:v>
                </c:pt>
                <c:pt idx="4">
                  <c:v>835455</c:v>
                </c:pt>
                <c:pt idx="5">
                  <c:v>-707157</c:v>
                </c:pt>
                <c:pt idx="6">
                  <c:v>-9999537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3798910</c:v>
                </c:pt>
                <c:pt idx="1">
                  <c:v>1447027</c:v>
                </c:pt>
                <c:pt idx="2">
                  <c:v>292000</c:v>
                </c:pt>
                <c:pt idx="3">
                  <c:v>299340</c:v>
                </c:pt>
                <c:pt idx="4">
                  <c:v>325325</c:v>
                </c:pt>
                <c:pt idx="5">
                  <c:v>537072</c:v>
                </c:pt>
                <c:pt idx="6">
                  <c:v>42950</c:v>
                </c:pt>
                <c:pt idx="7">
                  <c:v>575846</c:v>
                </c:pt>
                <c:pt idx="8">
                  <c:v>566430</c:v>
                </c:pt>
                <c:pt idx="9">
                  <c:v>21065</c:v>
                </c:pt>
                <c:pt idx="10">
                  <c:v>0</c:v>
                </c:pt>
                <c:pt idx="11">
                  <c:v>405810</c:v>
                </c:pt>
                <c:pt idx="12">
                  <c:v>45200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349111</c:v>
                </c:pt>
                <c:pt idx="17">
                  <c:v>0</c:v>
                </c:pt>
                <c:pt idx="18">
                  <c:v>1085746</c:v>
                </c:pt>
                <c:pt idx="19">
                  <c:v>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1630654.1666666667</c:v>
                </c:pt>
                <c:pt idx="1">
                  <c:v>1193283.5</c:v>
                </c:pt>
                <c:pt idx="2">
                  <c:v>167081.83333333334</c:v>
                </c:pt>
                <c:pt idx="3">
                  <c:v>180034.16666666666</c:v>
                </c:pt>
                <c:pt idx="4">
                  <c:v>187690.41666666666</c:v>
                </c:pt>
                <c:pt idx="5">
                  <c:v>179493.5</c:v>
                </c:pt>
                <c:pt idx="6">
                  <c:v>33543</c:v>
                </c:pt>
                <c:pt idx="7">
                  <c:v>76862.166666666672</c:v>
                </c:pt>
                <c:pt idx="8">
                  <c:v>217968.08333333334</c:v>
                </c:pt>
                <c:pt idx="9">
                  <c:v>54423.166666666664</c:v>
                </c:pt>
                <c:pt idx="10">
                  <c:v>112708.33333333333</c:v>
                </c:pt>
                <c:pt idx="11">
                  <c:v>33817.5</c:v>
                </c:pt>
                <c:pt idx="12">
                  <c:v>8433.3333333333339</c:v>
                </c:pt>
                <c:pt idx="13">
                  <c:v>0</c:v>
                </c:pt>
                <c:pt idx="14">
                  <c:v>10750</c:v>
                </c:pt>
                <c:pt idx="15">
                  <c:v>33166.666666666664</c:v>
                </c:pt>
                <c:pt idx="16">
                  <c:v>238937.75</c:v>
                </c:pt>
                <c:pt idx="17">
                  <c:v>39813.083333333336</c:v>
                </c:pt>
                <c:pt idx="18">
                  <c:v>110717.16666666667</c:v>
                </c:pt>
                <c:pt idx="19">
                  <c:v>2895.8333333333335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3108387.4166666665</c:v>
                </c:pt>
                <c:pt idx="1">
                  <c:v>1403886.25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5895795</c:v>
                </c:pt>
                <c:pt idx="1">
                  <c:v>3897387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-15637165</c:v>
                </c:pt>
                <c:pt idx="1">
                  <c:v>25637165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26240885</c:v>
                </c:pt>
                <c:pt idx="1">
                  <c:v>-16240885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-12174686</c:v>
                </c:pt>
                <c:pt idx="1">
                  <c:v>22174686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11578440</c:v>
                </c:pt>
                <c:pt idx="1">
                  <c:v>-1578440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835455</c:v>
                </c:pt>
                <c:pt idx="1">
                  <c:v>9164545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-707157</c:v>
                </c:pt>
                <c:pt idx="1">
                  <c:v>10707157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-9999537</c:v>
                </c:pt>
                <c:pt idx="1">
                  <c:v>19999537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-156.37%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262.41%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-121.75%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115.78%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8.35%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-7.07%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-100.00%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workbookViewId="0">
      <selection activeCell="C4" sqref="C4:D4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28" t="s">
        <v>189</v>
      </c>
      <c r="C2" s="128"/>
      <c r="D2" s="128"/>
    </row>
    <row r="3" spans="2:29" ht="17.25" thickTop="1" x14ac:dyDescent="0.3"/>
    <row r="4" spans="2:29" x14ac:dyDescent="0.3">
      <c r="B4" s="2" t="s">
        <v>190</v>
      </c>
      <c r="C4" s="127">
        <f>C12</f>
        <v>341989515.79374999</v>
      </c>
      <c r="D4" s="127"/>
    </row>
    <row r="5" spans="2:29" x14ac:dyDescent="0.3">
      <c r="B5" s="2" t="s">
        <v>191</v>
      </c>
      <c r="C5" s="127">
        <f>Z11</f>
        <v>0</v>
      </c>
      <c r="D5" s="127"/>
    </row>
    <row r="6" spans="2:29" x14ac:dyDescent="0.3">
      <c r="AB6" s="59">
        <f>AVERAGE('1월:12월'!C27)</f>
        <v>1630654.1666666667</v>
      </c>
      <c r="AC6" s="95">
        <f>AA6-AB6</f>
        <v>-1630654.1666666667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1193283.5</v>
      </c>
      <c r="AC7" s="95">
        <f t="shared" ref="AC7:AC25" si="0">AA7-AB7</f>
        <v>-1193283.5</v>
      </c>
    </row>
    <row r="8" spans="2:29" x14ac:dyDescent="0.3">
      <c r="B8" s="129" t="s">
        <v>6</v>
      </c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1"/>
      <c r="R8" s="102" t="s">
        <v>7</v>
      </c>
      <c r="S8" s="102"/>
      <c r="T8" s="102"/>
      <c r="U8" s="102"/>
      <c r="V8" s="102"/>
      <c r="W8" s="102"/>
      <c r="Y8" s="109" t="s">
        <v>8</v>
      </c>
      <c r="Z8" s="110"/>
      <c r="AA8" s="110"/>
      <c r="AB8" s="111"/>
      <c r="AC8" s="95">
        <f t="shared" si="0"/>
        <v>0</v>
      </c>
    </row>
    <row r="9" spans="2:29" x14ac:dyDescent="0.3">
      <c r="B9" s="121" t="s">
        <v>9</v>
      </c>
      <c r="C9" s="122"/>
      <c r="D9" s="123" t="s">
        <v>10</v>
      </c>
      <c r="E9" s="123"/>
      <c r="F9" s="124" t="s">
        <v>11</v>
      </c>
      <c r="G9" s="124"/>
      <c r="H9" s="125" t="s">
        <v>12</v>
      </c>
      <c r="I9" s="125"/>
      <c r="J9" s="132" t="s">
        <v>13</v>
      </c>
      <c r="K9" s="132"/>
      <c r="L9" s="126" t="s">
        <v>14</v>
      </c>
      <c r="M9" s="126"/>
      <c r="N9" s="116" t="s">
        <v>15</v>
      </c>
      <c r="O9" s="116"/>
      <c r="P9" s="117" t="s">
        <v>16</v>
      </c>
      <c r="Q9" s="117"/>
      <c r="R9" s="118" t="s">
        <v>17</v>
      </c>
      <c r="S9" s="118"/>
      <c r="T9" s="119" t="s">
        <v>18</v>
      </c>
      <c r="U9" s="119"/>
      <c r="V9" s="120" t="s">
        <v>19</v>
      </c>
      <c r="W9" s="120"/>
      <c r="Y9" s="112" t="s">
        <v>20</v>
      </c>
      <c r="Z9" s="113"/>
      <c r="AA9" s="114" t="s">
        <v>21</v>
      </c>
      <c r="AB9" s="115"/>
      <c r="AC9" s="95"/>
    </row>
    <row r="10" spans="2:29" x14ac:dyDescent="0.3">
      <c r="B10" s="7" t="s">
        <v>22</v>
      </c>
      <c r="C10" s="18">
        <f>설정!D67</f>
        <v>37987021</v>
      </c>
      <c r="D10" s="7" t="s">
        <v>22</v>
      </c>
      <c r="E10" s="18">
        <f>설정!F67</f>
        <v>0</v>
      </c>
      <c r="F10" s="7" t="s">
        <v>22</v>
      </c>
      <c r="G10" s="18">
        <f>설정!H67</f>
        <v>0</v>
      </c>
      <c r="H10" s="7" t="s">
        <v>22</v>
      </c>
      <c r="I10" s="18">
        <f>설정!J67</f>
        <v>181302094</v>
      </c>
      <c r="J10" s="7" t="s">
        <v>22</v>
      </c>
      <c r="K10" s="18">
        <f>설정!L67</f>
        <v>522930</v>
      </c>
      <c r="L10" s="7" t="s">
        <v>22</v>
      </c>
      <c r="M10" s="18">
        <f>설정!N67</f>
        <v>0</v>
      </c>
      <c r="N10" s="7" t="s">
        <v>22</v>
      </c>
      <c r="O10" s="18">
        <f>설정!P67</f>
        <v>0</v>
      </c>
      <c r="P10" s="7" t="s">
        <v>22</v>
      </c>
      <c r="Q10" s="18">
        <f>설정!R67</f>
        <v>87266477</v>
      </c>
      <c r="R10" s="7" t="s">
        <v>22</v>
      </c>
      <c r="S10" s="18">
        <f>설정!T67</f>
        <v>17760993.793749999</v>
      </c>
      <c r="T10" s="7" t="s">
        <v>22</v>
      </c>
      <c r="U10" s="18">
        <f>설정!V67</f>
        <v>0</v>
      </c>
      <c r="V10" s="7" t="s">
        <v>22</v>
      </c>
      <c r="W10" s="19">
        <f>설정!X67</f>
        <v>17150000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3">
        <f>SUM(C10,E10,G10,I10,K10,M10,O10,Q10)</f>
        <v>307078522</v>
      </c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/>
      <c r="R11" s="7" t="s">
        <v>24</v>
      </c>
      <c r="S11" s="103">
        <f>SUM(S10,U10,W10)</f>
        <v>34910993.793750003</v>
      </c>
      <c r="T11" s="104"/>
      <c r="U11" s="104"/>
      <c r="V11" s="104"/>
      <c r="W11" s="105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06">
        <f>SUM(C11,S11)</f>
        <v>341989515.79374999</v>
      </c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8"/>
      <c r="AB12" s="59">
        <f>AVERAGE('1월:12월'!C33)</f>
        <v>33543</v>
      </c>
      <c r="AC12" s="95">
        <f t="shared" si="0"/>
        <v>-33543</v>
      </c>
    </row>
    <row r="13" spans="2:29" x14ac:dyDescent="0.3">
      <c r="AB13" s="59">
        <f>AVERAGE('1월:12월'!C34)</f>
        <v>76862.166666666672</v>
      </c>
      <c r="AC13" s="95">
        <f t="shared" si="0"/>
        <v>-76862.166666666672</v>
      </c>
    </row>
    <row r="14" spans="2:29" x14ac:dyDescent="0.3">
      <c r="B14" s="101" t="s">
        <v>192</v>
      </c>
      <c r="C14" s="101"/>
      <c r="AB14" s="59">
        <f>AVERAGE('1월:12월'!C35)</f>
        <v>217968.08333333334</v>
      </c>
      <c r="AC14" s="95">
        <f t="shared" si="0"/>
        <v>-217968.08333333334</v>
      </c>
    </row>
    <row r="15" spans="2:29" x14ac:dyDescent="0.3">
      <c r="B15" s="100" t="s">
        <v>193</v>
      </c>
      <c r="C15" s="100"/>
      <c r="D15" s="100" t="s">
        <v>194</v>
      </c>
      <c r="E15" s="100"/>
      <c r="F15" s="100" t="s">
        <v>195</v>
      </c>
      <c r="G15" s="100"/>
      <c r="H15" s="100" t="s">
        <v>196</v>
      </c>
      <c r="I15" s="100"/>
      <c r="J15" s="100" t="s">
        <v>197</v>
      </c>
      <c r="K15" s="100"/>
      <c r="L15" s="100" t="s">
        <v>198</v>
      </c>
      <c r="M15" s="100"/>
      <c r="N15" s="100" t="s">
        <v>199</v>
      </c>
      <c r="O15" s="100"/>
      <c r="P15" s="100" t="s">
        <v>200</v>
      </c>
      <c r="Q15" s="100"/>
      <c r="R15" s="100" t="s">
        <v>201</v>
      </c>
      <c r="S15" s="100"/>
      <c r="T15" s="100" t="s">
        <v>202</v>
      </c>
      <c r="U15" s="100"/>
      <c r="V15" s="100" t="s">
        <v>203</v>
      </c>
      <c r="W15" s="100"/>
      <c r="X15" s="100" t="s">
        <v>204</v>
      </c>
      <c r="Y15" s="100"/>
      <c r="AB15" s="59">
        <f>AVERAGE('1월:12월'!C36)</f>
        <v>54423.166666666664</v>
      </c>
      <c r="AC15" s="95">
        <f t="shared" si="0"/>
        <v>-54423.166666666664</v>
      </c>
    </row>
    <row r="16" spans="2:29" x14ac:dyDescent="0.3">
      <c r="B16" s="99">
        <f>'1월'!C5</f>
        <v>-15637165</v>
      </c>
      <c r="C16" s="99"/>
      <c r="D16" s="99">
        <f>'2월'!C5</f>
        <v>26240885</v>
      </c>
      <c r="E16" s="99"/>
      <c r="F16" s="99">
        <f>'3월'!C5</f>
        <v>-12174686</v>
      </c>
      <c r="G16" s="99"/>
      <c r="H16" s="99">
        <f>'4월'!C5</f>
        <v>11578440</v>
      </c>
      <c r="I16" s="99"/>
      <c r="J16" s="99">
        <f>'5월'!C5</f>
        <v>835455</v>
      </c>
      <c r="K16" s="99"/>
      <c r="L16" s="99">
        <f>'6월'!C5</f>
        <v>-707157</v>
      </c>
      <c r="M16" s="99"/>
      <c r="N16" s="99">
        <f>'7월'!C5</f>
        <v>-9999537</v>
      </c>
      <c r="O16" s="99"/>
      <c r="P16" s="99">
        <f>'8월'!C5</f>
        <v>0</v>
      </c>
      <c r="Q16" s="99"/>
      <c r="R16" s="99">
        <f>'9월'!C5</f>
        <v>0</v>
      </c>
      <c r="S16" s="99"/>
      <c r="T16" s="99">
        <f>'10월'!C5</f>
        <v>0</v>
      </c>
      <c r="U16" s="99"/>
      <c r="V16" s="99">
        <f>'11월'!C5</f>
        <v>0</v>
      </c>
      <c r="W16" s="99"/>
      <c r="X16" s="99">
        <f>'12월'!C5</f>
        <v>0</v>
      </c>
      <c r="Y16" s="99"/>
      <c r="AB16" s="59">
        <f>AVERAGE('1월:12월'!C37)</f>
        <v>112708.33333333333</v>
      </c>
      <c r="AC16" s="95">
        <f t="shared" si="0"/>
        <v>-112708.33333333333</v>
      </c>
    </row>
    <row r="17" spans="28:29" x14ac:dyDescent="0.3">
      <c r="AB17" s="59">
        <f>AVERAGE('1월:12월'!C38)</f>
        <v>33817.5</v>
      </c>
      <c r="AC17" s="95">
        <f t="shared" si="0"/>
        <v>-33817.5</v>
      </c>
    </row>
    <row r="18" spans="28:29" x14ac:dyDescent="0.3">
      <c r="AB18" s="59">
        <f>AVERAGE('1월:12월'!C39)</f>
        <v>8433.3333333333339</v>
      </c>
      <c r="AC18" s="95">
        <f t="shared" si="0"/>
        <v>-8433.3333333333339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10750</v>
      </c>
      <c r="AC20" s="95">
        <f t="shared" si="0"/>
        <v>-10750</v>
      </c>
    </row>
    <row r="21" spans="28:29" x14ac:dyDescent="0.3">
      <c r="AB21" s="59">
        <f>AVERAGE('1월:12월'!C42)</f>
        <v>33166.666666666664</v>
      </c>
      <c r="AC21" s="95">
        <f t="shared" si="0"/>
        <v>-33166.666666666664</v>
      </c>
    </row>
    <row r="22" spans="28:29" x14ac:dyDescent="0.3">
      <c r="AB22" s="59">
        <f>AVERAGE('1월:12월'!C43)</f>
        <v>238937.75</v>
      </c>
      <c r="AC22" s="95">
        <f t="shared" si="0"/>
        <v>-238937.75</v>
      </c>
    </row>
    <row r="23" spans="28:29" x14ac:dyDescent="0.3">
      <c r="AB23" s="59">
        <f>AVERAGE('1월:12월'!C44)</f>
        <v>39813.083333333336</v>
      </c>
      <c r="AC23" s="95">
        <f t="shared" si="0"/>
        <v>-39813.083333333336</v>
      </c>
    </row>
    <row r="24" spans="28:29" x14ac:dyDescent="0.3">
      <c r="AB24" s="59">
        <f>AVERAGE('1월:12월'!C45)</f>
        <v>110717.16666666667</v>
      </c>
      <c r="AC24" s="95">
        <f t="shared" si="0"/>
        <v>-110717.16666666667</v>
      </c>
    </row>
    <row r="25" spans="28:29" x14ac:dyDescent="0.3">
      <c r="AB25" s="59">
        <f>AVERAGE('1월:12월'!C46)</f>
        <v>2895.8333333333335</v>
      </c>
      <c r="AC25" s="95">
        <f t="shared" si="0"/>
        <v>-2895.8333333333335</v>
      </c>
    </row>
    <row r="26" spans="28:29" x14ac:dyDescent="0.3">
      <c r="AC26" s="91"/>
    </row>
  </sheetData>
  <mergeCells count="47">
    <mergeCell ref="L9:M9"/>
    <mergeCell ref="C4:D4"/>
    <mergeCell ref="C5:D5"/>
    <mergeCell ref="B2:D2"/>
    <mergeCell ref="B8:Q8"/>
    <mergeCell ref="J9:K9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Normal="100" workbookViewId="0">
      <selection activeCell="AE2" sqref="A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28" t="s">
        <v>142</v>
      </c>
      <c r="C2" s="128"/>
      <c r="D2" s="128"/>
      <c r="AB2" s="52" t="s">
        <v>144</v>
      </c>
      <c r="AC2" s="5">
        <f>설정!H4</f>
        <v>2025</v>
      </c>
      <c r="AD2" s="52" t="s">
        <v>143</v>
      </c>
      <c r="AE2" s="5" t="s">
        <v>198</v>
      </c>
    </row>
    <row r="3" spans="2:31" ht="17.25" thickTop="1" x14ac:dyDescent="0.3"/>
    <row r="4" spans="2:31" x14ac:dyDescent="0.3">
      <c r="B4" s="101" t="s">
        <v>153</v>
      </c>
      <c r="C4" s="101"/>
      <c r="K4" s="133" t="s">
        <v>157</v>
      </c>
      <c r="L4" s="133"/>
      <c r="Q4" s="133" t="s">
        <v>188</v>
      </c>
      <c r="R4" s="133"/>
      <c r="S4" s="133"/>
      <c r="W4" s="136" t="s">
        <v>154</v>
      </c>
      <c r="X4" s="137"/>
      <c r="Z4" s="134" t="s">
        <v>145</v>
      </c>
      <c r="AA4" s="135"/>
    </row>
    <row r="5" spans="2:31" x14ac:dyDescent="0.3">
      <c r="B5" s="2"/>
      <c r="C5" s="51"/>
      <c r="K5" s="83"/>
      <c r="L5" s="25" t="s">
        <v>33</v>
      </c>
      <c r="M5" s="25" t="s">
        <v>158</v>
      </c>
      <c r="N5" s="25" t="s">
        <v>159</v>
      </c>
      <c r="O5" s="71" t="s">
        <v>160</v>
      </c>
      <c r="Q5" s="83"/>
      <c r="R5" s="25" t="s">
        <v>33</v>
      </c>
      <c r="S5" s="25" t="s">
        <v>158</v>
      </c>
      <c r="T5" s="25" t="s">
        <v>159</v>
      </c>
      <c r="U5" s="71" t="s">
        <v>187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31599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3798910</v>
      </c>
      <c r="AB6" s="59">
        <f>AVERAGE('1월:12월'!C27)</f>
        <v>1630654.1666666667</v>
      </c>
      <c r="AC6" s="95">
        <f ca="1">AA6-AB6</f>
        <v>2168255.833333333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금융</v>
      </c>
      <c r="M7" s="64">
        <f ca="1">LARGE(_xlfn.ANCHORARRAY(AA6),1)</f>
        <v>3798910</v>
      </c>
      <c r="N7" s="79">
        <f ca="1">INDEX(AB6:AB25, MATCH(LARGE(_xlfn.ANCHORARRAY(AA6), 1),_xlfn.ANCHORARRAY( AA6), 0))</f>
        <v>1630654.1666666667</v>
      </c>
      <c r="O7" s="86">
        <f ca="1">M7/$AA$26</f>
        <v>0.38791375469178457</v>
      </c>
      <c r="Q7" s="72">
        <v>1</v>
      </c>
      <c r="R7" s="65" t="str">
        <f ca="1">INDEX(_xlfn.ANCHORARRAY(Z6), MATCH(LARGE($AC$6:$AC$25, 1), $AC$6:$AC$25, 0))</f>
        <v>금융</v>
      </c>
      <c r="S7" s="64">
        <f ca="1">INDEX(_xlfn.ANCHORARRAY(AA6), MATCH(LARGE($AC$6:$AC$25, 1), $AC$6:$AC$25, 0))</f>
        <v>3798910</v>
      </c>
      <c r="T7" s="79">
        <f ca="1">INDEX(AB6:AB25, MATCH(LARGE($AC$6:$AC$25, 1), $AC$6:$AC$25, 0))</f>
        <v>1630654.1666666667</v>
      </c>
      <c r="U7" s="92">
        <f ca="1">S7-T7</f>
        <v>2168255.833333333</v>
      </c>
      <c r="W7" s="49" t="str">
        <f ca="1"/>
        <v>급여</v>
      </c>
      <c r="X7" s="30">
        <f ca="1"/>
        <v>8256126</v>
      </c>
      <c r="Z7" s="55" t="str">
        <f ca="1"/>
        <v>생활</v>
      </c>
      <c r="AA7" s="57">
        <f ca="1"/>
        <v>1447027</v>
      </c>
      <c r="AB7" s="59">
        <f>AVERAGE('1월:12월'!C28)</f>
        <v>1193283.5</v>
      </c>
      <c r="AC7" s="95">
        <f t="shared" ref="AC7:AC25" ca="1" si="0">AA7-AB7</f>
        <v>253743.5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292000</v>
      </c>
      <c r="AB8" s="59">
        <f>AVERAGE('1월:12월'!C29)</f>
        <v>167081.83333333334</v>
      </c>
      <c r="AC8" s="95">
        <f t="shared" ca="1" si="0"/>
        <v>124918.16666666666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생활</v>
      </c>
      <c r="M9" s="66">
        <f ca="1">LARGE(_xlfn.ANCHORARRAY(AA6),2)</f>
        <v>1447027</v>
      </c>
      <c r="N9" s="66">
        <f ca="1">INDEX(AB6:AB25, MATCH(LARGE(_xlfn.ANCHORARRAY(AA6), 2),_xlfn.ANCHORARRAY( AA6), 0))</f>
        <v>1193283.5</v>
      </c>
      <c r="O9" s="87">
        <f ca="1">M9/$AA$26</f>
        <v>0.14775861410520094</v>
      </c>
      <c r="Q9" s="74">
        <v>2</v>
      </c>
      <c r="R9" s="68" t="str">
        <f ca="1">INDEX(_xlfn.ANCHORARRAY(Z6), MATCH(LARGE($AC$6:$AC$25, 2), $AC$6:$AC$25, 0))</f>
        <v>의복/미용</v>
      </c>
      <c r="S9" s="66">
        <f ca="1">INDEX(_xlfn.ANCHORARRAY(AA6), MATCH(LARGE($AC$6:$AC$25, 2), $AC$6:$AC$25, 0))</f>
        <v>1085746</v>
      </c>
      <c r="T9" s="66">
        <f ca="1">INDEX(AB6:AB25, MATCH(LARGE($AC$6:$AC$25, 2), $AC$6:$AC$25, 0))</f>
        <v>110717.16666666667</v>
      </c>
      <c r="U9" s="93">
        <f ca="1">S9-T9</f>
        <v>975028.83333333337</v>
      </c>
      <c r="W9" s="49" t="str">
        <f ca="1"/>
        <v>기타수입</v>
      </c>
      <c r="X9" s="30">
        <f ca="1"/>
        <v>0</v>
      </c>
      <c r="Z9" s="55" t="str">
        <f ca="1"/>
        <v>주거/통신</v>
      </c>
      <c r="AA9" s="57">
        <f ca="1"/>
        <v>299340</v>
      </c>
      <c r="AB9" s="59">
        <f>AVERAGE('1월:12월'!C30)</f>
        <v>180034.16666666666</v>
      </c>
      <c r="AC9" s="95">
        <f t="shared" ca="1" si="0"/>
        <v>119305.83333333334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325325</v>
      </c>
      <c r="AB10" s="59">
        <f>AVERAGE('1월:12월'!C31)</f>
        <v>187690.41666666666</v>
      </c>
      <c r="AC10" s="95">
        <f t="shared" ca="1" si="0"/>
        <v>137634.58333333334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의복/미용</v>
      </c>
      <c r="M11" s="67">
        <f ca="1">LARGE(_xlfn.ANCHORARRAY(AA6),3)</f>
        <v>1085746</v>
      </c>
      <c r="N11" s="67">
        <f ca="1">INDEX(AB6:AB25, MATCH(LARGE(_xlfn.ANCHORARRAY(AA6), 3),_xlfn.ANCHORARRAY( AA6), 0))</f>
        <v>110717.16666666667</v>
      </c>
      <c r="O11" s="88">
        <f ca="1">M11/$AA$26</f>
        <v>0.11086754029487045</v>
      </c>
      <c r="Q11" s="76">
        <v>3</v>
      </c>
      <c r="R11" s="69" t="str">
        <f ca="1">INDEX(_xlfn.ANCHORARRAY(Z6), MATCH(LARGE($AC$6:$AC$25, 3), $AC$6:$AC$25, 0))</f>
        <v>카페/간식</v>
      </c>
      <c r="S11" s="67">
        <f ca="1">INDEX(_xlfn.ANCHORARRAY(AA6), MATCH(LARGE($AC$6:$AC$25, 3), $AC$6:$AC$25, 0))</f>
        <v>575846</v>
      </c>
      <c r="T11" s="67">
        <f ca="1">INDEX(AB6:AB25, MATCH(LARGE($AC$6:$AC$25, 3), $AC$6:$AC$25, 0))</f>
        <v>76862.166666666672</v>
      </c>
      <c r="U11" s="94">
        <f ca="1">S11-T11</f>
        <v>498983.83333333331</v>
      </c>
      <c r="W11" s="49"/>
      <c r="X11" s="15"/>
      <c r="Z11" s="55" t="str">
        <f ca="1"/>
        <v>자동차</v>
      </c>
      <c r="AA11" s="57">
        <f ca="1"/>
        <v>537072</v>
      </c>
      <c r="AB11" s="59">
        <f>AVERAGE('1월:12월'!C32)</f>
        <v>179493.5</v>
      </c>
      <c r="AC11" s="95">
        <f t="shared" ca="1" si="0"/>
        <v>357578.5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42950</v>
      </c>
      <c r="AB12" s="59">
        <f>AVERAGE('1월:12월'!C33)</f>
        <v>33543</v>
      </c>
      <c r="AC12" s="95">
        <f t="shared" ca="1" si="0"/>
        <v>9407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카페/간식</v>
      </c>
      <c r="M13" s="28">
        <f ca="1">LARGE(_xlfn.ANCHORARRAY(AA6),4)</f>
        <v>575846</v>
      </c>
      <c r="N13" s="28">
        <f ca="1">INDEX(AB6:AB25, MATCH(LARGE(_xlfn.ANCHORARRAY(AA6), 4),_xlfn.ANCHORARRAY( AA6), 0))</f>
        <v>76862.166666666672</v>
      </c>
      <c r="O13" s="89">
        <f ca="1">M13/$AA$26</f>
        <v>5.8800704408434358E-2</v>
      </c>
      <c r="Q13" s="75">
        <v>4</v>
      </c>
      <c r="R13" s="77" t="str">
        <f ca="1">INDEX(_xlfn.ANCHORARRAY(Z6), MATCH(LARGE($AC$6:$AC$25, 4), $AC$6:$AC$25, 0))</f>
        <v>패션/쇼핑</v>
      </c>
      <c r="S13" s="28">
        <f ca="1">INDEX(_xlfn.ANCHORARRAY(AA6), MATCH(LARGE($AC$6:$AC$25, 4), $AC$6:$AC$25, 0))</f>
        <v>405810</v>
      </c>
      <c r="T13" s="28">
        <f ca="1">INDEX(AB6:AB25, MATCH(LARGE($AC$6:$AC$25, 4), $AC$6:$AC$25, 0))</f>
        <v>33817.5</v>
      </c>
      <c r="U13" s="26">
        <f ca="1">S13-T13</f>
        <v>371992.5</v>
      </c>
      <c r="W13" s="49"/>
      <c r="X13" s="15"/>
      <c r="Z13" s="55" t="str">
        <f ca="1"/>
        <v>카페/간식</v>
      </c>
      <c r="AA13" s="57">
        <f ca="1"/>
        <v>575846</v>
      </c>
      <c r="AB13" s="59">
        <f>AVERAGE('1월:12월'!C34)</f>
        <v>76862.166666666672</v>
      </c>
      <c r="AC13" s="95">
        <f t="shared" ca="1" si="0"/>
        <v>498983.83333333331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566430</v>
      </c>
      <c r="AB14" s="59">
        <f>AVERAGE('1월:12월'!C35)</f>
        <v>217968.08333333334</v>
      </c>
      <c r="AC14" s="95">
        <f t="shared" ca="1" si="0"/>
        <v>348461.91666666663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여행/숙박</v>
      </c>
      <c r="M15" s="28">
        <f ca="1">LARGE(_xlfn.ANCHORARRAY(AA6),5)</f>
        <v>566430</v>
      </c>
      <c r="N15" s="28">
        <f ca="1">INDEX(AB6:AB25, MATCH(LARGE(_xlfn.ANCHORARRAY(AA6), 5),_xlfn.ANCHORARRAY( AA6), 0))</f>
        <v>217968.08333333334</v>
      </c>
      <c r="O15" s="89">
        <f ca="1">M15/$AA$26</f>
        <v>5.7839219162882913E-2</v>
      </c>
      <c r="Q15" s="75">
        <v>5</v>
      </c>
      <c r="R15" s="77" t="str">
        <f ca="1">INDEX(_xlfn.ANCHORARRAY(Z6), MATCH(LARGE($AC$6:$AC$25, 5), $AC$6:$AC$25, 0))</f>
        <v>자동차</v>
      </c>
      <c r="S15" s="28">
        <f ca="1">INDEX(_xlfn.ANCHORARRAY(AA6), MATCH(LARGE($AC$6:$AC$25, 5), $AC$6:$AC$25, 0))</f>
        <v>537072</v>
      </c>
      <c r="T15" s="28">
        <f ca="1">INDEX(AB6:AB25, MATCH(LARGE($AC$6:$AC$25, 5), $AC$6:$AC$25, 0))</f>
        <v>179493.5</v>
      </c>
      <c r="U15" s="26">
        <f ca="1">S15-T15</f>
        <v>357578.5</v>
      </c>
      <c r="W15" s="49"/>
      <c r="X15" s="15"/>
      <c r="Z15" s="55" t="str">
        <f ca="1"/>
        <v>문화/여가</v>
      </c>
      <c r="AA15" s="57">
        <f ca="1"/>
        <v>21065</v>
      </c>
      <c r="AB15" s="59">
        <f>AVERAGE('1월:12월'!C36)</f>
        <v>54423.166666666664</v>
      </c>
      <c r="AC15" s="95">
        <f t="shared" ca="1" si="0"/>
        <v>-33358.166666666664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112708.33333333333</v>
      </c>
      <c r="AC16" s="95">
        <f t="shared" ca="1" si="0"/>
        <v>-112708.33333333333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자동차</v>
      </c>
      <c r="M17" s="27">
        <f ca="1">LARGE(_xlfn.ANCHORARRAY(AA6),6)</f>
        <v>537072</v>
      </c>
      <c r="N17" s="27">
        <f ca="1">INDEX(AB6:AB25, MATCH(LARGE(_xlfn.ANCHORARRAY(AA6), 6),_xlfn.ANCHORARRAY( AA6), 0))</f>
        <v>179493.5</v>
      </c>
      <c r="O17" s="90">
        <f ca="1">M17/$AA$26</f>
        <v>5.4841419264953922E-2</v>
      </c>
      <c r="Q17" s="70">
        <v>6</v>
      </c>
      <c r="R17" s="78" t="str">
        <f ca="1">INDEX(_xlfn.ANCHORARRAY(Z6), MATCH(LARGE($AC$6:$AC$25, 6), $AC$6:$AC$25, 0))</f>
        <v>여행/숙박</v>
      </c>
      <c r="S17" s="27">
        <f ca="1">INDEX(_xlfn.ANCHORARRAY(AA6), MATCH(LARGE($AC$6:$AC$25, 6), $AC$6:$AC$25, 0))</f>
        <v>566430</v>
      </c>
      <c r="T17" s="27">
        <f ca="1">INDEX(AB6:AB25, MATCH(LARGE($AC$6:$AC$25, 6), $AC$6:$AC$25, 0))</f>
        <v>217968.08333333334</v>
      </c>
      <c r="U17" s="9">
        <f ca="1">S17-T17</f>
        <v>348461.91666666663</v>
      </c>
      <c r="W17" s="49"/>
      <c r="X17" s="15"/>
      <c r="Z17" s="55" t="str">
        <f ca="1"/>
        <v>패션/쇼핑</v>
      </c>
      <c r="AA17" s="57">
        <f ca="1"/>
        <v>405810</v>
      </c>
      <c r="AB17" s="59">
        <f>AVERAGE('1월:12월'!C38)</f>
        <v>33817.5</v>
      </c>
      <c r="AC17" s="95">
        <f t="shared" ca="1" si="0"/>
        <v>371992.5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45200</v>
      </c>
      <c r="AB18" s="59">
        <f>AVERAGE('1월:12월'!C39)</f>
        <v>8433.3333333333339</v>
      </c>
      <c r="AC18" s="95">
        <f t="shared" ca="1" si="0"/>
        <v>36766.666666666664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0</v>
      </c>
      <c r="AB20" s="59">
        <f>AVERAGE('1월:12월'!C41)</f>
        <v>10750</v>
      </c>
      <c r="AC20" s="95">
        <f t="shared" ca="1" si="0"/>
        <v>-10750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33166.666666666664</v>
      </c>
      <c r="AC21" s="95">
        <f t="shared" ca="1" si="0"/>
        <v>-33166.666666666664</v>
      </c>
    </row>
    <row r="22" spans="2:29" x14ac:dyDescent="0.3">
      <c r="B22" s="48" t="s">
        <v>155</v>
      </c>
      <c r="C22" s="45" t="s">
        <v>156</v>
      </c>
      <c r="W22" s="49"/>
      <c r="X22" s="15"/>
      <c r="Z22" s="55" t="str">
        <f ca="1"/>
        <v>식사</v>
      </c>
      <c r="AA22" s="57">
        <f ca="1"/>
        <v>349111</v>
      </c>
      <c r="AB22" s="59">
        <f>AVERAGE('1월:12월'!C43)</f>
        <v>238937.75</v>
      </c>
      <c r="AC22" s="95">
        <f t="shared" ca="1" si="0"/>
        <v>110173.25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5895795</v>
      </c>
      <c r="D23" s="59">
        <f>-AVERAGE('1월:12월'!L89)</f>
        <v>3108387.4166666665</v>
      </c>
      <c r="W23" s="49"/>
      <c r="X23" s="15"/>
      <c r="Z23" s="55" t="str">
        <f ca="1"/>
        <v>미분류</v>
      </c>
      <c r="AA23" s="57">
        <f ca="1"/>
        <v>0</v>
      </c>
      <c r="AB23" s="59">
        <f>AVERAGE('1월:12월'!C44)</f>
        <v>39813.083333333336</v>
      </c>
      <c r="AC23" s="95">
        <f t="shared" ca="1" si="0"/>
        <v>-39813.083333333336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3897387</v>
      </c>
      <c r="D24" s="59">
        <f>-AVERAGE('1월:12월'!V89)</f>
        <v>1403886.25</v>
      </c>
      <c r="W24" s="49"/>
      <c r="X24" s="15"/>
      <c r="Z24" s="55" t="str">
        <f ca="1"/>
        <v>의복/미용</v>
      </c>
      <c r="AA24" s="57">
        <f ca="1"/>
        <v>1085746</v>
      </c>
      <c r="AB24" s="59">
        <f>AVERAGE('1월:12월'!C45)</f>
        <v>110717.16666666667</v>
      </c>
      <c r="AC24" s="95">
        <f t="shared" ca="1" si="0"/>
        <v>975028.83333333337</v>
      </c>
    </row>
    <row r="25" spans="2:29" x14ac:dyDescent="0.3">
      <c r="W25" s="49"/>
      <c r="X25" s="54"/>
      <c r="Z25" s="56" t="str">
        <f ca="1"/>
        <v>경조사</v>
      </c>
      <c r="AA25" s="58">
        <f ca="1"/>
        <v>1350</v>
      </c>
      <c r="AB25" s="59">
        <f>AVERAGE('1월:12월'!C46)</f>
        <v>2895.8333333333335</v>
      </c>
      <c r="AC25" s="95">
        <f t="shared" ca="1" si="0"/>
        <v>-1545.8333333333335</v>
      </c>
    </row>
    <row r="26" spans="2:29" x14ac:dyDescent="0.3">
      <c r="B26" s="101" t="s">
        <v>146</v>
      </c>
      <c r="C26" s="101"/>
      <c r="W26" s="45" t="s">
        <v>24</v>
      </c>
      <c r="X26" s="61">
        <f ca="1">SUM(_xlfn.ANCHORARRAY(X6))</f>
        <v>8287725</v>
      </c>
      <c r="Z26" s="45" t="s">
        <v>24</v>
      </c>
      <c r="AA26" s="60">
        <f ca="1">SUM(_xlfn.ANCHORARRAY(AA6))</f>
        <v>9793182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="85" zoomScaleNormal="85" workbookViewId="0">
      <selection activeCell="D67" sqref="D67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28" t="s">
        <v>0</v>
      </c>
      <c r="C2" s="128"/>
      <c r="D2" s="128"/>
    </row>
    <row r="3" spans="2:29" ht="17.25" thickTop="1" x14ac:dyDescent="0.3">
      <c r="K3" s="1" t="s">
        <v>1</v>
      </c>
    </row>
    <row r="4" spans="2:29" x14ac:dyDescent="0.3">
      <c r="B4" s="151" t="s">
        <v>2</v>
      </c>
      <c r="C4" s="141"/>
      <c r="D4" s="141" t="s">
        <v>3</v>
      </c>
      <c r="E4" s="142"/>
      <c r="G4" s="34" t="s">
        <v>87</v>
      </c>
      <c r="H4" s="141">
        <v>2025</v>
      </c>
      <c r="I4" s="142"/>
      <c r="K4" s="138" t="s">
        <v>274</v>
      </c>
      <c r="L4" s="139"/>
      <c r="M4" s="139"/>
      <c r="N4" s="139"/>
      <c r="O4" s="139"/>
      <c r="P4" s="140"/>
    </row>
    <row r="5" spans="2:29" x14ac:dyDescent="0.3">
      <c r="B5" s="24"/>
      <c r="E5" s="13"/>
      <c r="G5" s="24"/>
      <c r="I5" s="13"/>
    </row>
    <row r="6" spans="2:29" x14ac:dyDescent="0.3">
      <c r="B6" s="152" t="s">
        <v>4</v>
      </c>
      <c r="C6" s="153"/>
      <c r="D6" s="153" t="s">
        <v>5</v>
      </c>
      <c r="E6" s="154"/>
      <c r="G6" s="32"/>
      <c r="H6" s="35"/>
      <c r="I6" s="33"/>
      <c r="K6" s="138" t="s">
        <v>275</v>
      </c>
      <c r="L6" s="139"/>
      <c r="M6" s="139"/>
      <c r="N6" s="139"/>
      <c r="O6" s="139"/>
      <c r="P6" s="140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43" t="s">
        <v>33</v>
      </c>
      <c r="C9" s="158" t="s">
        <v>6</v>
      </c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60"/>
      <c r="S9" s="102" t="s">
        <v>7</v>
      </c>
      <c r="T9" s="102"/>
      <c r="U9" s="102"/>
      <c r="V9" s="102"/>
      <c r="W9" s="102"/>
      <c r="X9" s="102"/>
      <c r="Z9" s="155" t="s">
        <v>8</v>
      </c>
      <c r="AA9" s="156"/>
      <c r="AB9" s="156"/>
      <c r="AC9" s="157"/>
    </row>
    <row r="10" spans="2:29" x14ac:dyDescent="0.3">
      <c r="B10" s="144"/>
      <c r="C10" s="121" t="s">
        <v>9</v>
      </c>
      <c r="D10" s="122"/>
      <c r="E10" s="123" t="s">
        <v>10</v>
      </c>
      <c r="F10" s="123"/>
      <c r="G10" s="124" t="s">
        <v>11</v>
      </c>
      <c r="H10" s="124"/>
      <c r="I10" s="125" t="s">
        <v>12</v>
      </c>
      <c r="J10" s="125"/>
      <c r="K10" s="132" t="s">
        <v>13</v>
      </c>
      <c r="L10" s="132"/>
      <c r="M10" s="126" t="s">
        <v>14</v>
      </c>
      <c r="N10" s="126"/>
      <c r="O10" s="116" t="s">
        <v>15</v>
      </c>
      <c r="P10" s="116"/>
      <c r="Q10" s="117" t="s">
        <v>16</v>
      </c>
      <c r="R10" s="117"/>
      <c r="S10" s="118" t="s">
        <v>17</v>
      </c>
      <c r="T10" s="118"/>
      <c r="U10" s="119" t="s">
        <v>18</v>
      </c>
      <c r="V10" s="119"/>
      <c r="W10" s="120" t="s">
        <v>19</v>
      </c>
      <c r="X10" s="120"/>
      <c r="Z10" s="112" t="s">
        <v>20</v>
      </c>
      <c r="AA10" s="113"/>
      <c r="AB10" s="114" t="s">
        <v>21</v>
      </c>
      <c r="AC10" s="115"/>
    </row>
    <row r="11" spans="2:29" x14ac:dyDescent="0.3">
      <c r="B11" s="145" t="str">
        <f>D4</f>
        <v>천세원</v>
      </c>
      <c r="C11" s="4" t="s">
        <v>43</v>
      </c>
      <c r="D11" s="26">
        <v>4438950</v>
      </c>
      <c r="E11" s="4"/>
      <c r="F11" s="26"/>
      <c r="G11" s="4" t="s">
        <v>59</v>
      </c>
      <c r="H11" s="26">
        <v>0</v>
      </c>
      <c r="I11" s="4" t="s">
        <v>161</v>
      </c>
      <c r="J11" s="26">
        <v>3500000</v>
      </c>
      <c r="K11" s="4" t="s">
        <v>60</v>
      </c>
      <c r="L11" s="26">
        <v>9007</v>
      </c>
      <c r="M11" s="4"/>
      <c r="N11" s="26"/>
      <c r="O11" s="4" t="s">
        <v>66</v>
      </c>
      <c r="P11" s="26">
        <v>0</v>
      </c>
      <c r="Q11" s="4" t="s">
        <v>67</v>
      </c>
      <c r="R11" s="26">
        <v>43269059</v>
      </c>
      <c r="S11" s="4" t="s">
        <v>205</v>
      </c>
      <c r="T11" s="26">
        <v>2982477.7740000002</v>
      </c>
      <c r="U11" s="4"/>
      <c r="V11" s="26"/>
      <c r="W11" s="4" t="s">
        <v>76</v>
      </c>
      <c r="X11" s="29">
        <v>9500000</v>
      </c>
      <c r="Z11" s="4"/>
      <c r="AA11" s="26"/>
      <c r="AB11" s="4" t="s">
        <v>75</v>
      </c>
      <c r="AC11" s="26">
        <v>0</v>
      </c>
    </row>
    <row r="12" spans="2:29" x14ac:dyDescent="0.3">
      <c r="B12" s="146"/>
      <c r="C12" s="6" t="s">
        <v>44</v>
      </c>
      <c r="D12" s="26">
        <v>1</v>
      </c>
      <c r="E12" s="6"/>
      <c r="F12" s="26"/>
      <c r="G12" s="6"/>
      <c r="H12" s="26"/>
      <c r="I12" s="6" t="s">
        <v>162</v>
      </c>
      <c r="J12" s="26">
        <v>30000000</v>
      </c>
      <c r="K12" s="6" t="s">
        <v>61</v>
      </c>
      <c r="L12" s="26">
        <v>0</v>
      </c>
      <c r="M12" s="6"/>
      <c r="N12" s="26"/>
      <c r="O12" s="6"/>
      <c r="P12" s="26"/>
      <c r="Q12" s="6" t="s">
        <v>58</v>
      </c>
      <c r="R12" s="26">
        <v>3800000</v>
      </c>
      <c r="S12" s="6" t="s">
        <v>254</v>
      </c>
      <c r="T12" s="26">
        <v>2532308.2080000001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46"/>
      <c r="C13" s="6" t="s">
        <v>45</v>
      </c>
      <c r="D13" s="26">
        <v>70</v>
      </c>
      <c r="E13" s="6"/>
      <c r="F13" s="26"/>
      <c r="G13" s="6"/>
      <c r="H13" s="26"/>
      <c r="I13" s="6" t="s">
        <v>57</v>
      </c>
      <c r="J13" s="26">
        <v>8700000</v>
      </c>
      <c r="K13" s="6" t="s">
        <v>62</v>
      </c>
      <c r="L13" s="26">
        <v>0</v>
      </c>
      <c r="M13" s="6"/>
      <c r="N13" s="26"/>
      <c r="O13" s="6"/>
      <c r="P13" s="26"/>
      <c r="Q13" s="6"/>
      <c r="R13" s="26"/>
      <c r="S13" s="6" t="s">
        <v>276</v>
      </c>
      <c r="T13" s="26">
        <v>2358713.1351000001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46"/>
      <c r="C14" s="6" t="s">
        <v>46</v>
      </c>
      <c r="D14" s="26">
        <v>93</v>
      </c>
      <c r="E14" s="6"/>
      <c r="F14" s="26"/>
      <c r="G14" s="6"/>
      <c r="H14" s="26"/>
      <c r="I14" s="6" t="s">
        <v>58</v>
      </c>
      <c r="J14" s="26">
        <v>3800000</v>
      </c>
      <c r="K14" s="6" t="s">
        <v>63</v>
      </c>
      <c r="L14" s="26">
        <v>0</v>
      </c>
      <c r="M14" s="6"/>
      <c r="N14" s="26"/>
      <c r="O14" s="6"/>
      <c r="P14" s="26"/>
      <c r="Q14" s="6"/>
      <c r="R14" s="26"/>
      <c r="S14" s="6" t="s">
        <v>277</v>
      </c>
      <c r="T14" s="26">
        <v>2291737.5362499999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46"/>
      <c r="C15" s="6" t="s">
        <v>47</v>
      </c>
      <c r="D15" s="26">
        <v>1258552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278</v>
      </c>
      <c r="T15" s="26">
        <v>1527625.5056</v>
      </c>
      <c r="U15" s="6"/>
      <c r="V15" s="26"/>
      <c r="W15" s="6"/>
      <c r="X15" s="30"/>
      <c r="Z15" s="6"/>
      <c r="AA15" s="26"/>
      <c r="AB15" s="6" t="s">
        <v>75</v>
      </c>
      <c r="AC15" s="26">
        <v>0</v>
      </c>
    </row>
    <row r="16" spans="2:29" x14ac:dyDescent="0.3">
      <c r="B16" s="146"/>
      <c r="C16" s="6" t="s">
        <v>47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64</v>
      </c>
      <c r="T16" s="26">
        <v>480487.10820000002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46"/>
      <c r="C17" s="6" t="s">
        <v>48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279</v>
      </c>
      <c r="T17" s="26">
        <v>455319.929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4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39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4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65</v>
      </c>
      <c r="T19" s="26">
        <v>53992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4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40</v>
      </c>
      <c r="T20" s="26">
        <v>5078322.5976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4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 t="s">
        <v>40</v>
      </c>
      <c r="T21" s="26">
        <v>0</v>
      </c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4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 t="s">
        <v>41</v>
      </c>
      <c r="T22" s="26">
        <v>10</v>
      </c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4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 t="s">
        <v>42</v>
      </c>
      <c r="T23" s="26">
        <v>0</v>
      </c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4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 t="s">
        <v>42</v>
      </c>
      <c r="T24" s="26">
        <v>0</v>
      </c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4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4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4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4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4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4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4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4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14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14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14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14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14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147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148" t="str">
        <f>D6</f>
        <v>하유진</v>
      </c>
      <c r="C39" s="6" t="s">
        <v>43</v>
      </c>
      <c r="D39" s="28">
        <v>32137710</v>
      </c>
      <c r="E39" s="6"/>
      <c r="F39" s="28"/>
      <c r="G39" s="6" t="s">
        <v>59</v>
      </c>
      <c r="H39" s="28">
        <v>0</v>
      </c>
      <c r="I39" s="6" t="s">
        <v>280</v>
      </c>
      <c r="J39" s="28">
        <v>1200000</v>
      </c>
      <c r="K39" s="6" t="s">
        <v>281</v>
      </c>
      <c r="L39" s="28">
        <v>0</v>
      </c>
      <c r="M39" s="6"/>
      <c r="N39" s="28"/>
      <c r="O39" s="6" t="s">
        <v>72</v>
      </c>
      <c r="P39" s="28">
        <v>0</v>
      </c>
      <c r="Q39" s="6" t="s">
        <v>284</v>
      </c>
      <c r="R39" s="28">
        <v>40197418</v>
      </c>
      <c r="S39" s="6"/>
      <c r="T39" s="28"/>
      <c r="U39" s="6"/>
      <c r="V39" s="28"/>
      <c r="W39" s="6" t="s">
        <v>140</v>
      </c>
      <c r="X39" s="30">
        <v>7650000</v>
      </c>
    </row>
    <row r="40" spans="2:24" x14ac:dyDescent="0.3">
      <c r="B40" s="149"/>
      <c r="C40" s="6" t="s">
        <v>44</v>
      </c>
      <c r="D40" s="28">
        <v>1</v>
      </c>
      <c r="E40" s="6"/>
      <c r="F40" s="28"/>
      <c r="G40" s="6"/>
      <c r="H40" s="28"/>
      <c r="I40" s="6" t="s">
        <v>68</v>
      </c>
      <c r="J40" s="28">
        <v>4000000</v>
      </c>
      <c r="K40" s="6" t="s">
        <v>282</v>
      </c>
      <c r="L40" s="28">
        <v>0</v>
      </c>
      <c r="M40" s="6"/>
      <c r="N40" s="28"/>
      <c r="O40" s="6" t="s">
        <v>73</v>
      </c>
      <c r="P40" s="28">
        <v>0</v>
      </c>
      <c r="Q40" s="6" t="s">
        <v>139</v>
      </c>
      <c r="R40" s="28">
        <v>0</v>
      </c>
      <c r="S40" s="6"/>
      <c r="T40" s="28"/>
      <c r="U40" s="6"/>
      <c r="V40" s="28"/>
      <c r="W40" s="6"/>
      <c r="X40" s="30"/>
    </row>
    <row r="41" spans="2:24" x14ac:dyDescent="0.3">
      <c r="B41" s="149"/>
      <c r="C41" s="6" t="s">
        <v>49</v>
      </c>
      <c r="D41" s="28">
        <v>4417</v>
      </c>
      <c r="E41" s="6"/>
      <c r="F41" s="28"/>
      <c r="G41" s="6"/>
      <c r="H41" s="28"/>
      <c r="I41" s="6" t="s">
        <v>69</v>
      </c>
      <c r="J41" s="28">
        <v>45000000</v>
      </c>
      <c r="K41" s="6" t="s">
        <v>70</v>
      </c>
      <c r="L41" s="28">
        <v>513923</v>
      </c>
      <c r="M41" s="6"/>
      <c r="N41" s="28"/>
      <c r="O41" s="6" t="s">
        <v>74</v>
      </c>
      <c r="P41" s="28">
        <v>0</v>
      </c>
      <c r="Q41" s="6"/>
      <c r="R41" s="28"/>
      <c r="S41" s="6"/>
      <c r="T41" s="28"/>
      <c r="U41" s="6"/>
      <c r="V41" s="28"/>
      <c r="W41" s="6"/>
      <c r="X41" s="30"/>
    </row>
    <row r="42" spans="2:24" x14ac:dyDescent="0.3">
      <c r="B42" s="149"/>
      <c r="C42" s="6" t="s">
        <v>50</v>
      </c>
      <c r="D42" s="28">
        <v>0</v>
      </c>
      <c r="E42" s="6"/>
      <c r="F42" s="28"/>
      <c r="G42" s="6"/>
      <c r="H42" s="28"/>
      <c r="I42" s="6" t="s">
        <v>69</v>
      </c>
      <c r="J42" s="28">
        <v>30000000</v>
      </c>
      <c r="K42" s="6" t="s">
        <v>62</v>
      </c>
      <c r="L42" s="28">
        <v>0</v>
      </c>
      <c r="M42" s="6"/>
      <c r="N42" s="28"/>
      <c r="O42" s="6" t="s">
        <v>283</v>
      </c>
      <c r="P42" s="28">
        <v>0</v>
      </c>
      <c r="Q42" s="6"/>
      <c r="R42" s="28"/>
      <c r="S42" s="6"/>
      <c r="T42" s="28"/>
      <c r="U42" s="6"/>
      <c r="V42" s="28"/>
      <c r="W42" s="6"/>
      <c r="X42" s="30"/>
    </row>
    <row r="43" spans="2:24" x14ac:dyDescent="0.3">
      <c r="B43" s="149"/>
      <c r="C43" s="6" t="s">
        <v>51</v>
      </c>
      <c r="D43" s="28">
        <v>815</v>
      </c>
      <c r="E43" s="6"/>
      <c r="F43" s="28"/>
      <c r="G43" s="6"/>
      <c r="H43" s="28"/>
      <c r="I43" s="6" t="s">
        <v>69</v>
      </c>
      <c r="J43" s="28">
        <v>5102094</v>
      </c>
      <c r="K43" s="6" t="s">
        <v>71</v>
      </c>
      <c r="L43" s="28">
        <v>0</v>
      </c>
      <c r="M43" s="6"/>
      <c r="N43" s="28"/>
      <c r="O43" s="6"/>
      <c r="P43" s="28"/>
      <c r="Q43" s="6"/>
      <c r="R43" s="28"/>
      <c r="S43" s="6"/>
      <c r="T43" s="28"/>
      <c r="U43" s="6"/>
      <c r="V43" s="28"/>
      <c r="W43" s="6"/>
      <c r="X43" s="30"/>
    </row>
    <row r="44" spans="2:24" x14ac:dyDescent="0.3">
      <c r="B44" s="149"/>
      <c r="C44" s="6" t="s">
        <v>52</v>
      </c>
      <c r="D44" s="28">
        <v>4254</v>
      </c>
      <c r="E44" s="6"/>
      <c r="F44" s="28"/>
      <c r="G44" s="6"/>
      <c r="H44" s="28"/>
      <c r="I44" s="6" t="s">
        <v>69</v>
      </c>
      <c r="J44" s="28">
        <v>50000000</v>
      </c>
      <c r="K44" s="6"/>
      <c r="L44" s="28"/>
      <c r="M44" s="6"/>
      <c r="N44" s="28"/>
      <c r="O44" s="6"/>
      <c r="P44" s="28"/>
      <c r="Q44" s="6"/>
      <c r="R44" s="28"/>
      <c r="S44" s="6"/>
      <c r="T44" s="28"/>
      <c r="U44" s="6"/>
      <c r="V44" s="28"/>
      <c r="W44" s="6"/>
      <c r="X44" s="30"/>
    </row>
    <row r="45" spans="2:24" x14ac:dyDescent="0.3">
      <c r="B45" s="149"/>
      <c r="C45" s="6" t="s">
        <v>53</v>
      </c>
      <c r="D45" s="28">
        <v>121095</v>
      </c>
      <c r="E45" s="6"/>
      <c r="F45" s="28"/>
      <c r="G45" s="6"/>
      <c r="H45" s="28"/>
      <c r="I45" s="6" t="s">
        <v>139</v>
      </c>
      <c r="J45" s="28">
        <v>0</v>
      </c>
      <c r="K45" s="6"/>
      <c r="L45" s="28"/>
      <c r="M45" s="6"/>
      <c r="N45" s="28"/>
      <c r="O45" s="6"/>
      <c r="P45" s="28"/>
      <c r="Q45" s="6"/>
      <c r="R45" s="28"/>
      <c r="S45" s="6"/>
      <c r="T45" s="28"/>
      <c r="U45" s="6"/>
      <c r="V45" s="28"/>
      <c r="W45" s="6"/>
      <c r="X45" s="30"/>
    </row>
    <row r="46" spans="2:24" x14ac:dyDescent="0.3">
      <c r="B46" s="149"/>
      <c r="C46" s="6" t="s">
        <v>54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/>
      <c r="T46" s="28"/>
      <c r="U46" s="6"/>
      <c r="V46" s="28"/>
      <c r="W46" s="6"/>
      <c r="X46" s="30"/>
    </row>
    <row r="47" spans="2:24" x14ac:dyDescent="0.3">
      <c r="B47" s="149"/>
      <c r="C47" s="6" t="s">
        <v>46</v>
      </c>
      <c r="D47" s="28">
        <v>461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/>
      <c r="T47" s="28"/>
      <c r="U47" s="6"/>
      <c r="V47" s="28"/>
      <c r="W47" s="6"/>
      <c r="X47" s="30"/>
    </row>
    <row r="48" spans="2:24" x14ac:dyDescent="0.3">
      <c r="B48" s="149"/>
      <c r="C48" s="6" t="s">
        <v>46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/>
      <c r="T48" s="28"/>
      <c r="U48" s="6"/>
      <c r="V48" s="28"/>
      <c r="W48" s="6"/>
      <c r="X48" s="30"/>
    </row>
    <row r="49" spans="2:24" x14ac:dyDescent="0.3">
      <c r="B49" s="149"/>
      <c r="C49" s="6" t="s">
        <v>47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/>
      <c r="T49" s="28"/>
      <c r="U49" s="6"/>
      <c r="V49" s="28"/>
      <c r="W49" s="6"/>
      <c r="X49" s="30"/>
    </row>
    <row r="50" spans="2:24" x14ac:dyDescent="0.3">
      <c r="B50" s="149"/>
      <c r="C50" s="6" t="s">
        <v>55</v>
      </c>
      <c r="D50" s="28">
        <v>19528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/>
      <c r="T50" s="28"/>
      <c r="U50" s="6"/>
      <c r="V50" s="28"/>
      <c r="W50" s="6"/>
      <c r="X50" s="30"/>
    </row>
    <row r="51" spans="2:24" x14ac:dyDescent="0.3">
      <c r="B51" s="149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/>
      <c r="T51" s="28"/>
      <c r="U51" s="6"/>
      <c r="V51" s="28"/>
      <c r="W51" s="6"/>
      <c r="X51" s="30"/>
    </row>
    <row r="52" spans="2:24" x14ac:dyDescent="0.3">
      <c r="B52" s="149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/>
      <c r="T52" s="28"/>
      <c r="U52" s="6"/>
      <c r="V52" s="28"/>
      <c r="W52" s="6"/>
      <c r="X52" s="30"/>
    </row>
    <row r="53" spans="2:24" x14ac:dyDescent="0.3">
      <c r="B53" s="149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/>
      <c r="T53" s="28"/>
      <c r="U53" s="6"/>
      <c r="V53" s="28"/>
      <c r="W53" s="6"/>
      <c r="X53" s="30"/>
    </row>
    <row r="54" spans="2:24" x14ac:dyDescent="0.3">
      <c r="B54" s="149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/>
      <c r="T54" s="28"/>
      <c r="U54" s="6"/>
      <c r="V54" s="28"/>
      <c r="W54" s="6"/>
      <c r="X54" s="30"/>
    </row>
    <row r="55" spans="2:24" x14ac:dyDescent="0.3">
      <c r="B55" s="149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/>
      <c r="T55" s="28"/>
      <c r="U55" s="6"/>
      <c r="V55" s="28"/>
      <c r="W55" s="6"/>
      <c r="X55" s="30"/>
    </row>
    <row r="56" spans="2:24" x14ac:dyDescent="0.3">
      <c r="B56" s="149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/>
      <c r="T56" s="28"/>
      <c r="U56" s="6"/>
      <c r="V56" s="28"/>
      <c r="W56" s="6"/>
      <c r="X56" s="30"/>
    </row>
    <row r="57" spans="2:24" x14ac:dyDescent="0.3">
      <c r="B57" s="149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/>
      <c r="T57" s="28"/>
      <c r="U57" s="6"/>
      <c r="V57" s="28"/>
      <c r="W57" s="6"/>
      <c r="X57" s="30"/>
    </row>
    <row r="58" spans="2:24" x14ac:dyDescent="0.3">
      <c r="B58" s="149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/>
      <c r="T58" s="28"/>
      <c r="U58" s="6"/>
      <c r="V58" s="28"/>
      <c r="W58" s="6"/>
      <c r="X58" s="30"/>
    </row>
    <row r="59" spans="2:24" x14ac:dyDescent="0.3">
      <c r="B59" s="149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/>
      <c r="T59" s="28"/>
      <c r="U59" s="6"/>
      <c r="V59" s="28"/>
      <c r="W59" s="6"/>
      <c r="X59" s="30"/>
    </row>
    <row r="60" spans="2:24" x14ac:dyDescent="0.3">
      <c r="B60" s="149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/>
      <c r="T60" s="28"/>
      <c r="U60" s="6"/>
      <c r="V60" s="28"/>
      <c r="W60" s="6"/>
      <c r="X60" s="30"/>
    </row>
    <row r="61" spans="2:24" x14ac:dyDescent="0.3">
      <c r="B61" s="149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/>
      <c r="T61" s="28"/>
      <c r="U61" s="6"/>
      <c r="V61" s="28"/>
      <c r="W61" s="6"/>
      <c r="X61" s="30"/>
    </row>
    <row r="62" spans="2:24" x14ac:dyDescent="0.3">
      <c r="B62" s="149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/>
      <c r="T62" s="28"/>
      <c r="U62" s="6"/>
      <c r="V62" s="28"/>
      <c r="W62" s="6"/>
      <c r="X62" s="30"/>
    </row>
    <row r="63" spans="2:24" x14ac:dyDescent="0.3">
      <c r="B63" s="149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/>
      <c r="T63" s="28"/>
      <c r="U63" s="6"/>
      <c r="V63" s="28"/>
      <c r="W63" s="6"/>
      <c r="X63" s="30"/>
    </row>
    <row r="64" spans="2:24" x14ac:dyDescent="0.3">
      <c r="B64" s="149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/>
      <c r="T64" s="28"/>
      <c r="U64" s="6"/>
      <c r="V64" s="28"/>
      <c r="W64" s="6"/>
      <c r="X64" s="30"/>
    </row>
    <row r="65" spans="2:24" x14ac:dyDescent="0.3">
      <c r="B65" s="149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/>
      <c r="T65" s="28"/>
      <c r="U65" s="6"/>
      <c r="V65" s="28"/>
      <c r="W65" s="6"/>
      <c r="X65" s="30"/>
    </row>
    <row r="66" spans="2:24" x14ac:dyDescent="0.3">
      <c r="B66" s="150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56</v>
      </c>
      <c r="D67" s="18">
        <f>SUM(D11:D66)</f>
        <v>37987021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181302094</v>
      </c>
      <c r="K67" s="7" t="s">
        <v>22</v>
      </c>
      <c r="L67" s="18">
        <f>SUM(L11:L66)</f>
        <v>522930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87266477</v>
      </c>
      <c r="S67" s="7" t="s">
        <v>22</v>
      </c>
      <c r="T67" s="18">
        <f>SUM(T11:T66)</f>
        <v>17760993.793749999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17150000</v>
      </c>
    </row>
    <row r="68" spans="2:24" x14ac:dyDescent="0.3">
      <c r="B68" s="15"/>
      <c r="C68" s="7" t="s">
        <v>24</v>
      </c>
      <c r="D68" s="103">
        <f>SUM(D67,F67,H67,J67,L67,N67,P67,R67)</f>
        <v>307078522</v>
      </c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5"/>
      <c r="S68" s="7" t="s">
        <v>24</v>
      </c>
      <c r="T68" s="103">
        <f>SUM(T67,V67,X67)</f>
        <v>34910993.793750003</v>
      </c>
      <c r="U68" s="104"/>
      <c r="V68" s="104"/>
      <c r="W68" s="104"/>
      <c r="X68" s="105"/>
    </row>
    <row r="69" spans="2:24" ht="17.25" thickBot="1" x14ac:dyDescent="0.35">
      <c r="B69" s="16"/>
      <c r="C69" s="12" t="s">
        <v>23</v>
      </c>
      <c r="D69" s="106">
        <f>SUM(D68,T68)</f>
        <v>341989515.79374999</v>
      </c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8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K23" sqref="K2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2" t="s">
        <v>25</v>
      </c>
      <c r="C2" s="182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76" t="str">
        <f>설정!D4</f>
        <v>천세원</v>
      </c>
      <c r="H4" s="177"/>
      <c r="I4" s="177"/>
      <c r="J4" s="177"/>
      <c r="K4" s="177"/>
      <c r="L4" s="177"/>
      <c r="M4" s="177"/>
      <c r="N4" s="177"/>
      <c r="O4" s="178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-15637165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25637165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-1.5637165</v>
      </c>
      <c r="D7" s="172"/>
      <c r="G7" s="6" t="s">
        <v>212</v>
      </c>
      <c r="H7" s="39" t="s">
        <v>213</v>
      </c>
      <c r="I7" s="28">
        <v>4798740</v>
      </c>
      <c r="J7" s="6" t="s">
        <v>96</v>
      </c>
      <c r="K7" s="39" t="s">
        <v>97</v>
      </c>
      <c r="L7" s="28">
        <v>-28800</v>
      </c>
      <c r="M7" s="6" t="s">
        <v>103</v>
      </c>
      <c r="N7" s="39" t="s">
        <v>171</v>
      </c>
      <c r="O7" s="40">
        <v>100000</v>
      </c>
      <c r="P7" s="5"/>
      <c r="Q7" s="6" t="s">
        <v>88</v>
      </c>
      <c r="R7" s="39" t="s">
        <v>89</v>
      </c>
      <c r="S7" s="28">
        <v>0</v>
      </c>
      <c r="T7" s="6" t="s">
        <v>113</v>
      </c>
      <c r="U7" s="39" t="s">
        <v>107</v>
      </c>
      <c r="V7" s="28">
        <v>-40000</v>
      </c>
      <c r="W7" s="6" t="s">
        <v>119</v>
      </c>
      <c r="X7" s="39" t="s">
        <v>176</v>
      </c>
      <c r="Y7" s="40">
        <v>39856</v>
      </c>
    </row>
    <row r="8" spans="2:25" x14ac:dyDescent="0.3">
      <c r="G8" s="6" t="s">
        <v>212</v>
      </c>
      <c r="H8" s="39" t="s">
        <v>214</v>
      </c>
      <c r="I8" s="28">
        <v>1967714</v>
      </c>
      <c r="J8" s="6" t="s">
        <v>105</v>
      </c>
      <c r="K8" s="39" t="s">
        <v>130</v>
      </c>
      <c r="L8" s="28">
        <v>-49000</v>
      </c>
      <c r="M8" s="6" t="s">
        <v>103</v>
      </c>
      <c r="N8" s="39" t="s">
        <v>215</v>
      </c>
      <c r="O8" s="26">
        <v>1</v>
      </c>
      <c r="P8" s="5"/>
      <c r="Q8" s="6" t="s">
        <v>233</v>
      </c>
      <c r="R8" s="39" t="s">
        <v>234</v>
      </c>
      <c r="S8" s="28">
        <v>3400000</v>
      </c>
      <c r="T8" s="6" t="s">
        <v>113</v>
      </c>
      <c r="U8" s="39" t="s">
        <v>178</v>
      </c>
      <c r="V8" s="28">
        <v>-56600</v>
      </c>
      <c r="W8" s="6" t="s">
        <v>109</v>
      </c>
      <c r="X8" s="39" t="s">
        <v>177</v>
      </c>
      <c r="Y8" s="26">
        <v>-374782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95</v>
      </c>
      <c r="K9" s="39" t="s">
        <v>127</v>
      </c>
      <c r="L9" s="28">
        <v>-60000</v>
      </c>
      <c r="M9" s="6" t="s">
        <v>90</v>
      </c>
      <c r="N9" s="39" t="s">
        <v>216</v>
      </c>
      <c r="O9" s="26">
        <v>88820</v>
      </c>
      <c r="P9" s="5"/>
      <c r="Q9" s="6" t="s">
        <v>212</v>
      </c>
      <c r="R9" s="39" t="s">
        <v>213</v>
      </c>
      <c r="S9" s="28">
        <v>4458575</v>
      </c>
      <c r="T9" s="6" t="s">
        <v>92</v>
      </c>
      <c r="U9" s="39" t="s">
        <v>135</v>
      </c>
      <c r="V9" s="28">
        <v>-2153333</v>
      </c>
      <c r="W9" s="6" t="s">
        <v>109</v>
      </c>
      <c r="X9" s="39" t="s">
        <v>112</v>
      </c>
      <c r="Y9" s="26">
        <v>-81190</v>
      </c>
    </row>
    <row r="10" spans="2:25" x14ac:dyDescent="0.3">
      <c r="G10" s="6"/>
      <c r="H10" s="39"/>
      <c r="I10" s="28"/>
      <c r="J10" s="6" t="s">
        <v>92</v>
      </c>
      <c r="K10" s="39" t="s">
        <v>124</v>
      </c>
      <c r="L10" s="28">
        <v>-700</v>
      </c>
      <c r="M10" s="6" t="s">
        <v>217</v>
      </c>
      <c r="N10" s="39" t="s">
        <v>218</v>
      </c>
      <c r="O10" s="26">
        <v>-6000000</v>
      </c>
      <c r="P10" s="5"/>
      <c r="Q10" s="6" t="s">
        <v>212</v>
      </c>
      <c r="R10" s="39" t="s">
        <v>214</v>
      </c>
      <c r="S10" s="28">
        <v>1835517</v>
      </c>
      <c r="T10" s="6" t="s">
        <v>92</v>
      </c>
      <c r="U10" s="39" t="s">
        <v>179</v>
      </c>
      <c r="V10" s="28">
        <v>-12180</v>
      </c>
      <c r="W10" s="6" t="s">
        <v>90</v>
      </c>
      <c r="X10" s="39" t="s">
        <v>180</v>
      </c>
      <c r="Y10" s="26">
        <v>5000</v>
      </c>
    </row>
    <row r="11" spans="2:25" x14ac:dyDescent="0.3">
      <c r="G11" s="6"/>
      <c r="H11" s="39"/>
      <c r="I11" s="28"/>
      <c r="J11" s="6" t="s">
        <v>93</v>
      </c>
      <c r="K11" s="39" t="s">
        <v>163</v>
      </c>
      <c r="L11" s="28">
        <v>-5000</v>
      </c>
      <c r="M11" s="6" t="s">
        <v>109</v>
      </c>
      <c r="N11" s="39" t="s">
        <v>226</v>
      </c>
      <c r="O11" s="26">
        <v>-4150</v>
      </c>
      <c r="P11" s="5"/>
      <c r="Q11" s="6" t="s">
        <v>88</v>
      </c>
      <c r="R11" s="39" t="s">
        <v>236</v>
      </c>
      <c r="S11" s="28">
        <v>9</v>
      </c>
      <c r="T11" s="6" t="s">
        <v>101</v>
      </c>
      <c r="U11" s="39" t="s">
        <v>181</v>
      </c>
      <c r="V11" s="28">
        <v>-14500</v>
      </c>
      <c r="W11" s="6" t="s">
        <v>103</v>
      </c>
      <c r="X11" s="39" t="s">
        <v>182</v>
      </c>
      <c r="Y11" s="26">
        <v>-38000</v>
      </c>
    </row>
    <row r="12" spans="2:25" x14ac:dyDescent="0.3">
      <c r="G12" s="6"/>
      <c r="H12" s="39"/>
      <c r="I12" s="28"/>
      <c r="J12" s="6" t="s">
        <v>98</v>
      </c>
      <c r="K12" s="39" t="s">
        <v>99</v>
      </c>
      <c r="L12" s="28">
        <v>-12000</v>
      </c>
      <c r="M12" s="6" t="s">
        <v>217</v>
      </c>
      <c r="N12" s="39" t="s">
        <v>228</v>
      </c>
      <c r="O12" s="26">
        <v>-500000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107</v>
      </c>
      <c r="V12" s="28">
        <v>-2500</v>
      </c>
      <c r="W12" s="6" t="s">
        <v>118</v>
      </c>
      <c r="X12" s="39" t="s">
        <v>133</v>
      </c>
      <c r="Y12" s="26">
        <v>-90000</v>
      </c>
    </row>
    <row r="13" spans="2:25" x14ac:dyDescent="0.3">
      <c r="G13" s="44"/>
      <c r="H13" s="39"/>
      <c r="I13" s="28"/>
      <c r="J13" s="6" t="s">
        <v>122</v>
      </c>
      <c r="K13" s="39" t="s">
        <v>164</v>
      </c>
      <c r="L13" s="28">
        <v>-22500</v>
      </c>
      <c r="M13" s="6" t="s">
        <v>217</v>
      </c>
      <c r="N13" s="39" t="s">
        <v>229</v>
      </c>
      <c r="O13" s="26">
        <v>500000</v>
      </c>
      <c r="P13" s="5"/>
      <c r="Q13" s="6"/>
      <c r="R13" s="39"/>
      <c r="S13" s="28"/>
      <c r="T13" s="6" t="s">
        <v>93</v>
      </c>
      <c r="U13" s="39" t="s">
        <v>285</v>
      </c>
      <c r="V13" s="28">
        <v>-4129</v>
      </c>
      <c r="W13" s="6" t="s">
        <v>118</v>
      </c>
      <c r="X13" s="39" t="s">
        <v>287</v>
      </c>
      <c r="Y13" s="26">
        <v>90000</v>
      </c>
    </row>
    <row r="14" spans="2:25" x14ac:dyDescent="0.3">
      <c r="G14" s="6"/>
      <c r="H14" s="39"/>
      <c r="I14" s="28"/>
      <c r="J14" s="6" t="s">
        <v>96</v>
      </c>
      <c r="K14" s="39" t="s">
        <v>165</v>
      </c>
      <c r="L14" s="28">
        <v>-71000</v>
      </c>
      <c r="M14" s="6" t="s">
        <v>217</v>
      </c>
      <c r="N14" s="39" t="s">
        <v>229</v>
      </c>
      <c r="O14" s="26">
        <v>100000</v>
      </c>
      <c r="P14" s="5"/>
      <c r="Q14" s="6"/>
      <c r="R14" s="39"/>
      <c r="S14" s="28"/>
      <c r="T14" s="6" t="s">
        <v>113</v>
      </c>
      <c r="U14" s="39" t="s">
        <v>107</v>
      </c>
      <c r="V14" s="28">
        <v>-16642</v>
      </c>
      <c r="W14" s="6" t="s">
        <v>103</v>
      </c>
      <c r="X14" s="39" t="s">
        <v>184</v>
      </c>
      <c r="Y14" s="26">
        <v>-8000</v>
      </c>
    </row>
    <row r="15" spans="2:25" x14ac:dyDescent="0.3">
      <c r="G15" s="6"/>
      <c r="H15" s="39"/>
      <c r="I15" s="28"/>
      <c r="J15" s="6" t="s">
        <v>101</v>
      </c>
      <c r="K15" s="39" t="s">
        <v>166</v>
      </c>
      <c r="L15" s="28">
        <v>-2200</v>
      </c>
      <c r="M15" s="6" t="s">
        <v>217</v>
      </c>
      <c r="N15" s="39" t="s">
        <v>230</v>
      </c>
      <c r="O15" s="26">
        <v>-100000</v>
      </c>
      <c r="P15" s="5"/>
      <c r="Q15" s="6"/>
      <c r="R15" s="39"/>
      <c r="S15" s="28"/>
      <c r="T15" s="6" t="s">
        <v>113</v>
      </c>
      <c r="U15" s="39" t="s">
        <v>286</v>
      </c>
      <c r="V15" s="28">
        <v>-2527</v>
      </c>
      <c r="W15" s="6" t="s">
        <v>118</v>
      </c>
      <c r="X15" s="39" t="s">
        <v>133</v>
      </c>
      <c r="Y15" s="26">
        <v>-40000</v>
      </c>
    </row>
    <row r="16" spans="2:25" x14ac:dyDescent="0.3">
      <c r="G16" s="6"/>
      <c r="H16" s="39"/>
      <c r="I16" s="28"/>
      <c r="J16" s="6" t="s">
        <v>96</v>
      </c>
      <c r="K16" s="39" t="s">
        <v>167</v>
      </c>
      <c r="L16" s="28">
        <v>-7500</v>
      </c>
      <c r="M16" s="6" t="s">
        <v>217</v>
      </c>
      <c r="N16" s="39" t="s">
        <v>231</v>
      </c>
      <c r="O16" s="26">
        <v>-100000</v>
      </c>
      <c r="P16" s="5"/>
      <c r="Q16" s="6"/>
      <c r="R16" s="39"/>
      <c r="S16" s="28"/>
      <c r="T16" s="6" t="s">
        <v>113</v>
      </c>
      <c r="U16" s="39" t="s">
        <v>286</v>
      </c>
      <c r="V16" s="28">
        <v>-23473</v>
      </c>
      <c r="W16" s="6" t="s">
        <v>118</v>
      </c>
      <c r="X16" s="39" t="s">
        <v>287</v>
      </c>
      <c r="Y16" s="26">
        <v>40000</v>
      </c>
    </row>
    <row r="17" spans="2:25" x14ac:dyDescent="0.3">
      <c r="G17" s="6"/>
      <c r="H17" s="39"/>
      <c r="I17" s="28"/>
      <c r="J17" s="6" t="s">
        <v>96</v>
      </c>
      <c r="K17" s="39" t="s">
        <v>168</v>
      </c>
      <c r="L17" s="28">
        <v>-7000</v>
      </c>
      <c r="M17" s="6" t="s">
        <v>109</v>
      </c>
      <c r="N17" s="39" t="s">
        <v>112</v>
      </c>
      <c r="O17" s="26">
        <v>-2410000</v>
      </c>
      <c r="P17" s="5"/>
      <c r="Q17" s="6"/>
      <c r="R17" s="39"/>
      <c r="S17" s="28"/>
      <c r="T17" s="6" t="s">
        <v>113</v>
      </c>
      <c r="U17" s="39" t="s">
        <v>286</v>
      </c>
      <c r="V17" s="28">
        <v>-6000</v>
      </c>
      <c r="W17" s="6" t="s">
        <v>119</v>
      </c>
      <c r="X17" s="39" t="s">
        <v>185</v>
      </c>
      <c r="Y17" s="26">
        <v>86600</v>
      </c>
    </row>
    <row r="18" spans="2:25" x14ac:dyDescent="0.3">
      <c r="G18" s="6"/>
      <c r="H18" s="39"/>
      <c r="I18" s="28"/>
      <c r="J18" s="6" t="s">
        <v>91</v>
      </c>
      <c r="K18" s="39" t="s">
        <v>169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105</v>
      </c>
      <c r="U18" s="39" t="s">
        <v>288</v>
      </c>
      <c r="V18" s="28">
        <v>-86600</v>
      </c>
      <c r="W18" s="6" t="s">
        <v>103</v>
      </c>
      <c r="X18" s="39" t="s">
        <v>138</v>
      </c>
      <c r="Y18" s="26">
        <v>396290</v>
      </c>
    </row>
    <row r="19" spans="2:25" x14ac:dyDescent="0.3">
      <c r="G19" s="6"/>
      <c r="H19" s="39"/>
      <c r="I19" s="28"/>
      <c r="J19" s="6" t="s">
        <v>101</v>
      </c>
      <c r="K19" s="39" t="s">
        <v>170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113</v>
      </c>
      <c r="U19" s="39" t="s">
        <v>183</v>
      </c>
      <c r="V19" s="28">
        <v>-28000</v>
      </c>
      <c r="W19" s="6" t="s">
        <v>109</v>
      </c>
      <c r="X19" s="39" t="s">
        <v>117</v>
      </c>
      <c r="Y19" s="26">
        <v>-5242006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113</v>
      </c>
      <c r="U20" s="39" t="s">
        <v>183</v>
      </c>
      <c r="V20" s="28">
        <v>28000</v>
      </c>
      <c r="W20" s="6" t="s">
        <v>103</v>
      </c>
      <c r="X20" s="39" t="s">
        <v>111</v>
      </c>
      <c r="Y20" s="26">
        <v>3000000</v>
      </c>
    </row>
    <row r="21" spans="2:25" x14ac:dyDescent="0.3">
      <c r="G21" s="6"/>
      <c r="H21" s="39"/>
      <c r="I21" s="28"/>
      <c r="J21" s="6" t="s">
        <v>96</v>
      </c>
      <c r="K21" s="39" t="s">
        <v>107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92</v>
      </c>
      <c r="U21" s="39" t="s">
        <v>129</v>
      </c>
      <c r="V21" s="28">
        <v>-34510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105</v>
      </c>
      <c r="K22" s="39" t="s">
        <v>172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92</v>
      </c>
      <c r="U22" s="39" t="s">
        <v>129</v>
      </c>
      <c r="V22" s="28">
        <v>-11340</v>
      </c>
      <c r="W22" s="6" t="s">
        <v>90</v>
      </c>
      <c r="X22" s="39" t="s">
        <v>216</v>
      </c>
      <c r="Y22" s="26">
        <v>96720</v>
      </c>
    </row>
    <row r="23" spans="2:25" x14ac:dyDescent="0.3">
      <c r="G23" s="6"/>
      <c r="H23" s="39"/>
      <c r="I23" s="28"/>
      <c r="J23" s="6" t="s">
        <v>96</v>
      </c>
      <c r="K23" s="39" t="s">
        <v>173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113</v>
      </c>
      <c r="U23" s="39" t="s">
        <v>286</v>
      </c>
      <c r="V23" s="28">
        <v>-35000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95</v>
      </c>
      <c r="K24" s="39" t="s">
        <v>174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125</v>
      </c>
      <c r="U24" s="39" t="s">
        <v>186</v>
      </c>
      <c r="V24" s="28">
        <v>-229000</v>
      </c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92</v>
      </c>
      <c r="K25" s="39" t="s">
        <v>100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95</v>
      </c>
      <c r="U25" s="39" t="s">
        <v>116</v>
      </c>
      <c r="V25" s="28">
        <v>-13260</v>
      </c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96</v>
      </c>
      <c r="K26" s="39" t="s">
        <v>137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136</v>
      </c>
      <c r="V26" s="28">
        <v>-9000</v>
      </c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3295220</v>
      </c>
      <c r="D27" s="162"/>
      <c r="E27" s="163"/>
      <c r="G27" s="6"/>
      <c r="H27" s="39"/>
      <c r="I27" s="28"/>
      <c r="J27" s="6" t="s">
        <v>92</v>
      </c>
      <c r="K27" s="39" t="s">
        <v>132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129</v>
      </c>
      <c r="V27" s="28">
        <v>-14800</v>
      </c>
      <c r="W27" s="6"/>
      <c r="X27" s="39"/>
      <c r="Y27" s="26"/>
    </row>
    <row r="28" spans="2:25" x14ac:dyDescent="0.3">
      <c r="B28" s="49" t="s">
        <v>92</v>
      </c>
      <c r="C28" s="161">
        <f t="shared" si="0"/>
        <v>4691748</v>
      </c>
      <c r="D28" s="162"/>
      <c r="E28" s="163"/>
      <c r="G28" s="6"/>
      <c r="H28" s="39"/>
      <c r="I28" s="28"/>
      <c r="J28" s="6" t="s">
        <v>92</v>
      </c>
      <c r="K28" s="39" t="s">
        <v>132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95</v>
      </c>
      <c r="U28" s="39" t="s">
        <v>126</v>
      </c>
      <c r="V28" s="28">
        <v>-50000</v>
      </c>
      <c r="W28" s="6"/>
      <c r="X28" s="39"/>
      <c r="Y28" s="26"/>
    </row>
    <row r="29" spans="2:25" x14ac:dyDescent="0.3">
      <c r="B29" s="49" t="s">
        <v>96</v>
      </c>
      <c r="C29" s="161">
        <f t="shared" si="0"/>
        <v>315922</v>
      </c>
      <c r="D29" s="162"/>
      <c r="E29" s="163"/>
      <c r="G29" s="6"/>
      <c r="H29" s="39"/>
      <c r="I29" s="28"/>
      <c r="J29" s="6" t="s">
        <v>98</v>
      </c>
      <c r="K29" s="39" t="s">
        <v>134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93</v>
      </c>
      <c r="U29" s="39" t="s">
        <v>121</v>
      </c>
      <c r="V29" s="28">
        <v>-120000</v>
      </c>
      <c r="W29" s="6"/>
      <c r="X29" s="39"/>
      <c r="Y29" s="26"/>
    </row>
    <row r="30" spans="2:25" x14ac:dyDescent="0.3">
      <c r="B30" s="49" t="s">
        <v>94</v>
      </c>
      <c r="C30" s="161">
        <f t="shared" si="0"/>
        <v>85490</v>
      </c>
      <c r="D30" s="162"/>
      <c r="E30" s="163"/>
      <c r="G30" s="6"/>
      <c r="H30" s="39"/>
      <c r="I30" s="28"/>
      <c r="J30" s="6" t="s">
        <v>94</v>
      </c>
      <c r="K30" s="39" t="s">
        <v>106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115</v>
      </c>
      <c r="V30" s="28">
        <v>-1200</v>
      </c>
      <c r="W30" s="6"/>
      <c r="X30" s="39"/>
      <c r="Y30" s="26"/>
    </row>
    <row r="31" spans="2:25" x14ac:dyDescent="0.3">
      <c r="B31" s="49" t="s">
        <v>98</v>
      </c>
      <c r="C31" s="161">
        <f t="shared" si="0"/>
        <v>512000</v>
      </c>
      <c r="D31" s="162"/>
      <c r="E31" s="163"/>
      <c r="G31" s="6"/>
      <c r="H31" s="39"/>
      <c r="I31" s="28"/>
      <c r="J31" s="6" t="s">
        <v>96</v>
      </c>
      <c r="K31" s="39" t="s">
        <v>175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113</v>
      </c>
      <c r="U31" s="39" t="s">
        <v>115</v>
      </c>
      <c r="V31" s="28">
        <v>-2600</v>
      </c>
      <c r="W31" s="6"/>
      <c r="X31" s="39"/>
      <c r="Y31" s="26"/>
    </row>
    <row r="32" spans="2:25" x14ac:dyDescent="0.3">
      <c r="B32" s="49" t="s">
        <v>95</v>
      </c>
      <c r="C32" s="161">
        <f t="shared" si="0"/>
        <v>219210</v>
      </c>
      <c r="D32" s="162"/>
      <c r="E32" s="163"/>
      <c r="G32" s="6"/>
      <c r="H32" s="39"/>
      <c r="I32" s="28"/>
      <c r="J32" s="6" t="s">
        <v>96</v>
      </c>
      <c r="K32" s="39" t="s">
        <v>175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115</v>
      </c>
      <c r="V32" s="28">
        <v>-1700</v>
      </c>
      <c r="W32" s="6"/>
      <c r="X32" s="39"/>
      <c r="Y32" s="26"/>
    </row>
    <row r="33" spans="2:25" x14ac:dyDescent="0.3">
      <c r="B33" s="49" t="s">
        <v>105</v>
      </c>
      <c r="C33" s="161">
        <f t="shared" si="0"/>
        <v>139750</v>
      </c>
      <c r="D33" s="162"/>
      <c r="E33" s="163"/>
      <c r="G33" s="6"/>
      <c r="H33" s="39"/>
      <c r="I33" s="28"/>
      <c r="J33" s="6" t="s">
        <v>96</v>
      </c>
      <c r="K33" s="39" t="s">
        <v>175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113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23200</v>
      </c>
      <c r="D34" s="162"/>
      <c r="E34" s="163"/>
      <c r="G34" s="6"/>
      <c r="H34" s="39"/>
      <c r="I34" s="28"/>
      <c r="J34" s="6" t="s">
        <v>96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289</v>
      </c>
      <c r="V34" s="28">
        <v>-66160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1317833</v>
      </c>
      <c r="D35" s="162"/>
      <c r="E35" s="163"/>
      <c r="G35" s="6"/>
      <c r="H35" s="39"/>
      <c r="I35" s="28"/>
      <c r="J35" s="6" t="s">
        <v>92</v>
      </c>
      <c r="K35" s="39" t="s">
        <v>123</v>
      </c>
      <c r="L35" s="28">
        <v>-37820</v>
      </c>
      <c r="M35" s="6"/>
      <c r="N35" s="39"/>
      <c r="O35" s="26"/>
      <c r="P35" s="5"/>
      <c r="Q35" s="6"/>
      <c r="R35" s="39"/>
      <c r="S35" s="28"/>
      <c r="T35" s="6" t="s">
        <v>118</v>
      </c>
      <c r="U35" s="39" t="s">
        <v>289</v>
      </c>
      <c r="V35" s="28">
        <v>66160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205287</v>
      </c>
      <c r="D36" s="162"/>
      <c r="E36" s="163"/>
      <c r="G36" s="6"/>
      <c r="H36" s="39"/>
      <c r="I36" s="28"/>
      <c r="J36" s="6" t="s">
        <v>91</v>
      </c>
      <c r="K36" s="39" t="s">
        <v>108</v>
      </c>
      <c r="L36" s="28">
        <v>-3000000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289</v>
      </c>
      <c r="V36" s="28">
        <v>-66160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14700</v>
      </c>
      <c r="D37" s="162"/>
      <c r="E37" s="163"/>
      <c r="G37" s="6"/>
      <c r="H37" s="39"/>
      <c r="I37" s="28"/>
      <c r="J37" s="6" t="s">
        <v>110</v>
      </c>
      <c r="K37" s="39" t="s">
        <v>147</v>
      </c>
      <c r="L37" s="28">
        <v>-18000</v>
      </c>
      <c r="M37" s="6"/>
      <c r="N37" s="39"/>
      <c r="O37" s="26"/>
      <c r="P37" s="5"/>
      <c r="Q37" s="6"/>
      <c r="R37" s="39"/>
      <c r="S37" s="28"/>
      <c r="T37" s="6" t="s">
        <v>118</v>
      </c>
      <c r="U37" s="39" t="s">
        <v>289</v>
      </c>
      <c r="V37" s="28">
        <v>-66160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107</v>
      </c>
      <c r="V38" s="28">
        <v>-2500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18000</v>
      </c>
      <c r="D39" s="162"/>
      <c r="E39" s="163"/>
      <c r="G39" s="6"/>
      <c r="H39" s="39"/>
      <c r="I39" s="28"/>
      <c r="J39" s="6" t="s">
        <v>95</v>
      </c>
      <c r="K39" s="39" t="s">
        <v>206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94</v>
      </c>
      <c r="U39" s="39" t="s">
        <v>207</v>
      </c>
      <c r="V39" s="28">
        <v>-28500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94</v>
      </c>
      <c r="K40" s="39" t="s">
        <v>207</v>
      </c>
      <c r="L40" s="28">
        <v>-40490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107</v>
      </c>
      <c r="V40" s="28">
        <v>-2500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 t="s">
        <v>92</v>
      </c>
      <c r="K41" s="39" t="s">
        <v>208</v>
      </c>
      <c r="L41" s="28">
        <v>-60000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285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229000</v>
      </c>
      <c r="D42" s="162"/>
      <c r="E42" s="163"/>
      <c r="G42" s="6"/>
      <c r="H42" s="39"/>
      <c r="I42" s="28"/>
      <c r="J42" s="6" t="s">
        <v>96</v>
      </c>
      <c r="K42" s="39" t="s">
        <v>107</v>
      </c>
      <c r="L42" s="28">
        <v>-2500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99</v>
      </c>
      <c r="V42" s="28">
        <v>-990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208642</v>
      </c>
      <c r="D43" s="162"/>
      <c r="E43" s="163"/>
      <c r="G43" s="6"/>
      <c r="H43" s="39"/>
      <c r="I43" s="28"/>
      <c r="J43" s="6" t="s">
        <v>104</v>
      </c>
      <c r="K43" s="39" t="s">
        <v>209</v>
      </c>
      <c r="L43" s="28">
        <v>-3900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-1200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140380</v>
      </c>
      <c r="D44" s="162"/>
      <c r="E44" s="163"/>
      <c r="G44" s="6"/>
      <c r="H44" s="39"/>
      <c r="I44" s="28"/>
      <c r="J44" s="6" t="s">
        <v>92</v>
      </c>
      <c r="K44" s="39" t="s">
        <v>210</v>
      </c>
      <c r="L44" s="28">
        <v>-17860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129</v>
      </c>
      <c r="V44" s="28">
        <v>-5100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236498</v>
      </c>
      <c r="D45" s="162"/>
      <c r="E45" s="163"/>
      <c r="G45" s="6"/>
      <c r="H45" s="39"/>
      <c r="I45" s="28"/>
      <c r="J45" s="6" t="s">
        <v>101</v>
      </c>
      <c r="K45" s="39" t="s">
        <v>211</v>
      </c>
      <c r="L45" s="28">
        <v>-900</v>
      </c>
      <c r="M45" s="6"/>
      <c r="N45" s="39"/>
      <c r="O45" s="26"/>
      <c r="P45" s="5"/>
      <c r="Q45" s="6"/>
      <c r="R45" s="39"/>
      <c r="S45" s="28"/>
      <c r="T45" s="6" t="s">
        <v>104</v>
      </c>
      <c r="U45" s="39" t="s">
        <v>290</v>
      </c>
      <c r="V45" s="28">
        <v>-10800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 t="s">
        <v>92</v>
      </c>
      <c r="K46" s="39" t="s">
        <v>100</v>
      </c>
      <c r="L46" s="28">
        <v>-80000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291</v>
      </c>
      <c r="V46" s="28">
        <v>-8060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219</v>
      </c>
      <c r="L47" s="28">
        <v>-2000</v>
      </c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292</v>
      </c>
      <c r="V47" s="28">
        <v>-4000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 t="s">
        <v>91</v>
      </c>
      <c r="K48" s="39" t="s">
        <v>220</v>
      </c>
      <c r="L48" s="28">
        <v>-89460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293</v>
      </c>
      <c r="V48" s="28">
        <v>-1677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220</v>
      </c>
      <c r="L49" s="28">
        <v>-158870</v>
      </c>
      <c r="M49" s="6"/>
      <c r="N49" s="39"/>
      <c r="O49" s="26"/>
      <c r="P49" s="5"/>
      <c r="Q49" s="6"/>
      <c r="R49" s="39"/>
      <c r="S49" s="28"/>
      <c r="T49" s="6" t="s">
        <v>114</v>
      </c>
      <c r="U49" s="39" t="s">
        <v>294</v>
      </c>
      <c r="V49" s="28">
        <v>-18908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 t="s">
        <v>91</v>
      </c>
      <c r="K50" s="39" t="s">
        <v>222</v>
      </c>
      <c r="L50" s="28">
        <v>-6770</v>
      </c>
      <c r="M50" s="6"/>
      <c r="N50" s="39"/>
      <c r="O50" s="26"/>
      <c r="P50" s="5"/>
      <c r="Q50" s="6"/>
      <c r="R50" s="39"/>
      <c r="S50" s="28"/>
      <c r="T50" s="6" t="s">
        <v>114</v>
      </c>
      <c r="U50" s="39" t="s">
        <v>237</v>
      </c>
      <c r="V50" s="28">
        <v>-98003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 t="s">
        <v>96</v>
      </c>
      <c r="K51" s="39" t="s">
        <v>223</v>
      </c>
      <c r="L51" s="28">
        <v>-1000</v>
      </c>
      <c r="M51" s="6"/>
      <c r="N51" s="39"/>
      <c r="O51" s="26"/>
      <c r="P51" s="5"/>
      <c r="Q51" s="6"/>
      <c r="R51" s="39"/>
      <c r="S51" s="28"/>
      <c r="T51" s="6" t="s">
        <v>114</v>
      </c>
      <c r="U51" s="39" t="s">
        <v>295</v>
      </c>
      <c r="V51" s="28">
        <v>-3719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9</v>
      </c>
      <c r="D52" s="162"/>
      <c r="E52" s="163"/>
      <c r="G52" s="6"/>
      <c r="H52" s="39"/>
      <c r="I52" s="28"/>
      <c r="J52" s="6" t="s">
        <v>96</v>
      </c>
      <c r="K52" s="39" t="s">
        <v>224</v>
      </c>
      <c r="L52" s="28">
        <v>-25500</v>
      </c>
      <c r="M52" s="6"/>
      <c r="N52" s="39"/>
      <c r="O52" s="26"/>
      <c r="P52" s="5"/>
      <c r="Q52" s="6"/>
      <c r="R52" s="39"/>
      <c r="S52" s="28"/>
      <c r="T52" s="6" t="s">
        <v>93</v>
      </c>
      <c r="U52" s="39" t="s">
        <v>238</v>
      </c>
      <c r="V52" s="28">
        <v>-67168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13060546</v>
      </c>
      <c r="D53" s="162"/>
      <c r="E53" s="163"/>
      <c r="G53" s="6"/>
      <c r="H53" s="39"/>
      <c r="I53" s="28"/>
      <c r="J53" s="6" t="s">
        <v>122</v>
      </c>
      <c r="K53" s="39" t="s">
        <v>225</v>
      </c>
      <c r="L53" s="28">
        <v>-268500</v>
      </c>
      <c r="M53" s="6"/>
      <c r="N53" s="39"/>
      <c r="O53" s="26"/>
      <c r="P53" s="5"/>
      <c r="Q53" s="6"/>
      <c r="R53" s="39"/>
      <c r="S53" s="28"/>
      <c r="T53" s="6" t="s">
        <v>122</v>
      </c>
      <c r="U53" s="39" t="s">
        <v>239</v>
      </c>
      <c r="V53" s="28">
        <v>-134105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3400000</v>
      </c>
      <c r="D54" s="162"/>
      <c r="E54" s="163"/>
      <c r="G54" s="6"/>
      <c r="H54" s="39"/>
      <c r="I54" s="28"/>
      <c r="J54" s="6" t="s">
        <v>122</v>
      </c>
      <c r="K54" s="39" t="s">
        <v>225</v>
      </c>
      <c r="L54" s="28">
        <v>-179000</v>
      </c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240</v>
      </c>
      <c r="V54" s="28">
        <v>-102105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 t="s">
        <v>122</v>
      </c>
      <c r="K55" s="39" t="s">
        <v>225</v>
      </c>
      <c r="L55" s="28">
        <v>-271200</v>
      </c>
      <c r="M55" s="6"/>
      <c r="N55" s="39"/>
      <c r="O55" s="26"/>
      <c r="P55" s="5"/>
      <c r="Q55" s="6"/>
      <c r="R55" s="39"/>
      <c r="S55" s="28"/>
      <c r="T55" s="6" t="s">
        <v>114</v>
      </c>
      <c r="U55" s="39" t="s">
        <v>241</v>
      </c>
      <c r="V55" s="28">
        <v>-114191</v>
      </c>
      <c r="W55" s="6"/>
      <c r="X55" s="39"/>
      <c r="Y55" s="26"/>
    </row>
    <row r="56" spans="2:25" x14ac:dyDescent="0.3">
      <c r="G56" s="6"/>
      <c r="H56" s="39"/>
      <c r="I56" s="28"/>
      <c r="J56" s="6" t="s">
        <v>122</v>
      </c>
      <c r="K56" s="39" t="s">
        <v>225</v>
      </c>
      <c r="L56" s="28">
        <v>-90400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 t="s">
        <v>122</v>
      </c>
      <c r="K57" s="39" t="s">
        <v>225</v>
      </c>
      <c r="L57" s="28">
        <v>-295680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122</v>
      </c>
      <c r="K58" s="39" t="s">
        <v>225</v>
      </c>
      <c r="L58" s="28">
        <v>-56448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91</v>
      </c>
      <c r="K59" s="39" t="s">
        <v>227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6766454</v>
      </c>
      <c r="J89" s="7" t="s">
        <v>24</v>
      </c>
      <c r="K89" s="22" t="s">
        <v>34</v>
      </c>
      <c r="L89" s="21">
        <f>SUM(L7:L88)</f>
        <v>-7966940</v>
      </c>
      <c r="M89" s="7" t="s">
        <v>24</v>
      </c>
      <c r="N89" s="22" t="s">
        <v>34</v>
      </c>
      <c r="O89" s="21">
        <f>SUM(O7:O88)</f>
        <v>-8325329</v>
      </c>
      <c r="Q89" s="7" t="s">
        <v>24</v>
      </c>
      <c r="R89" s="17" t="s">
        <v>34</v>
      </c>
      <c r="S89" s="19">
        <f>SUM(S7:S88)</f>
        <v>9694101</v>
      </c>
      <c r="T89" s="7" t="s">
        <v>24</v>
      </c>
      <c r="U89" s="22" t="s">
        <v>34</v>
      </c>
      <c r="V89" s="21">
        <f>SUM(V7:V88)</f>
        <v>-3685940</v>
      </c>
      <c r="W89" s="7" t="s">
        <v>24</v>
      </c>
      <c r="X89" s="22" t="s">
        <v>34</v>
      </c>
      <c r="Y89" s="21">
        <f>SUM(Y7:Y88)</f>
        <v>-12119511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-9525815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-6111350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54:E54"/>
    <mergeCell ref="C55:E55"/>
    <mergeCell ref="C57:E57"/>
    <mergeCell ref="C51:E51"/>
    <mergeCell ref="B50:E50"/>
    <mergeCell ref="C52:E52"/>
    <mergeCell ref="C53:E53"/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C60" workbookViewId="0">
      <selection activeCell="A24" sqref="A2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2" t="s">
        <v>77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26240885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-16240885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2.6240885</v>
      </c>
      <c r="D7" s="172"/>
      <c r="G7" s="6" t="s">
        <v>88</v>
      </c>
      <c r="H7" s="39" t="s">
        <v>221</v>
      </c>
      <c r="I7" s="28">
        <v>0</v>
      </c>
      <c r="J7" s="6" t="s">
        <v>122</v>
      </c>
      <c r="K7" s="39" t="s">
        <v>225</v>
      </c>
      <c r="L7" s="28">
        <v>-16954</v>
      </c>
      <c r="M7" s="6" t="s">
        <v>118</v>
      </c>
      <c r="N7" s="39" t="s">
        <v>229</v>
      </c>
      <c r="O7" s="40">
        <v>797</v>
      </c>
      <c r="P7" s="5"/>
      <c r="Q7" s="6" t="s">
        <v>212</v>
      </c>
      <c r="R7" s="39" t="s">
        <v>246</v>
      </c>
      <c r="S7" s="28">
        <v>750000</v>
      </c>
      <c r="T7" s="6" t="s">
        <v>114</v>
      </c>
      <c r="U7" s="39" t="s">
        <v>296</v>
      </c>
      <c r="V7" s="28">
        <v>-2606</v>
      </c>
      <c r="W7" s="6" t="s">
        <v>248</v>
      </c>
      <c r="X7" s="39" t="s">
        <v>249</v>
      </c>
      <c r="Y7" s="40">
        <v>2000000</v>
      </c>
    </row>
    <row r="8" spans="2:25" x14ac:dyDescent="0.3">
      <c r="G8" s="6" t="s">
        <v>212</v>
      </c>
      <c r="H8" s="39" t="s">
        <v>213</v>
      </c>
      <c r="I8" s="28">
        <v>4296609</v>
      </c>
      <c r="J8" s="6" t="s">
        <v>105</v>
      </c>
      <c r="K8" s="39" t="s">
        <v>130</v>
      </c>
      <c r="L8" s="28">
        <v>-24500</v>
      </c>
      <c r="M8" s="6" t="s">
        <v>217</v>
      </c>
      <c r="N8" s="39" t="s">
        <v>111</v>
      </c>
      <c r="O8" s="26">
        <v>3000000</v>
      </c>
      <c r="P8" s="5"/>
      <c r="Q8" s="6" t="s">
        <v>212</v>
      </c>
      <c r="R8" s="39" t="s">
        <v>247</v>
      </c>
      <c r="S8" s="28">
        <v>250000</v>
      </c>
      <c r="T8" s="6" t="s">
        <v>114</v>
      </c>
      <c r="U8" s="39" t="s">
        <v>245</v>
      </c>
      <c r="V8" s="28">
        <v>-120094</v>
      </c>
      <c r="W8" s="6" t="s">
        <v>103</v>
      </c>
      <c r="X8" s="39" t="s">
        <v>111</v>
      </c>
      <c r="Y8" s="26">
        <v>400000</v>
      </c>
    </row>
    <row r="9" spans="2:25" x14ac:dyDescent="0.3">
      <c r="G9" s="6"/>
      <c r="H9" s="39"/>
      <c r="I9" s="28"/>
      <c r="J9" s="6" t="s">
        <v>105</v>
      </c>
      <c r="K9" s="39" t="s">
        <v>130</v>
      </c>
      <c r="L9" s="28">
        <v>-23800</v>
      </c>
      <c r="M9" s="6" t="s">
        <v>217</v>
      </c>
      <c r="N9" s="39" t="s">
        <v>258</v>
      </c>
      <c r="O9" s="26">
        <v>-3000000</v>
      </c>
      <c r="P9" s="5"/>
      <c r="Q9" s="6" t="s">
        <v>88</v>
      </c>
      <c r="R9" s="39" t="s">
        <v>221</v>
      </c>
      <c r="S9" s="28">
        <v>0</v>
      </c>
      <c r="T9" s="6" t="s">
        <v>114</v>
      </c>
      <c r="U9" s="39" t="s">
        <v>297</v>
      </c>
      <c r="V9" s="28">
        <v>-3445</v>
      </c>
      <c r="W9" s="6" t="s">
        <v>118</v>
      </c>
      <c r="X9" s="39" t="s">
        <v>232</v>
      </c>
      <c r="Y9" s="26">
        <v>-3924310</v>
      </c>
    </row>
    <row r="10" spans="2:25" x14ac:dyDescent="0.3">
      <c r="G10" s="6"/>
      <c r="H10" s="39"/>
      <c r="I10" s="28"/>
      <c r="J10" s="6" t="s">
        <v>105</v>
      </c>
      <c r="K10" s="39" t="s">
        <v>130</v>
      </c>
      <c r="L10" s="28">
        <v>23800</v>
      </c>
      <c r="M10" s="6" t="s">
        <v>217</v>
      </c>
      <c r="N10" s="39" t="s">
        <v>261</v>
      </c>
      <c r="O10" s="26">
        <v>262540</v>
      </c>
      <c r="P10" s="5"/>
      <c r="Q10" s="6" t="s">
        <v>212</v>
      </c>
      <c r="R10" s="39" t="s">
        <v>213</v>
      </c>
      <c r="S10" s="28">
        <v>4395308</v>
      </c>
      <c r="T10" s="6" t="s">
        <v>114</v>
      </c>
      <c r="U10" s="39" t="s">
        <v>298</v>
      </c>
      <c r="V10" s="28">
        <v>-8673</v>
      </c>
      <c r="W10" s="6" t="s">
        <v>103</v>
      </c>
      <c r="X10" s="39" t="s">
        <v>253</v>
      </c>
      <c r="Y10" s="26">
        <v>35100209</v>
      </c>
    </row>
    <row r="11" spans="2:25" x14ac:dyDescent="0.3">
      <c r="G11" s="6"/>
      <c r="H11" s="39"/>
      <c r="I11" s="28"/>
      <c r="J11" s="6" t="s">
        <v>105</v>
      </c>
      <c r="K11" s="39" t="s">
        <v>130</v>
      </c>
      <c r="L11" s="28">
        <v>24500</v>
      </c>
      <c r="M11" s="6" t="s">
        <v>217</v>
      </c>
      <c r="N11" s="39" t="s">
        <v>262</v>
      </c>
      <c r="O11" s="26">
        <v>-500000</v>
      </c>
      <c r="P11" s="5"/>
      <c r="Q11" s="6"/>
      <c r="R11" s="39"/>
      <c r="S11" s="28"/>
      <c r="T11" s="6" t="s">
        <v>114</v>
      </c>
      <c r="U11" s="39" t="s">
        <v>298</v>
      </c>
      <c r="V11" s="28">
        <v>-1119</v>
      </c>
      <c r="W11" s="6" t="s">
        <v>109</v>
      </c>
      <c r="X11" s="39" t="s">
        <v>117</v>
      </c>
      <c r="Y11" s="26">
        <v>-3255013</v>
      </c>
    </row>
    <row r="12" spans="2:25" x14ac:dyDescent="0.3">
      <c r="G12" s="6"/>
      <c r="H12" s="39"/>
      <c r="I12" s="28"/>
      <c r="J12" s="6" t="s">
        <v>96</v>
      </c>
      <c r="K12" s="39" t="s">
        <v>97</v>
      </c>
      <c r="L12" s="28">
        <v>-16900</v>
      </c>
      <c r="M12" s="6" t="s">
        <v>217</v>
      </c>
      <c r="N12" s="39" t="s">
        <v>229</v>
      </c>
      <c r="O12" s="26">
        <v>500000</v>
      </c>
      <c r="P12" s="5"/>
      <c r="Q12" s="6"/>
      <c r="R12" s="39"/>
      <c r="S12" s="28"/>
      <c r="T12" s="6" t="s">
        <v>105</v>
      </c>
      <c r="U12" s="39" t="s">
        <v>130</v>
      </c>
      <c r="V12" s="28">
        <v>-23800</v>
      </c>
      <c r="W12" s="6" t="s">
        <v>118</v>
      </c>
      <c r="X12" s="39" t="s">
        <v>232</v>
      </c>
      <c r="Y12" s="26">
        <v>-10000000</v>
      </c>
    </row>
    <row r="13" spans="2:25" x14ac:dyDescent="0.3">
      <c r="G13" s="6"/>
      <c r="H13" s="39"/>
      <c r="I13" s="28"/>
      <c r="J13" s="6" t="s">
        <v>96</v>
      </c>
      <c r="K13" s="39" t="s">
        <v>107</v>
      </c>
      <c r="L13" s="28">
        <v>-2500</v>
      </c>
      <c r="M13" s="6" t="s">
        <v>109</v>
      </c>
      <c r="N13" s="39" t="s">
        <v>263</v>
      </c>
      <c r="O13" s="26">
        <v>-1492</v>
      </c>
      <c r="P13" s="5"/>
      <c r="Q13" s="6"/>
      <c r="R13" s="39"/>
      <c r="S13" s="28"/>
      <c r="T13" s="6" t="s">
        <v>105</v>
      </c>
      <c r="U13" s="39" t="s">
        <v>130</v>
      </c>
      <c r="V13" s="28">
        <v>-25500</v>
      </c>
      <c r="W13" s="6" t="s">
        <v>118</v>
      </c>
      <c r="X13" s="39" t="s">
        <v>232</v>
      </c>
      <c r="Y13" s="26">
        <v>10000000</v>
      </c>
    </row>
    <row r="14" spans="2:25" x14ac:dyDescent="0.3">
      <c r="G14" s="6"/>
      <c r="H14" s="39"/>
      <c r="I14" s="28"/>
      <c r="J14" s="6" t="s">
        <v>96</v>
      </c>
      <c r="K14" s="39" t="s">
        <v>107</v>
      </c>
      <c r="L14" s="28">
        <v>-2500</v>
      </c>
      <c r="M14" s="6" t="s">
        <v>109</v>
      </c>
      <c r="N14" s="39" t="s">
        <v>112</v>
      </c>
      <c r="O14" s="26">
        <v>-2410000</v>
      </c>
      <c r="P14" s="5"/>
      <c r="Q14" s="6"/>
      <c r="R14" s="39"/>
      <c r="S14" s="28"/>
      <c r="T14" s="6" t="s">
        <v>105</v>
      </c>
      <c r="U14" s="39" t="s">
        <v>130</v>
      </c>
      <c r="V14" s="28">
        <v>23800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95</v>
      </c>
      <c r="K15" s="39" t="s">
        <v>242</v>
      </c>
      <c r="L15" s="28">
        <v>-314400</v>
      </c>
      <c r="M15" s="6" t="s">
        <v>217</v>
      </c>
      <c r="N15" s="39" t="s">
        <v>229</v>
      </c>
      <c r="O15" s="26">
        <v>100000</v>
      </c>
      <c r="P15" s="5"/>
      <c r="Q15" s="6"/>
      <c r="R15" s="39"/>
      <c r="S15" s="28"/>
      <c r="T15" s="6" t="s">
        <v>105</v>
      </c>
      <c r="U15" s="39" t="s">
        <v>130</v>
      </c>
      <c r="V15" s="28">
        <v>-51000</v>
      </c>
      <c r="W15" s="6" t="s">
        <v>118</v>
      </c>
      <c r="X15" s="39" t="s">
        <v>232</v>
      </c>
      <c r="Y15" s="26">
        <v>10000000</v>
      </c>
    </row>
    <row r="16" spans="2:25" x14ac:dyDescent="0.3">
      <c r="G16" s="6"/>
      <c r="H16" s="39"/>
      <c r="I16" s="28"/>
      <c r="J16" s="6" t="s">
        <v>95</v>
      </c>
      <c r="K16" s="39" t="s">
        <v>242</v>
      </c>
      <c r="L16" s="28">
        <v>314400</v>
      </c>
      <c r="M16" s="6" t="s">
        <v>217</v>
      </c>
      <c r="N16" s="39" t="s">
        <v>264</v>
      </c>
      <c r="O16" s="26">
        <v>-100000</v>
      </c>
      <c r="P16" s="5"/>
      <c r="Q16" s="6"/>
      <c r="R16" s="39"/>
      <c r="S16" s="28"/>
      <c r="T16" s="6" t="s">
        <v>105</v>
      </c>
      <c r="U16" s="39" t="s">
        <v>130</v>
      </c>
      <c r="V16" s="28">
        <v>25500</v>
      </c>
      <c r="W16" s="6" t="s">
        <v>118</v>
      </c>
      <c r="X16" s="39" t="s">
        <v>232</v>
      </c>
      <c r="Y16" s="26">
        <v>-10000000</v>
      </c>
    </row>
    <row r="17" spans="2:25" x14ac:dyDescent="0.3">
      <c r="G17" s="6"/>
      <c r="H17" s="39"/>
      <c r="I17" s="28"/>
      <c r="J17" s="6" t="s">
        <v>91</v>
      </c>
      <c r="K17" s="39" t="s">
        <v>108</v>
      </c>
      <c r="L17" s="28">
        <v>-2000000</v>
      </c>
      <c r="M17" s="6" t="s">
        <v>217</v>
      </c>
      <c r="N17" s="39" t="s">
        <v>231</v>
      </c>
      <c r="O17" s="26">
        <v>-100000</v>
      </c>
      <c r="P17" s="5"/>
      <c r="Q17" s="6"/>
      <c r="R17" s="39"/>
      <c r="S17" s="28"/>
      <c r="T17" s="6" t="s">
        <v>113</v>
      </c>
      <c r="U17" s="39" t="s">
        <v>299</v>
      </c>
      <c r="V17" s="28">
        <v>-19000</v>
      </c>
      <c r="W17" s="6" t="s">
        <v>118</v>
      </c>
      <c r="X17" s="39" t="s">
        <v>232</v>
      </c>
      <c r="Y17" s="26">
        <v>-10000000</v>
      </c>
    </row>
    <row r="18" spans="2:25" x14ac:dyDescent="0.3">
      <c r="G18" s="6"/>
      <c r="H18" s="39"/>
      <c r="I18" s="28"/>
      <c r="J18" s="6" t="s">
        <v>104</v>
      </c>
      <c r="K18" s="39" t="s">
        <v>209</v>
      </c>
      <c r="L18" s="28">
        <v>-133800</v>
      </c>
      <c r="M18" s="6" t="s">
        <v>103</v>
      </c>
      <c r="N18" s="39" t="s">
        <v>265</v>
      </c>
      <c r="O18" s="26">
        <v>68500</v>
      </c>
      <c r="P18" s="5"/>
      <c r="Q18" s="6"/>
      <c r="R18" s="39"/>
      <c r="S18" s="28"/>
      <c r="T18" s="6" t="s">
        <v>113</v>
      </c>
      <c r="U18" s="39" t="s">
        <v>107</v>
      </c>
      <c r="V18" s="28">
        <v>-4500</v>
      </c>
      <c r="W18" s="6" t="s">
        <v>118</v>
      </c>
      <c r="X18" s="39" t="s">
        <v>232</v>
      </c>
      <c r="Y18" s="26">
        <v>-10000000</v>
      </c>
    </row>
    <row r="19" spans="2:25" x14ac:dyDescent="0.3">
      <c r="G19" s="6"/>
      <c r="H19" s="39"/>
      <c r="I19" s="28"/>
      <c r="J19" s="6" t="s">
        <v>91</v>
      </c>
      <c r="K19" s="39" t="s">
        <v>108</v>
      </c>
      <c r="L19" s="28">
        <v>-400000</v>
      </c>
      <c r="M19" s="6" t="s">
        <v>103</v>
      </c>
      <c r="N19" s="39" t="s">
        <v>266</v>
      </c>
      <c r="O19" s="26">
        <v>68500</v>
      </c>
      <c r="P19" s="5"/>
      <c r="Q19" s="6"/>
      <c r="R19" s="39"/>
      <c r="S19" s="28"/>
      <c r="T19" s="6" t="s">
        <v>113</v>
      </c>
      <c r="U19" s="39" t="s">
        <v>115</v>
      </c>
      <c r="V19" s="28">
        <v>-1200</v>
      </c>
      <c r="W19" s="6" t="s">
        <v>90</v>
      </c>
      <c r="X19" s="39" t="s">
        <v>303</v>
      </c>
      <c r="Y19" s="26">
        <v>30000000</v>
      </c>
    </row>
    <row r="20" spans="2:25" x14ac:dyDescent="0.3">
      <c r="G20" s="6"/>
      <c r="H20" s="39"/>
      <c r="I20" s="28"/>
      <c r="J20" s="6" t="s">
        <v>92</v>
      </c>
      <c r="K20" s="39" t="s">
        <v>243</v>
      </c>
      <c r="L20" s="28">
        <v>-8850</v>
      </c>
      <c r="M20" s="6" t="s">
        <v>103</v>
      </c>
      <c r="N20" s="39" t="s">
        <v>267</v>
      </c>
      <c r="O20" s="26">
        <v>68500</v>
      </c>
      <c r="P20" s="5"/>
      <c r="Q20" s="6"/>
      <c r="R20" s="39"/>
      <c r="S20" s="28"/>
      <c r="T20" s="6" t="s">
        <v>113</v>
      </c>
      <c r="U20" s="39" t="s">
        <v>300</v>
      </c>
      <c r="V20" s="28">
        <v>-31800</v>
      </c>
      <c r="W20" s="6" t="s">
        <v>118</v>
      </c>
      <c r="X20" s="39" t="s">
        <v>232</v>
      </c>
      <c r="Y20" s="26">
        <v>10000000</v>
      </c>
    </row>
    <row r="21" spans="2:25" x14ac:dyDescent="0.3">
      <c r="G21" s="6"/>
      <c r="H21" s="39"/>
      <c r="I21" s="28"/>
      <c r="J21" s="6" t="s">
        <v>96</v>
      </c>
      <c r="K21" s="39" t="s">
        <v>244</v>
      </c>
      <c r="L21" s="28">
        <v>-4650</v>
      </c>
      <c r="M21" s="6" t="s">
        <v>103</v>
      </c>
      <c r="N21" s="39" t="s">
        <v>268</v>
      </c>
      <c r="O21" s="26">
        <v>68500</v>
      </c>
      <c r="P21" s="5"/>
      <c r="Q21" s="6"/>
      <c r="R21" s="39"/>
      <c r="S21" s="28"/>
      <c r="T21" s="6" t="s">
        <v>113</v>
      </c>
      <c r="U21" s="39" t="s">
        <v>301</v>
      </c>
      <c r="V21" s="28">
        <v>-49000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-50000</v>
      </c>
      <c r="M22" s="6" t="s">
        <v>103</v>
      </c>
      <c r="N22" s="39" t="s">
        <v>269</v>
      </c>
      <c r="O22" s="26">
        <v>68500</v>
      </c>
      <c r="P22" s="5"/>
      <c r="Q22" s="6"/>
      <c r="R22" s="39"/>
      <c r="S22" s="28"/>
      <c r="T22" s="6" t="s">
        <v>92</v>
      </c>
      <c r="U22" s="39" t="s">
        <v>302</v>
      </c>
      <c r="V22" s="28">
        <v>-357600</v>
      </c>
      <c r="W22" s="6" t="s">
        <v>118</v>
      </c>
      <c r="X22" s="39" t="s">
        <v>232</v>
      </c>
      <c r="Y22" s="26">
        <v>-10000000</v>
      </c>
    </row>
    <row r="23" spans="2:25" x14ac:dyDescent="0.3">
      <c r="G23" s="6"/>
      <c r="H23" s="39"/>
      <c r="I23" s="28"/>
      <c r="J23" s="6" t="s">
        <v>96</v>
      </c>
      <c r="K23" s="39" t="s">
        <v>107</v>
      </c>
      <c r="L23" s="28">
        <v>-2500</v>
      </c>
      <c r="M23" s="6" t="s">
        <v>103</v>
      </c>
      <c r="N23" s="39" t="s">
        <v>270</v>
      </c>
      <c r="O23" s="26">
        <v>68500</v>
      </c>
      <c r="P23" s="5"/>
      <c r="Q23" s="6"/>
      <c r="R23" s="39"/>
      <c r="S23" s="28"/>
      <c r="T23" s="6" t="s">
        <v>92</v>
      </c>
      <c r="U23" s="39" t="s">
        <v>250</v>
      </c>
      <c r="V23" s="28">
        <v>-147</v>
      </c>
      <c r="W23" s="6" t="s">
        <v>118</v>
      </c>
      <c r="X23" s="39" t="s">
        <v>232</v>
      </c>
      <c r="Y23" s="26">
        <v>10000000</v>
      </c>
    </row>
    <row r="24" spans="2:25" x14ac:dyDescent="0.3">
      <c r="G24" s="6"/>
      <c r="H24" s="39"/>
      <c r="I24" s="28"/>
      <c r="J24" s="6" t="s">
        <v>96</v>
      </c>
      <c r="K24" s="39" t="s">
        <v>107</v>
      </c>
      <c r="L24" s="28">
        <v>-38500</v>
      </c>
      <c r="M24" s="6" t="s">
        <v>103</v>
      </c>
      <c r="N24" s="39" t="s">
        <v>271</v>
      </c>
      <c r="O24" s="26">
        <v>-150000</v>
      </c>
      <c r="P24" s="5"/>
      <c r="Q24" s="6"/>
      <c r="R24" s="39"/>
      <c r="S24" s="28"/>
      <c r="T24" s="6" t="s">
        <v>92</v>
      </c>
      <c r="U24" s="39" t="s">
        <v>251</v>
      </c>
      <c r="V24" s="28">
        <v>-77774</v>
      </c>
      <c r="W24" s="6" t="s">
        <v>118</v>
      </c>
      <c r="X24" s="39" t="s">
        <v>232</v>
      </c>
      <c r="Y24" s="26">
        <v>10000000</v>
      </c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92</v>
      </c>
      <c r="K25" s="39" t="s">
        <v>132</v>
      </c>
      <c r="L25" s="28">
        <v>-500000</v>
      </c>
      <c r="M25" s="6"/>
      <c r="N25" s="39"/>
      <c r="O25" s="26"/>
      <c r="P25" s="5"/>
      <c r="Q25" s="6"/>
      <c r="R25" s="39"/>
      <c r="S25" s="28"/>
      <c r="T25" s="6" t="s">
        <v>93</v>
      </c>
      <c r="U25" s="39" t="s">
        <v>252</v>
      </c>
      <c r="V25" s="28">
        <v>-106435</v>
      </c>
      <c r="W25" s="6" t="s">
        <v>118</v>
      </c>
      <c r="X25" s="39" t="s">
        <v>232</v>
      </c>
      <c r="Y25" s="26">
        <v>-10000000</v>
      </c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92</v>
      </c>
      <c r="K26" s="39" t="s">
        <v>132</v>
      </c>
      <c r="L26" s="28">
        <v>-1500000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115</v>
      </c>
      <c r="V26" s="28">
        <v>-1200</v>
      </c>
      <c r="W26" s="6" t="s">
        <v>118</v>
      </c>
      <c r="X26" s="39" t="s">
        <v>232</v>
      </c>
      <c r="Y26" s="26">
        <v>10000000</v>
      </c>
    </row>
    <row r="27" spans="2:25" x14ac:dyDescent="0.3">
      <c r="B27" s="48" t="s">
        <v>91</v>
      </c>
      <c r="C27" s="161">
        <f t="shared" ref="C27:C46" si="0">-(SUMIF($J$7:$J$88,B27,$L$7:$L$88)+SUMIF($T$7:$T$88,B27,$V$7:$V$88))</f>
        <v>2436120</v>
      </c>
      <c r="D27" s="162"/>
      <c r="E27" s="163"/>
      <c r="G27" s="6"/>
      <c r="H27" s="39"/>
      <c r="I27" s="28"/>
      <c r="J27" s="6" t="s">
        <v>98</v>
      </c>
      <c r="K27" s="39" t="s">
        <v>134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101</v>
      </c>
      <c r="U27" s="39" t="s">
        <v>304</v>
      </c>
      <c r="V27" s="28">
        <v>-13500</v>
      </c>
      <c r="W27" s="6" t="s">
        <v>118</v>
      </c>
      <c r="X27" s="39" t="s">
        <v>232</v>
      </c>
      <c r="Y27" s="26">
        <v>-10000000</v>
      </c>
    </row>
    <row r="28" spans="2:25" x14ac:dyDescent="0.3">
      <c r="B28" s="49" t="s">
        <v>92</v>
      </c>
      <c r="C28" s="161">
        <f t="shared" si="0"/>
        <v>2785166</v>
      </c>
      <c r="D28" s="162"/>
      <c r="E28" s="163"/>
      <c r="G28" s="6"/>
      <c r="H28" s="39"/>
      <c r="I28" s="28"/>
      <c r="J28" s="6" t="s">
        <v>104</v>
      </c>
      <c r="K28" s="39" t="s">
        <v>209</v>
      </c>
      <c r="L28" s="28">
        <v>164790</v>
      </c>
      <c r="M28" s="6"/>
      <c r="N28" s="39"/>
      <c r="O28" s="26"/>
      <c r="P28" s="5"/>
      <c r="Q28" s="6"/>
      <c r="R28" s="39"/>
      <c r="S28" s="28"/>
      <c r="T28" s="6" t="s">
        <v>92</v>
      </c>
      <c r="U28" s="39" t="s">
        <v>100</v>
      </c>
      <c r="V28" s="28">
        <v>-160000</v>
      </c>
      <c r="W28" s="6" t="s">
        <v>118</v>
      </c>
      <c r="X28" s="39" t="s">
        <v>232</v>
      </c>
      <c r="Y28" s="26">
        <v>1315114</v>
      </c>
    </row>
    <row r="29" spans="2:25" x14ac:dyDescent="0.3">
      <c r="B29" s="49" t="s">
        <v>96</v>
      </c>
      <c r="C29" s="161">
        <f t="shared" si="0"/>
        <v>349950</v>
      </c>
      <c r="D29" s="162"/>
      <c r="E29" s="163"/>
      <c r="G29" s="6"/>
      <c r="H29" s="39"/>
      <c r="I29" s="28"/>
      <c r="J29" s="6" t="s">
        <v>104</v>
      </c>
      <c r="K29" s="39" t="s">
        <v>209</v>
      </c>
      <c r="L29" s="28">
        <v>-164790</v>
      </c>
      <c r="M29" s="6"/>
      <c r="N29" s="39"/>
      <c r="O29" s="26"/>
      <c r="P29" s="5"/>
      <c r="Q29" s="6"/>
      <c r="R29" s="39"/>
      <c r="S29" s="28"/>
      <c r="T29" s="6" t="s">
        <v>92</v>
      </c>
      <c r="U29" s="39" t="s">
        <v>305</v>
      </c>
      <c r="V29" s="28">
        <v>-4800</v>
      </c>
      <c r="W29" s="6" t="s">
        <v>118</v>
      </c>
      <c r="X29" s="39" t="s">
        <v>232</v>
      </c>
      <c r="Y29" s="26">
        <v>-1315114</v>
      </c>
    </row>
    <row r="30" spans="2:25" x14ac:dyDescent="0.3">
      <c r="B30" s="49" t="s">
        <v>94</v>
      </c>
      <c r="C30" s="161">
        <f t="shared" si="0"/>
        <v>399380</v>
      </c>
      <c r="D30" s="162"/>
      <c r="E30" s="163"/>
      <c r="G30" s="6"/>
      <c r="H30" s="39"/>
      <c r="I30" s="28"/>
      <c r="J30" s="6" t="s">
        <v>101</v>
      </c>
      <c r="K30" s="39" t="s">
        <v>255</v>
      </c>
      <c r="L30" s="28">
        <v>-19700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107</v>
      </c>
      <c r="V30" s="28">
        <v>-200000</v>
      </c>
      <c r="W30" s="6" t="s">
        <v>118</v>
      </c>
      <c r="X30" s="39" t="s">
        <v>229</v>
      </c>
      <c r="Y30" s="26">
        <v>7634</v>
      </c>
    </row>
    <row r="31" spans="2:25" x14ac:dyDescent="0.3">
      <c r="B31" s="49" t="s">
        <v>98</v>
      </c>
      <c r="C31" s="161">
        <f t="shared" si="0"/>
        <v>500000</v>
      </c>
      <c r="D31" s="162"/>
      <c r="E31" s="163"/>
      <c r="G31" s="6"/>
      <c r="H31" s="39"/>
      <c r="I31" s="28"/>
      <c r="J31" s="6" t="s">
        <v>96</v>
      </c>
      <c r="K31" s="39" t="s">
        <v>256</v>
      </c>
      <c r="L31" s="28">
        <v>-31000</v>
      </c>
      <c r="M31" s="6"/>
      <c r="N31" s="39"/>
      <c r="O31" s="26"/>
      <c r="P31" s="5"/>
      <c r="Q31" s="6"/>
      <c r="R31" s="39"/>
      <c r="S31" s="28"/>
      <c r="T31" s="6" t="s">
        <v>94</v>
      </c>
      <c r="U31" s="39" t="s">
        <v>207</v>
      </c>
      <c r="V31" s="28">
        <v>-28500</v>
      </c>
      <c r="W31" s="6" t="s">
        <v>103</v>
      </c>
      <c r="X31" s="39" t="s">
        <v>111</v>
      </c>
      <c r="Y31" s="26">
        <v>-4000000</v>
      </c>
    </row>
    <row r="32" spans="2:25" x14ac:dyDescent="0.3">
      <c r="B32" s="49" t="s">
        <v>95</v>
      </c>
      <c r="C32" s="161">
        <f t="shared" si="0"/>
        <v>85950</v>
      </c>
      <c r="D32" s="162"/>
      <c r="E32" s="163"/>
      <c r="G32" s="6"/>
      <c r="H32" s="39"/>
      <c r="I32" s="28"/>
      <c r="J32" s="6" t="s">
        <v>92</v>
      </c>
      <c r="K32" s="39" t="s">
        <v>257</v>
      </c>
      <c r="L32" s="28">
        <v>-8100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107</v>
      </c>
      <c r="V32" s="28">
        <v>-4000</v>
      </c>
      <c r="W32" s="6" t="s">
        <v>119</v>
      </c>
      <c r="X32" s="39" t="s">
        <v>272</v>
      </c>
      <c r="Y32" s="26">
        <v>1</v>
      </c>
    </row>
    <row r="33" spans="2:25" x14ac:dyDescent="0.3">
      <c r="B33" s="49" t="s">
        <v>105</v>
      </c>
      <c r="C33" s="161">
        <f t="shared" si="0"/>
        <v>109816</v>
      </c>
      <c r="D33" s="162"/>
      <c r="E33" s="163"/>
      <c r="G33" s="6"/>
      <c r="H33" s="39"/>
      <c r="I33" s="28"/>
      <c r="J33" s="6" t="s">
        <v>96</v>
      </c>
      <c r="K33" s="39" t="s">
        <v>107</v>
      </c>
      <c r="L33" s="28">
        <v>-200000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129</v>
      </c>
      <c r="V33" s="28">
        <v>-12190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39800</v>
      </c>
      <c r="D34" s="162"/>
      <c r="E34" s="163"/>
      <c r="G34" s="6"/>
      <c r="H34" s="39"/>
      <c r="I34" s="28"/>
      <c r="J34" s="6" t="s">
        <v>96</v>
      </c>
      <c r="K34" s="39" t="s">
        <v>97</v>
      </c>
      <c r="L34" s="28">
        <v>-22900</v>
      </c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285</v>
      </c>
      <c r="V34" s="28">
        <v>-8000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16954</v>
      </c>
      <c r="D35" s="162"/>
      <c r="E35" s="163"/>
      <c r="G35" s="6"/>
      <c r="H35" s="39"/>
      <c r="I35" s="28"/>
      <c r="J35" s="6" t="s">
        <v>104</v>
      </c>
      <c r="K35" s="39">
        <v>80350300100418</v>
      </c>
      <c r="L35" s="28">
        <v>-300000</v>
      </c>
      <c r="M35" s="6"/>
      <c r="N35" s="39"/>
      <c r="O35" s="26"/>
      <c r="P35" s="5"/>
      <c r="Q35" s="6"/>
      <c r="R35" s="39"/>
      <c r="S35" s="28"/>
      <c r="T35" s="6" t="s">
        <v>93</v>
      </c>
      <c r="U35" s="39" t="s">
        <v>99</v>
      </c>
      <c r="V35" s="28">
        <v>-990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115425</v>
      </c>
      <c r="D36" s="162"/>
      <c r="E36" s="163"/>
      <c r="G36" s="6"/>
      <c r="H36" s="39"/>
      <c r="I36" s="28"/>
      <c r="J36" s="6" t="s">
        <v>95</v>
      </c>
      <c r="K36" s="39" t="s">
        <v>259</v>
      </c>
      <c r="L36" s="28">
        <v>-50000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-2500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433800</v>
      </c>
      <c r="D37" s="162"/>
      <c r="E37" s="163"/>
      <c r="G37" s="6"/>
      <c r="H37" s="39"/>
      <c r="I37" s="28"/>
      <c r="J37" s="6" t="s">
        <v>94</v>
      </c>
      <c r="K37" s="39" t="s">
        <v>106</v>
      </c>
      <c r="L37" s="28">
        <v>-16500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306</v>
      </c>
      <c r="V37" s="28">
        <v>-310490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-1200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 t="s">
        <v>95</v>
      </c>
      <c r="K39" s="39" t="s">
        <v>260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240</v>
      </c>
      <c r="V39" s="28">
        <v>-102105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94</v>
      </c>
      <c r="K40" s="39" t="s">
        <v>207</v>
      </c>
      <c r="L40" s="28">
        <v>-43890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-1200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 t="s">
        <v>96</v>
      </c>
      <c r="K41" s="39" t="s">
        <v>107</v>
      </c>
      <c r="L41" s="28">
        <v>-4000</v>
      </c>
      <c r="M41" s="6"/>
      <c r="N41" s="39"/>
      <c r="O41" s="26"/>
      <c r="P41" s="5"/>
      <c r="Q41" s="6"/>
      <c r="R41" s="39"/>
      <c r="S41" s="28"/>
      <c r="T41" s="6" t="s">
        <v>105</v>
      </c>
      <c r="U41" s="39" t="s">
        <v>273</v>
      </c>
      <c r="V41" s="28">
        <v>-58816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 t="s">
        <v>96</v>
      </c>
      <c r="K42" s="39" t="s">
        <v>97</v>
      </c>
      <c r="L42" s="28">
        <v>-19500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107</v>
      </c>
      <c r="V42" s="28">
        <v>-68500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384100</v>
      </c>
      <c r="D43" s="162"/>
      <c r="E43" s="163"/>
      <c r="G43" s="6"/>
      <c r="H43" s="39"/>
      <c r="I43" s="28"/>
      <c r="J43" s="6" t="s">
        <v>96</v>
      </c>
      <c r="K43" s="39" t="s">
        <v>107</v>
      </c>
      <c r="L43" s="28">
        <v>-2500</v>
      </c>
      <c r="M43" s="6"/>
      <c r="N43" s="39"/>
      <c r="O43" s="26"/>
      <c r="P43" s="5"/>
      <c r="Q43" s="6"/>
      <c r="R43" s="39"/>
      <c r="S43" s="28"/>
      <c r="T43" s="6" t="s">
        <v>101</v>
      </c>
      <c r="U43" s="39" t="s">
        <v>307</v>
      </c>
      <c r="V43" s="28">
        <v>-6600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 t="s">
        <v>91</v>
      </c>
      <c r="K44" s="39" t="s">
        <v>227</v>
      </c>
      <c r="L44" s="28">
        <v>-36120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308</v>
      </c>
      <c r="V44" s="28">
        <v>-3600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135937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9691917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4296609</v>
      </c>
      <c r="J89" s="7" t="s">
        <v>24</v>
      </c>
      <c r="K89" s="22" t="s">
        <v>34</v>
      </c>
      <c r="L89" s="21">
        <f>SUM(L7:L88)</f>
        <v>-5969814</v>
      </c>
      <c r="M89" s="7" t="s">
        <v>24</v>
      </c>
      <c r="N89" s="22" t="s">
        <v>34</v>
      </c>
      <c r="O89" s="21">
        <f>SUM(O7:O88)</f>
        <v>-1987155</v>
      </c>
      <c r="Q89" s="7" t="s">
        <v>24</v>
      </c>
      <c r="R89" s="17" t="s">
        <v>34</v>
      </c>
      <c r="S89" s="19">
        <f>SUM(S7:S88)</f>
        <v>5395308</v>
      </c>
      <c r="T89" s="7" t="s">
        <v>24</v>
      </c>
      <c r="U89" s="22" t="s">
        <v>34</v>
      </c>
      <c r="V89" s="21">
        <f>SUM(V7:V88)</f>
        <v>-1822584</v>
      </c>
      <c r="W89" s="7" t="s">
        <v>24</v>
      </c>
      <c r="X89" s="22" t="s">
        <v>34</v>
      </c>
      <c r="Y89" s="21">
        <f>SUM(Y7:Y88)</f>
        <v>26328521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-3660360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29901245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52:E52"/>
    <mergeCell ref="C53:E53"/>
    <mergeCell ref="C54:E54"/>
    <mergeCell ref="C55:E55"/>
    <mergeCell ref="C57:E57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Q4:Y4"/>
    <mergeCell ref="C5:D5"/>
    <mergeCell ref="G5:I5"/>
    <mergeCell ref="J5:L5"/>
    <mergeCell ref="M5:O5"/>
    <mergeCell ref="Q5:S5"/>
    <mergeCell ref="T5:V5"/>
    <mergeCell ref="W5:Y5"/>
    <mergeCell ref="C26:E26"/>
    <mergeCell ref="C27:E27"/>
    <mergeCell ref="C28:E28"/>
    <mergeCell ref="C29:E29"/>
    <mergeCell ref="C30:E30"/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topLeftCell="A60" workbookViewId="0">
      <selection activeCell="L19" sqref="L1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82" t="s">
        <v>78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-12174686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22174686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-1.2174685999999999</v>
      </c>
      <c r="D7" s="172"/>
      <c r="G7" s="6" t="s">
        <v>88</v>
      </c>
      <c r="H7" s="39" t="s">
        <v>313</v>
      </c>
      <c r="I7" s="28">
        <v>2755</v>
      </c>
      <c r="J7" s="6" t="s">
        <v>92</v>
      </c>
      <c r="K7" s="39" t="s">
        <v>100</v>
      </c>
      <c r="L7" s="28">
        <v>-160000</v>
      </c>
      <c r="M7" s="6" t="s">
        <v>103</v>
      </c>
      <c r="N7" s="39" t="s">
        <v>309</v>
      </c>
      <c r="O7" s="40">
        <v>-300000</v>
      </c>
      <c r="P7" s="5"/>
      <c r="Q7" s="6" t="s">
        <v>88</v>
      </c>
      <c r="R7" s="39" t="s">
        <v>236</v>
      </c>
      <c r="S7" s="28">
        <v>11</v>
      </c>
      <c r="T7" s="6" t="s">
        <v>105</v>
      </c>
      <c r="U7" s="39" t="s">
        <v>288</v>
      </c>
      <c r="V7" s="28">
        <v>-40500</v>
      </c>
      <c r="W7" s="6" t="s">
        <v>90</v>
      </c>
      <c r="X7" s="39" t="s">
        <v>235</v>
      </c>
      <c r="Y7" s="40">
        <v>1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101</v>
      </c>
      <c r="K8" s="39" t="s">
        <v>304</v>
      </c>
      <c r="L8" s="28">
        <v>-12500</v>
      </c>
      <c r="M8" s="6" t="s">
        <v>103</v>
      </c>
      <c r="N8" s="39" t="s">
        <v>310</v>
      </c>
      <c r="O8" s="26">
        <v>68500</v>
      </c>
      <c r="P8" s="5"/>
      <c r="Q8" s="6" t="s">
        <v>88</v>
      </c>
      <c r="R8" s="39" t="s">
        <v>221</v>
      </c>
      <c r="S8" s="28">
        <v>0</v>
      </c>
      <c r="T8" s="6" t="s">
        <v>105</v>
      </c>
      <c r="U8" s="39" t="s">
        <v>288</v>
      </c>
      <c r="V8" s="28">
        <v>-39900</v>
      </c>
      <c r="W8" s="6" t="s">
        <v>103</v>
      </c>
      <c r="X8" s="39" t="s">
        <v>309</v>
      </c>
      <c r="Y8" s="26">
        <v>-300000</v>
      </c>
    </row>
    <row r="9" spans="2:25" x14ac:dyDescent="0.3">
      <c r="G9" s="6" t="s">
        <v>212</v>
      </c>
      <c r="H9" s="39" t="s">
        <v>213</v>
      </c>
      <c r="I9" s="28">
        <v>4233652</v>
      </c>
      <c r="J9" s="6" t="s">
        <v>101</v>
      </c>
      <c r="K9" s="39" t="s">
        <v>304</v>
      </c>
      <c r="L9" s="28">
        <v>-10000</v>
      </c>
      <c r="M9" s="6" t="s">
        <v>103</v>
      </c>
      <c r="N9" s="39" t="s">
        <v>311</v>
      </c>
      <c r="O9" s="26">
        <v>-70000</v>
      </c>
      <c r="P9" s="5"/>
      <c r="Q9" s="6" t="s">
        <v>88</v>
      </c>
      <c r="R9" s="39" t="s">
        <v>335</v>
      </c>
      <c r="S9" s="28">
        <v>1885</v>
      </c>
      <c r="T9" s="6" t="s">
        <v>105</v>
      </c>
      <c r="U9" s="39" t="s">
        <v>288</v>
      </c>
      <c r="V9" s="28">
        <v>40500</v>
      </c>
      <c r="W9" s="6" t="s">
        <v>118</v>
      </c>
      <c r="X9" s="39" t="s">
        <v>133</v>
      </c>
      <c r="Y9" s="26">
        <v>-40000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103</v>
      </c>
      <c r="N10" s="39" t="s">
        <v>266</v>
      </c>
      <c r="O10" s="26">
        <v>2500</v>
      </c>
      <c r="P10" s="5"/>
      <c r="Q10" s="6" t="s">
        <v>88</v>
      </c>
      <c r="R10" s="39" t="s">
        <v>335</v>
      </c>
      <c r="S10" s="28">
        <v>0</v>
      </c>
      <c r="T10" s="6" t="s">
        <v>113</v>
      </c>
      <c r="U10" s="39" t="s">
        <v>107</v>
      </c>
      <c r="V10" s="28">
        <v>-40000</v>
      </c>
      <c r="W10" s="6" t="s">
        <v>118</v>
      </c>
      <c r="X10" s="39" t="s">
        <v>287</v>
      </c>
      <c r="Y10" s="26">
        <v>40000</v>
      </c>
    </row>
    <row r="11" spans="2:25" x14ac:dyDescent="0.3">
      <c r="G11" s="6"/>
      <c r="H11" s="39"/>
      <c r="I11" s="28"/>
      <c r="J11" s="6" t="s">
        <v>95</v>
      </c>
      <c r="K11" s="39" t="s">
        <v>259</v>
      </c>
      <c r="L11" s="28">
        <v>-50000</v>
      </c>
      <c r="M11" s="6" t="s">
        <v>103</v>
      </c>
      <c r="N11" s="39" t="s">
        <v>269</v>
      </c>
      <c r="O11" s="26">
        <v>2500</v>
      </c>
      <c r="P11" s="5"/>
      <c r="Q11" s="6" t="s">
        <v>212</v>
      </c>
      <c r="R11" s="39" t="s">
        <v>213</v>
      </c>
      <c r="S11" s="28">
        <v>4058796</v>
      </c>
      <c r="T11" s="6" t="s">
        <v>105</v>
      </c>
      <c r="U11" s="39" t="s">
        <v>288</v>
      </c>
      <c r="V11" s="28">
        <v>39900</v>
      </c>
      <c r="W11" s="6" t="s">
        <v>118</v>
      </c>
      <c r="X11" s="39" t="s">
        <v>133</v>
      </c>
      <c r="Y11" s="26">
        <v>-40000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-5000</v>
      </c>
      <c r="M12" s="6" t="s">
        <v>103</v>
      </c>
      <c r="N12" s="39" t="s">
        <v>270</v>
      </c>
      <c r="O12" s="26">
        <v>2500</v>
      </c>
      <c r="P12" s="5"/>
      <c r="Q12" s="6" t="s">
        <v>88</v>
      </c>
      <c r="R12" s="39" t="s">
        <v>236</v>
      </c>
      <c r="S12" s="28">
        <v>9</v>
      </c>
      <c r="T12" s="6" t="s">
        <v>93</v>
      </c>
      <c r="U12" s="39" t="s">
        <v>323</v>
      </c>
      <c r="V12" s="28">
        <v>-10000</v>
      </c>
      <c r="W12" s="6" t="s">
        <v>118</v>
      </c>
      <c r="X12" s="39" t="s">
        <v>287</v>
      </c>
      <c r="Y12" s="26">
        <v>40000</v>
      </c>
    </row>
    <row r="13" spans="2:25" x14ac:dyDescent="0.3">
      <c r="G13" s="6"/>
      <c r="H13" s="39"/>
      <c r="I13" s="28"/>
      <c r="J13" s="6" t="s">
        <v>96</v>
      </c>
      <c r="K13" s="39" t="s">
        <v>312</v>
      </c>
      <c r="L13" s="28">
        <v>-13500</v>
      </c>
      <c r="M13" s="6" t="s">
        <v>103</v>
      </c>
      <c r="N13" s="39" t="s">
        <v>268</v>
      </c>
      <c r="O13" s="26">
        <v>2500</v>
      </c>
      <c r="P13" s="5"/>
      <c r="Q13" s="6"/>
      <c r="R13" s="39"/>
      <c r="S13" s="28"/>
      <c r="T13" s="6" t="s">
        <v>93</v>
      </c>
      <c r="U13" s="39" t="s">
        <v>323</v>
      </c>
      <c r="V13" s="28">
        <v>-10000</v>
      </c>
      <c r="W13" s="6" t="s">
        <v>103</v>
      </c>
      <c r="X13" s="39" t="s">
        <v>321</v>
      </c>
      <c r="Y13" s="26">
        <v>40000</v>
      </c>
    </row>
    <row r="14" spans="2:25" x14ac:dyDescent="0.3">
      <c r="G14" s="6"/>
      <c r="H14" s="39"/>
      <c r="I14" s="28"/>
      <c r="J14" s="6" t="s">
        <v>92</v>
      </c>
      <c r="K14" s="39" t="s">
        <v>132</v>
      </c>
      <c r="L14" s="28">
        <v>-500000</v>
      </c>
      <c r="M14" s="6" t="s">
        <v>103</v>
      </c>
      <c r="N14" s="39" t="s">
        <v>268</v>
      </c>
      <c r="O14" s="26">
        <v>2500</v>
      </c>
      <c r="P14" s="5"/>
      <c r="Q14" s="6"/>
      <c r="R14" s="39"/>
      <c r="S14" s="28"/>
      <c r="T14" s="6" t="s">
        <v>93</v>
      </c>
      <c r="U14" s="39" t="s">
        <v>323</v>
      </c>
      <c r="V14" s="28">
        <v>10000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92</v>
      </c>
      <c r="K15" s="39" t="s">
        <v>132</v>
      </c>
      <c r="L15" s="28">
        <v>-1500000</v>
      </c>
      <c r="M15" s="6" t="s">
        <v>103</v>
      </c>
      <c r="N15" s="39" t="s">
        <v>266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109</v>
      </c>
      <c r="X15" s="39" t="s">
        <v>322</v>
      </c>
      <c r="Y15" s="26">
        <v>-524572</v>
      </c>
    </row>
    <row r="16" spans="2:25" x14ac:dyDescent="0.3">
      <c r="G16" s="6"/>
      <c r="H16" s="39"/>
      <c r="I16" s="28"/>
      <c r="J16" s="6" t="s">
        <v>98</v>
      </c>
      <c r="K16" s="39" t="s">
        <v>134</v>
      </c>
      <c r="L16" s="28">
        <v>-500000</v>
      </c>
      <c r="M16" s="6" t="s">
        <v>90</v>
      </c>
      <c r="N16" s="39" t="s">
        <v>216</v>
      </c>
      <c r="O16" s="26">
        <v>267000</v>
      </c>
      <c r="P16" s="5"/>
      <c r="Q16" s="6"/>
      <c r="R16" s="39"/>
      <c r="S16" s="28"/>
      <c r="T16" s="6" t="s">
        <v>113</v>
      </c>
      <c r="U16" s="39" t="s">
        <v>286</v>
      </c>
      <c r="V16" s="28">
        <v>-13400</v>
      </c>
      <c r="W16" s="6" t="s">
        <v>109</v>
      </c>
      <c r="X16" s="39" t="s">
        <v>117</v>
      </c>
      <c r="Y16" s="26">
        <v>-747480</v>
      </c>
    </row>
    <row r="17" spans="2:25" x14ac:dyDescent="0.3">
      <c r="G17" s="6"/>
      <c r="H17" s="39"/>
      <c r="I17" s="28"/>
      <c r="J17" s="6" t="s">
        <v>92</v>
      </c>
      <c r="K17" s="39" t="s">
        <v>314</v>
      </c>
      <c r="L17" s="28">
        <v>-30900</v>
      </c>
      <c r="M17" s="6" t="s">
        <v>118</v>
      </c>
      <c r="N17" s="39" t="s">
        <v>229</v>
      </c>
      <c r="O17" s="26">
        <v>0</v>
      </c>
      <c r="P17" s="5"/>
      <c r="Q17" s="6"/>
      <c r="R17" s="39"/>
      <c r="S17" s="28"/>
      <c r="T17" s="6" t="s">
        <v>101</v>
      </c>
      <c r="U17" s="39" t="s">
        <v>324</v>
      </c>
      <c r="V17" s="28">
        <v>61000</v>
      </c>
      <c r="W17" s="6" t="s">
        <v>59</v>
      </c>
      <c r="X17" s="39" t="s">
        <v>325</v>
      </c>
      <c r="Y17" s="26">
        <v>61000</v>
      </c>
    </row>
    <row r="18" spans="2:25" x14ac:dyDescent="0.3">
      <c r="G18" s="6"/>
      <c r="H18" s="39"/>
      <c r="I18" s="28"/>
      <c r="J18" s="6" t="s">
        <v>96</v>
      </c>
      <c r="K18" s="39" t="s">
        <v>107</v>
      </c>
      <c r="L18" s="28">
        <v>-2500</v>
      </c>
      <c r="M18" s="6" t="s">
        <v>118</v>
      </c>
      <c r="N18" s="39" t="s">
        <v>229</v>
      </c>
      <c r="O18" s="26">
        <v>0</v>
      </c>
      <c r="P18" s="5"/>
      <c r="Q18" s="6"/>
      <c r="R18" s="39"/>
      <c r="S18" s="28"/>
      <c r="T18" s="6" t="s">
        <v>113</v>
      </c>
      <c r="U18" s="39" t="s">
        <v>107</v>
      </c>
      <c r="V18" s="28">
        <v>-5000</v>
      </c>
      <c r="W18" s="6" t="s">
        <v>118</v>
      </c>
      <c r="X18" s="39" t="s">
        <v>327</v>
      </c>
      <c r="Y18" s="26">
        <v>-50000</v>
      </c>
    </row>
    <row r="19" spans="2:25" x14ac:dyDescent="0.3">
      <c r="G19" s="6"/>
      <c r="H19" s="39"/>
      <c r="I19" s="28"/>
      <c r="J19" s="6" t="s">
        <v>92</v>
      </c>
      <c r="K19" s="39" t="s">
        <v>100</v>
      </c>
      <c r="L19" s="28">
        <v>-80000</v>
      </c>
      <c r="M19" s="6" t="s">
        <v>217</v>
      </c>
      <c r="N19" s="39" t="s">
        <v>317</v>
      </c>
      <c r="O19" s="26">
        <v>-500000</v>
      </c>
      <c r="P19" s="5"/>
      <c r="Q19" s="6"/>
      <c r="R19" s="39"/>
      <c r="S19" s="28"/>
      <c r="T19" s="6" t="s">
        <v>95</v>
      </c>
      <c r="U19" s="39" t="s">
        <v>326</v>
      </c>
      <c r="V19" s="28">
        <v>-82390</v>
      </c>
      <c r="W19" s="6" t="s">
        <v>118</v>
      </c>
      <c r="X19" s="39" t="s">
        <v>229</v>
      </c>
      <c r="Y19" s="26">
        <v>4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 t="s">
        <v>217</v>
      </c>
      <c r="N20" s="39" t="s">
        <v>229</v>
      </c>
      <c r="O20" s="26">
        <v>500000</v>
      </c>
      <c r="P20" s="5"/>
      <c r="Q20" s="6"/>
      <c r="R20" s="39"/>
      <c r="S20" s="28"/>
      <c r="T20" s="6" t="s">
        <v>113</v>
      </c>
      <c r="U20" s="39" t="s">
        <v>286</v>
      </c>
      <c r="V20" s="28">
        <v>-35000</v>
      </c>
      <c r="W20" s="6" t="s">
        <v>90</v>
      </c>
      <c r="X20" s="39" t="s">
        <v>313</v>
      </c>
      <c r="Y20" s="26">
        <v>0</v>
      </c>
    </row>
    <row r="21" spans="2:25" x14ac:dyDescent="0.3">
      <c r="G21" s="6"/>
      <c r="H21" s="39"/>
      <c r="I21" s="28"/>
      <c r="J21" s="6" t="s">
        <v>91</v>
      </c>
      <c r="K21" s="39" t="s">
        <v>315</v>
      </c>
      <c r="L21" s="28">
        <v>-16500</v>
      </c>
      <c r="M21" s="6" t="s">
        <v>109</v>
      </c>
      <c r="N21" s="39" t="s">
        <v>112</v>
      </c>
      <c r="O21" s="26">
        <v>-2410000</v>
      </c>
      <c r="P21" s="5"/>
      <c r="Q21" s="6"/>
      <c r="R21" s="39"/>
      <c r="S21" s="28"/>
      <c r="T21" s="6" t="s">
        <v>101</v>
      </c>
      <c r="U21" s="39" t="s">
        <v>328</v>
      </c>
      <c r="V21" s="28">
        <v>-17000</v>
      </c>
      <c r="W21" s="6" t="s">
        <v>103</v>
      </c>
      <c r="X21" s="39" t="s">
        <v>334</v>
      </c>
      <c r="Y21" s="26">
        <v>1</v>
      </c>
    </row>
    <row r="22" spans="2:25" x14ac:dyDescent="0.3">
      <c r="G22" s="6"/>
      <c r="H22" s="39"/>
      <c r="I22" s="28"/>
      <c r="J22" s="6" t="s">
        <v>96</v>
      </c>
      <c r="K22" s="39" t="s">
        <v>107</v>
      </c>
      <c r="L22" s="28">
        <v>-2500</v>
      </c>
      <c r="M22" s="6" t="s">
        <v>217</v>
      </c>
      <c r="N22" s="39" t="s">
        <v>318</v>
      </c>
      <c r="O22" s="26">
        <v>-100000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-12892</v>
      </c>
      <c r="W22" s="6" t="s">
        <v>118</v>
      </c>
      <c r="X22" s="39" t="s">
        <v>336</v>
      </c>
      <c r="Y22" s="26">
        <v>-720</v>
      </c>
    </row>
    <row r="23" spans="2:25" x14ac:dyDescent="0.3">
      <c r="G23" s="6"/>
      <c r="H23" s="39"/>
      <c r="I23" s="28"/>
      <c r="J23" s="6" t="s">
        <v>95</v>
      </c>
      <c r="K23" s="39" t="s">
        <v>316</v>
      </c>
      <c r="L23" s="28">
        <v>-35950</v>
      </c>
      <c r="M23" s="6" t="s">
        <v>217</v>
      </c>
      <c r="N23" s="39" t="s">
        <v>229</v>
      </c>
      <c r="O23" s="26">
        <v>100000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-49108</v>
      </c>
      <c r="W23" s="6" t="s">
        <v>118</v>
      </c>
      <c r="X23" s="39" t="s">
        <v>229</v>
      </c>
      <c r="Y23" s="26">
        <v>5206</v>
      </c>
    </row>
    <row r="24" spans="2:25" x14ac:dyDescent="0.3">
      <c r="G24" s="6"/>
      <c r="H24" s="39"/>
      <c r="I24" s="28"/>
      <c r="J24" s="6" t="s">
        <v>94</v>
      </c>
      <c r="K24" s="39" t="s">
        <v>207</v>
      </c>
      <c r="L24" s="28">
        <v>-40490</v>
      </c>
      <c r="M24" s="6" t="s">
        <v>217</v>
      </c>
      <c r="N24" s="39" t="s">
        <v>218</v>
      </c>
      <c r="O24" s="26">
        <v>-1500000</v>
      </c>
      <c r="P24" s="5"/>
      <c r="Q24" s="6"/>
      <c r="R24" s="39"/>
      <c r="S24" s="28"/>
      <c r="T24" s="6" t="s">
        <v>113</v>
      </c>
      <c r="U24" s="39" t="s">
        <v>286</v>
      </c>
      <c r="V24" s="28">
        <v>-31400</v>
      </c>
      <c r="W24" s="6" t="s">
        <v>118</v>
      </c>
      <c r="X24" s="39" t="s">
        <v>336</v>
      </c>
      <c r="Y24" s="26">
        <v>-70</v>
      </c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96</v>
      </c>
      <c r="K25" s="39" t="s">
        <v>107</v>
      </c>
      <c r="L25" s="28">
        <v>-14500</v>
      </c>
      <c r="M25" s="6" t="s">
        <v>103</v>
      </c>
      <c r="N25" s="39" t="s">
        <v>319</v>
      </c>
      <c r="O25" s="26">
        <v>-63500</v>
      </c>
      <c r="P25" s="5"/>
      <c r="Q25" s="6"/>
      <c r="R25" s="39"/>
      <c r="S25" s="28"/>
      <c r="T25" s="6" t="s">
        <v>113</v>
      </c>
      <c r="U25" s="39" t="s">
        <v>107</v>
      </c>
      <c r="V25" s="28">
        <v>-24600</v>
      </c>
      <c r="W25" s="6" t="s">
        <v>118</v>
      </c>
      <c r="X25" s="39" t="s">
        <v>340</v>
      </c>
      <c r="Y25" s="26">
        <v>300000</v>
      </c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101</v>
      </c>
      <c r="K26" s="39" t="s">
        <v>304</v>
      </c>
      <c r="L26" s="28">
        <v>-5000</v>
      </c>
      <c r="M26" s="6" t="s">
        <v>217</v>
      </c>
      <c r="N26" s="39" t="s">
        <v>231</v>
      </c>
      <c r="O26" s="26">
        <v>-100000</v>
      </c>
      <c r="P26" s="5"/>
      <c r="Q26" s="6"/>
      <c r="R26" s="39"/>
      <c r="S26" s="28"/>
      <c r="T26" s="6" t="s">
        <v>113</v>
      </c>
      <c r="U26" s="39" t="s">
        <v>107</v>
      </c>
      <c r="V26" s="28">
        <v>-2500</v>
      </c>
      <c r="W26" s="6" t="s">
        <v>103</v>
      </c>
      <c r="X26" s="39" t="s">
        <v>344</v>
      </c>
      <c r="Y26" s="26">
        <v>14750</v>
      </c>
    </row>
    <row r="27" spans="2:25" x14ac:dyDescent="0.3">
      <c r="B27" s="48" t="s">
        <v>91</v>
      </c>
      <c r="C27" s="161">
        <f t="shared" ref="C27:C46" si="0">-(SUMIF($J$7:$J$88,B27,$L$7:$L$88)+SUMIF($T$7:$T$88,B27,$V$7:$V$88))</f>
        <v>52620</v>
      </c>
      <c r="D27" s="162"/>
      <c r="E27" s="163"/>
      <c r="G27" s="6"/>
      <c r="H27" s="39"/>
      <c r="I27" s="28"/>
      <c r="J27" s="6" t="s">
        <v>91</v>
      </c>
      <c r="K27" s="39" t="s">
        <v>227</v>
      </c>
      <c r="L27" s="28">
        <v>-36120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329</v>
      </c>
      <c r="V27" s="28">
        <v>-4880</v>
      </c>
      <c r="W27" s="6" t="s">
        <v>103</v>
      </c>
      <c r="X27" s="39" t="s">
        <v>269</v>
      </c>
      <c r="Y27" s="26">
        <v>14750</v>
      </c>
    </row>
    <row r="28" spans="2:25" x14ac:dyDescent="0.3">
      <c r="B28" s="49" t="s">
        <v>92</v>
      </c>
      <c r="C28" s="161">
        <f t="shared" si="0"/>
        <v>2913825</v>
      </c>
      <c r="D28" s="162"/>
      <c r="E28" s="163"/>
      <c r="G28" s="6"/>
      <c r="H28" s="39"/>
      <c r="I28" s="28"/>
      <c r="J28" s="6" t="s">
        <v>96</v>
      </c>
      <c r="K28" s="39" t="s">
        <v>107</v>
      </c>
      <c r="L28" s="28">
        <v>-1200</v>
      </c>
      <c r="M28" s="6"/>
      <c r="N28" s="39"/>
      <c r="O28" s="26"/>
      <c r="P28" s="5"/>
      <c r="Q28" s="6"/>
      <c r="R28" s="39"/>
      <c r="S28" s="28"/>
      <c r="T28" s="6" t="s">
        <v>93</v>
      </c>
      <c r="U28" s="39" t="s">
        <v>121</v>
      </c>
      <c r="V28" s="28">
        <v>-120000</v>
      </c>
      <c r="W28" s="6" t="s">
        <v>103</v>
      </c>
      <c r="X28" s="39" t="s">
        <v>345</v>
      </c>
      <c r="Y28" s="26">
        <v>14750</v>
      </c>
    </row>
    <row r="29" spans="2:25" x14ac:dyDescent="0.3">
      <c r="B29" s="49" t="s">
        <v>96</v>
      </c>
      <c r="C29" s="161">
        <f t="shared" si="0"/>
        <v>163950</v>
      </c>
      <c r="D29" s="162"/>
      <c r="E29" s="163"/>
      <c r="G29" s="6"/>
      <c r="H29" s="39"/>
      <c r="I29" s="28"/>
      <c r="J29" s="6" t="s">
        <v>92</v>
      </c>
      <c r="K29" s="39" t="s">
        <v>320</v>
      </c>
      <c r="L29" s="28">
        <v>-300000</v>
      </c>
      <c r="M29" s="6"/>
      <c r="N29" s="39"/>
      <c r="O29" s="26"/>
      <c r="P29" s="5"/>
      <c r="Q29" s="6"/>
      <c r="R29" s="39"/>
      <c r="S29" s="28"/>
      <c r="T29" s="6" t="s">
        <v>104</v>
      </c>
      <c r="U29" s="39" t="s">
        <v>330</v>
      </c>
      <c r="V29" s="28">
        <v>-805</v>
      </c>
      <c r="W29" s="6" t="s">
        <v>90</v>
      </c>
      <c r="X29" s="39" t="s">
        <v>235</v>
      </c>
      <c r="Y29" s="26">
        <v>1</v>
      </c>
    </row>
    <row r="30" spans="2:25" x14ac:dyDescent="0.3">
      <c r="B30" s="49" t="s">
        <v>94</v>
      </c>
      <c r="C30" s="161">
        <f t="shared" si="0"/>
        <v>387740</v>
      </c>
      <c r="D30" s="162"/>
      <c r="E30" s="163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/>
      <c r="N30" s="39"/>
      <c r="O30" s="26"/>
      <c r="P30" s="5"/>
      <c r="Q30" s="6"/>
      <c r="R30" s="39"/>
      <c r="S30" s="28"/>
      <c r="T30" s="6" t="s">
        <v>104</v>
      </c>
      <c r="U30" s="39" t="s">
        <v>330</v>
      </c>
      <c r="V30" s="28">
        <v>-2203</v>
      </c>
      <c r="W30" s="6" t="s">
        <v>103</v>
      </c>
      <c r="X30" s="39" t="s">
        <v>345</v>
      </c>
      <c r="Y30" s="26">
        <v>100000</v>
      </c>
    </row>
    <row r="31" spans="2:25" x14ac:dyDescent="0.3">
      <c r="B31" s="49" t="s">
        <v>98</v>
      </c>
      <c r="C31" s="161">
        <f t="shared" si="0"/>
        <v>500000</v>
      </c>
      <c r="D31" s="162"/>
      <c r="E31" s="163"/>
      <c r="G31" s="6"/>
      <c r="H31" s="39"/>
      <c r="I31" s="28"/>
      <c r="J31" s="6" t="s">
        <v>96</v>
      </c>
      <c r="K31" s="39" t="s">
        <v>107</v>
      </c>
      <c r="L31" s="28">
        <v>-14750</v>
      </c>
      <c r="M31" s="6"/>
      <c r="N31" s="39"/>
      <c r="O31" s="26"/>
      <c r="P31" s="5"/>
      <c r="Q31" s="6"/>
      <c r="R31" s="39"/>
      <c r="S31" s="28"/>
      <c r="T31" s="6" t="s">
        <v>104</v>
      </c>
      <c r="U31" s="39" t="s">
        <v>330</v>
      </c>
      <c r="V31" s="28">
        <v>-7892</v>
      </c>
      <c r="W31" s="6"/>
      <c r="X31" s="39"/>
      <c r="Y31" s="26"/>
    </row>
    <row r="32" spans="2:25" x14ac:dyDescent="0.3">
      <c r="B32" s="49" t="s">
        <v>95</v>
      </c>
      <c r="C32" s="161">
        <f t="shared" si="0"/>
        <v>168340</v>
      </c>
      <c r="D32" s="162"/>
      <c r="E32" s="163"/>
      <c r="G32" s="6"/>
      <c r="H32" s="39"/>
      <c r="I32" s="28"/>
      <c r="J32" s="6" t="s">
        <v>96</v>
      </c>
      <c r="K32" s="39" t="s">
        <v>107</v>
      </c>
      <c r="L32" s="28">
        <v>-100000</v>
      </c>
      <c r="M32" s="6"/>
      <c r="N32" s="39"/>
      <c r="O32" s="26"/>
      <c r="P32" s="5"/>
      <c r="Q32" s="6"/>
      <c r="R32" s="39"/>
      <c r="S32" s="28"/>
      <c r="T32" s="6" t="s">
        <v>92</v>
      </c>
      <c r="U32" s="39" t="s">
        <v>331</v>
      </c>
      <c r="V32" s="28">
        <v>-30000</v>
      </c>
      <c r="W32" s="6"/>
      <c r="X32" s="39"/>
      <c r="Y32" s="26"/>
    </row>
    <row r="33" spans="2:25" x14ac:dyDescent="0.3">
      <c r="B33" s="49" t="s">
        <v>105</v>
      </c>
      <c r="C33" s="161">
        <f t="shared" si="0"/>
        <v>12000</v>
      </c>
      <c r="D33" s="162"/>
      <c r="E33" s="163"/>
      <c r="G33" s="6"/>
      <c r="H33" s="39"/>
      <c r="I33" s="28"/>
      <c r="J33" s="6" t="s">
        <v>96</v>
      </c>
      <c r="K33" s="39" t="s">
        <v>107</v>
      </c>
      <c r="L33" s="28">
        <v>-2500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332</v>
      </c>
      <c r="V33" s="28">
        <v>-2500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-4000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333</v>
      </c>
      <c r="V34" s="28">
        <v>-16157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 t="s">
        <v>94</v>
      </c>
      <c r="U35" s="39" t="s">
        <v>207</v>
      </c>
      <c r="V35" s="28">
        <v>-28500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154630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-14500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305900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337</v>
      </c>
      <c r="V37" s="28">
        <v>-45940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338</v>
      </c>
      <c r="V38" s="28">
        <v>-3400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 t="s">
        <v>93</v>
      </c>
      <c r="U39" s="39" t="s">
        <v>99</v>
      </c>
      <c r="V39" s="28">
        <v>-990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-1800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339</v>
      </c>
      <c r="V41" s="28">
        <v>-24000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 t="s">
        <v>94</v>
      </c>
      <c r="U42" s="39" t="s">
        <v>306</v>
      </c>
      <c r="V42" s="28">
        <v>-318750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602110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 t="s">
        <v>104</v>
      </c>
      <c r="U43" s="39">
        <v>61610304323291</v>
      </c>
      <c r="V43" s="28">
        <v>-295000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240</v>
      </c>
      <c r="V44" s="28">
        <v>-102105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49300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114</v>
      </c>
      <c r="U45" s="39" t="s">
        <v>341</v>
      </c>
      <c r="V45" s="28">
        <v>-3002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114</v>
      </c>
      <c r="U46" s="39" t="s">
        <v>341</v>
      </c>
      <c r="V46" s="28">
        <v>-46298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342</v>
      </c>
      <c r="V47" s="28">
        <v>-234510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93</v>
      </c>
      <c r="U48" s="39" t="s">
        <v>285</v>
      </c>
      <c r="V48" s="28">
        <v>-7483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105</v>
      </c>
      <c r="U49" s="39" t="s">
        <v>273</v>
      </c>
      <c r="V49" s="28">
        <v>-12000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113</v>
      </c>
      <c r="U50" s="39" t="s">
        <v>343</v>
      </c>
      <c r="V50" s="28">
        <v>-49000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101</v>
      </c>
      <c r="U51" s="39" t="s">
        <v>304</v>
      </c>
      <c r="V51" s="28">
        <v>-10000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4660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286</v>
      </c>
      <c r="V52" s="28">
        <v>-20000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8292448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113</v>
      </c>
      <c r="U53" s="39" t="s">
        <v>346</v>
      </c>
      <c r="V53" s="28">
        <v>-36000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100</v>
      </c>
      <c r="V54" s="28">
        <v>-160000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107</v>
      </c>
      <c r="V55" s="28">
        <v>-2500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4236407</v>
      </c>
      <c r="J89" s="7" t="s">
        <v>24</v>
      </c>
      <c r="K89" s="22" t="s">
        <v>34</v>
      </c>
      <c r="L89" s="21">
        <f>SUM(L7:L88)</f>
        <v>-3441410</v>
      </c>
      <c r="M89" s="7" t="s">
        <v>24</v>
      </c>
      <c r="N89" s="22" t="s">
        <v>34</v>
      </c>
      <c r="O89" s="21">
        <f>SUM(O7:O88)</f>
        <v>-4093000</v>
      </c>
      <c r="Q89" s="7" t="s">
        <v>24</v>
      </c>
      <c r="R89" s="17" t="s">
        <v>34</v>
      </c>
      <c r="S89" s="19">
        <f>SUM(S7:S88)</f>
        <v>4060701</v>
      </c>
      <c r="T89" s="7" t="s">
        <v>24</v>
      </c>
      <c r="U89" s="22" t="s">
        <v>34</v>
      </c>
      <c r="V89" s="21">
        <f>SUM(V7:V88)</f>
        <v>-1865005</v>
      </c>
      <c r="W89" s="7" t="s">
        <v>24</v>
      </c>
      <c r="X89" s="22" t="s">
        <v>34</v>
      </c>
      <c r="Y89" s="21">
        <f>SUM(Y7:Y88)</f>
        <v>-11072379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-3298003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-8876683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S90" sqref="S9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2" t="s">
        <v>85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11578440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-1578440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1.1578440000000001</v>
      </c>
      <c r="D7" s="172"/>
      <c r="G7" s="6" t="s">
        <v>212</v>
      </c>
      <c r="H7" s="39" t="s">
        <v>213</v>
      </c>
      <c r="I7" s="28">
        <v>11226589</v>
      </c>
      <c r="J7" s="6" t="s">
        <v>96</v>
      </c>
      <c r="K7" s="39" t="s">
        <v>107</v>
      </c>
      <c r="L7" s="28">
        <v>-2500</v>
      </c>
      <c r="M7" s="6" t="s">
        <v>103</v>
      </c>
      <c r="N7" s="39" t="s">
        <v>309</v>
      </c>
      <c r="O7" s="40">
        <v>-300000</v>
      </c>
      <c r="P7" s="5"/>
      <c r="Q7" s="6" t="s">
        <v>212</v>
      </c>
      <c r="R7" s="39" t="s">
        <v>213</v>
      </c>
      <c r="S7" s="28">
        <v>9035415</v>
      </c>
      <c r="T7" s="6" t="s">
        <v>93</v>
      </c>
      <c r="U7" s="39" t="s">
        <v>99</v>
      </c>
      <c r="V7" s="28">
        <v>-33300</v>
      </c>
      <c r="W7" s="6" t="s">
        <v>103</v>
      </c>
      <c r="X7" s="39" t="s">
        <v>309</v>
      </c>
      <c r="Y7" s="40">
        <v>-300000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95</v>
      </c>
      <c r="K8" s="39" t="s">
        <v>347</v>
      </c>
      <c r="L8" s="28">
        <v>-50000</v>
      </c>
      <c r="M8" s="6" t="s">
        <v>90</v>
      </c>
      <c r="N8" s="39" t="s">
        <v>348</v>
      </c>
      <c r="O8" s="26">
        <v>19247</v>
      </c>
      <c r="P8" s="5"/>
      <c r="Q8" s="6" t="s">
        <v>88</v>
      </c>
      <c r="R8" s="39" t="s">
        <v>236</v>
      </c>
      <c r="S8" s="28">
        <v>9</v>
      </c>
      <c r="T8" s="6" t="s">
        <v>113</v>
      </c>
      <c r="U8" s="39" t="s">
        <v>115</v>
      </c>
      <c r="V8" s="28">
        <v>-1200</v>
      </c>
      <c r="W8" s="6" t="s">
        <v>109</v>
      </c>
      <c r="X8" s="39" t="s">
        <v>367</v>
      </c>
      <c r="Y8" s="26">
        <v>-75034</v>
      </c>
    </row>
    <row r="9" spans="2:25" x14ac:dyDescent="0.3">
      <c r="G9" s="6"/>
      <c r="H9" s="39"/>
      <c r="I9" s="28"/>
      <c r="J9" s="6" t="s">
        <v>91</v>
      </c>
      <c r="K9" s="39" t="s">
        <v>349</v>
      </c>
      <c r="L9" s="28">
        <v>-3000000</v>
      </c>
      <c r="M9" s="6" t="s">
        <v>90</v>
      </c>
      <c r="N9" s="39" t="s">
        <v>348</v>
      </c>
      <c r="O9" s="26">
        <v>19247</v>
      </c>
      <c r="P9" s="5"/>
      <c r="Q9" s="6" t="s">
        <v>88</v>
      </c>
      <c r="R9" s="39" t="s">
        <v>221</v>
      </c>
      <c r="S9" s="28">
        <v>0</v>
      </c>
      <c r="T9" s="6" t="s">
        <v>113</v>
      </c>
      <c r="U9" s="39" t="s">
        <v>115</v>
      </c>
      <c r="V9" s="28">
        <v>-1200</v>
      </c>
      <c r="W9" s="6" t="s">
        <v>103</v>
      </c>
      <c r="X9" s="39" t="s">
        <v>369</v>
      </c>
      <c r="Y9" s="26">
        <v>-11700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118</v>
      </c>
      <c r="N10" s="39" t="s">
        <v>336</v>
      </c>
      <c r="O10" s="26">
        <v>-15000</v>
      </c>
      <c r="P10" s="5"/>
      <c r="Q10" s="6"/>
      <c r="R10" s="39"/>
      <c r="S10" s="28"/>
      <c r="T10" s="6" t="s">
        <v>113</v>
      </c>
      <c r="U10" s="39" t="s">
        <v>107</v>
      </c>
      <c r="V10" s="28">
        <v>-2500</v>
      </c>
      <c r="W10" s="6" t="s">
        <v>103</v>
      </c>
      <c r="X10" s="39" t="s">
        <v>369</v>
      </c>
      <c r="Y10" s="26">
        <v>-1800</v>
      </c>
    </row>
    <row r="11" spans="2:25" x14ac:dyDescent="0.3">
      <c r="G11" s="6"/>
      <c r="H11" s="39"/>
      <c r="I11" s="28"/>
      <c r="J11" s="6" t="s">
        <v>96</v>
      </c>
      <c r="K11" s="39" t="s">
        <v>107</v>
      </c>
      <c r="L11" s="28">
        <v>-14110</v>
      </c>
      <c r="M11" s="6" t="s">
        <v>90</v>
      </c>
      <c r="N11" s="39" t="s">
        <v>216</v>
      </c>
      <c r="O11" s="26">
        <v>152100</v>
      </c>
      <c r="P11" s="5"/>
      <c r="Q11" s="6"/>
      <c r="R11" s="39"/>
      <c r="S11" s="28"/>
      <c r="T11" s="6" t="s">
        <v>92</v>
      </c>
      <c r="U11" s="39" t="s">
        <v>368</v>
      </c>
      <c r="V11" s="28">
        <v>-5933</v>
      </c>
      <c r="W11" s="6" t="s">
        <v>103</v>
      </c>
      <c r="X11" s="39" t="s">
        <v>370</v>
      </c>
      <c r="Y11" s="26">
        <v>-8000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-2500</v>
      </c>
      <c r="M12" s="6" t="s">
        <v>103</v>
      </c>
      <c r="N12" s="39" t="s">
        <v>269</v>
      </c>
      <c r="O12" s="26">
        <v>5000</v>
      </c>
      <c r="P12" s="5"/>
      <c r="Q12" s="6"/>
      <c r="R12" s="39"/>
      <c r="S12" s="28"/>
      <c r="T12" s="6" t="s">
        <v>92</v>
      </c>
      <c r="U12" s="39" t="s">
        <v>368</v>
      </c>
      <c r="V12" s="28">
        <v>-15577</v>
      </c>
      <c r="W12" s="6" t="s">
        <v>248</v>
      </c>
      <c r="X12" s="39" t="s">
        <v>249</v>
      </c>
      <c r="Y12" s="26">
        <v>3000000</v>
      </c>
    </row>
    <row r="13" spans="2:25" x14ac:dyDescent="0.3">
      <c r="G13" s="6"/>
      <c r="H13" s="39"/>
      <c r="I13" s="28"/>
      <c r="J13" s="6" t="s">
        <v>93</v>
      </c>
      <c r="K13" s="39" t="s">
        <v>350</v>
      </c>
      <c r="L13" s="28">
        <v>-4605</v>
      </c>
      <c r="M13" s="6" t="s">
        <v>103</v>
      </c>
      <c r="N13" s="39" t="s">
        <v>266</v>
      </c>
      <c r="O13" s="26">
        <v>2500</v>
      </c>
      <c r="P13" s="5"/>
      <c r="Q13" s="6"/>
      <c r="R13" s="39"/>
      <c r="S13" s="28"/>
      <c r="T13" s="6" t="s">
        <v>92</v>
      </c>
      <c r="U13" s="39" t="s">
        <v>129</v>
      </c>
      <c r="V13" s="28">
        <v>-10360</v>
      </c>
      <c r="W13" s="6" t="s">
        <v>118</v>
      </c>
      <c r="X13" s="39" t="s">
        <v>232</v>
      </c>
      <c r="Y13" s="26">
        <v>-5102094</v>
      </c>
    </row>
    <row r="14" spans="2:25" x14ac:dyDescent="0.3">
      <c r="G14" s="6"/>
      <c r="H14" s="39"/>
      <c r="I14" s="28"/>
      <c r="J14" s="6" t="s">
        <v>93</v>
      </c>
      <c r="K14" s="39" t="s">
        <v>350</v>
      </c>
      <c r="L14" s="28">
        <v>-18795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95</v>
      </c>
      <c r="U14" s="39" t="s">
        <v>347</v>
      </c>
      <c r="V14" s="28">
        <v>-60000</v>
      </c>
      <c r="W14" s="6" t="s">
        <v>118</v>
      </c>
      <c r="X14" s="39" t="s">
        <v>232</v>
      </c>
      <c r="Y14" s="26">
        <v>5102094</v>
      </c>
    </row>
    <row r="15" spans="2:25" x14ac:dyDescent="0.3">
      <c r="G15" s="6"/>
      <c r="H15" s="39"/>
      <c r="I15" s="28"/>
      <c r="J15" s="6" t="s">
        <v>95</v>
      </c>
      <c r="K15" s="39" t="s">
        <v>351</v>
      </c>
      <c r="L15" s="28">
        <v>-3500</v>
      </c>
      <c r="M15" s="6" t="s">
        <v>103</v>
      </c>
      <c r="N15" s="39" t="s">
        <v>268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118</v>
      </c>
      <c r="X15" s="39">
        <v>158059015472</v>
      </c>
      <c r="Y15" s="26">
        <v>-5102094</v>
      </c>
    </row>
    <row r="16" spans="2:25" x14ac:dyDescent="0.3">
      <c r="G16" s="6"/>
      <c r="H16" s="39"/>
      <c r="I16" s="28"/>
      <c r="J16" s="6" t="s">
        <v>105</v>
      </c>
      <c r="K16" s="39" t="s">
        <v>352</v>
      </c>
      <c r="L16" s="28">
        <v>-6600</v>
      </c>
      <c r="M16" s="6" t="s">
        <v>103</v>
      </c>
      <c r="N16" s="39" t="s">
        <v>310</v>
      </c>
      <c r="O16" s="26">
        <v>2500</v>
      </c>
      <c r="P16" s="5"/>
      <c r="Q16" s="6"/>
      <c r="R16" s="39"/>
      <c r="S16" s="28"/>
      <c r="T16" s="6" t="s">
        <v>128</v>
      </c>
      <c r="U16" s="39" t="s">
        <v>371</v>
      </c>
      <c r="V16" s="28">
        <v>-33400</v>
      </c>
      <c r="W16" s="6" t="s">
        <v>118</v>
      </c>
      <c r="X16" s="39" t="s">
        <v>303</v>
      </c>
      <c r="Y16" s="26">
        <v>5102094</v>
      </c>
    </row>
    <row r="17" spans="2:25" x14ac:dyDescent="0.3">
      <c r="G17" s="6"/>
      <c r="H17" s="39"/>
      <c r="I17" s="28"/>
      <c r="J17" s="6" t="s">
        <v>105</v>
      </c>
      <c r="K17" s="39" t="s">
        <v>352</v>
      </c>
      <c r="L17" s="28">
        <v>6600</v>
      </c>
      <c r="M17" s="6" t="s">
        <v>103</v>
      </c>
      <c r="N17" s="39" t="s">
        <v>268</v>
      </c>
      <c r="O17" s="26">
        <v>2500</v>
      </c>
      <c r="P17" s="5"/>
      <c r="Q17" s="6"/>
      <c r="R17" s="39"/>
      <c r="S17" s="28"/>
      <c r="T17" s="6" t="s">
        <v>113</v>
      </c>
      <c r="U17" s="39" t="s">
        <v>107</v>
      </c>
      <c r="V17" s="28">
        <v>-14110</v>
      </c>
      <c r="W17" s="6" t="s">
        <v>109</v>
      </c>
      <c r="X17" s="39" t="s">
        <v>117</v>
      </c>
      <c r="Y17" s="26">
        <v>-910890</v>
      </c>
    </row>
    <row r="18" spans="2:25" x14ac:dyDescent="0.3">
      <c r="G18" s="6"/>
      <c r="H18" s="39"/>
      <c r="I18" s="28"/>
      <c r="J18" s="6" t="s">
        <v>105</v>
      </c>
      <c r="K18" s="39" t="s">
        <v>352</v>
      </c>
      <c r="L18" s="28">
        <v>-6100</v>
      </c>
      <c r="M18" s="6" t="s">
        <v>103</v>
      </c>
      <c r="N18" s="39" t="s">
        <v>358</v>
      </c>
      <c r="O18" s="26">
        <v>15000</v>
      </c>
      <c r="P18" s="5"/>
      <c r="Q18" s="6"/>
      <c r="R18" s="39"/>
      <c r="S18" s="28"/>
      <c r="T18" s="6" t="s">
        <v>113</v>
      </c>
      <c r="U18" s="39" t="s">
        <v>107</v>
      </c>
      <c r="V18" s="28">
        <v>-2500</v>
      </c>
      <c r="W18" s="6" t="s">
        <v>59</v>
      </c>
      <c r="X18" s="39" t="s">
        <v>373</v>
      </c>
      <c r="Y18" s="26">
        <v>-48000</v>
      </c>
    </row>
    <row r="19" spans="2:25" x14ac:dyDescent="0.3">
      <c r="G19" s="6"/>
      <c r="H19" s="39"/>
      <c r="I19" s="28"/>
      <c r="J19" s="6" t="s">
        <v>98</v>
      </c>
      <c r="K19" s="39" t="s">
        <v>353</v>
      </c>
      <c r="L19" s="28">
        <v>-8960</v>
      </c>
      <c r="M19" s="6" t="s">
        <v>103</v>
      </c>
      <c r="N19" s="39" t="s">
        <v>268</v>
      </c>
      <c r="O19" s="26">
        <v>2500</v>
      </c>
      <c r="P19" s="5"/>
      <c r="Q19" s="6"/>
      <c r="R19" s="39"/>
      <c r="S19" s="28"/>
      <c r="T19" s="6" t="s">
        <v>118</v>
      </c>
      <c r="U19" s="39" t="s">
        <v>289</v>
      </c>
      <c r="V19" s="28">
        <v>-37000</v>
      </c>
      <c r="W19" s="6" t="s">
        <v>59</v>
      </c>
      <c r="X19" s="39" t="s">
        <v>373</v>
      </c>
      <c r="Y19" s="26">
        <v>-10000</v>
      </c>
    </row>
    <row r="20" spans="2:25" x14ac:dyDescent="0.3">
      <c r="G20" s="6"/>
      <c r="H20" s="39"/>
      <c r="I20" s="28"/>
      <c r="J20" s="6" t="s">
        <v>91</v>
      </c>
      <c r="K20" s="39" t="s">
        <v>315</v>
      </c>
      <c r="L20" s="28">
        <v>-16500</v>
      </c>
      <c r="M20" s="6" t="s">
        <v>103</v>
      </c>
      <c r="N20" s="39" t="s">
        <v>266</v>
      </c>
      <c r="O20" s="26">
        <v>2500</v>
      </c>
      <c r="P20" s="5"/>
      <c r="Q20" s="6"/>
      <c r="R20" s="39"/>
      <c r="S20" s="28"/>
      <c r="T20" s="6" t="s">
        <v>122</v>
      </c>
      <c r="U20" s="39" t="s">
        <v>372</v>
      </c>
      <c r="V20" s="28">
        <v>37000</v>
      </c>
      <c r="W20" s="6" t="s">
        <v>103</v>
      </c>
      <c r="X20" s="39" t="s">
        <v>345</v>
      </c>
      <c r="Y20" s="26">
        <v>100000</v>
      </c>
    </row>
    <row r="21" spans="2:25" x14ac:dyDescent="0.3">
      <c r="G21" s="6"/>
      <c r="H21" s="39"/>
      <c r="I21" s="28"/>
      <c r="J21" s="6" t="s">
        <v>101</v>
      </c>
      <c r="K21" s="39" t="s">
        <v>304</v>
      </c>
      <c r="L21" s="28">
        <v>-15000</v>
      </c>
      <c r="M21" s="6" t="s">
        <v>103</v>
      </c>
      <c r="N21" s="39" t="s">
        <v>310</v>
      </c>
      <c r="O21" s="26">
        <v>2500</v>
      </c>
      <c r="P21" s="5"/>
      <c r="Q21" s="6"/>
      <c r="R21" s="39"/>
      <c r="S21" s="28"/>
      <c r="T21" s="6" t="s">
        <v>93</v>
      </c>
      <c r="U21" s="39" t="s">
        <v>366</v>
      </c>
      <c r="V21" s="28">
        <v>-2400</v>
      </c>
      <c r="W21" s="6" t="s">
        <v>103</v>
      </c>
      <c r="X21" s="39" t="s">
        <v>381</v>
      </c>
      <c r="Y21" s="26">
        <v>-1959201</v>
      </c>
    </row>
    <row r="22" spans="2:25" x14ac:dyDescent="0.3">
      <c r="G22" s="6"/>
      <c r="H22" s="39"/>
      <c r="I22" s="28"/>
      <c r="J22" s="6" t="s">
        <v>95</v>
      </c>
      <c r="K22" s="39" t="s">
        <v>259</v>
      </c>
      <c r="L22" s="28">
        <v>-50000</v>
      </c>
      <c r="M22" s="6" t="s">
        <v>217</v>
      </c>
      <c r="N22" s="39" t="s">
        <v>361</v>
      </c>
      <c r="O22" s="26">
        <v>-500000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-2313</v>
      </c>
      <c r="W22" s="6" t="s">
        <v>103</v>
      </c>
      <c r="X22" s="39" t="s">
        <v>369</v>
      </c>
      <c r="Y22" s="26">
        <v>-900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-10000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-48687</v>
      </c>
      <c r="W23" s="6" t="s">
        <v>103</v>
      </c>
      <c r="X23" s="39" t="s">
        <v>369</v>
      </c>
      <c r="Y23" s="26">
        <v>-900</v>
      </c>
    </row>
    <row r="24" spans="2:25" x14ac:dyDescent="0.3">
      <c r="G24" s="6"/>
      <c r="H24" s="39"/>
      <c r="I24" s="28"/>
      <c r="J24" s="6" t="s">
        <v>96</v>
      </c>
      <c r="K24" s="39" t="s">
        <v>354</v>
      </c>
      <c r="L24" s="28">
        <v>-32000</v>
      </c>
      <c r="M24" s="6" t="s">
        <v>109</v>
      </c>
      <c r="N24" s="39" t="s">
        <v>112</v>
      </c>
      <c r="O24" s="26">
        <v>-2410000</v>
      </c>
      <c r="P24" s="5"/>
      <c r="Q24" s="6"/>
      <c r="R24" s="39"/>
      <c r="S24" s="28"/>
      <c r="T24" s="6" t="s">
        <v>113</v>
      </c>
      <c r="U24" s="39" t="s">
        <v>286</v>
      </c>
      <c r="V24" s="28">
        <v>2313</v>
      </c>
      <c r="W24" s="6" t="s">
        <v>103</v>
      </c>
      <c r="X24" s="39" t="s">
        <v>382</v>
      </c>
      <c r="Y24" s="26">
        <v>-42700</v>
      </c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96</v>
      </c>
      <c r="K25" s="39" t="s">
        <v>355</v>
      </c>
      <c r="L25" s="28">
        <v>-110000</v>
      </c>
      <c r="M25" s="6" t="s">
        <v>109</v>
      </c>
      <c r="N25" s="39" t="s">
        <v>263</v>
      </c>
      <c r="O25" s="26">
        <v>-290000</v>
      </c>
      <c r="P25" s="5"/>
      <c r="Q25" s="6"/>
      <c r="R25" s="39"/>
      <c r="S25" s="28"/>
      <c r="T25" s="6" t="s">
        <v>113</v>
      </c>
      <c r="U25" s="39" t="s">
        <v>286</v>
      </c>
      <c r="V25" s="28">
        <v>48687</v>
      </c>
      <c r="W25" s="6" t="s">
        <v>248</v>
      </c>
      <c r="X25" s="39" t="s">
        <v>249</v>
      </c>
      <c r="Y25" s="26">
        <v>3000000</v>
      </c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96</v>
      </c>
      <c r="K26" s="39" t="s">
        <v>355</v>
      </c>
      <c r="L26" s="28">
        <v>-5000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113</v>
      </c>
      <c r="U26" s="39" t="s">
        <v>286</v>
      </c>
      <c r="V26" s="28">
        <v>-2313</v>
      </c>
      <c r="W26" s="6" t="s">
        <v>118</v>
      </c>
      <c r="X26" s="39" t="s">
        <v>383</v>
      </c>
      <c r="Y26" s="26">
        <v>-300000</v>
      </c>
    </row>
    <row r="27" spans="2:25" x14ac:dyDescent="0.3">
      <c r="B27" s="48" t="s">
        <v>91</v>
      </c>
      <c r="C27" s="161">
        <f t="shared" ref="C27:C46" si="0">-(SUMIF($J$7:$J$88,B27,$L$7:$L$88)+SUMIF($T$7:$T$88,B27,$V$7:$V$88))</f>
        <v>6120570</v>
      </c>
      <c r="D27" s="162"/>
      <c r="E27" s="163"/>
      <c r="G27" s="6"/>
      <c r="H27" s="39"/>
      <c r="I27" s="28"/>
      <c r="J27" s="6" t="s">
        <v>95</v>
      </c>
      <c r="K27" s="39" t="s">
        <v>356</v>
      </c>
      <c r="L27" s="28">
        <v>-35950</v>
      </c>
      <c r="M27" s="6" t="s">
        <v>217</v>
      </c>
      <c r="N27" s="39" t="s">
        <v>363</v>
      </c>
      <c r="O27" s="26">
        <v>-100000</v>
      </c>
      <c r="P27" s="5"/>
      <c r="Q27" s="6"/>
      <c r="R27" s="39"/>
      <c r="S27" s="28"/>
      <c r="T27" s="6" t="s">
        <v>113</v>
      </c>
      <c r="U27" s="39" t="s">
        <v>286</v>
      </c>
      <c r="V27" s="28">
        <v>-43287</v>
      </c>
      <c r="W27" s="6" t="s">
        <v>118</v>
      </c>
      <c r="X27" s="39" t="s">
        <v>229</v>
      </c>
      <c r="Y27" s="26">
        <v>300000</v>
      </c>
    </row>
    <row r="28" spans="2:25" x14ac:dyDescent="0.3">
      <c r="B28" s="49" t="s">
        <v>92</v>
      </c>
      <c r="C28" s="161">
        <f t="shared" si="0"/>
        <v>716663</v>
      </c>
      <c r="D28" s="162"/>
      <c r="E28" s="163"/>
      <c r="G28" s="6"/>
      <c r="H28" s="39"/>
      <c r="I28" s="28"/>
      <c r="J28" s="6" t="s">
        <v>94</v>
      </c>
      <c r="K28" s="39" t="s">
        <v>207</v>
      </c>
      <c r="L28" s="28">
        <v>-40490</v>
      </c>
      <c r="M28" s="6" t="s">
        <v>217</v>
      </c>
      <c r="N28" s="39" t="s">
        <v>231</v>
      </c>
      <c r="O28" s="26">
        <v>-100000</v>
      </c>
      <c r="P28" s="5"/>
      <c r="Q28" s="6"/>
      <c r="R28" s="39"/>
      <c r="S28" s="28"/>
      <c r="T28" s="6" t="s">
        <v>113</v>
      </c>
      <c r="U28" s="39" t="s">
        <v>107</v>
      </c>
      <c r="V28" s="28">
        <v>-2500</v>
      </c>
      <c r="W28" s="6" t="s">
        <v>90</v>
      </c>
      <c r="X28" s="39" t="s">
        <v>235</v>
      </c>
      <c r="Y28" s="26">
        <v>1</v>
      </c>
    </row>
    <row r="29" spans="2:25" x14ac:dyDescent="0.3">
      <c r="B29" s="49" t="s">
        <v>96</v>
      </c>
      <c r="C29" s="161">
        <f t="shared" si="0"/>
        <v>277910</v>
      </c>
      <c r="D29" s="162"/>
      <c r="E29" s="163"/>
      <c r="G29" s="6"/>
      <c r="H29" s="39"/>
      <c r="I29" s="28"/>
      <c r="J29" s="6" t="s">
        <v>96</v>
      </c>
      <c r="K29" s="39" t="s">
        <v>357</v>
      </c>
      <c r="L29" s="28">
        <v>-6800</v>
      </c>
      <c r="M29" s="6" t="s">
        <v>103</v>
      </c>
      <c r="N29" s="39" t="s">
        <v>319</v>
      </c>
      <c r="O29" s="26">
        <v>-17800</v>
      </c>
      <c r="P29" s="5"/>
      <c r="Q29" s="6"/>
      <c r="R29" s="39"/>
      <c r="S29" s="28"/>
      <c r="T29" s="6" t="s">
        <v>113</v>
      </c>
      <c r="U29" s="39" t="s">
        <v>374</v>
      </c>
      <c r="V29" s="28">
        <v>-45900</v>
      </c>
      <c r="W29" s="6" t="s">
        <v>103</v>
      </c>
      <c r="X29" s="39" t="s">
        <v>107</v>
      </c>
      <c r="Y29" s="26">
        <v>-2500</v>
      </c>
    </row>
    <row r="30" spans="2:25" x14ac:dyDescent="0.3">
      <c r="B30" s="49" t="s">
        <v>94</v>
      </c>
      <c r="C30" s="161">
        <f t="shared" si="0"/>
        <v>311950</v>
      </c>
      <c r="D30" s="162"/>
      <c r="E30" s="163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2500</v>
      </c>
      <c r="P30" s="5"/>
      <c r="Q30" s="6"/>
      <c r="R30" s="39"/>
      <c r="S30" s="28"/>
      <c r="T30" s="6" t="s">
        <v>113</v>
      </c>
      <c r="U30" s="39" t="s">
        <v>375</v>
      </c>
      <c r="V30" s="28">
        <v>-19000</v>
      </c>
      <c r="W30" s="6" t="s">
        <v>103</v>
      </c>
      <c r="X30" s="39" t="s">
        <v>107</v>
      </c>
      <c r="Y30" s="26">
        <v>-2500</v>
      </c>
    </row>
    <row r="31" spans="2:25" x14ac:dyDescent="0.3">
      <c r="B31" s="49" t="s">
        <v>98</v>
      </c>
      <c r="C31" s="161">
        <f t="shared" si="0"/>
        <v>28060</v>
      </c>
      <c r="D31" s="162"/>
      <c r="E31" s="163"/>
      <c r="G31" s="6"/>
      <c r="H31" s="39"/>
      <c r="I31" s="28"/>
      <c r="J31" s="6" t="s">
        <v>96</v>
      </c>
      <c r="K31" s="39" t="s">
        <v>107</v>
      </c>
      <c r="L31" s="28">
        <v>-100000</v>
      </c>
      <c r="M31" s="6" t="s">
        <v>103</v>
      </c>
      <c r="N31" s="39" t="s">
        <v>310</v>
      </c>
      <c r="O31" s="26">
        <v>2500</v>
      </c>
      <c r="P31" s="5"/>
      <c r="Q31" s="6"/>
      <c r="R31" s="39"/>
      <c r="S31" s="28"/>
      <c r="T31" s="6" t="s">
        <v>95</v>
      </c>
      <c r="U31" s="39" t="s">
        <v>376</v>
      </c>
      <c r="V31" s="28">
        <v>-10000</v>
      </c>
      <c r="W31" s="6" t="s">
        <v>103</v>
      </c>
      <c r="X31" s="39" t="s">
        <v>107</v>
      </c>
      <c r="Y31" s="26">
        <v>-191990</v>
      </c>
    </row>
    <row r="32" spans="2:25" x14ac:dyDescent="0.3">
      <c r="B32" s="49" t="s">
        <v>95</v>
      </c>
      <c r="C32" s="161">
        <f t="shared" si="0"/>
        <v>729450</v>
      </c>
      <c r="D32" s="162"/>
      <c r="E32" s="163"/>
      <c r="G32" s="6"/>
      <c r="H32" s="39"/>
      <c r="I32" s="28"/>
      <c r="J32" s="6" t="s">
        <v>101</v>
      </c>
      <c r="K32" s="39" t="s">
        <v>304</v>
      </c>
      <c r="L32" s="28">
        <v>-10000</v>
      </c>
      <c r="M32" s="6" t="s">
        <v>90</v>
      </c>
      <c r="N32" s="39" t="s">
        <v>216</v>
      </c>
      <c r="O32" s="26">
        <v>290000</v>
      </c>
      <c r="P32" s="5"/>
      <c r="Q32" s="6"/>
      <c r="R32" s="39"/>
      <c r="S32" s="28"/>
      <c r="T32" s="6" t="s">
        <v>113</v>
      </c>
      <c r="U32" s="39" t="s">
        <v>107</v>
      </c>
      <c r="V32" s="28">
        <v>-2500</v>
      </c>
      <c r="W32" s="6"/>
      <c r="X32" s="39"/>
      <c r="Y32" s="26"/>
    </row>
    <row r="33" spans="2:25" x14ac:dyDescent="0.3">
      <c r="B33" s="49" t="s">
        <v>105</v>
      </c>
      <c r="C33" s="161">
        <f t="shared" si="0"/>
        <v>6100</v>
      </c>
      <c r="D33" s="162"/>
      <c r="E33" s="163"/>
      <c r="G33" s="6"/>
      <c r="H33" s="39"/>
      <c r="I33" s="28"/>
      <c r="J33" s="6" t="s">
        <v>95</v>
      </c>
      <c r="K33" s="39" t="s">
        <v>359</v>
      </c>
      <c r="L33" s="28">
        <v>-110000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377</v>
      </c>
      <c r="V33" s="28">
        <v>-5651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90200</v>
      </c>
      <c r="D34" s="162"/>
      <c r="E34" s="163"/>
      <c r="G34" s="6"/>
      <c r="H34" s="39"/>
      <c r="I34" s="28"/>
      <c r="J34" s="6" t="s">
        <v>95</v>
      </c>
      <c r="K34" s="39" t="s">
        <v>359</v>
      </c>
      <c r="L34" s="28">
        <v>-120000</v>
      </c>
      <c r="M34" s="6"/>
      <c r="N34" s="39"/>
      <c r="O34" s="26"/>
      <c r="P34" s="5"/>
      <c r="Q34" s="6"/>
      <c r="R34" s="39"/>
      <c r="S34" s="28"/>
      <c r="T34" s="6" t="s">
        <v>101</v>
      </c>
      <c r="U34" s="39" t="s">
        <v>377</v>
      </c>
      <c r="V34" s="28">
        <v>-37849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-37000</v>
      </c>
      <c r="D35" s="162"/>
      <c r="E35" s="163"/>
      <c r="G35" s="6"/>
      <c r="H35" s="39"/>
      <c r="I35" s="28"/>
      <c r="J35" s="6" t="s">
        <v>98</v>
      </c>
      <c r="K35" s="39" t="s">
        <v>360</v>
      </c>
      <c r="L35" s="28">
        <v>-1000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378</v>
      </c>
      <c r="V35" s="28">
        <v>-4370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68090</v>
      </c>
      <c r="D36" s="162"/>
      <c r="E36" s="163"/>
      <c r="G36" s="6"/>
      <c r="H36" s="39"/>
      <c r="I36" s="28"/>
      <c r="J36" s="6" t="s">
        <v>91</v>
      </c>
      <c r="K36" s="39" t="s">
        <v>227</v>
      </c>
      <c r="L36" s="28">
        <v>-36120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379</v>
      </c>
      <c r="V36" s="28">
        <v>-4200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 t="s">
        <v>91</v>
      </c>
      <c r="K37" s="39" t="s">
        <v>349</v>
      </c>
      <c r="L37" s="28">
        <v>-3000000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 t="s">
        <v>91</v>
      </c>
      <c r="K38" s="39" t="s">
        <v>362</v>
      </c>
      <c r="L38" s="28">
        <v>-10000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380</v>
      </c>
      <c r="V38" s="28">
        <v>-13350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 t="s">
        <v>91</v>
      </c>
      <c r="K39" s="39" t="s">
        <v>107</v>
      </c>
      <c r="L39" s="28">
        <v>-55450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107</v>
      </c>
      <c r="V39" s="28">
        <v>-2500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91</v>
      </c>
      <c r="K40" s="39" t="s">
        <v>107</v>
      </c>
      <c r="L40" s="28">
        <v>-2500</v>
      </c>
      <c r="M40" s="6"/>
      <c r="N40" s="39"/>
      <c r="O40" s="26"/>
      <c r="P40" s="5"/>
      <c r="Q40" s="6"/>
      <c r="R40" s="39"/>
      <c r="S40" s="28"/>
      <c r="T40" s="6" t="s">
        <v>92</v>
      </c>
      <c r="U40" s="39" t="s">
        <v>100</v>
      </c>
      <c r="V40" s="28">
        <v>-160000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 t="s">
        <v>101</v>
      </c>
      <c r="K41" s="39" t="s">
        <v>364</v>
      </c>
      <c r="L41" s="28">
        <v>-7500</v>
      </c>
      <c r="M41" s="6"/>
      <c r="N41" s="39"/>
      <c r="O41" s="26"/>
      <c r="P41" s="5"/>
      <c r="Q41" s="6"/>
      <c r="R41" s="39"/>
      <c r="S41" s="28"/>
      <c r="T41" s="6" t="s">
        <v>92</v>
      </c>
      <c r="U41" s="39" t="s">
        <v>129</v>
      </c>
      <c r="V41" s="28">
        <v>-8050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 t="s">
        <v>92</v>
      </c>
      <c r="K42" s="39" t="s">
        <v>314</v>
      </c>
      <c r="L42" s="28">
        <v>-1200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285</v>
      </c>
      <c r="V42" s="28">
        <v>-8000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227860</v>
      </c>
      <c r="D43" s="162"/>
      <c r="E43" s="163"/>
      <c r="G43" s="6"/>
      <c r="H43" s="39"/>
      <c r="I43" s="28"/>
      <c r="J43" s="6" t="s">
        <v>92</v>
      </c>
      <c r="K43" s="39" t="s">
        <v>365</v>
      </c>
      <c r="L43" s="28">
        <v>-300000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107</v>
      </c>
      <c r="V43" s="28">
        <v>-2500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37000</v>
      </c>
      <c r="D44" s="162"/>
      <c r="E44" s="163"/>
      <c r="G44" s="6"/>
      <c r="H44" s="39"/>
      <c r="I44" s="28"/>
      <c r="J44" s="6" t="s">
        <v>98</v>
      </c>
      <c r="K44" s="39" t="s">
        <v>366</v>
      </c>
      <c r="L44" s="28">
        <v>-18100</v>
      </c>
      <c r="M44" s="6"/>
      <c r="N44" s="39"/>
      <c r="O44" s="26"/>
      <c r="P44" s="5"/>
      <c r="Q44" s="6"/>
      <c r="R44" s="39"/>
      <c r="S44" s="28"/>
      <c r="T44" s="6" t="s">
        <v>95</v>
      </c>
      <c r="U44" s="39" t="s">
        <v>359</v>
      </c>
      <c r="V44" s="28">
        <v>-220000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93</v>
      </c>
      <c r="U45" s="39" t="s">
        <v>99</v>
      </c>
      <c r="V45" s="28">
        <v>-990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33400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94</v>
      </c>
      <c r="U46" s="39" t="s">
        <v>306</v>
      </c>
      <c r="V46" s="28">
        <v>-242960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115</v>
      </c>
      <c r="V47" s="28">
        <v>-1500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92</v>
      </c>
      <c r="U48" s="39" t="s">
        <v>240</v>
      </c>
      <c r="V48" s="28">
        <v>-108663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384</v>
      </c>
      <c r="V49" s="28">
        <v>-2980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92</v>
      </c>
      <c r="U50" s="39" t="s">
        <v>337</v>
      </c>
      <c r="V50" s="28">
        <v>-1500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92</v>
      </c>
      <c r="U51" s="39" t="s">
        <v>337</v>
      </c>
      <c r="V51" s="28">
        <v>-9700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9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385</v>
      </c>
      <c r="V52" s="28">
        <v>-2880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20262004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386</v>
      </c>
      <c r="V53" s="28">
        <v>-47900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113</v>
      </c>
      <c r="U54" s="39" t="s">
        <v>387</v>
      </c>
      <c r="V54" s="28">
        <v>-68500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92</v>
      </c>
      <c r="U55" s="39" t="s">
        <v>388</v>
      </c>
      <c r="V55" s="28">
        <v>-102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92</v>
      </c>
      <c r="U56" s="39" t="s">
        <v>388</v>
      </c>
      <c r="V56" s="28">
        <v>-37448</v>
      </c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95</v>
      </c>
      <c r="U57" s="39" t="s">
        <v>347</v>
      </c>
      <c r="V57" s="28">
        <v>-70000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11226589</v>
      </c>
      <c r="J89" s="7" t="s">
        <v>24</v>
      </c>
      <c r="K89" s="22" t="s">
        <v>34</v>
      </c>
      <c r="L89" s="21">
        <f>SUM(L7:L88)</f>
        <v>-7209680</v>
      </c>
      <c r="M89" s="7" t="s">
        <v>24</v>
      </c>
      <c r="N89" s="22" t="s">
        <v>34</v>
      </c>
      <c r="O89" s="21">
        <f>SUM(O7:O88)</f>
        <v>-2607206</v>
      </c>
      <c r="Q89" s="7" t="s">
        <v>24</v>
      </c>
      <c r="R89" s="17" t="s">
        <v>34</v>
      </c>
      <c r="S89" s="19">
        <f>SUM(S7:S88)</f>
        <v>9035424</v>
      </c>
      <c r="T89" s="7" t="s">
        <v>24</v>
      </c>
      <c r="U89" s="22" t="s">
        <v>34</v>
      </c>
      <c r="V89" s="21">
        <f>SUM(V7:V88)</f>
        <v>-1400573</v>
      </c>
      <c r="W89" s="7" t="s">
        <v>24</v>
      </c>
      <c r="X89" s="22" t="s">
        <v>34</v>
      </c>
      <c r="Y89" s="21">
        <f>SUM(Y7:Y88)</f>
        <v>2533886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1409703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10168737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topLeftCell="A6"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82" t="s">
        <v>26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835455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9164545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8.3545499999999995E-2</v>
      </c>
      <c r="D7" s="172"/>
      <c r="G7" s="6" t="s">
        <v>212</v>
      </c>
      <c r="H7" s="39" t="s">
        <v>213</v>
      </c>
      <c r="I7" s="28">
        <v>4209949</v>
      </c>
      <c r="J7" s="6" t="s">
        <v>104</v>
      </c>
      <c r="K7" s="39" t="s">
        <v>389</v>
      </c>
      <c r="L7" s="28">
        <v>-290000</v>
      </c>
      <c r="M7" s="6" t="s">
        <v>90</v>
      </c>
      <c r="N7" s="39" t="s">
        <v>390</v>
      </c>
      <c r="O7" s="40">
        <v>455109</v>
      </c>
      <c r="P7" s="5"/>
      <c r="Q7" s="6" t="s">
        <v>88</v>
      </c>
      <c r="R7" s="39" t="s">
        <v>416</v>
      </c>
      <c r="S7" s="28">
        <v>1</v>
      </c>
      <c r="T7" s="6" t="s">
        <v>104</v>
      </c>
      <c r="U7" s="39" t="s">
        <v>413</v>
      </c>
      <c r="V7" s="28">
        <v>-250000</v>
      </c>
      <c r="W7" s="6" t="s">
        <v>118</v>
      </c>
      <c r="X7" s="39" t="s">
        <v>415</v>
      </c>
      <c r="Y7" s="40">
        <v>-27500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96</v>
      </c>
      <c r="K8" s="39" t="s">
        <v>300</v>
      </c>
      <c r="L8" s="28">
        <v>-33800</v>
      </c>
      <c r="M8" s="6" t="s">
        <v>109</v>
      </c>
      <c r="N8" s="39" t="s">
        <v>112</v>
      </c>
      <c r="O8" s="26">
        <v>-471633</v>
      </c>
      <c r="P8" s="5"/>
      <c r="Q8" s="6" t="s">
        <v>118</v>
      </c>
      <c r="R8" s="39" t="s">
        <v>425</v>
      </c>
      <c r="S8" s="28">
        <v>2</v>
      </c>
      <c r="T8" s="6" t="s">
        <v>113</v>
      </c>
      <c r="U8" s="39" t="s">
        <v>342</v>
      </c>
      <c r="V8" s="28">
        <v>-159090</v>
      </c>
      <c r="W8" s="6" t="s">
        <v>103</v>
      </c>
      <c r="X8" s="39" t="s">
        <v>345</v>
      </c>
      <c r="Y8" s="26">
        <v>50000</v>
      </c>
    </row>
    <row r="9" spans="2:25" x14ac:dyDescent="0.3">
      <c r="G9" s="6"/>
      <c r="H9" s="39"/>
      <c r="I9" s="28"/>
      <c r="J9" s="6" t="s">
        <v>110</v>
      </c>
      <c r="K9" s="39" t="s">
        <v>147</v>
      </c>
      <c r="L9" s="28">
        <v>-18000</v>
      </c>
      <c r="M9" s="6" t="s">
        <v>118</v>
      </c>
      <c r="N9" s="39" t="s">
        <v>336</v>
      </c>
      <c r="O9" s="26">
        <v>-200000</v>
      </c>
      <c r="P9" s="5"/>
      <c r="Q9" s="6" t="s">
        <v>432</v>
      </c>
      <c r="R9" s="39" t="s">
        <v>433</v>
      </c>
      <c r="S9" s="28">
        <v>333227</v>
      </c>
      <c r="T9" s="6" t="s">
        <v>114</v>
      </c>
      <c r="U9" s="39" t="s">
        <v>414</v>
      </c>
      <c r="V9" s="28">
        <v>-8126</v>
      </c>
      <c r="W9" s="6" t="s">
        <v>118</v>
      </c>
      <c r="X9" s="39" t="s">
        <v>229</v>
      </c>
      <c r="Y9" s="26">
        <v>13548</v>
      </c>
    </row>
    <row r="10" spans="2:25" x14ac:dyDescent="0.3">
      <c r="G10" s="6"/>
      <c r="H10" s="39"/>
      <c r="I10" s="28"/>
      <c r="J10" s="6" t="s">
        <v>101</v>
      </c>
      <c r="K10" s="39" t="s">
        <v>391</v>
      </c>
      <c r="L10" s="28">
        <v>-18000</v>
      </c>
      <c r="M10" s="6" t="s">
        <v>217</v>
      </c>
      <c r="N10" s="39" t="s">
        <v>218</v>
      </c>
      <c r="O10" s="26">
        <v>-1000000</v>
      </c>
      <c r="P10" s="5"/>
      <c r="Q10" s="6" t="s">
        <v>212</v>
      </c>
      <c r="R10" s="39" t="s">
        <v>213</v>
      </c>
      <c r="S10" s="28">
        <v>4052794</v>
      </c>
      <c r="T10" s="6" t="s">
        <v>114</v>
      </c>
      <c r="U10" s="39" t="s">
        <v>414</v>
      </c>
      <c r="V10" s="28">
        <v>-183874</v>
      </c>
      <c r="W10" s="6" t="s">
        <v>103</v>
      </c>
      <c r="X10" s="39" t="s">
        <v>421</v>
      </c>
      <c r="Y10" s="26">
        <v>-20000</v>
      </c>
    </row>
    <row r="11" spans="2:25" x14ac:dyDescent="0.3">
      <c r="G11" s="6"/>
      <c r="H11" s="39"/>
      <c r="I11" s="28"/>
      <c r="J11" s="6" t="s">
        <v>91</v>
      </c>
      <c r="K11" s="39" t="s">
        <v>107</v>
      </c>
      <c r="L11" s="28">
        <v>-50000</v>
      </c>
      <c r="M11" s="6" t="s">
        <v>217</v>
      </c>
      <c r="N11" s="39" t="s">
        <v>218</v>
      </c>
      <c r="O11" s="26">
        <v>-1000000</v>
      </c>
      <c r="P11" s="5"/>
      <c r="Q11" s="6" t="s">
        <v>88</v>
      </c>
      <c r="R11" s="39" t="s">
        <v>236</v>
      </c>
      <c r="S11" s="28">
        <v>9</v>
      </c>
      <c r="T11" s="6" t="s">
        <v>113</v>
      </c>
      <c r="U11" s="39" t="s">
        <v>286</v>
      </c>
      <c r="V11" s="28">
        <v>-4227</v>
      </c>
      <c r="W11" s="6" t="s">
        <v>103</v>
      </c>
      <c r="X11" s="39" t="s">
        <v>421</v>
      </c>
      <c r="Y11" s="26">
        <v>-20000</v>
      </c>
    </row>
    <row r="12" spans="2:25" x14ac:dyDescent="0.3">
      <c r="G12" s="6"/>
      <c r="H12" s="39"/>
      <c r="I12" s="28"/>
      <c r="J12" s="6" t="s">
        <v>101</v>
      </c>
      <c r="K12" s="39" t="s">
        <v>392</v>
      </c>
      <c r="L12" s="28">
        <v>-33000</v>
      </c>
      <c r="M12" s="6" t="s">
        <v>217</v>
      </c>
      <c r="N12" s="39" t="s">
        <v>218</v>
      </c>
      <c r="O12" s="26">
        <v>-1000000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286</v>
      </c>
      <c r="V12" s="28">
        <v>-16273</v>
      </c>
      <c r="W12" s="6" t="s">
        <v>103</v>
      </c>
      <c r="X12" s="39" t="s">
        <v>426</v>
      </c>
      <c r="Y12" s="26">
        <v>99116</v>
      </c>
    </row>
    <row r="13" spans="2:25" x14ac:dyDescent="0.3">
      <c r="G13" s="6"/>
      <c r="H13" s="39"/>
      <c r="I13" s="28"/>
      <c r="J13" s="6" t="s">
        <v>91</v>
      </c>
      <c r="K13" s="39" t="s">
        <v>107</v>
      </c>
      <c r="L13" s="28">
        <v>-86000</v>
      </c>
      <c r="M13" s="6" t="s">
        <v>118</v>
      </c>
      <c r="N13" s="39" t="s">
        <v>229</v>
      </c>
      <c r="O13" s="26">
        <v>1129</v>
      </c>
      <c r="P13" s="5"/>
      <c r="Q13" s="6" t="s">
        <v>88</v>
      </c>
      <c r="R13" s="39" t="s">
        <v>445</v>
      </c>
      <c r="S13" s="28">
        <v>1</v>
      </c>
      <c r="T13" s="6" t="s">
        <v>122</v>
      </c>
      <c r="U13" s="39" t="s">
        <v>417</v>
      </c>
      <c r="V13" s="28">
        <v>-11700</v>
      </c>
      <c r="W13" s="6" t="s">
        <v>103</v>
      </c>
      <c r="X13" s="39" t="s">
        <v>426</v>
      </c>
      <c r="Y13" s="26">
        <v>11350</v>
      </c>
    </row>
    <row r="14" spans="2:25" x14ac:dyDescent="0.3">
      <c r="G14" s="6"/>
      <c r="H14" s="39"/>
      <c r="I14" s="28"/>
      <c r="J14" s="6" t="s">
        <v>122</v>
      </c>
      <c r="K14" s="39" t="s">
        <v>393</v>
      </c>
      <c r="L14" s="28">
        <v>-108700</v>
      </c>
      <c r="M14" s="6" t="s">
        <v>90</v>
      </c>
      <c r="N14" s="39" t="s">
        <v>216</v>
      </c>
      <c r="O14" s="26">
        <v>159200</v>
      </c>
      <c r="P14" s="5"/>
      <c r="Q14" s="6" t="s">
        <v>118</v>
      </c>
      <c r="R14" s="39" t="s">
        <v>425</v>
      </c>
      <c r="S14" s="28">
        <v>1</v>
      </c>
      <c r="T14" s="6" t="s">
        <v>122</v>
      </c>
      <c r="U14" s="39" t="s">
        <v>395</v>
      </c>
      <c r="V14" s="28">
        <v>-11700</v>
      </c>
      <c r="W14" s="6" t="s">
        <v>103</v>
      </c>
      <c r="X14" s="39" t="s">
        <v>427</v>
      </c>
      <c r="Y14" s="26">
        <v>99116</v>
      </c>
    </row>
    <row r="15" spans="2:25" x14ac:dyDescent="0.3">
      <c r="G15" s="6"/>
      <c r="H15" s="39"/>
      <c r="I15" s="28"/>
      <c r="J15" s="6" t="s">
        <v>91</v>
      </c>
      <c r="K15" s="39" t="s">
        <v>107</v>
      </c>
      <c r="L15" s="28">
        <v>-2500</v>
      </c>
      <c r="M15" s="6" t="s">
        <v>217</v>
      </c>
      <c r="N15" s="39" t="s">
        <v>345</v>
      </c>
      <c r="O15" s="26">
        <v>35487</v>
      </c>
      <c r="P15" s="5"/>
      <c r="Q15" s="6"/>
      <c r="R15" s="39"/>
      <c r="S15" s="28"/>
      <c r="T15" s="6" t="s">
        <v>122</v>
      </c>
      <c r="U15" s="39" t="s">
        <v>418</v>
      </c>
      <c r="V15" s="28">
        <v>-171000</v>
      </c>
      <c r="W15" s="6" t="s">
        <v>109</v>
      </c>
      <c r="X15" s="39" t="s">
        <v>117</v>
      </c>
      <c r="Y15" s="26">
        <v>-655931</v>
      </c>
    </row>
    <row r="16" spans="2:25" x14ac:dyDescent="0.3">
      <c r="G16" s="6"/>
      <c r="H16" s="39"/>
      <c r="I16" s="28"/>
      <c r="J16" s="6" t="s">
        <v>122</v>
      </c>
      <c r="K16" s="39" t="s">
        <v>394</v>
      </c>
      <c r="L16" s="28">
        <v>-50000</v>
      </c>
      <c r="M16" s="6" t="s">
        <v>217</v>
      </c>
      <c r="N16" s="39" t="s">
        <v>399</v>
      </c>
      <c r="O16" s="26">
        <v>-35487</v>
      </c>
      <c r="P16" s="5"/>
      <c r="Q16" s="6"/>
      <c r="R16" s="39"/>
      <c r="S16" s="28"/>
      <c r="T16" s="6" t="s">
        <v>125</v>
      </c>
      <c r="U16" s="39" t="s">
        <v>419</v>
      </c>
      <c r="V16" s="28">
        <v>-309</v>
      </c>
      <c r="W16" s="6" t="s">
        <v>103</v>
      </c>
      <c r="X16" s="39" t="s">
        <v>430</v>
      </c>
      <c r="Y16" s="26">
        <v>400000</v>
      </c>
    </row>
    <row r="17" spans="2:25" x14ac:dyDescent="0.3">
      <c r="G17" s="6"/>
      <c r="H17" s="39"/>
      <c r="I17" s="28"/>
      <c r="J17" s="6" t="s">
        <v>122</v>
      </c>
      <c r="K17" s="39" t="s">
        <v>395</v>
      </c>
      <c r="L17" s="28">
        <v>-11700</v>
      </c>
      <c r="M17" s="6" t="s">
        <v>217</v>
      </c>
      <c r="N17" s="39" t="s">
        <v>399</v>
      </c>
      <c r="O17" s="26">
        <v>-10000</v>
      </c>
      <c r="P17" s="5"/>
      <c r="Q17" s="6"/>
      <c r="R17" s="39"/>
      <c r="S17" s="28"/>
      <c r="T17" s="6" t="s">
        <v>125</v>
      </c>
      <c r="U17" s="39" t="s">
        <v>419</v>
      </c>
      <c r="V17" s="28">
        <v>-168691</v>
      </c>
      <c r="W17" s="6" t="s">
        <v>103</v>
      </c>
      <c r="X17" s="39" t="s">
        <v>430</v>
      </c>
      <c r="Y17" s="26">
        <v>400000</v>
      </c>
    </row>
    <row r="18" spans="2:25" x14ac:dyDescent="0.3">
      <c r="G18" s="6"/>
      <c r="H18" s="39"/>
      <c r="I18" s="28"/>
      <c r="J18" s="6" t="s">
        <v>105</v>
      </c>
      <c r="K18" s="39" t="s">
        <v>396</v>
      </c>
      <c r="L18" s="28">
        <v>-4200</v>
      </c>
      <c r="M18" s="6" t="s">
        <v>217</v>
      </c>
      <c r="N18" s="39" t="s">
        <v>345</v>
      </c>
      <c r="O18" s="26">
        <v>10000</v>
      </c>
      <c r="P18" s="5"/>
      <c r="Q18" s="6"/>
      <c r="R18" s="39"/>
      <c r="S18" s="28"/>
      <c r="T18" s="6" t="s">
        <v>95</v>
      </c>
      <c r="U18" s="39" t="s">
        <v>420</v>
      </c>
      <c r="V18" s="28">
        <v>-50000</v>
      </c>
      <c r="W18" s="6" t="s">
        <v>103</v>
      </c>
      <c r="X18" s="39" t="s">
        <v>107</v>
      </c>
      <c r="Y18" s="26">
        <v>-43000</v>
      </c>
    </row>
    <row r="19" spans="2:25" x14ac:dyDescent="0.3">
      <c r="G19" s="6"/>
      <c r="H19" s="39"/>
      <c r="I19" s="28"/>
      <c r="J19" s="6" t="s">
        <v>96</v>
      </c>
      <c r="K19" s="39" t="s">
        <v>397</v>
      </c>
      <c r="L19" s="28">
        <v>-25500</v>
      </c>
      <c r="M19" s="6" t="s">
        <v>217</v>
      </c>
      <c r="N19" s="39" t="s">
        <v>345</v>
      </c>
      <c r="O19" s="26">
        <v>10000</v>
      </c>
      <c r="P19" s="5"/>
      <c r="Q19" s="6"/>
      <c r="R19" s="39"/>
      <c r="S19" s="28"/>
      <c r="T19" s="6" t="s">
        <v>92</v>
      </c>
      <c r="U19" s="39" t="s">
        <v>422</v>
      </c>
      <c r="V19" s="28">
        <v>-78500</v>
      </c>
      <c r="W19" s="6" t="s">
        <v>118</v>
      </c>
      <c r="X19" s="39" t="s">
        <v>232</v>
      </c>
      <c r="Y19" s="26">
        <v>-50000000</v>
      </c>
    </row>
    <row r="20" spans="2:25" x14ac:dyDescent="0.3">
      <c r="G20" s="6"/>
      <c r="H20" s="39"/>
      <c r="I20" s="28"/>
      <c r="J20" s="6" t="s">
        <v>92</v>
      </c>
      <c r="K20" s="39" t="s">
        <v>100</v>
      </c>
      <c r="L20" s="28">
        <v>-160000</v>
      </c>
      <c r="M20" s="6" t="s">
        <v>217</v>
      </c>
      <c r="N20" s="39" t="s">
        <v>399</v>
      </c>
      <c r="O20" s="26">
        <v>-10000</v>
      </c>
      <c r="P20" s="5"/>
      <c r="Q20" s="6"/>
      <c r="R20" s="39"/>
      <c r="S20" s="28"/>
      <c r="T20" s="6" t="s">
        <v>92</v>
      </c>
      <c r="U20" s="39" t="s">
        <v>423</v>
      </c>
      <c r="V20" s="28">
        <v>-7850</v>
      </c>
      <c r="W20" s="6" t="s">
        <v>90</v>
      </c>
      <c r="X20" s="39" t="s">
        <v>303</v>
      </c>
      <c r="Y20" s="26">
        <v>50000000</v>
      </c>
    </row>
    <row r="21" spans="2:25" x14ac:dyDescent="0.3">
      <c r="G21" s="6"/>
      <c r="H21" s="39"/>
      <c r="I21" s="28"/>
      <c r="J21" s="6" t="s">
        <v>96</v>
      </c>
      <c r="K21" s="39" t="s">
        <v>97</v>
      </c>
      <c r="L21" s="28">
        <v>-17000</v>
      </c>
      <c r="M21" s="6" t="s">
        <v>103</v>
      </c>
      <c r="N21" s="39" t="s">
        <v>270</v>
      </c>
      <c r="O21" s="26">
        <v>18650</v>
      </c>
      <c r="P21" s="5"/>
      <c r="Q21" s="6"/>
      <c r="R21" s="39"/>
      <c r="S21" s="28"/>
      <c r="T21" s="6" t="s">
        <v>92</v>
      </c>
      <c r="U21" s="39" t="s">
        <v>422</v>
      </c>
      <c r="V21" s="28">
        <v>-10000</v>
      </c>
      <c r="W21" s="6" t="s">
        <v>103</v>
      </c>
      <c r="X21" s="39" t="s">
        <v>438</v>
      </c>
      <c r="Y21" s="26">
        <v>100000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-60000</v>
      </c>
      <c r="M22" s="6" t="s">
        <v>109</v>
      </c>
      <c r="N22" s="39" t="s">
        <v>226</v>
      </c>
      <c r="O22" s="26">
        <v>-4200</v>
      </c>
      <c r="P22" s="5"/>
      <c r="Q22" s="6"/>
      <c r="R22" s="39"/>
      <c r="S22" s="28"/>
      <c r="T22" s="6" t="s">
        <v>92</v>
      </c>
      <c r="U22" s="39" t="s">
        <v>423</v>
      </c>
      <c r="V22" s="28">
        <v>-4700</v>
      </c>
      <c r="W22" s="6" t="s">
        <v>90</v>
      </c>
      <c r="X22" s="39" t="s">
        <v>439</v>
      </c>
      <c r="Y22" s="26">
        <v>1</v>
      </c>
    </row>
    <row r="23" spans="2:25" x14ac:dyDescent="0.3">
      <c r="G23" s="6"/>
      <c r="H23" s="39"/>
      <c r="I23" s="28"/>
      <c r="J23" s="6" t="s">
        <v>91</v>
      </c>
      <c r="K23" s="39" t="s">
        <v>107</v>
      </c>
      <c r="L23" s="28">
        <v>-2500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92</v>
      </c>
      <c r="U23" s="39" t="s">
        <v>424</v>
      </c>
      <c r="V23" s="28">
        <v>-22700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92</v>
      </c>
      <c r="K24" s="39" t="s">
        <v>398</v>
      </c>
      <c r="L24" s="28">
        <v>-3000</v>
      </c>
      <c r="M24" s="6" t="s">
        <v>217</v>
      </c>
      <c r="N24" s="39" t="s">
        <v>409</v>
      </c>
      <c r="O24" s="26">
        <v>-500000</v>
      </c>
      <c r="P24" s="5"/>
      <c r="Q24" s="6"/>
      <c r="R24" s="39"/>
      <c r="S24" s="28"/>
      <c r="T24" s="6" t="s">
        <v>92</v>
      </c>
      <c r="U24" s="39" t="s">
        <v>423</v>
      </c>
      <c r="V24" s="28">
        <v>-1800</v>
      </c>
      <c r="W24" s="6" t="s">
        <v>103</v>
      </c>
      <c r="X24" s="39" t="s">
        <v>111</v>
      </c>
      <c r="Y24" s="26">
        <v>3000000</v>
      </c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91</v>
      </c>
      <c r="K25" s="39" t="s">
        <v>107</v>
      </c>
      <c r="L25" s="28">
        <v>-2500</v>
      </c>
      <c r="M25" s="6" t="s">
        <v>217</v>
      </c>
      <c r="N25" s="39" t="s">
        <v>410</v>
      </c>
      <c r="O25" s="26">
        <v>-100000</v>
      </c>
      <c r="P25" s="5"/>
      <c r="Q25" s="6"/>
      <c r="R25" s="39"/>
      <c r="S25" s="28"/>
      <c r="T25" s="6" t="s">
        <v>113</v>
      </c>
      <c r="U25" s="39" t="s">
        <v>286</v>
      </c>
      <c r="V25" s="28">
        <v>-27700</v>
      </c>
      <c r="W25" s="6" t="s">
        <v>118</v>
      </c>
      <c r="X25" s="39" t="s">
        <v>440</v>
      </c>
      <c r="Y25" s="26">
        <v>-300000</v>
      </c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91</v>
      </c>
      <c r="K26" s="39" t="s">
        <v>107</v>
      </c>
      <c r="L26" s="28">
        <v>-2500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114</v>
      </c>
      <c r="U26" s="39" t="s">
        <v>428</v>
      </c>
      <c r="V26" s="28">
        <v>-63220</v>
      </c>
      <c r="W26" s="6" t="s">
        <v>118</v>
      </c>
      <c r="X26" s="39" t="s">
        <v>229</v>
      </c>
      <c r="Y26" s="26">
        <v>300000</v>
      </c>
    </row>
    <row r="27" spans="2:25" x14ac:dyDescent="0.3">
      <c r="B27" s="48" t="s">
        <v>91</v>
      </c>
      <c r="C27" s="161">
        <f t="shared" ref="C27:C46" si="0">-(SUMIF($J$7:$J$88,B27,$L$7:$L$88)+SUMIF($T$7:$T$88,B27,$V$7:$V$88))</f>
        <v>3847910</v>
      </c>
      <c r="D27" s="162"/>
      <c r="E27" s="163"/>
      <c r="G27" s="6"/>
      <c r="H27" s="39"/>
      <c r="I27" s="28"/>
      <c r="J27" s="6" t="s">
        <v>91</v>
      </c>
      <c r="K27" s="39" t="s">
        <v>315</v>
      </c>
      <c r="L27" s="28">
        <v>-16500</v>
      </c>
      <c r="M27" s="6" t="s">
        <v>103</v>
      </c>
      <c r="N27" s="39" t="s">
        <v>319</v>
      </c>
      <c r="O27" s="26">
        <v>-17800</v>
      </c>
      <c r="P27" s="5"/>
      <c r="Q27" s="6"/>
      <c r="R27" s="39"/>
      <c r="S27" s="28"/>
      <c r="T27" s="6" t="s">
        <v>113</v>
      </c>
      <c r="U27" s="39" t="s">
        <v>115</v>
      </c>
      <c r="V27" s="28">
        <v>-1200</v>
      </c>
      <c r="W27" s="6" t="s">
        <v>103</v>
      </c>
      <c r="X27" s="39" t="s">
        <v>441</v>
      </c>
      <c r="Y27" s="26">
        <v>1</v>
      </c>
    </row>
    <row r="28" spans="2:25" x14ac:dyDescent="0.3">
      <c r="B28" s="49" t="s">
        <v>92</v>
      </c>
      <c r="C28" s="161">
        <f t="shared" si="0"/>
        <v>1029783</v>
      </c>
      <c r="D28" s="162"/>
      <c r="E28" s="163"/>
      <c r="G28" s="6"/>
      <c r="H28" s="39"/>
      <c r="I28" s="28"/>
      <c r="J28" s="6" t="s">
        <v>91</v>
      </c>
      <c r="K28" s="39" t="s">
        <v>107</v>
      </c>
      <c r="L28" s="28">
        <v>-43000</v>
      </c>
      <c r="M28" s="6" t="s">
        <v>109</v>
      </c>
      <c r="N28" s="39" t="s">
        <v>263</v>
      </c>
      <c r="O28" s="26">
        <v>-159200</v>
      </c>
      <c r="P28" s="5"/>
      <c r="Q28" s="6"/>
      <c r="R28" s="39"/>
      <c r="S28" s="28"/>
      <c r="T28" s="6" t="s">
        <v>113</v>
      </c>
      <c r="U28" s="39" t="s">
        <v>115</v>
      </c>
      <c r="V28" s="28">
        <v>-1500</v>
      </c>
      <c r="W28" s="6" t="s">
        <v>118</v>
      </c>
      <c r="X28" s="39" t="s">
        <v>133</v>
      </c>
      <c r="Y28" s="26">
        <v>-20000</v>
      </c>
    </row>
    <row r="29" spans="2:25" x14ac:dyDescent="0.3">
      <c r="B29" s="49" t="s">
        <v>96</v>
      </c>
      <c r="C29" s="161">
        <f t="shared" si="0"/>
        <v>405050</v>
      </c>
      <c r="D29" s="162"/>
      <c r="E29" s="163"/>
      <c r="G29" s="6"/>
      <c r="H29" s="39"/>
      <c r="I29" s="28"/>
      <c r="J29" s="6" t="s">
        <v>91</v>
      </c>
      <c r="K29" s="39" t="s">
        <v>107</v>
      </c>
      <c r="L29" s="28">
        <v>-2500</v>
      </c>
      <c r="M29" s="6" t="s">
        <v>217</v>
      </c>
      <c r="N29" s="39" t="s">
        <v>231</v>
      </c>
      <c r="O29" s="26">
        <v>-100000</v>
      </c>
      <c r="P29" s="5"/>
      <c r="Q29" s="6"/>
      <c r="R29" s="39"/>
      <c r="S29" s="28"/>
      <c r="T29" s="6" t="s">
        <v>122</v>
      </c>
      <c r="U29" s="39" t="s">
        <v>429</v>
      </c>
      <c r="V29" s="28">
        <v>-3420</v>
      </c>
      <c r="W29" s="6" t="s">
        <v>118</v>
      </c>
      <c r="X29" s="39" t="s">
        <v>287</v>
      </c>
      <c r="Y29" s="26">
        <v>20000</v>
      </c>
    </row>
    <row r="30" spans="2:25" x14ac:dyDescent="0.3">
      <c r="B30" s="49" t="s">
        <v>94</v>
      </c>
      <c r="C30" s="161">
        <f t="shared" si="0"/>
        <v>305820</v>
      </c>
      <c r="D30" s="162"/>
      <c r="E30" s="163"/>
      <c r="G30" s="6"/>
      <c r="H30" s="39"/>
      <c r="I30" s="28"/>
      <c r="J30" s="6" t="s">
        <v>91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21500</v>
      </c>
      <c r="P30" s="5"/>
      <c r="Q30" s="6"/>
      <c r="R30" s="39"/>
      <c r="S30" s="28"/>
      <c r="T30" s="6" t="s">
        <v>122</v>
      </c>
      <c r="U30" s="39" t="s">
        <v>429</v>
      </c>
      <c r="V30" s="28">
        <v>-246580</v>
      </c>
      <c r="W30" s="6" t="s">
        <v>103</v>
      </c>
      <c r="X30" s="39" t="s">
        <v>444</v>
      </c>
      <c r="Y30" s="26">
        <v>1</v>
      </c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 t="s">
        <v>96</v>
      </c>
      <c r="K31" s="39" t="s">
        <v>400</v>
      </c>
      <c r="L31" s="28">
        <v>-36000</v>
      </c>
      <c r="M31" s="6" t="s">
        <v>90</v>
      </c>
      <c r="N31" s="39" t="s">
        <v>216</v>
      </c>
      <c r="O31" s="26">
        <v>286080</v>
      </c>
      <c r="P31" s="5"/>
      <c r="Q31" s="6"/>
      <c r="R31" s="39"/>
      <c r="S31" s="28"/>
      <c r="T31" s="6" t="s">
        <v>95</v>
      </c>
      <c r="U31" s="39" t="s">
        <v>431</v>
      </c>
      <c r="V31" s="28">
        <v>-2000</v>
      </c>
      <c r="W31" s="6" t="s">
        <v>103</v>
      </c>
      <c r="X31" s="39" t="s">
        <v>446</v>
      </c>
      <c r="Y31" s="26">
        <v>20333</v>
      </c>
    </row>
    <row r="32" spans="2:25" x14ac:dyDescent="0.3">
      <c r="B32" s="49" t="s">
        <v>95</v>
      </c>
      <c r="C32" s="161">
        <f t="shared" si="0"/>
        <v>257950</v>
      </c>
      <c r="D32" s="162"/>
      <c r="E32" s="163"/>
      <c r="G32" s="6"/>
      <c r="H32" s="39"/>
      <c r="I32" s="28"/>
      <c r="J32" s="6" t="s">
        <v>91</v>
      </c>
      <c r="K32" s="39" t="s">
        <v>401</v>
      </c>
      <c r="L32" s="28">
        <v>-588790</v>
      </c>
      <c r="M32" s="6" t="s">
        <v>103</v>
      </c>
      <c r="N32" s="39" t="s">
        <v>399</v>
      </c>
      <c r="O32" s="26">
        <v>-27691</v>
      </c>
      <c r="P32" s="5"/>
      <c r="Q32" s="6"/>
      <c r="R32" s="39"/>
      <c r="S32" s="28"/>
      <c r="T32" s="6" t="s">
        <v>92</v>
      </c>
      <c r="U32" s="39" t="s">
        <v>434</v>
      </c>
      <c r="V32" s="28">
        <v>-163600</v>
      </c>
      <c r="W32" s="6" t="s">
        <v>103</v>
      </c>
      <c r="X32" s="39" t="s">
        <v>447</v>
      </c>
      <c r="Y32" s="26">
        <v>20333</v>
      </c>
    </row>
    <row r="33" spans="2:25" x14ac:dyDescent="0.3">
      <c r="B33" s="49" t="s">
        <v>105</v>
      </c>
      <c r="C33" s="161">
        <f t="shared" si="0"/>
        <v>59800</v>
      </c>
      <c r="D33" s="162"/>
      <c r="E33" s="163"/>
      <c r="G33" s="6"/>
      <c r="H33" s="39"/>
      <c r="I33" s="28"/>
      <c r="J33" s="6" t="s">
        <v>91</v>
      </c>
      <c r="K33" s="39" t="s">
        <v>107</v>
      </c>
      <c r="L33" s="28">
        <v>-2500</v>
      </c>
      <c r="M33" s="6" t="s">
        <v>103</v>
      </c>
      <c r="N33" s="39" t="s">
        <v>399</v>
      </c>
      <c r="O33" s="26">
        <v>-150000</v>
      </c>
      <c r="P33" s="5"/>
      <c r="Q33" s="6"/>
      <c r="R33" s="39"/>
      <c r="S33" s="28"/>
      <c r="T33" s="6" t="s">
        <v>113</v>
      </c>
      <c r="U33" s="39" t="s">
        <v>301</v>
      </c>
      <c r="V33" s="28">
        <v>-49000</v>
      </c>
      <c r="W33" s="6" t="s">
        <v>118</v>
      </c>
      <c r="X33" s="39" t="s">
        <v>415</v>
      </c>
      <c r="Y33" s="26">
        <v>-58000</v>
      </c>
    </row>
    <row r="34" spans="2:25" x14ac:dyDescent="0.3">
      <c r="B34" s="49" t="s">
        <v>101</v>
      </c>
      <c r="C34" s="161">
        <f t="shared" si="0"/>
        <v>107600</v>
      </c>
      <c r="D34" s="162"/>
      <c r="E34" s="163"/>
      <c r="G34" s="6"/>
      <c r="H34" s="39"/>
      <c r="I34" s="28"/>
      <c r="J34" s="6" t="s">
        <v>91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122</v>
      </c>
      <c r="U34" s="39" t="s">
        <v>435</v>
      </c>
      <c r="V34" s="28">
        <v>-109600</v>
      </c>
      <c r="W34" s="6" t="s">
        <v>103</v>
      </c>
      <c r="X34" s="39" t="s">
        <v>107</v>
      </c>
      <c r="Y34" s="26">
        <v>-5000</v>
      </c>
    </row>
    <row r="35" spans="2:25" x14ac:dyDescent="0.3">
      <c r="B35" s="49" t="s">
        <v>122</v>
      </c>
      <c r="C35" s="161">
        <f t="shared" si="0"/>
        <v>724400</v>
      </c>
      <c r="D35" s="162"/>
      <c r="E35" s="163"/>
      <c r="G35" s="6"/>
      <c r="H35" s="39"/>
      <c r="I35" s="28"/>
      <c r="J35" s="6" t="s">
        <v>105</v>
      </c>
      <c r="K35" s="39" t="s">
        <v>402</v>
      </c>
      <c r="L35" s="28">
        <v>-27800</v>
      </c>
      <c r="M35" s="6"/>
      <c r="N35" s="39"/>
      <c r="O35" s="26"/>
      <c r="P35" s="5"/>
      <c r="Q35" s="6"/>
      <c r="R35" s="39"/>
      <c r="S35" s="28"/>
      <c r="T35" s="6" t="s">
        <v>95</v>
      </c>
      <c r="U35" s="39" t="s">
        <v>347</v>
      </c>
      <c r="V35" s="28">
        <v>-60000</v>
      </c>
      <c r="W35" s="6" t="s">
        <v>103</v>
      </c>
      <c r="X35" s="39" t="s">
        <v>345</v>
      </c>
      <c r="Y35" s="26">
        <v>150000</v>
      </c>
    </row>
    <row r="36" spans="2:25" x14ac:dyDescent="0.3">
      <c r="B36" s="49" t="s">
        <v>93</v>
      </c>
      <c r="C36" s="161">
        <f t="shared" si="0"/>
        <v>21160</v>
      </c>
      <c r="D36" s="162"/>
      <c r="E36" s="163"/>
      <c r="G36" s="6"/>
      <c r="H36" s="39"/>
      <c r="I36" s="28"/>
      <c r="J36" s="6" t="s">
        <v>105</v>
      </c>
      <c r="K36" s="39" t="s">
        <v>402</v>
      </c>
      <c r="L36" s="28">
        <v>-27800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436</v>
      </c>
      <c r="V36" s="28">
        <v>-3600</v>
      </c>
      <c r="W36" s="6" t="s">
        <v>118</v>
      </c>
      <c r="X36" s="39" t="s">
        <v>451</v>
      </c>
      <c r="Y36" s="26">
        <v>1</v>
      </c>
    </row>
    <row r="37" spans="2:25" x14ac:dyDescent="0.3">
      <c r="B37" s="49" t="s">
        <v>104</v>
      </c>
      <c r="C37" s="161">
        <f t="shared" si="0"/>
        <v>556600</v>
      </c>
      <c r="D37" s="162"/>
      <c r="E37" s="163"/>
      <c r="G37" s="6"/>
      <c r="H37" s="39"/>
      <c r="I37" s="28"/>
      <c r="J37" s="6" t="s">
        <v>95</v>
      </c>
      <c r="K37" s="39" t="s">
        <v>403</v>
      </c>
      <c r="L37" s="28">
        <v>-35950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 t="s">
        <v>94</v>
      </c>
      <c r="K38" s="39" t="s">
        <v>207</v>
      </c>
      <c r="L38" s="28">
        <v>-40490</v>
      </c>
      <c r="M38" s="6"/>
      <c r="N38" s="39"/>
      <c r="O38" s="26"/>
      <c r="P38" s="5"/>
      <c r="Q38" s="6"/>
      <c r="R38" s="39"/>
      <c r="S38" s="28"/>
      <c r="T38" s="6" t="s">
        <v>92</v>
      </c>
      <c r="U38" s="39" t="s">
        <v>437</v>
      </c>
      <c r="V38" s="28">
        <v>-9651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18000</v>
      </c>
      <c r="D39" s="162"/>
      <c r="E39" s="163"/>
      <c r="G39" s="6"/>
      <c r="H39" s="39"/>
      <c r="I39" s="28"/>
      <c r="J39" s="6" t="s">
        <v>91</v>
      </c>
      <c r="K39" s="39" t="s">
        <v>107</v>
      </c>
      <c r="L39" s="28">
        <v>-2500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437</v>
      </c>
      <c r="V39" s="28">
        <v>-9649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96</v>
      </c>
      <c r="K40" s="39" t="s">
        <v>404</v>
      </c>
      <c r="L40" s="28">
        <v>-22000</v>
      </c>
      <c r="M40" s="6"/>
      <c r="N40" s="39"/>
      <c r="O40" s="26"/>
      <c r="P40" s="5"/>
      <c r="Q40" s="6"/>
      <c r="R40" s="39"/>
      <c r="S40" s="28"/>
      <c r="T40" s="6" t="s">
        <v>101</v>
      </c>
      <c r="U40" s="39" t="s">
        <v>436</v>
      </c>
      <c r="V40" s="28">
        <v>-48000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 t="s">
        <v>96</v>
      </c>
      <c r="K41" s="39" t="s">
        <v>405</v>
      </c>
      <c r="L41" s="28">
        <v>-58000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169000</v>
      </c>
      <c r="D42" s="162"/>
      <c r="E42" s="163"/>
      <c r="G42" s="6"/>
      <c r="H42" s="39"/>
      <c r="I42" s="28"/>
      <c r="J42" s="6" t="s">
        <v>92</v>
      </c>
      <c r="K42" s="39" t="s">
        <v>406</v>
      </c>
      <c r="L42" s="28">
        <v>-15300</v>
      </c>
      <c r="M42" s="6"/>
      <c r="N42" s="39"/>
      <c r="O42" s="26"/>
      <c r="P42" s="5"/>
      <c r="Q42" s="6"/>
      <c r="R42" s="39"/>
      <c r="S42" s="28"/>
      <c r="T42" s="6" t="s">
        <v>95</v>
      </c>
      <c r="U42" s="39" t="s">
        <v>347</v>
      </c>
      <c r="V42" s="28">
        <v>-60000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347750</v>
      </c>
      <c r="D43" s="162"/>
      <c r="E43" s="163"/>
      <c r="G43" s="6"/>
      <c r="H43" s="39"/>
      <c r="I43" s="28"/>
      <c r="J43" s="6" t="s">
        <v>96</v>
      </c>
      <c r="K43" s="39" t="s">
        <v>407</v>
      </c>
      <c r="L43" s="28">
        <v>-31000</v>
      </c>
      <c r="M43" s="6"/>
      <c r="N43" s="39"/>
      <c r="O43" s="26"/>
      <c r="P43" s="5"/>
      <c r="Q43" s="6"/>
      <c r="R43" s="39"/>
      <c r="S43" s="28"/>
      <c r="T43" s="6" t="s">
        <v>93</v>
      </c>
      <c r="U43" s="39" t="s">
        <v>285</v>
      </c>
      <c r="V43" s="28">
        <v>-3000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 t="s">
        <v>96</v>
      </c>
      <c r="K44" s="39" t="s">
        <v>407</v>
      </c>
      <c r="L44" s="28">
        <v>-31000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285</v>
      </c>
      <c r="V44" s="28">
        <v>-5000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255220</v>
      </c>
      <c r="D45" s="162"/>
      <c r="E45" s="163"/>
      <c r="G45" s="6"/>
      <c r="H45" s="39"/>
      <c r="I45" s="28"/>
      <c r="J45" s="6" t="s">
        <v>96</v>
      </c>
      <c r="K45" s="39" t="s">
        <v>407</v>
      </c>
      <c r="L45" s="28">
        <v>-15900</v>
      </c>
      <c r="M45" s="6"/>
      <c r="N45" s="39"/>
      <c r="O45" s="26"/>
      <c r="P45" s="5"/>
      <c r="Q45" s="6"/>
      <c r="R45" s="39"/>
      <c r="S45" s="28"/>
      <c r="T45" s="6" t="s">
        <v>95</v>
      </c>
      <c r="U45" s="39" t="s">
        <v>126</v>
      </c>
      <c r="V45" s="28">
        <v>-50000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 t="s">
        <v>96</v>
      </c>
      <c r="K46" s="39" t="s">
        <v>408</v>
      </c>
      <c r="L46" s="28">
        <v>-43000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286</v>
      </c>
      <c r="V46" s="28">
        <v>-17300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123</v>
      </c>
      <c r="L47" s="28">
        <v>-69370</v>
      </c>
      <c r="M47" s="6"/>
      <c r="N47" s="39"/>
      <c r="O47" s="26"/>
      <c r="P47" s="5"/>
      <c r="Q47" s="6"/>
      <c r="R47" s="39"/>
      <c r="S47" s="28"/>
      <c r="T47" s="6" t="s">
        <v>93</v>
      </c>
      <c r="U47" s="39" t="s">
        <v>99</v>
      </c>
      <c r="V47" s="28">
        <v>-990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 t="s">
        <v>91</v>
      </c>
      <c r="K48" s="39" t="s">
        <v>108</v>
      </c>
      <c r="L48" s="28">
        <v>-3000000</v>
      </c>
      <c r="M48" s="6"/>
      <c r="N48" s="39"/>
      <c r="O48" s="26"/>
      <c r="P48" s="5"/>
      <c r="Q48" s="6"/>
      <c r="R48" s="39"/>
      <c r="S48" s="28"/>
      <c r="T48" s="6" t="s">
        <v>113</v>
      </c>
      <c r="U48" s="39" t="s">
        <v>115</v>
      </c>
      <c r="V48" s="28">
        <v>-960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227</v>
      </c>
      <c r="L49" s="28">
        <v>-36120</v>
      </c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240</v>
      </c>
      <c r="V49" s="28">
        <v>-108663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 t="s">
        <v>101</v>
      </c>
      <c r="K50" s="39" t="s">
        <v>364</v>
      </c>
      <c r="L50" s="28">
        <v>-5000</v>
      </c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306</v>
      </c>
      <c r="V50" s="28">
        <v>-236830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 t="s">
        <v>92</v>
      </c>
      <c r="K51" s="39" t="s">
        <v>411</v>
      </c>
      <c r="L51" s="28">
        <v>-300000</v>
      </c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-6700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11</v>
      </c>
      <c r="D52" s="162"/>
      <c r="E52" s="163"/>
      <c r="G52" s="6"/>
      <c r="H52" s="39"/>
      <c r="I52" s="28"/>
      <c r="J52" s="6" t="s">
        <v>91</v>
      </c>
      <c r="K52" s="39" t="s">
        <v>107</v>
      </c>
      <c r="L52" s="28">
        <v>-2500</v>
      </c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115</v>
      </c>
      <c r="V52" s="28">
        <v>-1300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8262743</v>
      </c>
      <c r="D53" s="162"/>
      <c r="E53" s="163"/>
      <c r="G53" s="6"/>
      <c r="H53" s="39"/>
      <c r="I53" s="28"/>
      <c r="J53" s="6" t="s">
        <v>96</v>
      </c>
      <c r="K53" s="39" t="s">
        <v>97</v>
      </c>
      <c r="L53" s="28">
        <v>-42000</v>
      </c>
      <c r="M53" s="6"/>
      <c r="N53" s="39"/>
      <c r="O53" s="26"/>
      <c r="P53" s="5"/>
      <c r="Q53" s="6"/>
      <c r="R53" s="39"/>
      <c r="S53" s="28"/>
      <c r="T53" s="6" t="s">
        <v>93</v>
      </c>
      <c r="U53" s="39" t="s">
        <v>442</v>
      </c>
      <c r="V53" s="28">
        <v>-2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 t="s">
        <v>91</v>
      </c>
      <c r="K54" s="39" t="s">
        <v>107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93</v>
      </c>
      <c r="U54" s="39" t="s">
        <v>442</v>
      </c>
      <c r="V54" s="28">
        <v>-12168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 t="s">
        <v>96</v>
      </c>
      <c r="K55" s="39" t="s">
        <v>97</v>
      </c>
      <c r="L55" s="28">
        <v>-28350</v>
      </c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443</v>
      </c>
      <c r="V55" s="28">
        <v>-61000</v>
      </c>
      <c r="W55" s="6"/>
      <c r="X55" s="39"/>
      <c r="Y55" s="26"/>
    </row>
    <row r="56" spans="2:25" x14ac:dyDescent="0.3">
      <c r="G56" s="6"/>
      <c r="H56" s="39"/>
      <c r="I56" s="28"/>
      <c r="J56" s="6" t="s">
        <v>96</v>
      </c>
      <c r="K56" s="39" t="s">
        <v>412</v>
      </c>
      <c r="L56" s="28">
        <v>-21500</v>
      </c>
      <c r="M56" s="6"/>
      <c r="N56" s="39"/>
      <c r="O56" s="26"/>
      <c r="P56" s="5"/>
      <c r="Q56" s="6"/>
      <c r="R56" s="39"/>
      <c r="S56" s="28"/>
      <c r="T56" s="6" t="s">
        <v>104</v>
      </c>
      <c r="U56" s="39" t="s">
        <v>448</v>
      </c>
      <c r="V56" s="28">
        <v>-8400</v>
      </c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항목 추가해주세요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104</v>
      </c>
      <c r="U57" s="39" t="s">
        <v>449</v>
      </c>
      <c r="V57" s="28">
        <v>-8200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450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4209949</v>
      </c>
      <c r="J89" s="7" t="s">
        <v>24</v>
      </c>
      <c r="K89" s="22" t="s">
        <v>34</v>
      </c>
      <c r="L89" s="21">
        <f>SUM(L7:L88)</f>
        <v>-5531270</v>
      </c>
      <c r="M89" s="7" t="s">
        <v>24</v>
      </c>
      <c r="N89" s="22" t="s">
        <v>34</v>
      </c>
      <c r="O89" s="21">
        <f>SUM(O7:O88)</f>
        <v>-3188856</v>
      </c>
      <c r="Q89" s="7" t="s">
        <v>24</v>
      </c>
      <c r="R89" s="17" t="s">
        <v>34</v>
      </c>
      <c r="S89" s="19">
        <f>SUM(S7:S88)</f>
        <v>4386035</v>
      </c>
      <c r="T89" s="7" t="s">
        <v>24</v>
      </c>
      <c r="U89" s="22" t="s">
        <v>34</v>
      </c>
      <c r="V89" s="21">
        <f>SUM(V7:V88)</f>
        <v>-2574773</v>
      </c>
      <c r="W89" s="7" t="s">
        <v>24</v>
      </c>
      <c r="X89" s="22" t="s">
        <v>34</v>
      </c>
      <c r="Y89" s="21">
        <f>SUM(Y7:Y88)</f>
        <v>3534370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-4510177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5345632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abSelected="1" topLeftCell="D1" workbookViewId="0">
      <selection activeCell="O17" sqref="O17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2" t="s">
        <v>79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-707157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10707157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-7.0715700000000006E-2</v>
      </c>
      <c r="D7" s="172"/>
      <c r="G7" s="6" t="s">
        <v>88</v>
      </c>
      <c r="H7" s="39" t="s">
        <v>313</v>
      </c>
      <c r="I7" s="28">
        <v>1127</v>
      </c>
      <c r="J7" s="6" t="s">
        <v>98</v>
      </c>
      <c r="K7" s="39" t="s">
        <v>452</v>
      </c>
      <c r="L7" s="28">
        <v>-300000</v>
      </c>
      <c r="M7" s="6" t="s">
        <v>103</v>
      </c>
      <c r="N7" s="39"/>
      <c r="O7" s="40"/>
      <c r="P7" s="5"/>
      <c r="Q7" s="6" t="s">
        <v>212</v>
      </c>
      <c r="R7" s="39" t="s">
        <v>213</v>
      </c>
      <c r="S7" s="28">
        <v>4033588</v>
      </c>
      <c r="T7" s="6" t="s">
        <v>105</v>
      </c>
      <c r="U7" s="39" t="s">
        <v>484</v>
      </c>
      <c r="V7" s="28">
        <v>-1500</v>
      </c>
      <c r="W7" s="6" t="s">
        <v>118</v>
      </c>
      <c r="X7" s="39" t="s">
        <v>452</v>
      </c>
      <c r="Y7" s="40">
        <v>-300000</v>
      </c>
    </row>
    <row r="8" spans="2:25" x14ac:dyDescent="0.3">
      <c r="G8" s="6" t="s">
        <v>212</v>
      </c>
      <c r="H8" s="39" t="s">
        <v>213</v>
      </c>
      <c r="I8" s="28">
        <v>4222538</v>
      </c>
      <c r="J8" s="6" t="s">
        <v>101</v>
      </c>
      <c r="K8" s="39" t="s">
        <v>304</v>
      </c>
      <c r="L8" s="28">
        <v>-5000</v>
      </c>
      <c r="M8" s="6" t="s">
        <v>103</v>
      </c>
      <c r="N8" s="39"/>
      <c r="O8" s="26"/>
      <c r="P8" s="5"/>
      <c r="Q8" s="6" t="s">
        <v>88</v>
      </c>
      <c r="R8" s="39" t="s">
        <v>236</v>
      </c>
      <c r="S8" s="28">
        <v>11</v>
      </c>
      <c r="T8" s="6" t="s">
        <v>105</v>
      </c>
      <c r="U8" s="39" t="s">
        <v>484</v>
      </c>
      <c r="V8" s="28">
        <v>-3500</v>
      </c>
      <c r="W8" s="6" t="s">
        <v>103</v>
      </c>
      <c r="X8" s="39" t="s">
        <v>107</v>
      </c>
      <c r="Y8" s="26">
        <v>-2500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95</v>
      </c>
      <c r="K9" s="39" t="s">
        <v>127</v>
      </c>
      <c r="L9" s="28">
        <v>-60000</v>
      </c>
      <c r="M9" s="6" t="s">
        <v>103</v>
      </c>
      <c r="N9" s="39"/>
      <c r="O9" s="26"/>
      <c r="P9" s="5"/>
      <c r="Q9" s="6" t="s">
        <v>88</v>
      </c>
      <c r="R9" s="39" t="s">
        <v>221</v>
      </c>
      <c r="S9" s="28">
        <v>0</v>
      </c>
      <c r="T9" s="6" t="s">
        <v>92</v>
      </c>
      <c r="U9" s="39" t="s">
        <v>485</v>
      </c>
      <c r="V9" s="28">
        <v>-166</v>
      </c>
      <c r="W9" s="6" t="s">
        <v>103</v>
      </c>
      <c r="X9" s="39" t="s">
        <v>345</v>
      </c>
      <c r="Y9" s="26">
        <v>80000</v>
      </c>
    </row>
    <row r="10" spans="2:25" x14ac:dyDescent="0.3">
      <c r="G10" s="6" t="s">
        <v>88</v>
      </c>
      <c r="H10" s="39" t="s">
        <v>483</v>
      </c>
      <c r="I10" s="28">
        <v>30000</v>
      </c>
      <c r="J10" s="6" t="s">
        <v>91</v>
      </c>
      <c r="K10" s="39" t="s">
        <v>453</v>
      </c>
      <c r="L10" s="28">
        <v>-26000</v>
      </c>
      <c r="M10" s="6" t="s">
        <v>103</v>
      </c>
      <c r="N10" s="39" t="s">
        <v>399</v>
      </c>
      <c r="O10" s="26">
        <v>-10491</v>
      </c>
      <c r="P10" s="5"/>
      <c r="Q10" s="6" t="s">
        <v>88</v>
      </c>
      <c r="R10" s="39" t="s">
        <v>335</v>
      </c>
      <c r="S10" s="28">
        <v>461</v>
      </c>
      <c r="T10" s="6" t="s">
        <v>92</v>
      </c>
      <c r="U10" s="39" t="s">
        <v>485</v>
      </c>
      <c r="V10" s="28">
        <v>-37802</v>
      </c>
      <c r="W10" s="6" t="s">
        <v>103</v>
      </c>
      <c r="X10" s="39" t="s">
        <v>369</v>
      </c>
      <c r="Y10" s="26">
        <v>-45000</v>
      </c>
    </row>
    <row r="11" spans="2:25" x14ac:dyDescent="0.3">
      <c r="G11" s="6"/>
      <c r="H11" s="39"/>
      <c r="I11" s="28"/>
      <c r="J11" s="6" t="s">
        <v>96</v>
      </c>
      <c r="K11" s="39" t="s">
        <v>97</v>
      </c>
      <c r="L11" s="28">
        <v>-18000</v>
      </c>
      <c r="M11" s="6" t="s">
        <v>217</v>
      </c>
      <c r="N11" s="39"/>
      <c r="O11" s="26"/>
      <c r="P11" s="5"/>
      <c r="Q11" s="6" t="s">
        <v>88</v>
      </c>
      <c r="R11" s="39" t="s">
        <v>335</v>
      </c>
      <c r="S11" s="28">
        <v>0</v>
      </c>
      <c r="T11" s="6" t="s">
        <v>92</v>
      </c>
      <c r="U11" s="39" t="s">
        <v>485</v>
      </c>
      <c r="V11" s="28">
        <v>-7832</v>
      </c>
      <c r="W11" s="6" t="s">
        <v>118</v>
      </c>
      <c r="X11" s="39" t="s">
        <v>492</v>
      </c>
      <c r="Y11" s="26">
        <v>35550</v>
      </c>
    </row>
    <row r="12" spans="2:25" x14ac:dyDescent="0.3">
      <c r="G12" s="6"/>
      <c r="H12" s="39"/>
      <c r="I12" s="28"/>
      <c r="J12" s="6" t="s">
        <v>91</v>
      </c>
      <c r="K12" s="39" t="s">
        <v>454</v>
      </c>
      <c r="L12" s="28">
        <v>-522290</v>
      </c>
      <c r="M12" s="6" t="s">
        <v>217</v>
      </c>
      <c r="N12" s="39"/>
      <c r="O12" s="26"/>
      <c r="P12" s="5"/>
      <c r="Q12" s="6"/>
      <c r="R12" s="39"/>
      <c r="S12" s="28"/>
      <c r="T12" s="6" t="s">
        <v>105</v>
      </c>
      <c r="U12" s="39" t="s">
        <v>484</v>
      </c>
      <c r="V12" s="28">
        <v>-1600</v>
      </c>
      <c r="W12" s="6" t="s">
        <v>103</v>
      </c>
      <c r="X12" s="39" t="s">
        <v>493</v>
      </c>
      <c r="Y12" s="26">
        <v>-30000000</v>
      </c>
    </row>
    <row r="13" spans="2:25" x14ac:dyDescent="0.3">
      <c r="G13" s="6"/>
      <c r="H13" s="39"/>
      <c r="I13" s="28"/>
      <c r="J13" s="6" t="s">
        <v>96</v>
      </c>
      <c r="K13" s="39" t="s">
        <v>455</v>
      </c>
      <c r="L13" s="28">
        <v>-59000</v>
      </c>
      <c r="M13" s="6" t="s">
        <v>103</v>
      </c>
      <c r="N13" s="39" t="s">
        <v>269</v>
      </c>
      <c r="O13" s="26">
        <v>17500</v>
      </c>
      <c r="P13" s="5"/>
      <c r="Q13" s="6"/>
      <c r="R13" s="39"/>
      <c r="S13" s="28"/>
      <c r="T13" s="6" t="s">
        <v>105</v>
      </c>
      <c r="U13" s="39" t="s">
        <v>484</v>
      </c>
      <c r="V13" s="28">
        <v>-1700</v>
      </c>
      <c r="W13" s="6" t="s">
        <v>109</v>
      </c>
      <c r="X13" s="39" t="s">
        <v>117</v>
      </c>
      <c r="Y13" s="26">
        <v>-2121897</v>
      </c>
    </row>
    <row r="14" spans="2:25" x14ac:dyDescent="0.3">
      <c r="G14" s="6"/>
      <c r="H14" s="39"/>
      <c r="I14" s="28"/>
      <c r="J14" s="6" t="s">
        <v>101</v>
      </c>
      <c r="K14" s="39" t="s">
        <v>304</v>
      </c>
      <c r="L14" s="28">
        <v>-7500</v>
      </c>
      <c r="M14" s="6" t="s">
        <v>103</v>
      </c>
      <c r="N14" s="39" t="s">
        <v>270</v>
      </c>
      <c r="O14" s="26">
        <v>17500</v>
      </c>
      <c r="P14" s="5"/>
      <c r="Q14" s="6"/>
      <c r="R14" s="39"/>
      <c r="S14" s="28"/>
      <c r="T14" s="6" t="s">
        <v>93</v>
      </c>
      <c r="U14" s="39" t="s">
        <v>366</v>
      </c>
      <c r="V14" s="28">
        <v>-8075</v>
      </c>
      <c r="W14" s="6" t="s">
        <v>103</v>
      </c>
      <c r="X14" s="39" t="s">
        <v>369</v>
      </c>
      <c r="Y14" s="26">
        <v>-14400</v>
      </c>
    </row>
    <row r="15" spans="2:25" x14ac:dyDescent="0.3">
      <c r="G15" s="6"/>
      <c r="H15" s="39"/>
      <c r="I15" s="28"/>
      <c r="J15" s="6" t="s">
        <v>101</v>
      </c>
      <c r="K15" s="39" t="s">
        <v>304</v>
      </c>
      <c r="L15" s="28">
        <v>-2500</v>
      </c>
      <c r="M15" s="6" t="s">
        <v>103</v>
      </c>
      <c r="N15" s="39" t="s">
        <v>344</v>
      </c>
      <c r="O15" s="26">
        <v>17500</v>
      </c>
      <c r="P15" s="5"/>
      <c r="Q15" s="6"/>
      <c r="R15" s="39"/>
      <c r="S15" s="28"/>
      <c r="T15" s="6" t="s">
        <v>122</v>
      </c>
      <c r="U15" s="39" t="s">
        <v>486</v>
      </c>
      <c r="V15" s="28">
        <v>-40000</v>
      </c>
      <c r="W15" s="6" t="s">
        <v>103</v>
      </c>
      <c r="X15" s="39" t="s">
        <v>497</v>
      </c>
      <c r="Y15" s="26">
        <v>-50000</v>
      </c>
    </row>
    <row r="16" spans="2:25" x14ac:dyDescent="0.3">
      <c r="G16" s="6"/>
      <c r="H16" s="39"/>
      <c r="I16" s="28"/>
      <c r="J16" s="6" t="s">
        <v>91</v>
      </c>
      <c r="K16" s="39" t="s">
        <v>107</v>
      </c>
      <c r="L16" s="28">
        <v>-80000</v>
      </c>
      <c r="M16" s="6" t="s">
        <v>217</v>
      </c>
      <c r="N16" s="39" t="s">
        <v>345</v>
      </c>
      <c r="O16" s="26">
        <v>27500</v>
      </c>
      <c r="P16" s="5"/>
      <c r="Q16" s="6"/>
      <c r="R16" s="39"/>
      <c r="S16" s="28"/>
      <c r="T16" s="6" t="s">
        <v>92</v>
      </c>
      <c r="U16" s="39" t="s">
        <v>487</v>
      </c>
      <c r="V16" s="28">
        <v>-1200</v>
      </c>
      <c r="W16" s="6" t="s">
        <v>90</v>
      </c>
      <c r="X16" s="39" t="s">
        <v>216</v>
      </c>
      <c r="Y16" s="26">
        <v>404480</v>
      </c>
    </row>
    <row r="17" spans="2:25" x14ac:dyDescent="0.3">
      <c r="G17" s="6"/>
      <c r="H17" s="39"/>
      <c r="I17" s="28"/>
      <c r="J17" s="6" t="s">
        <v>91</v>
      </c>
      <c r="K17" s="39" t="s">
        <v>107</v>
      </c>
      <c r="L17" s="28">
        <v>-2500</v>
      </c>
      <c r="M17" s="6" t="s">
        <v>217</v>
      </c>
      <c r="N17" s="39" t="s">
        <v>456</v>
      </c>
      <c r="O17" s="26">
        <v>-27500</v>
      </c>
      <c r="P17" s="5"/>
      <c r="Q17" s="6"/>
      <c r="R17" s="39"/>
      <c r="S17" s="28"/>
      <c r="T17" s="6" t="s">
        <v>92</v>
      </c>
      <c r="U17" s="39" t="s">
        <v>487</v>
      </c>
      <c r="V17" s="28">
        <v>-1200</v>
      </c>
      <c r="W17" s="6" t="s">
        <v>103</v>
      </c>
      <c r="X17" s="39" t="s">
        <v>438</v>
      </c>
      <c r="Y17" s="26">
        <v>10000000</v>
      </c>
    </row>
    <row r="18" spans="2:25" x14ac:dyDescent="0.3">
      <c r="G18" s="6"/>
      <c r="H18" s="39"/>
      <c r="I18" s="28"/>
      <c r="J18" s="6" t="s">
        <v>96</v>
      </c>
      <c r="K18" s="39" t="s">
        <v>97</v>
      </c>
      <c r="L18" s="28">
        <v>-21000</v>
      </c>
      <c r="M18" s="6" t="s">
        <v>103</v>
      </c>
      <c r="N18" s="39" t="s">
        <v>310</v>
      </c>
      <c r="O18" s="26">
        <v>2500</v>
      </c>
      <c r="P18" s="5"/>
      <c r="Q18" s="6"/>
      <c r="R18" s="39"/>
      <c r="S18" s="28"/>
      <c r="T18" s="6" t="s">
        <v>92</v>
      </c>
      <c r="U18" s="39" t="s">
        <v>100</v>
      </c>
      <c r="V18" s="28">
        <v>-160000</v>
      </c>
      <c r="W18" s="6" t="s">
        <v>103</v>
      </c>
      <c r="X18" s="39" t="s">
        <v>438</v>
      </c>
      <c r="Y18" s="26">
        <v>10000000</v>
      </c>
    </row>
    <row r="19" spans="2:25" x14ac:dyDescent="0.3">
      <c r="G19" s="6"/>
      <c r="H19" s="39"/>
      <c r="I19" s="28"/>
      <c r="J19" s="6" t="s">
        <v>92</v>
      </c>
      <c r="K19" s="39" t="s">
        <v>457</v>
      </c>
      <c r="L19" s="28">
        <v>-6120</v>
      </c>
      <c r="M19" s="6" t="s">
        <v>103</v>
      </c>
      <c r="N19" s="39" t="s">
        <v>399</v>
      </c>
      <c r="O19" s="26">
        <v>-21000</v>
      </c>
      <c r="P19" s="5"/>
      <c r="Q19" s="6"/>
      <c r="R19" s="39"/>
      <c r="S19" s="28"/>
      <c r="T19" s="6" t="s">
        <v>113</v>
      </c>
      <c r="U19" s="39" t="s">
        <v>488</v>
      </c>
      <c r="V19" s="28">
        <v>-11900</v>
      </c>
      <c r="W19" s="6" t="s">
        <v>103</v>
      </c>
      <c r="X19" s="39" t="s">
        <v>438</v>
      </c>
      <c r="Y19" s="26">
        <v>10000000</v>
      </c>
    </row>
    <row r="20" spans="2:25" x14ac:dyDescent="0.3">
      <c r="G20" s="6"/>
      <c r="H20" s="39"/>
      <c r="I20" s="28"/>
      <c r="J20" s="6" t="s">
        <v>92</v>
      </c>
      <c r="K20" s="39" t="s">
        <v>458</v>
      </c>
      <c r="L20" s="28">
        <v>-5400</v>
      </c>
      <c r="M20" s="6" t="s">
        <v>217</v>
      </c>
      <c r="N20" s="39" t="s">
        <v>133</v>
      </c>
      <c r="O20" s="26">
        <v>-20000</v>
      </c>
      <c r="P20" s="5"/>
      <c r="Q20" s="6"/>
      <c r="R20" s="39"/>
      <c r="S20" s="28"/>
      <c r="T20" s="6" t="s">
        <v>113</v>
      </c>
      <c r="U20" s="39" t="s">
        <v>115</v>
      </c>
      <c r="V20" s="28">
        <v>-1200</v>
      </c>
      <c r="W20" s="6" t="s">
        <v>90</v>
      </c>
      <c r="X20" s="39" t="s">
        <v>499</v>
      </c>
      <c r="Y20" s="26">
        <v>100000</v>
      </c>
    </row>
    <row r="21" spans="2:25" x14ac:dyDescent="0.3">
      <c r="G21" s="6"/>
      <c r="H21" s="39"/>
      <c r="I21" s="28"/>
      <c r="J21" s="6" t="s">
        <v>101</v>
      </c>
      <c r="K21" s="39" t="s">
        <v>459</v>
      </c>
      <c r="L21" s="28">
        <v>-9400</v>
      </c>
      <c r="M21" s="6" t="s">
        <v>217</v>
      </c>
      <c r="N21" s="39" t="s">
        <v>287</v>
      </c>
      <c r="O21" s="26">
        <v>20000</v>
      </c>
      <c r="P21" s="5"/>
      <c r="Q21" s="6"/>
      <c r="R21" s="39"/>
      <c r="S21" s="28"/>
      <c r="T21" s="6" t="s">
        <v>113</v>
      </c>
      <c r="U21" s="39" t="s">
        <v>115</v>
      </c>
      <c r="V21" s="28">
        <v>-2940</v>
      </c>
      <c r="W21" s="6" t="s">
        <v>103</v>
      </c>
      <c r="X21" s="39" t="s">
        <v>334</v>
      </c>
      <c r="Y21" s="26">
        <v>1</v>
      </c>
    </row>
    <row r="22" spans="2:25" x14ac:dyDescent="0.3">
      <c r="G22" s="6"/>
      <c r="H22" s="39"/>
      <c r="I22" s="28"/>
      <c r="J22" s="6" t="s">
        <v>92</v>
      </c>
      <c r="K22" s="39" t="s">
        <v>460</v>
      </c>
      <c r="L22" s="28">
        <v>-10300</v>
      </c>
      <c r="M22" s="6" t="s">
        <v>103</v>
      </c>
      <c r="N22" s="39" t="s">
        <v>270</v>
      </c>
      <c r="O22" s="26">
        <v>2500</v>
      </c>
      <c r="P22" s="5"/>
      <c r="Q22" s="6"/>
      <c r="R22" s="39"/>
      <c r="S22" s="28"/>
      <c r="T22" s="6" t="s">
        <v>113</v>
      </c>
      <c r="U22" s="39" t="s">
        <v>342</v>
      </c>
      <c r="V22" s="28">
        <v>-135410</v>
      </c>
      <c r="W22" s="6" t="s">
        <v>118</v>
      </c>
      <c r="X22" s="39" t="s">
        <v>229</v>
      </c>
      <c r="Y22" s="26">
        <v>5</v>
      </c>
    </row>
    <row r="23" spans="2:25" x14ac:dyDescent="0.3">
      <c r="G23" s="6"/>
      <c r="H23" s="39"/>
      <c r="I23" s="28"/>
      <c r="J23" s="6" t="s">
        <v>92</v>
      </c>
      <c r="K23" s="39" t="s">
        <v>219</v>
      </c>
      <c r="L23" s="28">
        <v>-18000</v>
      </c>
      <c r="M23" s="6" t="s">
        <v>103</v>
      </c>
      <c r="N23" s="39" t="s">
        <v>269</v>
      </c>
      <c r="O23" s="26">
        <v>2500</v>
      </c>
      <c r="P23" s="5"/>
      <c r="Q23" s="6"/>
      <c r="R23" s="39"/>
      <c r="S23" s="28"/>
      <c r="T23" s="6" t="s">
        <v>105</v>
      </c>
      <c r="U23" s="39" t="s">
        <v>489</v>
      </c>
      <c r="V23" s="28">
        <v>-27800</v>
      </c>
      <c r="W23" s="6" t="s">
        <v>90</v>
      </c>
      <c r="X23" s="39" t="s">
        <v>313</v>
      </c>
      <c r="Y23" s="26">
        <v>0</v>
      </c>
    </row>
    <row r="24" spans="2:25" x14ac:dyDescent="0.3">
      <c r="G24" s="6"/>
      <c r="H24" s="39"/>
      <c r="I24" s="28"/>
      <c r="J24" s="6" t="s">
        <v>98</v>
      </c>
      <c r="K24" s="39" t="s">
        <v>442</v>
      </c>
      <c r="L24" s="28">
        <v>-19325</v>
      </c>
      <c r="M24" s="6" t="s">
        <v>103</v>
      </c>
      <c r="N24" s="39" t="s">
        <v>270</v>
      </c>
      <c r="O24" s="26">
        <v>2500</v>
      </c>
      <c r="P24" s="5"/>
      <c r="Q24" s="6"/>
      <c r="R24" s="39"/>
      <c r="S24" s="28"/>
      <c r="T24" s="6" t="s">
        <v>105</v>
      </c>
      <c r="U24" s="39" t="s">
        <v>489</v>
      </c>
      <c r="V24" s="28">
        <v>-27800</v>
      </c>
      <c r="W24" s="6" t="s">
        <v>118</v>
      </c>
      <c r="X24" s="39" t="s">
        <v>515</v>
      </c>
      <c r="Y24" s="26">
        <v>-300000</v>
      </c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101</v>
      </c>
      <c r="K25" s="39" t="s">
        <v>304</v>
      </c>
      <c r="L25" s="28">
        <v>-5000</v>
      </c>
      <c r="M25" s="6" t="s">
        <v>217</v>
      </c>
      <c r="N25" s="39" t="s">
        <v>133</v>
      </c>
      <c r="O25" s="26">
        <v>-60000</v>
      </c>
      <c r="P25" s="5"/>
      <c r="Q25" s="6"/>
      <c r="R25" s="39"/>
      <c r="S25" s="28"/>
      <c r="T25" s="6" t="s">
        <v>113</v>
      </c>
      <c r="U25" s="39" t="s">
        <v>490</v>
      </c>
      <c r="V25" s="28">
        <v>-38500</v>
      </c>
      <c r="W25" s="6" t="s">
        <v>118</v>
      </c>
      <c r="X25" s="39" t="s">
        <v>229</v>
      </c>
      <c r="Y25" s="26">
        <v>300000</v>
      </c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105</v>
      </c>
      <c r="K26" s="39" t="s">
        <v>402</v>
      </c>
      <c r="L26" s="28">
        <v>-26000</v>
      </c>
      <c r="M26" s="6" t="s">
        <v>217</v>
      </c>
      <c r="N26" s="39" t="s">
        <v>287</v>
      </c>
      <c r="O26" s="26">
        <v>60000</v>
      </c>
      <c r="P26" s="5"/>
      <c r="Q26" s="6"/>
      <c r="R26" s="39"/>
      <c r="S26" s="28"/>
      <c r="T26" s="6" t="s">
        <v>92</v>
      </c>
      <c r="U26" s="39" t="s">
        <v>129</v>
      </c>
      <c r="V26" s="28">
        <v>-46070</v>
      </c>
      <c r="W26" s="6" t="s">
        <v>90</v>
      </c>
      <c r="X26" s="39" t="s">
        <v>235</v>
      </c>
      <c r="Y26" s="26">
        <v>1</v>
      </c>
    </row>
    <row r="27" spans="2:25" x14ac:dyDescent="0.3">
      <c r="B27" s="48" t="s">
        <v>91</v>
      </c>
      <c r="C27" s="161">
        <f t="shared" ref="C27:C46" si="0">-(SUMIF($J$7:$J$88,B27,$L$7:$L$88)+SUMIF($T$7:$T$88,B27,$V$7:$V$88))</f>
        <v>3798910</v>
      </c>
      <c r="D27" s="162"/>
      <c r="E27" s="163"/>
      <c r="G27" s="6"/>
      <c r="H27" s="39"/>
      <c r="I27" s="28"/>
      <c r="J27" s="6" t="s">
        <v>105</v>
      </c>
      <c r="K27" s="39" t="s">
        <v>402</v>
      </c>
      <c r="L27" s="28">
        <v>-26000</v>
      </c>
      <c r="M27" s="6" t="s">
        <v>103</v>
      </c>
      <c r="N27" s="39" t="s">
        <v>269</v>
      </c>
      <c r="O27" s="26">
        <v>15000</v>
      </c>
      <c r="P27" s="5"/>
      <c r="Q27" s="6"/>
      <c r="R27" s="39"/>
      <c r="S27" s="28"/>
      <c r="T27" s="6" t="s">
        <v>122</v>
      </c>
      <c r="U27" s="39" t="s">
        <v>491</v>
      </c>
      <c r="V27" s="28">
        <v>-337</v>
      </c>
      <c r="W27" s="6" t="s">
        <v>118</v>
      </c>
      <c r="X27" s="39" t="s">
        <v>229</v>
      </c>
      <c r="Y27" s="26">
        <v>1</v>
      </c>
    </row>
    <row r="28" spans="2:25" x14ac:dyDescent="0.3">
      <c r="B28" s="49" t="s">
        <v>92</v>
      </c>
      <c r="C28" s="161">
        <f t="shared" si="0"/>
        <v>1447027</v>
      </c>
      <c r="D28" s="162"/>
      <c r="E28" s="163"/>
      <c r="G28" s="6"/>
      <c r="H28" s="39"/>
      <c r="I28" s="28"/>
      <c r="J28" s="6" t="s">
        <v>93</v>
      </c>
      <c r="K28" s="39" t="s">
        <v>461</v>
      </c>
      <c r="L28" s="28">
        <v>-4000</v>
      </c>
      <c r="M28" s="6" t="s">
        <v>103</v>
      </c>
      <c r="N28" s="39" t="s">
        <v>344</v>
      </c>
      <c r="O28" s="26">
        <v>15000</v>
      </c>
      <c r="P28" s="5"/>
      <c r="Q28" s="6"/>
      <c r="R28" s="39"/>
      <c r="S28" s="28"/>
      <c r="T28" s="6" t="s">
        <v>122</v>
      </c>
      <c r="U28" s="39" t="s">
        <v>491</v>
      </c>
      <c r="V28" s="28">
        <v>-318707</v>
      </c>
      <c r="W28" s="6" t="s">
        <v>103</v>
      </c>
      <c r="X28" s="39" t="s">
        <v>369</v>
      </c>
      <c r="Y28" s="26">
        <v>-82800</v>
      </c>
    </row>
    <row r="29" spans="2:25" x14ac:dyDescent="0.3">
      <c r="B29" s="49" t="s">
        <v>96</v>
      </c>
      <c r="C29" s="161">
        <f t="shared" si="0"/>
        <v>292000</v>
      </c>
      <c r="D29" s="162"/>
      <c r="E29" s="163"/>
      <c r="G29" s="6"/>
      <c r="H29" s="39"/>
      <c r="I29" s="28"/>
      <c r="J29" s="6" t="s">
        <v>105</v>
      </c>
      <c r="K29" s="39" t="s">
        <v>462</v>
      </c>
      <c r="L29" s="28">
        <v>-4250</v>
      </c>
      <c r="M29" s="6" t="s">
        <v>103</v>
      </c>
      <c r="N29" s="39" t="s">
        <v>265</v>
      </c>
      <c r="O29" s="26">
        <v>15000</v>
      </c>
      <c r="P29" s="5"/>
      <c r="Q29" s="6"/>
      <c r="R29" s="39"/>
      <c r="S29" s="28"/>
      <c r="T29" s="6" t="s">
        <v>105</v>
      </c>
      <c r="U29" s="39" t="s">
        <v>489</v>
      </c>
      <c r="V29" s="28">
        <v>-27800</v>
      </c>
      <c r="W29" s="6" t="s">
        <v>248</v>
      </c>
      <c r="X29" s="39" t="s">
        <v>249</v>
      </c>
      <c r="Y29" s="26">
        <v>3000000</v>
      </c>
    </row>
    <row r="30" spans="2:25" x14ac:dyDescent="0.3">
      <c r="B30" s="49" t="s">
        <v>94</v>
      </c>
      <c r="C30" s="161">
        <f t="shared" si="0"/>
        <v>299340</v>
      </c>
      <c r="D30" s="162"/>
      <c r="E30" s="163"/>
      <c r="G30" s="6"/>
      <c r="H30" s="39"/>
      <c r="I30" s="28"/>
      <c r="J30" s="6" t="s">
        <v>105</v>
      </c>
      <c r="K30" s="39" t="s">
        <v>463</v>
      </c>
      <c r="L30" s="28">
        <v>-12500</v>
      </c>
      <c r="M30" s="6" t="s">
        <v>103</v>
      </c>
      <c r="N30" s="39" t="s">
        <v>270</v>
      </c>
      <c r="O30" s="26">
        <v>15000</v>
      </c>
      <c r="P30" s="5"/>
      <c r="Q30" s="6"/>
      <c r="R30" s="39"/>
      <c r="S30" s="28"/>
      <c r="T30" s="6" t="s">
        <v>105</v>
      </c>
      <c r="U30" s="39" t="s">
        <v>489</v>
      </c>
      <c r="V30" s="28">
        <v>27800</v>
      </c>
      <c r="W30" s="6" t="s">
        <v>103</v>
      </c>
      <c r="X30" s="39" t="s">
        <v>107</v>
      </c>
      <c r="Y30" s="26">
        <v>-2500</v>
      </c>
    </row>
    <row r="31" spans="2:25" x14ac:dyDescent="0.3">
      <c r="B31" s="49" t="s">
        <v>98</v>
      </c>
      <c r="C31" s="161">
        <f t="shared" si="0"/>
        <v>325325</v>
      </c>
      <c r="D31" s="162"/>
      <c r="E31" s="163"/>
      <c r="G31" s="6"/>
      <c r="H31" s="39"/>
      <c r="I31" s="28"/>
      <c r="J31" s="6" t="s">
        <v>101</v>
      </c>
      <c r="K31" s="39" t="s">
        <v>304</v>
      </c>
      <c r="L31" s="28">
        <v>-7500</v>
      </c>
      <c r="M31" s="6" t="s">
        <v>103</v>
      </c>
      <c r="N31" s="39" t="s">
        <v>269</v>
      </c>
      <c r="O31" s="26">
        <v>2500</v>
      </c>
      <c r="P31" s="5"/>
      <c r="Q31" s="6"/>
      <c r="R31" s="39"/>
      <c r="S31" s="28"/>
      <c r="T31" s="6" t="s">
        <v>113</v>
      </c>
      <c r="U31" s="39" t="s">
        <v>494</v>
      </c>
      <c r="V31" s="28">
        <v>-68000</v>
      </c>
      <c r="W31" s="6"/>
      <c r="X31" s="39"/>
      <c r="Y31" s="26"/>
    </row>
    <row r="32" spans="2:25" x14ac:dyDescent="0.3">
      <c r="B32" s="49" t="s">
        <v>95</v>
      </c>
      <c r="C32" s="161">
        <f t="shared" si="0"/>
        <v>537072</v>
      </c>
      <c r="D32" s="162"/>
      <c r="E32" s="163"/>
      <c r="G32" s="6"/>
      <c r="H32" s="39"/>
      <c r="I32" s="28"/>
      <c r="J32" s="6" t="s">
        <v>120</v>
      </c>
      <c r="K32" s="39" t="s">
        <v>464</v>
      </c>
      <c r="L32" s="28">
        <v>-52600</v>
      </c>
      <c r="M32" s="6" t="s">
        <v>119</v>
      </c>
      <c r="N32" s="39" t="s">
        <v>470</v>
      </c>
      <c r="O32" s="26">
        <v>24200</v>
      </c>
      <c r="P32" s="5"/>
      <c r="Q32" s="6"/>
      <c r="R32" s="39"/>
      <c r="S32" s="28"/>
      <c r="T32" s="6" t="s">
        <v>122</v>
      </c>
      <c r="U32" s="39" t="s">
        <v>495</v>
      </c>
      <c r="V32" s="28">
        <v>-159000</v>
      </c>
      <c r="W32" s="6"/>
      <c r="X32" s="39"/>
      <c r="Y32" s="26"/>
    </row>
    <row r="33" spans="2:25" x14ac:dyDescent="0.3">
      <c r="B33" s="49" t="s">
        <v>105</v>
      </c>
      <c r="C33" s="161">
        <f t="shared" si="0"/>
        <v>42950</v>
      </c>
      <c r="D33" s="162"/>
      <c r="E33" s="163"/>
      <c r="G33" s="6"/>
      <c r="H33" s="39"/>
      <c r="I33" s="28"/>
      <c r="J33" s="6" t="s">
        <v>96</v>
      </c>
      <c r="K33" s="39" t="s">
        <v>465</v>
      </c>
      <c r="L33" s="28">
        <v>-75000</v>
      </c>
      <c r="M33" s="6" t="s">
        <v>119</v>
      </c>
      <c r="N33" s="39" t="s">
        <v>470</v>
      </c>
      <c r="O33" s="26">
        <v>24200</v>
      </c>
      <c r="P33" s="5"/>
      <c r="Q33" s="6"/>
      <c r="R33" s="39"/>
      <c r="S33" s="28"/>
      <c r="T33" s="6" t="s">
        <v>113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575846</v>
      </c>
      <c r="D34" s="162"/>
      <c r="E34" s="163"/>
      <c r="G34" s="6"/>
      <c r="H34" s="39"/>
      <c r="I34" s="28"/>
      <c r="J34" s="6" t="s">
        <v>101</v>
      </c>
      <c r="K34" s="39" t="s">
        <v>304</v>
      </c>
      <c r="L34" s="28">
        <v>-5000</v>
      </c>
      <c r="M34" s="6" t="s">
        <v>103</v>
      </c>
      <c r="N34" s="39" t="s">
        <v>269</v>
      </c>
      <c r="O34" s="26">
        <v>2500</v>
      </c>
      <c r="P34" s="5"/>
      <c r="Q34" s="6"/>
      <c r="R34" s="39"/>
      <c r="S34" s="28"/>
      <c r="T34" s="6" t="s">
        <v>101</v>
      </c>
      <c r="U34" s="39" t="s">
        <v>496</v>
      </c>
      <c r="V34" s="28">
        <v>-20400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566430</v>
      </c>
      <c r="D35" s="162"/>
      <c r="E35" s="163"/>
      <c r="G35" s="6"/>
      <c r="H35" s="39"/>
      <c r="I35" s="28"/>
      <c r="J35" s="6" t="s">
        <v>105</v>
      </c>
      <c r="K35" s="39" t="s">
        <v>402</v>
      </c>
      <c r="L35" s="28">
        <v>24200</v>
      </c>
      <c r="M35" s="6" t="s">
        <v>103</v>
      </c>
      <c r="N35" s="39" t="s">
        <v>270</v>
      </c>
      <c r="O35" s="26">
        <v>2500</v>
      </c>
      <c r="P35" s="5"/>
      <c r="Q35" s="6"/>
      <c r="R35" s="39"/>
      <c r="S35" s="28"/>
      <c r="T35" s="6" t="s">
        <v>95</v>
      </c>
      <c r="U35" s="39" t="s">
        <v>347</v>
      </c>
      <c r="V35" s="28">
        <v>-56282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21065</v>
      </c>
      <c r="D36" s="162"/>
      <c r="E36" s="163"/>
      <c r="G36" s="6"/>
      <c r="H36" s="39"/>
      <c r="I36" s="28"/>
      <c r="J36" s="6" t="s">
        <v>105</v>
      </c>
      <c r="K36" s="39" t="s">
        <v>402</v>
      </c>
      <c r="L36" s="28">
        <v>24200</v>
      </c>
      <c r="M36" s="6" t="s">
        <v>103</v>
      </c>
      <c r="N36" s="39" t="s">
        <v>270</v>
      </c>
      <c r="O36" s="26">
        <v>2500</v>
      </c>
      <c r="P36" s="5"/>
      <c r="Q36" s="6"/>
      <c r="R36" s="39"/>
      <c r="S36" s="28"/>
      <c r="T36" s="6" t="s">
        <v>92</v>
      </c>
      <c r="U36" s="39" t="s">
        <v>129</v>
      </c>
      <c r="V36" s="28">
        <v>-18770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 t="s">
        <v>105</v>
      </c>
      <c r="K37" s="39" t="s">
        <v>466</v>
      </c>
      <c r="L37" s="28">
        <v>24200</v>
      </c>
      <c r="M37" s="6" t="s">
        <v>103</v>
      </c>
      <c r="N37" s="39" t="s">
        <v>269</v>
      </c>
      <c r="O37" s="26">
        <v>2500</v>
      </c>
      <c r="P37" s="5"/>
      <c r="Q37" s="6"/>
      <c r="R37" s="39"/>
      <c r="S37" s="28"/>
      <c r="T37" s="6" t="s">
        <v>114</v>
      </c>
      <c r="U37" s="39" t="s">
        <v>498</v>
      </c>
      <c r="V37" s="28">
        <v>-44100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405810</v>
      </c>
      <c r="D38" s="162"/>
      <c r="E38" s="163"/>
      <c r="G38" s="6"/>
      <c r="H38" s="39"/>
      <c r="I38" s="28"/>
      <c r="J38" s="6" t="s">
        <v>105</v>
      </c>
      <c r="K38" s="39" t="s">
        <v>466</v>
      </c>
      <c r="L38" s="28">
        <v>24200</v>
      </c>
      <c r="M38" s="6" t="s">
        <v>118</v>
      </c>
      <c r="N38" s="39" t="s">
        <v>229</v>
      </c>
      <c r="O38" s="26">
        <v>0</v>
      </c>
      <c r="P38" s="5"/>
      <c r="Q38" s="6"/>
      <c r="R38" s="39"/>
      <c r="S38" s="28"/>
      <c r="T38" s="6" t="s">
        <v>114</v>
      </c>
      <c r="U38" s="39" t="s">
        <v>498</v>
      </c>
      <c r="V38" s="28">
        <v>-125300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45200</v>
      </c>
      <c r="D39" s="162"/>
      <c r="E39" s="163"/>
      <c r="G39" s="6"/>
      <c r="H39" s="39"/>
      <c r="I39" s="28"/>
      <c r="J39" s="6" t="s">
        <v>110</v>
      </c>
      <c r="K39" s="39" t="s">
        <v>147</v>
      </c>
      <c r="L39" s="28">
        <v>-18000</v>
      </c>
      <c r="M39" s="6" t="s">
        <v>103</v>
      </c>
      <c r="N39" s="39" t="s">
        <v>399</v>
      </c>
      <c r="O39" s="26">
        <v>-10000</v>
      </c>
      <c r="P39" s="5"/>
      <c r="Q39" s="6"/>
      <c r="R39" s="39"/>
      <c r="S39" s="28"/>
      <c r="T39" s="6" t="s">
        <v>114</v>
      </c>
      <c r="U39" s="39" t="s">
        <v>498</v>
      </c>
      <c r="V39" s="28">
        <v>-99000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110</v>
      </c>
      <c r="K40" s="39" t="s">
        <v>467</v>
      </c>
      <c r="L40" s="28">
        <v>-27200</v>
      </c>
      <c r="M40" s="6" t="s">
        <v>217</v>
      </c>
      <c r="N40" s="39" t="s">
        <v>287</v>
      </c>
      <c r="O40" s="26">
        <v>50000</v>
      </c>
      <c r="P40" s="5"/>
      <c r="Q40" s="6"/>
      <c r="R40" s="39"/>
      <c r="S40" s="28"/>
      <c r="T40" s="6" t="s">
        <v>114</v>
      </c>
      <c r="U40" s="39" t="s">
        <v>498</v>
      </c>
      <c r="V40" s="28">
        <v>-149100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 t="s">
        <v>120</v>
      </c>
      <c r="K41" s="39" t="s">
        <v>468</v>
      </c>
      <c r="L41" s="28">
        <v>-15700</v>
      </c>
      <c r="M41" s="6" t="s">
        <v>217</v>
      </c>
      <c r="N41" s="39" t="s">
        <v>133</v>
      </c>
      <c r="O41" s="26">
        <v>-50000</v>
      </c>
      <c r="P41" s="5"/>
      <c r="Q41" s="6"/>
      <c r="R41" s="39"/>
      <c r="S41" s="28"/>
      <c r="T41" s="6" t="s">
        <v>113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 t="s">
        <v>120</v>
      </c>
      <c r="K42" s="39" t="s">
        <v>468</v>
      </c>
      <c r="L42" s="28">
        <v>-69300</v>
      </c>
      <c r="M42" s="6" t="s">
        <v>109</v>
      </c>
      <c r="N42" s="39" t="s">
        <v>226</v>
      </c>
      <c r="O42" s="26">
        <v>-26750</v>
      </c>
      <c r="P42" s="5"/>
      <c r="Q42" s="6"/>
      <c r="R42" s="39"/>
      <c r="S42" s="28"/>
      <c r="T42" s="6" t="s">
        <v>113</v>
      </c>
      <c r="U42" s="39" t="s">
        <v>115</v>
      </c>
      <c r="V42" s="28">
        <v>-3100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349111</v>
      </c>
      <c r="D43" s="162"/>
      <c r="E43" s="163"/>
      <c r="G43" s="6"/>
      <c r="H43" s="39"/>
      <c r="I43" s="28"/>
      <c r="J43" s="6" t="s">
        <v>120</v>
      </c>
      <c r="K43" s="39" t="s">
        <v>468</v>
      </c>
      <c r="L43" s="28">
        <v>-95200</v>
      </c>
      <c r="M43" s="6" t="s">
        <v>217</v>
      </c>
      <c r="N43" s="39" t="s">
        <v>479</v>
      </c>
      <c r="O43" s="26">
        <v>-500000</v>
      </c>
      <c r="P43" s="5"/>
      <c r="Q43" s="6"/>
      <c r="R43" s="39"/>
      <c r="S43" s="28"/>
      <c r="T43" s="6" t="s">
        <v>92</v>
      </c>
      <c r="U43" s="39" t="s">
        <v>331</v>
      </c>
      <c r="V43" s="28">
        <v>-21000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 t="s">
        <v>120</v>
      </c>
      <c r="K44" s="39" t="s">
        <v>468</v>
      </c>
      <c r="L44" s="28">
        <v>-89400</v>
      </c>
      <c r="M44" s="6" t="s">
        <v>217</v>
      </c>
      <c r="N44" s="39" t="s">
        <v>229</v>
      </c>
      <c r="O44" s="26">
        <v>500000</v>
      </c>
      <c r="P44" s="5"/>
      <c r="Q44" s="6"/>
      <c r="R44" s="39"/>
      <c r="S44" s="28"/>
      <c r="T44" s="6" t="s">
        <v>94</v>
      </c>
      <c r="U44" s="39" t="s">
        <v>500</v>
      </c>
      <c r="V44" s="28">
        <v>-5900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1085746</v>
      </c>
      <c r="D45" s="162"/>
      <c r="E45" s="163"/>
      <c r="G45" s="6"/>
      <c r="H45" s="39"/>
      <c r="I45" s="28"/>
      <c r="J45" s="6" t="s">
        <v>96</v>
      </c>
      <c r="K45" s="39" t="s">
        <v>469</v>
      </c>
      <c r="L45" s="28">
        <v>-22000</v>
      </c>
      <c r="M45" s="6" t="s">
        <v>217</v>
      </c>
      <c r="N45" s="39" t="s">
        <v>345</v>
      </c>
      <c r="O45" s="26">
        <v>14765</v>
      </c>
      <c r="P45" s="5"/>
      <c r="Q45" s="6"/>
      <c r="R45" s="39"/>
      <c r="S45" s="28"/>
      <c r="T45" s="6" t="s">
        <v>101</v>
      </c>
      <c r="U45" s="39" t="s">
        <v>501</v>
      </c>
      <c r="V45" s="28">
        <v>-2000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1350</v>
      </c>
      <c r="D46" s="162"/>
      <c r="E46" s="163"/>
      <c r="G46" s="6"/>
      <c r="H46" s="39"/>
      <c r="I46" s="28"/>
      <c r="J46" s="6" t="s">
        <v>91</v>
      </c>
      <c r="K46" s="39" t="s">
        <v>315</v>
      </c>
      <c r="L46" s="28">
        <v>-16500</v>
      </c>
      <c r="M46" s="6" t="s">
        <v>217</v>
      </c>
      <c r="N46" s="39" t="s">
        <v>399</v>
      </c>
      <c r="O46" s="26">
        <v>-14765</v>
      </c>
      <c r="P46" s="5"/>
      <c r="Q46" s="6"/>
      <c r="R46" s="39"/>
      <c r="S46" s="28"/>
      <c r="T46" s="6" t="s">
        <v>114</v>
      </c>
      <c r="U46" s="39" t="s">
        <v>502</v>
      </c>
      <c r="V46" s="28">
        <v>-9020</v>
      </c>
      <c r="W46" s="6"/>
      <c r="X46" s="39"/>
      <c r="Y46" s="26"/>
    </row>
    <row r="47" spans="2:25" x14ac:dyDescent="0.3">
      <c r="G47" s="6"/>
      <c r="H47" s="39"/>
      <c r="I47" s="28"/>
      <c r="J47" s="6" t="s">
        <v>96</v>
      </c>
      <c r="K47" s="39" t="s">
        <v>471</v>
      </c>
      <c r="L47" s="28">
        <v>-70000</v>
      </c>
      <c r="M47" s="6" t="s">
        <v>109</v>
      </c>
      <c r="N47" s="39" t="s">
        <v>263</v>
      </c>
      <c r="O47" s="26">
        <v>-210000</v>
      </c>
      <c r="P47" s="5"/>
      <c r="Q47" s="6"/>
      <c r="R47" s="39"/>
      <c r="S47" s="28"/>
      <c r="T47" s="6" t="s">
        <v>122</v>
      </c>
      <c r="U47" s="39" t="s">
        <v>503</v>
      </c>
      <c r="V47" s="28">
        <v>-10000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 t="s">
        <v>96</v>
      </c>
      <c r="K48" s="39" t="s">
        <v>472</v>
      </c>
      <c r="L48" s="28">
        <v>-27000</v>
      </c>
      <c r="M48" s="6" t="s">
        <v>217</v>
      </c>
      <c r="N48" s="39" t="s">
        <v>480</v>
      </c>
      <c r="O48" s="26">
        <v>-100000</v>
      </c>
      <c r="P48" s="5"/>
      <c r="Q48" s="6"/>
      <c r="R48" s="39"/>
      <c r="S48" s="28"/>
      <c r="T48" s="6" t="s">
        <v>92</v>
      </c>
      <c r="U48" s="39" t="s">
        <v>434</v>
      </c>
      <c r="V48" s="28">
        <v>-163600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92</v>
      </c>
      <c r="K49" s="39" t="s">
        <v>100</v>
      </c>
      <c r="L49" s="28">
        <v>-80000</v>
      </c>
      <c r="M49" s="6" t="s">
        <v>217</v>
      </c>
      <c r="N49" s="39" t="s">
        <v>229</v>
      </c>
      <c r="O49" s="26">
        <v>100000</v>
      </c>
      <c r="P49" s="5"/>
      <c r="Q49" s="6"/>
      <c r="R49" s="39"/>
      <c r="S49" s="28"/>
      <c r="T49" s="6" t="s">
        <v>92</v>
      </c>
      <c r="U49" s="39" t="s">
        <v>504</v>
      </c>
      <c r="V49" s="28">
        <v>-30208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 t="s">
        <v>101</v>
      </c>
      <c r="K50" s="39" t="s">
        <v>304</v>
      </c>
      <c r="L50" s="28">
        <v>-12500</v>
      </c>
      <c r="M50" s="6" t="s">
        <v>103</v>
      </c>
      <c r="N50" s="39" t="s">
        <v>270</v>
      </c>
      <c r="O50" s="26">
        <v>2500</v>
      </c>
      <c r="P50" s="5"/>
      <c r="Q50" s="6"/>
      <c r="R50" s="39"/>
      <c r="S50" s="28"/>
      <c r="T50" s="6" t="s">
        <v>114</v>
      </c>
      <c r="U50" s="39" t="s">
        <v>505</v>
      </c>
      <c r="V50" s="28">
        <v>-32447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 t="s">
        <v>101</v>
      </c>
      <c r="K51" s="39" t="s">
        <v>304</v>
      </c>
      <c r="L51" s="28">
        <v>12500</v>
      </c>
      <c r="M51" s="6" t="s">
        <v>103</v>
      </c>
      <c r="N51" s="39" t="s">
        <v>269</v>
      </c>
      <c r="O51" s="26">
        <v>2500</v>
      </c>
      <c r="P51" s="5"/>
      <c r="Q51" s="6"/>
      <c r="R51" s="39"/>
      <c r="S51" s="28"/>
      <c r="T51" s="6" t="s">
        <v>114</v>
      </c>
      <c r="U51" s="39" t="s">
        <v>506</v>
      </c>
      <c r="V51" s="28">
        <v>-450952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31599</v>
      </c>
      <c r="D52" s="162"/>
      <c r="E52" s="163"/>
      <c r="G52" s="6"/>
      <c r="H52" s="39"/>
      <c r="I52" s="28"/>
      <c r="J52" s="6" t="s">
        <v>101</v>
      </c>
      <c r="K52" s="39" t="s">
        <v>304</v>
      </c>
      <c r="L52" s="28">
        <v>-7500</v>
      </c>
      <c r="M52" s="6" t="s">
        <v>103</v>
      </c>
      <c r="N52" s="39" t="s">
        <v>319</v>
      </c>
      <c r="O52" s="26">
        <v>-17800</v>
      </c>
      <c r="P52" s="5"/>
      <c r="Q52" s="6"/>
      <c r="R52" s="39"/>
      <c r="S52" s="28"/>
      <c r="T52" s="6" t="s">
        <v>101</v>
      </c>
      <c r="U52" s="39" t="s">
        <v>507</v>
      </c>
      <c r="V52" s="28">
        <v>-428588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8256126</v>
      </c>
      <c r="D53" s="162"/>
      <c r="E53" s="163"/>
      <c r="G53" s="6"/>
      <c r="H53" s="39"/>
      <c r="I53" s="28"/>
      <c r="J53" s="6" t="s">
        <v>95</v>
      </c>
      <c r="K53" s="39" t="s">
        <v>127</v>
      </c>
      <c r="L53" s="28">
        <v>-60000</v>
      </c>
      <c r="M53" s="6" t="s">
        <v>217</v>
      </c>
      <c r="N53" s="39" t="s">
        <v>231</v>
      </c>
      <c r="O53" s="26">
        <v>-100000</v>
      </c>
      <c r="P53" s="5"/>
      <c r="Q53" s="6"/>
      <c r="R53" s="39"/>
      <c r="S53" s="28"/>
      <c r="T53" s="6" t="s">
        <v>114</v>
      </c>
      <c r="U53" s="39" t="s">
        <v>508</v>
      </c>
      <c r="V53" s="28">
        <v>-81097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 t="s">
        <v>101</v>
      </c>
      <c r="K54" s="39" t="s">
        <v>304</v>
      </c>
      <c r="L54" s="28">
        <v>-7500</v>
      </c>
      <c r="M54" s="6" t="s">
        <v>217</v>
      </c>
      <c r="N54" s="39" t="s">
        <v>133</v>
      </c>
      <c r="O54" s="26">
        <v>-100000</v>
      </c>
      <c r="P54" s="5"/>
      <c r="Q54" s="6"/>
      <c r="R54" s="39"/>
      <c r="S54" s="28"/>
      <c r="T54" s="6" t="s">
        <v>122</v>
      </c>
      <c r="U54" s="39" t="s">
        <v>509</v>
      </c>
      <c r="V54" s="28">
        <v>-38386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 t="s">
        <v>101</v>
      </c>
      <c r="K55" s="39" t="s">
        <v>473</v>
      </c>
      <c r="L55" s="28">
        <v>-34000</v>
      </c>
      <c r="M55" s="6" t="s">
        <v>217</v>
      </c>
      <c r="N55" s="39" t="s">
        <v>287</v>
      </c>
      <c r="O55" s="26">
        <v>100000</v>
      </c>
      <c r="P55" s="5"/>
      <c r="Q55" s="6"/>
      <c r="R55" s="39"/>
      <c r="S55" s="28"/>
      <c r="T55" s="6" t="s">
        <v>101</v>
      </c>
      <c r="U55" s="39" t="s">
        <v>510</v>
      </c>
      <c r="V55" s="28">
        <v>-2781</v>
      </c>
      <c r="W55" s="6"/>
      <c r="X55" s="39"/>
      <c r="Y55" s="26"/>
    </row>
    <row r="56" spans="2:25" x14ac:dyDescent="0.3">
      <c r="G56" s="6"/>
      <c r="H56" s="39"/>
      <c r="I56" s="28"/>
      <c r="J56" s="6" t="s">
        <v>120</v>
      </c>
      <c r="K56" s="39" t="s">
        <v>474</v>
      </c>
      <c r="L56" s="28">
        <v>-83610</v>
      </c>
      <c r="M56" s="6" t="s">
        <v>118</v>
      </c>
      <c r="N56" s="39" t="s">
        <v>229</v>
      </c>
      <c r="O56" s="26">
        <v>0</v>
      </c>
      <c r="P56" s="5"/>
      <c r="Q56" s="6"/>
      <c r="R56" s="39"/>
      <c r="S56" s="28"/>
      <c r="T56" s="6" t="s">
        <v>114</v>
      </c>
      <c r="U56" s="39" t="s">
        <v>511</v>
      </c>
      <c r="V56" s="28">
        <v>-47328</v>
      </c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 t="s">
        <v>95</v>
      </c>
      <c r="K57" s="39" t="s">
        <v>475</v>
      </c>
      <c r="L57" s="28">
        <v>-35950</v>
      </c>
      <c r="M57" s="6" t="s">
        <v>103</v>
      </c>
      <c r="N57" s="39" t="s">
        <v>269</v>
      </c>
      <c r="O57" s="26">
        <v>2500</v>
      </c>
      <c r="P57" s="5"/>
      <c r="Q57" s="6"/>
      <c r="R57" s="39"/>
      <c r="S57" s="28"/>
      <c r="T57" s="6" t="s">
        <v>94</v>
      </c>
      <c r="U57" s="39" t="s">
        <v>207</v>
      </c>
      <c r="V57" s="28">
        <v>-28500</v>
      </c>
      <c r="W57" s="6"/>
      <c r="X57" s="39"/>
      <c r="Y57" s="26"/>
    </row>
    <row r="58" spans="2:25" x14ac:dyDescent="0.3">
      <c r="G58" s="6"/>
      <c r="H58" s="39"/>
      <c r="I58" s="28"/>
      <c r="J58" s="6" t="s">
        <v>94</v>
      </c>
      <c r="K58" s="39" t="s">
        <v>207</v>
      </c>
      <c r="L58" s="28">
        <v>-40490</v>
      </c>
      <c r="M58" s="6" t="s">
        <v>103</v>
      </c>
      <c r="N58" s="39" t="s">
        <v>310</v>
      </c>
      <c r="O58" s="26">
        <v>2500</v>
      </c>
      <c r="P58" s="5"/>
      <c r="Q58" s="6"/>
      <c r="R58" s="39"/>
      <c r="S58" s="28"/>
      <c r="T58" s="6" t="s">
        <v>92</v>
      </c>
      <c r="U58" s="39" t="s">
        <v>504</v>
      </c>
      <c r="V58" s="28">
        <v>-19637</v>
      </c>
      <c r="W58" s="6"/>
      <c r="X58" s="39"/>
      <c r="Y58" s="26"/>
    </row>
    <row r="59" spans="2:25" x14ac:dyDescent="0.3">
      <c r="G59" s="6"/>
      <c r="H59" s="39"/>
      <c r="I59" s="28"/>
      <c r="J59" s="6" t="s">
        <v>92</v>
      </c>
      <c r="K59" s="39" t="s">
        <v>476</v>
      </c>
      <c r="L59" s="28">
        <v>-42900</v>
      </c>
      <c r="M59" s="6"/>
      <c r="N59" s="39"/>
      <c r="O59" s="26"/>
      <c r="P59" s="5"/>
      <c r="Q59" s="6"/>
      <c r="R59" s="39"/>
      <c r="S59" s="28"/>
      <c r="T59" s="6" t="s">
        <v>93</v>
      </c>
      <c r="U59" s="39" t="s">
        <v>285</v>
      </c>
      <c r="V59" s="28">
        <v>-8000</v>
      </c>
      <c r="W59" s="6"/>
      <c r="X59" s="39"/>
      <c r="Y59" s="26"/>
    </row>
    <row r="60" spans="2:25" x14ac:dyDescent="0.3">
      <c r="G60" s="6"/>
      <c r="H60" s="39"/>
      <c r="I60" s="28"/>
      <c r="J60" s="6" t="s">
        <v>91</v>
      </c>
      <c r="K60" s="39" t="s">
        <v>107</v>
      </c>
      <c r="L60" s="28">
        <v>-2500</v>
      </c>
      <c r="M60" s="6"/>
      <c r="N60" s="39"/>
      <c r="O60" s="26"/>
      <c r="P60" s="5"/>
      <c r="Q60" s="6"/>
      <c r="R60" s="39"/>
      <c r="S60" s="28"/>
      <c r="T60" s="6" t="s">
        <v>101</v>
      </c>
      <c r="U60" s="39" t="s">
        <v>512</v>
      </c>
      <c r="V60" s="28">
        <v>-16177</v>
      </c>
      <c r="W60" s="6"/>
      <c r="X60" s="39"/>
      <c r="Y60" s="26"/>
    </row>
    <row r="61" spans="2:25" x14ac:dyDescent="0.3">
      <c r="G61" s="6"/>
      <c r="H61" s="39"/>
      <c r="I61" s="28"/>
      <c r="J61" s="6" t="s">
        <v>92</v>
      </c>
      <c r="K61" s="39" t="s">
        <v>477</v>
      </c>
      <c r="L61" s="28">
        <v>-2099</v>
      </c>
      <c r="M61" s="6"/>
      <c r="N61" s="39"/>
      <c r="O61" s="26"/>
      <c r="P61" s="5"/>
      <c r="Q61" s="6"/>
      <c r="R61" s="39"/>
      <c r="S61" s="28"/>
      <c r="T61" s="6" t="s">
        <v>93</v>
      </c>
      <c r="U61" s="39" t="s">
        <v>99</v>
      </c>
      <c r="V61" s="28">
        <v>-990</v>
      </c>
      <c r="W61" s="6"/>
      <c r="X61" s="39"/>
      <c r="Y61" s="26"/>
    </row>
    <row r="62" spans="2:25" x14ac:dyDescent="0.3">
      <c r="G62" s="6"/>
      <c r="H62" s="39"/>
      <c r="I62" s="28"/>
      <c r="J62" s="6" t="s">
        <v>92</v>
      </c>
      <c r="K62" s="39" t="s">
        <v>477</v>
      </c>
      <c r="L62" s="28">
        <v>-7801</v>
      </c>
      <c r="M62" s="6"/>
      <c r="N62" s="39"/>
      <c r="O62" s="26"/>
      <c r="P62" s="5"/>
      <c r="Q62" s="6"/>
      <c r="R62" s="39"/>
      <c r="S62" s="28"/>
      <c r="T62" s="6" t="s">
        <v>94</v>
      </c>
      <c r="U62" s="39" t="s">
        <v>306</v>
      </c>
      <c r="V62" s="28">
        <v>-224450</v>
      </c>
      <c r="W62" s="6"/>
      <c r="X62" s="39"/>
      <c r="Y62" s="26"/>
    </row>
    <row r="63" spans="2:25" x14ac:dyDescent="0.3">
      <c r="G63" s="6"/>
      <c r="H63" s="39"/>
      <c r="I63" s="28"/>
      <c r="J63" s="6" t="s">
        <v>91</v>
      </c>
      <c r="K63" s="39" t="s">
        <v>107</v>
      </c>
      <c r="L63" s="28">
        <v>-2500</v>
      </c>
      <c r="M63" s="6"/>
      <c r="N63" s="39"/>
      <c r="O63" s="26"/>
      <c r="P63" s="5"/>
      <c r="Q63" s="6"/>
      <c r="R63" s="39"/>
      <c r="S63" s="28"/>
      <c r="T63" s="6" t="s">
        <v>92</v>
      </c>
      <c r="U63" s="39" t="s">
        <v>513</v>
      </c>
      <c r="V63" s="28">
        <v>-37389</v>
      </c>
      <c r="W63" s="6"/>
      <c r="X63" s="39"/>
      <c r="Y63" s="26"/>
    </row>
    <row r="64" spans="2:25" x14ac:dyDescent="0.3">
      <c r="G64" s="6"/>
      <c r="H64" s="39"/>
      <c r="I64" s="28"/>
      <c r="J64" s="6" t="s">
        <v>98</v>
      </c>
      <c r="K64" s="39" t="s">
        <v>478</v>
      </c>
      <c r="L64" s="28">
        <v>-6000</v>
      </c>
      <c r="M64" s="6"/>
      <c r="N64" s="39"/>
      <c r="O64" s="26"/>
      <c r="P64" s="5"/>
      <c r="Q64" s="6"/>
      <c r="R64" s="39"/>
      <c r="S64" s="28"/>
      <c r="T64" s="6" t="s">
        <v>114</v>
      </c>
      <c r="U64" s="39" t="s">
        <v>514</v>
      </c>
      <c r="V64" s="28">
        <v>-19771</v>
      </c>
      <c r="W64" s="6"/>
      <c r="X64" s="39"/>
      <c r="Y64" s="26"/>
    </row>
    <row r="65" spans="7:25" x14ac:dyDescent="0.3">
      <c r="G65" s="6"/>
      <c r="H65" s="39"/>
      <c r="I65" s="28"/>
      <c r="J65" s="6" t="s">
        <v>91</v>
      </c>
      <c r="K65" s="39" t="s">
        <v>227</v>
      </c>
      <c r="L65" s="28">
        <v>-36120</v>
      </c>
      <c r="M65" s="6"/>
      <c r="N65" s="39"/>
      <c r="O65" s="26"/>
      <c r="P65" s="5"/>
      <c r="Q65" s="6"/>
      <c r="R65" s="39"/>
      <c r="S65" s="28"/>
      <c r="T65" s="6" t="s">
        <v>92</v>
      </c>
      <c r="U65" s="39" t="s">
        <v>240</v>
      </c>
      <c r="V65" s="28">
        <v>-108663</v>
      </c>
      <c r="W65" s="6"/>
      <c r="X65" s="39"/>
      <c r="Y65" s="26"/>
    </row>
    <row r="66" spans="7:25" x14ac:dyDescent="0.3">
      <c r="G66" s="6"/>
      <c r="H66" s="39"/>
      <c r="I66" s="28"/>
      <c r="J66" s="6" t="s">
        <v>91</v>
      </c>
      <c r="K66" s="39" t="s">
        <v>107</v>
      </c>
      <c r="L66" s="28">
        <v>-16200</v>
      </c>
      <c r="M66" s="6"/>
      <c r="N66" s="39"/>
      <c r="O66" s="26"/>
      <c r="P66" s="5"/>
      <c r="Q66" s="6"/>
      <c r="R66" s="39"/>
      <c r="S66" s="28"/>
      <c r="T66" s="6" t="s">
        <v>113</v>
      </c>
      <c r="U66" s="39" t="s">
        <v>516</v>
      </c>
      <c r="V66" s="28">
        <v>-29061</v>
      </c>
      <c r="W66" s="6"/>
      <c r="X66" s="39"/>
      <c r="Y66" s="26"/>
    </row>
    <row r="67" spans="7:25" x14ac:dyDescent="0.3">
      <c r="G67" s="6"/>
      <c r="H67" s="39"/>
      <c r="I67" s="28"/>
      <c r="J67" s="6" t="s">
        <v>95</v>
      </c>
      <c r="K67" s="39" t="s">
        <v>259</v>
      </c>
      <c r="L67" s="28">
        <v>-50000</v>
      </c>
      <c r="M67" s="6"/>
      <c r="N67" s="39"/>
      <c r="O67" s="26"/>
      <c r="P67" s="5"/>
      <c r="Q67" s="6"/>
      <c r="R67" s="39"/>
      <c r="S67" s="28"/>
      <c r="T67" s="6" t="s">
        <v>114</v>
      </c>
      <c r="U67" s="39" t="s">
        <v>517</v>
      </c>
      <c r="V67" s="28">
        <v>-7546</v>
      </c>
      <c r="W67" s="6"/>
      <c r="X67" s="39"/>
      <c r="Y67" s="26"/>
    </row>
    <row r="68" spans="7:25" x14ac:dyDescent="0.3">
      <c r="G68" s="6"/>
      <c r="H68" s="39"/>
      <c r="I68" s="28"/>
      <c r="J68" s="6" t="s">
        <v>101</v>
      </c>
      <c r="K68" s="39" t="s">
        <v>304</v>
      </c>
      <c r="L68" s="28">
        <v>-7500</v>
      </c>
      <c r="M68" s="6"/>
      <c r="N68" s="39"/>
      <c r="O68" s="26"/>
      <c r="P68" s="5"/>
      <c r="Q68" s="6"/>
      <c r="R68" s="39"/>
      <c r="S68" s="28"/>
      <c r="T68" s="6" t="s">
        <v>95</v>
      </c>
      <c r="U68" s="39" t="s">
        <v>518</v>
      </c>
      <c r="V68" s="28">
        <v>-274840</v>
      </c>
      <c r="W68" s="6"/>
      <c r="X68" s="39"/>
      <c r="Y68" s="26"/>
    </row>
    <row r="69" spans="7:25" x14ac:dyDescent="0.3">
      <c r="G69" s="6"/>
      <c r="H69" s="39"/>
      <c r="I69" s="28"/>
      <c r="J69" s="6" t="s">
        <v>92</v>
      </c>
      <c r="K69" s="39" t="s">
        <v>314</v>
      </c>
      <c r="L69" s="28">
        <v>-3840</v>
      </c>
      <c r="M69" s="6"/>
      <c r="N69" s="39"/>
      <c r="O69" s="26"/>
      <c r="P69" s="5"/>
      <c r="Q69" s="6"/>
      <c r="R69" s="39"/>
      <c r="S69" s="28"/>
      <c r="T69" s="6" t="s">
        <v>113</v>
      </c>
      <c r="U69" s="39" t="s">
        <v>286</v>
      </c>
      <c r="V69" s="28">
        <v>-6977</v>
      </c>
      <c r="W69" s="6"/>
      <c r="X69" s="39"/>
      <c r="Y69" s="26"/>
    </row>
    <row r="70" spans="7:25" x14ac:dyDescent="0.3">
      <c r="G70" s="6"/>
      <c r="H70" s="39"/>
      <c r="I70" s="28"/>
      <c r="J70" s="6" t="s">
        <v>92</v>
      </c>
      <c r="K70" s="39" t="s">
        <v>458</v>
      </c>
      <c r="L70" s="28">
        <v>-3800</v>
      </c>
      <c r="M70" s="6"/>
      <c r="N70" s="39"/>
      <c r="O70" s="26"/>
      <c r="P70" s="5"/>
      <c r="Q70" s="6"/>
      <c r="R70" s="39"/>
      <c r="S70" s="28"/>
      <c r="T70" s="6" t="s">
        <v>113</v>
      </c>
      <c r="U70" s="39" t="s">
        <v>286</v>
      </c>
      <c r="V70" s="28">
        <v>-29023</v>
      </c>
      <c r="W70" s="6"/>
      <c r="X70" s="39"/>
      <c r="Y70" s="26"/>
    </row>
    <row r="71" spans="7:25" x14ac:dyDescent="0.3">
      <c r="G71" s="6"/>
      <c r="H71" s="39"/>
      <c r="I71" s="28"/>
      <c r="J71" s="6" t="s">
        <v>92</v>
      </c>
      <c r="K71" s="39" t="s">
        <v>481</v>
      </c>
      <c r="L71" s="28">
        <v>-300000</v>
      </c>
      <c r="M71" s="6"/>
      <c r="N71" s="39"/>
      <c r="O71" s="26"/>
      <c r="P71" s="5"/>
      <c r="Q71" s="6"/>
      <c r="R71" s="39"/>
      <c r="S71" s="28"/>
      <c r="T71" s="6" t="s">
        <v>113</v>
      </c>
      <c r="U71" s="39" t="s">
        <v>286</v>
      </c>
      <c r="V71" s="28">
        <v>-16800</v>
      </c>
      <c r="W71" s="6"/>
      <c r="X71" s="39"/>
      <c r="Y71" s="26"/>
    </row>
    <row r="72" spans="7:25" x14ac:dyDescent="0.3">
      <c r="G72" s="6"/>
      <c r="H72" s="39"/>
      <c r="I72" s="28"/>
      <c r="J72" s="6" t="s">
        <v>91</v>
      </c>
      <c r="K72" s="39" t="s">
        <v>574</v>
      </c>
      <c r="L72" s="28">
        <v>-94300</v>
      </c>
      <c r="M72" s="6"/>
      <c r="N72" s="39"/>
      <c r="O72" s="26"/>
      <c r="P72" s="5"/>
      <c r="Q72" s="6"/>
      <c r="R72" s="39"/>
      <c r="S72" s="28"/>
      <c r="T72" s="6" t="s">
        <v>92</v>
      </c>
      <c r="U72" s="39" t="s">
        <v>519</v>
      </c>
      <c r="V72" s="28">
        <v>-2200</v>
      </c>
      <c r="W72" s="6"/>
      <c r="X72" s="39"/>
      <c r="Y72" s="26"/>
    </row>
    <row r="73" spans="7:25" x14ac:dyDescent="0.3">
      <c r="G73" s="6"/>
      <c r="H73" s="39"/>
      <c r="I73" s="28"/>
      <c r="J73" s="6" t="s">
        <v>92</v>
      </c>
      <c r="K73" s="39" t="s">
        <v>100</v>
      </c>
      <c r="L73" s="28">
        <v>-160000</v>
      </c>
      <c r="M73" s="6"/>
      <c r="N73" s="39"/>
      <c r="O73" s="26"/>
      <c r="P73" s="5"/>
      <c r="Q73" s="6"/>
      <c r="R73" s="39"/>
      <c r="S73" s="28"/>
      <c r="T73" s="6" t="s">
        <v>92</v>
      </c>
      <c r="U73" s="39" t="s">
        <v>129</v>
      </c>
      <c r="V73" s="28">
        <v>-91030</v>
      </c>
      <c r="W73" s="6"/>
      <c r="X73" s="39"/>
      <c r="Y73" s="26"/>
    </row>
    <row r="74" spans="7:25" x14ac:dyDescent="0.3">
      <c r="G74" s="6"/>
      <c r="H74" s="39"/>
      <c r="I74" s="28"/>
      <c r="J74" s="6" t="s">
        <v>91</v>
      </c>
      <c r="K74" s="39" t="s">
        <v>349</v>
      </c>
      <c r="L74" s="28">
        <v>-3000000</v>
      </c>
      <c r="M74" s="6"/>
      <c r="N74" s="39"/>
      <c r="O74" s="26"/>
      <c r="P74" s="5"/>
      <c r="Q74" s="6"/>
      <c r="R74" s="39"/>
      <c r="S74" s="28"/>
      <c r="T74" s="6" t="s">
        <v>105</v>
      </c>
      <c r="U74" s="39" t="s">
        <v>520</v>
      </c>
      <c r="V74" s="28">
        <v>-2900</v>
      </c>
      <c r="W74" s="6"/>
      <c r="X74" s="39"/>
      <c r="Y74" s="26"/>
    </row>
    <row r="75" spans="7:25" x14ac:dyDescent="0.3">
      <c r="G75" s="6"/>
      <c r="H75" s="39"/>
      <c r="I75" s="28"/>
      <c r="J75" s="6" t="s">
        <v>92</v>
      </c>
      <c r="K75" s="39" t="s">
        <v>208</v>
      </c>
      <c r="L75" s="28">
        <v>-60000</v>
      </c>
      <c r="M75" s="6"/>
      <c r="N75" s="39"/>
      <c r="O75" s="26"/>
      <c r="P75" s="5"/>
      <c r="Q75" s="6"/>
      <c r="R75" s="39"/>
      <c r="S75" s="28"/>
      <c r="T75" s="6" t="s">
        <v>128</v>
      </c>
      <c r="U75" s="39" t="s">
        <v>521</v>
      </c>
      <c r="V75" s="28">
        <v>-1350</v>
      </c>
      <c r="W75" s="6"/>
      <c r="X75" s="39"/>
      <c r="Y75" s="26"/>
    </row>
    <row r="76" spans="7:25" x14ac:dyDescent="0.3">
      <c r="G76" s="6"/>
      <c r="H76" s="39"/>
      <c r="I76" s="28"/>
      <c r="J76" s="6" t="s">
        <v>101</v>
      </c>
      <c r="K76" s="39" t="s">
        <v>304</v>
      </c>
      <c r="L76" s="28">
        <v>-7500</v>
      </c>
      <c r="M76" s="6"/>
      <c r="N76" s="39"/>
      <c r="O76" s="26"/>
      <c r="P76" s="5"/>
      <c r="Q76" s="6"/>
      <c r="R76" s="39"/>
      <c r="S76" s="28"/>
      <c r="T76" s="6" t="s">
        <v>105</v>
      </c>
      <c r="U76" s="39" t="s">
        <v>522</v>
      </c>
      <c r="V76" s="28">
        <v>-4200</v>
      </c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 t="s">
        <v>113</v>
      </c>
      <c r="U77" s="39" t="s">
        <v>115</v>
      </c>
      <c r="V77" s="28">
        <v>-1500</v>
      </c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 t="s">
        <v>113</v>
      </c>
      <c r="U78" s="39" t="s">
        <v>115</v>
      </c>
      <c r="V78" s="28">
        <v>-2000</v>
      </c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 t="s">
        <v>114</v>
      </c>
      <c r="U79" s="39" t="s">
        <v>523</v>
      </c>
      <c r="V79" s="28">
        <v>-20085</v>
      </c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4253665</v>
      </c>
      <c r="J89" s="7" t="s">
        <v>24</v>
      </c>
      <c r="K89" s="22" t="s">
        <v>34</v>
      </c>
      <c r="L89" s="21">
        <f>SUM(L7:L88)</f>
        <v>-5895795</v>
      </c>
      <c r="M89" s="7" t="s">
        <v>24</v>
      </c>
      <c r="N89" s="22" t="s">
        <v>34</v>
      </c>
      <c r="O89" s="21">
        <f>SUM(O7:O88)</f>
        <v>-202641</v>
      </c>
      <c r="Q89" s="7" t="s">
        <v>24</v>
      </c>
      <c r="R89" s="17" t="s">
        <v>34</v>
      </c>
      <c r="S89" s="19">
        <f>SUM(S7:S88)</f>
        <v>4034060</v>
      </c>
      <c r="T89" s="7" t="s">
        <v>24</v>
      </c>
      <c r="U89" s="22" t="s">
        <v>34</v>
      </c>
      <c r="V89" s="21">
        <f>SUM(V7:V88)</f>
        <v>-3897387</v>
      </c>
      <c r="W89" s="7" t="s">
        <v>24</v>
      </c>
      <c r="X89" s="22" t="s">
        <v>34</v>
      </c>
      <c r="Y89" s="21">
        <f>SUM(Y7:Y88)</f>
        <v>1000941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-1844771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1137614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topLeftCell="A5" workbookViewId="0">
      <selection activeCell="I89" sqref="I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82" t="s">
        <v>80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-9999537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19999537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-0.99995369999999995</v>
      </c>
      <c r="D7" s="172"/>
      <c r="G7" s="6" t="s">
        <v>233</v>
      </c>
      <c r="H7" s="39" t="s">
        <v>533</v>
      </c>
      <c r="I7" s="28">
        <v>1</v>
      </c>
      <c r="J7" s="6" t="s">
        <v>98</v>
      </c>
      <c r="K7" s="39" t="s">
        <v>452</v>
      </c>
      <c r="L7" s="28">
        <v>-300000</v>
      </c>
      <c r="M7" s="6" t="s">
        <v>103</v>
      </c>
      <c r="N7" s="39" t="s">
        <v>269</v>
      </c>
      <c r="O7" s="40">
        <v>2500</v>
      </c>
      <c r="P7" s="5"/>
      <c r="Q7" s="6" t="s">
        <v>432</v>
      </c>
      <c r="R7" s="39" t="s">
        <v>433</v>
      </c>
      <c r="S7" s="28">
        <v>121591</v>
      </c>
      <c r="T7" s="6" t="s">
        <v>122</v>
      </c>
      <c r="U7" s="39" t="s">
        <v>546</v>
      </c>
      <c r="V7" s="28">
        <v>-388000</v>
      </c>
      <c r="W7" s="6" t="s">
        <v>118</v>
      </c>
      <c r="X7" s="39" t="s">
        <v>452</v>
      </c>
      <c r="Y7" s="40">
        <v>-300000</v>
      </c>
    </row>
    <row r="8" spans="2:25" x14ac:dyDescent="0.3">
      <c r="G8" s="6"/>
      <c r="H8" s="39"/>
      <c r="I8" s="28"/>
      <c r="J8" s="6" t="s">
        <v>101</v>
      </c>
      <c r="K8" s="39" t="s">
        <v>304</v>
      </c>
      <c r="L8" s="28">
        <v>-7500</v>
      </c>
      <c r="M8" s="6" t="s">
        <v>103</v>
      </c>
      <c r="N8" s="39" t="s">
        <v>270</v>
      </c>
      <c r="O8" s="26">
        <v>2500</v>
      </c>
      <c r="P8" s="5"/>
      <c r="Q8" s="6"/>
      <c r="R8" s="39"/>
      <c r="S8" s="28"/>
      <c r="T8" s="6" t="s">
        <v>113</v>
      </c>
      <c r="U8" s="39" t="s">
        <v>115</v>
      </c>
      <c r="V8" s="28">
        <v>-1300</v>
      </c>
      <c r="W8" s="6" t="s">
        <v>103</v>
      </c>
      <c r="X8" s="39" t="s">
        <v>107</v>
      </c>
      <c r="Y8" s="26">
        <v>-300000</v>
      </c>
    </row>
    <row r="9" spans="2:25" x14ac:dyDescent="0.3">
      <c r="G9" s="6"/>
      <c r="H9" s="39"/>
      <c r="I9" s="28"/>
      <c r="J9" s="6" t="s">
        <v>92</v>
      </c>
      <c r="K9" s="39" t="s">
        <v>524</v>
      </c>
      <c r="L9" s="28">
        <v>-20700</v>
      </c>
      <c r="M9" s="6" t="s">
        <v>103</v>
      </c>
      <c r="N9" s="39" t="s">
        <v>344</v>
      </c>
      <c r="O9" s="26">
        <v>18500</v>
      </c>
      <c r="P9" s="5"/>
      <c r="Q9" s="6"/>
      <c r="R9" s="39"/>
      <c r="S9" s="28"/>
      <c r="T9" s="6" t="s">
        <v>113</v>
      </c>
      <c r="U9" s="39" t="s">
        <v>115</v>
      </c>
      <c r="V9" s="28">
        <v>-1800</v>
      </c>
      <c r="W9" s="6" t="s">
        <v>109</v>
      </c>
      <c r="X9" s="39" t="s">
        <v>548</v>
      </c>
      <c r="Y9" s="26">
        <v>-20000</v>
      </c>
    </row>
    <row r="10" spans="2:25" x14ac:dyDescent="0.3">
      <c r="G10" s="6"/>
      <c r="H10" s="39"/>
      <c r="I10" s="28"/>
      <c r="J10" s="6" t="s">
        <v>96</v>
      </c>
      <c r="K10" s="39" t="s">
        <v>525</v>
      </c>
      <c r="L10" s="28">
        <v>-64000</v>
      </c>
      <c r="M10" s="6" t="s">
        <v>103</v>
      </c>
      <c r="N10" s="39" t="s">
        <v>269</v>
      </c>
      <c r="O10" s="26">
        <v>18500</v>
      </c>
      <c r="P10" s="5"/>
      <c r="Q10" s="6"/>
      <c r="R10" s="39"/>
      <c r="S10" s="28"/>
      <c r="T10" s="6" t="s">
        <v>92</v>
      </c>
      <c r="U10" s="39" t="s">
        <v>547</v>
      </c>
      <c r="V10" s="28">
        <v>-33350</v>
      </c>
      <c r="W10" s="6" t="s">
        <v>109</v>
      </c>
      <c r="X10" s="39" t="s">
        <v>263</v>
      </c>
      <c r="Y10" s="26">
        <v>-8300</v>
      </c>
    </row>
    <row r="11" spans="2:25" x14ac:dyDescent="0.3">
      <c r="G11" s="6"/>
      <c r="H11" s="39"/>
      <c r="I11" s="28"/>
      <c r="J11" s="6" t="s">
        <v>101</v>
      </c>
      <c r="K11" s="39" t="s">
        <v>304</v>
      </c>
      <c r="L11" s="28">
        <v>-10000</v>
      </c>
      <c r="M11" s="6" t="s">
        <v>103</v>
      </c>
      <c r="N11" s="39" t="s">
        <v>270</v>
      </c>
      <c r="O11" s="26">
        <v>18500</v>
      </c>
      <c r="P11" s="5"/>
      <c r="Q11" s="6"/>
      <c r="R11" s="39"/>
      <c r="S11" s="28"/>
      <c r="T11" s="6" t="s">
        <v>113</v>
      </c>
      <c r="U11" s="39" t="s">
        <v>549</v>
      </c>
      <c r="V11" s="28">
        <v>-65500</v>
      </c>
      <c r="W11" s="6" t="s">
        <v>103</v>
      </c>
      <c r="X11" s="39" t="s">
        <v>552</v>
      </c>
      <c r="Y11" s="26">
        <v>-50000</v>
      </c>
    </row>
    <row r="12" spans="2:25" x14ac:dyDescent="0.3">
      <c r="G12" s="6"/>
      <c r="H12" s="39"/>
      <c r="I12" s="28"/>
      <c r="J12" s="6" t="s">
        <v>101</v>
      </c>
      <c r="K12" s="39" t="s">
        <v>304</v>
      </c>
      <c r="L12" s="28">
        <v>-7500</v>
      </c>
      <c r="M12" s="6" t="s">
        <v>103</v>
      </c>
      <c r="N12" s="39" t="s">
        <v>270</v>
      </c>
      <c r="O12" s="26">
        <v>2500</v>
      </c>
      <c r="P12" s="5"/>
      <c r="Q12" s="6"/>
      <c r="R12" s="39"/>
      <c r="S12" s="28"/>
      <c r="T12" s="6" t="s">
        <v>113</v>
      </c>
      <c r="U12" s="39" t="s">
        <v>115</v>
      </c>
      <c r="V12" s="28">
        <v>-1200</v>
      </c>
      <c r="W12" s="6" t="s">
        <v>90</v>
      </c>
      <c r="X12" s="39" t="s">
        <v>553</v>
      </c>
      <c r="Y12" s="26">
        <v>200000</v>
      </c>
    </row>
    <row r="13" spans="2:25" x14ac:dyDescent="0.3">
      <c r="G13" s="6"/>
      <c r="H13" s="39"/>
      <c r="I13" s="28"/>
      <c r="J13" s="6" t="s">
        <v>101</v>
      </c>
      <c r="K13" s="39" t="s">
        <v>526</v>
      </c>
      <c r="L13" s="28">
        <v>-1300</v>
      </c>
      <c r="M13" s="6" t="s">
        <v>103</v>
      </c>
      <c r="N13" s="39" t="s">
        <v>269</v>
      </c>
      <c r="O13" s="26">
        <v>2500</v>
      </c>
      <c r="P13" s="5"/>
      <c r="Q13" s="6"/>
      <c r="R13" s="39"/>
      <c r="S13" s="28"/>
      <c r="T13" s="6" t="s">
        <v>122</v>
      </c>
      <c r="U13" s="39" t="s">
        <v>546</v>
      </c>
      <c r="V13" s="28">
        <v>30000</v>
      </c>
      <c r="W13" s="6" t="s">
        <v>103</v>
      </c>
      <c r="X13" s="39" t="s">
        <v>561</v>
      </c>
      <c r="Y13" s="26">
        <v>-20000</v>
      </c>
    </row>
    <row r="14" spans="2:25" x14ac:dyDescent="0.3">
      <c r="G14" s="6"/>
      <c r="H14" s="39"/>
      <c r="I14" s="28"/>
      <c r="J14" s="6" t="s">
        <v>98</v>
      </c>
      <c r="K14" s="39" t="s">
        <v>527</v>
      </c>
      <c r="L14" s="28">
        <v>-2000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122</v>
      </c>
      <c r="U14" s="39" t="s">
        <v>546</v>
      </c>
      <c r="V14" s="28">
        <v>358000</v>
      </c>
      <c r="W14" s="6" t="s">
        <v>103</v>
      </c>
      <c r="X14" s="39" t="s">
        <v>562</v>
      </c>
      <c r="Y14" s="26">
        <v>-660000</v>
      </c>
    </row>
    <row r="15" spans="2:25" x14ac:dyDescent="0.3">
      <c r="G15" s="6"/>
      <c r="H15" s="39"/>
      <c r="I15" s="28"/>
      <c r="J15" s="6" t="s">
        <v>93</v>
      </c>
      <c r="K15" s="39" t="s">
        <v>528</v>
      </c>
      <c r="L15" s="28">
        <v>-1000</v>
      </c>
      <c r="M15" s="6" t="s">
        <v>103</v>
      </c>
      <c r="N15" s="39" t="s">
        <v>269</v>
      </c>
      <c r="O15" s="26">
        <v>2500</v>
      </c>
      <c r="P15" s="5"/>
      <c r="Q15" s="6"/>
      <c r="R15" s="39"/>
      <c r="S15" s="28"/>
      <c r="T15" s="6" t="s">
        <v>122</v>
      </c>
      <c r="U15" s="39" t="s">
        <v>550</v>
      </c>
      <c r="V15" s="28">
        <v>-104525</v>
      </c>
      <c r="W15" s="6" t="s">
        <v>103</v>
      </c>
      <c r="X15" s="39" t="s">
        <v>537</v>
      </c>
      <c r="Y15" s="26">
        <v>45750</v>
      </c>
    </row>
    <row r="16" spans="2:25" x14ac:dyDescent="0.3">
      <c r="G16" s="6"/>
      <c r="H16" s="39"/>
      <c r="I16" s="28"/>
      <c r="J16" s="6" t="s">
        <v>96</v>
      </c>
      <c r="K16" s="39" t="s">
        <v>529</v>
      </c>
      <c r="L16" s="28">
        <v>-19300</v>
      </c>
      <c r="M16" s="6" t="s">
        <v>103</v>
      </c>
      <c r="N16" s="39" t="s">
        <v>344</v>
      </c>
      <c r="O16" s="26">
        <v>2500</v>
      </c>
      <c r="P16" s="5"/>
      <c r="Q16" s="6"/>
      <c r="R16" s="39"/>
      <c r="S16" s="28"/>
      <c r="T16" s="6" t="s">
        <v>114</v>
      </c>
      <c r="U16" s="39" t="s">
        <v>551</v>
      </c>
      <c r="V16" s="28">
        <v>30000</v>
      </c>
      <c r="W16" s="6" t="s">
        <v>103</v>
      </c>
      <c r="X16" s="39" t="s">
        <v>565</v>
      </c>
      <c r="Y16" s="26">
        <v>45750</v>
      </c>
    </row>
    <row r="17" spans="2:25" x14ac:dyDescent="0.3">
      <c r="G17" s="6"/>
      <c r="H17" s="39"/>
      <c r="I17" s="28"/>
      <c r="J17" s="6" t="s">
        <v>92</v>
      </c>
      <c r="K17" s="39" t="s">
        <v>530</v>
      </c>
      <c r="L17" s="28">
        <v>-3000</v>
      </c>
      <c r="M17" s="6" t="s">
        <v>103</v>
      </c>
      <c r="N17" s="39" t="s">
        <v>270</v>
      </c>
      <c r="O17" s="26">
        <v>2500</v>
      </c>
      <c r="P17" s="5"/>
      <c r="Q17" s="6"/>
      <c r="R17" s="39"/>
      <c r="S17" s="28"/>
      <c r="T17" s="6" t="s">
        <v>114</v>
      </c>
      <c r="U17" s="39" t="s">
        <v>551</v>
      </c>
      <c r="V17" s="28">
        <v>358000</v>
      </c>
      <c r="W17" s="6" t="s">
        <v>103</v>
      </c>
      <c r="X17" s="39" t="s">
        <v>344</v>
      </c>
      <c r="Y17" s="26">
        <v>45750</v>
      </c>
    </row>
    <row r="18" spans="2:25" x14ac:dyDescent="0.3">
      <c r="G18" s="6"/>
      <c r="H18" s="39"/>
      <c r="I18" s="28"/>
      <c r="J18" s="6" t="s">
        <v>101</v>
      </c>
      <c r="K18" s="39" t="s">
        <v>304</v>
      </c>
      <c r="L18" s="28">
        <v>-7500</v>
      </c>
      <c r="M18" s="6" t="s">
        <v>103</v>
      </c>
      <c r="N18" s="39" t="s">
        <v>269</v>
      </c>
      <c r="O18" s="26">
        <v>2500</v>
      </c>
      <c r="P18" s="5"/>
      <c r="Q18" s="6"/>
      <c r="R18" s="39"/>
      <c r="S18" s="28"/>
      <c r="T18" s="6" t="s">
        <v>122</v>
      </c>
      <c r="U18" s="39" t="s">
        <v>550</v>
      </c>
      <c r="V18" s="28">
        <v>104525</v>
      </c>
      <c r="W18" s="6" t="s">
        <v>103</v>
      </c>
      <c r="X18" s="39" t="s">
        <v>438</v>
      </c>
      <c r="Y18" s="26">
        <v>400000</v>
      </c>
    </row>
    <row r="19" spans="2:25" x14ac:dyDescent="0.3">
      <c r="G19" s="6"/>
      <c r="H19" s="39"/>
      <c r="I19" s="28"/>
      <c r="J19" s="6" t="s">
        <v>101</v>
      </c>
      <c r="K19" s="39" t="s">
        <v>304</v>
      </c>
      <c r="L19" s="28">
        <v>-10000</v>
      </c>
      <c r="M19" s="6" t="s">
        <v>103</v>
      </c>
      <c r="N19" s="39" t="s">
        <v>269</v>
      </c>
      <c r="O19" s="26">
        <v>5000</v>
      </c>
      <c r="P19" s="5"/>
      <c r="Q19" s="6"/>
      <c r="R19" s="39"/>
      <c r="S19" s="28"/>
      <c r="T19" s="6" t="s">
        <v>118</v>
      </c>
      <c r="U19" s="39" t="s">
        <v>482</v>
      </c>
      <c r="V19" s="28">
        <v>-300377</v>
      </c>
      <c r="W19" s="6" t="s">
        <v>109</v>
      </c>
      <c r="X19" s="39" t="s">
        <v>117</v>
      </c>
      <c r="Y19" s="26">
        <v>-1712267</v>
      </c>
    </row>
    <row r="20" spans="2:25" x14ac:dyDescent="0.3">
      <c r="G20" s="6"/>
      <c r="H20" s="39"/>
      <c r="I20" s="28"/>
      <c r="J20" s="6" t="s">
        <v>98</v>
      </c>
      <c r="K20" s="39" t="s">
        <v>531</v>
      </c>
      <c r="L20" s="28">
        <v>-84900</v>
      </c>
      <c r="M20" s="6" t="s">
        <v>103</v>
      </c>
      <c r="N20" s="39" t="s">
        <v>270</v>
      </c>
      <c r="O20" s="26">
        <v>5000</v>
      </c>
      <c r="P20" s="5"/>
      <c r="Q20" s="6"/>
      <c r="R20" s="39"/>
      <c r="S20" s="28"/>
      <c r="T20" s="6" t="s">
        <v>114</v>
      </c>
      <c r="U20" s="39" t="s">
        <v>502</v>
      </c>
      <c r="V20" s="28">
        <v>9020</v>
      </c>
      <c r="W20" s="6" t="s">
        <v>103</v>
      </c>
      <c r="X20" s="39" t="s">
        <v>111</v>
      </c>
      <c r="Y20" s="26">
        <v>-5000000</v>
      </c>
    </row>
    <row r="21" spans="2:25" x14ac:dyDescent="0.3">
      <c r="G21" s="6"/>
      <c r="H21" s="39"/>
      <c r="I21" s="28"/>
      <c r="J21" s="6" t="s">
        <v>93</v>
      </c>
      <c r="K21" s="39" t="s">
        <v>532</v>
      </c>
      <c r="L21" s="28">
        <v>-2073</v>
      </c>
      <c r="M21" s="6" t="s">
        <v>103</v>
      </c>
      <c r="N21" s="39" t="s">
        <v>537</v>
      </c>
      <c r="O21" s="26">
        <v>2500</v>
      </c>
      <c r="P21" s="5"/>
      <c r="Q21" s="6"/>
      <c r="R21" s="39"/>
      <c r="S21" s="28"/>
      <c r="T21" s="6" t="s">
        <v>95</v>
      </c>
      <c r="U21" s="39" t="s">
        <v>347</v>
      </c>
      <c r="V21" s="28">
        <v>-60000</v>
      </c>
      <c r="W21" s="6" t="s">
        <v>103</v>
      </c>
      <c r="X21" s="39" t="s">
        <v>369</v>
      </c>
      <c r="Y21" s="26">
        <v>-23400</v>
      </c>
    </row>
    <row r="22" spans="2:25" x14ac:dyDescent="0.3">
      <c r="G22" s="6"/>
      <c r="H22" s="39"/>
      <c r="I22" s="28"/>
      <c r="J22" s="6" t="s">
        <v>93</v>
      </c>
      <c r="K22" s="39" t="s">
        <v>532</v>
      </c>
      <c r="L22" s="28">
        <v>-6427</v>
      </c>
      <c r="M22" s="6" t="s">
        <v>103</v>
      </c>
      <c r="N22" s="39" t="s">
        <v>344</v>
      </c>
      <c r="O22" s="26">
        <v>2500</v>
      </c>
      <c r="P22" s="5"/>
      <c r="Q22" s="6"/>
      <c r="R22" s="39"/>
      <c r="S22" s="28"/>
      <c r="T22" s="6" t="s">
        <v>113</v>
      </c>
      <c r="U22" s="39" t="s">
        <v>115</v>
      </c>
      <c r="V22" s="28">
        <v>-1200</v>
      </c>
      <c r="W22" s="6" t="s">
        <v>90</v>
      </c>
      <c r="X22" s="39" t="s">
        <v>573</v>
      </c>
      <c r="Y22" s="26">
        <v>1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-7500</v>
      </c>
      <c r="M23" s="6" t="s">
        <v>103</v>
      </c>
      <c r="N23" s="39" t="s">
        <v>232</v>
      </c>
      <c r="O23" s="26">
        <v>5000000</v>
      </c>
      <c r="P23" s="5"/>
      <c r="Q23" s="6"/>
      <c r="R23" s="39"/>
      <c r="S23" s="28"/>
      <c r="T23" s="6" t="s">
        <v>113</v>
      </c>
      <c r="U23" s="39" t="s">
        <v>115</v>
      </c>
      <c r="V23" s="28">
        <v>-2800</v>
      </c>
      <c r="W23" s="6"/>
      <c r="X23" s="39"/>
      <c r="Y23" s="26"/>
    </row>
    <row r="24" spans="2:25" x14ac:dyDescent="0.3">
      <c r="G24" s="6"/>
      <c r="H24" s="39"/>
      <c r="I24" s="28"/>
      <c r="J24" s="6" t="s">
        <v>92</v>
      </c>
      <c r="K24" s="39" t="s">
        <v>208</v>
      </c>
      <c r="L24" s="28">
        <v>-60000</v>
      </c>
      <c r="M24" s="6" t="s">
        <v>217</v>
      </c>
      <c r="N24" s="39" t="s">
        <v>218</v>
      </c>
      <c r="O24" s="26">
        <v>-5000000</v>
      </c>
      <c r="P24" s="5"/>
      <c r="Q24" s="6"/>
      <c r="R24" s="39"/>
      <c r="S24" s="28"/>
      <c r="T24" s="6" t="s">
        <v>114</v>
      </c>
      <c r="U24" s="39" t="s">
        <v>551</v>
      </c>
      <c r="V24" s="28">
        <v>104525</v>
      </c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 t="s">
        <v>101</v>
      </c>
      <c r="K25" s="39" t="s">
        <v>304</v>
      </c>
      <c r="L25" s="28">
        <v>-5000</v>
      </c>
      <c r="M25" s="6" t="s">
        <v>103</v>
      </c>
      <c r="N25" s="39" t="s">
        <v>269</v>
      </c>
      <c r="O25" s="26">
        <v>2500</v>
      </c>
      <c r="P25" s="5"/>
      <c r="Q25" s="6"/>
      <c r="R25" s="39"/>
      <c r="S25" s="28"/>
      <c r="T25" s="6" t="s">
        <v>92</v>
      </c>
      <c r="U25" s="39" t="s">
        <v>331</v>
      </c>
      <c r="V25" s="28">
        <v>-10000</v>
      </c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 t="s">
        <v>96</v>
      </c>
      <c r="K26" s="39" t="s">
        <v>137</v>
      </c>
      <c r="L26" s="28">
        <v>-6800</v>
      </c>
      <c r="M26" s="6" t="s">
        <v>217</v>
      </c>
      <c r="N26" s="39" t="s">
        <v>133</v>
      </c>
      <c r="O26" s="26">
        <v>-10000</v>
      </c>
      <c r="P26" s="5"/>
      <c r="Q26" s="6"/>
      <c r="R26" s="39"/>
      <c r="S26" s="28"/>
      <c r="T26" s="6" t="s">
        <v>113</v>
      </c>
      <c r="U26" s="39" t="s">
        <v>554</v>
      </c>
      <c r="V26" s="28">
        <v>-38000</v>
      </c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16500</v>
      </c>
      <c r="D27" s="162"/>
      <c r="E27" s="163"/>
      <c r="G27" s="6"/>
      <c r="H27" s="39"/>
      <c r="I27" s="28"/>
      <c r="J27" s="6" t="s">
        <v>101</v>
      </c>
      <c r="K27" s="39" t="s">
        <v>304</v>
      </c>
      <c r="L27" s="28">
        <v>-5000</v>
      </c>
      <c r="M27" s="6" t="s">
        <v>217</v>
      </c>
      <c r="N27" s="39" t="s">
        <v>287</v>
      </c>
      <c r="O27" s="26">
        <v>10000</v>
      </c>
      <c r="P27" s="5"/>
      <c r="Q27" s="6"/>
      <c r="R27" s="39"/>
      <c r="S27" s="28"/>
      <c r="T27" s="6" t="s">
        <v>113</v>
      </c>
      <c r="U27" s="39" t="s">
        <v>554</v>
      </c>
      <c r="V27" s="28">
        <v>-3000</v>
      </c>
      <c r="W27" s="6"/>
      <c r="X27" s="39"/>
      <c r="Y27" s="26"/>
    </row>
    <row r="28" spans="2:25" x14ac:dyDescent="0.3">
      <c r="B28" s="49" t="s">
        <v>92</v>
      </c>
      <c r="C28" s="161">
        <f t="shared" si="0"/>
        <v>735190</v>
      </c>
      <c r="D28" s="162"/>
      <c r="E28" s="163"/>
      <c r="G28" s="6"/>
      <c r="H28" s="39"/>
      <c r="I28" s="28"/>
      <c r="J28" s="6" t="s">
        <v>96</v>
      </c>
      <c r="K28" s="39" t="s">
        <v>534</v>
      </c>
      <c r="L28" s="28">
        <v>-37700</v>
      </c>
      <c r="M28" s="6" t="s">
        <v>103</v>
      </c>
      <c r="N28" s="39" t="s">
        <v>270</v>
      </c>
      <c r="O28" s="26">
        <v>2500</v>
      </c>
      <c r="P28" s="5"/>
      <c r="Q28" s="6"/>
      <c r="R28" s="39"/>
      <c r="S28" s="28"/>
      <c r="T28" s="6" t="s">
        <v>102</v>
      </c>
      <c r="U28" s="39" t="s">
        <v>555</v>
      </c>
      <c r="V28" s="28">
        <v>-79000</v>
      </c>
      <c r="W28" s="6"/>
      <c r="X28" s="39"/>
      <c r="Y28" s="26"/>
    </row>
    <row r="29" spans="2:25" x14ac:dyDescent="0.3">
      <c r="B29" s="49" t="s">
        <v>96</v>
      </c>
      <c r="C29" s="161">
        <f t="shared" si="0"/>
        <v>200200</v>
      </c>
      <c r="D29" s="162"/>
      <c r="E29" s="163"/>
      <c r="G29" s="6"/>
      <c r="H29" s="39"/>
      <c r="I29" s="28"/>
      <c r="J29" s="6" t="s">
        <v>96</v>
      </c>
      <c r="K29" s="39" t="s">
        <v>535</v>
      </c>
      <c r="L29" s="28">
        <v>-10200</v>
      </c>
      <c r="M29" s="6" t="s">
        <v>103</v>
      </c>
      <c r="N29" s="39" t="s">
        <v>269</v>
      </c>
      <c r="O29" s="26">
        <v>2500</v>
      </c>
      <c r="P29" s="5"/>
      <c r="Q29" s="6"/>
      <c r="R29" s="39"/>
      <c r="S29" s="28"/>
      <c r="T29" s="6" t="s">
        <v>93</v>
      </c>
      <c r="U29" s="39" t="s">
        <v>556</v>
      </c>
      <c r="V29" s="28">
        <v>-3000</v>
      </c>
      <c r="W29" s="6"/>
      <c r="X29" s="39"/>
      <c r="Y29" s="26"/>
    </row>
    <row r="30" spans="2:25" x14ac:dyDescent="0.3">
      <c r="B30" s="49" t="s">
        <v>94</v>
      </c>
      <c r="C30" s="161">
        <f t="shared" si="0"/>
        <v>370690</v>
      </c>
      <c r="D30" s="162"/>
      <c r="E30" s="163"/>
      <c r="G30" s="6"/>
      <c r="H30" s="39"/>
      <c r="I30" s="28"/>
      <c r="J30" s="6" t="s">
        <v>96</v>
      </c>
      <c r="K30" s="39" t="s">
        <v>97</v>
      </c>
      <c r="L30" s="28">
        <v>-31000</v>
      </c>
      <c r="M30" s="6" t="s">
        <v>217</v>
      </c>
      <c r="N30" s="39" t="s">
        <v>261</v>
      </c>
      <c r="O30" s="26">
        <v>15600</v>
      </c>
      <c r="P30" s="5"/>
      <c r="Q30" s="6"/>
      <c r="R30" s="39"/>
      <c r="S30" s="28"/>
      <c r="T30" s="6" t="s">
        <v>93</v>
      </c>
      <c r="U30" s="39" t="s">
        <v>556</v>
      </c>
      <c r="V30" s="28">
        <v>-3000</v>
      </c>
      <c r="W30" s="6"/>
      <c r="X30" s="39"/>
      <c r="Y30" s="26"/>
    </row>
    <row r="31" spans="2:25" x14ac:dyDescent="0.3">
      <c r="B31" s="49" t="s">
        <v>98</v>
      </c>
      <c r="C31" s="161">
        <f t="shared" si="0"/>
        <v>386900</v>
      </c>
      <c r="D31" s="162"/>
      <c r="E31" s="163"/>
      <c r="G31" s="6"/>
      <c r="H31" s="39"/>
      <c r="I31" s="28"/>
      <c r="J31" s="6" t="s">
        <v>95</v>
      </c>
      <c r="K31" s="39" t="s">
        <v>536</v>
      </c>
      <c r="L31" s="28">
        <v>-60000</v>
      </c>
      <c r="M31" s="6" t="s">
        <v>103</v>
      </c>
      <c r="N31" s="39" t="s">
        <v>270</v>
      </c>
      <c r="O31" s="26">
        <v>2800</v>
      </c>
      <c r="P31" s="5"/>
      <c r="Q31" s="6"/>
      <c r="R31" s="39"/>
      <c r="S31" s="28"/>
      <c r="T31" s="6" t="s">
        <v>114</v>
      </c>
      <c r="U31" s="39" t="s">
        <v>557</v>
      </c>
      <c r="V31" s="28">
        <v>-9020</v>
      </c>
      <c r="W31" s="6"/>
      <c r="X31" s="39"/>
      <c r="Y31" s="26"/>
    </row>
    <row r="32" spans="2:25" x14ac:dyDescent="0.3">
      <c r="B32" s="49" t="s">
        <v>95</v>
      </c>
      <c r="C32" s="161">
        <f t="shared" si="0"/>
        <v>155950</v>
      </c>
      <c r="D32" s="162"/>
      <c r="E32" s="163"/>
      <c r="G32" s="6"/>
      <c r="H32" s="39"/>
      <c r="I32" s="28"/>
      <c r="J32" s="6" t="s">
        <v>101</v>
      </c>
      <c r="K32" s="39" t="s">
        <v>304</v>
      </c>
      <c r="L32" s="28">
        <v>-7500</v>
      </c>
      <c r="M32" s="6" t="s">
        <v>103</v>
      </c>
      <c r="N32" s="39" t="s">
        <v>269</v>
      </c>
      <c r="O32" s="26">
        <v>2800</v>
      </c>
      <c r="P32" s="5"/>
      <c r="Q32" s="6"/>
      <c r="R32" s="39"/>
      <c r="S32" s="28"/>
      <c r="T32" s="6" t="s">
        <v>114</v>
      </c>
      <c r="U32" s="39" t="s">
        <v>557</v>
      </c>
      <c r="V32" s="28">
        <v>-19480</v>
      </c>
      <c r="W32" s="6"/>
      <c r="X32" s="39"/>
      <c r="Y32" s="26"/>
    </row>
    <row r="33" spans="2:25" x14ac:dyDescent="0.3">
      <c r="B33" s="49" t="s">
        <v>105</v>
      </c>
      <c r="C33" s="161">
        <f t="shared" si="0"/>
        <v>32100</v>
      </c>
      <c r="D33" s="162"/>
      <c r="E33" s="163"/>
      <c r="G33" s="6"/>
      <c r="H33" s="39"/>
      <c r="I33" s="28"/>
      <c r="J33" s="6" t="s">
        <v>96</v>
      </c>
      <c r="K33" s="39" t="s">
        <v>97</v>
      </c>
      <c r="L33" s="28">
        <v>-31200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558</v>
      </c>
      <c r="V33" s="28">
        <v>-39000</v>
      </c>
      <c r="W33" s="6"/>
      <c r="X33" s="39"/>
      <c r="Y33" s="26"/>
    </row>
    <row r="34" spans="2:25" x14ac:dyDescent="0.3">
      <c r="B34" s="49" t="s">
        <v>101</v>
      </c>
      <c r="C34" s="161">
        <f t="shared" si="0"/>
        <v>89700</v>
      </c>
      <c r="D34" s="162"/>
      <c r="E34" s="163"/>
      <c r="G34" s="6"/>
      <c r="H34" s="39"/>
      <c r="I34" s="28"/>
      <c r="J34" s="6" t="s">
        <v>91</v>
      </c>
      <c r="K34" s="39" t="s">
        <v>315</v>
      </c>
      <c r="L34" s="28">
        <v>-16500</v>
      </c>
      <c r="M34" s="6"/>
      <c r="N34" s="39"/>
      <c r="O34" s="26"/>
      <c r="P34" s="5"/>
      <c r="Q34" s="6"/>
      <c r="R34" s="39"/>
      <c r="S34" s="28"/>
      <c r="T34" s="6" t="s">
        <v>92</v>
      </c>
      <c r="U34" s="39" t="s">
        <v>559</v>
      </c>
      <c r="V34" s="28">
        <v>-2000</v>
      </c>
      <c r="W34" s="6"/>
      <c r="X34" s="39"/>
      <c r="Y34" s="26"/>
    </row>
    <row r="35" spans="2:25" x14ac:dyDescent="0.3">
      <c r="B35" s="49" t="s">
        <v>122</v>
      </c>
      <c r="C35" s="161">
        <f t="shared" si="0"/>
        <v>27000</v>
      </c>
      <c r="D35" s="162"/>
      <c r="E35" s="163"/>
      <c r="G35" s="6"/>
      <c r="H35" s="39"/>
      <c r="I35" s="28"/>
      <c r="J35" s="6" t="s">
        <v>101</v>
      </c>
      <c r="K35" s="39" t="s">
        <v>304</v>
      </c>
      <c r="L35" s="28">
        <v>-5000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560</v>
      </c>
      <c r="V35" s="28">
        <v>-62780</v>
      </c>
      <c r="W35" s="6"/>
      <c r="X35" s="39"/>
      <c r="Y35" s="26"/>
    </row>
    <row r="36" spans="2:25" x14ac:dyDescent="0.3">
      <c r="B36" s="49" t="s">
        <v>93</v>
      </c>
      <c r="C36" s="161">
        <f t="shared" si="0"/>
        <v>67421</v>
      </c>
      <c r="D36" s="162"/>
      <c r="E36" s="163"/>
      <c r="G36" s="6"/>
      <c r="H36" s="39"/>
      <c r="I36" s="28"/>
      <c r="J36" s="6" t="s">
        <v>92</v>
      </c>
      <c r="K36" s="39" t="s">
        <v>100</v>
      </c>
      <c r="L36" s="28">
        <v>-160000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115</v>
      </c>
      <c r="V36" s="28">
        <v>-1200</v>
      </c>
      <c r="W36" s="6"/>
      <c r="X36" s="39"/>
      <c r="Y36" s="26"/>
    </row>
    <row r="37" spans="2:25" x14ac:dyDescent="0.3">
      <c r="B37" s="49" t="s">
        <v>104</v>
      </c>
      <c r="C37" s="161">
        <f t="shared" si="0"/>
        <v>41500</v>
      </c>
      <c r="D37" s="162"/>
      <c r="E37" s="163"/>
      <c r="G37" s="6"/>
      <c r="H37" s="39"/>
      <c r="I37" s="28"/>
      <c r="J37" s="6" t="s">
        <v>102</v>
      </c>
      <c r="K37" s="39" t="s">
        <v>538</v>
      </c>
      <c r="L37" s="28">
        <v>-50000</v>
      </c>
      <c r="M37" s="6"/>
      <c r="N37" s="39"/>
      <c r="O37" s="26"/>
      <c r="P37" s="5"/>
      <c r="Q37" s="6"/>
      <c r="R37" s="39"/>
      <c r="S37" s="28"/>
      <c r="T37" s="6" t="s">
        <v>113</v>
      </c>
      <c r="U37" s="39" t="s">
        <v>115</v>
      </c>
      <c r="V37" s="28">
        <v>-1200</v>
      </c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 t="s">
        <v>122</v>
      </c>
      <c r="K38" s="39" t="s">
        <v>372</v>
      </c>
      <c r="L38" s="28">
        <v>-27000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-1100</v>
      </c>
      <c r="W38" s="6"/>
      <c r="X38" s="39"/>
      <c r="Y38" s="26"/>
    </row>
    <row r="39" spans="2:25" x14ac:dyDescent="0.3">
      <c r="B39" s="49" t="s">
        <v>110</v>
      </c>
      <c r="C39" s="161">
        <f t="shared" si="0"/>
        <v>20000</v>
      </c>
      <c r="D39" s="162"/>
      <c r="E39" s="163"/>
      <c r="G39" s="6"/>
      <c r="H39" s="39"/>
      <c r="I39" s="28"/>
      <c r="J39" s="6" t="s">
        <v>101</v>
      </c>
      <c r="K39" s="39" t="s">
        <v>304</v>
      </c>
      <c r="L39" s="28">
        <v>-7500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115</v>
      </c>
      <c r="V39" s="28">
        <v>-1200</v>
      </c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 t="s">
        <v>104</v>
      </c>
      <c r="K40" s="39" t="s">
        <v>539</v>
      </c>
      <c r="L40" s="28">
        <v>-25600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355</v>
      </c>
      <c r="V40" s="28">
        <v>-132000</v>
      </c>
      <c r="W40" s="6"/>
      <c r="X40" s="39"/>
      <c r="Y40" s="26"/>
    </row>
    <row r="41" spans="2:25" x14ac:dyDescent="0.3">
      <c r="B41" s="49" t="s">
        <v>102</v>
      </c>
      <c r="C41" s="161">
        <f t="shared" si="0"/>
        <v>129000</v>
      </c>
      <c r="D41" s="162"/>
      <c r="E41" s="163"/>
      <c r="G41" s="6"/>
      <c r="H41" s="39"/>
      <c r="I41" s="28"/>
      <c r="J41" s="6" t="s">
        <v>104</v>
      </c>
      <c r="K41" s="39" t="s">
        <v>540</v>
      </c>
      <c r="L41" s="28">
        <v>-3200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563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 t="s">
        <v>92</v>
      </c>
      <c r="K42" s="39" t="s">
        <v>541</v>
      </c>
      <c r="L42" s="28">
        <v>-25900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564</v>
      </c>
      <c r="V42" s="28">
        <v>-43000</v>
      </c>
      <c r="W42" s="6"/>
      <c r="X42" s="39"/>
      <c r="Y42" s="26"/>
    </row>
    <row r="43" spans="2:25" x14ac:dyDescent="0.3">
      <c r="B43" s="49" t="s">
        <v>113</v>
      </c>
      <c r="C43" s="161">
        <f t="shared" si="0"/>
        <v>747680</v>
      </c>
      <c r="D43" s="162"/>
      <c r="E43" s="163"/>
      <c r="G43" s="6"/>
      <c r="H43" s="39"/>
      <c r="I43" s="28"/>
      <c r="J43" s="6" t="s">
        <v>105</v>
      </c>
      <c r="K43" s="39" t="s">
        <v>542</v>
      </c>
      <c r="L43" s="28">
        <v>-15200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-2050</v>
      </c>
      <c r="W43" s="6"/>
      <c r="X43" s="39"/>
      <c r="Y43" s="26"/>
    </row>
    <row r="44" spans="2:25" x14ac:dyDescent="0.3">
      <c r="B44" s="49" t="s">
        <v>118</v>
      </c>
      <c r="C44" s="161">
        <f t="shared" si="0"/>
        <v>300377</v>
      </c>
      <c r="D44" s="162"/>
      <c r="E44" s="163"/>
      <c r="G44" s="6"/>
      <c r="H44" s="39"/>
      <c r="I44" s="28"/>
      <c r="J44" s="6" t="s">
        <v>92</v>
      </c>
      <c r="K44" s="39" t="s">
        <v>543</v>
      </c>
      <c r="L44" s="28">
        <v>-19000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566</v>
      </c>
      <c r="V44" s="28">
        <v>-27320</v>
      </c>
      <c r="W44" s="6"/>
      <c r="X44" s="39"/>
      <c r="Y44" s="26"/>
    </row>
    <row r="45" spans="2:25" x14ac:dyDescent="0.3">
      <c r="B45" s="49" t="s">
        <v>114</v>
      </c>
      <c r="C45" s="161">
        <f t="shared" si="0"/>
        <v>-434095</v>
      </c>
      <c r="D45" s="162"/>
      <c r="E45" s="163"/>
      <c r="G45" s="6"/>
      <c r="H45" s="39"/>
      <c r="I45" s="28"/>
      <c r="J45" s="6" t="s">
        <v>105</v>
      </c>
      <c r="K45" s="39" t="s">
        <v>542</v>
      </c>
      <c r="L45" s="28">
        <v>-16900</v>
      </c>
      <c r="M45" s="6"/>
      <c r="N45" s="39"/>
      <c r="O45" s="26"/>
      <c r="P45" s="5"/>
      <c r="Q45" s="6"/>
      <c r="R45" s="39"/>
      <c r="S45" s="28"/>
      <c r="T45" s="6" t="s">
        <v>113</v>
      </c>
      <c r="U45" s="39" t="s">
        <v>567</v>
      </c>
      <c r="V45" s="28">
        <v>-45640</v>
      </c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 t="s">
        <v>110</v>
      </c>
      <c r="K46" s="39" t="s">
        <v>147</v>
      </c>
      <c r="L46" s="28">
        <v>-20000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568</v>
      </c>
      <c r="V46" s="28">
        <v>-29270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544</v>
      </c>
      <c r="L47" s="28">
        <v>-35950</v>
      </c>
      <c r="M47" s="6"/>
      <c r="N47" s="39"/>
      <c r="O47" s="26"/>
      <c r="P47" s="5"/>
      <c r="Q47" s="6"/>
      <c r="R47" s="39"/>
      <c r="S47" s="28"/>
      <c r="T47" s="6" t="s">
        <v>114</v>
      </c>
      <c r="U47" s="39" t="s">
        <v>569</v>
      </c>
      <c r="V47" s="28">
        <v>-8752</v>
      </c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 t="s">
        <v>94</v>
      </c>
      <c r="K48" s="39" t="s">
        <v>207</v>
      </c>
      <c r="L48" s="28">
        <v>-40490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569</v>
      </c>
      <c r="V48" s="28">
        <v>-30198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545</v>
      </c>
      <c r="L49" s="28">
        <v>-8400</v>
      </c>
      <c r="M49" s="6"/>
      <c r="N49" s="39"/>
      <c r="O49" s="26"/>
      <c r="P49" s="5"/>
      <c r="Q49" s="6"/>
      <c r="R49" s="39"/>
      <c r="S49" s="28"/>
      <c r="T49" s="6" t="s">
        <v>113</v>
      </c>
      <c r="U49" s="39" t="s">
        <v>342</v>
      </c>
      <c r="V49" s="28">
        <v>-343820</v>
      </c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500</v>
      </c>
      <c r="V50" s="28">
        <v>-5900</v>
      </c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-1200</v>
      </c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129</v>
      </c>
      <c r="V52" s="28">
        <v>-29970</v>
      </c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434</v>
      </c>
      <c r="V53" s="28">
        <v>-163600</v>
      </c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1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329</v>
      </c>
      <c r="V54" s="28">
        <v>-6990</v>
      </c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570</v>
      </c>
      <c r="V55" s="28">
        <v>-30000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93</v>
      </c>
      <c r="U56" s="39" t="s">
        <v>366</v>
      </c>
      <c r="V56" s="28">
        <v>-14101</v>
      </c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항목 추가해주세요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92</v>
      </c>
      <c r="U57" s="39" t="s">
        <v>571</v>
      </c>
      <c r="V57" s="28">
        <v>-21868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571</v>
      </c>
      <c r="V58" s="28">
        <v>-77032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 t="s">
        <v>94</v>
      </c>
      <c r="U59" s="39" t="s">
        <v>207</v>
      </c>
      <c r="V59" s="28">
        <v>-162150</v>
      </c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 t="s">
        <v>94</v>
      </c>
      <c r="U60" s="39" t="s">
        <v>207</v>
      </c>
      <c r="V60" s="28">
        <v>-162150</v>
      </c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 t="s">
        <v>113</v>
      </c>
      <c r="U61" s="39" t="s">
        <v>115</v>
      </c>
      <c r="V61" s="28">
        <v>-1200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104</v>
      </c>
      <c r="U62" s="39" t="s">
        <v>572</v>
      </c>
      <c r="V62" s="28">
        <v>-12700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93</v>
      </c>
      <c r="U63" s="39" t="s">
        <v>366</v>
      </c>
      <c r="V63" s="28">
        <v>-2500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</v>
      </c>
      <c r="J89" s="7" t="s">
        <v>24</v>
      </c>
      <c r="K89" s="22" t="s">
        <v>34</v>
      </c>
      <c r="L89" s="21">
        <f>SUM(L7:L88)</f>
        <v>-1285740</v>
      </c>
      <c r="M89" s="7" t="s">
        <v>24</v>
      </c>
      <c r="N89" s="22" t="s">
        <v>34</v>
      </c>
      <c r="O89" s="21">
        <f>SUM(O7:O88)</f>
        <v>121700</v>
      </c>
      <c r="Q89" s="7" t="s">
        <v>24</v>
      </c>
      <c r="R89" s="17" t="s">
        <v>34</v>
      </c>
      <c r="S89" s="19">
        <f>SUM(S7:S88)</f>
        <v>121591</v>
      </c>
      <c r="T89" s="7" t="s">
        <v>24</v>
      </c>
      <c r="U89" s="22" t="s">
        <v>34</v>
      </c>
      <c r="V89" s="21">
        <f>SUM(V7:V88)</f>
        <v>-1600373</v>
      </c>
      <c r="W89" s="7" t="s">
        <v>24</v>
      </c>
      <c r="X89" s="22" t="s">
        <v>34</v>
      </c>
      <c r="Y89" s="21">
        <f>SUM(Y7:Y88)</f>
        <v>-7356716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-1164039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-8835498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82" t="s">
        <v>81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10000000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0</v>
      </c>
      <c r="D7" s="172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0</v>
      </c>
      <c r="D27" s="162"/>
      <c r="E27" s="163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61">
        <f t="shared" si="0"/>
        <v>0</v>
      </c>
      <c r="D28" s="162"/>
      <c r="E28" s="163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61">
        <f t="shared" si="0"/>
        <v>0</v>
      </c>
      <c r="D29" s="162"/>
      <c r="E29" s="163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61">
        <f t="shared" si="0"/>
        <v>0</v>
      </c>
      <c r="D30" s="162"/>
      <c r="E30" s="163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61">
        <f t="shared" si="0"/>
        <v>0</v>
      </c>
      <c r="D32" s="162"/>
      <c r="E32" s="163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61">
        <f t="shared" si="0"/>
        <v>0</v>
      </c>
      <c r="D33" s="162"/>
      <c r="E33" s="163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61">
        <f t="shared" si="0"/>
        <v>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61">
        <f t="shared" si="0"/>
        <v>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61">
        <f t="shared" si="0"/>
        <v>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82" t="s">
        <v>82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10000000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0</v>
      </c>
      <c r="D7" s="172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0</v>
      </c>
      <c r="D27" s="162"/>
      <c r="E27" s="163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61">
        <f t="shared" si="0"/>
        <v>0</v>
      </c>
      <c r="D28" s="162"/>
      <c r="E28" s="163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61">
        <f t="shared" si="0"/>
        <v>0</v>
      </c>
      <c r="D29" s="162"/>
      <c r="E29" s="163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61">
        <f t="shared" si="0"/>
        <v>0</v>
      </c>
      <c r="D30" s="162"/>
      <c r="E30" s="163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61">
        <f t="shared" si="0"/>
        <v>0</v>
      </c>
      <c r="D32" s="162"/>
      <c r="E32" s="163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61">
        <f t="shared" si="0"/>
        <v>0</v>
      </c>
      <c r="D33" s="162"/>
      <c r="E33" s="163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61">
        <f t="shared" si="0"/>
        <v>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61">
        <f t="shared" si="0"/>
        <v>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61">
        <f t="shared" si="0"/>
        <v>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82" t="s">
        <v>86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10000000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0</v>
      </c>
      <c r="D7" s="172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0</v>
      </c>
      <c r="D27" s="162"/>
      <c r="E27" s="163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61">
        <f t="shared" si="0"/>
        <v>0</v>
      </c>
      <c r="D28" s="162"/>
      <c r="E28" s="163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61">
        <f t="shared" si="0"/>
        <v>0</v>
      </c>
      <c r="D29" s="162"/>
      <c r="E29" s="163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61">
        <f t="shared" si="0"/>
        <v>0</v>
      </c>
      <c r="D30" s="162"/>
      <c r="E30" s="163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61">
        <f t="shared" si="0"/>
        <v>0</v>
      </c>
      <c r="D32" s="162"/>
      <c r="E32" s="163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61">
        <f t="shared" si="0"/>
        <v>0</v>
      </c>
      <c r="D33" s="162"/>
      <c r="E33" s="163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61">
        <f t="shared" si="0"/>
        <v>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61">
        <f t="shared" si="0"/>
        <v>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61">
        <f t="shared" si="0"/>
        <v>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82" t="s">
        <v>83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10000000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0</v>
      </c>
      <c r="D7" s="172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0</v>
      </c>
      <c r="D27" s="162"/>
      <c r="E27" s="163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61">
        <f t="shared" si="0"/>
        <v>0</v>
      </c>
      <c r="D28" s="162"/>
      <c r="E28" s="163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61">
        <f t="shared" si="0"/>
        <v>0</v>
      </c>
      <c r="D29" s="162"/>
      <c r="E29" s="163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61">
        <f t="shared" si="0"/>
        <v>0</v>
      </c>
      <c r="D30" s="162"/>
      <c r="E30" s="163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61">
        <f t="shared" si="0"/>
        <v>0</v>
      </c>
      <c r="D32" s="162"/>
      <c r="E32" s="163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61">
        <f t="shared" si="0"/>
        <v>0</v>
      </c>
      <c r="D33" s="162"/>
      <c r="E33" s="163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61">
        <f t="shared" si="0"/>
        <v>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61">
        <f t="shared" si="0"/>
        <v>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61">
        <f t="shared" si="0"/>
        <v>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82" t="s">
        <v>84</v>
      </c>
      <c r="C2" s="182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1">
        <v>10000000</v>
      </c>
      <c r="D4" s="171"/>
      <c r="G4" s="184" t="str">
        <f>설정!D4</f>
        <v>천세원</v>
      </c>
      <c r="H4" s="185"/>
      <c r="I4" s="185"/>
      <c r="J4" s="185"/>
      <c r="K4" s="185"/>
      <c r="L4" s="185"/>
      <c r="M4" s="185"/>
      <c r="N4" s="185"/>
      <c r="O4" s="186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1">
        <f>I90+S90</f>
        <v>0</v>
      </c>
      <c r="D5" s="171"/>
      <c r="G5" s="136" t="s">
        <v>27</v>
      </c>
      <c r="H5" s="183"/>
      <c r="I5" s="137"/>
      <c r="J5" s="134" t="s">
        <v>31</v>
      </c>
      <c r="K5" s="167"/>
      <c r="L5" s="135"/>
      <c r="M5" s="173" t="s">
        <v>32</v>
      </c>
      <c r="N5" s="174"/>
      <c r="O5" s="175"/>
      <c r="Q5" s="136" t="s">
        <v>27</v>
      </c>
      <c r="R5" s="183"/>
      <c r="S5" s="137"/>
      <c r="T5" s="134" t="s">
        <v>31</v>
      </c>
      <c r="U5" s="167"/>
      <c r="V5" s="135"/>
      <c r="W5" s="173" t="s">
        <v>32</v>
      </c>
      <c r="X5" s="174"/>
      <c r="Y5" s="175"/>
    </row>
    <row r="6" spans="2:25" x14ac:dyDescent="0.3">
      <c r="B6" s="2" t="s">
        <v>38</v>
      </c>
      <c r="C6" s="171">
        <f>C4-C5</f>
        <v>10000000</v>
      </c>
      <c r="D6" s="171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2">
        <f>(C5)/(C4)</f>
        <v>0</v>
      </c>
      <c r="D7" s="172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7"/>
      <c r="D25" s="167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8" t="s">
        <v>30</v>
      </c>
      <c r="D26" s="169"/>
      <c r="E26" s="170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61">
        <f t="shared" ref="C27:C46" si="0">-(SUMIF($J$7:$J$88,B27,$L$7:$L$88)+SUMIF($T$7:$T$88,B27,$V$7:$V$88))</f>
        <v>0</v>
      </c>
      <c r="D27" s="162"/>
      <c r="E27" s="163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61">
        <f t="shared" si="0"/>
        <v>0</v>
      </c>
      <c r="D28" s="162"/>
      <c r="E28" s="163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61">
        <f t="shared" si="0"/>
        <v>0</v>
      </c>
      <c r="D29" s="162"/>
      <c r="E29" s="163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61">
        <f t="shared" si="0"/>
        <v>0</v>
      </c>
      <c r="D30" s="162"/>
      <c r="E30" s="163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61">
        <f t="shared" si="0"/>
        <v>0</v>
      </c>
      <c r="D31" s="162"/>
      <c r="E31" s="163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61">
        <f t="shared" si="0"/>
        <v>0</v>
      </c>
      <c r="D32" s="162"/>
      <c r="E32" s="163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61">
        <f t="shared" si="0"/>
        <v>0</v>
      </c>
      <c r="D33" s="162"/>
      <c r="E33" s="163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61">
        <f t="shared" si="0"/>
        <v>0</v>
      </c>
      <c r="D34" s="162"/>
      <c r="E34" s="163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61">
        <f t="shared" si="0"/>
        <v>0</v>
      </c>
      <c r="D35" s="162"/>
      <c r="E35" s="163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61">
        <f t="shared" si="0"/>
        <v>0</v>
      </c>
      <c r="D36" s="162"/>
      <c r="E36" s="16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61">
        <f t="shared" si="0"/>
        <v>0</v>
      </c>
      <c r="D37" s="162"/>
      <c r="E37" s="16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61">
        <f t="shared" si="0"/>
        <v>0</v>
      </c>
      <c r="D38" s="162"/>
      <c r="E38" s="16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61">
        <f t="shared" si="0"/>
        <v>0</v>
      </c>
      <c r="D39" s="162"/>
      <c r="E39" s="16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61">
        <f t="shared" si="0"/>
        <v>0</v>
      </c>
      <c r="D40" s="162"/>
      <c r="E40" s="16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61">
        <f t="shared" si="0"/>
        <v>0</v>
      </c>
      <c r="D41" s="162"/>
      <c r="E41" s="16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61">
        <f t="shared" si="0"/>
        <v>0</v>
      </c>
      <c r="D42" s="162"/>
      <c r="E42" s="16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61">
        <f t="shared" si="0"/>
        <v>0</v>
      </c>
      <c r="D43" s="162"/>
      <c r="E43" s="16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61">
        <f t="shared" si="0"/>
        <v>0</v>
      </c>
      <c r="D44" s="162"/>
      <c r="E44" s="16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61">
        <f t="shared" si="0"/>
        <v>0</v>
      </c>
      <c r="D45" s="162"/>
      <c r="E45" s="16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61">
        <f t="shared" si="0"/>
        <v>0</v>
      </c>
      <c r="D46" s="162"/>
      <c r="E46" s="16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4" t="str">
        <f>IF(ABS(SUM(C27:E46))&lt;&gt;ABS(SUM(L89,V89)),"항목 추가해주세요","-")</f>
        <v>-</v>
      </c>
      <c r="D48" s="165"/>
      <c r="E48" s="16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3"/>
      <c r="D50" s="183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8" t="s">
        <v>30</v>
      </c>
      <c r="D51" s="169"/>
      <c r="E51" s="170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61">
        <f>(SUMIF($G$7:$G$88,B52,$I$7:$I$88)+SUMIF($Q$7:$Q$88,B52,$S$7:$S$88))</f>
        <v>0</v>
      </c>
      <c r="D52" s="162"/>
      <c r="E52" s="16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61">
        <f>(SUMIF($G$7:$G$88,B53,$I$7:$I$88)+SUMIF($Q$7:$Q$88,B53,$S$7:$S$88))</f>
        <v>0</v>
      </c>
      <c r="D53" s="162"/>
      <c r="E53" s="16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61">
        <f>(SUMIF($G$7:$G$88,B54,$I$7:$I$88)+SUMIF($Q$7:$Q$88,B54,$S$7:$S$88))</f>
        <v>0</v>
      </c>
      <c r="D54" s="162"/>
      <c r="E54" s="16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61">
        <f>(SUMIF($G$7:$G$88,B55,$I$7:$I$88)+SUMIF($Q$7:$Q$88,B55,$S$7:$S$88))</f>
        <v>0</v>
      </c>
      <c r="D55" s="162"/>
      <c r="E55" s="16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4" t="str">
        <f>IF(ABS(SUM(C52:E55))&lt;&gt;ABS(SUM(I89,S89)),"항목 추가해주세요","-")</f>
        <v>-</v>
      </c>
      <c r="D57" s="165"/>
      <c r="E57" s="16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2025-07-21T14:38:39Z</dcterms:modified>
</cp:coreProperties>
</file>