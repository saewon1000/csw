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863179BD-211C-4305-A376-419F65D82AF0}" xr6:coauthVersionLast="47" xr6:coauthVersionMax="47" xr10:uidLastSave="{00000000-0000-0000-0000-000000000000}"/>
  <bookViews>
    <workbookView xWindow="-120" yWindow="-120" windowWidth="38640" windowHeight="21240" activeTab="1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C4" i="3"/>
  <c r="N16" i="3"/>
  <c r="P16" i="3"/>
  <c r="R16" i="3"/>
  <c r="T16" i="3"/>
  <c r="V16" i="3"/>
  <c r="X16" i="3"/>
  <c r="B16" i="3"/>
  <c r="Q4" i="12"/>
  <c r="G4" i="12"/>
  <c r="Q4" i="11"/>
  <c r="G4" i="11"/>
  <c r="AB10" i="3"/>
  <c r="Z10" i="3"/>
  <c r="Z11" i="3"/>
  <c r="W10" i="3"/>
  <c r="U10" i="3"/>
  <c r="S10" i="3"/>
  <c r="Q10" i="3"/>
  <c r="O10" i="3"/>
  <c r="M10" i="3"/>
  <c r="K10" i="3"/>
  <c r="I10" i="3"/>
  <c r="G10" i="3"/>
  <c r="E10" i="3"/>
  <c r="C10" i="3"/>
  <c r="S11" i="3"/>
  <c r="C11" i="3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B14" i="3" l="1"/>
  <c r="AC14" i="3" s="1"/>
  <c r="AB18" i="3"/>
  <c r="AC18" i="3" s="1"/>
  <c r="AB20" i="3"/>
  <c r="AC20" i="3" s="1"/>
  <c r="AB19" i="3"/>
  <c r="AC19" i="3" s="1"/>
  <c r="AB22" i="3"/>
  <c r="AC22" i="3" s="1"/>
  <c r="AB17" i="3"/>
  <c r="AC17" i="3" s="1"/>
  <c r="AB24" i="3"/>
  <c r="AC24" i="3" s="1"/>
  <c r="AB21" i="3"/>
  <c r="AC21" i="3" s="1"/>
  <c r="AB15" i="3"/>
  <c r="AC15" i="3" s="1"/>
  <c r="AB16" i="3"/>
  <c r="AC16" i="3" s="1"/>
  <c r="AB23" i="3"/>
  <c r="AC23" i="3" s="1"/>
  <c r="AB25" i="3"/>
  <c r="AC25" i="3" s="1"/>
  <c r="AB12" i="3"/>
  <c r="AC12" i="3" s="1"/>
  <c r="AB13" i="3"/>
  <c r="AC13" i="3" s="1"/>
  <c r="AB7" i="3"/>
  <c r="AC7" i="3" s="1"/>
  <c r="AB6" i="3"/>
  <c r="C12" i="3"/>
  <c r="AC8" i="3"/>
  <c r="AC11" i="3"/>
  <c r="X6" i="21"/>
  <c r="X26" i="21" s="1"/>
  <c r="W6" i="21"/>
  <c r="Z6" i="21" a="1"/>
  <c r="AC6" i="3" l="1"/>
  <c r="Z6" i="21"/>
  <c r="C46" i="9"/>
  <c r="AB25" i="21" s="1"/>
  <c r="C45" i="9"/>
  <c r="AB24" i="21" s="1"/>
  <c r="C44" i="9"/>
  <c r="AB23" i="21" s="1"/>
  <c r="C43" i="9"/>
  <c r="AB22" i="21" s="1"/>
  <c r="C42" i="9"/>
  <c r="AB21" i="21" s="1"/>
  <c r="C41" i="9"/>
  <c r="AB20" i="21" s="1"/>
  <c r="C40" i="9"/>
  <c r="AB19" i="21" s="1"/>
  <c r="C39" i="9"/>
  <c r="AB18" i="21" s="1"/>
  <c r="C38" i="9"/>
  <c r="AB17" i="21" s="1"/>
  <c r="C37" i="9"/>
  <c r="AB16" i="21" s="1"/>
  <c r="C36" i="9"/>
  <c r="AB15" i="21" s="1"/>
  <c r="C35" i="9"/>
  <c r="AB14" i="21" s="1"/>
  <c r="C34" i="9"/>
  <c r="AB13" i="21" s="1"/>
  <c r="C33" i="9"/>
  <c r="AB12" i="21" s="1"/>
  <c r="C32" i="9"/>
  <c r="AB11" i="21" s="1"/>
  <c r="C31" i="9"/>
  <c r="AB10" i="21" s="1"/>
  <c r="C30" i="9"/>
  <c r="AB9" i="21" s="1"/>
  <c r="C29" i="9"/>
  <c r="AB8" i="21" s="1"/>
  <c r="C28" i="9"/>
  <c r="AB7" i="21" s="1"/>
  <c r="C27" i="9"/>
  <c r="AC2" i="21"/>
  <c r="AA6" i="21" a="1"/>
  <c r="AC7" i="21" l="1"/>
  <c r="AC23" i="21"/>
  <c r="AC22" i="21"/>
  <c r="AC8" i="21"/>
  <c r="AC24" i="21"/>
  <c r="AC9" i="21"/>
  <c r="AC25" i="21"/>
  <c r="AC10" i="21"/>
  <c r="AC11" i="21"/>
  <c r="AC12" i="21"/>
  <c r="AC13" i="21"/>
  <c r="AC14" i="21"/>
  <c r="AC21" i="21"/>
  <c r="AC15" i="21"/>
  <c r="AC20" i="21"/>
  <c r="AC16" i="21"/>
  <c r="AC17" i="21"/>
  <c r="AC18" i="21"/>
  <c r="AC19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C57" i="19" s="1"/>
  <c r="O89" i="18"/>
  <c r="L89" i="18"/>
  <c r="C48" i="18" s="1"/>
  <c r="I89" i="18"/>
  <c r="C57" i="18" s="1"/>
  <c r="O89" i="17"/>
  <c r="L89" i="17"/>
  <c r="I89" i="17"/>
  <c r="O89" i="15"/>
  <c r="L89" i="15"/>
  <c r="C48" i="15" s="1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39" i="8"/>
  <c r="B11" i="8"/>
  <c r="C23" i="21" a="1"/>
  <c r="C24" i="21" a="1"/>
  <c r="C48" i="14" l="1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7" i="19" s="1"/>
  <c r="C5" i="15"/>
  <c r="C6" i="15" s="1"/>
  <c r="C5" i="14"/>
  <c r="C5" i="10"/>
  <c r="C5" i="20"/>
  <c r="C7" i="20" s="1"/>
  <c r="C5" i="18"/>
  <c r="C6" i="18" s="1"/>
  <c r="C5" i="17"/>
  <c r="C7" i="17" s="1"/>
  <c r="C5" i="16"/>
  <c r="C7" i="16" s="1"/>
  <c r="C5" i="13"/>
  <c r="C5" i="12"/>
  <c r="C5" i="11"/>
  <c r="C5" i="9"/>
  <c r="C7" i="9" s="1"/>
  <c r="C7" i="15"/>
  <c r="C7" i="10" l="1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<sst xmlns="http://schemas.openxmlformats.org/spreadsheetml/2006/main" count="1273" uniqueCount="235">
  <si>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</si>
  <si>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</si>
  <si>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</si>
  <si>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</si>
  <si>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</si>
  <si>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</si>
  <si>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</si>
  <si>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</si>
  <si>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</si>
  <si>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</si>
  <si>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</si>
  <si>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</si>
  <si>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</si>
  <si>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</si>
  <si>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</si>
  <si>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</si>
  <si>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</si>
  <si>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</si>
  <si>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</si>
  <si>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</si>
  <si>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</si>
  <si>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</si>
  <si>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</si>
  <si>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</si>
  <si>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</si>
  <si>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</si>
  <si>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</si>
  <si>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</si>
  <si>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</si>
  <si>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</si>
  <si>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</si>
  <si>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</si>
  <si>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</si>
  <si>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</si>
  <si>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</si>
  <si>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</si>
  <si>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</si>
  <si>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</si>
  <si>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</si>
  <si>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</si>
  <si>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</si>
  <si>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</si>
  <si>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</si>
  <si>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</si>
  <si>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</si>
  <si>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</si>
  <si>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</si>
  <si>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</si>
  <si>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</si>
  <si>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</si>
  <si>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</si>
  <si>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</si>
  <si>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</si>
  <si>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</si>
  <si>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</si>
  <si>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</si>
  <si>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</si>
  <si>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</si>
  <si>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</si>
  <si>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</si>
  <si>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</si>
  <si>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</si>
  <si>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</si>
  <si>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</si>
  <si>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</si>
  <si>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</si>
  <si>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</si>
  <si>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</si>
  <si>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</si>
  <si>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</si>
  <si>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</si>
  <si>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</si>
  <si>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</si>
  <si>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</si>
  <si>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</si>
  <si>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</si>
  <si>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</si>
  <si>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</si>
  <si>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</si>
  <si>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</si>
  <si>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</si>
  <si>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</si>
  <si>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</si>
  <si>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</si>
  <si>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</si>
  <si>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</si>
  <si>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</si>
  <si>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</si>
  <si>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</si>
  <si>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</si>
  <si>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</si>
  <si>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</si>
  <si>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</si>
  <si>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</si>
  <si>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</si>
  <si>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</si>
  <si>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</si>
  <si>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</si>
  <si>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</si>
  <si>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</si>
  <si>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</si>
  <si>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</si>
  <si>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</si>
  <si>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</si>
  <si>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</si>
  <si>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</si>
  <si>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</si>
  <si>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</si>
  <si>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</si>
  <si>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</si>
  <si>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</si>
  <si>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</si>
  <si>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</si>
  <si>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</si>
  <si>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</si>
  <si>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</si>
  <si>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</si>
  <si>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</si>
  <si>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</si>
  <si>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</si>
  <si>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</si>
  <si>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</si>
  <si>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</si>
  <si>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</si>
  <si>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</si>
  <si>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</si>
  <si>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</si>
  <si>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</si>
  <si>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</si>
  <si>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</si>
  <si>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</si>
  <si>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</si>
  <si>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</si>
  <si>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</si>
  <si>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</si>
  <si>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</si>
  <si>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</si>
  <si>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</si>
  <si>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</si>
  <si>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네이버파이낸셜</t>
  </si>
  <si>
    <t>아워홈콘티넨탈세종점</t>
  </si>
  <si>
    <t>DB손해보험</t>
  </si>
  <si>
    <t>인터넷상거래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</si>
  <si>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</si>
  <si>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</si>
  <si>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</si>
  <si>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</si>
  <si>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</si>
  <si>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</si>
  <si>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</si>
  <si>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</si>
  <si>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</si>
  <si>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</si>
  <si>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</si>
  <si>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</si>
  <si>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</si>
  <si>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</si>
  <si>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</si>
  <si>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</si>
  <si>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</si>
  <si>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</si>
  <si>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</si>
  <si>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</si>
  <si>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</si>
  <si>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</si>
  <si>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C:\git\csw\account_book\유진_2024-01-19~2025-01-19.xlsx</t>
    <phoneticPr fontId="1" type="noConversion"/>
  </si>
  <si>
    <t>하유진_IRP</t>
  </si>
  <si>
    <t>JPMorgan S&amp;P 500 커버드콜 월배당 ETF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</si>
  <si>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</si>
  <si>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</si>
  <si>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</si>
  <si>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</si>
  <si>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</si>
  <si>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1월</t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</si>
  <si>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</si>
  <si>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</si>
  <si>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</si>
  <si>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</si>
  <si>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</si>
  <si>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</si>
  <si>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</si>
  <si>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</si>
  <si>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</si>
  <si>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</si>
  <si>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</si>
  <si>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</si>
  <si>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</si>
  <si>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</si>
  <si>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</si>
  <si>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</si>
  <si>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WON 자유적금</t>
  </si>
  <si>
    <t>WON플러스예금</t>
  </si>
  <si>
    <t>C:\git\csw\account_book\세원_2024-01-20~2025-01-20.xlsx</t>
    <phoneticPr fontId="1" type="noConversion"/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</si>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</sst>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7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9" fillId="25" borderId="1" xfId="1" applyFont="1" applyFill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-11436782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3004000</c:v>
                </c:pt>
                <c:pt idx="1">
                  <c:v>4424683</c:v>
                </c:pt>
                <c:pt idx="2">
                  <c:v>286922</c:v>
                </c:pt>
                <c:pt idx="3">
                  <c:v>16500</c:v>
                </c:pt>
                <c:pt idx="4">
                  <c:v>512000</c:v>
                </c:pt>
                <c:pt idx="5">
                  <c:v>381740</c:v>
                </c:pt>
                <c:pt idx="6">
                  <c:v>53150</c:v>
                </c:pt>
                <c:pt idx="7">
                  <c:v>22300</c:v>
                </c:pt>
                <c:pt idx="8">
                  <c:v>22500</c:v>
                </c:pt>
                <c:pt idx="9">
                  <c:v>125000</c:v>
                </c:pt>
                <c:pt idx="10">
                  <c:v>0</c:v>
                </c:pt>
                <c:pt idx="11">
                  <c:v>0</c:v>
                </c:pt>
                <c:pt idx="12">
                  <c:v>18000</c:v>
                </c:pt>
                <c:pt idx="13">
                  <c:v>0</c:v>
                </c:pt>
                <c:pt idx="14">
                  <c:v>0</c:v>
                </c:pt>
                <c:pt idx="15">
                  <c:v>-66160</c:v>
                </c:pt>
                <c:pt idx="16">
                  <c:v>131442</c:v>
                </c:pt>
                <c:pt idx="17">
                  <c:v>229000</c:v>
                </c:pt>
                <c:pt idx="18">
                  <c:v>29473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250333.33333333334</c:v>
                </c:pt>
                <c:pt idx="1">
                  <c:v>368723.58333333331</c:v>
                </c:pt>
                <c:pt idx="2">
                  <c:v>23910.166666666668</c:v>
                </c:pt>
                <c:pt idx="3">
                  <c:v>1375</c:v>
                </c:pt>
                <c:pt idx="4">
                  <c:v>42666.666666666664</c:v>
                </c:pt>
                <c:pt idx="5">
                  <c:v>31811.666666666668</c:v>
                </c:pt>
                <c:pt idx="6">
                  <c:v>4429.166666666667</c:v>
                </c:pt>
                <c:pt idx="7">
                  <c:v>1858.3333333333333</c:v>
                </c:pt>
                <c:pt idx="8">
                  <c:v>1875</c:v>
                </c:pt>
                <c:pt idx="9">
                  <c:v>10416.666666666666</c:v>
                </c:pt>
                <c:pt idx="10">
                  <c:v>0</c:v>
                </c:pt>
                <c:pt idx="11">
                  <c:v>0</c:v>
                </c:pt>
                <c:pt idx="12">
                  <c:v>1500</c:v>
                </c:pt>
                <c:pt idx="13">
                  <c:v>0</c:v>
                </c:pt>
                <c:pt idx="14">
                  <c:v>0</c:v>
                </c:pt>
                <c:pt idx="15">
                  <c:v>-5513.333333333333</c:v>
                </c:pt>
                <c:pt idx="16">
                  <c:v>10953.5</c:v>
                </c:pt>
                <c:pt idx="17">
                  <c:v>19083.333333333332</c:v>
                </c:pt>
                <c:pt idx="18">
                  <c:v>2456.0833333333335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520366</c:v>
                </c:pt>
                <c:pt idx="1">
                  <c:v>245513.16666666666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6244392</c:v>
                </c:pt>
                <c:pt idx="1">
                  <c:v>2946158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-11436782</c:v>
                </c:pt>
                <c:pt idx="1">
                  <c:v>21436782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-114.37%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5"/>
            <a:ext cx="20019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tabSelected="1" workbookViewId="0">
      <selection activeCell="P2" sqref="P2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29" t="s">
        <v>219</v>
      </c>
      <c r="C2" s="129"/>
      <c r="D2" s="129"/>
    </row>
    <row r="3" spans="2:29" ht="17.25" thickTop="1" x14ac:dyDescent="0.3"/>
    <row r="4" spans="2:29" x14ac:dyDescent="0.3">
      <c r="B4" s="2" t="s">
        <v>220</v>
      </c>
      <c r="C4" s="186">
        <f>C12</f>
        <v>287777616.76359999</v>
      </c>
      <c r="D4" s="186"/>
    </row>
    <row r="5" spans="2:29" x14ac:dyDescent="0.3">
      <c r="B5" s="2" t="s">
        <v>221</v>
      </c>
      <c r="C5" s="186">
        <f>Z11</f>
        <v>0</v>
      </c>
      <c r="D5" s="186"/>
    </row>
    <row r="6" spans="2:29" x14ac:dyDescent="0.3">
      <c r="AB6" s="59">
        <f>AVERAGE('1월:12월'!C27)</f>
        <v>250333.33333333334</v>
      </c>
      <c r="AC6" s="95">
        <f>AA6-AB6</f>
        <v>-250333.33333333334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181">
        <f>AVERAGE('1월:12월'!C28)</f>
        <v>368723.58333333331</v>
      </c>
      <c r="AC7" s="95">
        <f t="shared" ref="AC7:AC25" si="0">AA7-AB7</f>
        <v>-368723.58333333331</v>
      </c>
    </row>
    <row r="8" spans="2:29" x14ac:dyDescent="0.3">
      <c r="B8" s="175" t="s">
        <v>6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7"/>
      <c r="R8" s="143" t="s">
        <v>7</v>
      </c>
      <c r="S8" s="143"/>
      <c r="T8" s="143"/>
      <c r="U8" s="143"/>
      <c r="V8" s="143"/>
      <c r="W8" s="143"/>
      <c r="Y8" s="178" t="s">
        <v>8</v>
      </c>
      <c r="Z8" s="179"/>
      <c r="AA8" s="179"/>
      <c r="AB8" s="180"/>
      <c r="AC8" s="95">
        <f t="shared" si="0"/>
        <v>0</v>
      </c>
    </row>
    <row r="9" spans="2:29" x14ac:dyDescent="0.3">
      <c r="B9" s="116" t="s">
        <v>9</v>
      </c>
      <c r="C9" s="117"/>
      <c r="D9" s="106" t="s">
        <v>10</v>
      </c>
      <c r="E9" s="106"/>
      <c r="F9" s="107" t="s">
        <v>11</v>
      </c>
      <c r="G9" s="107"/>
      <c r="H9" s="108" t="s">
        <v>12</v>
      </c>
      <c r="I9" s="108"/>
      <c r="J9" s="109" t="s">
        <v>13</v>
      </c>
      <c r="K9" s="109"/>
      <c r="L9" s="110" t="s">
        <v>14</v>
      </c>
      <c r="M9" s="110"/>
      <c r="N9" s="111" t="s">
        <v>15</v>
      </c>
      <c r="O9" s="111"/>
      <c r="P9" s="112" t="s">
        <v>16</v>
      </c>
      <c r="Q9" s="112"/>
      <c r="R9" s="118" t="s">
        <v>17</v>
      </c>
      <c r="S9" s="118"/>
      <c r="T9" s="119" t="s">
        <v>18</v>
      </c>
      <c r="U9" s="119"/>
      <c r="V9" s="120" t="s">
        <v>19</v>
      </c>
      <c r="W9" s="120"/>
      <c r="Y9" s="121" t="s">
        <v>20</v>
      </c>
      <c r="Z9" s="122"/>
      <c r="AA9" s="123" t="s">
        <v>21</v>
      </c>
      <c r="AB9" s="124"/>
      <c r="AC9" s="95"/>
    </row>
    <row r="10" spans="2:29" x14ac:dyDescent="0.3">
      <c r="B10" s="7" t="s">
        <v>22</v>
      </c>
      <c r="C10" s="18">
        <f>설정!D67</f>
        <v>97982648</v>
      </c>
      <c r="D10" s="7" t="s">
        <v>22</v>
      </c>
      <c r="E10" s="18">
        <f>설정!F67</f>
        <v>0</v>
      </c>
      <c r="F10" s="7" t="s">
        <v>22</v>
      </c>
      <c r="G10" s="18">
        <f>설정!H67</f>
        <v>0</v>
      </c>
      <c r="H10" s="7" t="s">
        <v>22</v>
      </c>
      <c r="I10" s="18">
        <f>설정!J67</f>
        <v>120800000</v>
      </c>
      <c r="J10" s="7" t="s">
        <v>22</v>
      </c>
      <c r="K10" s="18">
        <f>설정!L67</f>
        <v>983658</v>
      </c>
      <c r="L10" s="7" t="s">
        <v>22</v>
      </c>
      <c r="M10" s="18">
        <f>설정!N67</f>
        <v>0</v>
      </c>
      <c r="N10" s="7" t="s">
        <v>22</v>
      </c>
      <c r="O10" s="18">
        <f>설정!P67</f>
        <v>0</v>
      </c>
      <c r="P10" s="7" t="s">
        <v>22</v>
      </c>
      <c r="Q10" s="18">
        <f>설정!R67</f>
        <v>41257601</v>
      </c>
      <c r="R10" s="7" t="s">
        <v>22</v>
      </c>
      <c r="S10" s="18">
        <f>설정!T67</f>
        <v>10173709.763599999</v>
      </c>
      <c r="T10" s="7" t="s">
        <v>22</v>
      </c>
      <c r="U10" s="18">
        <f>설정!V67</f>
        <v>0</v>
      </c>
      <c r="V10" s="7" t="s">
        <v>22</v>
      </c>
      <c r="W10" s="19">
        <f>설정!X67</f>
        <v>16580000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47">
        <f>SUM(C10,E10,G10,I10,K10,M10,O10,Q10)</f>
        <v>261023907</v>
      </c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9"/>
      <c r="R11" s="7" t="s">
        <v>24</v>
      </c>
      <c r="S11" s="147">
        <f>SUM(S10,U10,W10)</f>
        <v>26753709.763599999</v>
      </c>
      <c r="T11" s="148"/>
      <c r="U11" s="148"/>
      <c r="V11" s="148"/>
      <c r="W11" s="149"/>
      <c r="Y11" s="12" t="s">
        <v>23</v>
      </c>
      <c r="Z11" s="38">
        <f>SUM(Z10,AB10)</f>
        <v>0</v>
      </c>
      <c r="AA11" s="182"/>
      <c r="AB11" s="183"/>
      <c r="AC11" s="95">
        <f t="shared" si="0"/>
        <v>0</v>
      </c>
    </row>
    <row r="12" spans="2:29" ht="17.25" thickBot="1" x14ac:dyDescent="0.35">
      <c r="B12" s="12" t="s">
        <v>23</v>
      </c>
      <c r="C12" s="132">
        <f>SUM(C11,S11)</f>
        <v>287777616.76359999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4"/>
      <c r="AB12" s="59">
        <f>AVERAGE('1월:12월'!C33)</f>
        <v>4429.166666666667</v>
      </c>
      <c r="AC12" s="95">
        <f t="shared" si="0"/>
        <v>-4429.166666666667</v>
      </c>
    </row>
    <row r="13" spans="2:29" x14ac:dyDescent="0.3">
      <c r="AB13" s="59">
        <f>AVERAGE('1월:12월'!C34)</f>
        <v>1858.3333333333333</v>
      </c>
      <c r="AC13" s="95">
        <f t="shared" si="0"/>
        <v>-1858.3333333333333</v>
      </c>
    </row>
    <row r="14" spans="2:29" x14ac:dyDescent="0.3">
      <c r="B14" s="100" t="s">
        <v>222</v>
      </c>
      <c r="C14" s="100"/>
      <c r="AB14" s="59">
        <f>AVERAGE('1월:12월'!C35)</f>
        <v>1875</v>
      </c>
      <c r="AC14" s="95">
        <f t="shared" si="0"/>
        <v>-1875</v>
      </c>
    </row>
    <row r="15" spans="2:29" x14ac:dyDescent="0.3">
      <c r="B15" s="184" t="s">
        <v>223</v>
      </c>
      <c r="C15" s="184"/>
      <c r="D15" s="184" t="s">
        <v>224</v>
      </c>
      <c r="E15" s="184"/>
      <c r="F15" s="184" t="s">
        <v>225</v>
      </c>
      <c r="G15" s="184"/>
      <c r="H15" s="184" t="s">
        <v>226</v>
      </c>
      <c r="I15" s="184"/>
      <c r="J15" s="184" t="s">
        <v>227</v>
      </c>
      <c r="K15" s="184"/>
      <c r="L15" s="184" t="s">
        <v>228</v>
      </c>
      <c r="M15" s="184"/>
      <c r="N15" s="184" t="s">
        <v>229</v>
      </c>
      <c r="O15" s="184"/>
      <c r="P15" s="184" t="s">
        <v>230</v>
      </c>
      <c r="Q15" s="184"/>
      <c r="R15" s="184" t="s">
        <v>231</v>
      </c>
      <c r="S15" s="184"/>
      <c r="T15" s="184" t="s">
        <v>232</v>
      </c>
      <c r="U15" s="184"/>
      <c r="V15" s="184" t="s">
        <v>233</v>
      </c>
      <c r="W15" s="184"/>
      <c r="X15" s="184" t="s">
        <v>234</v>
      </c>
      <c r="Y15" s="184"/>
      <c r="AB15" s="59">
        <f>AVERAGE('1월:12월'!C36)</f>
        <v>10416.666666666666</v>
      </c>
      <c r="AC15" s="95">
        <f t="shared" si="0"/>
        <v>-10416.666666666666</v>
      </c>
    </row>
    <row r="16" spans="2:29" x14ac:dyDescent="0.3">
      <c r="B16" s="185">
        <f>'1월'!C5</f>
        <v>-11436782</v>
      </c>
      <c r="C16" s="185"/>
      <c r="D16" s="185">
        <f>'2월'!C5</f>
        <v>0</v>
      </c>
      <c r="E16" s="185"/>
      <c r="F16" s="185">
        <f>'3월'!C5</f>
        <v>0</v>
      </c>
      <c r="G16" s="185"/>
      <c r="H16" s="185">
        <f>'4월'!C5</f>
        <v>0</v>
      </c>
      <c r="I16" s="185"/>
      <c r="J16" s="185">
        <f>'5월'!C5</f>
        <v>0</v>
      </c>
      <c r="K16" s="185"/>
      <c r="L16" s="185">
        <f>'6월'!C5</f>
        <v>0</v>
      </c>
      <c r="M16" s="185"/>
      <c r="N16" s="185">
        <f>'7월'!C5</f>
        <v>0</v>
      </c>
      <c r="O16" s="185"/>
      <c r="P16" s="185">
        <f>'8월'!C5</f>
        <v>0</v>
      </c>
      <c r="Q16" s="185"/>
      <c r="R16" s="185">
        <f>'9월'!C5</f>
        <v>0</v>
      </c>
      <c r="S16" s="185"/>
      <c r="T16" s="185">
        <f>'10월'!C5</f>
        <v>0</v>
      </c>
      <c r="U16" s="185"/>
      <c r="V16" s="185">
        <f>'11월'!C5</f>
        <v>0</v>
      </c>
      <c r="W16" s="185"/>
      <c r="X16" s="185">
        <f>'12월'!C5</f>
        <v>0</v>
      </c>
      <c r="Y16" s="185"/>
      <c r="AB16" s="59">
        <f>AVERAGE('1월:12월'!C37)</f>
        <v>0</v>
      </c>
      <c r="AC16" s="95">
        <f t="shared" si="0"/>
        <v>0</v>
      </c>
    </row>
    <row r="17" spans="28:29" x14ac:dyDescent="0.3">
      <c r="AB17" s="59">
        <f>AVERAGE('1월:12월'!C38)</f>
        <v>0</v>
      </c>
      <c r="AC17" s="95">
        <f t="shared" si="0"/>
        <v>0</v>
      </c>
    </row>
    <row r="18" spans="28:29" x14ac:dyDescent="0.3">
      <c r="AB18" s="59">
        <f>AVERAGE('1월:12월'!C39)</f>
        <v>1500</v>
      </c>
      <c r="AC18" s="95">
        <f t="shared" si="0"/>
        <v>-1500</v>
      </c>
    </row>
    <row r="19" spans="28:29" x14ac:dyDescent="0.3">
      <c r="AB19" s="59">
        <f>AVERAGE('1월:12월'!C40)</f>
        <v>0</v>
      </c>
      <c r="AC19" s="95">
        <f t="shared" si="0"/>
        <v>0</v>
      </c>
    </row>
    <row r="20" spans="28:29" x14ac:dyDescent="0.3">
      <c r="AB20" s="59">
        <f>AVERAGE('1월:12월'!C41)</f>
        <v>0</v>
      </c>
      <c r="AC20" s="95">
        <f t="shared" si="0"/>
        <v>0</v>
      </c>
    </row>
    <row r="21" spans="28:29" x14ac:dyDescent="0.3">
      <c r="AB21" s="59">
        <f>AVERAGE('1월:12월'!C42)</f>
        <v>-5513.333333333333</v>
      </c>
      <c r="AC21" s="95">
        <f t="shared" si="0"/>
        <v>5513.333333333333</v>
      </c>
    </row>
    <row r="22" spans="28:29" x14ac:dyDescent="0.3">
      <c r="AB22" s="59">
        <f>AVERAGE('1월:12월'!C43)</f>
        <v>10953.5</v>
      </c>
      <c r="AC22" s="95">
        <f t="shared" si="0"/>
        <v>-10953.5</v>
      </c>
    </row>
    <row r="23" spans="28:29" x14ac:dyDescent="0.3">
      <c r="AB23" s="59">
        <f>AVERAGE('1월:12월'!C44)</f>
        <v>19083.333333333332</v>
      </c>
      <c r="AC23" s="95">
        <f t="shared" si="0"/>
        <v>-19083.333333333332</v>
      </c>
    </row>
    <row r="24" spans="28:29" x14ac:dyDescent="0.3">
      <c r="AB24" s="59">
        <f>AVERAGE('1월:12월'!C45)</f>
        <v>2456.0833333333335</v>
      </c>
      <c r="AC24" s="95">
        <f t="shared" si="0"/>
        <v>-2456.0833333333335</v>
      </c>
    </row>
    <row r="25" spans="28:29" x14ac:dyDescent="0.3">
      <c r="AB25" s="59">
        <f>AVERAGE('1월:12월'!C46)</f>
        <v>0</v>
      </c>
      <c r="AC25" s="95">
        <f t="shared" si="0"/>
        <v>0</v>
      </c>
    </row>
    <row r="26" spans="28:29" x14ac:dyDescent="0.3">
      <c r="AC26" s="91"/>
    </row>
  </sheetData>
  <mergeCells count="47"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C4:D4"/>
    <mergeCell ref="C5:D5"/>
    <mergeCell ref="B2:D2"/>
    <mergeCell ref="B8:Q8"/>
    <mergeCell ref="R8:W8"/>
    <mergeCell ref="B9:C9"/>
    <mergeCell ref="D9:E9"/>
    <mergeCell ref="F9:G9"/>
    <mergeCell ref="H9:I9"/>
    <mergeCell ref="J9:K9"/>
    <mergeCell ref="L9:M9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zoomScaleNormal="100" workbookViewId="0">
      <selection activeCell="B2" sqref="B2:D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29" t="s">
        <v>170</v>
      </c>
      <c r="C2" s="129"/>
      <c r="D2" s="129"/>
      <c r="AB2" s="52" t="s">
        <v>172</v>
      </c>
      <c r="AC2" s="5">
        <f>설정!H4</f>
        <v>2025</v>
      </c>
      <c r="AD2" s="52" t="s">
        <v>171</v>
      </c>
      <c r="AE2" s="5" t="s">
        <v>173</v>
      </c>
    </row>
    <row r="3" spans="2:31" ht="17.25" thickTop="1" x14ac:dyDescent="0.3"/>
    <row r="4" spans="2:31" x14ac:dyDescent="0.3">
      <c r="B4" s="100" t="s">
        <v>182</v>
      </c>
      <c r="C4" s="100"/>
      <c r="K4" s="96" t="s">
        <v>186</v>
      </c>
      <c r="L4" s="96"/>
      <c r="Q4" s="96" t="s">
        <v>218</v>
      </c>
      <c r="R4" s="96"/>
      <c r="S4" s="96"/>
      <c r="W4" s="101" t="s">
        <v>183</v>
      </c>
      <c r="X4" s="102"/>
      <c r="Z4" s="98" t="s">
        <v>174</v>
      </c>
      <c r="AA4" s="99"/>
    </row>
    <row r="5" spans="2:31" x14ac:dyDescent="0.3">
      <c r="B5" s="2"/>
      <c r="C5" s="51"/>
      <c r="K5" s="83"/>
      <c r="L5" s="25" t="s">
        <v>33</v>
      </c>
      <c r="M5" s="25" t="s">
        <v>187</v>
      </c>
      <c r="N5" s="25" t="s">
        <v>188</v>
      </c>
      <c r="O5" s="71" t="s">
        <v>189</v>
      </c>
      <c r="Q5" s="83"/>
      <c r="R5" s="25" t="s">
        <v>33</v>
      </c>
      <c r="S5" s="25" t="s">
        <v>187</v>
      </c>
      <c r="T5" s="25" t="s">
        <v>188</v>
      </c>
      <c r="U5" s="71" t="s">
        <v>217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0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3004000</v>
      </c>
      <c r="AB6" s="59">
        <f>AVERAGE('1월:12월'!C27)</f>
        <v>250333.33333333334</v>
      </c>
      <c r="AC6" s="95">
        <f ca="1">AA6-AB6</f>
        <v>2753666.6666666665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생활</v>
      </c>
      <c r="M7" s="64">
        <f ca="1">LARGE(_xlfn.ANCHORARRAY(AA6),1)</f>
        <v>4424683</v>
      </c>
      <c r="N7" s="79">
        <f ca="1">INDEX(AB6:AB25, MATCH(LARGE(_xlfn.ANCHORARRAY(AA6), 1),_xlfn.ANCHORARRAY( AA6), 0))</f>
        <v>368723.58333333331</v>
      </c>
      <c r="O7" s="86">
        <f ca="1">M7/$AA$26</f>
        <v>0.48143832523624808</v>
      </c>
      <c r="Q7" s="72">
        <v>1</v>
      </c>
      <c r="R7" s="65" t="str">
        <f ca="1">INDEX(_xlfn.ANCHORARRAY(Z6), MATCH(LARGE($AC$6:$AC$25, 1), $AC$6:$AC$25, 0))</f>
        <v>생활</v>
      </c>
      <c r="S7" s="64">
        <f ca="1">INDEX(_xlfn.ANCHORARRAY(AA6), MATCH(LARGE($AC$6:$AC$25, 1), $AC$6:$AC$25, 0))</f>
        <v>4424683</v>
      </c>
      <c r="T7" s="79">
        <f ca="1">INDEX(AB6:AB25, MATCH(LARGE($AC$6:$AC$25, 1), $AC$6:$AC$25, 0))</f>
        <v>368723.58333333331</v>
      </c>
      <c r="U7" s="92">
        <f ca="1">S7-T7</f>
        <v>4055959.4166666665</v>
      </c>
      <c r="W7" s="49" t="str">
        <f ca="1"/>
        <v>급여</v>
      </c>
      <c r="X7" s="30">
        <f ca="1"/>
        <v>0</v>
      </c>
      <c r="Z7" s="55" t="str">
        <f ca="1"/>
        <v>생활</v>
      </c>
      <c r="AA7" s="57">
        <f ca="1"/>
        <v>4424683</v>
      </c>
      <c r="AB7" s="59">
        <f>AVERAGE('1월:12월'!C28)</f>
        <v>368723.58333333331</v>
      </c>
      <c r="AC7" s="95">
        <f t="shared" ref="AC7:AC25" ca="1" si="0">AA7-AB7</f>
        <v>4055959.4166666665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286922</v>
      </c>
      <c r="AB8" s="59">
        <f>AVERAGE('1월:12월'!C29)</f>
        <v>23910.166666666668</v>
      </c>
      <c r="AC8" s="95">
        <f t="shared" ca="1" si="0"/>
        <v>263011.83333333331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금융</v>
      </c>
      <c r="M9" s="66">
        <f ca="1">LARGE(_xlfn.ANCHORARRAY(AA6),2)</f>
        <v>3004000</v>
      </c>
      <c r="N9" s="66">
        <f ca="1">INDEX(AB6:AB25, MATCH(LARGE(_xlfn.ANCHORARRAY(AA6), 2),_xlfn.ANCHORARRAY( AA6), 0))</f>
        <v>250333.33333333334</v>
      </c>
      <c r="O9" s="87">
        <f ca="1">M9/$AA$26</f>
        <v>0.32685747860574177</v>
      </c>
      <c r="Q9" s="74">
        <v>2</v>
      </c>
      <c r="R9" s="68" t="str">
        <f ca="1">INDEX(_xlfn.ANCHORARRAY(Z6), MATCH(LARGE($AC$6:$AC$25, 2), $AC$6:$AC$25, 0))</f>
        <v>금융</v>
      </c>
      <c r="S9" s="66">
        <f ca="1">INDEX(_xlfn.ANCHORARRAY(AA6), MATCH(LARGE($AC$6:$AC$25, 2), $AC$6:$AC$25, 0))</f>
        <v>3004000</v>
      </c>
      <c r="T9" s="66">
        <f ca="1">INDEX(AB6:AB25, MATCH(LARGE($AC$6:$AC$25, 2), $AC$6:$AC$25, 0))</f>
        <v>250333.33333333334</v>
      </c>
      <c r="U9" s="93">
        <f ca="1">S9-T9</f>
        <v>2753666.6666666665</v>
      </c>
      <c r="W9" s="49" t="str">
        <f ca="1"/>
        <v>기타수입</v>
      </c>
      <c r="X9" s="30">
        <f ca="1"/>
        <v>0</v>
      </c>
      <c r="Z9" s="55" t="str">
        <f ca="1"/>
        <v>주거/통신</v>
      </c>
      <c r="AA9" s="57">
        <f ca="1"/>
        <v>16500</v>
      </c>
      <c r="AB9" s="59">
        <f>AVERAGE('1월:12월'!C30)</f>
        <v>1375</v>
      </c>
      <c r="AC9" s="95">
        <f t="shared" ca="1" si="0"/>
        <v>15125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512000</v>
      </c>
      <c r="AB10" s="59">
        <f>AVERAGE('1월:12월'!C31)</f>
        <v>42666.666666666664</v>
      </c>
      <c r="AC10" s="95">
        <f t="shared" ca="1" si="0"/>
        <v>469333.33333333331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온라인쇼핑</v>
      </c>
      <c r="M11" s="67">
        <f ca="1">LARGE(_xlfn.ANCHORARRAY(AA6),3)</f>
        <v>512000</v>
      </c>
      <c r="N11" s="67">
        <f ca="1">INDEX(AB6:AB25, MATCH(LARGE(_xlfn.ANCHORARRAY(AA6), 3),_xlfn.ANCHORARRAY( AA6), 0))</f>
        <v>42666.666666666664</v>
      </c>
      <c r="O11" s="88">
        <f ca="1">M11/$AA$26</f>
        <v>5.5709397152509915E-2</v>
      </c>
      <c r="Q11" s="76">
        <v>3</v>
      </c>
      <c r="R11" s="69" t="str">
        <f ca="1">INDEX(_xlfn.ANCHORARRAY(Z6), MATCH(LARGE($AC$6:$AC$25, 3), $AC$6:$AC$25, 0))</f>
        <v>온라인쇼핑</v>
      </c>
      <c r="S11" s="67">
        <f ca="1">INDEX(_xlfn.ANCHORARRAY(AA6), MATCH(LARGE($AC$6:$AC$25, 3), $AC$6:$AC$25, 0))</f>
        <v>512000</v>
      </c>
      <c r="T11" s="67">
        <f ca="1">INDEX(AB6:AB25, MATCH(LARGE($AC$6:$AC$25, 3), $AC$6:$AC$25, 0))</f>
        <v>42666.666666666664</v>
      </c>
      <c r="U11" s="94">
        <f ca="1">S11-T11</f>
        <v>469333.33333333331</v>
      </c>
      <c r="W11" s="49"/>
      <c r="X11" s="15"/>
      <c r="Z11" s="55" t="str">
        <f ca="1"/>
        <v>자동차</v>
      </c>
      <c r="AA11" s="57">
        <f ca="1"/>
        <v>381740</v>
      </c>
      <c r="AB11" s="59">
        <f>AVERAGE('1월:12월'!C32)</f>
        <v>31811.666666666668</v>
      </c>
      <c r="AC11" s="95">
        <f t="shared" ca="1" si="0"/>
        <v>349928.33333333331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53150</v>
      </c>
      <c r="AB12" s="59">
        <f>AVERAGE('1월:12월'!C33)</f>
        <v>4429.166666666667</v>
      </c>
      <c r="AC12" s="95">
        <f t="shared" ca="1" si="0"/>
        <v>48720.833333333336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자동차</v>
      </c>
      <c r="M13" s="28">
        <f ca="1">LARGE(_xlfn.ANCHORARRAY(AA6),4)</f>
        <v>381740</v>
      </c>
      <c r="N13" s="28">
        <f ca="1">INDEX(AB6:AB25, MATCH(LARGE(_xlfn.ANCHORARRAY(AA6), 4),_xlfn.ANCHORARRAY( AA6), 0))</f>
        <v>31811.666666666668</v>
      </c>
      <c r="O13" s="89">
        <f ca="1">M13/$AA$26</f>
        <v>4.1536143103513938E-2</v>
      </c>
      <c r="Q13" s="75">
        <v>4</v>
      </c>
      <c r="R13" s="77" t="str">
        <f ca="1">INDEX(_xlfn.ANCHORARRAY(Z6), MATCH(LARGE($AC$6:$AC$25, 4), $AC$6:$AC$25, 0))</f>
        <v>자동차</v>
      </c>
      <c r="S13" s="28">
        <f ca="1">INDEX(_xlfn.ANCHORARRAY(AA6), MATCH(LARGE($AC$6:$AC$25, 4), $AC$6:$AC$25, 0))</f>
        <v>381740</v>
      </c>
      <c r="T13" s="28">
        <f ca="1">INDEX(AB6:AB25, MATCH(LARGE($AC$6:$AC$25, 4), $AC$6:$AC$25, 0))</f>
        <v>31811.666666666668</v>
      </c>
      <c r="U13" s="26">
        <f ca="1">S13-T13</f>
        <v>349928.33333333331</v>
      </c>
      <c r="W13" s="49"/>
      <c r="X13" s="15"/>
      <c r="Z13" s="55" t="str">
        <f ca="1"/>
        <v>카페/간식</v>
      </c>
      <c r="AA13" s="57">
        <f ca="1"/>
        <v>22300</v>
      </c>
      <c r="AB13" s="59">
        <f>AVERAGE('1월:12월'!C34)</f>
        <v>1858.3333333333333</v>
      </c>
      <c r="AC13" s="95">
        <f t="shared" ca="1" si="0"/>
        <v>20441.666666666668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22500</v>
      </c>
      <c r="AB14" s="59">
        <f>AVERAGE('1월:12월'!C35)</f>
        <v>1875</v>
      </c>
      <c r="AC14" s="95">
        <f t="shared" ca="1" si="0"/>
        <v>20625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식비</v>
      </c>
      <c r="M15" s="28">
        <f ca="1">LARGE(_xlfn.ANCHORARRAY(AA6),5)</f>
        <v>286922</v>
      </c>
      <c r="N15" s="28">
        <f ca="1">INDEX(AB6:AB25, MATCH(LARGE(_xlfn.ANCHORARRAY(AA6), 5),_xlfn.ANCHORARRAY( AA6), 0))</f>
        <v>23910.166666666668</v>
      </c>
      <c r="O15" s="89">
        <f ca="1">M15/$AA$26</f>
        <v>3.1219241503500878E-2</v>
      </c>
      <c r="Q15" s="75">
        <v>5</v>
      </c>
      <c r="R15" s="77" t="str">
        <f ca="1">INDEX(_xlfn.ANCHORARRAY(Z6), MATCH(LARGE($AC$6:$AC$25, 5), $AC$6:$AC$25, 0))</f>
        <v>식비</v>
      </c>
      <c r="S15" s="28">
        <f ca="1">INDEX(_xlfn.ANCHORARRAY(AA6), MATCH(LARGE($AC$6:$AC$25, 5), $AC$6:$AC$25, 0))</f>
        <v>286922</v>
      </c>
      <c r="T15" s="28">
        <f ca="1">INDEX(AB6:AB25, MATCH(LARGE($AC$6:$AC$25, 5), $AC$6:$AC$25, 0))</f>
        <v>23910.166666666668</v>
      </c>
      <c r="U15" s="26">
        <f ca="1">S15-T15</f>
        <v>263011.83333333331</v>
      </c>
      <c r="W15" s="49"/>
      <c r="X15" s="15"/>
      <c r="Z15" s="55" t="str">
        <f ca="1"/>
        <v>문화/여가</v>
      </c>
      <c r="AA15" s="57">
        <f ca="1"/>
        <v>125000</v>
      </c>
      <c r="AB15" s="59">
        <f>AVERAGE('1월:12월'!C36)</f>
        <v>10416.666666666666</v>
      </c>
      <c r="AC15" s="95">
        <f t="shared" ca="1" si="0"/>
        <v>114583.33333333333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0</v>
      </c>
      <c r="AC16" s="95">
        <f t="shared" ca="1" si="0"/>
        <v>0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미분류</v>
      </c>
      <c r="M17" s="27">
        <f ca="1">LARGE(_xlfn.ANCHORARRAY(AA6),6)</f>
        <v>229000</v>
      </c>
      <c r="N17" s="27">
        <f ca="1">INDEX(AB6:AB25, MATCH(LARGE(_xlfn.ANCHORARRAY(AA6), 6),_xlfn.ANCHORARRAY( AA6), 0))</f>
        <v>19083.333333333332</v>
      </c>
      <c r="O17" s="90">
        <f ca="1">M17/$AA$26</f>
        <v>2.4916898335790569E-2</v>
      </c>
      <c r="Q17" s="70">
        <v>6</v>
      </c>
      <c r="R17" s="78" t="str">
        <f ca="1">INDEX(_xlfn.ANCHORARRAY(Z6), MATCH(LARGE($AC$6:$AC$25, 6), $AC$6:$AC$25, 0))</f>
        <v>미분류</v>
      </c>
      <c r="S17" s="27">
        <f ca="1">INDEX(_xlfn.ANCHORARRAY(AA6), MATCH(LARGE($AC$6:$AC$25, 6), $AC$6:$AC$25, 0))</f>
        <v>229000</v>
      </c>
      <c r="T17" s="27">
        <f ca="1">INDEX(AB6:AB25, MATCH(LARGE($AC$6:$AC$25, 6), $AC$6:$AC$25, 0))</f>
        <v>19083.333333333332</v>
      </c>
      <c r="U17" s="9">
        <f ca="1">S17-T17</f>
        <v>209916.66666666666</v>
      </c>
      <c r="W17" s="49"/>
      <c r="X17" s="15"/>
      <c r="Z17" s="55" t="str">
        <f ca="1"/>
        <v>패션/쇼핑</v>
      </c>
      <c r="AA17" s="57">
        <f ca="1"/>
        <v>0</v>
      </c>
      <c r="AB17" s="59">
        <f>AVERAGE('1월:12월'!C38)</f>
        <v>0</v>
      </c>
      <c r="AC17" s="95">
        <f t="shared" ca="1" si="0"/>
        <v>0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18000</v>
      </c>
      <c r="AB18" s="59">
        <f>AVERAGE('1월:12월'!C39)</f>
        <v>1500</v>
      </c>
      <c r="AC18" s="95">
        <f t="shared" ca="1" si="0"/>
        <v>16500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95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0</v>
      </c>
      <c r="AB20" s="59">
        <f>AVERAGE('1월:12월'!C41)</f>
        <v>0</v>
      </c>
      <c r="AC20" s="95">
        <f t="shared" ca="1" si="0"/>
        <v>0</v>
      </c>
    </row>
    <row r="21" spans="2:29" x14ac:dyDescent="0.3">
      <c r="W21" s="49"/>
      <c r="X21" s="15"/>
      <c r="Z21" s="55" t="str">
        <f ca="1"/>
        <v>교육</v>
      </c>
      <c r="AA21" s="57">
        <f ca="1"/>
        <v>-66160</v>
      </c>
      <c r="AB21" s="59">
        <f>AVERAGE('1월:12월'!C42)</f>
        <v>-5513.333333333333</v>
      </c>
      <c r="AC21" s="95">
        <f t="shared" ca="1" si="0"/>
        <v>-60646.666666666664</v>
      </c>
    </row>
    <row r="22" spans="2:29" x14ac:dyDescent="0.3">
      <c r="B22" s="48" t="s">
        <v>184</v>
      </c>
      <c r="C22" s="45" t="s">
        <v>185</v>
      </c>
      <c r="W22" s="49"/>
      <c r="X22" s="15"/>
      <c r="Z22" s="55" t="str">
        <f ca="1"/>
        <v>식사</v>
      </c>
      <c r="AA22" s="57">
        <f ca="1"/>
        <v>131442</v>
      </c>
      <c r="AB22" s="59">
        <f>AVERAGE('1월:12월'!C43)</f>
        <v>10953.5</v>
      </c>
      <c r="AC22" s="95">
        <f t="shared" ca="1" si="0"/>
        <v>120488.5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6244392</v>
      </c>
      <c r="D23" s="59">
        <f>-AVERAGE('1월:12월'!L89)</f>
        <v>520366</v>
      </c>
      <c r="W23" s="49"/>
      <c r="X23" s="15"/>
      <c r="Z23" s="55" t="str">
        <f ca="1"/>
        <v>미분류</v>
      </c>
      <c r="AA23" s="57">
        <f ca="1"/>
        <v>229000</v>
      </c>
      <c r="AB23" s="59">
        <f>AVERAGE('1월:12월'!C44)</f>
        <v>19083.333333333332</v>
      </c>
      <c r="AC23" s="95">
        <f t="shared" ca="1" si="0"/>
        <v>209916.66666666666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2946158</v>
      </c>
      <c r="D24" s="59">
        <f>-AVERAGE('1월:12월'!V89)</f>
        <v>245513.16666666666</v>
      </c>
      <c r="W24" s="49"/>
      <c r="X24" s="15"/>
      <c r="Z24" s="55" t="str">
        <f ca="1"/>
        <v>의복/미용</v>
      </c>
      <c r="AA24" s="57">
        <f ca="1"/>
        <v>29473</v>
      </c>
      <c r="AB24" s="59">
        <f>AVERAGE('1월:12월'!C45)</f>
        <v>2456.0833333333335</v>
      </c>
      <c r="AC24" s="95">
        <f t="shared" ca="1" si="0"/>
        <v>27016.916666666668</v>
      </c>
    </row>
    <row r="25" spans="2:29" x14ac:dyDescent="0.3">
      <c r="W25" s="49"/>
      <c r="X25" s="54"/>
      <c r="Z25" s="56" t="str">
        <f ca="1"/>
        <v>경조사</v>
      </c>
      <c r="AA25" s="58">
        <f ca="1"/>
        <v>0</v>
      </c>
      <c r="AB25" s="59">
        <f>AVERAGE('1월:12월'!C46)</f>
        <v>0</v>
      </c>
      <c r="AC25" s="95">
        <f t="shared" ca="1" si="0"/>
        <v>0</v>
      </c>
    </row>
    <row r="26" spans="2:29" x14ac:dyDescent="0.3">
      <c r="B26" s="100" t="s">
        <v>175</v>
      </c>
      <c r="C26" s="100"/>
      <c r="W26" s="45" t="s">
        <v>24</v>
      </c>
      <c r="X26" s="61">
        <f ca="1">SUM(_xlfn.ANCHORARRAY(X6))</f>
        <v>0</v>
      </c>
      <c r="Z26" s="45" t="s">
        <v>24</v>
      </c>
      <c r="AA26" s="60">
        <f ca="1">SUM(_xlfn.ANCHORARRAY(AA6))</f>
        <v>9190550</v>
      </c>
      <c r="AC26" s="91"/>
    </row>
  </sheetData>
  <mergeCells count="7">
    <mergeCell ref="Q4:S4"/>
    <mergeCell ref="Z4:AA4"/>
    <mergeCell ref="B26:C26"/>
    <mergeCell ref="W4:X4"/>
    <mergeCell ref="B4:C4"/>
    <mergeCell ref="K4:L4"/>
    <mergeCell ref="B2:D2"/>
  </mergeCells>
  <phoneticPr fontId="1" type="noConversion"/>
  <dataValidations disablePrompts="1"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="85" zoomScaleNormal="85" workbookViewId="0">
      <selection activeCell="J4" sqref="J4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29" t="s">
        <v>0</v>
      </c>
      <c r="C2" s="129"/>
      <c r="D2" s="129"/>
    </row>
    <row r="3" spans="2:29" ht="17.25" thickTop="1" x14ac:dyDescent="0.3">
      <c r="K3" s="1" t="s">
        <v>1</v>
      </c>
    </row>
    <row r="4" spans="2:29" x14ac:dyDescent="0.3">
      <c r="B4" s="125" t="s">
        <v>2</v>
      </c>
      <c r="C4" s="126"/>
      <c r="D4" s="126" t="s">
        <v>3</v>
      </c>
      <c r="E4" s="130"/>
      <c r="G4" s="34" t="s">
        <v>111</v>
      </c>
      <c r="H4" s="126">
        <v>2025</v>
      </c>
      <c r="I4" s="130"/>
      <c r="K4" s="144" t="s">
        <v>192</v>
      </c>
      <c r="L4" s="145"/>
      <c r="M4" s="145"/>
      <c r="N4" s="145"/>
      <c r="O4" s="145"/>
      <c r="P4" s="146"/>
    </row>
    <row r="5" spans="2:29" x14ac:dyDescent="0.3">
      <c r="B5" s="24"/>
      <c r="E5" s="13"/>
      <c r="G5" s="24"/>
      <c r="I5" s="13"/>
    </row>
    <row r="6" spans="2:29" x14ac:dyDescent="0.3">
      <c r="B6" s="127" t="s">
        <v>4</v>
      </c>
      <c r="C6" s="128"/>
      <c r="D6" s="128" t="s">
        <v>5</v>
      </c>
      <c r="E6" s="131"/>
      <c r="G6" s="32"/>
      <c r="H6" s="35"/>
      <c r="I6" s="33"/>
      <c r="K6" s="144" t="s">
        <v>165</v>
      </c>
      <c r="L6" s="145"/>
      <c r="M6" s="145"/>
      <c r="N6" s="145"/>
      <c r="O6" s="145"/>
      <c r="P6" s="146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35" t="s">
        <v>33</v>
      </c>
      <c r="C9" s="113" t="s">
        <v>6</v>
      </c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5"/>
      <c r="S9" s="143" t="s">
        <v>7</v>
      </c>
      <c r="T9" s="143"/>
      <c r="U9" s="143"/>
      <c r="V9" s="143"/>
      <c r="W9" s="143"/>
      <c r="X9" s="143"/>
      <c r="Z9" s="103" t="s">
        <v>8</v>
      </c>
      <c r="AA9" s="104"/>
      <c r="AB9" s="104"/>
      <c r="AC9" s="105"/>
    </row>
    <row r="10" spans="2:29" x14ac:dyDescent="0.3">
      <c r="B10" s="136"/>
      <c r="C10" s="116" t="s">
        <v>9</v>
      </c>
      <c r="D10" s="117"/>
      <c r="E10" s="106" t="s">
        <v>10</v>
      </c>
      <c r="F10" s="106"/>
      <c r="G10" s="107" t="s">
        <v>11</v>
      </c>
      <c r="H10" s="107"/>
      <c r="I10" s="108" t="s">
        <v>12</v>
      </c>
      <c r="J10" s="108"/>
      <c r="K10" s="109" t="s">
        <v>13</v>
      </c>
      <c r="L10" s="109"/>
      <c r="M10" s="110" t="s">
        <v>14</v>
      </c>
      <c r="N10" s="110"/>
      <c r="O10" s="111" t="s">
        <v>15</v>
      </c>
      <c r="P10" s="111"/>
      <c r="Q10" s="112" t="s">
        <v>16</v>
      </c>
      <c r="R10" s="112"/>
      <c r="S10" s="118" t="s">
        <v>17</v>
      </c>
      <c r="T10" s="118"/>
      <c r="U10" s="119" t="s">
        <v>18</v>
      </c>
      <c r="V10" s="119"/>
      <c r="W10" s="120" t="s">
        <v>19</v>
      </c>
      <c r="X10" s="120"/>
      <c r="Z10" s="121" t="s">
        <v>20</v>
      </c>
      <c r="AA10" s="122"/>
      <c r="AB10" s="123" t="s">
        <v>21</v>
      </c>
      <c r="AC10" s="124"/>
    </row>
    <row r="11" spans="2:29" x14ac:dyDescent="0.3">
      <c r="B11" s="137" t="str">
        <f>D4</f>
        <v>천세원</v>
      </c>
      <c r="C11" s="4" t="s">
        <v>64</v>
      </c>
      <c r="D11" s="26">
        <v>3441004</v>
      </c>
      <c r="E11" s="4"/>
      <c r="F11" s="26"/>
      <c r="G11" s="4" t="s">
        <v>80</v>
      </c>
      <c r="H11" s="26">
        <v>0</v>
      </c>
      <c r="I11" s="4" t="s">
        <v>190</v>
      </c>
      <c r="J11" s="26">
        <v>500000</v>
      </c>
      <c r="K11" s="4" t="s">
        <v>81</v>
      </c>
      <c r="L11" s="26">
        <v>80445</v>
      </c>
      <c r="M11" s="4"/>
      <c r="N11" s="26"/>
      <c r="O11" s="4" t="s">
        <v>88</v>
      </c>
      <c r="P11" s="26">
        <v>0</v>
      </c>
      <c r="Q11" s="4" t="s">
        <v>90</v>
      </c>
      <c r="R11" s="26">
        <v>38057601</v>
      </c>
      <c r="S11" s="4" t="s">
        <v>86</v>
      </c>
      <c r="T11" s="26">
        <v>2605106.8914000001</v>
      </c>
      <c r="U11" s="4"/>
      <c r="V11" s="26"/>
      <c r="W11" s="4" t="s">
        <v>100</v>
      </c>
      <c r="X11" s="29">
        <v>9280000</v>
      </c>
      <c r="Z11" s="4"/>
      <c r="AA11" s="26"/>
      <c r="AB11" s="4" t="s">
        <v>99</v>
      </c>
      <c r="AC11" s="26">
        <v>0</v>
      </c>
    </row>
    <row r="12" spans="2:29" x14ac:dyDescent="0.3">
      <c r="B12" s="138"/>
      <c r="C12" s="6" t="s">
        <v>65</v>
      </c>
      <c r="D12" s="26">
        <v>1</v>
      </c>
      <c r="E12" s="6"/>
      <c r="F12" s="26"/>
      <c r="G12" s="6"/>
      <c r="H12" s="26"/>
      <c r="I12" s="6" t="s">
        <v>191</v>
      </c>
      <c r="J12" s="26">
        <v>30000000</v>
      </c>
      <c r="K12" s="6" t="s">
        <v>82</v>
      </c>
      <c r="L12" s="26">
        <v>0</v>
      </c>
      <c r="M12" s="6"/>
      <c r="N12" s="26"/>
      <c r="O12" s="6" t="s">
        <v>89</v>
      </c>
      <c r="P12" s="26">
        <v>0</v>
      </c>
      <c r="Q12" s="6" t="s">
        <v>79</v>
      </c>
      <c r="R12" s="26">
        <v>3200000</v>
      </c>
      <c r="S12" s="6" t="s">
        <v>85</v>
      </c>
      <c r="T12" s="26">
        <v>1236000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38"/>
      <c r="C13" s="6" t="s">
        <v>66</v>
      </c>
      <c r="D13" s="26">
        <v>70</v>
      </c>
      <c r="E13" s="6"/>
      <c r="F13" s="26"/>
      <c r="G13" s="6"/>
      <c r="H13" s="26"/>
      <c r="I13" s="6" t="s">
        <v>78</v>
      </c>
      <c r="J13" s="26">
        <v>8100000</v>
      </c>
      <c r="K13" s="6" t="s">
        <v>83</v>
      </c>
      <c r="L13" s="26">
        <v>0</v>
      </c>
      <c r="M13" s="6"/>
      <c r="N13" s="26"/>
      <c r="O13" s="6"/>
      <c r="P13" s="26"/>
      <c r="Q13" s="6"/>
      <c r="R13" s="26"/>
      <c r="S13" s="6" t="s">
        <v>58</v>
      </c>
      <c r="T13" s="26">
        <v>0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38"/>
      <c r="C14" s="6" t="s">
        <v>67</v>
      </c>
      <c r="D14" s="26">
        <v>93</v>
      </c>
      <c r="E14" s="6"/>
      <c r="F14" s="26"/>
      <c r="G14" s="6"/>
      <c r="H14" s="26"/>
      <c r="I14" s="6" t="s">
        <v>79</v>
      </c>
      <c r="J14" s="26">
        <v>3200000</v>
      </c>
      <c r="K14" s="6" t="s">
        <v>84</v>
      </c>
      <c r="L14" s="26">
        <v>0</v>
      </c>
      <c r="M14" s="6"/>
      <c r="N14" s="26"/>
      <c r="O14" s="6"/>
      <c r="P14" s="26"/>
      <c r="Q14" s="6"/>
      <c r="R14" s="26"/>
      <c r="S14" s="6" t="s">
        <v>87</v>
      </c>
      <c r="T14" s="26">
        <v>324251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38"/>
      <c r="C15" s="6" t="s">
        <v>68</v>
      </c>
      <c r="D15" s="26">
        <v>15734135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61</v>
      </c>
      <c r="T15" s="26">
        <v>121257.04580000001</v>
      </c>
      <c r="U15" s="6"/>
      <c r="V15" s="26"/>
      <c r="W15" s="6"/>
      <c r="X15" s="30"/>
      <c r="Z15" s="6"/>
      <c r="AA15" s="26"/>
      <c r="AB15" s="6" t="s">
        <v>99</v>
      </c>
      <c r="AC15" s="26">
        <v>0</v>
      </c>
    </row>
    <row r="16" spans="2:29" x14ac:dyDescent="0.3">
      <c r="B16" s="138"/>
      <c r="C16" s="6" t="s">
        <v>68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61</v>
      </c>
      <c r="T16" s="26">
        <v>0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38"/>
      <c r="C17" s="6" t="s">
        <v>69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10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38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38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63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38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/>
      <c r="T20" s="26"/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38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38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38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38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38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38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38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38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38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38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38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38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138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138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138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138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138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139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140" t="str">
        <f>D6</f>
        <v>하유진</v>
      </c>
      <c r="C39" s="6" t="s">
        <v>64</v>
      </c>
      <c r="D39" s="28">
        <v>33429949</v>
      </c>
      <c r="E39" s="6"/>
      <c r="F39" s="28"/>
      <c r="G39" s="6" t="s">
        <v>80</v>
      </c>
      <c r="H39" s="28">
        <v>0</v>
      </c>
      <c r="I39" s="6" t="s">
        <v>91</v>
      </c>
      <c r="J39" s="28">
        <v>4000000</v>
      </c>
      <c r="K39" s="6" t="s">
        <v>93</v>
      </c>
      <c r="L39" s="28">
        <v>903213</v>
      </c>
      <c r="M39" s="6"/>
      <c r="N39" s="28"/>
      <c r="O39" s="6" t="s">
        <v>95</v>
      </c>
      <c r="P39" s="28">
        <v>0</v>
      </c>
      <c r="Q39" s="6" t="s">
        <v>166</v>
      </c>
      <c r="R39" s="28">
        <v>0</v>
      </c>
      <c r="S39" s="6" t="s">
        <v>39</v>
      </c>
      <c r="T39" s="28">
        <v>1787303.0252</v>
      </c>
      <c r="U39" s="6"/>
      <c r="V39" s="28"/>
      <c r="W39" s="6" t="s">
        <v>168</v>
      </c>
      <c r="X39" s="30">
        <v>7300000</v>
      </c>
    </row>
    <row r="40" spans="2:24" x14ac:dyDescent="0.3">
      <c r="B40" s="141"/>
      <c r="C40" s="6" t="s">
        <v>65</v>
      </c>
      <c r="D40" s="28">
        <v>1</v>
      </c>
      <c r="E40" s="6"/>
      <c r="F40" s="28"/>
      <c r="G40" s="6"/>
      <c r="H40" s="28"/>
      <c r="I40" s="6" t="s">
        <v>92</v>
      </c>
      <c r="J40" s="28">
        <v>30000000</v>
      </c>
      <c r="K40" s="6" t="s">
        <v>83</v>
      </c>
      <c r="L40" s="28">
        <v>0</v>
      </c>
      <c r="M40" s="6"/>
      <c r="N40" s="28"/>
      <c r="O40" s="6" t="s">
        <v>96</v>
      </c>
      <c r="P40" s="28">
        <v>0</v>
      </c>
      <c r="Q40" s="6"/>
      <c r="R40" s="28"/>
      <c r="S40" s="6" t="s">
        <v>40</v>
      </c>
      <c r="T40" s="28">
        <v>380000</v>
      </c>
      <c r="U40" s="6"/>
      <c r="V40" s="28"/>
      <c r="W40" s="6"/>
      <c r="X40" s="30"/>
    </row>
    <row r="41" spans="2:24" x14ac:dyDescent="0.3">
      <c r="B41" s="141"/>
      <c r="C41" s="6" t="s">
        <v>70</v>
      </c>
      <c r="D41" s="28">
        <v>41306396</v>
      </c>
      <c r="E41" s="6"/>
      <c r="F41" s="28"/>
      <c r="G41" s="6"/>
      <c r="H41" s="28"/>
      <c r="I41" s="6" t="s">
        <v>92</v>
      </c>
      <c r="J41" s="28">
        <v>45000000</v>
      </c>
      <c r="K41" s="6" t="s">
        <v>94</v>
      </c>
      <c r="L41" s="28">
        <v>0</v>
      </c>
      <c r="M41" s="6"/>
      <c r="N41" s="28"/>
      <c r="O41" s="6" t="s">
        <v>97</v>
      </c>
      <c r="P41" s="28">
        <v>0</v>
      </c>
      <c r="Q41" s="6"/>
      <c r="R41" s="28"/>
      <c r="S41" s="6" t="s">
        <v>167</v>
      </c>
      <c r="T41" s="28">
        <v>170630.46</v>
      </c>
      <c r="U41" s="6"/>
      <c r="V41" s="28"/>
      <c r="W41" s="6"/>
      <c r="X41" s="30"/>
    </row>
    <row r="42" spans="2:24" x14ac:dyDescent="0.3">
      <c r="B42" s="141"/>
      <c r="C42" s="6" t="s">
        <v>71</v>
      </c>
      <c r="D42" s="28">
        <v>0</v>
      </c>
      <c r="E42" s="6"/>
      <c r="F42" s="28"/>
      <c r="G42" s="6"/>
      <c r="H42" s="28"/>
      <c r="I42" s="6" t="s">
        <v>166</v>
      </c>
      <c r="J42" s="28">
        <v>0</v>
      </c>
      <c r="K42" s="6"/>
      <c r="L42" s="28"/>
      <c r="M42" s="6"/>
      <c r="N42" s="28"/>
      <c r="O42" s="6" t="s">
        <v>98</v>
      </c>
      <c r="P42" s="28">
        <v>0</v>
      </c>
      <c r="Q42" s="6"/>
      <c r="R42" s="28"/>
      <c r="S42" s="6" t="s">
        <v>41</v>
      </c>
      <c r="T42" s="28">
        <v>82894.319199999998</v>
      </c>
      <c r="U42" s="6"/>
      <c r="V42" s="28"/>
      <c r="W42" s="6"/>
      <c r="X42" s="30"/>
    </row>
    <row r="43" spans="2:24" x14ac:dyDescent="0.3">
      <c r="B43" s="141"/>
      <c r="C43" s="6" t="s">
        <v>72</v>
      </c>
      <c r="D43" s="28">
        <v>809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42</v>
      </c>
      <c r="T43" s="28">
        <v>36400</v>
      </c>
      <c r="U43" s="6"/>
      <c r="V43" s="28"/>
      <c r="W43" s="6"/>
      <c r="X43" s="30"/>
    </row>
    <row r="44" spans="2:24" x14ac:dyDescent="0.3">
      <c r="B44" s="141"/>
      <c r="C44" s="6" t="s">
        <v>73</v>
      </c>
      <c r="D44" s="28">
        <v>4252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43</v>
      </c>
      <c r="T44" s="28">
        <v>8970</v>
      </c>
      <c r="U44" s="6"/>
      <c r="V44" s="28"/>
      <c r="W44" s="6"/>
      <c r="X44" s="30"/>
    </row>
    <row r="45" spans="2:24" x14ac:dyDescent="0.3">
      <c r="B45" s="141"/>
      <c r="C45" s="6" t="s">
        <v>74</v>
      </c>
      <c r="D45" s="28">
        <v>121035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44</v>
      </c>
      <c r="T45" s="28">
        <v>644400</v>
      </c>
      <c r="U45" s="6"/>
      <c r="V45" s="28"/>
      <c r="W45" s="6"/>
      <c r="X45" s="30"/>
    </row>
    <row r="46" spans="2:24" x14ac:dyDescent="0.3">
      <c r="B46" s="141"/>
      <c r="C46" s="6" t="s">
        <v>75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45</v>
      </c>
      <c r="T46" s="28">
        <v>508000</v>
      </c>
      <c r="U46" s="6"/>
      <c r="V46" s="28"/>
      <c r="W46" s="6"/>
      <c r="X46" s="30"/>
    </row>
    <row r="47" spans="2:24" x14ac:dyDescent="0.3">
      <c r="B47" s="141"/>
      <c r="C47" s="6" t="s">
        <v>67</v>
      </c>
      <c r="D47" s="28">
        <v>3924310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46</v>
      </c>
      <c r="T47" s="28">
        <v>386400</v>
      </c>
      <c r="U47" s="6"/>
      <c r="V47" s="28"/>
      <c r="W47" s="6"/>
      <c r="X47" s="30"/>
    </row>
    <row r="48" spans="2:24" x14ac:dyDescent="0.3">
      <c r="B48" s="141"/>
      <c r="C48" s="6" t="s">
        <v>67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47</v>
      </c>
      <c r="T48" s="28">
        <v>283500</v>
      </c>
      <c r="U48" s="6"/>
      <c r="V48" s="28"/>
      <c r="W48" s="6"/>
      <c r="X48" s="30"/>
    </row>
    <row r="49" spans="2:24" x14ac:dyDescent="0.3">
      <c r="B49" s="141"/>
      <c r="C49" s="6" t="s">
        <v>68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48</v>
      </c>
      <c r="T49" s="28">
        <v>211500</v>
      </c>
      <c r="U49" s="6"/>
      <c r="V49" s="28"/>
      <c r="W49" s="6"/>
      <c r="X49" s="30"/>
    </row>
    <row r="50" spans="2:24" x14ac:dyDescent="0.3">
      <c r="B50" s="141"/>
      <c r="C50" s="6" t="s">
        <v>76</v>
      </c>
      <c r="D50" s="28">
        <v>19519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49</v>
      </c>
      <c r="T50" s="28">
        <v>145600</v>
      </c>
      <c r="U50" s="6"/>
      <c r="V50" s="28"/>
      <c r="W50" s="6"/>
      <c r="X50" s="30"/>
    </row>
    <row r="51" spans="2:24" x14ac:dyDescent="0.3">
      <c r="B51" s="141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50</v>
      </c>
      <c r="T51" s="28">
        <v>119750</v>
      </c>
      <c r="U51" s="6"/>
      <c r="V51" s="28"/>
      <c r="W51" s="6"/>
      <c r="X51" s="30"/>
    </row>
    <row r="52" spans="2:24" x14ac:dyDescent="0.3">
      <c r="B52" s="141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51</v>
      </c>
      <c r="T52" s="28">
        <v>72920</v>
      </c>
      <c r="U52" s="6"/>
      <c r="V52" s="28"/>
      <c r="W52" s="6"/>
      <c r="X52" s="30"/>
    </row>
    <row r="53" spans="2:24" x14ac:dyDescent="0.3">
      <c r="B53" s="141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52</v>
      </c>
      <c r="T53" s="28">
        <v>38860</v>
      </c>
      <c r="U53" s="6"/>
      <c r="V53" s="28"/>
      <c r="W53" s="6"/>
      <c r="X53" s="30"/>
    </row>
    <row r="54" spans="2:24" x14ac:dyDescent="0.3">
      <c r="B54" s="141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53</v>
      </c>
      <c r="T54" s="28">
        <v>6790</v>
      </c>
      <c r="U54" s="6"/>
      <c r="V54" s="28"/>
      <c r="W54" s="6"/>
      <c r="X54" s="30"/>
    </row>
    <row r="55" spans="2:24" x14ac:dyDescent="0.3">
      <c r="B55" s="141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54</v>
      </c>
      <c r="T55" s="28">
        <v>31000</v>
      </c>
      <c r="U55" s="6"/>
      <c r="V55" s="28"/>
      <c r="W55" s="6"/>
      <c r="X55" s="30"/>
    </row>
    <row r="56" spans="2:24" x14ac:dyDescent="0.3">
      <c r="B56" s="141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55</v>
      </c>
      <c r="T56" s="28">
        <v>19520</v>
      </c>
      <c r="U56" s="6"/>
      <c r="V56" s="28"/>
      <c r="W56" s="6"/>
      <c r="X56" s="30"/>
    </row>
    <row r="57" spans="2:24" x14ac:dyDescent="0.3">
      <c r="B57" s="141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</v>
      </c>
      <c r="T57" s="28">
        <v>0</v>
      </c>
      <c r="U57" s="6"/>
      <c r="V57" s="28"/>
      <c r="W57" s="6"/>
      <c r="X57" s="30"/>
    </row>
    <row r="58" spans="2:24" x14ac:dyDescent="0.3">
      <c r="B58" s="141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57</v>
      </c>
      <c r="T58" s="28">
        <v>417376</v>
      </c>
      <c r="U58" s="6"/>
      <c r="V58" s="28"/>
      <c r="W58" s="6"/>
      <c r="X58" s="30"/>
    </row>
    <row r="59" spans="2:24" x14ac:dyDescent="0.3">
      <c r="B59" s="141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58</v>
      </c>
      <c r="T59" s="28">
        <v>225</v>
      </c>
      <c r="U59" s="6"/>
      <c r="V59" s="28"/>
      <c r="W59" s="6"/>
      <c r="X59" s="30"/>
    </row>
    <row r="60" spans="2:24" x14ac:dyDescent="0.3">
      <c r="B60" s="141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59</v>
      </c>
      <c r="T60" s="28">
        <v>377467</v>
      </c>
      <c r="U60" s="6"/>
      <c r="V60" s="28"/>
      <c r="W60" s="6"/>
      <c r="X60" s="30"/>
    </row>
    <row r="61" spans="2:24" x14ac:dyDescent="0.3">
      <c r="B61" s="141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60</v>
      </c>
      <c r="T61" s="28">
        <v>0</v>
      </c>
      <c r="U61" s="6"/>
      <c r="V61" s="28"/>
      <c r="W61" s="6"/>
      <c r="X61" s="30"/>
    </row>
    <row r="62" spans="2:24" x14ac:dyDescent="0.3">
      <c r="B62" s="141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61</v>
      </c>
      <c r="T62" s="28">
        <v>0</v>
      </c>
      <c r="U62" s="6"/>
      <c r="V62" s="28"/>
      <c r="W62" s="6"/>
      <c r="X62" s="30"/>
    </row>
    <row r="63" spans="2:24" x14ac:dyDescent="0.3">
      <c r="B63" s="141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61</v>
      </c>
      <c r="T63" s="28">
        <v>157539.022</v>
      </c>
      <c r="U63" s="6"/>
      <c r="V63" s="28"/>
      <c r="W63" s="6"/>
      <c r="X63" s="30"/>
    </row>
    <row r="64" spans="2:24" x14ac:dyDescent="0.3">
      <c r="B64" s="141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62</v>
      </c>
      <c r="T64" s="28">
        <v>40</v>
      </c>
      <c r="U64" s="6"/>
      <c r="V64" s="28"/>
      <c r="W64" s="6"/>
      <c r="X64" s="30"/>
    </row>
    <row r="65" spans="2:24" x14ac:dyDescent="0.3">
      <c r="B65" s="141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63</v>
      </c>
      <c r="T65" s="28">
        <v>0</v>
      </c>
      <c r="U65" s="6"/>
      <c r="V65" s="28"/>
      <c r="W65" s="6"/>
      <c r="X65" s="30"/>
    </row>
    <row r="66" spans="2:24" x14ac:dyDescent="0.3">
      <c r="B66" s="142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77</v>
      </c>
      <c r="D67" s="18">
        <f>SUM(D11:D66)</f>
        <v>97982648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120800000</v>
      </c>
      <c r="K67" s="7" t="s">
        <v>22</v>
      </c>
      <c r="L67" s="18">
        <f>SUM(L11:L66)</f>
        <v>983658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41257601</v>
      </c>
      <c r="S67" s="7" t="s">
        <v>22</v>
      </c>
      <c r="T67" s="18">
        <f>SUM(T11:T66)</f>
        <v>10173709.763599999</v>
      </c>
      <c r="U67" s="7" t="s">
        <v>22</v>
      </c>
      <c r="V67" s="18">
        <f>SUM(V11:V66)</f>
        <v>0</v>
      </c>
      <c r="W67" s="7" t="s">
        <v>22</v>
      </c>
      <c r="X67" s="19">
        <f>SUM(X11:X66)</f>
        <v>16580000</v>
      </c>
    </row>
    <row r="68" spans="2:24" x14ac:dyDescent="0.3">
      <c r="B68" s="15"/>
      <c r="C68" s="7" t="s">
        <v>24</v>
      </c>
      <c r="D68" s="147">
        <f>SUM(D67,F67,H67,J67,L67,N67,P67,R67)</f>
        <v>261023907</v>
      </c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9"/>
      <c r="S68" s="7" t="s">
        <v>24</v>
      </c>
      <c r="T68" s="147">
        <f>SUM(T67,V67,X67)</f>
        <v>26753709.763599999</v>
      </c>
      <c r="U68" s="148"/>
      <c r="V68" s="148"/>
      <c r="W68" s="148"/>
      <c r="X68" s="149"/>
    </row>
    <row r="69" spans="2:24" ht="17.25" thickBot="1" x14ac:dyDescent="0.35">
      <c r="B69" s="16"/>
      <c r="C69" s="12" t="s">
        <v>23</v>
      </c>
      <c r="D69" s="132">
        <f>SUM(D68,T68)</f>
        <v>287777616.76359999</v>
      </c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4"/>
    </row>
  </sheetData>
  <mergeCells count="30">
    <mergeCell ref="K4:P4"/>
    <mergeCell ref="K6:P6"/>
    <mergeCell ref="H4:I4"/>
    <mergeCell ref="D68:R68"/>
    <mergeCell ref="T68:X68"/>
    <mergeCell ref="D69:X69"/>
    <mergeCell ref="B9:B10"/>
    <mergeCell ref="B11:B38"/>
    <mergeCell ref="B39:B66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B2" sqref="B2:C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97" t="s">
        <v>25</v>
      </c>
      <c r="C2" s="97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66" t="str">
        <f>설정!D4</f>
        <v>천세원</v>
      </c>
      <c r="H4" s="167"/>
      <c r="I4" s="167"/>
      <c r="J4" s="167"/>
      <c r="K4" s="167"/>
      <c r="L4" s="167"/>
      <c r="M4" s="167"/>
      <c r="N4" s="167"/>
      <c r="O4" s="168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-11436782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21436782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-1.1436782000000001</v>
      </c>
      <c r="D7" s="165"/>
      <c r="G7" s="6"/>
      <c r="H7" s="39"/>
      <c r="I7" s="28"/>
      <c r="J7" s="6" t="s">
        <v>120</v>
      </c>
      <c r="K7" s="39" t="s">
        <v>121</v>
      </c>
      <c r="L7" s="28">
        <v>-28800</v>
      </c>
      <c r="M7" s="6" t="s">
        <v>127</v>
      </c>
      <c r="N7" s="39" t="s">
        <v>201</v>
      </c>
      <c r="O7" s="40">
        <v>100000</v>
      </c>
      <c r="P7" s="5"/>
      <c r="Q7" s="6" t="s">
        <v>112</v>
      </c>
      <c r="R7" s="39" t="s">
        <v>113</v>
      </c>
      <c r="S7" s="28">
        <v>0</v>
      </c>
      <c r="T7" s="6" t="s">
        <v>137</v>
      </c>
      <c r="U7" s="39" t="s">
        <v>131</v>
      </c>
      <c r="V7" s="28">
        <v>-40000</v>
      </c>
      <c r="W7" s="6" t="s">
        <v>145</v>
      </c>
      <c r="X7" s="39" t="s">
        <v>206</v>
      </c>
      <c r="Y7" s="40">
        <v>39856</v>
      </c>
    </row>
    <row r="8" spans="2:25" x14ac:dyDescent="0.3">
      <c r="G8" s="6"/>
      <c r="H8" s="39"/>
      <c r="I8" s="28"/>
      <c r="J8" s="6" t="s">
        <v>129</v>
      </c>
      <c r="K8" s="39" t="s">
        <v>156</v>
      </c>
      <c r="L8" s="28">
        <v>-49000</v>
      </c>
      <c r="M8" s="6"/>
      <c r="N8" s="39"/>
      <c r="O8" s="26"/>
      <c r="P8" s="5"/>
      <c r="Q8" s="6"/>
      <c r="R8" s="39"/>
      <c r="S8" s="28"/>
      <c r="T8" s="6" t="s">
        <v>137</v>
      </c>
      <c r="U8" s="39" t="s">
        <v>208</v>
      </c>
      <c r="V8" s="28">
        <v>-56600</v>
      </c>
      <c r="W8" s="6" t="s">
        <v>133</v>
      </c>
      <c r="X8" s="39" t="s">
        <v>207</v>
      </c>
      <c r="Y8" s="26">
        <v>-374782</v>
      </c>
    </row>
    <row r="9" spans="2:25" x14ac:dyDescent="0.3">
      <c r="G9" s="6"/>
      <c r="H9" s="39"/>
      <c r="I9" s="28"/>
      <c r="J9" s="6" t="s">
        <v>119</v>
      </c>
      <c r="K9" s="39" t="s">
        <v>153</v>
      </c>
      <c r="L9" s="28">
        <v>-60000</v>
      </c>
      <c r="M9" s="6"/>
      <c r="N9" s="39"/>
      <c r="O9" s="26"/>
      <c r="P9" s="5"/>
      <c r="Q9" s="6"/>
      <c r="R9" s="39"/>
      <c r="S9" s="28"/>
      <c r="T9" s="6" t="s">
        <v>116</v>
      </c>
      <c r="U9" s="39" t="s">
        <v>161</v>
      </c>
      <c r="V9" s="28">
        <v>-2153333</v>
      </c>
      <c r="W9" s="6" t="s">
        <v>133</v>
      </c>
      <c r="X9" s="39" t="s">
        <v>136</v>
      </c>
      <c r="Y9" s="26">
        <v>-81190</v>
      </c>
    </row>
    <row r="10" spans="2:25" x14ac:dyDescent="0.3">
      <c r="G10" s="6"/>
      <c r="H10" s="39"/>
      <c r="I10" s="28"/>
      <c r="J10" s="6" t="s">
        <v>116</v>
      </c>
      <c r="K10" s="39" t="s">
        <v>150</v>
      </c>
      <c r="L10" s="28">
        <v>-700</v>
      </c>
      <c r="M10" s="6"/>
      <c r="N10" s="39"/>
      <c r="O10" s="26"/>
      <c r="P10" s="5"/>
      <c r="Q10" s="6"/>
      <c r="R10" s="39"/>
      <c r="S10" s="28"/>
      <c r="T10" s="6" t="s">
        <v>116</v>
      </c>
      <c r="U10" s="39" t="s">
        <v>209</v>
      </c>
      <c r="V10" s="28">
        <v>-12180</v>
      </c>
      <c r="W10" s="6" t="s">
        <v>114</v>
      </c>
      <c r="X10" s="39" t="s">
        <v>210</v>
      </c>
      <c r="Y10" s="26">
        <v>5000</v>
      </c>
    </row>
    <row r="11" spans="2:25" x14ac:dyDescent="0.3">
      <c r="G11" s="6"/>
      <c r="H11" s="39"/>
      <c r="I11" s="28"/>
      <c r="J11" s="6" t="s">
        <v>117</v>
      </c>
      <c r="K11" s="39" t="s">
        <v>193</v>
      </c>
      <c r="L11" s="28">
        <v>-5000</v>
      </c>
      <c r="M11" s="6"/>
      <c r="N11" s="39"/>
      <c r="O11" s="26"/>
      <c r="P11" s="5"/>
      <c r="Q11" s="6"/>
      <c r="R11" s="39"/>
      <c r="S11" s="28"/>
      <c r="T11" s="6" t="s">
        <v>125</v>
      </c>
      <c r="U11" s="39" t="s">
        <v>211</v>
      </c>
      <c r="V11" s="28">
        <v>-14500</v>
      </c>
      <c r="W11" s="6" t="s">
        <v>127</v>
      </c>
      <c r="X11" s="39" t="s">
        <v>212</v>
      </c>
      <c r="Y11" s="26">
        <v>-38000</v>
      </c>
    </row>
    <row r="12" spans="2:25" x14ac:dyDescent="0.3">
      <c r="G12" s="6"/>
      <c r="H12" s="39"/>
      <c r="I12" s="28"/>
      <c r="J12" s="6" t="s">
        <v>122</v>
      </c>
      <c r="K12" s="39" t="s">
        <v>123</v>
      </c>
      <c r="L12" s="28">
        <v>-12000</v>
      </c>
      <c r="M12" s="6"/>
      <c r="N12" s="39"/>
      <c r="O12" s="26"/>
      <c r="P12" s="5"/>
      <c r="Q12" s="6"/>
      <c r="R12" s="39"/>
      <c r="S12" s="28"/>
      <c r="T12" s="6" t="s">
        <v>137</v>
      </c>
      <c r="U12" s="39" t="s">
        <v>131</v>
      </c>
      <c r="V12" s="28">
        <v>-2500</v>
      </c>
      <c r="W12" s="6" t="s">
        <v>144</v>
      </c>
      <c r="X12" s="39" t="s">
        <v>159</v>
      </c>
      <c r="Y12" s="26">
        <v>-90000</v>
      </c>
    </row>
    <row r="13" spans="2:25" x14ac:dyDescent="0.3">
      <c r="G13" s="44"/>
      <c r="H13" s="39"/>
      <c r="I13" s="28"/>
      <c r="J13" s="6" t="s">
        <v>148</v>
      </c>
      <c r="K13" s="39" t="s">
        <v>194</v>
      </c>
      <c r="L13" s="28">
        <v>-22500</v>
      </c>
      <c r="M13" s="6"/>
      <c r="N13" s="39"/>
      <c r="O13" s="26"/>
      <c r="P13" s="5"/>
      <c r="Q13" s="6"/>
      <c r="R13" s="39"/>
      <c r="S13" s="28"/>
      <c r="T13" s="6" t="s">
        <v>137</v>
      </c>
      <c r="U13" s="39" t="s">
        <v>131</v>
      </c>
      <c r="V13" s="28">
        <v>-16642</v>
      </c>
      <c r="W13" s="6" t="s">
        <v>127</v>
      </c>
      <c r="X13" s="39" t="s">
        <v>214</v>
      </c>
      <c r="Y13" s="26">
        <v>-8000</v>
      </c>
    </row>
    <row r="14" spans="2:25" x14ac:dyDescent="0.3">
      <c r="G14" s="6"/>
      <c r="H14" s="39"/>
      <c r="I14" s="28"/>
      <c r="J14" s="6" t="s">
        <v>120</v>
      </c>
      <c r="K14" s="39" t="s">
        <v>195</v>
      </c>
      <c r="L14" s="28">
        <v>-71000</v>
      </c>
      <c r="M14" s="6"/>
      <c r="N14" s="39"/>
      <c r="O14" s="26"/>
      <c r="P14" s="5"/>
      <c r="Q14" s="6"/>
      <c r="R14" s="39"/>
      <c r="S14" s="28"/>
      <c r="T14" s="6" t="s">
        <v>138</v>
      </c>
      <c r="U14" s="39" t="s">
        <v>139</v>
      </c>
      <c r="V14" s="28">
        <v>-23473</v>
      </c>
      <c r="W14" s="6" t="s">
        <v>144</v>
      </c>
      <c r="X14" s="39" t="s">
        <v>159</v>
      </c>
      <c r="Y14" s="26">
        <v>-40000</v>
      </c>
    </row>
    <row r="15" spans="2:25" x14ac:dyDescent="0.3">
      <c r="G15" s="6"/>
      <c r="H15" s="39"/>
      <c r="I15" s="28"/>
      <c r="J15" s="6" t="s">
        <v>125</v>
      </c>
      <c r="K15" s="39" t="s">
        <v>196</v>
      </c>
      <c r="L15" s="28">
        <v>-2200</v>
      </c>
      <c r="M15" s="6"/>
      <c r="N15" s="39"/>
      <c r="O15" s="26"/>
      <c r="P15" s="5"/>
      <c r="Q15" s="6"/>
      <c r="R15" s="39"/>
      <c r="S15" s="28"/>
      <c r="T15" s="6" t="s">
        <v>138</v>
      </c>
      <c r="U15" s="39" t="s">
        <v>139</v>
      </c>
      <c r="V15" s="28">
        <v>-6000</v>
      </c>
      <c r="W15" s="6" t="s">
        <v>145</v>
      </c>
      <c r="X15" s="39" t="s">
        <v>215</v>
      </c>
      <c r="Y15" s="26">
        <v>86600</v>
      </c>
    </row>
    <row r="16" spans="2:25" x14ac:dyDescent="0.3">
      <c r="G16" s="6"/>
      <c r="H16" s="39"/>
      <c r="I16" s="28"/>
      <c r="J16" s="6" t="s">
        <v>120</v>
      </c>
      <c r="K16" s="39" t="s">
        <v>197</v>
      </c>
      <c r="L16" s="28">
        <v>-7500</v>
      </c>
      <c r="M16" s="6"/>
      <c r="N16" s="39"/>
      <c r="O16" s="26"/>
      <c r="P16" s="5"/>
      <c r="Q16" s="6"/>
      <c r="R16" s="39"/>
      <c r="S16" s="28"/>
      <c r="T16" s="6" t="s">
        <v>137</v>
      </c>
      <c r="U16" s="39" t="s">
        <v>213</v>
      </c>
      <c r="V16" s="28">
        <v>-28000</v>
      </c>
      <c r="W16" s="6" t="s">
        <v>127</v>
      </c>
      <c r="X16" s="39" t="s">
        <v>164</v>
      </c>
      <c r="Y16" s="26">
        <v>396290</v>
      </c>
    </row>
    <row r="17" spans="2:25" x14ac:dyDescent="0.3">
      <c r="G17" s="6"/>
      <c r="H17" s="39"/>
      <c r="I17" s="28"/>
      <c r="J17" s="6" t="s">
        <v>120</v>
      </c>
      <c r="K17" s="39" t="s">
        <v>198</v>
      </c>
      <c r="L17" s="28">
        <v>-7000</v>
      </c>
      <c r="M17" s="6"/>
      <c r="N17" s="39"/>
      <c r="O17" s="26"/>
      <c r="P17" s="5"/>
      <c r="Q17" s="6"/>
      <c r="R17" s="39"/>
      <c r="S17" s="28"/>
      <c r="T17" s="6" t="s">
        <v>137</v>
      </c>
      <c r="U17" s="39" t="s">
        <v>213</v>
      </c>
      <c r="V17" s="28">
        <v>28000</v>
      </c>
      <c r="W17" s="6" t="s">
        <v>133</v>
      </c>
      <c r="X17" s="39" t="s">
        <v>143</v>
      </c>
      <c r="Y17" s="26">
        <v>-5242006</v>
      </c>
    </row>
    <row r="18" spans="2:25" x14ac:dyDescent="0.3">
      <c r="G18" s="6"/>
      <c r="H18" s="39"/>
      <c r="I18" s="28"/>
      <c r="J18" s="6" t="s">
        <v>115</v>
      </c>
      <c r="K18" s="39" t="s">
        <v>199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116</v>
      </c>
      <c r="U18" s="39" t="s">
        <v>155</v>
      </c>
      <c r="V18" s="28">
        <v>-34510</v>
      </c>
      <c r="W18" s="6" t="s">
        <v>127</v>
      </c>
      <c r="X18" s="39" t="s">
        <v>135</v>
      </c>
      <c r="Y18" s="26">
        <v>3000000</v>
      </c>
    </row>
    <row r="19" spans="2:25" x14ac:dyDescent="0.3">
      <c r="G19" s="6"/>
      <c r="H19" s="39"/>
      <c r="I19" s="28"/>
      <c r="J19" s="6" t="s">
        <v>125</v>
      </c>
      <c r="K19" s="39" t="s">
        <v>200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116</v>
      </c>
      <c r="U19" s="39" t="s">
        <v>155</v>
      </c>
      <c r="V19" s="28">
        <v>-11340</v>
      </c>
      <c r="W19" s="6"/>
      <c r="X19" s="39"/>
      <c r="Y19" s="26"/>
    </row>
    <row r="20" spans="2:25" x14ac:dyDescent="0.3">
      <c r="G20" s="6"/>
      <c r="H20" s="39"/>
      <c r="I20" s="28"/>
      <c r="J20" s="6" t="s">
        <v>120</v>
      </c>
      <c r="K20" s="39" t="s">
        <v>131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144</v>
      </c>
      <c r="U20" s="39" t="s">
        <v>216</v>
      </c>
      <c r="V20" s="28">
        <v>-229000</v>
      </c>
      <c r="W20" s="6"/>
      <c r="X20" s="39"/>
      <c r="Y20" s="26"/>
    </row>
    <row r="21" spans="2:25" x14ac:dyDescent="0.3">
      <c r="G21" s="6"/>
      <c r="H21" s="39"/>
      <c r="I21" s="28"/>
      <c r="J21" s="6" t="s">
        <v>120</v>
      </c>
      <c r="K21" s="39" t="s">
        <v>131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/>
      <c r="X21" s="39"/>
      <c r="Y21" s="26"/>
    </row>
    <row r="22" spans="2:25" x14ac:dyDescent="0.3">
      <c r="G22" s="6"/>
      <c r="H22" s="39"/>
      <c r="I22" s="28"/>
      <c r="J22" s="6" t="s">
        <v>129</v>
      </c>
      <c r="K22" s="39" t="s">
        <v>202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137</v>
      </c>
      <c r="U22" s="39" t="s">
        <v>162</v>
      </c>
      <c r="V22" s="28">
        <v>-9000</v>
      </c>
      <c r="W22" s="6"/>
      <c r="X22" s="39"/>
      <c r="Y22" s="26"/>
    </row>
    <row r="23" spans="2:25" x14ac:dyDescent="0.3">
      <c r="G23" s="6"/>
      <c r="H23" s="39"/>
      <c r="I23" s="28"/>
      <c r="J23" s="6" t="s">
        <v>120</v>
      </c>
      <c r="K23" s="39" t="s">
        <v>203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116</v>
      </c>
      <c r="U23" s="39" t="s">
        <v>155</v>
      </c>
      <c r="V23" s="28">
        <v>-14800</v>
      </c>
      <c r="W23" s="6"/>
      <c r="X23" s="39"/>
      <c r="Y23" s="26"/>
    </row>
    <row r="24" spans="2:25" x14ac:dyDescent="0.3">
      <c r="G24" s="6"/>
      <c r="H24" s="39"/>
      <c r="I24" s="28"/>
      <c r="J24" s="6" t="s">
        <v>119</v>
      </c>
      <c r="K24" s="39" t="s">
        <v>204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119</v>
      </c>
      <c r="U24" s="39" t="s">
        <v>152</v>
      </c>
      <c r="V24" s="28">
        <v>-50000</v>
      </c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 t="s">
        <v>116</v>
      </c>
      <c r="K25" s="39" t="s">
        <v>124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117</v>
      </c>
      <c r="U25" s="39" t="s">
        <v>147</v>
      </c>
      <c r="V25" s="28">
        <v>-120000</v>
      </c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 t="s">
        <v>120</v>
      </c>
      <c r="K26" s="39" t="s">
        <v>163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137</v>
      </c>
      <c r="U26" s="39" t="s">
        <v>140</v>
      </c>
      <c r="V26" s="28">
        <v>-1200</v>
      </c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3004000</v>
      </c>
      <c r="D27" s="151"/>
      <c r="E27" s="152"/>
      <c r="G27" s="6"/>
      <c r="H27" s="39"/>
      <c r="I27" s="28"/>
      <c r="J27" s="6" t="s">
        <v>116</v>
      </c>
      <c r="K27" s="39" t="s">
        <v>158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137</v>
      </c>
      <c r="U27" s="39" t="s">
        <v>140</v>
      </c>
      <c r="V27" s="28">
        <v>-2600</v>
      </c>
      <c r="W27" s="6"/>
      <c r="X27" s="39"/>
      <c r="Y27" s="26"/>
    </row>
    <row r="28" spans="2:25" x14ac:dyDescent="0.3">
      <c r="B28" s="49" t="s">
        <v>116</v>
      </c>
      <c r="C28" s="150">
        <f t="shared" si="0"/>
        <v>4424683</v>
      </c>
      <c r="D28" s="151"/>
      <c r="E28" s="152"/>
      <c r="G28" s="6"/>
      <c r="H28" s="39"/>
      <c r="I28" s="28"/>
      <c r="J28" s="6" t="s">
        <v>116</v>
      </c>
      <c r="K28" s="39" t="s">
        <v>158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137</v>
      </c>
      <c r="U28" s="39" t="s">
        <v>140</v>
      </c>
      <c r="V28" s="28">
        <v>-1700</v>
      </c>
      <c r="W28" s="6"/>
      <c r="X28" s="39"/>
      <c r="Y28" s="26"/>
    </row>
    <row r="29" spans="2:25" x14ac:dyDescent="0.3">
      <c r="B29" s="49" t="s">
        <v>120</v>
      </c>
      <c r="C29" s="150">
        <f t="shared" si="0"/>
        <v>286922</v>
      </c>
      <c r="D29" s="151"/>
      <c r="E29" s="152"/>
      <c r="G29" s="6"/>
      <c r="H29" s="39"/>
      <c r="I29" s="28"/>
      <c r="J29" s="6" t="s">
        <v>122</v>
      </c>
      <c r="K29" s="39" t="s">
        <v>160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137</v>
      </c>
      <c r="U29" s="39" t="s">
        <v>140</v>
      </c>
      <c r="V29" s="28">
        <v>-1200</v>
      </c>
      <c r="W29" s="6"/>
      <c r="X29" s="39"/>
      <c r="Y29" s="26"/>
    </row>
    <row r="30" spans="2:25" x14ac:dyDescent="0.3">
      <c r="B30" s="49" t="s">
        <v>118</v>
      </c>
      <c r="C30" s="150">
        <f t="shared" si="0"/>
        <v>16500</v>
      </c>
      <c r="D30" s="151"/>
      <c r="E30" s="152"/>
      <c r="G30" s="6"/>
      <c r="H30" s="39"/>
      <c r="I30" s="28"/>
      <c r="J30" s="6" t="s">
        <v>118</v>
      </c>
      <c r="K30" s="39" t="s">
        <v>130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119</v>
      </c>
      <c r="U30" s="39" t="s">
        <v>142</v>
      </c>
      <c r="V30" s="28">
        <v>-66160</v>
      </c>
      <c r="W30" s="6"/>
      <c r="X30" s="39"/>
      <c r="Y30" s="26"/>
    </row>
    <row r="31" spans="2:25" x14ac:dyDescent="0.3">
      <c r="B31" s="49" t="s">
        <v>122</v>
      </c>
      <c r="C31" s="150">
        <f t="shared" si="0"/>
        <v>512000</v>
      </c>
      <c r="D31" s="151"/>
      <c r="E31" s="152"/>
      <c r="G31" s="6"/>
      <c r="H31" s="39"/>
      <c r="I31" s="28"/>
      <c r="J31" s="6" t="s">
        <v>120</v>
      </c>
      <c r="K31" s="39" t="s">
        <v>205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151</v>
      </c>
      <c r="U31" s="39" t="s">
        <v>142</v>
      </c>
      <c r="V31" s="28">
        <v>66160</v>
      </c>
      <c r="W31" s="6"/>
      <c r="X31" s="39"/>
      <c r="Y31" s="26"/>
    </row>
    <row r="32" spans="2:25" x14ac:dyDescent="0.3">
      <c r="B32" s="49" t="s">
        <v>119</v>
      </c>
      <c r="C32" s="150">
        <f t="shared" si="0"/>
        <v>381740</v>
      </c>
      <c r="D32" s="151"/>
      <c r="E32" s="152"/>
      <c r="G32" s="6"/>
      <c r="H32" s="39"/>
      <c r="I32" s="28"/>
      <c r="J32" s="6" t="s">
        <v>120</v>
      </c>
      <c r="K32" s="39" t="s">
        <v>205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119</v>
      </c>
      <c r="U32" s="39" t="s">
        <v>142</v>
      </c>
      <c r="V32" s="28">
        <v>-66160</v>
      </c>
      <c r="W32" s="6"/>
      <c r="X32" s="39"/>
      <c r="Y32" s="26"/>
    </row>
    <row r="33" spans="2:25" x14ac:dyDescent="0.3">
      <c r="B33" s="49" t="s">
        <v>129</v>
      </c>
      <c r="C33" s="150">
        <f t="shared" si="0"/>
        <v>53150</v>
      </c>
      <c r="D33" s="151"/>
      <c r="E33" s="152"/>
      <c r="G33" s="6"/>
      <c r="H33" s="39"/>
      <c r="I33" s="28"/>
      <c r="J33" s="6" t="s">
        <v>120</v>
      </c>
      <c r="K33" s="39" t="s">
        <v>205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119</v>
      </c>
      <c r="U33" s="39" t="s">
        <v>142</v>
      </c>
      <c r="V33" s="28">
        <v>-66160</v>
      </c>
      <c r="W33" s="6"/>
      <c r="X33" s="39"/>
      <c r="Y33" s="26"/>
    </row>
    <row r="34" spans="2:25" x14ac:dyDescent="0.3">
      <c r="B34" s="49" t="s">
        <v>125</v>
      </c>
      <c r="C34" s="150">
        <f t="shared" si="0"/>
        <v>22300</v>
      </c>
      <c r="D34" s="151"/>
      <c r="E34" s="152"/>
      <c r="G34" s="6"/>
      <c r="H34" s="39"/>
      <c r="I34" s="28"/>
      <c r="J34" s="6" t="s">
        <v>120</v>
      </c>
      <c r="K34" s="39" t="s">
        <v>131</v>
      </c>
      <c r="L34" s="28">
        <v>-2500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22500</v>
      </c>
      <c r="D35" s="151"/>
      <c r="E35" s="152"/>
      <c r="G35" s="6"/>
      <c r="H35" s="39"/>
      <c r="I35" s="28"/>
      <c r="J35" s="6" t="s">
        <v>116</v>
      </c>
      <c r="K35" s="39" t="s">
        <v>149</v>
      </c>
      <c r="L35" s="28">
        <v>-37820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125000</v>
      </c>
      <c r="D36" s="151"/>
      <c r="E36" s="152"/>
      <c r="G36" s="6"/>
      <c r="H36" s="39"/>
      <c r="I36" s="28"/>
      <c r="J36" s="6" t="s">
        <v>115</v>
      </c>
      <c r="K36" s="39" t="s">
        <v>132</v>
      </c>
      <c r="L36" s="28">
        <v>-3000000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 t="s">
        <v>134</v>
      </c>
      <c r="K37" s="39" t="s">
        <v>176</v>
      </c>
      <c r="L37" s="28">
        <v>-18000</v>
      </c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 t="s">
        <v>120</v>
      </c>
      <c r="K38" s="39" t="s">
        <v>131</v>
      </c>
      <c r="L38" s="28">
        <v>-2500</v>
      </c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18000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-66160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131442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229000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29473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-6244392</v>
      </c>
      <c r="M89" s="7" t="s">
        <v>24</v>
      </c>
      <c r="N89" s="22" t="s">
        <v>34</v>
      </c>
      <c r="O89" s="21">
        <f>SUM(O7:O88)</f>
        <v>100000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-2946158</v>
      </c>
      <c r="W89" s="7" t="s">
        <v>24</v>
      </c>
      <c r="X89" s="22" t="s">
        <v>34</v>
      </c>
      <c r="Y89" s="21">
        <f>SUM(Y7:Y88)</f>
        <v>-2346232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-6144392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-5292390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  <mergeCell ref="C54:E54"/>
    <mergeCell ref="C55:E55"/>
    <mergeCell ref="C57:E57"/>
    <mergeCell ref="C51:E51"/>
    <mergeCell ref="B50:E50"/>
    <mergeCell ref="C52:E52"/>
    <mergeCell ref="C53:E5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97" t="s">
        <v>101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Q4:Y4"/>
    <mergeCell ref="C5:D5"/>
    <mergeCell ref="G5:I5"/>
    <mergeCell ref="J5:L5"/>
    <mergeCell ref="M5:O5"/>
    <mergeCell ref="Q5:S5"/>
    <mergeCell ref="T5:V5"/>
    <mergeCell ref="W5:Y5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C52:E52"/>
    <mergeCell ref="C53:E53"/>
    <mergeCell ref="C54:E54"/>
    <mergeCell ref="C55:E55"/>
    <mergeCell ref="C57:E57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97" t="s">
        <v>102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97" t="s">
        <v>109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97" t="s">
        <v>26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97" t="s">
        <v>103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97" t="s">
        <v>104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97" t="s">
        <v>105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97" t="s">
        <v>106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97" t="s">
        <v>110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97" t="s">
        <v>107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Q20" sqref="Q2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97" t="s">
        <v>108</v>
      </c>
      <c r="C2" s="97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4">
        <v>10000000</v>
      </c>
      <c r="D4" s="164"/>
      <c r="G4" s="172" t="str">
        <f>설정!D4</f>
        <v>천세원</v>
      </c>
      <c r="H4" s="173"/>
      <c r="I4" s="173"/>
      <c r="J4" s="173"/>
      <c r="K4" s="173"/>
      <c r="L4" s="173"/>
      <c r="M4" s="173"/>
      <c r="N4" s="173"/>
      <c r="O4" s="174"/>
      <c r="Q4" s="169" t="str">
        <f>설정!D6</f>
        <v>하유진</v>
      </c>
      <c r="R4" s="170"/>
      <c r="S4" s="170"/>
      <c r="T4" s="170"/>
      <c r="U4" s="170"/>
      <c r="V4" s="170"/>
      <c r="W4" s="170"/>
      <c r="X4" s="170"/>
      <c r="Y4" s="171"/>
    </row>
    <row r="5" spans="2:25" x14ac:dyDescent="0.3">
      <c r="B5" s="2" t="s">
        <v>36</v>
      </c>
      <c r="C5" s="164">
        <f>I90+S90</f>
        <v>0</v>
      </c>
      <c r="D5" s="164"/>
      <c r="G5" s="101" t="s">
        <v>27</v>
      </c>
      <c r="H5" s="159"/>
      <c r="I5" s="102"/>
      <c r="J5" s="98" t="s">
        <v>31</v>
      </c>
      <c r="K5" s="160"/>
      <c r="L5" s="99"/>
      <c r="M5" s="161" t="s">
        <v>32</v>
      </c>
      <c r="N5" s="162"/>
      <c r="O5" s="163"/>
      <c r="Q5" s="101" t="s">
        <v>27</v>
      </c>
      <c r="R5" s="159"/>
      <c r="S5" s="102"/>
      <c r="T5" s="98" t="s">
        <v>31</v>
      </c>
      <c r="U5" s="160"/>
      <c r="V5" s="99"/>
      <c r="W5" s="161" t="s">
        <v>32</v>
      </c>
      <c r="X5" s="162"/>
      <c r="Y5" s="163"/>
    </row>
    <row r="6" spans="2:25" x14ac:dyDescent="0.3">
      <c r="B6" s="2" t="s">
        <v>38</v>
      </c>
      <c r="C6" s="164">
        <f>C4-C5</f>
        <v>10000000</v>
      </c>
      <c r="D6" s="16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65">
        <f>(C5)/(C4)</f>
        <v>0</v>
      </c>
      <c r="D7" s="16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8" t="s">
        <v>174</v>
      </c>
      <c r="C25" s="160"/>
      <c r="D25" s="160"/>
      <c r="E25" s="99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56" t="s">
        <v>30</v>
      </c>
      <c r="D26" s="157"/>
      <c r="E26" s="15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115</v>
      </c>
      <c r="C27" s="150">
        <f t="shared" ref="C27:C46" si="0">-(SUMIF($J$7:$J$88,B27,$L$7:$L$88)+SUMIF($T$7:$T$88,B27,$V$7:$V$88))</f>
        <v>0</v>
      </c>
      <c r="D27" s="151"/>
      <c r="E27" s="152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116</v>
      </c>
      <c r="C28" s="150">
        <f t="shared" si="0"/>
        <v>0</v>
      </c>
      <c r="D28" s="151"/>
      <c r="E28" s="152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120</v>
      </c>
      <c r="C29" s="150">
        <f t="shared" si="0"/>
        <v>0</v>
      </c>
      <c r="D29" s="151"/>
      <c r="E29" s="152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118</v>
      </c>
      <c r="C30" s="150">
        <f t="shared" si="0"/>
        <v>0</v>
      </c>
      <c r="D30" s="151"/>
      <c r="E30" s="152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122</v>
      </c>
      <c r="C31" s="150">
        <f t="shared" si="0"/>
        <v>0</v>
      </c>
      <c r="D31" s="151"/>
      <c r="E31" s="152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119</v>
      </c>
      <c r="C32" s="150">
        <f t="shared" si="0"/>
        <v>0</v>
      </c>
      <c r="D32" s="151"/>
      <c r="E32" s="152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129</v>
      </c>
      <c r="C33" s="150">
        <f t="shared" si="0"/>
        <v>0</v>
      </c>
      <c r="D33" s="151"/>
      <c r="E33" s="152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125</v>
      </c>
      <c r="C34" s="150">
        <f t="shared" si="0"/>
        <v>0</v>
      </c>
      <c r="D34" s="151"/>
      <c r="E34" s="152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148</v>
      </c>
      <c r="C35" s="150">
        <f t="shared" si="0"/>
        <v>0</v>
      </c>
      <c r="D35" s="151"/>
      <c r="E35" s="152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117</v>
      </c>
      <c r="C36" s="150">
        <f t="shared" si="0"/>
        <v>0</v>
      </c>
      <c r="D36" s="151"/>
      <c r="E36" s="152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128</v>
      </c>
      <c r="C37" s="150">
        <f t="shared" si="0"/>
        <v>0</v>
      </c>
      <c r="D37" s="151"/>
      <c r="E37" s="152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146</v>
      </c>
      <c r="C38" s="150">
        <f t="shared" si="0"/>
        <v>0</v>
      </c>
      <c r="D38" s="151"/>
      <c r="E38" s="152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134</v>
      </c>
      <c r="C39" s="150">
        <f t="shared" si="0"/>
        <v>0</v>
      </c>
      <c r="D39" s="151"/>
      <c r="E39" s="152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157</v>
      </c>
      <c r="C40" s="150">
        <f t="shared" si="0"/>
        <v>0</v>
      </c>
      <c r="D40" s="151"/>
      <c r="E40" s="152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126</v>
      </c>
      <c r="C41" s="150">
        <f t="shared" si="0"/>
        <v>0</v>
      </c>
      <c r="D41" s="151"/>
      <c r="E41" s="152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151</v>
      </c>
      <c r="C42" s="150">
        <f t="shared" si="0"/>
        <v>0</v>
      </c>
      <c r="D42" s="151"/>
      <c r="E42" s="152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137</v>
      </c>
      <c r="C43" s="150">
        <f t="shared" si="0"/>
        <v>0</v>
      </c>
      <c r="D43" s="151"/>
      <c r="E43" s="152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144</v>
      </c>
      <c r="C44" s="150">
        <f t="shared" si="0"/>
        <v>0</v>
      </c>
      <c r="D44" s="151"/>
      <c r="E44" s="152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138</v>
      </c>
      <c r="C45" s="150">
        <f t="shared" si="0"/>
        <v>0</v>
      </c>
      <c r="D45" s="151"/>
      <c r="E45" s="152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154</v>
      </c>
      <c r="C46" s="150">
        <f t="shared" si="0"/>
        <v>0</v>
      </c>
      <c r="D46" s="151"/>
      <c r="E46" s="152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169</v>
      </c>
      <c r="C48" s="153" t="str">
        <f>IF(ABS(SUM(C27:E46))&lt;&gt;ABS(SUM(L89,V89)),"항목 추가해주세요","-")</f>
        <v>-</v>
      </c>
      <c r="D48" s="154"/>
      <c r="E48" s="155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01" t="s">
        <v>181</v>
      </c>
      <c r="C50" s="159"/>
      <c r="D50" s="159"/>
      <c r="E50" s="102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56" t="s">
        <v>30</v>
      </c>
      <c r="D51" s="157"/>
      <c r="E51" s="15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177</v>
      </c>
      <c r="C52" s="150">
        <f>(SUMIF($G$7:$G$88,B52,$I$7:$I$88)+SUMIF($Q$7:$Q$88,B52,$S$7:$S$88))</f>
        <v>0</v>
      </c>
      <c r="D52" s="151"/>
      <c r="E52" s="152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178</v>
      </c>
      <c r="C53" s="150">
        <f>(SUMIF($G$7:$G$88,B53,$I$7:$I$88)+SUMIF($Q$7:$Q$88,B53,$S$7:$S$88))</f>
        <v>0</v>
      </c>
      <c r="D53" s="151"/>
      <c r="E53" s="152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179</v>
      </c>
      <c r="C54" s="150">
        <f>(SUMIF($G$7:$G$88,B54,$I$7:$I$88)+SUMIF($Q$7:$Q$88,B54,$S$7:$S$88))</f>
        <v>0</v>
      </c>
      <c r="D54" s="151"/>
      <c r="E54" s="152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180</v>
      </c>
      <c r="C55" s="150">
        <f>(SUMIF($G$7:$G$88,B55,$I$7:$I$88)+SUMIF($Q$7:$Q$88,B55,$S$7:$S$88))</f>
        <v>0</v>
      </c>
      <c r="D55" s="151"/>
      <c r="E55" s="152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169</v>
      </c>
      <c r="C57" s="153" t="str">
        <f>IF(ABS(SUM(C52:E55))&lt;&gt;ABS(SUM(I89,S89)),"항목 추가해주세요","-")</f>
        <v>-</v>
      </c>
      <c r="D57" s="154"/>
      <c r="E57" s="155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2025-01-22T15:52:09Z</dcterms:modified>
</cp:coreProperties>
</file>