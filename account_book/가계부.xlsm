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4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5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activeX/activeX6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activeX/activeX7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8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activeX/activeX9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activeX/activeX10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11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activeX/activeX12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activeX/activeX13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14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git\csw\account_book\"/>
    </mc:Choice>
  </mc:AlternateContent>
  <xr:revisionPtr revIDLastSave="0" documentId="13_ncr:1_{C160AC28-0906-476A-B0B7-14932A1AA0A1}" xr6:coauthVersionLast="47" xr6:coauthVersionMax="47" xr10:uidLastSave="{00000000-0000-0000-0000-000000000000}"/>
  <bookViews>
    <workbookView xWindow="-120" yWindow="-120" windowWidth="38640" windowHeight="21240" activeTab="7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부채" sheetId="6" r:id="rId5"/>
    <sheet name="현금흐름" sheetId="7" r:id="rId6"/>
    <sheet name="설정" sheetId="8" r:id="rId7"/>
    <sheet name="1월" sheetId="9" r:id="rId8"/>
    <sheet name="2월" sheetId="10" r:id="rId9"/>
    <sheet name="3월" sheetId="11" r:id="rId10"/>
    <sheet name="4월" sheetId="12" r:id="rId11"/>
    <sheet name="5월" sheetId="13" r:id="rId12"/>
    <sheet name="6월" sheetId="14" r:id="rId13"/>
    <sheet name="7월" sheetId="15" r:id="rId14"/>
    <sheet name="8월" sheetId="16" r:id="rId15"/>
    <sheet name="9월" sheetId="17" r:id="rId16"/>
    <sheet name="10월" sheetId="18" r:id="rId17"/>
    <sheet name="11월" sheetId="19" r:id="rId18"/>
    <sheet name="12월" sheetId="20" r:id="rId19"/>
  </sheets>
  <functionGroups builtInGroupCount="19"/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20" l="1"/>
  <c r="C48" i="19"/>
  <c r="C48" i="18"/>
  <c r="C48" i="17"/>
  <c r="C48" i="16"/>
  <c r="C48" i="15"/>
  <c r="C48" i="14"/>
  <c r="C48" i="13"/>
  <c r="C48" i="12"/>
  <c r="C48" i="11"/>
  <c r="C48" i="10"/>
  <c r="C45" i="9"/>
  <c r="C48" i="9" s="1"/>
  <c r="C46" i="20" l="1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46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Y89" i="20"/>
  <c r="V89" i="20"/>
  <c r="S89" i="20"/>
  <c r="Y89" i="19"/>
  <c r="V89" i="19"/>
  <c r="S89" i="19"/>
  <c r="Y89" i="18"/>
  <c r="V89" i="18"/>
  <c r="S89" i="18"/>
  <c r="Y89" i="17"/>
  <c r="V89" i="17"/>
  <c r="S89" i="17"/>
  <c r="Y89" i="16"/>
  <c r="V89" i="16"/>
  <c r="S89" i="16"/>
  <c r="Y89" i="15"/>
  <c r="V89" i="15"/>
  <c r="S89" i="15"/>
  <c r="O89" i="14"/>
  <c r="L89" i="14"/>
  <c r="I89" i="14"/>
  <c r="Y89" i="14"/>
  <c r="V89" i="14"/>
  <c r="S89" i="14"/>
  <c r="Y89" i="13"/>
  <c r="V89" i="13"/>
  <c r="S89" i="13"/>
  <c r="Y89" i="12"/>
  <c r="V89" i="12"/>
  <c r="S89" i="12"/>
  <c r="Y89" i="11"/>
  <c r="V89" i="11"/>
  <c r="S89" i="11"/>
  <c r="Y89" i="9"/>
  <c r="V89" i="9"/>
  <c r="S89" i="9"/>
  <c r="Y89" i="10"/>
  <c r="V89" i="10"/>
  <c r="S89" i="10"/>
  <c r="O89" i="20"/>
  <c r="L89" i="20"/>
  <c r="I89" i="20"/>
  <c r="O89" i="19"/>
  <c r="L89" i="19"/>
  <c r="I89" i="19"/>
  <c r="O89" i="18"/>
  <c r="L89" i="18"/>
  <c r="I89" i="18"/>
  <c r="O89" i="17"/>
  <c r="L89" i="17"/>
  <c r="I89" i="17"/>
  <c r="O89" i="15"/>
  <c r="L89" i="15"/>
  <c r="I89" i="15"/>
  <c r="O89" i="13"/>
  <c r="L89" i="13"/>
  <c r="I89" i="13"/>
  <c r="O89" i="12"/>
  <c r="L89" i="12"/>
  <c r="I89" i="12"/>
  <c r="O89" i="11"/>
  <c r="L89" i="11"/>
  <c r="I89" i="11"/>
  <c r="O89" i="10"/>
  <c r="L89" i="10"/>
  <c r="I89" i="10"/>
  <c r="O89" i="9"/>
  <c r="L89" i="9"/>
  <c r="I89" i="9"/>
  <c r="O89" i="16"/>
  <c r="I89" i="16"/>
  <c r="L89" i="16"/>
  <c r="Q4" i="20"/>
  <c r="G4" i="20"/>
  <c r="Q4" i="19"/>
  <c r="G4" i="19"/>
  <c r="Q4" i="18"/>
  <c r="G4" i="18"/>
  <c r="Q4" i="17"/>
  <c r="G4" i="17"/>
  <c r="Q4" i="16"/>
  <c r="G4" i="16"/>
  <c r="Q4" i="15"/>
  <c r="G4" i="15"/>
  <c r="Q4" i="14"/>
  <c r="G4" i="14"/>
  <c r="Q4" i="13"/>
  <c r="G4" i="13"/>
  <c r="Q4" i="12"/>
  <c r="G4" i="12"/>
  <c r="Q4" i="11"/>
  <c r="G4" i="11"/>
  <c r="Q4" i="10"/>
  <c r="G4" i="10"/>
  <c r="B39" i="8"/>
  <c r="B11" i="8"/>
  <c r="S90" i="20" l="1"/>
  <c r="I90" i="20"/>
  <c r="S90" i="19"/>
  <c r="I90" i="19"/>
  <c r="C5" i="19" s="1"/>
  <c r="C7" i="19" s="1"/>
  <c r="S90" i="18"/>
  <c r="I90" i="18"/>
  <c r="S90" i="17"/>
  <c r="I90" i="17"/>
  <c r="S90" i="16"/>
  <c r="S90" i="15"/>
  <c r="I90" i="15"/>
  <c r="C5" i="15" s="1"/>
  <c r="C6" i="15" s="1"/>
  <c r="S90" i="14"/>
  <c r="I90" i="14"/>
  <c r="C5" i="14" s="1"/>
  <c r="C7" i="14" s="1"/>
  <c r="S90" i="13"/>
  <c r="I90" i="13"/>
  <c r="S90" i="12"/>
  <c r="I90" i="12"/>
  <c r="S90" i="11"/>
  <c r="I90" i="11"/>
  <c r="S90" i="10"/>
  <c r="I90" i="10"/>
  <c r="C5" i="10" s="1"/>
  <c r="S90" i="9"/>
  <c r="I90" i="9"/>
  <c r="I90" i="16"/>
  <c r="C5" i="20" l="1"/>
  <c r="C7" i="20" s="1"/>
  <c r="C5" i="18"/>
  <c r="C6" i="18" s="1"/>
  <c r="C5" i="17"/>
  <c r="C7" i="17" s="1"/>
  <c r="C5" i="16"/>
  <c r="C7" i="16" s="1"/>
  <c r="C5" i="13"/>
  <c r="C7" i="13" s="1"/>
  <c r="C5" i="12"/>
  <c r="C6" i="12" s="1"/>
  <c r="C5" i="11"/>
  <c r="C5" i="9"/>
  <c r="C7" i="9" s="1"/>
  <c r="C6" i="19"/>
  <c r="C7" i="18"/>
  <c r="C7" i="15"/>
  <c r="C6" i="13"/>
  <c r="C7" i="12"/>
  <c r="C6" i="20"/>
  <c r="C6" i="17"/>
  <c r="C6" i="16"/>
  <c r="C6" i="14"/>
  <c r="C7" i="11"/>
  <c r="C7" i="10"/>
  <c r="C6" i="11" l="1"/>
  <c r="C6" i="10"/>
  <c r="C6" i="9"/>
  <c r="Q4" i="9"/>
  <c r="G4" i="9"/>
  <c r="X67" i="8" l="1"/>
  <c r="V67" i="8"/>
  <c r="T67" i="8"/>
  <c r="R67" i="8"/>
  <c r="P67" i="8"/>
  <c r="N67" i="8"/>
  <c r="L67" i="8"/>
  <c r="J67" i="8"/>
  <c r="H67" i="8"/>
  <c r="F67" i="8"/>
  <c r="D67" i="8"/>
  <c r="AC19" i="8"/>
  <c r="AA19" i="8"/>
  <c r="T68" i="8" l="1"/>
  <c r="AA20" i="8"/>
  <c r="D68" i="8"/>
  <c r="D69" i="8" l="1"/>
</calcChain>
</file>

<file path=xl/sharedStrings.xml><?xml version="1.0" encoding="utf-8"?>
<sst xmlns="http://schemas.openxmlformats.org/spreadsheetml/2006/main" count="1096" uniqueCount="196">
  <si>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</si>
  <si>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</si>
  <si>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</si>
  <si>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</si>
  <si>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사용자2 :</t>
    <phoneticPr fontId="1" type="noConversion"/>
  </si>
  <si>
    <t>하유진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</si>
  <si>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</si>
  <si>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</si>
  <si>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</si>
  <si>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</si>
  <si>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</si>
  <si>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</si>
  <si>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</si>
  <si>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</si>
  <si>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</si>
  <si>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</si>
  <si>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</si>
  <si>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</si>
  <si>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</si>
  <si>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</si>
  <si>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</si>
  <si>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</si>
  <si>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</si>
  <si>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</si>
  <si>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</si>
  <si>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_Jan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</si>
  <si>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_May.</t>
    </r>
    <phoneticPr fontId="1" type="noConversion"/>
  </si>
  <si>
    <t>수입</t>
    <phoneticPr fontId="1" type="noConversion"/>
  </si>
  <si>
    <t>분류</t>
    <phoneticPr fontId="1" type="noConversion"/>
  </si>
  <si>
    <t>내용</t>
    <phoneticPr fontId="1" type="noConversion"/>
  </si>
  <si>
    <t>금액</t>
    <phoneticPr fontId="1" type="noConversion"/>
  </si>
  <si>
    <t>지출</t>
    <phoneticPr fontId="1" type="noConversion"/>
  </si>
  <si>
    <t>이체</t>
    <phoneticPr fontId="1" type="noConversion"/>
  </si>
  <si>
    <t>구분</t>
    <phoneticPr fontId="1" type="noConversion"/>
  </si>
  <si>
    <t>-</t>
    <phoneticPr fontId="1" type="noConversion"/>
  </si>
  <si>
    <t>목표 이익 :</t>
    <phoneticPr fontId="1" type="noConversion"/>
  </si>
  <si>
    <t>순 이 익 :</t>
    <phoneticPr fontId="1" type="noConversion"/>
  </si>
  <si>
    <t>달 성 률 :</t>
    <phoneticPr fontId="1" type="noConversion"/>
  </si>
  <si>
    <t xml:space="preserve">차익 이익 : </t>
    <phoneticPr fontId="1" type="noConversion"/>
  </si>
  <si>
    <t>메타 플랫폼스</t>
  </si>
  <si>
    <t>하이트진로</t>
  </si>
  <si>
    <t>리비안 오토모티브</t>
  </si>
  <si>
    <t>카카오</t>
  </si>
  <si>
    <t>LG디스플레이</t>
  </si>
  <si>
    <t>삼성전자</t>
  </si>
  <si>
    <t>현대글로비스</t>
  </si>
  <si>
    <t>SK이노베이션</t>
  </si>
  <si>
    <t>현대로템</t>
  </si>
  <si>
    <t>현대차</t>
  </si>
  <si>
    <t>젬백스</t>
  </si>
  <si>
    <t>대한항공</t>
  </si>
  <si>
    <t>이노션</t>
  </si>
  <si>
    <t>HMM</t>
  </si>
  <si>
    <t>대덕</t>
  </si>
  <si>
    <t>우리금융지주</t>
  </si>
  <si>
    <t>포스코DX</t>
  </si>
  <si>
    <t>QV CMA계좌</t>
  </si>
  <si>
    <t>QV종합매매</t>
  </si>
  <si>
    <t>위탁</t>
  </si>
  <si>
    <t>위탁종합</t>
  </si>
  <si>
    <t>종합</t>
  </si>
  <si>
    <t>종합매매</t>
  </si>
  <si>
    <t>종합위탁</t>
  </si>
  <si>
    <t>집합투자증권</t>
  </si>
  <si>
    <t>KB마이핏통장</t>
  </si>
  <si>
    <t>MY 입출금통장</t>
  </si>
  <si>
    <t>U드림 저축예금 (인터넷전용)</t>
  </si>
  <si>
    <t>자립예탁금</t>
  </si>
  <si>
    <t>저축예금</t>
  </si>
  <si>
    <t>토스뱅크 통장</t>
  </si>
  <si>
    <t>NH1934우대통장(저축예금)</t>
  </si>
  <si>
    <t>딴주머니</t>
  </si>
  <si>
    <t>세이프박스</t>
  </si>
  <si>
    <t>신한 주거래 S20통장</t>
  </si>
  <si>
    <t>입출금통장</t>
  </si>
  <si>
    <t>잇(it)딴주머니통장</t>
  </si>
  <si>
    <t>행복knowhow 주거래 우대통장</t>
  </si>
  <si>
    <t>소계</t>
    <phoneticPr fontId="1" type="noConversion"/>
  </si>
  <si>
    <t>주택청약종합저축</t>
  </si>
  <si>
    <t>개인형IRP</t>
  </si>
  <si>
    <t>현금</t>
  </si>
  <si>
    <t>네이버페이 머니 - saew****</t>
  </si>
  <si>
    <t>카카오페이 머니 - 010*****550</t>
  </si>
  <si>
    <t>토스머니</t>
  </si>
  <si>
    <t>페이코포인트 - sa******@naver.com</t>
  </si>
  <si>
    <t>NAVER</t>
  </si>
  <si>
    <t>엔비디아</t>
  </si>
  <si>
    <t>종합계좌</t>
  </si>
  <si>
    <t>단계별로더받는암보험1404</t>
  </si>
  <si>
    <t>CM개인용</t>
  </si>
  <si>
    <t>DC</t>
  </si>
  <si>
    <t>마이홈플랜 주택청약 종합저축</t>
  </si>
  <si>
    <t>유니온정기예탁금</t>
  </si>
  <si>
    <t>카카오페이 머니 - 010*****317</t>
  </si>
  <si>
    <t>페이코포인트 - ep*****@naver.com</t>
  </si>
  <si>
    <t>무배당 한화실손의료보험(갱신형)1501</t>
  </si>
  <si>
    <t>무배당 마이라이프 한아름종합보험1504</t>
  </si>
  <si>
    <t>無퓨처30+어린이CI3종</t>
  </si>
  <si>
    <t>무배당 실버플랜 변액유니버셜III보험</t>
  </si>
  <si>
    <t>신용카드 대금</t>
  </si>
  <si>
    <t>현대 아반떼AD</t>
  </si>
  <si>
    <r>
      <t>Month</t>
    </r>
    <r>
      <rPr>
        <sz val="15"/>
        <color theme="0"/>
        <rFont val="맑은 고딕"/>
        <family val="3"/>
        <charset val="129"/>
        <scheme val="minor"/>
      </rPr>
      <t>_Feb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</si>
  <si>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</si>
  <si>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</si>
  <si>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_Jul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</si>
  <si>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_Aug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</si>
  <si>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_Sep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</si>
  <si>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_Nov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</si>
  <si>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_Dec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</si>
  <si>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_Apr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</si>
  <si>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_Oct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</si>
  <si>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t>사용 년도 :</t>
    <phoneticPr fontId="1" type="noConversion"/>
  </si>
  <si>
    <t>금융수입</t>
  </si>
  <si>
    <t>예금이자원가</t>
  </si>
  <si>
    <t>저축</t>
  </si>
  <si>
    <t>금융</t>
  </si>
  <si>
    <t>생활</t>
  </si>
  <si>
    <t>문화/여가</t>
  </si>
  <si>
    <t>주거/통신</t>
  </si>
  <si>
    <t>자동차</t>
  </si>
  <si>
    <t>식비</t>
  </si>
  <si>
    <t>주식회사 우아한형제들</t>
  </si>
  <si>
    <t>온라인쇼핑</t>
  </si>
  <si>
    <t>주식회사 카카오</t>
  </si>
  <si>
    <t>세종전자담배마켓</t>
  </si>
  <si>
    <t>카페/간식</t>
  </si>
  <si>
    <t>술/유흥</t>
  </si>
  <si>
    <t>이체</t>
  </si>
  <si>
    <t>의료/건강</t>
  </si>
  <si>
    <t>교통</t>
  </si>
  <si>
    <t>SKB구_티브로드)</t>
  </si>
  <si>
    <t>송금 내역</t>
  </si>
  <si>
    <t>국민하유진</t>
  </si>
  <si>
    <t>카드대금</t>
  </si>
  <si>
    <t>뷰티/미용</t>
  </si>
  <si>
    <t>천세원</t>
  </si>
  <si>
    <t>신한카드</t>
  </si>
  <si>
    <t>식사</t>
  </si>
  <si>
    <t>의복/미용</t>
  </si>
  <si>
    <t>네이버파이낸셜</t>
  </si>
  <si>
    <t>아워홈콘티넨탈세종점</t>
  </si>
  <si>
    <t>DB손해보험</t>
  </si>
  <si>
    <t>인터넷상거래</t>
  </si>
  <si>
    <t>현대카드대금</t>
  </si>
  <si>
    <t>미분류</t>
  </si>
  <si>
    <t>투자</t>
  </si>
  <si>
    <t>패션/쇼핑</t>
  </si>
  <si>
    <t>KICC_ARS결제</t>
  </si>
  <si>
    <t>여행/숙박</t>
  </si>
  <si>
    <t>세종중합농협 하</t>
  </si>
  <si>
    <t>지에스(GS)2</t>
  </si>
  <si>
    <t>교육</t>
  </si>
  <si>
    <t>하이패스3191</t>
  </si>
  <si>
    <t>주식회사 동인청</t>
  </si>
  <si>
    <t>경조사</t>
  </si>
  <si>
    <t>마켓세종</t>
  </si>
  <si>
    <t>버스타고</t>
  </si>
  <si>
    <t>교육/학습</t>
  </si>
  <si>
    <t>(주)신성전자</t>
  </si>
  <si>
    <t>네이버페이충전</t>
  </si>
  <si>
    <t>LG전자 베스트샵_다날</t>
  </si>
  <si>
    <t>한샘</t>
  </si>
  <si>
    <t>소나무집</t>
  </si>
  <si>
    <t>노브랜드버거 세</t>
  </si>
  <si>
    <t>메리츠화재</t>
  </si>
  <si>
    <t>C:\git\csw\account_book\세원_2024-01-19~2025-01-19.xlsx</t>
    <phoneticPr fontId="1" type="noConversion"/>
  </si>
  <si>
    <t>C:\git\csw\account_book\유진_2024-01-19~2025-01-19.xlsx</t>
    <phoneticPr fontId="1" type="noConversion"/>
  </si>
  <si>
    <t>하유진_IRP</t>
  </si>
  <si>
    <t>JPMorgan S&amp;P 500 커버드콜 월배당 ETF</t>
  </si>
  <si>
    <t>현대 더 뉴아반떼MD</t>
  </si>
  <si>
    <t>오잉코인노래연습</t>
  </si>
  <si>
    <t>(주)호반호텔앤</t>
  </si>
  <si>
    <t>선사시대 꺼먹돼</t>
  </si>
  <si>
    <t>씨유(CU) 덕</t>
  </si>
  <si>
    <t>선봉국수</t>
  </si>
  <si>
    <t>아리랑고개닭꼬치</t>
  </si>
  <si>
    <t>(유한책임회사)</t>
  </si>
  <si>
    <t>수림방앗간</t>
  </si>
  <si>
    <t>지*경</t>
  </si>
  <si>
    <t>교통-버스4건</t>
  </si>
  <si>
    <t>효모로만든찬 새</t>
  </si>
  <si>
    <t>망향주유소</t>
  </si>
  <si>
    <t>온라인한우장터</t>
  </si>
  <si>
    <t>DB손보5403</t>
  </si>
  <si>
    <t>롯데카드2501</t>
  </si>
  <si>
    <t>신대구막창나성점</t>
  </si>
  <si>
    <t>홍성농협하나로마트</t>
  </si>
  <si>
    <t>당근 팜캉스</t>
  </si>
  <si>
    <t>애플양과점</t>
  </si>
  <si>
    <t>최지영</t>
  </si>
  <si>
    <t>원조꼬막시장</t>
  </si>
  <si>
    <t>전유정</t>
  </si>
  <si>
    <t>김경희기차</t>
  </si>
  <si>
    <t>NICE_통신판매</t>
  </si>
  <si>
    <t>지출 합산</t>
    <phoneticPr fontId="1" type="noConversion"/>
  </si>
  <si>
    <t>오류체크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</si>
</sst>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₩&quot;#,##0;[Red]\-&quot;₩&quot;#,##0"/>
    <numFmt numFmtId="176" formatCode="&quot;₩&quot;#,##0"/>
    <numFmt numFmtId="177" formatCode="0_);[Red]\(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180">
        <stop position="0">
          <color theme="1" tint="0.49803155613879818"/>
        </stop>
        <stop position="1">
          <color theme="1"/>
        </stop>
      </gradientFill>
    </fill>
    <fill>
      <patternFill patternType="solid">
        <fgColor rgb="FFDEBFF7"/>
        <bgColor indexed="64"/>
      </patternFill>
    </fill>
    <fill>
      <patternFill patternType="solid">
        <fgColor rgb="FFF8BEE7"/>
        <bgColor indexed="64"/>
      </patternFill>
    </fill>
    <fill>
      <patternFill patternType="solid">
        <fgColor rgb="FF63A8F3"/>
        <bgColor indexed="64"/>
      </patternFill>
    </fill>
    <fill>
      <patternFill patternType="solid">
        <fgColor rgb="FFD76BCA"/>
        <bgColor indexed="64"/>
      </patternFill>
    </fill>
    <fill>
      <patternFill patternType="solid">
        <fgColor rgb="FF3DADDF"/>
        <bgColor indexed="64"/>
      </patternFill>
    </fill>
    <fill>
      <patternFill patternType="solid">
        <fgColor rgb="FFD0D0D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9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126">
    <xf numFmtId="0" fontId="0" fillId="0" borderId="0" xfId="0">
      <alignment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5" xfId="0" applyNumberFormat="1" applyBorder="1" applyAlignment="1">
      <alignment horizontal="left" vertical="center"/>
    </xf>
    <xf numFmtId="176" fontId="0" fillId="0" borderId="12" xfId="0" applyNumberFormat="1" applyBorder="1" applyAlignment="1">
      <alignment horizontal="left" vertical="center"/>
    </xf>
    <xf numFmtId="0" fontId="7" fillId="21" borderId="19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7" xfId="0" applyBorder="1">
      <alignment vertical="center"/>
    </xf>
    <xf numFmtId="0" fontId="7" fillId="0" borderId="20" xfId="0" applyFon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7" fillId="0" borderId="26" xfId="0" applyFont="1" applyBorder="1" applyAlignment="1">
      <alignment horizontal="center" vertical="center"/>
    </xf>
    <xf numFmtId="0" fontId="0" fillId="0" borderId="8" xfId="0" applyBorder="1">
      <alignment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8" fillId="22" borderId="21" xfId="4" applyFont="1" applyFill="1" applyBorder="1" applyAlignment="1">
      <alignment horizontal="center" vertical="center"/>
    </xf>
    <xf numFmtId="0" fontId="8" fillId="22" borderId="22" xfId="4" applyFont="1" applyFill="1" applyBorder="1" applyAlignment="1">
      <alignment horizontal="center" vertical="center"/>
    </xf>
    <xf numFmtId="0" fontId="8" fillId="22" borderId="23" xfId="4" applyFont="1" applyFill="1" applyBorder="1" applyAlignment="1">
      <alignment horizontal="center" vertical="center"/>
    </xf>
    <xf numFmtId="0" fontId="7" fillId="8" borderId="4" xfId="5" applyFont="1" applyFill="1" applyBorder="1" applyAlignment="1">
      <alignment horizontal="center" vertical="center"/>
    </xf>
    <xf numFmtId="0" fontId="7" fillId="8" borderId="6" xfId="5" applyFont="1" applyFill="1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9" fillId="25" borderId="1" xfId="1" applyFont="1" applyFill="1" applyAlignment="1">
      <alignment horizontal="left" vertical="center"/>
    </xf>
    <xf numFmtId="0" fontId="7" fillId="0" borderId="14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0" fontId="7" fillId="28" borderId="16" xfId="0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29" borderId="13" xfId="0" applyFont="1" applyFill="1" applyBorder="1" applyAlignment="1">
      <alignment horizontal="center" vertical="center"/>
    </xf>
    <xf numFmtId="0" fontId="8" fillId="29" borderId="16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0" fontId="8" fillId="23" borderId="11" xfId="6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0" fontId="9" fillId="25" borderId="1" xfId="1" applyFont="1" applyFill="1" applyAlignment="1">
      <alignment horizontal="center" vertical="center"/>
    </xf>
    <xf numFmtId="0" fontId="7" fillId="24" borderId="4" xfId="8" applyFont="1" applyBorder="1" applyAlignment="1">
      <alignment horizontal="center" vertical="center"/>
    </xf>
    <xf numFmtId="0" fontId="7" fillId="24" borderId="5" xfId="8" applyFont="1" applyBorder="1" applyAlignment="1">
      <alignment horizontal="center" vertical="center"/>
    </xf>
    <xf numFmtId="0" fontId="7" fillId="24" borderId="6" xfId="8" applyFont="1" applyBorder="1" applyAlignment="1">
      <alignment horizontal="center" vertical="center"/>
    </xf>
    <xf numFmtId="0" fontId="7" fillId="26" borderId="4" xfId="8" applyFont="1" applyFill="1" applyBorder="1" applyAlignment="1">
      <alignment horizontal="center" vertical="center"/>
    </xf>
    <xf numFmtId="0" fontId="7" fillId="26" borderId="5" xfId="8" applyFont="1" applyFill="1" applyBorder="1" applyAlignment="1">
      <alignment horizontal="center" vertical="center"/>
    </xf>
    <xf numFmtId="0" fontId="7" fillId="26" borderId="6" xfId="8" applyFont="1" applyFill="1" applyBorder="1" applyAlignment="1">
      <alignment horizontal="center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6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8" fillId="30" borderId="21" xfId="0" applyFont="1" applyFill="1" applyBorder="1" applyAlignment="1">
      <alignment horizontal="center" vertical="center"/>
    </xf>
    <xf numFmtId="0" fontId="8" fillId="30" borderId="22" xfId="0" applyFont="1" applyFill="1" applyBorder="1" applyAlignment="1">
      <alignment horizontal="center" vertical="center"/>
    </xf>
    <xf numFmtId="0" fontId="8" fillId="30" borderId="23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9" xfId="0" applyFont="1" applyFill="1" applyBorder="1" applyAlignment="1">
      <alignment horizontal="center" vertical="center"/>
    </xf>
    <xf numFmtId="0" fontId="8" fillId="30" borderId="7" xfId="0" applyFont="1" applyFill="1" applyBorder="1" applyAlignment="1">
      <alignment horizontal="center" vertical="center"/>
    </xf>
    <xf numFmtId="0" fontId="8" fillId="30" borderId="8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  <xf numFmtId="176" fontId="7" fillId="0" borderId="4" xfId="0" applyNumberFormat="1" applyFont="1" applyBorder="1" applyAlignment="1">
      <alignment horizontal="center" vertical="center"/>
    </xf>
    <xf numFmtId="176" fontId="7" fillId="0" borderId="5" xfId="0" applyNumberFormat="1" applyFont="1" applyBorder="1" applyAlignment="1">
      <alignment horizontal="center" vertical="center"/>
    </xf>
    <xf numFmtId="176" fontId="7" fillId="0" borderId="6" xfId="0" applyNumberFormat="1" applyFont="1" applyBorder="1" applyAlignment="1">
      <alignment horizontal="center" vertical="center"/>
    </xf>
    <xf numFmtId="6" fontId="0" fillId="0" borderId="0" xfId="0" applyNumberFormat="1">
      <alignment vertical="center"/>
    </xf>
    <xf numFmtId="0" fontId="0" fillId="31" borderId="16" xfId="0" applyFill="1" applyBorder="1" applyAlignment="1">
      <alignment horizontal="center" vertical="center"/>
    </xf>
    <xf numFmtId="0" fontId="7" fillId="31" borderId="12" xfId="0" applyFont="1" applyFill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5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176" fontId="11" fillId="0" borderId="20" xfId="0" applyNumberFormat="1" applyFont="1" applyBorder="1" applyAlignment="1">
      <alignment horizontal="center" vertical="center"/>
    </xf>
    <xf numFmtId="176" fontId="11" fillId="0" borderId="14" xfId="0" applyNumberFormat="1" applyFont="1" applyBorder="1" applyAlignment="1">
      <alignment horizontal="center" vertical="center"/>
    </xf>
    <xf numFmtId="176" fontId="11" fillId="0" borderId="5" xfId="0" applyNumberFormat="1" applyFont="1" applyBorder="1" applyAlignment="1">
      <alignment horizontal="center" vertical="center"/>
    </xf>
    <xf numFmtId="176" fontId="11" fillId="0" borderId="6" xfId="0" applyNumberFormat="1" applyFont="1" applyBorder="1" applyAlignment="1">
      <alignment horizontal="center" vertical="center"/>
    </xf>
    <xf numFmtId="0" fontId="7" fillId="31" borderId="13" xfId="0" applyFont="1" applyFill="1" applyBorder="1" applyAlignment="1">
      <alignment horizontal="center" vertical="center"/>
    </xf>
    <xf numFmtId="0" fontId="7" fillId="31" borderId="16" xfId="0" applyFont="1" applyFill="1" applyBorder="1" applyAlignment="1">
      <alignment horizontal="center" vertical="center"/>
    </xf>
    <xf numFmtId="0" fontId="7" fillId="31" borderId="1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</cellXfs>
  <cellStyles count="9">
    <cellStyle name="20% - 강조색1" xfId="8" builtinId="30"/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D0D0D0"/>
      <color rgb="FFDEBFF7"/>
      <color rgb="FF64DA75"/>
      <color rgb="FFD3F5D7"/>
      <color rgb="FF2EC443"/>
      <color rgb="FF3DADDF"/>
      <color rgb="FFD76BCA"/>
      <color rgb="FFCB3DBA"/>
      <color rgb="FF2195C9"/>
      <color rgb="FF63A8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8A-4075-A377-111F7ED6F64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38A-4075-A377-111F7ED6F64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A-4075-A377-111F7ED6F64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8A-4075-A377-111F7ED6F6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('1월'!$C$5:$C$5,'1월'!$C$6:$C$6)</c:f>
              <c:numCache>
                <c:formatCode>"₩"#,##0</c:formatCode>
                <c:ptCount val="2"/>
                <c:pt idx="0">
                  <c:v>-11416282</c:v>
                </c:pt>
                <c:pt idx="1">
                  <c:v>21416282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A-4075-A377-111F7ED6F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42-4423-81E4-DA764CC50F62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842-4423-81E4-DA764CC50F6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42-4423-81E4-DA764CC50F6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42-4423-81E4-DA764CC50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'2월'!$D$5:$D$7</c:f>
              <c:numCache>
                <c:formatCode>"₩"#,##0</c:formatCode>
                <c:ptCount val="3"/>
              </c:numCache>
            </c:numRef>
          </c:cat>
          <c:val>
            <c:numRef>
              <c:f>('2월'!$C$5,'2월'!$C$6)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42-4423-81E4-DA764CC50F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ECD-4E0A-8A50-96C02F238D0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ECD-4E0A-8A50-96C02F238D0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CD-4E0A-8A50-96C02F238D0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CD-4E0A-8A50-96C02F238D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'3월'!$D$5:$D$7</c:f>
              <c:numCache>
                <c:formatCode>"₩"#,##0</c:formatCode>
                <c:ptCount val="3"/>
              </c:numCache>
            </c:numRef>
          </c:cat>
          <c:val>
            <c:numRef>
              <c:f>('3월'!$C$5,'3월'!$C$6)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CD-4E0A-8A50-96C02F238D0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E3-4B89-BE9D-3D7AF6C6026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E3-4B89-BE9D-3D7AF6C6026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E3-4B89-BE9D-3D7AF6C6026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E3-4B89-BE9D-3D7AF6C602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'4월'!$D$5:$D$7</c:f>
              <c:numCache>
                <c:formatCode>"₩"#,##0</c:formatCode>
                <c:ptCount val="3"/>
              </c:numCache>
            </c:numRef>
          </c:cat>
          <c:val>
            <c:numRef>
              <c:f>('4월'!$C$5,'4월'!$C$6)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3-4B89-BE9D-3D7AF6C6026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8B-42C9-A5E4-9974A7FF2DB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8B-42C9-A5E4-9974A7FF2DB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8B-42C9-A5E4-9974A7FF2DB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B-42C9-A5E4-9974A7FF2D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'5월'!$D$5:$D$7</c:f>
              <c:numCache>
                <c:formatCode>"₩"#,##0</c:formatCode>
                <c:ptCount val="3"/>
              </c:numCache>
            </c:numRef>
          </c:cat>
          <c:val>
            <c:numRef>
              <c:f>('5월'!$C$5,'5월'!$C$6)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8B-42C9-A5E4-9974A7FF2D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AB-4FBC-ADB6-D338E70AF0A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AB-4FBC-ADB6-D338E70AF0A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AB-4FBC-ADB6-D338E70AF0A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AB-4FBC-ADB6-D338E70AF0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'6월'!$D$5:$D$7</c:f>
              <c:numCache>
                <c:formatCode>"₩"#,##0</c:formatCode>
                <c:ptCount val="3"/>
              </c:numCache>
            </c:numRef>
          </c:cat>
          <c:val>
            <c:numRef>
              <c:f>('6월'!$C$5,'6월'!$C$6)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AB-4FBC-ADB6-D338E70AF0A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F4-4310-B269-3C2061FDF6D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F4-4310-B269-3C2061FDF6D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F4-4310-B269-3C2061FDF6D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F4-4310-B269-3C2061FDF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'7월'!$D$5:$D$7</c:f>
              <c:numCache>
                <c:formatCode>"₩"#,##0</c:formatCode>
                <c:ptCount val="3"/>
              </c:numCache>
            </c:numRef>
          </c:cat>
          <c:val>
            <c:numRef>
              <c:f>('7월'!$C$5,'7월'!$C$6)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F4-4310-B269-3C2061FDF6D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0E-4E4F-B625-1AFCDA8E4E3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0E-4E4F-B625-1AFCDA8E4E3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0E-4E4F-B625-1AFCDA8E4E3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0E-4E4F-B625-1AFCDA8E4E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'8월'!$D$5:$D$7</c:f>
              <c:numCache>
                <c:formatCode>"₩"#,##0</c:formatCode>
                <c:ptCount val="3"/>
              </c:numCache>
            </c:numRef>
          </c:cat>
          <c:val>
            <c:numRef>
              <c:f>('8월'!$C$5,'8월'!$C$6)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0E-4E4F-B625-1AFCDA8E4E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07D-4DE2-A44A-FC3BC0E02968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07D-4DE2-A44A-FC3BC0E02968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7D-4DE2-A44A-FC3BC0E0296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7D-4DE2-A44A-FC3BC0E029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'9월'!$D$5:$D$7</c:f>
              <c:numCache>
                <c:formatCode>"₩"#,##0</c:formatCode>
                <c:ptCount val="3"/>
              </c:numCache>
            </c:numRef>
          </c:cat>
          <c:val>
            <c:numRef>
              <c:f>('9월'!$C$5,'9월'!$C$6)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D-4DE2-A44A-FC3BC0E0296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DE-40B6-BA4A-EC77CB646FD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DE-40B6-BA4A-EC77CB646FD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DE-40B6-BA4A-EC77CB646FD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DE-40B6-BA4A-EC77CB646F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'10월'!$D$5:$D$7</c:f>
              <c:numCache>
                <c:formatCode>"₩"#,##0</c:formatCode>
                <c:ptCount val="3"/>
              </c:numCache>
            </c:numRef>
          </c:cat>
          <c:val>
            <c:numRef>
              <c:f>('10월'!$C$5,'10월'!$C$6)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E-40B6-BA4A-EC77CB646F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6F9-4EC5-B2BF-20A275EE708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6F9-4EC5-B2BF-20A275EE708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F9-4EC5-B2BF-20A275EE708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F9-4EC5-B2BF-20A275EE7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'11월'!$D$5:$D$7</c:f>
              <c:numCache>
                <c:formatCode>"₩"#,##0</c:formatCode>
                <c:ptCount val="3"/>
              </c:numCache>
            </c:numRef>
          </c:cat>
          <c:val>
            <c:numRef>
              <c:f>('11월'!$C$5,'11월'!$C$6)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F9-4EC5-B2BF-20A275EE708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68-45D5-9F6D-70AD2F11CB1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68-45D5-9F6D-70AD2F11CB1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68-45D5-9F6D-70AD2F11CB1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68-45D5-9F6D-70AD2F11CB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'12월'!$D$5:$D$7</c:f>
              <c:numCache>
                <c:formatCode>"₩"#,##0</c:formatCode>
                <c:ptCount val="3"/>
              </c:numCache>
            </c:numRef>
          </c:cat>
          <c:val>
            <c:numRef>
              <c:f>('12월'!$C$5,'12월'!$C$6)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68-45D5-9F6D-70AD2F11CB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190500</xdr:rowOff>
        </xdr:from>
        <xdr:to>
          <xdr:col>17</xdr:col>
          <xdr:colOff>47625</xdr:colOff>
          <xdr:row>6</xdr:row>
          <xdr:rowOff>38100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</xdr:row>
          <xdr:rowOff>190500</xdr:rowOff>
        </xdr:from>
        <xdr:to>
          <xdr:col>17</xdr:col>
          <xdr:colOff>28575</xdr:colOff>
          <xdr:row>4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1096397" y="3742765"/>
            <a:ext cx="1584700" cy="1984490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-114.16%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dule3.Move_to_Feb" textlink="">
      <xdr:nvSpPr>
        <xdr:cNvPr id="7" name="이등변 삼각형 6">
          <a:extLst>
            <a:ext uri="{FF2B5EF4-FFF2-40B4-BE49-F238E27FC236}">
              <a16:creationId xmlns:a16="http://schemas.microsoft.com/office/drawing/2014/main" id="{6C76429E-69D9-D91E-156D-49F1A0B9B968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Dec" textlink="">
      <xdr:nvSpPr>
        <xdr:cNvPr id="12" name="이등변 삼각형 11">
          <a:extLst>
            <a:ext uri="{FF2B5EF4-FFF2-40B4-BE49-F238E27FC236}">
              <a16:creationId xmlns:a16="http://schemas.microsoft.com/office/drawing/2014/main" id="{8A5F3AA7-17B5-7ECB-F5A5-4630D55D3901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60E3633-08D6-4C59-9F55-909EE31468BA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25D0C39-A294-0EDA-B88E-DE623C4EF13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013A011A-21AC-D74B-DEE9-A5D396A82B86}"/>
              </a:ext>
            </a:extLst>
          </xdr:cNvPr>
          <xdr:cNvSpPr/>
        </xdr:nvSpPr>
        <xdr:spPr>
          <a:xfrm>
            <a:off x="1096397" y="3742765"/>
            <a:ext cx="1697013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r" textlink="">
      <xdr:nvSpPr>
        <xdr:cNvPr id="13" name="이등변 삼각형 12">
          <a:extLst>
            <a:ext uri="{FF2B5EF4-FFF2-40B4-BE49-F238E27FC236}">
              <a16:creationId xmlns:a16="http://schemas.microsoft.com/office/drawing/2014/main" id="{42FE2FE6-4342-4982-8F92-AF24E34EB821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an" textlink="">
      <xdr:nvSpPr>
        <xdr:cNvPr id="14" name="이등변 삼각형 13">
          <a:extLst>
            <a:ext uri="{FF2B5EF4-FFF2-40B4-BE49-F238E27FC236}">
              <a16:creationId xmlns:a16="http://schemas.microsoft.com/office/drawing/2014/main" id="{CD1141D4-F5A5-46C5-B09D-FF14D4EC8A6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8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DF549750-5AD0-48F4-AE78-F99C909BD59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B68EA9F7-2989-CEF7-F011-CBFDB306C1D7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7" name="직사각형 6">
            <a:extLst>
              <a:ext uri="{FF2B5EF4-FFF2-40B4-BE49-F238E27FC236}">
                <a16:creationId xmlns:a16="http://schemas.microsoft.com/office/drawing/2014/main" id="{5AFD8DB0-0264-1C97-5F00-60F82AFE0817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pr" textlink="">
      <xdr:nvSpPr>
        <xdr:cNvPr id="10" name="이등변 삼각형 9">
          <a:extLst>
            <a:ext uri="{FF2B5EF4-FFF2-40B4-BE49-F238E27FC236}">
              <a16:creationId xmlns:a16="http://schemas.microsoft.com/office/drawing/2014/main" id="{A5276149-7B96-4A1E-9FFD-102A526EAABC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Feb" textlink="">
      <xdr:nvSpPr>
        <xdr:cNvPr id="11" name="이등변 삼각형 10">
          <a:extLst>
            <a:ext uri="{FF2B5EF4-FFF2-40B4-BE49-F238E27FC236}">
              <a16:creationId xmlns:a16="http://schemas.microsoft.com/office/drawing/2014/main" id="{FBF2A2D2-34DE-4446-8300-CC7AC7DBABD0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4EEDDBC-C407-4F3B-BE9E-37C382D9F17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4DF19B6B-0D37-118F-77A3-78B816FFD82A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F8E4B0F-F2FD-E672-60E6-4C226BB5D512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y" textlink="">
      <xdr:nvSpPr>
        <xdr:cNvPr id="7" name="이등변 삼각형 6">
          <a:extLst>
            <a:ext uri="{FF2B5EF4-FFF2-40B4-BE49-F238E27FC236}">
              <a16:creationId xmlns:a16="http://schemas.microsoft.com/office/drawing/2014/main" id="{B82C9688-820A-4CF3-B248-72CC087CF88D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r" textlink="">
      <xdr:nvSpPr>
        <xdr:cNvPr id="8" name="이등변 삼각형 7">
          <a:extLst>
            <a:ext uri="{FF2B5EF4-FFF2-40B4-BE49-F238E27FC236}">
              <a16:creationId xmlns:a16="http://schemas.microsoft.com/office/drawing/2014/main" id="{E09E8ECA-B9A7-448A-B54C-84D3CB2D970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FB096D1A-1BDE-46FC-AD2C-AAD2C604B9F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A042DFC-743C-3D70-00FE-B8D06B82C5D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03AA31D-D1D0-75F5-B3B8-425F2C3A3A81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n" textlink="">
      <xdr:nvSpPr>
        <xdr:cNvPr id="7" name="이등변 삼각형 6">
          <a:extLst>
            <a:ext uri="{FF2B5EF4-FFF2-40B4-BE49-F238E27FC236}">
              <a16:creationId xmlns:a16="http://schemas.microsoft.com/office/drawing/2014/main" id="{664E04D4-5E2E-4FB5-9038-1321E136E595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pr" textlink="">
      <xdr:nvSpPr>
        <xdr:cNvPr id="8" name="이등변 삼각형 7">
          <a:extLst>
            <a:ext uri="{FF2B5EF4-FFF2-40B4-BE49-F238E27FC236}">
              <a16:creationId xmlns:a16="http://schemas.microsoft.com/office/drawing/2014/main" id="{8A1A938F-D1CA-437D-BE9E-9ECCD1255B2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EDCC915C-5631-4CB7-8219-09583B284CC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5C68CD89-C98E-3390-7AF9-FB1C7ABB2B2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C91B88ED-5A40-19FF-D123-F3F3A51B65A6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l" textlink="">
      <xdr:nvSpPr>
        <xdr:cNvPr id="7" name="이등변 삼각형 6">
          <a:extLst>
            <a:ext uri="{FF2B5EF4-FFF2-40B4-BE49-F238E27FC236}">
              <a16:creationId xmlns:a16="http://schemas.microsoft.com/office/drawing/2014/main" id="{7EF055AA-4E35-47E7-9606-BEADC9BB8A6E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y" textlink="">
      <xdr:nvSpPr>
        <xdr:cNvPr id="8" name="이등변 삼각형 7">
          <a:extLst>
            <a:ext uri="{FF2B5EF4-FFF2-40B4-BE49-F238E27FC236}">
              <a16:creationId xmlns:a16="http://schemas.microsoft.com/office/drawing/2014/main" id="{C397C39C-55F3-4281-9BE8-B63FB711B70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D81CC79-A4C5-40D2-9D59-35EA9855667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49E2341-B7B2-A40B-37D9-19DC8C4D0339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76EF5F4-6215-D1CD-2E5B-1A6CA5F9909F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ug" textlink="">
      <xdr:nvSpPr>
        <xdr:cNvPr id="7" name="이등변 삼각형 6">
          <a:extLst>
            <a:ext uri="{FF2B5EF4-FFF2-40B4-BE49-F238E27FC236}">
              <a16:creationId xmlns:a16="http://schemas.microsoft.com/office/drawing/2014/main" id="{2050632B-7A90-4114-B8A1-91039FF1ACC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n" textlink="">
      <xdr:nvSpPr>
        <xdr:cNvPr id="8" name="이등변 삼각형 7">
          <a:extLst>
            <a:ext uri="{FF2B5EF4-FFF2-40B4-BE49-F238E27FC236}">
              <a16:creationId xmlns:a16="http://schemas.microsoft.com/office/drawing/2014/main" id="{79367D22-6FBC-42DE-AAD8-7BCC8D2DE6BD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A3CD7D2-BED8-49F2-A914-AEE0FEBC51AC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7A16D72B-6CC3-1E3D-1CB4-B3FC1DC1651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5F11280B-10E9-9B14-6942-94D956943165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Sep" textlink="">
      <xdr:nvSpPr>
        <xdr:cNvPr id="7" name="이등변 삼각형 6">
          <a:extLst>
            <a:ext uri="{FF2B5EF4-FFF2-40B4-BE49-F238E27FC236}">
              <a16:creationId xmlns:a16="http://schemas.microsoft.com/office/drawing/2014/main" id="{881C1D53-24AC-4C42-A88B-C3B8FC312A5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l" textlink="">
      <xdr:nvSpPr>
        <xdr:cNvPr id="8" name="이등변 삼각형 7">
          <a:extLst>
            <a:ext uri="{FF2B5EF4-FFF2-40B4-BE49-F238E27FC236}">
              <a16:creationId xmlns:a16="http://schemas.microsoft.com/office/drawing/2014/main" id="{583E4399-CDF9-401E-A0CC-F6873D0EF683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E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8D0D06C-DE68-4D2B-AD7E-2C7F8C79C77A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FCD69097-3446-6F0F-AA1A-F6740EE4C024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A5AD68A3-BF99-D95D-DE88-B71E23CB7655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Oct" textlink="">
      <xdr:nvSpPr>
        <xdr:cNvPr id="7" name="이등변 삼각형 6">
          <a:extLst>
            <a:ext uri="{FF2B5EF4-FFF2-40B4-BE49-F238E27FC236}">
              <a16:creationId xmlns:a16="http://schemas.microsoft.com/office/drawing/2014/main" id="{1188277E-415D-4487-AA47-4114AB86FB2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ug" textlink="">
      <xdr:nvSpPr>
        <xdr:cNvPr id="8" name="이등변 삼각형 7">
          <a:extLst>
            <a:ext uri="{FF2B5EF4-FFF2-40B4-BE49-F238E27FC236}">
              <a16:creationId xmlns:a16="http://schemas.microsoft.com/office/drawing/2014/main" id="{5D2701B6-EA62-45DD-81FE-95D42365697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F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B2E59083-EBB9-427A-BA13-5EF4866BD10B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614A83A-3D8A-22FC-7838-BF6AEAE88A9E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6FEDAF8A-6B62-0C76-CFBF-50E1D62C665C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Nov" textlink="">
      <xdr:nvSpPr>
        <xdr:cNvPr id="7" name="이등변 삼각형 6">
          <a:extLst>
            <a:ext uri="{FF2B5EF4-FFF2-40B4-BE49-F238E27FC236}">
              <a16:creationId xmlns:a16="http://schemas.microsoft.com/office/drawing/2014/main" id="{6E0EFFBF-0F12-46EC-A6FC-C81A2C42801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Sep" textlink="">
      <xdr:nvSpPr>
        <xdr:cNvPr id="8" name="이등변 삼각형 7">
          <a:extLst>
            <a:ext uri="{FF2B5EF4-FFF2-40B4-BE49-F238E27FC236}">
              <a16:creationId xmlns:a16="http://schemas.microsoft.com/office/drawing/2014/main" id="{6B3D0C8B-9913-4A38-BE1B-BC7C82F29F9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0470E56-D370-48C4-9DA2-CA3BD25CC91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B7C2A4C2-0816-239C-5DED-AACCBD9BF97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2ED4E767-75ED-758A-D181-EA3D775C7028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Dec" textlink="">
      <xdr:nvSpPr>
        <xdr:cNvPr id="7" name="이등변 삼각형 6">
          <a:extLst>
            <a:ext uri="{FF2B5EF4-FFF2-40B4-BE49-F238E27FC236}">
              <a16:creationId xmlns:a16="http://schemas.microsoft.com/office/drawing/2014/main" id="{5986ABD1-EE70-4513-8D40-59B510F095E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Oct" textlink="">
      <xdr:nvSpPr>
        <xdr:cNvPr id="8" name="이등변 삼각형 7">
          <a:extLst>
            <a:ext uri="{FF2B5EF4-FFF2-40B4-BE49-F238E27FC236}">
              <a16:creationId xmlns:a16="http://schemas.microsoft.com/office/drawing/2014/main" id="{6BB58614-FD68-48C7-96B9-4AABA821A02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58148B3-26E5-4F6C-9758-594BFD9330A3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BF601FE-E6CA-C6C5-4C2C-3EE72280327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689EF50-33F2-91BE-01D1-B18BC779F2B9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an" textlink="">
      <xdr:nvSpPr>
        <xdr:cNvPr id="7" name="이등변 삼각형 6">
          <a:extLst>
            <a:ext uri="{FF2B5EF4-FFF2-40B4-BE49-F238E27FC236}">
              <a16:creationId xmlns:a16="http://schemas.microsoft.com/office/drawing/2014/main" id="{AE227584-C22E-428F-9F71-048C19E8DB19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Nov" textlink="">
      <xdr:nvSpPr>
        <xdr:cNvPr id="8" name="이등변 삼각형 7">
          <a:extLst>
            <a:ext uri="{FF2B5EF4-FFF2-40B4-BE49-F238E27FC236}">
              <a16:creationId xmlns:a16="http://schemas.microsoft.com/office/drawing/2014/main" id="{44C4D676-5F61-4FFB-87CF-45F88E7F9A2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7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1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11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12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13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A1"/>
  <sheetViews>
    <sheetView workbookViewId="0">
      <selection activeCell="H36" sqref="H36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C538B-56E6-4821-952F-509AD5978950}">
  <sheetPr codeName="Sheet6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02D1-64F7-4179-980C-4094C680319A}">
  <sheetPr codeName="Sheet7">
    <tabColor theme="5" tint="0.79998168889431442"/>
  </sheetPr>
  <dimension ref="A1"/>
  <sheetViews>
    <sheetView workbookViewId="0">
      <selection activeCell="A44" sqref="A44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C69"/>
  <sheetViews>
    <sheetView zoomScaleNormal="100" workbookViewId="0">
      <selection activeCell="K17" sqref="K17"/>
    </sheetView>
  </sheetViews>
  <sheetFormatPr defaultRowHeight="16.5" x14ac:dyDescent="0.3"/>
  <cols>
    <col min="1" max="1" width="2.625" customWidth="1"/>
    <col min="2" max="2" width="7.5" bestFit="1" customWidth="1"/>
    <col min="3" max="3" width="10" customWidth="1"/>
    <col min="4" max="4" width="13.75" customWidth="1"/>
    <col min="5" max="5" width="10" customWidth="1"/>
    <col min="6" max="6" width="13.75" customWidth="1"/>
    <col min="7" max="7" width="10" customWidth="1"/>
    <col min="8" max="8" width="13.75" customWidth="1"/>
    <col min="9" max="9" width="10" customWidth="1"/>
    <col min="10" max="10" width="13.75" customWidth="1"/>
    <col min="11" max="11" width="10" customWidth="1"/>
    <col min="12" max="12" width="13.75" customWidth="1"/>
    <col min="13" max="13" width="10" customWidth="1"/>
    <col min="14" max="14" width="13.75" customWidth="1"/>
    <col min="15" max="15" width="10" customWidth="1"/>
    <col min="16" max="16" width="13.75" customWidth="1"/>
    <col min="17" max="17" width="10" customWidth="1"/>
    <col min="18" max="18" width="13.75" customWidth="1"/>
    <col min="19" max="19" width="10" customWidth="1"/>
    <col min="20" max="20" width="13.75" customWidth="1"/>
    <col min="21" max="21" width="10" customWidth="1"/>
    <col min="22" max="22" width="13.75" customWidth="1"/>
    <col min="23" max="23" width="10" customWidth="1"/>
    <col min="24" max="24" width="13.75" customWidth="1"/>
    <col min="25" max="25" width="2.75" customWidth="1"/>
    <col min="27" max="27" width="12.375" customWidth="1"/>
    <col min="29" max="29" width="12.375" customWidth="1"/>
  </cols>
  <sheetData>
    <row r="2" spans="2:29" ht="24.75" thickBot="1" x14ac:dyDescent="0.35">
      <c r="B2" s="67" t="s">
        <v>0</v>
      </c>
      <c r="C2" s="67"/>
      <c r="D2" s="67"/>
    </row>
    <row r="3" spans="2:29" ht="17.25" thickTop="1" x14ac:dyDescent="0.3">
      <c r="K3" s="1" t="s">
        <v>1</v>
      </c>
    </row>
    <row r="4" spans="2:29" x14ac:dyDescent="0.3">
      <c r="B4" s="63" t="s">
        <v>2</v>
      </c>
      <c r="C4" s="64"/>
      <c r="D4" s="64" t="s">
        <v>3</v>
      </c>
      <c r="E4" s="68"/>
      <c r="G4" s="34" t="s">
        <v>111</v>
      </c>
      <c r="H4" s="64">
        <v>2025</v>
      </c>
      <c r="I4" s="68"/>
      <c r="K4" s="82" t="s">
        <v>165</v>
      </c>
      <c r="L4" s="83"/>
      <c r="M4" s="83"/>
      <c r="N4" s="83"/>
      <c r="O4" s="83"/>
      <c r="P4" s="84"/>
    </row>
    <row r="5" spans="2:29" x14ac:dyDescent="0.3">
      <c r="B5" s="24"/>
      <c r="E5" s="13"/>
      <c r="G5" s="24"/>
      <c r="I5" s="13"/>
    </row>
    <row r="6" spans="2:29" x14ac:dyDescent="0.3">
      <c r="B6" s="65" t="s">
        <v>4</v>
      </c>
      <c r="C6" s="66"/>
      <c r="D6" s="66" t="s">
        <v>5</v>
      </c>
      <c r="E6" s="69"/>
      <c r="G6" s="32"/>
      <c r="H6" s="35"/>
      <c r="I6" s="33"/>
      <c r="K6" s="82" t="s">
        <v>166</v>
      </c>
      <c r="L6" s="83"/>
      <c r="M6" s="83"/>
      <c r="N6" s="83"/>
      <c r="O6" s="83"/>
      <c r="P6" s="84"/>
    </row>
    <row r="7" spans="2:29" x14ac:dyDescent="0.3">
      <c r="B7" s="2"/>
      <c r="C7" s="2"/>
      <c r="D7" s="2"/>
      <c r="E7" s="25"/>
      <c r="G7" s="23"/>
      <c r="H7" s="23"/>
      <c r="I7" s="23"/>
      <c r="J7" s="23"/>
      <c r="K7" s="23"/>
      <c r="L7" s="23"/>
    </row>
    <row r="8" spans="2:29" ht="17.25" thickBo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2:29" x14ac:dyDescent="0.3">
      <c r="B9" s="73" t="s">
        <v>33</v>
      </c>
      <c r="C9" s="51" t="s">
        <v>6</v>
      </c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3"/>
      <c r="S9" s="81" t="s">
        <v>7</v>
      </c>
      <c r="T9" s="81"/>
      <c r="U9" s="81"/>
      <c r="V9" s="81"/>
      <c r="W9" s="81"/>
      <c r="X9" s="81"/>
      <c r="Z9" s="41" t="s">
        <v>8</v>
      </c>
      <c r="AA9" s="42"/>
      <c r="AB9" s="42"/>
      <c r="AC9" s="43"/>
    </row>
    <row r="10" spans="2:29" x14ac:dyDescent="0.3">
      <c r="B10" s="74"/>
      <c r="C10" s="54" t="s">
        <v>9</v>
      </c>
      <c r="D10" s="55"/>
      <c r="E10" s="44" t="s">
        <v>10</v>
      </c>
      <c r="F10" s="44"/>
      <c r="G10" s="45" t="s">
        <v>11</v>
      </c>
      <c r="H10" s="45"/>
      <c r="I10" s="46" t="s">
        <v>12</v>
      </c>
      <c r="J10" s="46"/>
      <c r="K10" s="47" t="s">
        <v>13</v>
      </c>
      <c r="L10" s="47"/>
      <c r="M10" s="48" t="s">
        <v>14</v>
      </c>
      <c r="N10" s="48"/>
      <c r="O10" s="49" t="s">
        <v>15</v>
      </c>
      <c r="P10" s="49"/>
      <c r="Q10" s="50" t="s">
        <v>16</v>
      </c>
      <c r="R10" s="50"/>
      <c r="S10" s="56" t="s">
        <v>17</v>
      </c>
      <c r="T10" s="56"/>
      <c r="U10" s="57" t="s">
        <v>18</v>
      </c>
      <c r="V10" s="57"/>
      <c r="W10" s="58" t="s">
        <v>19</v>
      </c>
      <c r="X10" s="58"/>
      <c r="Z10" s="59" t="s">
        <v>20</v>
      </c>
      <c r="AA10" s="60"/>
      <c r="AB10" s="61" t="s">
        <v>21</v>
      </c>
      <c r="AC10" s="62"/>
    </row>
    <row r="11" spans="2:29" x14ac:dyDescent="0.3">
      <c r="B11" s="75" t="str">
        <f>D4</f>
        <v>천세원</v>
      </c>
      <c r="C11" s="4" t="s">
        <v>64</v>
      </c>
      <c r="D11" s="26">
        <v>3441004</v>
      </c>
      <c r="E11" s="4"/>
      <c r="F11" s="26"/>
      <c r="G11" s="4" t="s">
        <v>80</v>
      </c>
      <c r="H11" s="26">
        <v>0</v>
      </c>
      <c r="I11" s="4" t="s">
        <v>78</v>
      </c>
      <c r="J11" s="26">
        <v>8100000</v>
      </c>
      <c r="K11" s="4" t="s">
        <v>81</v>
      </c>
      <c r="L11" s="26">
        <v>80445</v>
      </c>
      <c r="M11" s="4"/>
      <c r="N11" s="26"/>
      <c r="O11" s="4" t="s">
        <v>88</v>
      </c>
      <c r="P11" s="26">
        <v>0</v>
      </c>
      <c r="Q11" s="4" t="s">
        <v>90</v>
      </c>
      <c r="R11" s="26">
        <v>38057601</v>
      </c>
      <c r="S11" s="4" t="s">
        <v>86</v>
      </c>
      <c r="T11" s="26">
        <v>2610835.6274000001</v>
      </c>
      <c r="U11" s="4"/>
      <c r="V11" s="26"/>
      <c r="W11" s="4" t="s">
        <v>100</v>
      </c>
      <c r="X11" s="29">
        <v>9280000</v>
      </c>
      <c r="Z11" s="4"/>
      <c r="AA11" s="26"/>
      <c r="AB11" s="4" t="s">
        <v>99</v>
      </c>
      <c r="AC11" s="26">
        <v>0</v>
      </c>
    </row>
    <row r="12" spans="2:29" x14ac:dyDescent="0.3">
      <c r="B12" s="76"/>
      <c r="C12" s="6" t="s">
        <v>65</v>
      </c>
      <c r="D12" s="26">
        <v>1</v>
      </c>
      <c r="E12" s="6"/>
      <c r="F12" s="26"/>
      <c r="G12" s="6"/>
      <c r="H12" s="26"/>
      <c r="I12" s="6" t="s">
        <v>79</v>
      </c>
      <c r="J12" s="26">
        <v>3200000</v>
      </c>
      <c r="K12" s="6" t="s">
        <v>82</v>
      </c>
      <c r="L12" s="26">
        <v>0</v>
      </c>
      <c r="M12" s="6"/>
      <c r="N12" s="26"/>
      <c r="O12" s="6" t="s">
        <v>89</v>
      </c>
      <c r="P12" s="26">
        <v>0</v>
      </c>
      <c r="Q12" s="6" t="s">
        <v>79</v>
      </c>
      <c r="R12" s="26">
        <v>3200000</v>
      </c>
      <c r="S12" s="6" t="s">
        <v>85</v>
      </c>
      <c r="T12" s="26">
        <v>1254000</v>
      </c>
      <c r="U12" s="6"/>
      <c r="V12" s="26"/>
      <c r="W12" s="6"/>
      <c r="X12" s="30"/>
      <c r="Z12" s="6"/>
      <c r="AA12" s="26"/>
      <c r="AB12" s="6"/>
      <c r="AC12" s="26"/>
    </row>
    <row r="13" spans="2:29" x14ac:dyDescent="0.3">
      <c r="B13" s="76"/>
      <c r="C13" s="6" t="s">
        <v>66</v>
      </c>
      <c r="D13" s="26">
        <v>70</v>
      </c>
      <c r="E13" s="6"/>
      <c r="F13" s="26"/>
      <c r="G13" s="6"/>
      <c r="H13" s="26"/>
      <c r="I13" s="6"/>
      <c r="J13" s="26"/>
      <c r="K13" s="6" t="s">
        <v>83</v>
      </c>
      <c r="L13" s="26">
        <v>0</v>
      </c>
      <c r="M13" s="6"/>
      <c r="N13" s="26"/>
      <c r="O13" s="6"/>
      <c r="P13" s="26"/>
      <c r="Q13" s="6"/>
      <c r="R13" s="26"/>
      <c r="S13" s="6" t="s">
        <v>58</v>
      </c>
      <c r="T13" s="26">
        <v>0</v>
      </c>
      <c r="U13" s="6"/>
      <c r="V13" s="26"/>
      <c r="W13" s="6"/>
      <c r="X13" s="30"/>
      <c r="Z13" s="6"/>
      <c r="AA13" s="26"/>
      <c r="AB13" s="6"/>
      <c r="AC13" s="26"/>
    </row>
    <row r="14" spans="2:29" x14ac:dyDescent="0.3">
      <c r="B14" s="76"/>
      <c r="C14" s="6" t="s">
        <v>67</v>
      </c>
      <c r="D14" s="26">
        <v>93</v>
      </c>
      <c r="E14" s="6"/>
      <c r="F14" s="26"/>
      <c r="G14" s="6"/>
      <c r="H14" s="26"/>
      <c r="I14" s="6"/>
      <c r="J14" s="26"/>
      <c r="K14" s="6" t="s">
        <v>84</v>
      </c>
      <c r="L14" s="26">
        <v>0</v>
      </c>
      <c r="M14" s="6"/>
      <c r="N14" s="26"/>
      <c r="O14" s="6"/>
      <c r="P14" s="26"/>
      <c r="Q14" s="6"/>
      <c r="R14" s="26"/>
      <c r="S14" s="6" t="s">
        <v>87</v>
      </c>
      <c r="T14" s="26">
        <v>326621</v>
      </c>
      <c r="U14" s="6"/>
      <c r="V14" s="26"/>
      <c r="W14" s="6"/>
      <c r="X14" s="30"/>
      <c r="Z14" s="10"/>
      <c r="AA14" s="9"/>
      <c r="AB14" s="10"/>
      <c r="AC14" s="9"/>
    </row>
    <row r="15" spans="2:29" x14ac:dyDescent="0.3">
      <c r="B15" s="76"/>
      <c r="C15" s="6" t="s">
        <v>68</v>
      </c>
      <c r="D15" s="26">
        <v>15752135</v>
      </c>
      <c r="E15" s="6"/>
      <c r="F15" s="26"/>
      <c r="G15" s="6"/>
      <c r="H15" s="26"/>
      <c r="I15" s="6"/>
      <c r="J15" s="26"/>
      <c r="K15" s="6"/>
      <c r="L15" s="26"/>
      <c r="M15" s="6"/>
      <c r="N15" s="26"/>
      <c r="O15" s="6"/>
      <c r="P15" s="26"/>
      <c r="Q15" s="6"/>
      <c r="R15" s="26"/>
      <c r="S15" s="6" t="s">
        <v>61</v>
      </c>
      <c r="T15" s="26">
        <v>121523.6378</v>
      </c>
      <c r="U15" s="6"/>
      <c r="V15" s="26"/>
      <c r="W15" s="6"/>
      <c r="X15" s="30"/>
      <c r="Z15" s="6"/>
      <c r="AA15" s="26"/>
      <c r="AB15" s="6" t="s">
        <v>99</v>
      </c>
      <c r="AC15" s="26">
        <v>0</v>
      </c>
    </row>
    <row r="16" spans="2:29" x14ac:dyDescent="0.3">
      <c r="B16" s="76"/>
      <c r="C16" s="6" t="s">
        <v>68</v>
      </c>
      <c r="D16" s="26">
        <v>1059</v>
      </c>
      <c r="E16" s="6"/>
      <c r="F16" s="26"/>
      <c r="G16" s="6"/>
      <c r="H16" s="26"/>
      <c r="I16" s="6"/>
      <c r="J16" s="26"/>
      <c r="K16" s="6"/>
      <c r="L16" s="26"/>
      <c r="M16" s="6"/>
      <c r="N16" s="26"/>
      <c r="O16" s="6"/>
      <c r="P16" s="26"/>
      <c r="Q16" s="6"/>
      <c r="R16" s="26"/>
      <c r="S16" s="6" t="s">
        <v>61</v>
      </c>
      <c r="T16" s="26">
        <v>0</v>
      </c>
      <c r="U16" s="6"/>
      <c r="V16" s="26"/>
      <c r="W16" s="6"/>
      <c r="X16" s="30"/>
      <c r="Z16" s="6"/>
      <c r="AA16" s="26"/>
      <c r="AB16" s="6"/>
      <c r="AC16" s="26"/>
    </row>
    <row r="17" spans="2:29" x14ac:dyDescent="0.3">
      <c r="B17" s="76"/>
      <c r="C17" s="6" t="s">
        <v>69</v>
      </c>
      <c r="D17" s="26">
        <v>0</v>
      </c>
      <c r="E17" s="6"/>
      <c r="F17" s="26"/>
      <c r="G17" s="6"/>
      <c r="H17" s="26"/>
      <c r="I17" s="6"/>
      <c r="J17" s="26"/>
      <c r="K17" s="6"/>
      <c r="L17" s="26"/>
      <c r="M17" s="6"/>
      <c r="N17" s="26"/>
      <c r="O17" s="6"/>
      <c r="P17" s="26"/>
      <c r="Q17" s="6"/>
      <c r="R17" s="26"/>
      <c r="S17" s="6" t="s">
        <v>62</v>
      </c>
      <c r="T17" s="26">
        <v>10</v>
      </c>
      <c r="U17" s="6"/>
      <c r="V17" s="26"/>
      <c r="W17" s="6"/>
      <c r="X17" s="30"/>
      <c r="Z17" s="6"/>
      <c r="AA17" s="26"/>
      <c r="AB17" s="6"/>
      <c r="AC17" s="26"/>
    </row>
    <row r="18" spans="2:29" x14ac:dyDescent="0.3">
      <c r="B18" s="76"/>
      <c r="C18" s="6"/>
      <c r="D18" s="26"/>
      <c r="E18" s="6"/>
      <c r="F18" s="26"/>
      <c r="G18" s="6"/>
      <c r="H18" s="26"/>
      <c r="I18" s="6"/>
      <c r="J18" s="26"/>
      <c r="K18" s="6"/>
      <c r="L18" s="26"/>
      <c r="M18" s="6"/>
      <c r="N18" s="26"/>
      <c r="O18" s="6"/>
      <c r="P18" s="26"/>
      <c r="Q18" s="6"/>
      <c r="R18" s="26"/>
      <c r="S18" s="6" t="s">
        <v>63</v>
      </c>
      <c r="T18" s="26">
        <v>0</v>
      </c>
      <c r="U18" s="6"/>
      <c r="V18" s="26"/>
      <c r="W18" s="6"/>
      <c r="X18" s="30"/>
      <c r="Z18" s="6"/>
      <c r="AA18" s="26"/>
      <c r="AB18" s="6"/>
      <c r="AC18" s="26"/>
    </row>
    <row r="19" spans="2:29" x14ac:dyDescent="0.3">
      <c r="B19" s="76"/>
      <c r="C19" s="6"/>
      <c r="D19" s="26"/>
      <c r="E19" s="6"/>
      <c r="F19" s="26"/>
      <c r="G19" s="6"/>
      <c r="H19" s="26"/>
      <c r="I19" s="6"/>
      <c r="J19" s="26"/>
      <c r="K19" s="6"/>
      <c r="L19" s="26"/>
      <c r="M19" s="6"/>
      <c r="N19" s="26"/>
      <c r="O19" s="6"/>
      <c r="P19" s="26"/>
      <c r="Q19" s="6"/>
      <c r="R19" s="26"/>
      <c r="S19" s="6" t="s">
        <v>63</v>
      </c>
      <c r="T19" s="26">
        <v>0</v>
      </c>
      <c r="U19" s="6"/>
      <c r="V19" s="26"/>
      <c r="W19" s="6"/>
      <c r="X19" s="30"/>
      <c r="Z19" s="7" t="s">
        <v>22</v>
      </c>
      <c r="AA19" s="8">
        <f>SUM(AA11:AA18)</f>
        <v>0</v>
      </c>
      <c r="AB19" s="7" t="s">
        <v>22</v>
      </c>
      <c r="AC19" s="8">
        <f>SUM(AC11:AC18)</f>
        <v>0</v>
      </c>
    </row>
    <row r="20" spans="2:29" x14ac:dyDescent="0.3">
      <c r="B20" s="76"/>
      <c r="C20" s="6"/>
      <c r="D20" s="26"/>
      <c r="E20" s="6"/>
      <c r="F20" s="26"/>
      <c r="G20" s="6"/>
      <c r="H20" s="26"/>
      <c r="I20" s="6"/>
      <c r="J20" s="26"/>
      <c r="K20" s="6"/>
      <c r="L20" s="26"/>
      <c r="M20" s="6"/>
      <c r="N20" s="26"/>
      <c r="O20" s="6"/>
      <c r="P20" s="26"/>
      <c r="Q20" s="6"/>
      <c r="R20" s="26"/>
      <c r="S20" s="6"/>
      <c r="T20" s="26"/>
      <c r="U20" s="6"/>
      <c r="V20" s="26"/>
      <c r="W20" s="6"/>
      <c r="X20" s="30"/>
      <c r="Z20" s="7" t="s">
        <v>23</v>
      </c>
      <c r="AA20" s="9">
        <f>SUM(AA19,AC19)</f>
        <v>0</v>
      </c>
      <c r="AB20" s="10"/>
      <c r="AC20" s="11"/>
    </row>
    <row r="21" spans="2:29" x14ac:dyDescent="0.3">
      <c r="B21" s="76"/>
      <c r="C21" s="6"/>
      <c r="D21" s="26"/>
      <c r="E21" s="6"/>
      <c r="F21" s="26"/>
      <c r="G21" s="6"/>
      <c r="H21" s="26"/>
      <c r="I21" s="6"/>
      <c r="J21" s="26"/>
      <c r="K21" s="6"/>
      <c r="L21" s="26"/>
      <c r="M21" s="6"/>
      <c r="N21" s="26"/>
      <c r="O21" s="6"/>
      <c r="P21" s="26"/>
      <c r="Q21" s="6"/>
      <c r="R21" s="26"/>
      <c r="S21" s="6"/>
      <c r="T21" s="26"/>
      <c r="U21" s="6"/>
      <c r="V21" s="26"/>
      <c r="W21" s="6"/>
      <c r="X21" s="30"/>
      <c r="Z21" s="5"/>
      <c r="AA21" s="5"/>
      <c r="AB21" s="5"/>
      <c r="AC21" s="5"/>
    </row>
    <row r="22" spans="2:29" x14ac:dyDescent="0.3">
      <c r="B22" s="76"/>
      <c r="C22" s="6"/>
      <c r="D22" s="26"/>
      <c r="E22" s="6"/>
      <c r="F22" s="26"/>
      <c r="G22" s="6"/>
      <c r="H22" s="26"/>
      <c r="I22" s="6"/>
      <c r="J22" s="26"/>
      <c r="K22" s="6"/>
      <c r="L22" s="26"/>
      <c r="M22" s="6"/>
      <c r="N22" s="26"/>
      <c r="O22" s="6"/>
      <c r="P22" s="26"/>
      <c r="Q22" s="6"/>
      <c r="R22" s="26"/>
      <c r="S22" s="6"/>
      <c r="T22" s="26"/>
      <c r="U22" s="6"/>
      <c r="V22" s="26"/>
      <c r="W22" s="6"/>
      <c r="X22" s="30"/>
      <c r="Z22" s="5"/>
      <c r="AA22" s="5"/>
      <c r="AB22" s="5"/>
      <c r="AC22" s="5"/>
    </row>
    <row r="23" spans="2:29" x14ac:dyDescent="0.3">
      <c r="B23" s="76"/>
      <c r="C23" s="6"/>
      <c r="D23" s="26"/>
      <c r="E23" s="6"/>
      <c r="F23" s="26"/>
      <c r="G23" s="6"/>
      <c r="H23" s="26"/>
      <c r="I23" s="6"/>
      <c r="J23" s="26"/>
      <c r="K23" s="6"/>
      <c r="L23" s="26"/>
      <c r="M23" s="6"/>
      <c r="N23" s="26"/>
      <c r="O23" s="6"/>
      <c r="P23" s="26"/>
      <c r="Q23" s="6"/>
      <c r="R23" s="26"/>
      <c r="S23" s="6"/>
      <c r="T23" s="26"/>
      <c r="U23" s="6"/>
      <c r="V23" s="26"/>
      <c r="W23" s="6"/>
      <c r="X23" s="30"/>
      <c r="Z23" s="5"/>
      <c r="AA23" s="5"/>
      <c r="AB23" s="5"/>
      <c r="AC23" s="5"/>
    </row>
    <row r="24" spans="2:29" x14ac:dyDescent="0.3">
      <c r="B24" s="76"/>
      <c r="C24" s="6"/>
      <c r="D24" s="26"/>
      <c r="E24" s="6"/>
      <c r="F24" s="26"/>
      <c r="G24" s="6"/>
      <c r="H24" s="26"/>
      <c r="I24" s="6"/>
      <c r="J24" s="26"/>
      <c r="K24" s="6"/>
      <c r="L24" s="26"/>
      <c r="M24" s="6"/>
      <c r="N24" s="26"/>
      <c r="O24" s="6"/>
      <c r="P24" s="26"/>
      <c r="Q24" s="6"/>
      <c r="R24" s="26"/>
      <c r="S24" s="6"/>
      <c r="T24" s="26"/>
      <c r="U24" s="6"/>
      <c r="V24" s="26"/>
      <c r="W24" s="6"/>
      <c r="X24" s="30"/>
      <c r="Z24" s="5"/>
      <c r="AA24" s="5"/>
      <c r="AB24" s="5"/>
      <c r="AC24" s="5"/>
    </row>
    <row r="25" spans="2:29" x14ac:dyDescent="0.3">
      <c r="B25" s="76"/>
      <c r="C25" s="6"/>
      <c r="D25" s="26"/>
      <c r="E25" s="6"/>
      <c r="F25" s="26"/>
      <c r="G25" s="6"/>
      <c r="H25" s="26"/>
      <c r="I25" s="6"/>
      <c r="J25" s="26"/>
      <c r="K25" s="6"/>
      <c r="L25" s="26"/>
      <c r="M25" s="6"/>
      <c r="N25" s="26"/>
      <c r="O25" s="6"/>
      <c r="P25" s="26"/>
      <c r="Q25" s="6"/>
      <c r="R25" s="26"/>
      <c r="S25" s="6"/>
      <c r="T25" s="26"/>
      <c r="U25" s="6"/>
      <c r="V25" s="26"/>
      <c r="W25" s="6"/>
      <c r="X25" s="30"/>
      <c r="Z25" s="5"/>
      <c r="AA25" s="5"/>
      <c r="AB25" s="5"/>
      <c r="AC25" s="5"/>
    </row>
    <row r="26" spans="2:29" x14ac:dyDescent="0.3">
      <c r="B26" s="76"/>
      <c r="C26" s="6"/>
      <c r="D26" s="26"/>
      <c r="E26" s="6"/>
      <c r="F26" s="26"/>
      <c r="G26" s="6"/>
      <c r="H26" s="26"/>
      <c r="I26" s="6"/>
      <c r="J26" s="26"/>
      <c r="K26" s="6"/>
      <c r="L26" s="26"/>
      <c r="M26" s="6"/>
      <c r="N26" s="26"/>
      <c r="O26" s="6"/>
      <c r="P26" s="26"/>
      <c r="Q26" s="6"/>
      <c r="R26" s="26"/>
      <c r="S26" s="6"/>
      <c r="T26" s="26"/>
      <c r="U26" s="6"/>
      <c r="V26" s="26"/>
      <c r="W26" s="6"/>
      <c r="X26" s="30"/>
      <c r="Z26" s="5"/>
      <c r="AA26" s="5"/>
      <c r="AB26" s="5"/>
      <c r="AC26" s="5"/>
    </row>
    <row r="27" spans="2:29" x14ac:dyDescent="0.3">
      <c r="B27" s="76"/>
      <c r="C27" s="6"/>
      <c r="D27" s="26"/>
      <c r="E27" s="6"/>
      <c r="F27" s="26"/>
      <c r="G27" s="6"/>
      <c r="H27" s="26"/>
      <c r="I27" s="6"/>
      <c r="J27" s="26"/>
      <c r="K27" s="6"/>
      <c r="L27" s="26"/>
      <c r="M27" s="6"/>
      <c r="N27" s="26"/>
      <c r="O27" s="6"/>
      <c r="P27" s="26"/>
      <c r="Q27" s="6"/>
      <c r="R27" s="26"/>
      <c r="S27" s="6"/>
      <c r="T27" s="26"/>
      <c r="U27" s="6"/>
      <c r="V27" s="26"/>
      <c r="W27" s="6"/>
      <c r="X27" s="30"/>
      <c r="Z27" s="5"/>
      <c r="AA27" s="5"/>
      <c r="AB27" s="5"/>
      <c r="AC27" s="5"/>
    </row>
    <row r="28" spans="2:29" x14ac:dyDescent="0.3">
      <c r="B28" s="76"/>
      <c r="C28" s="6"/>
      <c r="D28" s="26"/>
      <c r="E28" s="6"/>
      <c r="F28" s="26"/>
      <c r="G28" s="6"/>
      <c r="H28" s="26"/>
      <c r="I28" s="6"/>
      <c r="J28" s="26"/>
      <c r="K28" s="6"/>
      <c r="L28" s="26"/>
      <c r="M28" s="6"/>
      <c r="N28" s="26"/>
      <c r="O28" s="6"/>
      <c r="P28" s="26"/>
      <c r="Q28" s="6"/>
      <c r="R28" s="26"/>
      <c r="S28" s="6"/>
      <c r="T28" s="26"/>
      <c r="U28" s="6"/>
      <c r="V28" s="26"/>
      <c r="W28" s="6"/>
      <c r="X28" s="30"/>
      <c r="Z28" s="5"/>
      <c r="AA28" s="5"/>
      <c r="AB28" s="5"/>
      <c r="AC28" s="5"/>
    </row>
    <row r="29" spans="2:29" x14ac:dyDescent="0.3">
      <c r="B29" s="76"/>
      <c r="C29" s="6"/>
      <c r="D29" s="26"/>
      <c r="E29" s="6"/>
      <c r="F29" s="26"/>
      <c r="G29" s="6"/>
      <c r="H29" s="26"/>
      <c r="I29" s="6"/>
      <c r="J29" s="26"/>
      <c r="K29" s="6"/>
      <c r="L29" s="26"/>
      <c r="M29" s="6"/>
      <c r="N29" s="26"/>
      <c r="O29" s="6"/>
      <c r="P29" s="26"/>
      <c r="Q29" s="6"/>
      <c r="R29" s="26"/>
      <c r="S29" s="6"/>
      <c r="T29" s="26"/>
      <c r="U29" s="6"/>
      <c r="V29" s="26"/>
      <c r="W29" s="6"/>
      <c r="X29" s="30"/>
      <c r="Z29" s="5"/>
      <c r="AA29" s="5"/>
      <c r="AB29" s="5"/>
      <c r="AC29" s="5"/>
    </row>
    <row r="30" spans="2:29" x14ac:dyDescent="0.3">
      <c r="B30" s="76"/>
      <c r="C30" s="6"/>
      <c r="D30" s="26"/>
      <c r="E30" s="6"/>
      <c r="F30" s="26"/>
      <c r="G30" s="6"/>
      <c r="H30" s="26"/>
      <c r="I30" s="6"/>
      <c r="J30" s="26"/>
      <c r="K30" s="6"/>
      <c r="L30" s="26"/>
      <c r="M30" s="6"/>
      <c r="N30" s="26"/>
      <c r="O30" s="6"/>
      <c r="P30" s="26"/>
      <c r="Q30" s="6"/>
      <c r="R30" s="26"/>
      <c r="S30" s="6"/>
      <c r="T30" s="26"/>
      <c r="U30" s="6"/>
      <c r="V30" s="26"/>
      <c r="W30" s="6"/>
      <c r="X30" s="30"/>
      <c r="Z30" s="5"/>
      <c r="AA30" s="5"/>
      <c r="AB30" s="5"/>
      <c r="AC30" s="5"/>
    </row>
    <row r="31" spans="2:29" x14ac:dyDescent="0.3">
      <c r="B31" s="76"/>
      <c r="C31" s="6"/>
      <c r="D31" s="26"/>
      <c r="E31" s="6"/>
      <c r="F31" s="26"/>
      <c r="G31" s="6"/>
      <c r="H31" s="26"/>
      <c r="I31" s="6"/>
      <c r="J31" s="26"/>
      <c r="K31" s="6"/>
      <c r="L31" s="26"/>
      <c r="M31" s="6"/>
      <c r="N31" s="26"/>
      <c r="O31" s="6"/>
      <c r="P31" s="26"/>
      <c r="Q31" s="6"/>
      <c r="R31" s="26"/>
      <c r="S31" s="6"/>
      <c r="T31" s="26"/>
      <c r="U31" s="6"/>
      <c r="V31" s="26"/>
      <c r="W31" s="6"/>
      <c r="X31" s="30"/>
      <c r="Z31" s="5"/>
      <c r="AA31" s="5"/>
      <c r="AB31" s="5"/>
      <c r="AC31" s="5"/>
    </row>
    <row r="32" spans="2:29" x14ac:dyDescent="0.3">
      <c r="B32" s="76"/>
      <c r="C32" s="6"/>
      <c r="D32" s="26"/>
      <c r="E32" s="6"/>
      <c r="F32" s="26"/>
      <c r="G32" s="6"/>
      <c r="H32" s="26"/>
      <c r="I32" s="6"/>
      <c r="J32" s="26"/>
      <c r="K32" s="6"/>
      <c r="L32" s="26"/>
      <c r="M32" s="6"/>
      <c r="N32" s="26"/>
      <c r="O32" s="6"/>
      <c r="P32" s="26"/>
      <c r="Q32" s="6"/>
      <c r="R32" s="26"/>
      <c r="S32" s="6"/>
      <c r="T32" s="26"/>
      <c r="U32" s="6"/>
      <c r="V32" s="26"/>
      <c r="W32" s="6"/>
      <c r="X32" s="30"/>
      <c r="Z32" s="5"/>
      <c r="AA32" s="5"/>
      <c r="AB32" s="5"/>
      <c r="AC32" s="5"/>
    </row>
    <row r="33" spans="2:24" x14ac:dyDescent="0.3">
      <c r="B33" s="76"/>
      <c r="C33" s="6"/>
      <c r="D33" s="26"/>
      <c r="E33" s="6"/>
      <c r="F33" s="26"/>
      <c r="G33" s="6"/>
      <c r="H33" s="26"/>
      <c r="I33" s="6"/>
      <c r="J33" s="26"/>
      <c r="K33" s="6"/>
      <c r="L33" s="26"/>
      <c r="M33" s="6"/>
      <c r="N33" s="26"/>
      <c r="O33" s="6"/>
      <c r="P33" s="26"/>
      <c r="Q33" s="6"/>
      <c r="R33" s="26"/>
      <c r="S33" s="6"/>
      <c r="T33" s="26"/>
      <c r="U33" s="6"/>
      <c r="V33" s="26"/>
      <c r="W33" s="6"/>
      <c r="X33" s="30"/>
    </row>
    <row r="34" spans="2:24" x14ac:dyDescent="0.3">
      <c r="B34" s="76"/>
      <c r="C34" s="6"/>
      <c r="D34" s="26"/>
      <c r="E34" s="6"/>
      <c r="F34" s="26"/>
      <c r="G34" s="6"/>
      <c r="H34" s="26"/>
      <c r="I34" s="6"/>
      <c r="J34" s="26"/>
      <c r="K34" s="6"/>
      <c r="L34" s="26"/>
      <c r="M34" s="6"/>
      <c r="N34" s="26"/>
      <c r="O34" s="6"/>
      <c r="P34" s="26"/>
      <c r="Q34" s="6"/>
      <c r="R34" s="26"/>
      <c r="S34" s="6"/>
      <c r="T34" s="26"/>
      <c r="U34" s="6"/>
      <c r="V34" s="26"/>
      <c r="W34" s="6"/>
      <c r="X34" s="30"/>
    </row>
    <row r="35" spans="2:24" x14ac:dyDescent="0.3">
      <c r="B35" s="76"/>
      <c r="C35" s="6"/>
      <c r="D35" s="26"/>
      <c r="E35" s="6"/>
      <c r="F35" s="26"/>
      <c r="G35" s="6"/>
      <c r="H35" s="26"/>
      <c r="I35" s="6"/>
      <c r="J35" s="26"/>
      <c r="K35" s="6"/>
      <c r="L35" s="26"/>
      <c r="M35" s="6"/>
      <c r="N35" s="26"/>
      <c r="O35" s="6"/>
      <c r="P35" s="26"/>
      <c r="Q35" s="6"/>
      <c r="R35" s="26"/>
      <c r="S35" s="6"/>
      <c r="T35" s="26"/>
      <c r="U35" s="6"/>
      <c r="V35" s="26"/>
      <c r="W35" s="6"/>
      <c r="X35" s="30"/>
    </row>
    <row r="36" spans="2:24" x14ac:dyDescent="0.3">
      <c r="B36" s="76"/>
      <c r="C36" s="6"/>
      <c r="D36" s="26"/>
      <c r="E36" s="6"/>
      <c r="F36" s="26"/>
      <c r="G36" s="6"/>
      <c r="H36" s="26"/>
      <c r="I36" s="6"/>
      <c r="J36" s="26"/>
      <c r="K36" s="6"/>
      <c r="L36" s="26"/>
      <c r="M36" s="6"/>
      <c r="N36" s="26"/>
      <c r="O36" s="6"/>
      <c r="P36" s="26"/>
      <c r="Q36" s="6"/>
      <c r="R36" s="26"/>
      <c r="S36" s="6"/>
      <c r="T36" s="26"/>
      <c r="U36" s="6"/>
      <c r="V36" s="26"/>
      <c r="W36" s="6"/>
      <c r="X36" s="30"/>
    </row>
    <row r="37" spans="2:24" x14ac:dyDescent="0.3">
      <c r="B37" s="76"/>
      <c r="C37" s="6"/>
      <c r="D37" s="26"/>
      <c r="E37" s="6"/>
      <c r="F37" s="26"/>
      <c r="G37" s="6"/>
      <c r="H37" s="26"/>
      <c r="I37" s="6"/>
      <c r="J37" s="26"/>
      <c r="K37" s="6"/>
      <c r="L37" s="26"/>
      <c r="M37" s="6"/>
      <c r="N37" s="26"/>
      <c r="O37" s="6"/>
      <c r="P37" s="26"/>
      <c r="Q37" s="6"/>
      <c r="R37" s="26"/>
      <c r="S37" s="6"/>
      <c r="T37" s="26"/>
      <c r="U37" s="6"/>
      <c r="V37" s="26"/>
      <c r="W37" s="6"/>
      <c r="X37" s="30"/>
    </row>
    <row r="38" spans="2:24" x14ac:dyDescent="0.3">
      <c r="B38" s="77"/>
      <c r="C38" s="10"/>
      <c r="D38" s="27"/>
      <c r="E38" s="10"/>
      <c r="F38" s="27"/>
      <c r="G38" s="10"/>
      <c r="H38" s="27"/>
      <c r="I38" s="10"/>
      <c r="J38" s="27"/>
      <c r="K38" s="10"/>
      <c r="L38" s="27"/>
      <c r="M38" s="10"/>
      <c r="N38" s="27"/>
      <c r="O38" s="10"/>
      <c r="P38" s="27"/>
      <c r="Q38" s="10"/>
      <c r="R38" s="27"/>
      <c r="S38" s="10"/>
      <c r="T38" s="27"/>
      <c r="U38" s="10"/>
      <c r="V38" s="27"/>
      <c r="W38" s="10"/>
      <c r="X38" s="31"/>
    </row>
    <row r="39" spans="2:24" x14ac:dyDescent="0.3">
      <c r="B39" s="78" t="str">
        <f>D6</f>
        <v>하유진</v>
      </c>
      <c r="C39" s="6" t="s">
        <v>64</v>
      </c>
      <c r="D39" s="28">
        <v>33429949</v>
      </c>
      <c r="E39" s="6"/>
      <c r="F39" s="28"/>
      <c r="G39" s="6" t="s">
        <v>80</v>
      </c>
      <c r="H39" s="28">
        <v>0</v>
      </c>
      <c r="I39" s="6" t="s">
        <v>91</v>
      </c>
      <c r="J39" s="28">
        <v>4000000</v>
      </c>
      <c r="K39" s="6" t="s">
        <v>93</v>
      </c>
      <c r="L39" s="28">
        <v>903213</v>
      </c>
      <c r="M39" s="6"/>
      <c r="N39" s="28"/>
      <c r="O39" s="6" t="s">
        <v>95</v>
      </c>
      <c r="P39" s="28">
        <v>0</v>
      </c>
      <c r="Q39" s="6" t="s">
        <v>167</v>
      </c>
      <c r="R39" s="28">
        <v>0</v>
      </c>
      <c r="S39" s="6" t="s">
        <v>39</v>
      </c>
      <c r="T39" s="28">
        <v>1787303.0252</v>
      </c>
      <c r="U39" s="6"/>
      <c r="V39" s="28"/>
      <c r="W39" s="6" t="s">
        <v>169</v>
      </c>
      <c r="X39" s="30">
        <v>7300000</v>
      </c>
    </row>
    <row r="40" spans="2:24" x14ac:dyDescent="0.3">
      <c r="B40" s="79"/>
      <c r="C40" s="6" t="s">
        <v>65</v>
      </c>
      <c r="D40" s="28">
        <v>1</v>
      </c>
      <c r="E40" s="6"/>
      <c r="F40" s="28"/>
      <c r="G40" s="6"/>
      <c r="H40" s="28"/>
      <c r="I40" s="6" t="s">
        <v>92</v>
      </c>
      <c r="J40" s="28">
        <v>30000000</v>
      </c>
      <c r="K40" s="6" t="s">
        <v>83</v>
      </c>
      <c r="L40" s="28">
        <v>0</v>
      </c>
      <c r="M40" s="6"/>
      <c r="N40" s="28"/>
      <c r="O40" s="6" t="s">
        <v>96</v>
      </c>
      <c r="P40" s="28">
        <v>0</v>
      </c>
      <c r="Q40" s="6"/>
      <c r="R40" s="28"/>
      <c r="S40" s="6" t="s">
        <v>40</v>
      </c>
      <c r="T40" s="28">
        <v>380000</v>
      </c>
      <c r="U40" s="6"/>
      <c r="V40" s="28"/>
      <c r="W40" s="6"/>
      <c r="X40" s="30"/>
    </row>
    <row r="41" spans="2:24" x14ac:dyDescent="0.3">
      <c r="B41" s="79"/>
      <c r="C41" s="6" t="s">
        <v>70</v>
      </c>
      <c r="D41" s="28">
        <v>41306396</v>
      </c>
      <c r="E41" s="6"/>
      <c r="F41" s="28"/>
      <c r="G41" s="6"/>
      <c r="H41" s="28"/>
      <c r="I41" s="6" t="s">
        <v>92</v>
      </c>
      <c r="J41" s="28">
        <v>45000000</v>
      </c>
      <c r="K41" s="6" t="s">
        <v>94</v>
      </c>
      <c r="L41" s="28">
        <v>0</v>
      </c>
      <c r="M41" s="6"/>
      <c r="N41" s="28"/>
      <c r="O41" s="6" t="s">
        <v>97</v>
      </c>
      <c r="P41" s="28">
        <v>0</v>
      </c>
      <c r="Q41" s="6"/>
      <c r="R41" s="28"/>
      <c r="S41" s="6" t="s">
        <v>168</v>
      </c>
      <c r="T41" s="28">
        <v>170630.46</v>
      </c>
      <c r="U41" s="6"/>
      <c r="V41" s="28"/>
      <c r="W41" s="6"/>
      <c r="X41" s="30"/>
    </row>
    <row r="42" spans="2:24" x14ac:dyDescent="0.3">
      <c r="B42" s="79"/>
      <c r="C42" s="6" t="s">
        <v>71</v>
      </c>
      <c r="D42" s="28">
        <v>0</v>
      </c>
      <c r="E42" s="6"/>
      <c r="F42" s="28"/>
      <c r="G42" s="6"/>
      <c r="H42" s="28"/>
      <c r="I42" s="6" t="s">
        <v>167</v>
      </c>
      <c r="J42" s="28">
        <v>0</v>
      </c>
      <c r="K42" s="6"/>
      <c r="L42" s="28"/>
      <c r="M42" s="6"/>
      <c r="N42" s="28"/>
      <c r="O42" s="6" t="s">
        <v>98</v>
      </c>
      <c r="P42" s="28">
        <v>0</v>
      </c>
      <c r="Q42" s="6"/>
      <c r="R42" s="28"/>
      <c r="S42" s="6" t="s">
        <v>41</v>
      </c>
      <c r="T42" s="28">
        <v>82894.319199999998</v>
      </c>
      <c r="U42" s="6"/>
      <c r="V42" s="28"/>
      <c r="W42" s="6"/>
      <c r="X42" s="30"/>
    </row>
    <row r="43" spans="2:24" x14ac:dyDescent="0.3">
      <c r="B43" s="79"/>
      <c r="C43" s="6" t="s">
        <v>72</v>
      </c>
      <c r="D43" s="28">
        <v>809</v>
      </c>
      <c r="E43" s="6"/>
      <c r="F43" s="28"/>
      <c r="G43" s="6"/>
      <c r="H43" s="28"/>
      <c r="I43" s="6"/>
      <c r="J43" s="28"/>
      <c r="K43" s="6"/>
      <c r="L43" s="28"/>
      <c r="M43" s="6"/>
      <c r="N43" s="28"/>
      <c r="O43" s="6"/>
      <c r="P43" s="28"/>
      <c r="Q43" s="6"/>
      <c r="R43" s="28"/>
      <c r="S43" s="6" t="s">
        <v>42</v>
      </c>
      <c r="T43" s="28">
        <v>36400</v>
      </c>
      <c r="U43" s="6"/>
      <c r="V43" s="28"/>
      <c r="W43" s="6"/>
      <c r="X43" s="30"/>
    </row>
    <row r="44" spans="2:24" x14ac:dyDescent="0.3">
      <c r="B44" s="79"/>
      <c r="C44" s="6" t="s">
        <v>73</v>
      </c>
      <c r="D44" s="28">
        <v>4252</v>
      </c>
      <c r="E44" s="6"/>
      <c r="F44" s="28"/>
      <c r="G44" s="6"/>
      <c r="H44" s="28"/>
      <c r="I44" s="6"/>
      <c r="J44" s="28"/>
      <c r="K44" s="6"/>
      <c r="L44" s="28"/>
      <c r="M44" s="6"/>
      <c r="N44" s="28"/>
      <c r="O44" s="6"/>
      <c r="P44" s="28"/>
      <c r="Q44" s="6"/>
      <c r="R44" s="28"/>
      <c r="S44" s="6" t="s">
        <v>43</v>
      </c>
      <c r="T44" s="28">
        <v>8970</v>
      </c>
      <c r="U44" s="6"/>
      <c r="V44" s="28"/>
      <c r="W44" s="6"/>
      <c r="X44" s="30"/>
    </row>
    <row r="45" spans="2:24" x14ac:dyDescent="0.3">
      <c r="B45" s="79"/>
      <c r="C45" s="6" t="s">
        <v>74</v>
      </c>
      <c r="D45" s="28">
        <v>121035</v>
      </c>
      <c r="E45" s="6"/>
      <c r="F45" s="28"/>
      <c r="G45" s="6"/>
      <c r="H45" s="28"/>
      <c r="I45" s="6"/>
      <c r="J45" s="28"/>
      <c r="K45" s="6"/>
      <c r="L45" s="28"/>
      <c r="M45" s="6"/>
      <c r="N45" s="28"/>
      <c r="O45" s="6"/>
      <c r="P45" s="28"/>
      <c r="Q45" s="6"/>
      <c r="R45" s="28"/>
      <c r="S45" s="6" t="s">
        <v>44</v>
      </c>
      <c r="T45" s="28">
        <v>644400</v>
      </c>
      <c r="U45" s="6"/>
      <c r="V45" s="28"/>
      <c r="W45" s="6"/>
      <c r="X45" s="30"/>
    </row>
    <row r="46" spans="2:24" x14ac:dyDescent="0.3">
      <c r="B46" s="79"/>
      <c r="C46" s="6" t="s">
        <v>75</v>
      </c>
      <c r="D46" s="28">
        <v>0</v>
      </c>
      <c r="E46" s="6"/>
      <c r="F46" s="28"/>
      <c r="G46" s="6"/>
      <c r="H46" s="28"/>
      <c r="I46" s="6"/>
      <c r="J46" s="28"/>
      <c r="K46" s="6"/>
      <c r="L46" s="28"/>
      <c r="M46" s="6"/>
      <c r="N46" s="28"/>
      <c r="O46" s="6"/>
      <c r="P46" s="28"/>
      <c r="Q46" s="6"/>
      <c r="R46" s="28"/>
      <c r="S46" s="6" t="s">
        <v>45</v>
      </c>
      <c r="T46" s="28">
        <v>508000</v>
      </c>
      <c r="U46" s="6"/>
      <c r="V46" s="28"/>
      <c r="W46" s="6"/>
      <c r="X46" s="30"/>
    </row>
    <row r="47" spans="2:24" x14ac:dyDescent="0.3">
      <c r="B47" s="79"/>
      <c r="C47" s="6" t="s">
        <v>67</v>
      </c>
      <c r="D47" s="28">
        <v>3924310</v>
      </c>
      <c r="E47" s="6"/>
      <c r="F47" s="28"/>
      <c r="G47" s="6"/>
      <c r="H47" s="28"/>
      <c r="I47" s="6"/>
      <c r="J47" s="28"/>
      <c r="K47" s="6"/>
      <c r="L47" s="28"/>
      <c r="M47" s="6"/>
      <c r="N47" s="28"/>
      <c r="O47" s="6"/>
      <c r="P47" s="28"/>
      <c r="Q47" s="6"/>
      <c r="R47" s="28"/>
      <c r="S47" s="6" t="s">
        <v>46</v>
      </c>
      <c r="T47" s="28">
        <v>386400</v>
      </c>
      <c r="U47" s="6"/>
      <c r="V47" s="28"/>
      <c r="W47" s="6"/>
      <c r="X47" s="30"/>
    </row>
    <row r="48" spans="2:24" x14ac:dyDescent="0.3">
      <c r="B48" s="79"/>
      <c r="C48" s="6" t="s">
        <v>67</v>
      </c>
      <c r="D48" s="28">
        <v>0</v>
      </c>
      <c r="E48" s="6"/>
      <c r="F48" s="28"/>
      <c r="G48" s="6"/>
      <c r="H48" s="28"/>
      <c r="I48" s="6"/>
      <c r="J48" s="28"/>
      <c r="K48" s="6"/>
      <c r="L48" s="28"/>
      <c r="M48" s="6"/>
      <c r="N48" s="28"/>
      <c r="O48" s="6"/>
      <c r="P48" s="28"/>
      <c r="Q48" s="6"/>
      <c r="R48" s="28"/>
      <c r="S48" s="6" t="s">
        <v>47</v>
      </c>
      <c r="T48" s="28">
        <v>283500</v>
      </c>
      <c r="U48" s="6"/>
      <c r="V48" s="28"/>
      <c r="W48" s="6"/>
      <c r="X48" s="30"/>
    </row>
    <row r="49" spans="2:24" x14ac:dyDescent="0.3">
      <c r="B49" s="79"/>
      <c r="C49" s="6" t="s">
        <v>68</v>
      </c>
      <c r="D49" s="28">
        <v>15</v>
      </c>
      <c r="E49" s="6"/>
      <c r="F49" s="28"/>
      <c r="G49" s="6"/>
      <c r="H49" s="28"/>
      <c r="I49" s="6"/>
      <c r="J49" s="28"/>
      <c r="K49" s="6"/>
      <c r="L49" s="28"/>
      <c r="M49" s="6"/>
      <c r="N49" s="28"/>
      <c r="O49" s="6"/>
      <c r="P49" s="28"/>
      <c r="Q49" s="6"/>
      <c r="R49" s="28"/>
      <c r="S49" s="6" t="s">
        <v>48</v>
      </c>
      <c r="T49" s="28">
        <v>211500</v>
      </c>
      <c r="U49" s="6"/>
      <c r="V49" s="28"/>
      <c r="W49" s="6"/>
      <c r="X49" s="30"/>
    </row>
    <row r="50" spans="2:24" x14ac:dyDescent="0.3">
      <c r="B50" s="79"/>
      <c r="C50" s="6" t="s">
        <v>76</v>
      </c>
      <c r="D50" s="28">
        <v>19519</v>
      </c>
      <c r="E50" s="6"/>
      <c r="F50" s="28"/>
      <c r="G50" s="6"/>
      <c r="H50" s="28"/>
      <c r="I50" s="6"/>
      <c r="J50" s="28"/>
      <c r="K50" s="6"/>
      <c r="L50" s="28"/>
      <c r="M50" s="6"/>
      <c r="N50" s="28"/>
      <c r="O50" s="6"/>
      <c r="P50" s="28"/>
      <c r="Q50" s="6"/>
      <c r="R50" s="28"/>
      <c r="S50" s="6" t="s">
        <v>49</v>
      </c>
      <c r="T50" s="28">
        <v>145600</v>
      </c>
      <c r="U50" s="6"/>
      <c r="V50" s="28"/>
      <c r="W50" s="6"/>
      <c r="X50" s="30"/>
    </row>
    <row r="51" spans="2:24" x14ac:dyDescent="0.3">
      <c r="B51" s="79"/>
      <c r="C51" s="6"/>
      <c r="D51" s="28"/>
      <c r="E51" s="6"/>
      <c r="F51" s="28"/>
      <c r="G51" s="6"/>
      <c r="H51" s="28"/>
      <c r="I51" s="6"/>
      <c r="J51" s="28"/>
      <c r="K51" s="6"/>
      <c r="L51" s="28"/>
      <c r="M51" s="6"/>
      <c r="N51" s="28"/>
      <c r="O51" s="6"/>
      <c r="P51" s="28"/>
      <c r="Q51" s="6"/>
      <c r="R51" s="28"/>
      <c r="S51" s="6" t="s">
        <v>50</v>
      </c>
      <c r="T51" s="28">
        <v>119750</v>
      </c>
      <c r="U51" s="6"/>
      <c r="V51" s="28"/>
      <c r="W51" s="6"/>
      <c r="X51" s="30"/>
    </row>
    <row r="52" spans="2:24" x14ac:dyDescent="0.3">
      <c r="B52" s="79"/>
      <c r="C52" s="6"/>
      <c r="D52" s="28"/>
      <c r="E52" s="6"/>
      <c r="F52" s="28"/>
      <c r="G52" s="6"/>
      <c r="H52" s="28"/>
      <c r="I52" s="6"/>
      <c r="J52" s="28"/>
      <c r="K52" s="6"/>
      <c r="L52" s="28"/>
      <c r="M52" s="6"/>
      <c r="N52" s="28"/>
      <c r="O52" s="6"/>
      <c r="P52" s="28"/>
      <c r="Q52" s="6"/>
      <c r="R52" s="28"/>
      <c r="S52" s="6" t="s">
        <v>51</v>
      </c>
      <c r="T52" s="28">
        <v>72920</v>
      </c>
      <c r="U52" s="6"/>
      <c r="V52" s="28"/>
      <c r="W52" s="6"/>
      <c r="X52" s="30"/>
    </row>
    <row r="53" spans="2:24" x14ac:dyDescent="0.3">
      <c r="B53" s="79"/>
      <c r="C53" s="6"/>
      <c r="D53" s="28"/>
      <c r="E53" s="6"/>
      <c r="F53" s="28"/>
      <c r="G53" s="6"/>
      <c r="H53" s="28"/>
      <c r="I53" s="6"/>
      <c r="J53" s="28"/>
      <c r="K53" s="6"/>
      <c r="L53" s="28"/>
      <c r="M53" s="6"/>
      <c r="N53" s="28"/>
      <c r="O53" s="6"/>
      <c r="P53" s="28"/>
      <c r="Q53" s="6"/>
      <c r="R53" s="28"/>
      <c r="S53" s="6" t="s">
        <v>52</v>
      </c>
      <c r="T53" s="28">
        <v>38860</v>
      </c>
      <c r="U53" s="6"/>
      <c r="V53" s="28"/>
      <c r="W53" s="6"/>
      <c r="X53" s="30"/>
    </row>
    <row r="54" spans="2:24" x14ac:dyDescent="0.3">
      <c r="B54" s="79"/>
      <c r="C54" s="6"/>
      <c r="D54" s="28"/>
      <c r="E54" s="6"/>
      <c r="F54" s="28"/>
      <c r="G54" s="6"/>
      <c r="H54" s="28"/>
      <c r="I54" s="6"/>
      <c r="J54" s="28"/>
      <c r="K54" s="6"/>
      <c r="L54" s="28"/>
      <c r="M54" s="6"/>
      <c r="N54" s="28"/>
      <c r="O54" s="6"/>
      <c r="P54" s="28"/>
      <c r="Q54" s="6"/>
      <c r="R54" s="28"/>
      <c r="S54" s="6" t="s">
        <v>53</v>
      </c>
      <c r="T54" s="28">
        <v>6790</v>
      </c>
      <c r="U54" s="6"/>
      <c r="V54" s="28"/>
      <c r="W54" s="6"/>
      <c r="X54" s="30"/>
    </row>
    <row r="55" spans="2:24" x14ac:dyDescent="0.3">
      <c r="B55" s="79"/>
      <c r="C55" s="6"/>
      <c r="D55" s="28"/>
      <c r="E55" s="6"/>
      <c r="F55" s="28"/>
      <c r="G55" s="6"/>
      <c r="H55" s="28"/>
      <c r="I55" s="6"/>
      <c r="J55" s="28"/>
      <c r="K55" s="6"/>
      <c r="L55" s="28"/>
      <c r="M55" s="6"/>
      <c r="N55" s="28"/>
      <c r="O55" s="6"/>
      <c r="P55" s="28"/>
      <c r="Q55" s="6"/>
      <c r="R55" s="28"/>
      <c r="S55" s="6" t="s">
        <v>54</v>
      </c>
      <c r="T55" s="28">
        <v>31000</v>
      </c>
      <c r="U55" s="6"/>
      <c r="V55" s="28"/>
      <c r="W55" s="6"/>
      <c r="X55" s="30"/>
    </row>
    <row r="56" spans="2:24" x14ac:dyDescent="0.3">
      <c r="B56" s="79"/>
      <c r="C56" s="6"/>
      <c r="D56" s="28"/>
      <c r="E56" s="6"/>
      <c r="F56" s="28"/>
      <c r="G56" s="6"/>
      <c r="H56" s="28"/>
      <c r="I56" s="6"/>
      <c r="J56" s="28"/>
      <c r="K56" s="6"/>
      <c r="L56" s="28"/>
      <c r="M56" s="6"/>
      <c r="N56" s="28"/>
      <c r="O56" s="6"/>
      <c r="P56" s="28"/>
      <c r="Q56" s="6"/>
      <c r="R56" s="28"/>
      <c r="S56" s="6" t="s">
        <v>55</v>
      </c>
      <c r="T56" s="28">
        <v>19520</v>
      </c>
      <c r="U56" s="6"/>
      <c r="V56" s="28"/>
      <c r="W56" s="6"/>
      <c r="X56" s="30"/>
    </row>
    <row r="57" spans="2:24" x14ac:dyDescent="0.3">
      <c r="B57" s="79"/>
      <c r="C57" s="6"/>
      <c r="D57" s="28"/>
      <c r="E57" s="6"/>
      <c r="F57" s="28"/>
      <c r="G57" s="6"/>
      <c r="H57" s="28"/>
      <c r="I57" s="6"/>
      <c r="J57" s="28"/>
      <c r="K57" s="6"/>
      <c r="L57" s="28"/>
      <c r="M57" s="6"/>
      <c r="N57" s="28"/>
      <c r="O57" s="6"/>
      <c r="P57" s="28"/>
      <c r="Q57" s="6"/>
      <c r="R57" s="28"/>
      <c r="S57" s="6" t="s">
        <v>56</v>
      </c>
      <c r="T57" s="28">
        <v>0</v>
      </c>
      <c r="U57" s="6"/>
      <c r="V57" s="28"/>
      <c r="W57" s="6"/>
      <c r="X57" s="30"/>
    </row>
    <row r="58" spans="2:24" x14ac:dyDescent="0.3">
      <c r="B58" s="79"/>
      <c r="C58" s="6"/>
      <c r="D58" s="28"/>
      <c r="E58" s="6"/>
      <c r="F58" s="28"/>
      <c r="G58" s="6"/>
      <c r="H58" s="28"/>
      <c r="I58" s="6"/>
      <c r="J58" s="28"/>
      <c r="K58" s="6"/>
      <c r="L58" s="28"/>
      <c r="M58" s="6"/>
      <c r="N58" s="28"/>
      <c r="O58" s="6"/>
      <c r="P58" s="28"/>
      <c r="Q58" s="6"/>
      <c r="R58" s="28"/>
      <c r="S58" s="6" t="s">
        <v>57</v>
      </c>
      <c r="T58" s="28">
        <v>417376</v>
      </c>
      <c r="U58" s="6"/>
      <c r="V58" s="28"/>
      <c r="W58" s="6"/>
      <c r="X58" s="30"/>
    </row>
    <row r="59" spans="2:24" x14ac:dyDescent="0.3">
      <c r="B59" s="79"/>
      <c r="C59" s="6"/>
      <c r="D59" s="28"/>
      <c r="E59" s="6"/>
      <c r="F59" s="28"/>
      <c r="G59" s="6"/>
      <c r="H59" s="28"/>
      <c r="I59" s="6"/>
      <c r="J59" s="28"/>
      <c r="K59" s="6"/>
      <c r="L59" s="28"/>
      <c r="M59" s="6"/>
      <c r="N59" s="28"/>
      <c r="O59" s="6"/>
      <c r="P59" s="28"/>
      <c r="Q59" s="6"/>
      <c r="R59" s="28"/>
      <c r="S59" s="6" t="s">
        <v>58</v>
      </c>
      <c r="T59" s="28">
        <v>225</v>
      </c>
      <c r="U59" s="6"/>
      <c r="V59" s="28"/>
      <c r="W59" s="6"/>
      <c r="X59" s="30"/>
    </row>
    <row r="60" spans="2:24" x14ac:dyDescent="0.3">
      <c r="B60" s="79"/>
      <c r="C60" s="6"/>
      <c r="D60" s="28"/>
      <c r="E60" s="6"/>
      <c r="F60" s="28"/>
      <c r="G60" s="6"/>
      <c r="H60" s="28"/>
      <c r="I60" s="6"/>
      <c r="J60" s="28"/>
      <c r="K60" s="6"/>
      <c r="L60" s="28"/>
      <c r="M60" s="6"/>
      <c r="N60" s="28"/>
      <c r="O60" s="6"/>
      <c r="P60" s="28"/>
      <c r="Q60" s="6"/>
      <c r="R60" s="28"/>
      <c r="S60" s="6" t="s">
        <v>59</v>
      </c>
      <c r="T60" s="28">
        <v>377467</v>
      </c>
      <c r="U60" s="6"/>
      <c r="V60" s="28"/>
      <c r="W60" s="6"/>
      <c r="X60" s="30"/>
    </row>
    <row r="61" spans="2:24" x14ac:dyDescent="0.3">
      <c r="B61" s="79"/>
      <c r="C61" s="6"/>
      <c r="D61" s="28"/>
      <c r="E61" s="6"/>
      <c r="F61" s="28"/>
      <c r="G61" s="6"/>
      <c r="H61" s="28"/>
      <c r="I61" s="6"/>
      <c r="J61" s="28"/>
      <c r="K61" s="6"/>
      <c r="L61" s="28"/>
      <c r="M61" s="6"/>
      <c r="N61" s="28"/>
      <c r="O61" s="6"/>
      <c r="P61" s="28"/>
      <c r="Q61" s="6"/>
      <c r="R61" s="28"/>
      <c r="S61" s="6" t="s">
        <v>60</v>
      </c>
      <c r="T61" s="28">
        <v>0</v>
      </c>
      <c r="U61" s="6"/>
      <c r="V61" s="28"/>
      <c r="W61" s="6"/>
      <c r="X61" s="30"/>
    </row>
    <row r="62" spans="2:24" x14ac:dyDescent="0.3">
      <c r="B62" s="79"/>
      <c r="C62" s="6"/>
      <c r="D62" s="28"/>
      <c r="E62" s="6"/>
      <c r="F62" s="28"/>
      <c r="G62" s="6"/>
      <c r="H62" s="28"/>
      <c r="I62" s="6"/>
      <c r="J62" s="28"/>
      <c r="K62" s="6"/>
      <c r="L62" s="28"/>
      <c r="M62" s="6"/>
      <c r="N62" s="28"/>
      <c r="O62" s="6"/>
      <c r="P62" s="28"/>
      <c r="Q62" s="6"/>
      <c r="R62" s="28"/>
      <c r="S62" s="6" t="s">
        <v>61</v>
      </c>
      <c r="T62" s="28">
        <v>0</v>
      </c>
      <c r="U62" s="6"/>
      <c r="V62" s="28"/>
      <c r="W62" s="6"/>
      <c r="X62" s="30"/>
    </row>
    <row r="63" spans="2:24" x14ac:dyDescent="0.3">
      <c r="B63" s="79"/>
      <c r="C63" s="6"/>
      <c r="D63" s="28"/>
      <c r="E63" s="6"/>
      <c r="F63" s="28"/>
      <c r="G63" s="6"/>
      <c r="H63" s="28"/>
      <c r="I63" s="6"/>
      <c r="J63" s="28"/>
      <c r="K63" s="6"/>
      <c r="L63" s="28"/>
      <c r="M63" s="6"/>
      <c r="N63" s="28"/>
      <c r="O63" s="6"/>
      <c r="P63" s="28"/>
      <c r="Q63" s="6"/>
      <c r="R63" s="28"/>
      <c r="S63" s="6" t="s">
        <v>61</v>
      </c>
      <c r="T63" s="28">
        <v>157539.022</v>
      </c>
      <c r="U63" s="6"/>
      <c r="V63" s="28"/>
      <c r="W63" s="6"/>
      <c r="X63" s="30"/>
    </row>
    <row r="64" spans="2:24" x14ac:dyDescent="0.3">
      <c r="B64" s="79"/>
      <c r="C64" s="6"/>
      <c r="D64" s="28"/>
      <c r="E64" s="6"/>
      <c r="F64" s="28"/>
      <c r="G64" s="6"/>
      <c r="H64" s="28"/>
      <c r="I64" s="6"/>
      <c r="J64" s="28"/>
      <c r="K64" s="6"/>
      <c r="L64" s="28"/>
      <c r="M64" s="6"/>
      <c r="N64" s="28"/>
      <c r="O64" s="6"/>
      <c r="P64" s="28"/>
      <c r="Q64" s="6"/>
      <c r="R64" s="28"/>
      <c r="S64" s="6" t="s">
        <v>62</v>
      </c>
      <c r="T64" s="28">
        <v>40</v>
      </c>
      <c r="U64" s="6"/>
      <c r="V64" s="28"/>
      <c r="W64" s="6"/>
      <c r="X64" s="30"/>
    </row>
    <row r="65" spans="2:24" x14ac:dyDescent="0.3">
      <c r="B65" s="79"/>
      <c r="C65" s="6"/>
      <c r="D65" s="28"/>
      <c r="E65" s="6"/>
      <c r="F65" s="28"/>
      <c r="G65" s="6"/>
      <c r="H65" s="28"/>
      <c r="I65" s="6"/>
      <c r="J65" s="28"/>
      <c r="K65" s="6"/>
      <c r="L65" s="28"/>
      <c r="M65" s="6"/>
      <c r="N65" s="28"/>
      <c r="O65" s="6"/>
      <c r="P65" s="28"/>
      <c r="Q65" s="6"/>
      <c r="R65" s="28"/>
      <c r="S65" s="6" t="s">
        <v>63</v>
      </c>
      <c r="T65" s="28">
        <v>0</v>
      </c>
      <c r="U65" s="6"/>
      <c r="V65" s="28"/>
      <c r="W65" s="6"/>
      <c r="X65" s="30"/>
    </row>
    <row r="66" spans="2:24" x14ac:dyDescent="0.3">
      <c r="B66" s="80"/>
      <c r="C66" s="10"/>
      <c r="D66" s="28"/>
      <c r="E66" s="10"/>
      <c r="F66" s="28"/>
      <c r="G66" s="10"/>
      <c r="H66" s="28"/>
      <c r="I66" s="10"/>
      <c r="J66" s="28"/>
      <c r="K66" s="10"/>
      <c r="L66" s="28"/>
      <c r="M66" s="10"/>
      <c r="N66" s="28"/>
      <c r="O66" s="10"/>
      <c r="P66" s="28"/>
      <c r="Q66" s="10"/>
      <c r="R66" s="28"/>
      <c r="S66" s="6"/>
      <c r="T66" s="28"/>
      <c r="U66" s="10"/>
      <c r="V66" s="28"/>
      <c r="W66" s="10"/>
      <c r="X66" s="31"/>
    </row>
    <row r="67" spans="2:24" x14ac:dyDescent="0.3">
      <c r="B67" s="15"/>
      <c r="C67" s="7" t="s">
        <v>77</v>
      </c>
      <c r="D67" s="18">
        <f>SUM(D11:D66)</f>
        <v>98000648</v>
      </c>
      <c r="E67" s="7" t="s">
        <v>22</v>
      </c>
      <c r="F67" s="18">
        <f>SUM(F11:F66)</f>
        <v>0</v>
      </c>
      <c r="G67" s="7" t="s">
        <v>22</v>
      </c>
      <c r="H67" s="18">
        <f>SUM(H11:H66)</f>
        <v>0</v>
      </c>
      <c r="I67" s="7" t="s">
        <v>22</v>
      </c>
      <c r="J67" s="18">
        <f>SUM(J11:J66)</f>
        <v>90300000</v>
      </c>
      <c r="K67" s="7" t="s">
        <v>22</v>
      </c>
      <c r="L67" s="18">
        <f>SUM(L11:L66)</f>
        <v>983658</v>
      </c>
      <c r="M67" s="7" t="s">
        <v>22</v>
      </c>
      <c r="N67" s="18">
        <f>SUM(N11:N66)</f>
        <v>0</v>
      </c>
      <c r="O67" s="7" t="s">
        <v>22</v>
      </c>
      <c r="P67" s="18">
        <f>SUM(P11:P66)</f>
        <v>0</v>
      </c>
      <c r="Q67" s="7" t="s">
        <v>22</v>
      </c>
      <c r="R67" s="18">
        <f>SUM(R11:R66)</f>
        <v>41257601</v>
      </c>
      <c r="S67" s="7" t="s">
        <v>22</v>
      </c>
      <c r="T67" s="18">
        <f>SUM(T11:T66)</f>
        <v>10200075.091600001</v>
      </c>
      <c r="U67" s="7" t="s">
        <v>22</v>
      </c>
      <c r="V67" s="18">
        <f>SUM(V11:V66)</f>
        <v>0</v>
      </c>
      <c r="W67" s="7" t="s">
        <v>22</v>
      </c>
      <c r="X67" s="19">
        <f>SUM(X11:X66)</f>
        <v>16580000</v>
      </c>
    </row>
    <row r="68" spans="2:24" x14ac:dyDescent="0.3">
      <c r="B68" s="15"/>
      <c r="C68" s="7" t="s">
        <v>24</v>
      </c>
      <c r="D68" s="85">
        <f>SUM(D67,F67,H67,J67,L67,N67,P67,R67)</f>
        <v>230541907</v>
      </c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7"/>
      <c r="S68" s="7" t="s">
        <v>24</v>
      </c>
      <c r="T68" s="85">
        <f>SUM(T67,V67,X67)</f>
        <v>26780075.091600001</v>
      </c>
      <c r="U68" s="86"/>
      <c r="V68" s="86"/>
      <c r="W68" s="86"/>
      <c r="X68" s="87"/>
    </row>
    <row r="69" spans="2:24" ht="17.25" thickBot="1" x14ac:dyDescent="0.35">
      <c r="B69" s="16"/>
      <c r="C69" s="12" t="s">
        <v>23</v>
      </c>
      <c r="D69" s="70">
        <f>SUM(D68,T68)</f>
        <v>257321982.0916</v>
      </c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2"/>
    </row>
  </sheetData>
  <mergeCells count="30">
    <mergeCell ref="K4:P4"/>
    <mergeCell ref="K6:P6"/>
    <mergeCell ref="H4:I4"/>
    <mergeCell ref="D68:R68"/>
    <mergeCell ref="T68:X68"/>
    <mergeCell ref="D69:X69"/>
    <mergeCell ref="B9:B10"/>
    <mergeCell ref="B11:B38"/>
    <mergeCell ref="B39:B66"/>
    <mergeCell ref="S9:X9"/>
    <mergeCell ref="B4:C4"/>
    <mergeCell ref="B6:C6"/>
    <mergeCell ref="B2:D2"/>
    <mergeCell ref="D4:E4"/>
    <mergeCell ref="D6:E6"/>
    <mergeCell ref="Z9:AC9"/>
    <mergeCell ref="E10:F10"/>
    <mergeCell ref="G10:H10"/>
    <mergeCell ref="I10:J10"/>
    <mergeCell ref="K10:L10"/>
    <mergeCell ref="M10:N10"/>
    <mergeCell ref="O10:P10"/>
    <mergeCell ref="Q10:R10"/>
    <mergeCell ref="C9:R9"/>
    <mergeCell ref="C10:D10"/>
    <mergeCell ref="S10:T10"/>
    <mergeCell ref="U10:V10"/>
    <mergeCell ref="W10:X10"/>
    <mergeCell ref="Z10:AA10"/>
    <mergeCell ref="AB10:AC10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7" r:id="rId3" name="CommandButton2">
          <controlPr defaultSize="0" autoLine="0" r:id="rId4">
            <anchor moveWithCells="1">
              <from>
                <xdr:col>16</xdr:col>
                <xdr:colOff>28575</xdr:colOff>
                <xdr:row>4</xdr:row>
                <xdr:rowOff>190500</xdr:rowOff>
              </from>
              <to>
                <xdr:col>17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1027" r:id="rId3" name="CommandButton2"/>
      </mc:Fallback>
    </mc:AlternateContent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16</xdr:col>
                <xdr:colOff>19050</xdr:colOff>
                <xdr:row>2</xdr:row>
                <xdr:rowOff>190500</xdr:rowOff>
              </from>
              <to>
                <xdr:col>17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1028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B2:Y101"/>
  <sheetViews>
    <sheetView tabSelected="1" zoomScaleNormal="100" workbookViewId="0">
      <selection activeCell="L18" sqref="L18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5.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88" t="s">
        <v>25</v>
      </c>
      <c r="C2" s="88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98">
        <v>10000000</v>
      </c>
      <c r="D4" s="98"/>
      <c r="G4" s="100" t="str">
        <f>설정!D4</f>
        <v>천세원</v>
      </c>
      <c r="H4" s="101"/>
      <c r="I4" s="101"/>
      <c r="J4" s="101"/>
      <c r="K4" s="101"/>
      <c r="L4" s="101"/>
      <c r="M4" s="101"/>
      <c r="N4" s="101"/>
      <c r="O4" s="102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I90+S90</f>
        <v>-11416282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21416282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-1.1416282</v>
      </c>
      <c r="D7" s="99"/>
      <c r="G7" s="6"/>
      <c r="H7" s="39"/>
      <c r="I7" s="28"/>
      <c r="J7" s="6" t="s">
        <v>120</v>
      </c>
      <c r="K7" s="39" t="s">
        <v>121</v>
      </c>
      <c r="L7" s="28">
        <v>-28800</v>
      </c>
      <c r="M7" s="6" t="s">
        <v>127</v>
      </c>
      <c r="N7" s="39" t="s">
        <v>178</v>
      </c>
      <c r="O7" s="40">
        <v>100000</v>
      </c>
      <c r="P7" s="5"/>
      <c r="Q7" s="6" t="s">
        <v>112</v>
      </c>
      <c r="R7" s="39" t="s">
        <v>113</v>
      </c>
      <c r="S7" s="28">
        <v>0</v>
      </c>
      <c r="T7" s="6" t="s">
        <v>137</v>
      </c>
      <c r="U7" s="39" t="s">
        <v>131</v>
      </c>
      <c r="V7" s="28">
        <v>-40000</v>
      </c>
      <c r="W7" s="6" t="s">
        <v>145</v>
      </c>
      <c r="X7" s="39" t="s">
        <v>183</v>
      </c>
      <c r="Y7" s="40">
        <v>39856</v>
      </c>
    </row>
    <row r="8" spans="2:25" x14ac:dyDescent="0.3">
      <c r="G8" s="6"/>
      <c r="H8" s="39"/>
      <c r="I8" s="28"/>
      <c r="J8" s="6" t="s">
        <v>129</v>
      </c>
      <c r="K8" s="39" t="s">
        <v>156</v>
      </c>
      <c r="L8" s="28">
        <v>-49000</v>
      </c>
      <c r="M8" s="6"/>
      <c r="N8" s="39"/>
      <c r="O8" s="26"/>
      <c r="P8" s="5"/>
      <c r="Q8" s="6"/>
      <c r="R8" s="39"/>
      <c r="S8" s="28"/>
      <c r="T8" s="6" t="s">
        <v>137</v>
      </c>
      <c r="U8" s="39" t="s">
        <v>185</v>
      </c>
      <c r="V8" s="28">
        <v>-56600</v>
      </c>
      <c r="W8" s="6" t="s">
        <v>133</v>
      </c>
      <c r="X8" s="39" t="s">
        <v>184</v>
      </c>
      <c r="Y8" s="26">
        <v>-374782</v>
      </c>
    </row>
    <row r="9" spans="2:25" x14ac:dyDescent="0.3">
      <c r="G9" s="6"/>
      <c r="H9" s="39"/>
      <c r="I9" s="28"/>
      <c r="J9" s="6" t="s">
        <v>119</v>
      </c>
      <c r="K9" s="39" t="s">
        <v>153</v>
      </c>
      <c r="L9" s="28">
        <v>-60000</v>
      </c>
      <c r="M9" s="6"/>
      <c r="N9" s="39"/>
      <c r="O9" s="26"/>
      <c r="P9" s="5"/>
      <c r="Q9" s="6"/>
      <c r="R9" s="39"/>
      <c r="S9" s="28"/>
      <c r="T9" s="6" t="s">
        <v>116</v>
      </c>
      <c r="U9" s="39" t="s">
        <v>161</v>
      </c>
      <c r="V9" s="28">
        <v>-2153333</v>
      </c>
      <c r="W9" s="6" t="s">
        <v>133</v>
      </c>
      <c r="X9" s="39" t="s">
        <v>136</v>
      </c>
      <c r="Y9" s="26">
        <v>-81190</v>
      </c>
    </row>
    <row r="10" spans="2:25" x14ac:dyDescent="0.3">
      <c r="G10" s="6"/>
      <c r="H10" s="39"/>
      <c r="I10" s="28"/>
      <c r="J10" s="6" t="s">
        <v>116</v>
      </c>
      <c r="K10" s="39" t="s">
        <v>150</v>
      </c>
      <c r="L10" s="28">
        <v>-700</v>
      </c>
      <c r="M10" s="6"/>
      <c r="N10" s="39"/>
      <c r="O10" s="26"/>
      <c r="P10" s="5"/>
      <c r="Q10" s="6"/>
      <c r="R10" s="39"/>
      <c r="S10" s="28"/>
      <c r="T10" s="6" t="s">
        <v>116</v>
      </c>
      <c r="U10" s="39" t="s">
        <v>186</v>
      </c>
      <c r="V10" s="28">
        <v>-12180</v>
      </c>
      <c r="W10" s="6" t="s">
        <v>114</v>
      </c>
      <c r="X10" s="39" t="s">
        <v>187</v>
      </c>
      <c r="Y10" s="26">
        <v>5000</v>
      </c>
    </row>
    <row r="11" spans="2:25" x14ac:dyDescent="0.3">
      <c r="G11" s="6"/>
      <c r="H11" s="39"/>
      <c r="I11" s="28"/>
      <c r="J11" s="6" t="s">
        <v>117</v>
      </c>
      <c r="K11" s="39" t="s">
        <v>170</v>
      </c>
      <c r="L11" s="28">
        <v>-5000</v>
      </c>
      <c r="M11" s="6"/>
      <c r="N11" s="39"/>
      <c r="O11" s="26"/>
      <c r="P11" s="5"/>
      <c r="Q11" s="6"/>
      <c r="R11" s="39"/>
      <c r="S11" s="28"/>
      <c r="T11" s="6" t="s">
        <v>125</v>
      </c>
      <c r="U11" s="39" t="s">
        <v>188</v>
      </c>
      <c r="V11" s="28">
        <v>-14500</v>
      </c>
      <c r="W11" s="6" t="s">
        <v>127</v>
      </c>
      <c r="X11" s="39" t="s">
        <v>189</v>
      </c>
      <c r="Y11" s="26">
        <v>-38000</v>
      </c>
    </row>
    <row r="12" spans="2:25" x14ac:dyDescent="0.3">
      <c r="G12" s="6"/>
      <c r="H12" s="39"/>
      <c r="I12" s="28"/>
      <c r="J12" s="6" t="s">
        <v>122</v>
      </c>
      <c r="K12" s="39" t="s">
        <v>123</v>
      </c>
      <c r="L12" s="28">
        <v>-12000</v>
      </c>
      <c r="M12" s="6"/>
      <c r="N12" s="39"/>
      <c r="O12" s="26"/>
      <c r="P12" s="5"/>
      <c r="Q12" s="6"/>
      <c r="R12" s="39"/>
      <c r="S12" s="28"/>
      <c r="T12" s="6" t="s">
        <v>137</v>
      </c>
      <c r="U12" s="39" t="s">
        <v>131</v>
      </c>
      <c r="V12" s="28">
        <v>-2500</v>
      </c>
      <c r="W12" s="6" t="s">
        <v>144</v>
      </c>
      <c r="X12" s="39" t="s">
        <v>159</v>
      </c>
      <c r="Y12" s="26">
        <v>-90000</v>
      </c>
    </row>
    <row r="13" spans="2:25" x14ac:dyDescent="0.3">
      <c r="G13" s="113"/>
      <c r="H13" s="39"/>
      <c r="I13" s="28"/>
      <c r="J13" s="6" t="s">
        <v>148</v>
      </c>
      <c r="K13" s="39" t="s">
        <v>171</v>
      </c>
      <c r="L13" s="28">
        <v>-22500</v>
      </c>
      <c r="M13" s="6"/>
      <c r="N13" s="39"/>
      <c r="O13" s="26"/>
      <c r="P13" s="5"/>
      <c r="Q13" s="6"/>
      <c r="R13" s="39"/>
      <c r="S13" s="28"/>
      <c r="T13" s="6" t="s">
        <v>137</v>
      </c>
      <c r="U13" s="39" t="s">
        <v>131</v>
      </c>
      <c r="V13" s="28">
        <v>-16642</v>
      </c>
      <c r="W13" s="6" t="s">
        <v>127</v>
      </c>
      <c r="X13" s="39" t="s">
        <v>191</v>
      </c>
      <c r="Y13" s="26">
        <v>-8000</v>
      </c>
    </row>
    <row r="14" spans="2:25" x14ac:dyDescent="0.3">
      <c r="G14" s="6"/>
      <c r="H14" s="39"/>
      <c r="I14" s="28"/>
      <c r="J14" s="6" t="s">
        <v>120</v>
      </c>
      <c r="K14" s="39" t="s">
        <v>172</v>
      </c>
      <c r="L14" s="28">
        <v>-71000</v>
      </c>
      <c r="M14" s="6"/>
      <c r="N14" s="39"/>
      <c r="O14" s="26"/>
      <c r="P14" s="5"/>
      <c r="Q14" s="6"/>
      <c r="R14" s="39"/>
      <c r="S14" s="28"/>
      <c r="T14" s="6" t="s">
        <v>138</v>
      </c>
      <c r="U14" s="39" t="s">
        <v>139</v>
      </c>
      <c r="V14" s="28">
        <v>-23473</v>
      </c>
      <c r="W14" s="6" t="s">
        <v>144</v>
      </c>
      <c r="X14" s="39" t="s">
        <v>159</v>
      </c>
      <c r="Y14" s="26">
        <v>-40000</v>
      </c>
    </row>
    <row r="15" spans="2:25" x14ac:dyDescent="0.3">
      <c r="G15" s="6"/>
      <c r="H15" s="39"/>
      <c r="I15" s="28"/>
      <c r="J15" s="6" t="s">
        <v>125</v>
      </c>
      <c r="K15" s="39" t="s">
        <v>173</v>
      </c>
      <c r="L15" s="28">
        <v>-2200</v>
      </c>
      <c r="M15" s="6"/>
      <c r="N15" s="39"/>
      <c r="O15" s="26"/>
      <c r="P15" s="5"/>
      <c r="Q15" s="6"/>
      <c r="R15" s="39"/>
      <c r="S15" s="28"/>
      <c r="T15" s="6" t="s">
        <v>138</v>
      </c>
      <c r="U15" s="39" t="s">
        <v>139</v>
      </c>
      <c r="V15" s="28">
        <v>-6000</v>
      </c>
      <c r="W15" s="6" t="s">
        <v>145</v>
      </c>
      <c r="X15" s="39" t="s">
        <v>192</v>
      </c>
      <c r="Y15" s="26">
        <v>86600</v>
      </c>
    </row>
    <row r="16" spans="2:25" x14ac:dyDescent="0.3">
      <c r="G16" s="6"/>
      <c r="H16" s="39"/>
      <c r="I16" s="28"/>
      <c r="J16" s="6" t="s">
        <v>120</v>
      </c>
      <c r="K16" s="39" t="s">
        <v>174</v>
      </c>
      <c r="L16" s="28">
        <v>-7500</v>
      </c>
      <c r="M16" s="6"/>
      <c r="N16" s="39"/>
      <c r="O16" s="26"/>
      <c r="P16" s="5"/>
      <c r="Q16" s="6"/>
      <c r="R16" s="39"/>
      <c r="S16" s="28"/>
      <c r="T16" s="6" t="s">
        <v>137</v>
      </c>
      <c r="U16" s="39" t="s">
        <v>190</v>
      </c>
      <c r="V16" s="28">
        <v>-28000</v>
      </c>
      <c r="W16" s="6" t="s">
        <v>127</v>
      </c>
      <c r="X16" s="39" t="s">
        <v>164</v>
      </c>
      <c r="Y16" s="26">
        <v>396290</v>
      </c>
    </row>
    <row r="17" spans="2:25" x14ac:dyDescent="0.3">
      <c r="G17" s="6"/>
      <c r="H17" s="39"/>
      <c r="I17" s="28"/>
      <c r="J17" s="6" t="s">
        <v>120</v>
      </c>
      <c r="K17" s="39" t="s">
        <v>175</v>
      </c>
      <c r="L17" s="28">
        <v>-7000</v>
      </c>
      <c r="M17" s="6"/>
      <c r="N17" s="39"/>
      <c r="O17" s="26"/>
      <c r="P17" s="5"/>
      <c r="Q17" s="6"/>
      <c r="R17" s="39"/>
      <c r="S17" s="28"/>
      <c r="T17" s="6" t="s">
        <v>137</v>
      </c>
      <c r="U17" s="39" t="s">
        <v>190</v>
      </c>
      <c r="V17" s="28">
        <v>28000</v>
      </c>
      <c r="W17" s="6" t="s">
        <v>133</v>
      </c>
      <c r="X17" s="39" t="s">
        <v>143</v>
      </c>
      <c r="Y17" s="26">
        <v>-5242006</v>
      </c>
    </row>
    <row r="18" spans="2:25" x14ac:dyDescent="0.3">
      <c r="G18" s="6"/>
      <c r="H18" s="39"/>
      <c r="I18" s="28"/>
      <c r="J18" s="6" t="s">
        <v>115</v>
      </c>
      <c r="K18" s="39" t="s">
        <v>176</v>
      </c>
      <c r="L18" s="28">
        <v>-4000</v>
      </c>
      <c r="M18" s="6"/>
      <c r="N18" s="39"/>
      <c r="O18" s="26"/>
      <c r="P18" s="5"/>
      <c r="Q18" s="6"/>
      <c r="R18" s="39"/>
      <c r="S18" s="28"/>
      <c r="T18" s="6" t="s">
        <v>116</v>
      </c>
      <c r="U18" s="39" t="s">
        <v>155</v>
      </c>
      <c r="V18" s="28">
        <v>-34510</v>
      </c>
      <c r="W18" s="6" t="s">
        <v>127</v>
      </c>
      <c r="X18" s="39" t="s">
        <v>135</v>
      </c>
      <c r="Y18" s="26">
        <v>3000000</v>
      </c>
    </row>
    <row r="19" spans="2:25" x14ac:dyDescent="0.3">
      <c r="G19" s="6"/>
      <c r="H19" s="39"/>
      <c r="I19" s="28"/>
      <c r="J19" s="6" t="s">
        <v>125</v>
      </c>
      <c r="K19" s="39" t="s">
        <v>177</v>
      </c>
      <c r="L19" s="28">
        <v>-5600</v>
      </c>
      <c r="M19" s="6"/>
      <c r="N19" s="39"/>
      <c r="O19" s="26"/>
      <c r="P19" s="5"/>
      <c r="Q19" s="6"/>
      <c r="R19" s="39"/>
      <c r="S19" s="28"/>
      <c r="T19" s="6" t="s">
        <v>116</v>
      </c>
      <c r="U19" s="39" t="s">
        <v>155</v>
      </c>
      <c r="V19" s="28">
        <v>-11340</v>
      </c>
      <c r="W19" s="6"/>
      <c r="X19" s="39"/>
      <c r="Y19" s="26"/>
    </row>
    <row r="20" spans="2:25" x14ac:dyDescent="0.3">
      <c r="G20" s="6"/>
      <c r="H20" s="39"/>
      <c r="I20" s="28"/>
      <c r="J20" s="6" t="s">
        <v>120</v>
      </c>
      <c r="K20" s="39" t="s">
        <v>131</v>
      </c>
      <c r="L20" s="28">
        <v>-2500</v>
      </c>
      <c r="M20" s="6"/>
      <c r="N20" s="39"/>
      <c r="O20" s="26"/>
      <c r="P20" s="5"/>
      <c r="Q20" s="6"/>
      <c r="R20" s="39"/>
      <c r="S20" s="28"/>
      <c r="T20" s="6" t="s">
        <v>144</v>
      </c>
      <c r="U20" s="39" t="s">
        <v>193</v>
      </c>
      <c r="V20" s="28">
        <v>-229000</v>
      </c>
      <c r="W20" s="6"/>
      <c r="X20" s="39"/>
      <c r="Y20" s="26"/>
    </row>
    <row r="21" spans="2:25" x14ac:dyDescent="0.3">
      <c r="G21" s="6"/>
      <c r="H21" s="39"/>
      <c r="I21" s="28"/>
      <c r="J21" s="6" t="s">
        <v>120</v>
      </c>
      <c r="K21" s="39" t="s">
        <v>131</v>
      </c>
      <c r="L21" s="28">
        <v>-16642</v>
      </c>
      <c r="M21" s="6"/>
      <c r="N21" s="39"/>
      <c r="O21" s="26"/>
      <c r="P21" s="5"/>
      <c r="Q21" s="6"/>
      <c r="R21" s="39"/>
      <c r="S21" s="28"/>
      <c r="T21" s="6" t="s">
        <v>119</v>
      </c>
      <c r="U21" s="39" t="s">
        <v>141</v>
      </c>
      <c r="V21" s="28">
        <v>-13260</v>
      </c>
      <c r="W21" s="6"/>
      <c r="X21" s="39"/>
      <c r="Y21" s="26"/>
    </row>
    <row r="22" spans="2:25" x14ac:dyDescent="0.3">
      <c r="G22" s="6"/>
      <c r="H22" s="39"/>
      <c r="I22" s="28"/>
      <c r="J22" s="6" t="s">
        <v>129</v>
      </c>
      <c r="K22" s="39" t="s">
        <v>179</v>
      </c>
      <c r="L22" s="28">
        <v>-4150</v>
      </c>
      <c r="M22" s="6"/>
      <c r="N22" s="39"/>
      <c r="O22" s="26"/>
      <c r="P22" s="5"/>
      <c r="Q22" s="6"/>
      <c r="R22" s="39"/>
      <c r="S22" s="28"/>
      <c r="T22" s="6" t="s">
        <v>137</v>
      </c>
      <c r="U22" s="39" t="s">
        <v>162</v>
      </c>
      <c r="V22" s="28">
        <v>-9000</v>
      </c>
      <c r="W22" s="6"/>
      <c r="X22" s="39"/>
      <c r="Y22" s="26"/>
    </row>
    <row r="23" spans="2:25" x14ac:dyDescent="0.3">
      <c r="G23" s="6"/>
      <c r="H23" s="39"/>
      <c r="I23" s="28"/>
      <c r="J23" s="6" t="s">
        <v>120</v>
      </c>
      <c r="K23" s="39" t="s">
        <v>180</v>
      </c>
      <c r="L23" s="28">
        <v>-11000</v>
      </c>
      <c r="M23" s="6"/>
      <c r="N23" s="39"/>
      <c r="O23" s="26"/>
      <c r="P23" s="5"/>
      <c r="Q23" s="6"/>
      <c r="R23" s="39"/>
      <c r="S23" s="28"/>
      <c r="T23" s="6" t="s">
        <v>116</v>
      </c>
      <c r="U23" s="39" t="s">
        <v>155</v>
      </c>
      <c r="V23" s="28">
        <v>-14800</v>
      </c>
      <c r="W23" s="6"/>
      <c r="X23" s="39"/>
      <c r="Y23" s="26"/>
    </row>
    <row r="24" spans="2:25" x14ac:dyDescent="0.3">
      <c r="G24" s="6"/>
      <c r="H24" s="39"/>
      <c r="I24" s="28"/>
      <c r="J24" s="6" t="s">
        <v>119</v>
      </c>
      <c r="K24" s="39" t="s">
        <v>181</v>
      </c>
      <c r="L24" s="28">
        <v>-60000</v>
      </c>
      <c r="M24" s="6"/>
      <c r="N24" s="39"/>
      <c r="O24" s="26"/>
      <c r="P24" s="5"/>
      <c r="Q24" s="6"/>
      <c r="R24" s="39"/>
      <c r="S24" s="28"/>
      <c r="T24" s="6" t="s">
        <v>119</v>
      </c>
      <c r="U24" s="39" t="s">
        <v>152</v>
      </c>
      <c r="V24" s="28">
        <v>-50000</v>
      </c>
      <c r="W24" s="6"/>
      <c r="X24" s="39"/>
      <c r="Y24" s="26"/>
    </row>
    <row r="25" spans="2:25" x14ac:dyDescent="0.3">
      <c r="B25" s="92" t="s">
        <v>194</v>
      </c>
      <c r="C25" s="93"/>
      <c r="D25" s="93"/>
      <c r="E25" s="94"/>
      <c r="G25" s="6"/>
      <c r="H25" s="39"/>
      <c r="I25" s="28"/>
      <c r="J25" s="6" t="s">
        <v>116</v>
      </c>
      <c r="K25" s="39" t="s">
        <v>124</v>
      </c>
      <c r="L25" s="28">
        <v>-160000</v>
      </c>
      <c r="M25" s="6"/>
      <c r="N25" s="39"/>
      <c r="O25" s="26"/>
      <c r="P25" s="5"/>
      <c r="Q25" s="6"/>
      <c r="R25" s="39"/>
      <c r="S25" s="28"/>
      <c r="T25" s="6" t="s">
        <v>117</v>
      </c>
      <c r="U25" s="39" t="s">
        <v>147</v>
      </c>
      <c r="V25" s="28">
        <v>-120000</v>
      </c>
      <c r="W25" s="6"/>
      <c r="X25" s="39"/>
      <c r="Y25" s="26"/>
    </row>
    <row r="26" spans="2:25" x14ac:dyDescent="0.3">
      <c r="B26" s="122" t="s">
        <v>28</v>
      </c>
      <c r="C26" s="115" t="s">
        <v>30</v>
      </c>
      <c r="D26" s="116"/>
      <c r="E26" s="117"/>
      <c r="G26" s="6"/>
      <c r="H26" s="39"/>
      <c r="I26" s="28"/>
      <c r="J26" s="6" t="s">
        <v>120</v>
      </c>
      <c r="K26" s="39" t="s">
        <v>163</v>
      </c>
      <c r="L26" s="28">
        <v>-6600</v>
      </c>
      <c r="M26" s="6"/>
      <c r="N26" s="39"/>
      <c r="O26" s="26"/>
      <c r="P26" s="5"/>
      <c r="Q26" s="6"/>
      <c r="R26" s="39"/>
      <c r="S26" s="28"/>
      <c r="T26" s="6" t="s">
        <v>137</v>
      </c>
      <c r="U26" s="39" t="s">
        <v>140</v>
      </c>
      <c r="V26" s="28">
        <v>-1200</v>
      </c>
      <c r="W26" s="6"/>
      <c r="X26" s="39"/>
      <c r="Y26" s="26"/>
    </row>
    <row r="27" spans="2:25" x14ac:dyDescent="0.3">
      <c r="B27" s="122" t="s">
        <v>115</v>
      </c>
      <c r="C27" s="118">
        <f>SUMIF($J$7:$J$88,B27,$L$7:$L$88)+SUMIF($T$7:$T$88,B27,$V$7:$V$88)</f>
        <v>-3004000</v>
      </c>
      <c r="D27" s="118"/>
      <c r="E27" s="119"/>
      <c r="G27" s="6"/>
      <c r="H27" s="39"/>
      <c r="I27" s="28"/>
      <c r="J27" s="6" t="s">
        <v>116</v>
      </c>
      <c r="K27" s="39" t="s">
        <v>158</v>
      </c>
      <c r="L27" s="28">
        <v>-500000</v>
      </c>
      <c r="M27" s="6"/>
      <c r="N27" s="39"/>
      <c r="O27" s="26"/>
      <c r="P27" s="5"/>
      <c r="Q27" s="6"/>
      <c r="R27" s="39"/>
      <c r="S27" s="28"/>
      <c r="T27" s="6" t="s">
        <v>137</v>
      </c>
      <c r="U27" s="39" t="s">
        <v>140</v>
      </c>
      <c r="V27" s="28">
        <v>-2600</v>
      </c>
      <c r="W27" s="6"/>
      <c r="X27" s="39"/>
      <c r="Y27" s="26"/>
    </row>
    <row r="28" spans="2:25" x14ac:dyDescent="0.3">
      <c r="B28" s="123" t="s">
        <v>116</v>
      </c>
      <c r="C28" s="118">
        <f>SUMIF($J$7:$J$88,B28,$L$7:$L$88)+SUMIF($T$7:$T$88,B28,$V$7:$V$88)</f>
        <v>-4424683</v>
      </c>
      <c r="D28" s="118"/>
      <c r="E28" s="119"/>
      <c r="G28" s="6"/>
      <c r="H28" s="39"/>
      <c r="I28" s="28"/>
      <c r="J28" s="6" t="s">
        <v>116</v>
      </c>
      <c r="K28" s="39" t="s">
        <v>158</v>
      </c>
      <c r="L28" s="28">
        <v>-1500000</v>
      </c>
      <c r="M28" s="6"/>
      <c r="N28" s="39"/>
      <c r="O28" s="26"/>
      <c r="P28" s="5"/>
      <c r="Q28" s="6"/>
      <c r="R28" s="39"/>
      <c r="S28" s="28"/>
      <c r="T28" s="6" t="s">
        <v>137</v>
      </c>
      <c r="U28" s="39" t="s">
        <v>140</v>
      </c>
      <c r="V28" s="28">
        <v>-1700</v>
      </c>
      <c r="W28" s="6"/>
      <c r="X28" s="39"/>
      <c r="Y28" s="26"/>
    </row>
    <row r="29" spans="2:25" x14ac:dyDescent="0.3">
      <c r="B29" s="123" t="s">
        <v>120</v>
      </c>
      <c r="C29" s="118">
        <f>SUMIF($J$7:$J$88,B29,$L$7:$L$88)+SUMIF($T$7:$T$88,B29,$V$7:$V$88)</f>
        <v>-284422</v>
      </c>
      <c r="D29" s="118"/>
      <c r="E29" s="119"/>
      <c r="G29" s="6"/>
      <c r="H29" s="39"/>
      <c r="I29" s="28"/>
      <c r="J29" s="6" t="s">
        <v>122</v>
      </c>
      <c r="K29" s="39" t="s">
        <v>160</v>
      </c>
      <c r="L29" s="28">
        <v>-500000</v>
      </c>
      <c r="M29" s="6"/>
      <c r="N29" s="39"/>
      <c r="O29" s="26"/>
      <c r="P29" s="5"/>
      <c r="Q29" s="6"/>
      <c r="R29" s="39"/>
      <c r="S29" s="28"/>
      <c r="T29" s="6" t="s">
        <v>137</v>
      </c>
      <c r="U29" s="39" t="s">
        <v>140</v>
      </c>
      <c r="V29" s="28">
        <v>-1200</v>
      </c>
      <c r="W29" s="6"/>
      <c r="X29" s="39"/>
      <c r="Y29" s="26"/>
    </row>
    <row r="30" spans="2:25" x14ac:dyDescent="0.3">
      <c r="B30" s="123" t="s">
        <v>118</v>
      </c>
      <c r="C30" s="118">
        <f>SUMIF($J$7:$J$88,B30,$L$7:$L$88)+SUMIF($T$7:$T$88,B30,$V$7:$V$88)</f>
        <v>-16500</v>
      </c>
      <c r="D30" s="118"/>
      <c r="E30" s="119"/>
      <c r="G30" s="6"/>
      <c r="H30" s="39"/>
      <c r="I30" s="28"/>
      <c r="J30" s="6" t="s">
        <v>118</v>
      </c>
      <c r="K30" s="39" t="s">
        <v>130</v>
      </c>
      <c r="L30" s="28">
        <v>-16500</v>
      </c>
      <c r="M30" s="6"/>
      <c r="N30" s="39"/>
      <c r="O30" s="26"/>
      <c r="P30" s="5"/>
      <c r="Q30" s="6"/>
      <c r="R30" s="39"/>
      <c r="S30" s="28"/>
      <c r="T30" s="6" t="s">
        <v>119</v>
      </c>
      <c r="U30" s="39" t="s">
        <v>142</v>
      </c>
      <c r="V30" s="28">
        <v>-66160</v>
      </c>
      <c r="W30" s="6"/>
      <c r="X30" s="39"/>
      <c r="Y30" s="26"/>
    </row>
    <row r="31" spans="2:25" x14ac:dyDescent="0.3">
      <c r="B31" s="123" t="s">
        <v>122</v>
      </c>
      <c r="C31" s="118">
        <f>SUMIF($J$7:$J$88,B31,$L$7:$L$88)+SUMIF($T$7:$T$88,B31,$V$7:$V$88)</f>
        <v>-512000</v>
      </c>
      <c r="D31" s="118"/>
      <c r="E31" s="119"/>
      <c r="G31" s="6"/>
      <c r="H31" s="39"/>
      <c r="I31" s="28"/>
      <c r="J31" s="6" t="s">
        <v>120</v>
      </c>
      <c r="K31" s="39" t="s">
        <v>182</v>
      </c>
      <c r="L31" s="28">
        <v>-65440</v>
      </c>
      <c r="M31" s="6"/>
      <c r="N31" s="39"/>
      <c r="O31" s="26"/>
      <c r="P31" s="5"/>
      <c r="Q31" s="6"/>
      <c r="R31" s="39"/>
      <c r="S31" s="28"/>
      <c r="T31" s="6" t="s">
        <v>151</v>
      </c>
      <c r="U31" s="39" t="s">
        <v>142</v>
      </c>
      <c r="V31" s="28">
        <v>66160</v>
      </c>
      <c r="W31" s="6"/>
      <c r="X31" s="39"/>
      <c r="Y31" s="26"/>
    </row>
    <row r="32" spans="2:25" x14ac:dyDescent="0.3">
      <c r="B32" s="123" t="s">
        <v>119</v>
      </c>
      <c r="C32" s="118">
        <f>SUMIF($J$7:$J$88,B32,$L$7:$L$88)+SUMIF($T$7:$T$88,B32,$V$7:$V$88)</f>
        <v>-381740</v>
      </c>
      <c r="D32" s="118"/>
      <c r="E32" s="119"/>
      <c r="G32" s="6"/>
      <c r="H32" s="39"/>
      <c r="I32" s="28"/>
      <c r="J32" s="6" t="s">
        <v>120</v>
      </c>
      <c r="K32" s="39" t="s">
        <v>182</v>
      </c>
      <c r="L32" s="28">
        <v>-58755</v>
      </c>
      <c r="M32" s="6"/>
      <c r="N32" s="39"/>
      <c r="O32" s="26"/>
      <c r="P32" s="5"/>
      <c r="Q32" s="6"/>
      <c r="R32" s="39"/>
      <c r="S32" s="28"/>
      <c r="T32" s="6" t="s">
        <v>119</v>
      </c>
      <c r="U32" s="39" t="s">
        <v>142</v>
      </c>
      <c r="V32" s="28">
        <v>-66160</v>
      </c>
      <c r="W32" s="6"/>
      <c r="X32" s="39"/>
      <c r="Y32" s="26"/>
    </row>
    <row r="33" spans="2:25" x14ac:dyDescent="0.3">
      <c r="B33" s="123" t="s">
        <v>129</v>
      </c>
      <c r="C33" s="118">
        <f>SUMIF($J$7:$J$88,B33,$L$7:$L$88)+SUMIF($T$7:$T$88,B33,$V$7:$V$88)</f>
        <v>-53150</v>
      </c>
      <c r="D33" s="118"/>
      <c r="E33" s="119"/>
      <c r="G33" s="6"/>
      <c r="H33" s="39"/>
      <c r="I33" s="28"/>
      <c r="J33" s="6" t="s">
        <v>120</v>
      </c>
      <c r="K33" s="39" t="s">
        <v>182</v>
      </c>
      <c r="L33" s="28">
        <v>-6685</v>
      </c>
      <c r="M33" s="6"/>
      <c r="N33" s="39"/>
      <c r="O33" s="26"/>
      <c r="P33" s="5"/>
      <c r="Q33" s="6"/>
      <c r="R33" s="39"/>
      <c r="S33" s="28"/>
      <c r="T33" s="6" t="s">
        <v>119</v>
      </c>
      <c r="U33" s="39" t="s">
        <v>142</v>
      </c>
      <c r="V33" s="28">
        <v>-66160</v>
      </c>
      <c r="W33" s="6"/>
      <c r="X33" s="39"/>
      <c r="Y33" s="26"/>
    </row>
    <row r="34" spans="2:25" x14ac:dyDescent="0.3">
      <c r="B34" s="123" t="s">
        <v>125</v>
      </c>
      <c r="C34" s="118">
        <f>SUMIF($J$7:$J$88,B34,$L$7:$L$88)+SUMIF($T$7:$T$88,B34,$V$7:$V$88)</f>
        <v>-22300</v>
      </c>
      <c r="D34" s="118"/>
      <c r="E34" s="119"/>
      <c r="G34" s="6"/>
      <c r="H34" s="39"/>
      <c r="I34" s="28"/>
      <c r="J34" s="6" t="s">
        <v>120</v>
      </c>
      <c r="K34" s="39" t="s">
        <v>131</v>
      </c>
      <c r="L34" s="28">
        <v>-2500</v>
      </c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123" t="s">
        <v>148</v>
      </c>
      <c r="C35" s="118">
        <f>SUMIF($J$7:$J$88,B35,$L$7:$L$88)+SUMIF($T$7:$T$88,B35,$V$7:$V$88)</f>
        <v>-22500</v>
      </c>
      <c r="D35" s="118"/>
      <c r="E35" s="119"/>
      <c r="G35" s="6"/>
      <c r="H35" s="39"/>
      <c r="I35" s="28"/>
      <c r="J35" s="6" t="s">
        <v>116</v>
      </c>
      <c r="K35" s="39" t="s">
        <v>149</v>
      </c>
      <c r="L35" s="28">
        <v>-37820</v>
      </c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123" t="s">
        <v>117</v>
      </c>
      <c r="C36" s="118">
        <f>SUMIF($J$7:$J$88,B36,$L$7:$L$88)+SUMIF($T$7:$T$88,B36,$V$7:$V$88)</f>
        <v>-125000</v>
      </c>
      <c r="D36" s="118"/>
      <c r="E36" s="119"/>
      <c r="G36" s="6"/>
      <c r="H36" s="39"/>
      <c r="I36" s="28"/>
      <c r="J36" s="6" t="s">
        <v>115</v>
      </c>
      <c r="K36" s="39" t="s">
        <v>132</v>
      </c>
      <c r="L36" s="28">
        <v>-3000000</v>
      </c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123" t="s">
        <v>128</v>
      </c>
      <c r="C37" s="118">
        <f>SUMIF($J$7:$J$88,B37,$L$7:$L$88)+SUMIF($T$7:$T$88,B37,$V$7:$V$88)</f>
        <v>0</v>
      </c>
      <c r="D37" s="118"/>
      <c r="E37" s="119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123" t="s">
        <v>146</v>
      </c>
      <c r="C38" s="118">
        <f>SUMIF($J$7:$J$88,B38,$L$7:$L$88)+SUMIF($T$7:$T$88,B38,$V$7:$V$88)</f>
        <v>0</v>
      </c>
      <c r="D38" s="118"/>
      <c r="E38" s="119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123" t="s">
        <v>134</v>
      </c>
      <c r="C39" s="118">
        <f>SUMIF($J$7:$J$88,B39,$L$7:$L$88)+SUMIF($T$7:$T$88,B39,$V$7:$V$88)</f>
        <v>0</v>
      </c>
      <c r="D39" s="118"/>
      <c r="E39" s="119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123" t="s">
        <v>157</v>
      </c>
      <c r="C40" s="118">
        <f>SUMIF($J$7:$J$88,B40,$L$7:$L$88)+SUMIF($T$7:$T$88,B40,$V$7:$V$88)</f>
        <v>0</v>
      </c>
      <c r="D40" s="118"/>
      <c r="E40" s="119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123" t="s">
        <v>126</v>
      </c>
      <c r="C41" s="118">
        <f>SUMIF($J$7:$J$88,B41,$L$7:$L$88)+SUMIF($T$7:$T$88,B41,$V$7:$V$88)</f>
        <v>0</v>
      </c>
      <c r="D41" s="118"/>
      <c r="E41" s="119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123" t="s">
        <v>151</v>
      </c>
      <c r="C42" s="120">
        <f>SUMIF($J$7:$J$88,B42,$L$7:$L$88)+SUMIF($T$7:$T$88,B42,$V$7:$V$88)</f>
        <v>66160</v>
      </c>
      <c r="D42" s="120"/>
      <c r="E42" s="12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123" t="s">
        <v>137</v>
      </c>
      <c r="C43" s="120">
        <f>SUMIF($J$7:$J$88,B43,$L$7:$L$88)+SUMIF($T$7:$T$88,B43,$V$7:$V$88)</f>
        <v>-131442</v>
      </c>
      <c r="D43" s="120"/>
      <c r="E43" s="12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123" t="s">
        <v>144</v>
      </c>
      <c r="C44" s="120">
        <f>SUMIF($J$7:$J$88,B44,$L$7:$L$88)+SUMIF($T$7:$T$88,B44,$V$7:$V$88)</f>
        <v>-229000</v>
      </c>
      <c r="D44" s="120"/>
      <c r="E44" s="12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123" t="s">
        <v>138</v>
      </c>
      <c r="C45" s="120">
        <f>SUMIF($J$7:$J$88,B45,$L$7:$L$88)+SUMIF($T$7:$T$88,B45,$V$7:$V$88)</f>
        <v>-29473</v>
      </c>
      <c r="D45" s="120"/>
      <c r="E45" s="12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124" t="s">
        <v>154</v>
      </c>
      <c r="C46" s="120">
        <f>SUMIF($J$7:$J$88,B46,$L$7:$L$88)+SUMIF($T$7:$T$88,B46,$V$7:$V$88)</f>
        <v>0</v>
      </c>
      <c r="D46" s="120"/>
      <c r="E46" s="12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114" t="s">
        <v>195</v>
      </c>
      <c r="C48" s="109" t="str">
        <f>IF(SUM(C27:E46)&lt;&gt;SUM(L89,V89),"항목 추가해주세요","-")</f>
        <v>-</v>
      </c>
      <c r="D48" s="110"/>
      <c r="E48" s="111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3:25" x14ac:dyDescent="0.3">
      <c r="C49" s="125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3:25" x14ac:dyDescent="0.3"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3:25" x14ac:dyDescent="0.3"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3:25" x14ac:dyDescent="0.3"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3:25" x14ac:dyDescent="0.3"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3:25" x14ac:dyDescent="0.3"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3:25" x14ac:dyDescent="0.3"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3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3:25" x14ac:dyDescent="0.3"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3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3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3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3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3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3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3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-6223892</v>
      </c>
      <c r="M89" s="7" t="s">
        <v>24</v>
      </c>
      <c r="N89" s="22" t="s">
        <v>34</v>
      </c>
      <c r="O89" s="21">
        <f>SUM(O7:O88)</f>
        <v>100000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-2946158</v>
      </c>
      <c r="W89" s="7" t="s">
        <v>24</v>
      </c>
      <c r="X89" s="22" t="s">
        <v>34</v>
      </c>
      <c r="Y89" s="21">
        <f>SUM(Y7:Y88)</f>
        <v>-2346232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-6123892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-5292390</v>
      </c>
      <c r="T90" s="37"/>
      <c r="U90" s="37"/>
      <c r="V90" s="37"/>
      <c r="W90" s="37"/>
      <c r="X90" s="37"/>
      <c r="Y90" s="38"/>
    </row>
    <row r="97" spans="7:7" x14ac:dyDescent="0.3">
      <c r="G97" s="112"/>
    </row>
    <row r="98" spans="7:7" x14ac:dyDescent="0.3">
      <c r="G98" s="112"/>
    </row>
    <row r="99" spans="7:7" x14ac:dyDescent="0.3">
      <c r="G99" s="112"/>
    </row>
    <row r="100" spans="7:7" x14ac:dyDescent="0.3">
      <c r="G100" s="112"/>
    </row>
    <row r="101" spans="7:7" x14ac:dyDescent="0.3">
      <c r="G101" s="112"/>
    </row>
  </sheetData>
  <mergeCells count="36">
    <mergeCell ref="C45:E45"/>
    <mergeCell ref="C46:E46"/>
    <mergeCell ref="C48:E48"/>
    <mergeCell ref="C40:E40"/>
    <mergeCell ref="C41:E41"/>
    <mergeCell ref="C42:E42"/>
    <mergeCell ref="C43:E43"/>
    <mergeCell ref="C44:E44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6:D6"/>
    <mergeCell ref="C7:D7"/>
    <mergeCell ref="T5:V5"/>
    <mergeCell ref="W5:Y5"/>
    <mergeCell ref="G4:O4"/>
    <mergeCell ref="Q4:Y4"/>
    <mergeCell ref="B2:C2"/>
    <mergeCell ref="G5:I5"/>
    <mergeCell ref="J5:L5"/>
    <mergeCell ref="M5:O5"/>
    <mergeCell ref="Q5:S5"/>
    <mergeCell ref="C4:D4"/>
    <mergeCell ref="C5:D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30.25" bestFit="1" customWidth="1"/>
    <col min="15" max="15" width="10.625" bestFit="1" customWidth="1"/>
    <col min="16" max="16" width="2.375" customWidth="1"/>
    <col min="18" max="18" width="18.625" bestFit="1" customWidth="1"/>
    <col min="19" max="19" width="10.625" bestFit="1" customWidth="1"/>
    <col min="20" max="20" width="9.75" bestFit="1" customWidth="1"/>
    <col min="21" max="21" width="31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88" t="s">
        <v>101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I90+S90</f>
        <v>0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10000000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0</v>
      </c>
      <c r="D7" s="99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2" t="s">
        <v>194</v>
      </c>
      <c r="C25" s="93"/>
      <c r="D25" s="93"/>
      <c r="E25" s="9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122" t="s">
        <v>28</v>
      </c>
      <c r="C26" s="115" t="s">
        <v>30</v>
      </c>
      <c r="D26" s="116"/>
      <c r="E26" s="117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122" t="s">
        <v>115</v>
      </c>
      <c r="C27" s="118">
        <f>SUMIF($J$7:$J$88,B27,$L$7:$L$88)+SUMIF($T$7:$T$88,B27,$V$7:$V$88)</f>
        <v>0</v>
      </c>
      <c r="D27" s="118"/>
      <c r="E27" s="119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123" t="s">
        <v>116</v>
      </c>
      <c r="C28" s="118">
        <f>SUMIF($J$7:$J$88,B28,$L$7:$L$88)+SUMIF($T$7:$T$88,B28,$V$7:$V$88)</f>
        <v>0</v>
      </c>
      <c r="D28" s="118"/>
      <c r="E28" s="119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123" t="s">
        <v>120</v>
      </c>
      <c r="C29" s="118">
        <f>SUMIF($J$7:$J$88,B29,$L$7:$L$88)+SUMIF($T$7:$T$88,B29,$V$7:$V$88)</f>
        <v>0</v>
      </c>
      <c r="D29" s="118"/>
      <c r="E29" s="119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123" t="s">
        <v>118</v>
      </c>
      <c r="C30" s="118">
        <f>SUMIF($J$7:$J$88,B30,$L$7:$L$88)+SUMIF($T$7:$T$88,B30,$V$7:$V$88)</f>
        <v>0</v>
      </c>
      <c r="D30" s="118"/>
      <c r="E30" s="119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123" t="s">
        <v>122</v>
      </c>
      <c r="C31" s="118">
        <f>SUMIF($J$7:$J$88,B31,$L$7:$L$88)+SUMIF($T$7:$T$88,B31,$V$7:$V$88)</f>
        <v>0</v>
      </c>
      <c r="D31" s="118"/>
      <c r="E31" s="119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123" t="s">
        <v>119</v>
      </c>
      <c r="C32" s="118">
        <f>SUMIF($J$7:$J$88,B32,$L$7:$L$88)+SUMIF($T$7:$T$88,B32,$V$7:$V$88)</f>
        <v>0</v>
      </c>
      <c r="D32" s="118"/>
      <c r="E32" s="119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123" t="s">
        <v>129</v>
      </c>
      <c r="C33" s="118">
        <f>SUMIF($J$7:$J$88,B33,$L$7:$L$88)+SUMIF($T$7:$T$88,B33,$V$7:$V$88)</f>
        <v>0</v>
      </c>
      <c r="D33" s="118"/>
      <c r="E33" s="119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123" t="s">
        <v>125</v>
      </c>
      <c r="C34" s="118">
        <f>SUMIF($J$7:$J$88,B34,$L$7:$L$88)+SUMIF($T$7:$T$88,B34,$V$7:$V$88)</f>
        <v>0</v>
      </c>
      <c r="D34" s="118"/>
      <c r="E34" s="119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123" t="s">
        <v>148</v>
      </c>
      <c r="C35" s="118">
        <f>SUMIF($J$7:$J$88,B35,$L$7:$L$88)+SUMIF($T$7:$T$88,B35,$V$7:$V$88)</f>
        <v>0</v>
      </c>
      <c r="D35" s="118"/>
      <c r="E35" s="119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123" t="s">
        <v>117</v>
      </c>
      <c r="C36" s="118">
        <f>SUMIF($J$7:$J$88,B36,$L$7:$L$88)+SUMIF($T$7:$T$88,B36,$V$7:$V$88)</f>
        <v>0</v>
      </c>
      <c r="D36" s="118"/>
      <c r="E36" s="119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123" t="s">
        <v>128</v>
      </c>
      <c r="C37" s="118">
        <f>SUMIF($J$7:$J$88,B37,$L$7:$L$88)+SUMIF($T$7:$T$88,B37,$V$7:$V$88)</f>
        <v>0</v>
      </c>
      <c r="D37" s="118"/>
      <c r="E37" s="119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123" t="s">
        <v>146</v>
      </c>
      <c r="C38" s="118">
        <f>SUMIF($J$7:$J$88,B38,$L$7:$L$88)+SUMIF($T$7:$T$88,B38,$V$7:$V$88)</f>
        <v>0</v>
      </c>
      <c r="D38" s="118"/>
      <c r="E38" s="119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123" t="s">
        <v>134</v>
      </c>
      <c r="C39" s="118">
        <f>SUMIF($J$7:$J$88,B39,$L$7:$L$88)+SUMIF($T$7:$T$88,B39,$V$7:$V$88)</f>
        <v>0</v>
      </c>
      <c r="D39" s="118"/>
      <c r="E39" s="119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123" t="s">
        <v>157</v>
      </c>
      <c r="C40" s="118">
        <f>SUMIF($J$7:$J$88,B40,$L$7:$L$88)+SUMIF($T$7:$T$88,B40,$V$7:$V$88)</f>
        <v>0</v>
      </c>
      <c r="D40" s="118"/>
      <c r="E40" s="119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123" t="s">
        <v>126</v>
      </c>
      <c r="C41" s="118">
        <f>SUMIF($J$7:$J$88,B41,$L$7:$L$88)+SUMIF($T$7:$T$88,B41,$V$7:$V$88)</f>
        <v>0</v>
      </c>
      <c r="D41" s="118"/>
      <c r="E41" s="119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123" t="s">
        <v>151</v>
      </c>
      <c r="C42" s="120">
        <f>SUMIF($J$7:$J$88,B42,$L$7:$L$88)+SUMIF($T$7:$T$88,B42,$V$7:$V$88)</f>
        <v>0</v>
      </c>
      <c r="D42" s="120"/>
      <c r="E42" s="12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123" t="s">
        <v>137</v>
      </c>
      <c r="C43" s="120">
        <f>SUMIF($J$7:$J$88,B43,$L$7:$L$88)+SUMIF($T$7:$T$88,B43,$V$7:$V$88)</f>
        <v>0</v>
      </c>
      <c r="D43" s="120"/>
      <c r="E43" s="12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123" t="s">
        <v>144</v>
      </c>
      <c r="C44" s="120">
        <f>SUMIF($J$7:$J$88,B44,$L$7:$L$88)+SUMIF($T$7:$T$88,B44,$V$7:$V$88)</f>
        <v>0</v>
      </c>
      <c r="D44" s="120"/>
      <c r="E44" s="12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123" t="s">
        <v>138</v>
      </c>
      <c r="C45" s="120">
        <f>SUMIF($J$7:$J$88,B45,$L$7:$L$88)+SUMIF($T$7:$T$88,B45,$V$7:$V$88)</f>
        <v>0</v>
      </c>
      <c r="D45" s="120"/>
      <c r="E45" s="12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124" t="s">
        <v>154</v>
      </c>
      <c r="C46" s="120">
        <f>SUMIF($J$7:$J$88,B46,$L$7:$L$88)+SUMIF($T$7:$T$88,B46,$V$7:$V$88)</f>
        <v>0</v>
      </c>
      <c r="D46" s="120"/>
      <c r="E46" s="12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114" t="s">
        <v>195</v>
      </c>
      <c r="C48" s="109" t="str">
        <f>IF(SUM(C27:E46)&lt;&gt;SUM(L89,V89),"항목 추가해주세요","-")</f>
        <v>-</v>
      </c>
      <c r="D48" s="110"/>
      <c r="E48" s="111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36">
    <mergeCell ref="C44:E44"/>
    <mergeCell ref="C45:E45"/>
    <mergeCell ref="C46:E46"/>
    <mergeCell ref="C48:E48"/>
    <mergeCell ref="C39:E39"/>
    <mergeCell ref="C40:E40"/>
    <mergeCell ref="C41:E41"/>
    <mergeCell ref="C42:E42"/>
    <mergeCell ref="C43:E43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B25:E25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3075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875" bestFit="1" customWidth="1"/>
    <col min="22" max="22" width="11.5" bestFit="1" customWidth="1"/>
    <col min="24" max="24" width="17.25" bestFit="1" customWidth="1"/>
    <col min="25" max="25" width="11.5" bestFit="1" customWidth="1"/>
  </cols>
  <sheetData>
    <row r="2" spans="2:25" ht="24.75" thickBot="1" x14ac:dyDescent="0.35">
      <c r="B2" s="88" t="s">
        <v>102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I90+S90</f>
        <v>0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10000000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0</v>
      </c>
      <c r="D7" s="99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2" t="s">
        <v>194</v>
      </c>
      <c r="C25" s="93"/>
      <c r="D25" s="93"/>
      <c r="E25" s="9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122" t="s">
        <v>28</v>
      </c>
      <c r="C26" s="115" t="s">
        <v>30</v>
      </c>
      <c r="D26" s="116"/>
      <c r="E26" s="117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122" t="s">
        <v>115</v>
      </c>
      <c r="C27" s="118">
        <f>SUMIF($J$7:$J$88,B27,$L$7:$L$88)+SUMIF($T$7:$T$88,B27,$V$7:$V$88)</f>
        <v>0</v>
      </c>
      <c r="D27" s="118"/>
      <c r="E27" s="119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123" t="s">
        <v>116</v>
      </c>
      <c r="C28" s="118">
        <f>SUMIF($J$7:$J$88,B28,$L$7:$L$88)+SUMIF($T$7:$T$88,B28,$V$7:$V$88)</f>
        <v>0</v>
      </c>
      <c r="D28" s="118"/>
      <c r="E28" s="119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123" t="s">
        <v>120</v>
      </c>
      <c r="C29" s="118">
        <f>SUMIF($J$7:$J$88,B29,$L$7:$L$88)+SUMIF($T$7:$T$88,B29,$V$7:$V$88)</f>
        <v>0</v>
      </c>
      <c r="D29" s="118"/>
      <c r="E29" s="119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123" t="s">
        <v>118</v>
      </c>
      <c r="C30" s="118">
        <f>SUMIF($J$7:$J$88,B30,$L$7:$L$88)+SUMIF($T$7:$T$88,B30,$V$7:$V$88)</f>
        <v>0</v>
      </c>
      <c r="D30" s="118"/>
      <c r="E30" s="119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123" t="s">
        <v>122</v>
      </c>
      <c r="C31" s="118">
        <f>SUMIF($J$7:$J$88,B31,$L$7:$L$88)+SUMIF($T$7:$T$88,B31,$V$7:$V$88)</f>
        <v>0</v>
      </c>
      <c r="D31" s="118"/>
      <c r="E31" s="119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123" t="s">
        <v>119</v>
      </c>
      <c r="C32" s="118">
        <f>SUMIF($J$7:$J$88,B32,$L$7:$L$88)+SUMIF($T$7:$T$88,B32,$V$7:$V$88)</f>
        <v>0</v>
      </c>
      <c r="D32" s="118"/>
      <c r="E32" s="119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123" t="s">
        <v>129</v>
      </c>
      <c r="C33" s="118">
        <f>SUMIF($J$7:$J$88,B33,$L$7:$L$88)+SUMIF($T$7:$T$88,B33,$V$7:$V$88)</f>
        <v>0</v>
      </c>
      <c r="D33" s="118"/>
      <c r="E33" s="119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123" t="s">
        <v>125</v>
      </c>
      <c r="C34" s="118">
        <f>SUMIF($J$7:$J$88,B34,$L$7:$L$88)+SUMIF($T$7:$T$88,B34,$V$7:$V$88)</f>
        <v>0</v>
      </c>
      <c r="D34" s="118"/>
      <c r="E34" s="119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123" t="s">
        <v>148</v>
      </c>
      <c r="C35" s="118">
        <f>SUMIF($J$7:$J$88,B35,$L$7:$L$88)+SUMIF($T$7:$T$88,B35,$V$7:$V$88)</f>
        <v>0</v>
      </c>
      <c r="D35" s="118"/>
      <c r="E35" s="119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123" t="s">
        <v>117</v>
      </c>
      <c r="C36" s="118">
        <f>SUMIF($J$7:$J$88,B36,$L$7:$L$88)+SUMIF($T$7:$T$88,B36,$V$7:$V$88)</f>
        <v>0</v>
      </c>
      <c r="D36" s="118"/>
      <c r="E36" s="119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123" t="s">
        <v>128</v>
      </c>
      <c r="C37" s="118">
        <f>SUMIF($J$7:$J$88,B37,$L$7:$L$88)+SUMIF($T$7:$T$88,B37,$V$7:$V$88)</f>
        <v>0</v>
      </c>
      <c r="D37" s="118"/>
      <c r="E37" s="119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123" t="s">
        <v>146</v>
      </c>
      <c r="C38" s="118">
        <f>SUMIF($J$7:$J$88,B38,$L$7:$L$88)+SUMIF($T$7:$T$88,B38,$V$7:$V$88)</f>
        <v>0</v>
      </c>
      <c r="D38" s="118"/>
      <c r="E38" s="119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123" t="s">
        <v>134</v>
      </c>
      <c r="C39" s="118">
        <f>SUMIF($J$7:$J$88,B39,$L$7:$L$88)+SUMIF($T$7:$T$88,B39,$V$7:$V$88)</f>
        <v>0</v>
      </c>
      <c r="D39" s="118"/>
      <c r="E39" s="119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123" t="s">
        <v>157</v>
      </c>
      <c r="C40" s="118">
        <f>SUMIF($J$7:$J$88,B40,$L$7:$L$88)+SUMIF($T$7:$T$88,B40,$V$7:$V$88)</f>
        <v>0</v>
      </c>
      <c r="D40" s="118"/>
      <c r="E40" s="119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123" t="s">
        <v>126</v>
      </c>
      <c r="C41" s="118">
        <f>SUMIF($J$7:$J$88,B41,$L$7:$L$88)+SUMIF($T$7:$T$88,B41,$V$7:$V$88)</f>
        <v>0</v>
      </c>
      <c r="D41" s="118"/>
      <c r="E41" s="119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123" t="s">
        <v>151</v>
      </c>
      <c r="C42" s="120">
        <f>SUMIF($J$7:$J$88,B42,$L$7:$L$88)+SUMIF($T$7:$T$88,B42,$V$7:$V$88)</f>
        <v>0</v>
      </c>
      <c r="D42" s="120"/>
      <c r="E42" s="12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123" t="s">
        <v>137</v>
      </c>
      <c r="C43" s="120">
        <f>SUMIF($J$7:$J$88,B43,$L$7:$L$88)+SUMIF($T$7:$T$88,B43,$V$7:$V$88)</f>
        <v>0</v>
      </c>
      <c r="D43" s="120"/>
      <c r="E43" s="12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123" t="s">
        <v>144</v>
      </c>
      <c r="C44" s="120">
        <f>SUMIF($J$7:$J$88,B44,$L$7:$L$88)+SUMIF($T$7:$T$88,B44,$V$7:$V$88)</f>
        <v>0</v>
      </c>
      <c r="D44" s="120"/>
      <c r="E44" s="12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123" t="s">
        <v>138</v>
      </c>
      <c r="C45" s="120">
        <f>SUMIF($J$7:$J$88,B45,$L$7:$L$88)+SUMIF($T$7:$T$88,B45,$V$7:$V$88)</f>
        <v>0</v>
      </c>
      <c r="D45" s="120"/>
      <c r="E45" s="12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124" t="s">
        <v>154</v>
      </c>
      <c r="C46" s="120">
        <f>SUMIF($J$7:$J$88,B46,$L$7:$L$88)+SUMIF($T$7:$T$88,B46,$V$7:$V$88)</f>
        <v>0</v>
      </c>
      <c r="D46" s="120"/>
      <c r="E46" s="12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114" t="s">
        <v>195</v>
      </c>
      <c r="C48" s="109" t="str">
        <f>IF(SUM(C27:E46)&lt;&gt;SUM(L89,V89),"항목 추가해주세요","-")</f>
        <v>-</v>
      </c>
      <c r="D48" s="110"/>
      <c r="E48" s="111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36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G4:O4"/>
    <mergeCell ref="Q4:Y4"/>
    <mergeCell ref="G5:I5"/>
    <mergeCell ref="J5:L5"/>
    <mergeCell ref="M5:O5"/>
    <mergeCell ref="Q5:S5"/>
    <mergeCell ref="T5:V5"/>
    <mergeCell ref="W5:Y5"/>
    <mergeCell ref="B2:C2"/>
    <mergeCell ref="C5:D5"/>
    <mergeCell ref="C6:D6"/>
    <mergeCell ref="C7:D7"/>
    <mergeCell ref="C4:D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16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31.7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88" t="s">
        <v>109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I90+S90</f>
        <v>0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10000000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0</v>
      </c>
      <c r="D7" s="99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2" t="s">
        <v>194</v>
      </c>
      <c r="C25" s="93"/>
      <c r="D25" s="93"/>
      <c r="E25" s="9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122" t="s">
        <v>28</v>
      </c>
      <c r="C26" s="115" t="s">
        <v>30</v>
      </c>
      <c r="D26" s="116"/>
      <c r="E26" s="117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122" t="s">
        <v>115</v>
      </c>
      <c r="C27" s="118">
        <f>SUMIF($J$7:$J$88,B27,$L$7:$L$88)+SUMIF($T$7:$T$88,B27,$V$7:$V$88)</f>
        <v>0</v>
      </c>
      <c r="D27" s="118"/>
      <c r="E27" s="119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123" t="s">
        <v>116</v>
      </c>
      <c r="C28" s="118">
        <f>SUMIF($J$7:$J$88,B28,$L$7:$L$88)+SUMIF($T$7:$T$88,B28,$V$7:$V$88)</f>
        <v>0</v>
      </c>
      <c r="D28" s="118"/>
      <c r="E28" s="119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123" t="s">
        <v>120</v>
      </c>
      <c r="C29" s="118">
        <f>SUMIF($J$7:$J$88,B29,$L$7:$L$88)+SUMIF($T$7:$T$88,B29,$V$7:$V$88)</f>
        <v>0</v>
      </c>
      <c r="D29" s="118"/>
      <c r="E29" s="119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123" t="s">
        <v>118</v>
      </c>
      <c r="C30" s="118">
        <f>SUMIF($J$7:$J$88,B30,$L$7:$L$88)+SUMIF($T$7:$T$88,B30,$V$7:$V$88)</f>
        <v>0</v>
      </c>
      <c r="D30" s="118"/>
      <c r="E30" s="119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123" t="s">
        <v>122</v>
      </c>
      <c r="C31" s="118">
        <f>SUMIF($J$7:$J$88,B31,$L$7:$L$88)+SUMIF($T$7:$T$88,B31,$V$7:$V$88)</f>
        <v>0</v>
      </c>
      <c r="D31" s="118"/>
      <c r="E31" s="119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123" t="s">
        <v>119</v>
      </c>
      <c r="C32" s="118">
        <f>SUMIF($J$7:$J$88,B32,$L$7:$L$88)+SUMIF($T$7:$T$88,B32,$V$7:$V$88)</f>
        <v>0</v>
      </c>
      <c r="D32" s="118"/>
      <c r="E32" s="119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123" t="s">
        <v>129</v>
      </c>
      <c r="C33" s="118">
        <f>SUMIF($J$7:$J$88,B33,$L$7:$L$88)+SUMIF($T$7:$T$88,B33,$V$7:$V$88)</f>
        <v>0</v>
      </c>
      <c r="D33" s="118"/>
      <c r="E33" s="119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123" t="s">
        <v>125</v>
      </c>
      <c r="C34" s="118">
        <f>SUMIF($J$7:$J$88,B34,$L$7:$L$88)+SUMIF($T$7:$T$88,B34,$V$7:$V$88)</f>
        <v>0</v>
      </c>
      <c r="D34" s="118"/>
      <c r="E34" s="119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123" t="s">
        <v>148</v>
      </c>
      <c r="C35" s="118">
        <f>SUMIF($J$7:$J$88,B35,$L$7:$L$88)+SUMIF($T$7:$T$88,B35,$V$7:$V$88)</f>
        <v>0</v>
      </c>
      <c r="D35" s="118"/>
      <c r="E35" s="119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123" t="s">
        <v>117</v>
      </c>
      <c r="C36" s="118">
        <f>SUMIF($J$7:$J$88,B36,$L$7:$L$88)+SUMIF($T$7:$T$88,B36,$V$7:$V$88)</f>
        <v>0</v>
      </c>
      <c r="D36" s="118"/>
      <c r="E36" s="119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123" t="s">
        <v>128</v>
      </c>
      <c r="C37" s="118">
        <f>SUMIF($J$7:$J$88,B37,$L$7:$L$88)+SUMIF($T$7:$T$88,B37,$V$7:$V$88)</f>
        <v>0</v>
      </c>
      <c r="D37" s="118"/>
      <c r="E37" s="119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123" t="s">
        <v>146</v>
      </c>
      <c r="C38" s="118">
        <f>SUMIF($J$7:$J$88,B38,$L$7:$L$88)+SUMIF($T$7:$T$88,B38,$V$7:$V$88)</f>
        <v>0</v>
      </c>
      <c r="D38" s="118"/>
      <c r="E38" s="119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123" t="s">
        <v>134</v>
      </c>
      <c r="C39" s="118">
        <f>SUMIF($J$7:$J$88,B39,$L$7:$L$88)+SUMIF($T$7:$T$88,B39,$V$7:$V$88)</f>
        <v>0</v>
      </c>
      <c r="D39" s="118"/>
      <c r="E39" s="119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123" t="s">
        <v>157</v>
      </c>
      <c r="C40" s="118">
        <f>SUMIF($J$7:$J$88,B40,$L$7:$L$88)+SUMIF($T$7:$T$88,B40,$V$7:$V$88)</f>
        <v>0</v>
      </c>
      <c r="D40" s="118"/>
      <c r="E40" s="119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123" t="s">
        <v>126</v>
      </c>
      <c r="C41" s="118">
        <f>SUMIF($J$7:$J$88,B41,$L$7:$L$88)+SUMIF($T$7:$T$88,B41,$V$7:$V$88)</f>
        <v>0</v>
      </c>
      <c r="D41" s="118"/>
      <c r="E41" s="119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123" t="s">
        <v>151</v>
      </c>
      <c r="C42" s="120">
        <f>SUMIF($J$7:$J$88,B42,$L$7:$L$88)+SUMIF($T$7:$T$88,B42,$V$7:$V$88)</f>
        <v>0</v>
      </c>
      <c r="D42" s="120"/>
      <c r="E42" s="12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123" t="s">
        <v>137</v>
      </c>
      <c r="C43" s="120">
        <f>SUMIF($J$7:$J$88,B43,$L$7:$L$88)+SUMIF($T$7:$T$88,B43,$V$7:$V$88)</f>
        <v>0</v>
      </c>
      <c r="D43" s="120"/>
      <c r="E43" s="12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123" t="s">
        <v>144</v>
      </c>
      <c r="C44" s="120">
        <f>SUMIF($J$7:$J$88,B44,$L$7:$L$88)+SUMIF($T$7:$T$88,B44,$V$7:$V$88)</f>
        <v>0</v>
      </c>
      <c r="D44" s="120"/>
      <c r="E44" s="12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123" t="s">
        <v>138</v>
      </c>
      <c r="C45" s="120">
        <f>SUMIF($J$7:$J$88,B45,$L$7:$L$88)+SUMIF($T$7:$T$88,B45,$V$7:$V$88)</f>
        <v>0</v>
      </c>
      <c r="D45" s="120"/>
      <c r="E45" s="12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124" t="s">
        <v>154</v>
      </c>
      <c r="C46" s="120">
        <f>SUMIF($J$7:$J$88,B46,$L$7:$L$88)+SUMIF($T$7:$T$88,B46,$V$7:$V$88)</f>
        <v>0</v>
      </c>
      <c r="D46" s="120"/>
      <c r="E46" s="12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114" t="s">
        <v>195</v>
      </c>
      <c r="C48" s="109" t="str">
        <f>IF(SUM(C27:E46)&lt;&gt;SUM(L89,V89),"항목 추가해주세요","-")</f>
        <v>-</v>
      </c>
      <c r="D48" s="110"/>
      <c r="E48" s="111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36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625" bestFit="1" customWidth="1"/>
    <col min="9" max="9" width="11.75" bestFit="1" customWidth="1"/>
    <col min="10" max="10" width="11" bestFit="1" customWidth="1"/>
    <col min="11" max="11" width="33.125" bestFit="1" customWidth="1"/>
    <col min="12" max="12" width="10" bestFit="1" customWidth="1"/>
    <col min="13" max="13" width="11" bestFit="1" customWidth="1"/>
    <col min="14" max="14" width="20" bestFit="1" customWidth="1"/>
    <col min="15" max="15" width="10.625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31.75" bestFit="1" customWidth="1"/>
    <col min="22" max="22" width="11.5" bestFit="1" customWidth="1"/>
    <col min="24" max="24" width="19.25" bestFit="1" customWidth="1"/>
    <col min="25" max="25" width="11.5" bestFit="1" customWidth="1"/>
  </cols>
  <sheetData>
    <row r="2" spans="2:25" ht="24.75" thickBot="1" x14ac:dyDescent="0.35">
      <c r="B2" s="88" t="s">
        <v>26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I90+S90</f>
        <v>0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10000000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0</v>
      </c>
      <c r="D7" s="99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2" t="s">
        <v>194</v>
      </c>
      <c r="C25" s="93"/>
      <c r="D25" s="93"/>
      <c r="E25" s="9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122" t="s">
        <v>28</v>
      </c>
      <c r="C26" s="115" t="s">
        <v>30</v>
      </c>
      <c r="D26" s="116"/>
      <c r="E26" s="117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122" t="s">
        <v>115</v>
      </c>
      <c r="C27" s="118">
        <f>SUMIF($J$7:$J$88,B27,$L$7:$L$88)+SUMIF($T$7:$T$88,B27,$V$7:$V$88)</f>
        <v>0</v>
      </c>
      <c r="D27" s="118"/>
      <c r="E27" s="119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123" t="s">
        <v>116</v>
      </c>
      <c r="C28" s="118">
        <f>SUMIF($J$7:$J$88,B28,$L$7:$L$88)+SUMIF($T$7:$T$88,B28,$V$7:$V$88)</f>
        <v>0</v>
      </c>
      <c r="D28" s="118"/>
      <c r="E28" s="119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123" t="s">
        <v>120</v>
      </c>
      <c r="C29" s="118">
        <f>SUMIF($J$7:$J$88,B29,$L$7:$L$88)+SUMIF($T$7:$T$88,B29,$V$7:$V$88)</f>
        <v>0</v>
      </c>
      <c r="D29" s="118"/>
      <c r="E29" s="119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123" t="s">
        <v>118</v>
      </c>
      <c r="C30" s="118">
        <f>SUMIF($J$7:$J$88,B30,$L$7:$L$88)+SUMIF($T$7:$T$88,B30,$V$7:$V$88)</f>
        <v>0</v>
      </c>
      <c r="D30" s="118"/>
      <c r="E30" s="119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123" t="s">
        <v>122</v>
      </c>
      <c r="C31" s="118">
        <f>SUMIF($J$7:$J$88,B31,$L$7:$L$88)+SUMIF($T$7:$T$88,B31,$V$7:$V$88)</f>
        <v>0</v>
      </c>
      <c r="D31" s="118"/>
      <c r="E31" s="119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123" t="s">
        <v>119</v>
      </c>
      <c r="C32" s="118">
        <f>SUMIF($J$7:$J$88,B32,$L$7:$L$88)+SUMIF($T$7:$T$88,B32,$V$7:$V$88)</f>
        <v>0</v>
      </c>
      <c r="D32" s="118"/>
      <c r="E32" s="119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123" t="s">
        <v>129</v>
      </c>
      <c r="C33" s="118">
        <f>SUMIF($J$7:$J$88,B33,$L$7:$L$88)+SUMIF($T$7:$T$88,B33,$V$7:$V$88)</f>
        <v>0</v>
      </c>
      <c r="D33" s="118"/>
      <c r="E33" s="119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123" t="s">
        <v>125</v>
      </c>
      <c r="C34" s="118">
        <f>SUMIF($J$7:$J$88,B34,$L$7:$L$88)+SUMIF($T$7:$T$88,B34,$V$7:$V$88)</f>
        <v>0</v>
      </c>
      <c r="D34" s="118"/>
      <c r="E34" s="119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123" t="s">
        <v>148</v>
      </c>
      <c r="C35" s="118">
        <f>SUMIF($J$7:$J$88,B35,$L$7:$L$88)+SUMIF($T$7:$T$88,B35,$V$7:$V$88)</f>
        <v>0</v>
      </c>
      <c r="D35" s="118"/>
      <c r="E35" s="119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123" t="s">
        <v>117</v>
      </c>
      <c r="C36" s="118">
        <f>SUMIF($J$7:$J$88,B36,$L$7:$L$88)+SUMIF($T$7:$T$88,B36,$V$7:$V$88)</f>
        <v>0</v>
      </c>
      <c r="D36" s="118"/>
      <c r="E36" s="119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123" t="s">
        <v>128</v>
      </c>
      <c r="C37" s="118">
        <f>SUMIF($J$7:$J$88,B37,$L$7:$L$88)+SUMIF($T$7:$T$88,B37,$V$7:$V$88)</f>
        <v>0</v>
      </c>
      <c r="D37" s="118"/>
      <c r="E37" s="119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123" t="s">
        <v>146</v>
      </c>
      <c r="C38" s="118">
        <f>SUMIF($J$7:$J$88,B38,$L$7:$L$88)+SUMIF($T$7:$T$88,B38,$V$7:$V$88)</f>
        <v>0</v>
      </c>
      <c r="D38" s="118"/>
      <c r="E38" s="119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123" t="s">
        <v>134</v>
      </c>
      <c r="C39" s="118">
        <f>SUMIF($J$7:$J$88,B39,$L$7:$L$88)+SUMIF($T$7:$T$88,B39,$V$7:$V$88)</f>
        <v>0</v>
      </c>
      <c r="D39" s="118"/>
      <c r="E39" s="119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123" t="s">
        <v>157</v>
      </c>
      <c r="C40" s="118">
        <f>SUMIF($J$7:$J$88,B40,$L$7:$L$88)+SUMIF($T$7:$T$88,B40,$V$7:$V$88)</f>
        <v>0</v>
      </c>
      <c r="D40" s="118"/>
      <c r="E40" s="119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123" t="s">
        <v>126</v>
      </c>
      <c r="C41" s="118">
        <f>SUMIF($J$7:$J$88,B41,$L$7:$L$88)+SUMIF($T$7:$T$88,B41,$V$7:$V$88)</f>
        <v>0</v>
      </c>
      <c r="D41" s="118"/>
      <c r="E41" s="119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123" t="s">
        <v>151</v>
      </c>
      <c r="C42" s="120">
        <f>SUMIF($J$7:$J$88,B42,$L$7:$L$88)+SUMIF($T$7:$T$88,B42,$V$7:$V$88)</f>
        <v>0</v>
      </c>
      <c r="D42" s="120"/>
      <c r="E42" s="12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123" t="s">
        <v>137</v>
      </c>
      <c r="C43" s="120">
        <f>SUMIF($J$7:$J$88,B43,$L$7:$L$88)+SUMIF($T$7:$T$88,B43,$V$7:$V$88)</f>
        <v>0</v>
      </c>
      <c r="D43" s="120"/>
      <c r="E43" s="12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123" t="s">
        <v>144</v>
      </c>
      <c r="C44" s="120">
        <f>SUMIF($J$7:$J$88,B44,$L$7:$L$88)+SUMIF($T$7:$T$88,B44,$V$7:$V$88)</f>
        <v>0</v>
      </c>
      <c r="D44" s="120"/>
      <c r="E44" s="12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123" t="s">
        <v>138</v>
      </c>
      <c r="C45" s="120">
        <f>SUMIF($J$7:$J$88,B45,$L$7:$L$88)+SUMIF($T$7:$T$88,B45,$V$7:$V$88)</f>
        <v>0</v>
      </c>
      <c r="D45" s="120"/>
      <c r="E45" s="12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124" t="s">
        <v>154</v>
      </c>
      <c r="C46" s="120">
        <f>SUMIF($J$7:$J$88,B46,$L$7:$L$88)+SUMIF($T$7:$T$88,B46,$V$7:$V$88)</f>
        <v>0</v>
      </c>
      <c r="D46" s="120"/>
      <c r="E46" s="12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114" t="s">
        <v>195</v>
      </c>
      <c r="C48" s="109" t="str">
        <f>IF(SUM(C27:E46)&lt;&gt;SUM(L89,V89),"항목 추가해주세요","-")</f>
        <v>-</v>
      </c>
      <c r="D48" s="110"/>
      <c r="E48" s="111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36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47.75" bestFit="1" customWidth="1"/>
    <col min="12" max="12" width="11.5" bestFit="1" customWidth="1"/>
    <col min="13" max="13" width="11" bestFit="1" customWidth="1"/>
    <col min="14" max="14" width="20" bestFit="1" customWidth="1"/>
    <col min="15" max="15" width="10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42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88" t="s">
        <v>103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I90+S90</f>
        <v>0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10000000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0</v>
      </c>
      <c r="D7" s="99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2" t="s">
        <v>194</v>
      </c>
      <c r="C25" s="93"/>
      <c r="D25" s="93"/>
      <c r="E25" s="9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122" t="s">
        <v>28</v>
      </c>
      <c r="C26" s="115" t="s">
        <v>30</v>
      </c>
      <c r="D26" s="116"/>
      <c r="E26" s="117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122" t="s">
        <v>115</v>
      </c>
      <c r="C27" s="118">
        <f>SUMIF($J$7:$J$88,B27,$L$7:$L$88)+SUMIF($T$7:$T$88,B27,$V$7:$V$88)</f>
        <v>0</v>
      </c>
      <c r="D27" s="118"/>
      <c r="E27" s="119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123" t="s">
        <v>116</v>
      </c>
      <c r="C28" s="118">
        <f>SUMIF($J$7:$J$88,B28,$L$7:$L$88)+SUMIF($T$7:$T$88,B28,$V$7:$V$88)</f>
        <v>0</v>
      </c>
      <c r="D28" s="118"/>
      <c r="E28" s="119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123" t="s">
        <v>120</v>
      </c>
      <c r="C29" s="118">
        <f>SUMIF($J$7:$J$88,B29,$L$7:$L$88)+SUMIF($T$7:$T$88,B29,$V$7:$V$88)</f>
        <v>0</v>
      </c>
      <c r="D29" s="118"/>
      <c r="E29" s="119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123" t="s">
        <v>118</v>
      </c>
      <c r="C30" s="118">
        <f>SUMIF($J$7:$J$88,B30,$L$7:$L$88)+SUMIF($T$7:$T$88,B30,$V$7:$V$88)</f>
        <v>0</v>
      </c>
      <c r="D30" s="118"/>
      <c r="E30" s="119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123" t="s">
        <v>122</v>
      </c>
      <c r="C31" s="118">
        <f>SUMIF($J$7:$J$88,B31,$L$7:$L$88)+SUMIF($T$7:$T$88,B31,$V$7:$V$88)</f>
        <v>0</v>
      </c>
      <c r="D31" s="118"/>
      <c r="E31" s="119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123" t="s">
        <v>119</v>
      </c>
      <c r="C32" s="118">
        <f>SUMIF($J$7:$J$88,B32,$L$7:$L$88)+SUMIF($T$7:$T$88,B32,$V$7:$V$88)</f>
        <v>0</v>
      </c>
      <c r="D32" s="118"/>
      <c r="E32" s="119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123" t="s">
        <v>129</v>
      </c>
      <c r="C33" s="118">
        <f>SUMIF($J$7:$J$88,B33,$L$7:$L$88)+SUMIF($T$7:$T$88,B33,$V$7:$V$88)</f>
        <v>0</v>
      </c>
      <c r="D33" s="118"/>
      <c r="E33" s="119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123" t="s">
        <v>125</v>
      </c>
      <c r="C34" s="118">
        <f>SUMIF($J$7:$J$88,B34,$L$7:$L$88)+SUMIF($T$7:$T$88,B34,$V$7:$V$88)</f>
        <v>0</v>
      </c>
      <c r="D34" s="118"/>
      <c r="E34" s="119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123" t="s">
        <v>148</v>
      </c>
      <c r="C35" s="118">
        <f>SUMIF($J$7:$J$88,B35,$L$7:$L$88)+SUMIF($T$7:$T$88,B35,$V$7:$V$88)</f>
        <v>0</v>
      </c>
      <c r="D35" s="118"/>
      <c r="E35" s="119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123" t="s">
        <v>117</v>
      </c>
      <c r="C36" s="118">
        <f>SUMIF($J$7:$J$88,B36,$L$7:$L$88)+SUMIF($T$7:$T$88,B36,$V$7:$V$88)</f>
        <v>0</v>
      </c>
      <c r="D36" s="118"/>
      <c r="E36" s="119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123" t="s">
        <v>128</v>
      </c>
      <c r="C37" s="118">
        <f>SUMIF($J$7:$J$88,B37,$L$7:$L$88)+SUMIF($T$7:$T$88,B37,$V$7:$V$88)</f>
        <v>0</v>
      </c>
      <c r="D37" s="118"/>
      <c r="E37" s="119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123" t="s">
        <v>146</v>
      </c>
      <c r="C38" s="118">
        <f>SUMIF($J$7:$J$88,B38,$L$7:$L$88)+SUMIF($T$7:$T$88,B38,$V$7:$V$88)</f>
        <v>0</v>
      </c>
      <c r="D38" s="118"/>
      <c r="E38" s="119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123" t="s">
        <v>134</v>
      </c>
      <c r="C39" s="118">
        <f>SUMIF($J$7:$J$88,B39,$L$7:$L$88)+SUMIF($T$7:$T$88,B39,$V$7:$V$88)</f>
        <v>0</v>
      </c>
      <c r="D39" s="118"/>
      <c r="E39" s="119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123" t="s">
        <v>157</v>
      </c>
      <c r="C40" s="118">
        <f>SUMIF($J$7:$J$88,B40,$L$7:$L$88)+SUMIF($T$7:$T$88,B40,$V$7:$V$88)</f>
        <v>0</v>
      </c>
      <c r="D40" s="118"/>
      <c r="E40" s="119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123" t="s">
        <v>126</v>
      </c>
      <c r="C41" s="118">
        <f>SUMIF($J$7:$J$88,B41,$L$7:$L$88)+SUMIF($T$7:$T$88,B41,$V$7:$V$88)</f>
        <v>0</v>
      </c>
      <c r="D41" s="118"/>
      <c r="E41" s="119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123" t="s">
        <v>151</v>
      </c>
      <c r="C42" s="120">
        <f>SUMIF($J$7:$J$88,B42,$L$7:$L$88)+SUMIF($T$7:$T$88,B42,$V$7:$V$88)</f>
        <v>0</v>
      </c>
      <c r="D42" s="120"/>
      <c r="E42" s="12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123" t="s">
        <v>137</v>
      </c>
      <c r="C43" s="120">
        <f>SUMIF($J$7:$J$88,B43,$L$7:$L$88)+SUMIF($T$7:$T$88,B43,$V$7:$V$88)</f>
        <v>0</v>
      </c>
      <c r="D43" s="120"/>
      <c r="E43" s="12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123" t="s">
        <v>144</v>
      </c>
      <c r="C44" s="120">
        <f>SUMIF($J$7:$J$88,B44,$L$7:$L$88)+SUMIF($T$7:$T$88,B44,$V$7:$V$88)</f>
        <v>0</v>
      </c>
      <c r="D44" s="120"/>
      <c r="E44" s="12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123" t="s">
        <v>138</v>
      </c>
      <c r="C45" s="120">
        <f>SUMIF($J$7:$J$88,B45,$L$7:$L$88)+SUMIF($T$7:$T$88,B45,$V$7:$V$88)</f>
        <v>0</v>
      </c>
      <c r="D45" s="120"/>
      <c r="E45" s="12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124" t="s">
        <v>154</v>
      </c>
      <c r="C46" s="120">
        <f>SUMIF($J$7:$J$88,B46,$L$7:$L$88)+SUMIF($T$7:$T$88,B46,$V$7:$V$88)</f>
        <v>0</v>
      </c>
      <c r="D46" s="120"/>
      <c r="E46" s="12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114" t="s">
        <v>195</v>
      </c>
      <c r="C48" s="109" t="str">
        <f>IF(SUM(C27:E46)&lt;&gt;SUM(L89,V89),"항목 추가해주세요","-")</f>
        <v>-</v>
      </c>
      <c r="D48" s="110"/>
      <c r="E48" s="111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19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36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20.125" bestFit="1" customWidth="1"/>
    <col min="9" max="9" width="12.625" bestFit="1" customWidth="1"/>
    <col min="10" max="10" width="11" bestFit="1" customWidth="1"/>
    <col min="11" max="11" width="45.125" bestFit="1" customWidth="1"/>
    <col min="12" max="12" width="13.75" bestFit="1" customWidth="1"/>
    <col min="13" max="13" width="11" bestFit="1" customWidth="1"/>
    <col min="14" max="14" width="21.375" bestFit="1" customWidth="1"/>
    <col min="15" max="15" width="12.875" bestFit="1" customWidth="1"/>
    <col min="16" max="16" width="2.375" customWidth="1"/>
    <col min="18" max="18" width="18.75" bestFit="1" customWidth="1"/>
    <col min="19" max="19" width="11.5" bestFit="1" customWidth="1"/>
    <col min="20" max="20" width="9.75" bestFit="1" customWidth="1"/>
    <col min="21" max="21" width="47.75" bestFit="1" customWidth="1"/>
    <col min="22" max="22" width="12.625" bestFit="1" customWidth="1"/>
    <col min="24" max="24" width="25.5" bestFit="1" customWidth="1"/>
    <col min="25" max="25" width="13.75" bestFit="1" customWidth="1"/>
  </cols>
  <sheetData>
    <row r="2" spans="2:25" ht="24.75" thickBot="1" x14ac:dyDescent="0.35">
      <c r="B2" s="88" t="s">
        <v>104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I90+S90</f>
        <v>0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10000000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0</v>
      </c>
      <c r="D7" s="99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2" t="s">
        <v>194</v>
      </c>
      <c r="C25" s="93"/>
      <c r="D25" s="93"/>
      <c r="E25" s="9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122" t="s">
        <v>28</v>
      </c>
      <c r="C26" s="115" t="s">
        <v>30</v>
      </c>
      <c r="D26" s="116"/>
      <c r="E26" s="117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122" t="s">
        <v>115</v>
      </c>
      <c r="C27" s="118">
        <f>SUMIF($J$7:$J$88,B27,$L$7:$L$88)+SUMIF($T$7:$T$88,B27,$V$7:$V$88)</f>
        <v>0</v>
      </c>
      <c r="D27" s="118"/>
      <c r="E27" s="119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123" t="s">
        <v>116</v>
      </c>
      <c r="C28" s="118">
        <f>SUMIF($J$7:$J$88,B28,$L$7:$L$88)+SUMIF($T$7:$T$88,B28,$V$7:$V$88)</f>
        <v>0</v>
      </c>
      <c r="D28" s="118"/>
      <c r="E28" s="119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123" t="s">
        <v>120</v>
      </c>
      <c r="C29" s="118">
        <f>SUMIF($J$7:$J$88,B29,$L$7:$L$88)+SUMIF($T$7:$T$88,B29,$V$7:$V$88)</f>
        <v>0</v>
      </c>
      <c r="D29" s="118"/>
      <c r="E29" s="119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123" t="s">
        <v>118</v>
      </c>
      <c r="C30" s="118">
        <f>SUMIF($J$7:$J$88,B30,$L$7:$L$88)+SUMIF($T$7:$T$88,B30,$V$7:$V$88)</f>
        <v>0</v>
      </c>
      <c r="D30" s="118"/>
      <c r="E30" s="119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123" t="s">
        <v>122</v>
      </c>
      <c r="C31" s="118">
        <f>SUMIF($J$7:$J$88,B31,$L$7:$L$88)+SUMIF($T$7:$T$88,B31,$V$7:$V$88)</f>
        <v>0</v>
      </c>
      <c r="D31" s="118"/>
      <c r="E31" s="119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123" t="s">
        <v>119</v>
      </c>
      <c r="C32" s="118">
        <f>SUMIF($J$7:$J$88,B32,$L$7:$L$88)+SUMIF($T$7:$T$88,B32,$V$7:$V$88)</f>
        <v>0</v>
      </c>
      <c r="D32" s="118"/>
      <c r="E32" s="119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123" t="s">
        <v>129</v>
      </c>
      <c r="C33" s="118">
        <f>SUMIF($J$7:$J$88,B33,$L$7:$L$88)+SUMIF($T$7:$T$88,B33,$V$7:$V$88)</f>
        <v>0</v>
      </c>
      <c r="D33" s="118"/>
      <c r="E33" s="119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123" t="s">
        <v>125</v>
      </c>
      <c r="C34" s="118">
        <f>SUMIF($J$7:$J$88,B34,$L$7:$L$88)+SUMIF($T$7:$T$88,B34,$V$7:$V$88)</f>
        <v>0</v>
      </c>
      <c r="D34" s="118"/>
      <c r="E34" s="119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123" t="s">
        <v>148</v>
      </c>
      <c r="C35" s="118">
        <f>SUMIF($J$7:$J$88,B35,$L$7:$L$88)+SUMIF($T$7:$T$88,B35,$V$7:$V$88)</f>
        <v>0</v>
      </c>
      <c r="D35" s="118"/>
      <c r="E35" s="119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123" t="s">
        <v>117</v>
      </c>
      <c r="C36" s="118">
        <f>SUMIF($J$7:$J$88,B36,$L$7:$L$88)+SUMIF($T$7:$T$88,B36,$V$7:$V$88)</f>
        <v>0</v>
      </c>
      <c r="D36" s="118"/>
      <c r="E36" s="119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123" t="s">
        <v>128</v>
      </c>
      <c r="C37" s="118">
        <f>SUMIF($J$7:$J$88,B37,$L$7:$L$88)+SUMIF($T$7:$T$88,B37,$V$7:$V$88)</f>
        <v>0</v>
      </c>
      <c r="D37" s="118"/>
      <c r="E37" s="119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123" t="s">
        <v>146</v>
      </c>
      <c r="C38" s="118">
        <f>SUMIF($J$7:$J$88,B38,$L$7:$L$88)+SUMIF($T$7:$T$88,B38,$V$7:$V$88)</f>
        <v>0</v>
      </c>
      <c r="D38" s="118"/>
      <c r="E38" s="119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123" t="s">
        <v>134</v>
      </c>
      <c r="C39" s="118">
        <f>SUMIF($J$7:$J$88,B39,$L$7:$L$88)+SUMIF($T$7:$T$88,B39,$V$7:$V$88)</f>
        <v>0</v>
      </c>
      <c r="D39" s="118"/>
      <c r="E39" s="119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123" t="s">
        <v>157</v>
      </c>
      <c r="C40" s="118">
        <f>SUMIF($J$7:$J$88,B40,$L$7:$L$88)+SUMIF($T$7:$T$88,B40,$V$7:$V$88)</f>
        <v>0</v>
      </c>
      <c r="D40" s="118"/>
      <c r="E40" s="119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123" t="s">
        <v>126</v>
      </c>
      <c r="C41" s="118">
        <f>SUMIF($J$7:$J$88,B41,$L$7:$L$88)+SUMIF($T$7:$T$88,B41,$V$7:$V$88)</f>
        <v>0</v>
      </c>
      <c r="D41" s="118"/>
      <c r="E41" s="119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123" t="s">
        <v>151</v>
      </c>
      <c r="C42" s="120">
        <f>SUMIF($J$7:$J$88,B42,$L$7:$L$88)+SUMIF($T$7:$T$88,B42,$V$7:$V$88)</f>
        <v>0</v>
      </c>
      <c r="D42" s="120"/>
      <c r="E42" s="12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123" t="s">
        <v>137</v>
      </c>
      <c r="C43" s="120">
        <f>SUMIF($J$7:$J$88,B43,$L$7:$L$88)+SUMIF($T$7:$T$88,B43,$V$7:$V$88)</f>
        <v>0</v>
      </c>
      <c r="D43" s="120"/>
      <c r="E43" s="12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123" t="s">
        <v>144</v>
      </c>
      <c r="C44" s="120">
        <f>SUMIF($J$7:$J$88,B44,$L$7:$L$88)+SUMIF($T$7:$T$88,B44,$V$7:$V$88)</f>
        <v>0</v>
      </c>
      <c r="D44" s="120"/>
      <c r="E44" s="12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123" t="s">
        <v>138</v>
      </c>
      <c r="C45" s="120">
        <f>SUMIF($J$7:$J$88,B45,$L$7:$L$88)+SUMIF($T$7:$T$88,B45,$V$7:$V$88)</f>
        <v>0</v>
      </c>
      <c r="D45" s="120"/>
      <c r="E45" s="12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124" t="s">
        <v>154</v>
      </c>
      <c r="C46" s="120">
        <f>SUMIF($J$7:$J$88,B46,$L$7:$L$88)+SUMIF($T$7:$T$88,B46,$V$7:$V$88)</f>
        <v>0</v>
      </c>
      <c r="D46" s="120"/>
      <c r="E46" s="12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114" t="s">
        <v>195</v>
      </c>
      <c r="C48" s="109" t="str">
        <f>IF(SUM(C27:E46)&lt;&gt;SUM(L89,V89),"항목 추가해주세요","-")</f>
        <v>-</v>
      </c>
      <c r="D48" s="110"/>
      <c r="E48" s="111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36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1.75" bestFit="1" customWidth="1"/>
    <col min="12" max="12" width="11.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2.875" bestFit="1" customWidth="1"/>
    <col min="20" max="20" width="9.75" bestFit="1" customWidth="1"/>
    <col min="21" max="21" width="28.25" bestFit="1" customWidth="1"/>
    <col min="22" max="22" width="11.5" bestFit="1" customWidth="1"/>
    <col min="24" max="24" width="21.375" bestFit="1" customWidth="1"/>
    <col min="25" max="25" width="11.75" bestFit="1" customWidth="1"/>
  </cols>
  <sheetData>
    <row r="2" spans="2:25" ht="24.75" thickBot="1" x14ac:dyDescent="0.35">
      <c r="B2" s="88" t="s">
        <v>105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I90+S90</f>
        <v>0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10000000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P6" s="5"/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0</v>
      </c>
      <c r="D7" s="99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2" t="s">
        <v>194</v>
      </c>
      <c r="C25" s="93"/>
      <c r="D25" s="93"/>
      <c r="E25" s="9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122" t="s">
        <v>28</v>
      </c>
      <c r="C26" s="115" t="s">
        <v>30</v>
      </c>
      <c r="D26" s="116"/>
      <c r="E26" s="117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122" t="s">
        <v>115</v>
      </c>
      <c r="C27" s="118">
        <f>SUMIF($J$7:$J$88,B27,$L$7:$L$88)+SUMIF($T$7:$T$88,B27,$V$7:$V$88)</f>
        <v>0</v>
      </c>
      <c r="D27" s="118"/>
      <c r="E27" s="119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123" t="s">
        <v>116</v>
      </c>
      <c r="C28" s="118">
        <f>SUMIF($J$7:$J$88,B28,$L$7:$L$88)+SUMIF($T$7:$T$88,B28,$V$7:$V$88)</f>
        <v>0</v>
      </c>
      <c r="D28" s="118"/>
      <c r="E28" s="119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123" t="s">
        <v>120</v>
      </c>
      <c r="C29" s="118">
        <f>SUMIF($J$7:$J$88,B29,$L$7:$L$88)+SUMIF($T$7:$T$88,B29,$V$7:$V$88)</f>
        <v>0</v>
      </c>
      <c r="D29" s="118"/>
      <c r="E29" s="119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123" t="s">
        <v>118</v>
      </c>
      <c r="C30" s="118">
        <f>SUMIF($J$7:$J$88,B30,$L$7:$L$88)+SUMIF($T$7:$T$88,B30,$V$7:$V$88)</f>
        <v>0</v>
      </c>
      <c r="D30" s="118"/>
      <c r="E30" s="119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123" t="s">
        <v>122</v>
      </c>
      <c r="C31" s="118">
        <f>SUMIF($J$7:$J$88,B31,$L$7:$L$88)+SUMIF($T$7:$T$88,B31,$V$7:$V$88)</f>
        <v>0</v>
      </c>
      <c r="D31" s="118"/>
      <c r="E31" s="119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123" t="s">
        <v>119</v>
      </c>
      <c r="C32" s="118">
        <f>SUMIF($J$7:$J$88,B32,$L$7:$L$88)+SUMIF($T$7:$T$88,B32,$V$7:$V$88)</f>
        <v>0</v>
      </c>
      <c r="D32" s="118"/>
      <c r="E32" s="119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123" t="s">
        <v>129</v>
      </c>
      <c r="C33" s="118">
        <f>SUMIF($J$7:$J$88,B33,$L$7:$L$88)+SUMIF($T$7:$T$88,B33,$V$7:$V$88)</f>
        <v>0</v>
      </c>
      <c r="D33" s="118"/>
      <c r="E33" s="119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123" t="s">
        <v>125</v>
      </c>
      <c r="C34" s="118">
        <f>SUMIF($J$7:$J$88,B34,$L$7:$L$88)+SUMIF($T$7:$T$88,B34,$V$7:$V$88)</f>
        <v>0</v>
      </c>
      <c r="D34" s="118"/>
      <c r="E34" s="119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123" t="s">
        <v>148</v>
      </c>
      <c r="C35" s="118">
        <f>SUMIF($J$7:$J$88,B35,$L$7:$L$88)+SUMIF($T$7:$T$88,B35,$V$7:$V$88)</f>
        <v>0</v>
      </c>
      <c r="D35" s="118"/>
      <c r="E35" s="119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123" t="s">
        <v>117</v>
      </c>
      <c r="C36" s="118">
        <f>SUMIF($J$7:$J$88,B36,$L$7:$L$88)+SUMIF($T$7:$T$88,B36,$V$7:$V$88)</f>
        <v>0</v>
      </c>
      <c r="D36" s="118"/>
      <c r="E36" s="119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123" t="s">
        <v>128</v>
      </c>
      <c r="C37" s="118">
        <f>SUMIF($J$7:$J$88,B37,$L$7:$L$88)+SUMIF($T$7:$T$88,B37,$V$7:$V$88)</f>
        <v>0</v>
      </c>
      <c r="D37" s="118"/>
      <c r="E37" s="119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123" t="s">
        <v>146</v>
      </c>
      <c r="C38" s="118">
        <f>SUMIF($J$7:$J$88,B38,$L$7:$L$88)+SUMIF($T$7:$T$88,B38,$V$7:$V$88)</f>
        <v>0</v>
      </c>
      <c r="D38" s="118"/>
      <c r="E38" s="119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123" t="s">
        <v>134</v>
      </c>
      <c r="C39" s="118">
        <f>SUMIF($J$7:$J$88,B39,$L$7:$L$88)+SUMIF($T$7:$T$88,B39,$V$7:$V$88)</f>
        <v>0</v>
      </c>
      <c r="D39" s="118"/>
      <c r="E39" s="119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123" t="s">
        <v>157</v>
      </c>
      <c r="C40" s="118">
        <f>SUMIF($J$7:$J$88,B40,$L$7:$L$88)+SUMIF($T$7:$T$88,B40,$V$7:$V$88)</f>
        <v>0</v>
      </c>
      <c r="D40" s="118"/>
      <c r="E40" s="119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123" t="s">
        <v>126</v>
      </c>
      <c r="C41" s="118">
        <f>SUMIF($J$7:$J$88,B41,$L$7:$L$88)+SUMIF($T$7:$T$88,B41,$V$7:$V$88)</f>
        <v>0</v>
      </c>
      <c r="D41" s="118"/>
      <c r="E41" s="119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123" t="s">
        <v>151</v>
      </c>
      <c r="C42" s="120">
        <f>SUMIF($J$7:$J$88,B42,$L$7:$L$88)+SUMIF($T$7:$T$88,B42,$V$7:$V$88)</f>
        <v>0</v>
      </c>
      <c r="D42" s="120"/>
      <c r="E42" s="12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123" t="s">
        <v>137</v>
      </c>
      <c r="C43" s="120">
        <f>SUMIF($J$7:$J$88,B43,$L$7:$L$88)+SUMIF($T$7:$T$88,B43,$V$7:$V$88)</f>
        <v>0</v>
      </c>
      <c r="D43" s="120"/>
      <c r="E43" s="12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123" t="s">
        <v>144</v>
      </c>
      <c r="C44" s="120">
        <f>SUMIF($J$7:$J$88,B44,$L$7:$L$88)+SUMIF($T$7:$T$88,B44,$V$7:$V$88)</f>
        <v>0</v>
      </c>
      <c r="D44" s="120"/>
      <c r="E44" s="12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123" t="s">
        <v>138</v>
      </c>
      <c r="C45" s="120">
        <f>SUMIF($J$7:$J$88,B45,$L$7:$L$88)+SUMIF($T$7:$T$88,B45,$V$7:$V$88)</f>
        <v>0</v>
      </c>
      <c r="D45" s="120"/>
      <c r="E45" s="12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124" t="s">
        <v>154</v>
      </c>
      <c r="C46" s="120">
        <f>SUMIF($J$7:$J$88,B46,$L$7:$L$88)+SUMIF($T$7:$T$88,B46,$V$7:$V$88)</f>
        <v>0</v>
      </c>
      <c r="D46" s="120"/>
      <c r="E46" s="12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114" t="s">
        <v>195</v>
      </c>
      <c r="C48" s="109" t="str">
        <f>IF(SUM(C27:E46)&lt;&gt;SUM(L89,V89),"항목 추가해주세요","-")</f>
        <v>-</v>
      </c>
      <c r="D48" s="110"/>
      <c r="E48" s="111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36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6" bestFit="1" customWidth="1"/>
    <col min="15" max="15" width="10" bestFit="1" customWidth="1"/>
    <col min="16" max="16" width="2.375" customWidth="1"/>
    <col min="18" max="18" width="17.25" bestFit="1" customWidth="1"/>
    <col min="19" max="19" width="10.625" bestFit="1" customWidth="1"/>
    <col min="20" max="20" width="9.75" bestFit="1" customWidth="1"/>
    <col min="21" max="21" width="28.25" bestFit="1" customWidth="1"/>
    <col min="22" max="22" width="11.5" bestFit="1" customWidth="1"/>
    <col min="24" max="24" width="17.25" bestFit="1" customWidth="1"/>
    <col min="25" max="25" width="10.625" bestFit="1" customWidth="1"/>
  </cols>
  <sheetData>
    <row r="2" spans="2:25" ht="24.75" thickBot="1" x14ac:dyDescent="0.35">
      <c r="B2" s="88" t="s">
        <v>106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I90+S90</f>
        <v>0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10000000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0</v>
      </c>
      <c r="D7" s="99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2" t="s">
        <v>194</v>
      </c>
      <c r="C25" s="93"/>
      <c r="D25" s="93"/>
      <c r="E25" s="9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122" t="s">
        <v>28</v>
      </c>
      <c r="C26" s="115" t="s">
        <v>30</v>
      </c>
      <c r="D26" s="116"/>
      <c r="E26" s="117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122" t="s">
        <v>115</v>
      </c>
      <c r="C27" s="118">
        <f>SUMIF($J$7:$J$88,B27,$L$7:$L$88)+SUMIF($T$7:$T$88,B27,$V$7:$V$88)</f>
        <v>0</v>
      </c>
      <c r="D27" s="118"/>
      <c r="E27" s="119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123" t="s">
        <v>116</v>
      </c>
      <c r="C28" s="118">
        <f>SUMIF($J$7:$J$88,B28,$L$7:$L$88)+SUMIF($T$7:$T$88,B28,$V$7:$V$88)</f>
        <v>0</v>
      </c>
      <c r="D28" s="118"/>
      <c r="E28" s="119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123" t="s">
        <v>120</v>
      </c>
      <c r="C29" s="118">
        <f>SUMIF($J$7:$J$88,B29,$L$7:$L$88)+SUMIF($T$7:$T$88,B29,$V$7:$V$88)</f>
        <v>0</v>
      </c>
      <c r="D29" s="118"/>
      <c r="E29" s="119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123" t="s">
        <v>118</v>
      </c>
      <c r="C30" s="118">
        <f>SUMIF($J$7:$J$88,B30,$L$7:$L$88)+SUMIF($T$7:$T$88,B30,$V$7:$V$88)</f>
        <v>0</v>
      </c>
      <c r="D30" s="118"/>
      <c r="E30" s="119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123" t="s">
        <v>122</v>
      </c>
      <c r="C31" s="118">
        <f>SUMIF($J$7:$J$88,B31,$L$7:$L$88)+SUMIF($T$7:$T$88,B31,$V$7:$V$88)</f>
        <v>0</v>
      </c>
      <c r="D31" s="118"/>
      <c r="E31" s="119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123" t="s">
        <v>119</v>
      </c>
      <c r="C32" s="118">
        <f>SUMIF($J$7:$J$88,B32,$L$7:$L$88)+SUMIF($T$7:$T$88,B32,$V$7:$V$88)</f>
        <v>0</v>
      </c>
      <c r="D32" s="118"/>
      <c r="E32" s="119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123" t="s">
        <v>129</v>
      </c>
      <c r="C33" s="118">
        <f>SUMIF($J$7:$J$88,B33,$L$7:$L$88)+SUMIF($T$7:$T$88,B33,$V$7:$V$88)</f>
        <v>0</v>
      </c>
      <c r="D33" s="118"/>
      <c r="E33" s="119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123" t="s">
        <v>125</v>
      </c>
      <c r="C34" s="118">
        <f>SUMIF($J$7:$J$88,B34,$L$7:$L$88)+SUMIF($T$7:$T$88,B34,$V$7:$V$88)</f>
        <v>0</v>
      </c>
      <c r="D34" s="118"/>
      <c r="E34" s="119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123" t="s">
        <v>148</v>
      </c>
      <c r="C35" s="118">
        <f>SUMIF($J$7:$J$88,B35,$L$7:$L$88)+SUMIF($T$7:$T$88,B35,$V$7:$V$88)</f>
        <v>0</v>
      </c>
      <c r="D35" s="118"/>
      <c r="E35" s="119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123" t="s">
        <v>117</v>
      </c>
      <c r="C36" s="118">
        <f>SUMIF($J$7:$J$88,B36,$L$7:$L$88)+SUMIF($T$7:$T$88,B36,$V$7:$V$88)</f>
        <v>0</v>
      </c>
      <c r="D36" s="118"/>
      <c r="E36" s="119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123" t="s">
        <v>128</v>
      </c>
      <c r="C37" s="118">
        <f>SUMIF($J$7:$J$88,B37,$L$7:$L$88)+SUMIF($T$7:$T$88,B37,$V$7:$V$88)</f>
        <v>0</v>
      </c>
      <c r="D37" s="118"/>
      <c r="E37" s="119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123" t="s">
        <v>146</v>
      </c>
      <c r="C38" s="118">
        <f>SUMIF($J$7:$J$88,B38,$L$7:$L$88)+SUMIF($T$7:$T$88,B38,$V$7:$V$88)</f>
        <v>0</v>
      </c>
      <c r="D38" s="118"/>
      <c r="E38" s="119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123" t="s">
        <v>134</v>
      </c>
      <c r="C39" s="118">
        <f>SUMIF($J$7:$J$88,B39,$L$7:$L$88)+SUMIF($T$7:$T$88,B39,$V$7:$V$88)</f>
        <v>0</v>
      </c>
      <c r="D39" s="118"/>
      <c r="E39" s="119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123" t="s">
        <v>157</v>
      </c>
      <c r="C40" s="118">
        <f>SUMIF($J$7:$J$88,B40,$L$7:$L$88)+SUMIF($T$7:$T$88,B40,$V$7:$V$88)</f>
        <v>0</v>
      </c>
      <c r="D40" s="118"/>
      <c r="E40" s="119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123" t="s">
        <v>126</v>
      </c>
      <c r="C41" s="118">
        <f>SUMIF($J$7:$J$88,B41,$L$7:$L$88)+SUMIF($T$7:$T$88,B41,$V$7:$V$88)</f>
        <v>0</v>
      </c>
      <c r="D41" s="118"/>
      <c r="E41" s="119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123" t="s">
        <v>151</v>
      </c>
      <c r="C42" s="120">
        <f>SUMIF($J$7:$J$88,B42,$L$7:$L$88)+SUMIF($T$7:$T$88,B42,$V$7:$V$88)</f>
        <v>0</v>
      </c>
      <c r="D42" s="120"/>
      <c r="E42" s="12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123" t="s">
        <v>137</v>
      </c>
      <c r="C43" s="120">
        <f>SUMIF($J$7:$J$88,B43,$L$7:$L$88)+SUMIF($T$7:$T$88,B43,$V$7:$V$88)</f>
        <v>0</v>
      </c>
      <c r="D43" s="120"/>
      <c r="E43" s="12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123" t="s">
        <v>144</v>
      </c>
      <c r="C44" s="120">
        <f>SUMIF($J$7:$J$88,B44,$L$7:$L$88)+SUMIF($T$7:$T$88,B44,$V$7:$V$88)</f>
        <v>0</v>
      </c>
      <c r="D44" s="120"/>
      <c r="E44" s="12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123" t="s">
        <v>138</v>
      </c>
      <c r="C45" s="120">
        <f>SUMIF($J$7:$J$88,B45,$L$7:$L$88)+SUMIF($T$7:$T$88,B45,$V$7:$V$88)</f>
        <v>0</v>
      </c>
      <c r="D45" s="120"/>
      <c r="E45" s="12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124" t="s">
        <v>154</v>
      </c>
      <c r="C46" s="120">
        <f>SUMIF($J$7:$J$88,B46,$L$7:$L$88)+SUMIF($T$7:$T$88,B46,$V$7:$V$88)</f>
        <v>0</v>
      </c>
      <c r="D46" s="120"/>
      <c r="E46" s="12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114" t="s">
        <v>195</v>
      </c>
      <c r="C48" s="109" t="str">
        <f>IF(SUM(C27:E46)&lt;&gt;SUM(L89,V89),"항목 추가해주세요","-")</f>
        <v>-</v>
      </c>
      <c r="D48" s="110"/>
      <c r="E48" s="111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36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4" bestFit="1" customWidth="1"/>
    <col min="9" max="9" width="10.625" bestFit="1" customWidth="1"/>
    <col min="10" max="10" width="11" bestFit="1" customWidth="1"/>
    <col min="11" max="11" width="30.1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2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17.25" bestFit="1" customWidth="1"/>
    <col min="25" max="25" width="12.625" bestFit="1" customWidth="1"/>
  </cols>
  <sheetData>
    <row r="2" spans="2:25" ht="24.75" thickBot="1" x14ac:dyDescent="0.35">
      <c r="B2" s="88" t="s">
        <v>110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I90+S90</f>
        <v>0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10000000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0</v>
      </c>
      <c r="D7" s="99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2" t="s">
        <v>194</v>
      </c>
      <c r="C25" s="93"/>
      <c r="D25" s="93"/>
      <c r="E25" s="9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122" t="s">
        <v>28</v>
      </c>
      <c r="C26" s="115" t="s">
        <v>30</v>
      </c>
      <c r="D26" s="116"/>
      <c r="E26" s="117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122" t="s">
        <v>115</v>
      </c>
      <c r="C27" s="118">
        <f>SUMIF($J$7:$J$88,B27,$L$7:$L$88)+SUMIF($T$7:$T$88,B27,$V$7:$V$88)</f>
        <v>0</v>
      </c>
      <c r="D27" s="118"/>
      <c r="E27" s="119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123" t="s">
        <v>116</v>
      </c>
      <c r="C28" s="118">
        <f>SUMIF($J$7:$J$88,B28,$L$7:$L$88)+SUMIF($T$7:$T$88,B28,$V$7:$V$88)</f>
        <v>0</v>
      </c>
      <c r="D28" s="118"/>
      <c r="E28" s="119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123" t="s">
        <v>120</v>
      </c>
      <c r="C29" s="118">
        <f>SUMIF($J$7:$J$88,B29,$L$7:$L$88)+SUMIF($T$7:$T$88,B29,$V$7:$V$88)</f>
        <v>0</v>
      </c>
      <c r="D29" s="118"/>
      <c r="E29" s="119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123" t="s">
        <v>118</v>
      </c>
      <c r="C30" s="118">
        <f>SUMIF($J$7:$J$88,B30,$L$7:$L$88)+SUMIF($T$7:$T$88,B30,$V$7:$V$88)</f>
        <v>0</v>
      </c>
      <c r="D30" s="118"/>
      <c r="E30" s="119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123" t="s">
        <v>122</v>
      </c>
      <c r="C31" s="118">
        <f>SUMIF($J$7:$J$88,B31,$L$7:$L$88)+SUMIF($T$7:$T$88,B31,$V$7:$V$88)</f>
        <v>0</v>
      </c>
      <c r="D31" s="118"/>
      <c r="E31" s="119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123" t="s">
        <v>119</v>
      </c>
      <c r="C32" s="118">
        <f>SUMIF($J$7:$J$88,B32,$L$7:$L$88)+SUMIF($T$7:$T$88,B32,$V$7:$V$88)</f>
        <v>0</v>
      </c>
      <c r="D32" s="118"/>
      <c r="E32" s="119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123" t="s">
        <v>129</v>
      </c>
      <c r="C33" s="118">
        <f>SUMIF($J$7:$J$88,B33,$L$7:$L$88)+SUMIF($T$7:$T$88,B33,$V$7:$V$88)</f>
        <v>0</v>
      </c>
      <c r="D33" s="118"/>
      <c r="E33" s="119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123" t="s">
        <v>125</v>
      </c>
      <c r="C34" s="118">
        <f>SUMIF($J$7:$J$88,B34,$L$7:$L$88)+SUMIF($T$7:$T$88,B34,$V$7:$V$88)</f>
        <v>0</v>
      </c>
      <c r="D34" s="118"/>
      <c r="E34" s="119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123" t="s">
        <v>148</v>
      </c>
      <c r="C35" s="118">
        <f>SUMIF($J$7:$J$88,B35,$L$7:$L$88)+SUMIF($T$7:$T$88,B35,$V$7:$V$88)</f>
        <v>0</v>
      </c>
      <c r="D35" s="118"/>
      <c r="E35" s="119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123" t="s">
        <v>117</v>
      </c>
      <c r="C36" s="118">
        <f>SUMIF($J$7:$J$88,B36,$L$7:$L$88)+SUMIF($T$7:$T$88,B36,$V$7:$V$88)</f>
        <v>0</v>
      </c>
      <c r="D36" s="118"/>
      <c r="E36" s="119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123" t="s">
        <v>128</v>
      </c>
      <c r="C37" s="118">
        <f>SUMIF($J$7:$J$88,B37,$L$7:$L$88)+SUMIF($T$7:$T$88,B37,$V$7:$V$88)</f>
        <v>0</v>
      </c>
      <c r="D37" s="118"/>
      <c r="E37" s="119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123" t="s">
        <v>146</v>
      </c>
      <c r="C38" s="118">
        <f>SUMIF($J$7:$J$88,B38,$L$7:$L$88)+SUMIF($T$7:$T$88,B38,$V$7:$V$88)</f>
        <v>0</v>
      </c>
      <c r="D38" s="118"/>
      <c r="E38" s="119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123" t="s">
        <v>134</v>
      </c>
      <c r="C39" s="118">
        <f>SUMIF($J$7:$J$88,B39,$L$7:$L$88)+SUMIF($T$7:$T$88,B39,$V$7:$V$88)</f>
        <v>0</v>
      </c>
      <c r="D39" s="118"/>
      <c r="E39" s="119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123" t="s">
        <v>157</v>
      </c>
      <c r="C40" s="118">
        <f>SUMIF($J$7:$J$88,B40,$L$7:$L$88)+SUMIF($T$7:$T$88,B40,$V$7:$V$88)</f>
        <v>0</v>
      </c>
      <c r="D40" s="118"/>
      <c r="E40" s="119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123" t="s">
        <v>126</v>
      </c>
      <c r="C41" s="118">
        <f>SUMIF($J$7:$J$88,B41,$L$7:$L$88)+SUMIF($T$7:$T$88,B41,$V$7:$V$88)</f>
        <v>0</v>
      </c>
      <c r="D41" s="118"/>
      <c r="E41" s="119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123" t="s">
        <v>151</v>
      </c>
      <c r="C42" s="120">
        <f>SUMIF($J$7:$J$88,B42,$L$7:$L$88)+SUMIF($T$7:$T$88,B42,$V$7:$V$88)</f>
        <v>0</v>
      </c>
      <c r="D42" s="120"/>
      <c r="E42" s="12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123" t="s">
        <v>137</v>
      </c>
      <c r="C43" s="120">
        <f>SUMIF($J$7:$J$88,B43,$L$7:$L$88)+SUMIF($T$7:$T$88,B43,$V$7:$V$88)</f>
        <v>0</v>
      </c>
      <c r="D43" s="120"/>
      <c r="E43" s="12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123" t="s">
        <v>144</v>
      </c>
      <c r="C44" s="120">
        <f>SUMIF($J$7:$J$88,B44,$L$7:$L$88)+SUMIF($T$7:$T$88,B44,$V$7:$V$88)</f>
        <v>0</v>
      </c>
      <c r="D44" s="120"/>
      <c r="E44" s="12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123" t="s">
        <v>138</v>
      </c>
      <c r="C45" s="120">
        <f>SUMIF($J$7:$J$88,B45,$L$7:$L$88)+SUMIF($T$7:$T$88,B45,$V$7:$V$88)</f>
        <v>0</v>
      </c>
      <c r="D45" s="120"/>
      <c r="E45" s="12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124" t="s">
        <v>154</v>
      </c>
      <c r="C46" s="120">
        <f>SUMIF($J$7:$J$88,B46,$L$7:$L$88)+SUMIF($T$7:$T$88,B46,$V$7:$V$88)</f>
        <v>0</v>
      </c>
      <c r="D46" s="120"/>
      <c r="E46" s="12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114" t="s">
        <v>195</v>
      </c>
      <c r="C48" s="109" t="str">
        <f>IF(SUM(C27:E46)&lt;&gt;SUM(L89,V89),"항목 추가해주세요","-")</f>
        <v>-</v>
      </c>
      <c r="D48" s="110"/>
      <c r="E48" s="111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36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 codeName="Sheet18">
    <tabColor rgb="FFFF8FC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125" bestFit="1" customWidth="1"/>
    <col min="9" max="9" width="12.625" bestFit="1" customWidth="1"/>
    <col min="10" max="10" width="11" bestFit="1" customWidth="1"/>
    <col min="11" max="11" width="29.875" bestFit="1" customWidth="1"/>
    <col min="12" max="12" width="12.62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41.75" bestFit="1" customWidth="1"/>
    <col min="22" max="22" width="11.5" bestFit="1" customWidth="1"/>
    <col min="24" max="24" width="20" bestFit="1" customWidth="1"/>
    <col min="25" max="25" width="12.625" bestFit="1" customWidth="1"/>
  </cols>
  <sheetData>
    <row r="2" spans="2:25" ht="24.75" thickBot="1" x14ac:dyDescent="0.35">
      <c r="B2" s="88" t="s">
        <v>107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I90+S90</f>
        <v>0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10000000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0</v>
      </c>
      <c r="D7" s="99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2" t="s">
        <v>194</v>
      </c>
      <c r="C25" s="93"/>
      <c r="D25" s="93"/>
      <c r="E25" s="9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122" t="s">
        <v>28</v>
      </c>
      <c r="C26" s="115" t="s">
        <v>30</v>
      </c>
      <c r="D26" s="116"/>
      <c r="E26" s="117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122" t="s">
        <v>115</v>
      </c>
      <c r="C27" s="118">
        <f>SUMIF($J$7:$J$88,B27,$L$7:$L$88)+SUMIF($T$7:$T$88,B27,$V$7:$V$88)</f>
        <v>0</v>
      </c>
      <c r="D27" s="118"/>
      <c r="E27" s="119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123" t="s">
        <v>116</v>
      </c>
      <c r="C28" s="118">
        <f>SUMIF($J$7:$J$88,B28,$L$7:$L$88)+SUMIF($T$7:$T$88,B28,$V$7:$V$88)</f>
        <v>0</v>
      </c>
      <c r="D28" s="118"/>
      <c r="E28" s="119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123" t="s">
        <v>120</v>
      </c>
      <c r="C29" s="118">
        <f>SUMIF($J$7:$J$88,B29,$L$7:$L$88)+SUMIF($T$7:$T$88,B29,$V$7:$V$88)</f>
        <v>0</v>
      </c>
      <c r="D29" s="118"/>
      <c r="E29" s="119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123" t="s">
        <v>118</v>
      </c>
      <c r="C30" s="118">
        <f>SUMIF($J$7:$J$88,B30,$L$7:$L$88)+SUMIF($T$7:$T$88,B30,$V$7:$V$88)</f>
        <v>0</v>
      </c>
      <c r="D30" s="118"/>
      <c r="E30" s="119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123" t="s">
        <v>122</v>
      </c>
      <c r="C31" s="118">
        <f>SUMIF($J$7:$J$88,B31,$L$7:$L$88)+SUMIF($T$7:$T$88,B31,$V$7:$V$88)</f>
        <v>0</v>
      </c>
      <c r="D31" s="118"/>
      <c r="E31" s="119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123" t="s">
        <v>119</v>
      </c>
      <c r="C32" s="118">
        <f>SUMIF($J$7:$J$88,B32,$L$7:$L$88)+SUMIF($T$7:$T$88,B32,$V$7:$V$88)</f>
        <v>0</v>
      </c>
      <c r="D32" s="118"/>
      <c r="E32" s="119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123" t="s">
        <v>129</v>
      </c>
      <c r="C33" s="118">
        <f>SUMIF($J$7:$J$88,B33,$L$7:$L$88)+SUMIF($T$7:$T$88,B33,$V$7:$V$88)</f>
        <v>0</v>
      </c>
      <c r="D33" s="118"/>
      <c r="E33" s="119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123" t="s">
        <v>125</v>
      </c>
      <c r="C34" s="118">
        <f>SUMIF($J$7:$J$88,B34,$L$7:$L$88)+SUMIF($T$7:$T$88,B34,$V$7:$V$88)</f>
        <v>0</v>
      </c>
      <c r="D34" s="118"/>
      <c r="E34" s="119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123" t="s">
        <v>148</v>
      </c>
      <c r="C35" s="118">
        <f>SUMIF($J$7:$J$88,B35,$L$7:$L$88)+SUMIF($T$7:$T$88,B35,$V$7:$V$88)</f>
        <v>0</v>
      </c>
      <c r="D35" s="118"/>
      <c r="E35" s="119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123" t="s">
        <v>117</v>
      </c>
      <c r="C36" s="118">
        <f>SUMIF($J$7:$J$88,B36,$L$7:$L$88)+SUMIF($T$7:$T$88,B36,$V$7:$V$88)</f>
        <v>0</v>
      </c>
      <c r="D36" s="118"/>
      <c r="E36" s="119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123" t="s">
        <v>128</v>
      </c>
      <c r="C37" s="118">
        <f>SUMIF($J$7:$J$88,B37,$L$7:$L$88)+SUMIF($T$7:$T$88,B37,$V$7:$V$88)</f>
        <v>0</v>
      </c>
      <c r="D37" s="118"/>
      <c r="E37" s="119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123" t="s">
        <v>146</v>
      </c>
      <c r="C38" s="118">
        <f>SUMIF($J$7:$J$88,B38,$L$7:$L$88)+SUMIF($T$7:$T$88,B38,$V$7:$V$88)</f>
        <v>0</v>
      </c>
      <c r="D38" s="118"/>
      <c r="E38" s="119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123" t="s">
        <v>134</v>
      </c>
      <c r="C39" s="118">
        <f>SUMIF($J$7:$J$88,B39,$L$7:$L$88)+SUMIF($T$7:$T$88,B39,$V$7:$V$88)</f>
        <v>0</v>
      </c>
      <c r="D39" s="118"/>
      <c r="E39" s="119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123" t="s">
        <v>157</v>
      </c>
      <c r="C40" s="118">
        <f>SUMIF($J$7:$J$88,B40,$L$7:$L$88)+SUMIF($T$7:$T$88,B40,$V$7:$V$88)</f>
        <v>0</v>
      </c>
      <c r="D40" s="118"/>
      <c r="E40" s="119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123" t="s">
        <v>126</v>
      </c>
      <c r="C41" s="118">
        <f>SUMIF($J$7:$J$88,B41,$L$7:$L$88)+SUMIF($T$7:$T$88,B41,$V$7:$V$88)</f>
        <v>0</v>
      </c>
      <c r="D41" s="118"/>
      <c r="E41" s="119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123" t="s">
        <v>151</v>
      </c>
      <c r="C42" s="120">
        <f>SUMIF($J$7:$J$88,B42,$L$7:$L$88)+SUMIF($T$7:$T$88,B42,$V$7:$V$88)</f>
        <v>0</v>
      </c>
      <c r="D42" s="120"/>
      <c r="E42" s="12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123" t="s">
        <v>137</v>
      </c>
      <c r="C43" s="120">
        <f>SUMIF($J$7:$J$88,B43,$L$7:$L$88)+SUMIF($T$7:$T$88,B43,$V$7:$V$88)</f>
        <v>0</v>
      </c>
      <c r="D43" s="120"/>
      <c r="E43" s="12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123" t="s">
        <v>144</v>
      </c>
      <c r="C44" s="120">
        <f>SUMIF($J$7:$J$88,B44,$L$7:$L$88)+SUMIF($T$7:$T$88,B44,$V$7:$V$88)</f>
        <v>0</v>
      </c>
      <c r="D44" s="120"/>
      <c r="E44" s="12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123" t="s">
        <v>138</v>
      </c>
      <c r="C45" s="120">
        <f>SUMIF($J$7:$J$88,B45,$L$7:$L$88)+SUMIF($T$7:$T$88,B45,$V$7:$V$88)</f>
        <v>0</v>
      </c>
      <c r="D45" s="120"/>
      <c r="E45" s="12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124" t="s">
        <v>154</v>
      </c>
      <c r="C46" s="120">
        <f>SUMIF($J$7:$J$88,B46,$L$7:$L$88)+SUMIF($T$7:$T$88,B46,$V$7:$V$88)</f>
        <v>0</v>
      </c>
      <c r="D46" s="120"/>
      <c r="E46" s="12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114" t="s">
        <v>195</v>
      </c>
      <c r="C48" s="109" t="str">
        <f>IF(SUM(C27:E46)&lt;&gt;SUM(L89,V89),"항목 추가해주세요","-")</f>
        <v>-</v>
      </c>
      <c r="D48" s="110"/>
      <c r="E48" s="111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36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 codeName="Sheet19">
    <tabColor rgb="FFFF89C4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6.2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125" bestFit="1" customWidth="1"/>
    <col min="19" max="19" width="9.25" bestFit="1" customWidth="1"/>
    <col min="20" max="20" width="9.75" bestFit="1" customWidth="1"/>
    <col min="21" max="21" width="21.375" bestFit="1" customWidth="1"/>
    <col min="22" max="22" width="11.5" bestFit="1" customWidth="1"/>
    <col min="24" max="24" width="9.625" bestFit="1" customWidth="1"/>
    <col min="25" max="25" width="10.625" bestFit="1" customWidth="1"/>
  </cols>
  <sheetData>
    <row r="2" spans="2:25" ht="24.75" thickBot="1" x14ac:dyDescent="0.35">
      <c r="B2" s="88" t="s">
        <v>108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I90+S90</f>
        <v>0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10000000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0</v>
      </c>
      <c r="D7" s="99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92" t="s">
        <v>194</v>
      </c>
      <c r="C25" s="93"/>
      <c r="D25" s="93"/>
      <c r="E25" s="94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122" t="s">
        <v>28</v>
      </c>
      <c r="C26" s="115" t="s">
        <v>30</v>
      </c>
      <c r="D26" s="116"/>
      <c r="E26" s="117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122" t="s">
        <v>115</v>
      </c>
      <c r="C27" s="118">
        <f>SUMIF($J$7:$J$88,B27,$L$7:$L$88)+SUMIF($T$7:$T$88,B27,$V$7:$V$88)</f>
        <v>0</v>
      </c>
      <c r="D27" s="118"/>
      <c r="E27" s="119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123" t="s">
        <v>116</v>
      </c>
      <c r="C28" s="118">
        <f>SUMIF($J$7:$J$88,B28,$L$7:$L$88)+SUMIF($T$7:$T$88,B28,$V$7:$V$88)</f>
        <v>0</v>
      </c>
      <c r="D28" s="118"/>
      <c r="E28" s="119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123" t="s">
        <v>120</v>
      </c>
      <c r="C29" s="118">
        <f>SUMIF($J$7:$J$88,B29,$L$7:$L$88)+SUMIF($T$7:$T$88,B29,$V$7:$V$88)</f>
        <v>0</v>
      </c>
      <c r="D29" s="118"/>
      <c r="E29" s="119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123" t="s">
        <v>118</v>
      </c>
      <c r="C30" s="118">
        <f>SUMIF($J$7:$J$88,B30,$L$7:$L$88)+SUMIF($T$7:$T$88,B30,$V$7:$V$88)</f>
        <v>0</v>
      </c>
      <c r="D30" s="118"/>
      <c r="E30" s="119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123" t="s">
        <v>122</v>
      </c>
      <c r="C31" s="118">
        <f>SUMIF($J$7:$J$88,B31,$L$7:$L$88)+SUMIF($T$7:$T$88,B31,$V$7:$V$88)</f>
        <v>0</v>
      </c>
      <c r="D31" s="118"/>
      <c r="E31" s="119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123" t="s">
        <v>119</v>
      </c>
      <c r="C32" s="118">
        <f>SUMIF($J$7:$J$88,B32,$L$7:$L$88)+SUMIF($T$7:$T$88,B32,$V$7:$V$88)</f>
        <v>0</v>
      </c>
      <c r="D32" s="118"/>
      <c r="E32" s="119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123" t="s">
        <v>129</v>
      </c>
      <c r="C33" s="118">
        <f>SUMIF($J$7:$J$88,B33,$L$7:$L$88)+SUMIF($T$7:$T$88,B33,$V$7:$V$88)</f>
        <v>0</v>
      </c>
      <c r="D33" s="118"/>
      <c r="E33" s="119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123" t="s">
        <v>125</v>
      </c>
      <c r="C34" s="118">
        <f>SUMIF($J$7:$J$88,B34,$L$7:$L$88)+SUMIF($T$7:$T$88,B34,$V$7:$V$88)</f>
        <v>0</v>
      </c>
      <c r="D34" s="118"/>
      <c r="E34" s="119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123" t="s">
        <v>148</v>
      </c>
      <c r="C35" s="118">
        <f>SUMIF($J$7:$J$88,B35,$L$7:$L$88)+SUMIF($T$7:$T$88,B35,$V$7:$V$88)</f>
        <v>0</v>
      </c>
      <c r="D35" s="118"/>
      <c r="E35" s="119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123" t="s">
        <v>117</v>
      </c>
      <c r="C36" s="118">
        <f>SUMIF($J$7:$J$88,B36,$L$7:$L$88)+SUMIF($T$7:$T$88,B36,$V$7:$V$88)</f>
        <v>0</v>
      </c>
      <c r="D36" s="118"/>
      <c r="E36" s="119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123" t="s">
        <v>128</v>
      </c>
      <c r="C37" s="118">
        <f>SUMIF($J$7:$J$88,B37,$L$7:$L$88)+SUMIF($T$7:$T$88,B37,$V$7:$V$88)</f>
        <v>0</v>
      </c>
      <c r="D37" s="118"/>
      <c r="E37" s="119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123" t="s">
        <v>146</v>
      </c>
      <c r="C38" s="118">
        <f>SUMIF($J$7:$J$88,B38,$L$7:$L$88)+SUMIF($T$7:$T$88,B38,$V$7:$V$88)</f>
        <v>0</v>
      </c>
      <c r="D38" s="118"/>
      <c r="E38" s="119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123" t="s">
        <v>134</v>
      </c>
      <c r="C39" s="118">
        <f>SUMIF($J$7:$J$88,B39,$L$7:$L$88)+SUMIF($T$7:$T$88,B39,$V$7:$V$88)</f>
        <v>0</v>
      </c>
      <c r="D39" s="118"/>
      <c r="E39" s="119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123" t="s">
        <v>157</v>
      </c>
      <c r="C40" s="118">
        <f>SUMIF($J$7:$J$88,B40,$L$7:$L$88)+SUMIF($T$7:$T$88,B40,$V$7:$V$88)</f>
        <v>0</v>
      </c>
      <c r="D40" s="118"/>
      <c r="E40" s="119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123" t="s">
        <v>126</v>
      </c>
      <c r="C41" s="118">
        <f>SUMIF($J$7:$J$88,B41,$L$7:$L$88)+SUMIF($T$7:$T$88,B41,$V$7:$V$88)</f>
        <v>0</v>
      </c>
      <c r="D41" s="118"/>
      <c r="E41" s="119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123" t="s">
        <v>151</v>
      </c>
      <c r="C42" s="120">
        <f>SUMIF($J$7:$J$88,B42,$L$7:$L$88)+SUMIF($T$7:$T$88,B42,$V$7:$V$88)</f>
        <v>0</v>
      </c>
      <c r="D42" s="120"/>
      <c r="E42" s="12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123" t="s">
        <v>137</v>
      </c>
      <c r="C43" s="120">
        <f>SUMIF($J$7:$J$88,B43,$L$7:$L$88)+SUMIF($T$7:$T$88,B43,$V$7:$V$88)</f>
        <v>0</v>
      </c>
      <c r="D43" s="120"/>
      <c r="E43" s="12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123" t="s">
        <v>144</v>
      </c>
      <c r="C44" s="120">
        <f>SUMIF($J$7:$J$88,B44,$L$7:$L$88)+SUMIF($T$7:$T$88,B44,$V$7:$V$88)</f>
        <v>0</v>
      </c>
      <c r="D44" s="120"/>
      <c r="E44" s="12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123" t="s">
        <v>138</v>
      </c>
      <c r="C45" s="120">
        <f>SUMIF($J$7:$J$88,B45,$L$7:$L$88)+SUMIF($T$7:$T$88,B45,$V$7:$V$88)</f>
        <v>0</v>
      </c>
      <c r="D45" s="120"/>
      <c r="E45" s="12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124" t="s">
        <v>154</v>
      </c>
      <c r="C46" s="120">
        <f>SUMIF($J$7:$J$88,B46,$L$7:$L$88)+SUMIF($T$7:$T$88,B46,$V$7:$V$88)</f>
        <v>0</v>
      </c>
      <c r="D46" s="120"/>
      <c r="E46" s="12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114" t="s">
        <v>195</v>
      </c>
      <c r="C48" s="109" t="str">
        <f>IF(SUM(C27:E46)&lt;&gt;SUM(L89,V89),"항목 추가해주세요","-")</f>
        <v>-</v>
      </c>
      <c r="D48" s="110"/>
      <c r="E48" s="111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36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대시보드</vt:lpstr>
      <vt:lpstr>재무상태표</vt:lpstr>
      <vt:lpstr>저축</vt:lpstr>
      <vt:lpstr>투자</vt:lpstr>
      <vt:lpstr>부채</vt:lpstr>
      <vt:lpstr>현금흐름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3337</cp:lastModifiedBy>
  <dcterms:created xsi:type="dcterms:W3CDTF">2024-12-26T15:06:29Z</dcterms:created>
  <dcterms:modified xsi:type="dcterms:W3CDTF">2025-01-19T08:29:47Z</dcterms:modified>
</cp:coreProperties>
</file>