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6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7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8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9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10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1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2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3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4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D8659675-7751-4C0B-AAD7-F90B34B40F36}" xr6:coauthVersionLast="47" xr6:coauthVersionMax="47" xr10:uidLastSave="{00000000-0000-0000-0000-000000000000}"/>
  <bookViews>
    <workbookView xWindow="-120" yWindow="-120" windowWidth="38640" windowHeight="21240" activeTab="6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손익계산서" sheetId="21" r:id="rId7"/>
    <sheet name="설정" sheetId="8" r:id="rId8"/>
    <sheet name="1월" sheetId="9" r:id="rId9"/>
    <sheet name="2월" sheetId="10" r:id="rId10"/>
    <sheet name="3월" sheetId="11" r:id="rId11"/>
    <sheet name="4월" sheetId="12" r:id="rId12"/>
    <sheet name="5월" sheetId="13" r:id="rId13"/>
    <sheet name="6월" sheetId="14" r:id="rId14"/>
    <sheet name="7월" sheetId="15" r:id="rId15"/>
    <sheet name="8월" sheetId="16" r:id="rId16"/>
    <sheet name="9월" sheetId="17" r:id="rId17"/>
    <sheet name="10월" sheetId="18" r:id="rId18"/>
    <sheet name="11월" sheetId="19" r:id="rId19"/>
    <sheet name="12월" sheetId="20" r:id="rId20"/>
  </sheets>
  <functionGroups builtInGroupCount="19"/>
  <definedNames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4" i="21" l="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D9" i="21"/>
  <c r="AD8" i="21"/>
  <c r="AD7" i="21"/>
  <c r="AD6" i="21"/>
  <c r="AD5" i="21"/>
  <c r="B24" i="21"/>
  <c r="B23" i="21"/>
  <c r="C55" i="20"/>
  <c r="C54" i="20"/>
  <c r="C53" i="20"/>
  <c r="C52" i="20"/>
  <c r="C57" i="20" s="1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48" i="20" s="1"/>
  <c r="C55" i="19"/>
  <c r="C54" i="19"/>
  <c r="C53" i="19"/>
  <c r="C52" i="19"/>
  <c r="C57" i="19" s="1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48" i="19" s="1"/>
  <c r="C55" i="18"/>
  <c r="C54" i="18"/>
  <c r="C53" i="18"/>
  <c r="C52" i="18"/>
  <c r="C57" i="18" s="1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48" i="18" s="1"/>
  <c r="C55" i="17"/>
  <c r="C54" i="17"/>
  <c r="C53" i="17"/>
  <c r="C52" i="17"/>
  <c r="C57" i="17" s="1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48" i="17" s="1"/>
  <c r="C55" i="16"/>
  <c r="C54" i="16"/>
  <c r="C53" i="16"/>
  <c r="C52" i="16"/>
  <c r="C57" i="16" s="1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48" i="16" s="1"/>
  <c r="C55" i="15"/>
  <c r="C54" i="15"/>
  <c r="C53" i="15"/>
  <c r="C52" i="15"/>
  <c r="C57" i="15" s="1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48" i="15" s="1"/>
  <c r="C55" i="14"/>
  <c r="C54" i="14"/>
  <c r="C53" i="14"/>
  <c r="C52" i="14"/>
  <c r="C57" i="14" s="1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48" i="14" s="1"/>
  <c r="C55" i="13"/>
  <c r="C54" i="13"/>
  <c r="C53" i="13"/>
  <c r="C52" i="13"/>
  <c r="C57" i="13" s="1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48" i="13" s="1"/>
  <c r="C55" i="12"/>
  <c r="C54" i="12"/>
  <c r="C53" i="12"/>
  <c r="C52" i="12"/>
  <c r="C57" i="12" s="1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48" i="12" s="1"/>
  <c r="C55" i="11"/>
  <c r="C54" i="11"/>
  <c r="C53" i="11"/>
  <c r="C52" i="11"/>
  <c r="C57" i="11" s="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48" i="11" s="1"/>
  <c r="C55" i="10"/>
  <c r="C54" i="10"/>
  <c r="C53" i="10"/>
  <c r="C52" i="10"/>
  <c r="C57" i="10" s="1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48" i="10" s="1"/>
  <c r="C57" i="9"/>
  <c r="C55" i="9"/>
  <c r="C54" i="9"/>
  <c r="C53" i="9"/>
  <c r="C52" i="9"/>
  <c r="C24" i="21" a="1"/>
  <c r="C23" i="21" a="1"/>
  <c r="Z5" i="21" a="1"/>
  <c r="AC5" i="21" a="1"/>
  <c r="Y5" i="21" a="1"/>
  <c r="C24" i="21" l="1"/>
  <c r="C23" i="21"/>
  <c r="Z5" i="21"/>
  <c r="Z25" i="21" s="1"/>
  <c r="AC5" i="21"/>
  <c r="Y5" i="21"/>
  <c r="AB5" i="21" a="1"/>
  <c r="O15" i="21" l="1"/>
  <c r="O17" i="21"/>
  <c r="O11" i="21"/>
  <c r="O13" i="21"/>
  <c r="O7" i="21"/>
  <c r="O9" i="21"/>
  <c r="AB5" i="21"/>
  <c r="L17" i="21" s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AF2" i="21"/>
  <c r="L13" i="21" l="1"/>
  <c r="L15" i="21"/>
  <c r="L9" i="21"/>
  <c r="L11" i="21"/>
  <c r="L7" i="21"/>
  <c r="AC25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I89" i="20"/>
  <c r="O89" i="19"/>
  <c r="L89" i="19"/>
  <c r="I89" i="19"/>
  <c r="O89" i="18"/>
  <c r="L89" i="18"/>
  <c r="I89" i="18"/>
  <c r="O89" i="17"/>
  <c r="L89" i="17"/>
  <c r="I89" i="17"/>
  <c r="O89" i="15"/>
  <c r="L89" i="15"/>
  <c r="I89" i="15"/>
  <c r="O89" i="13"/>
  <c r="L89" i="13"/>
  <c r="I89" i="13"/>
  <c r="O89" i="12"/>
  <c r="L89" i="12"/>
  <c r="I89" i="12"/>
  <c r="O89" i="11"/>
  <c r="L89" i="11"/>
  <c r="I89" i="11"/>
  <c r="O89" i="10"/>
  <c r="L89" i="10"/>
  <c r="I89" i="10"/>
  <c r="O89" i="9"/>
  <c r="L89" i="9"/>
  <c r="C48" i="9" s="1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2"/>
  <c r="G4" i="12"/>
  <c r="Q4" i="11"/>
  <c r="G4" i="11"/>
  <c r="Q4" i="10"/>
  <c r="G4" i="10"/>
  <c r="B39" i="8"/>
  <c r="B11" i="8"/>
  <c r="S90" i="20" l="1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C5" i="19" l="1"/>
  <c r="C7" i="19" s="1"/>
  <c r="C5" i="15"/>
  <c r="C6" i="15" s="1"/>
  <c r="C5" i="14"/>
  <c r="C7" i="14" s="1"/>
  <c r="C5" i="10"/>
  <c r="C7" i="10" s="1"/>
  <c r="C5" i="20"/>
  <c r="C7" i="20" s="1"/>
  <c r="C5" i="18"/>
  <c r="C6" i="18" s="1"/>
  <c r="C5" i="17"/>
  <c r="C7" i="17" s="1"/>
  <c r="C5" i="16"/>
  <c r="C7" i="16" s="1"/>
  <c r="C5" i="13"/>
  <c r="C7" i="13" s="1"/>
  <c r="C5" i="12"/>
  <c r="C6" i="12" s="1"/>
  <c r="C5" i="11"/>
  <c r="C7" i="11" s="1"/>
  <c r="C5" i="9"/>
  <c r="C7" i="9" s="1"/>
  <c r="C7" i="15"/>
  <c r="C6" i="14"/>
  <c r="C6" i="20" l="1"/>
  <c r="C6" i="19"/>
  <c r="C7" i="18"/>
  <c r="C6" i="17"/>
  <c r="C6" i="16"/>
  <c r="C6" i="13"/>
  <c r="C7" i="12"/>
  <c r="C6" i="1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<sst xmlns="http://schemas.openxmlformats.org/spreadsheetml/2006/main" count="5569" uniqueCount="1023">
  <si>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</si>
  <si>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</si>
  <si>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</si>
  <si>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</si>
  <si>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</si>
  <si>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</si>
  <si>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</si>
  <si>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</si>
  <si>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</si>
  <si>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</si>
  <si>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</si>
  <si>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</si>
  <si>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</si>
  <si>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</si>
  <si>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</si>
  <si>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</si>
  <si>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</si>
  <si>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</si>
  <si>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</si>
  <si>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</si>
  <si>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</si>
  <si>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</si>
  <si>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</si>
  <si>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</si>
  <si>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</si>
  <si>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</si>
  <si>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</si>
  <si>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</si>
  <si>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</si>
  <si>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</si>
  <si>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</si>
  <si>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</si>
  <si>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</si>
  <si>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</si>
  <si>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</si>
  <si>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</si>
  <si>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</si>
  <si>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</si>
  <si>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</si>
  <si>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</si>
  <si>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</si>
  <si>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</si>
  <si>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</si>
  <si>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</si>
  <si>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</si>
  <si>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</si>
  <si>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</si>
  <si>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</si>
  <si>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</si>
  <si>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</si>
  <si>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</si>
  <si>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</si>
  <si>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</si>
  <si>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</si>
  <si>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</si>
  <si>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</si>
  <si>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</si>
  <si>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</si>
  <si>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</si>
  <si>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</si>
  <si>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</si>
  <si>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</si>
  <si>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</si>
  <si>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</si>
  <si>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</si>
  <si>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</si>
  <si>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</si>
  <si>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</si>
  <si>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</si>
  <si>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</si>
  <si>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</si>
  <si>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</si>
  <si>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</si>
  <si>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</si>
  <si>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</si>
  <si>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</si>
  <si>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</si>
  <si>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</si>
  <si>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</si>
  <si>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</si>
  <si>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</si>
  <si>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</si>
  <si>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</si>
  <si>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</si>
  <si>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</si>
  <si>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</si>
  <si>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</si>
  <si>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</si>
  <si>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</si>
  <si>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</si>
  <si>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</si>
  <si>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</si>
  <si>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</si>
  <si>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</si>
  <si>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</si>
  <si>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</si>
  <si>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</si>
  <si>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</si>
  <si>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</si>
  <si>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</si>
  <si>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</si>
  <si>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</si>
  <si>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</si>
  <si>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</si>
  <si>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</si>
  <si>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</si>
  <si>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</si>
  <si>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</si>
  <si>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</si>
  <si>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</si>
  <si>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</si>
  <si>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</si>
  <si>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</si>
  <si>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</si>
  <si>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</si>
  <si>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</si>
  <si>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</si>
  <si>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</si>
  <si>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</si>
  <si>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</si>
  <si>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</si>
  <si>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</si>
  <si>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</si>
  <si>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</si>
  <si>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</si>
  <si>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</si>
  <si>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</si>
  <si>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</si>
  <si>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</si>
  <si>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</si>
  <si>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</si>
  <si>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</si>
  <si>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</si>
  <si>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</si>
  <si>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</si>
  <si>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</si>
  <si>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</si>
  <si>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</si>
  <si>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</si>
  <si>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네이버파이낸셜</t>
  </si>
  <si>
    <t>아워홈콘티넨탈세종점</t>
  </si>
  <si>
    <t>DB손해보험</t>
  </si>
  <si>
    <t>인터넷상거래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</si>
  <si>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</si>
  <si>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</si>
  <si>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</si>
  <si>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</si>
  <si>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</si>
  <si>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</si>
  <si>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</si>
  <si>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</si>
  <si>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</si>
  <si>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</si>
  <si>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</si>
  <si>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</si>
  <si>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</si>
  <si>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</si>
  <si>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</si>
  <si>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</si>
  <si>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</si>
  <si>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</si>
  <si>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</si>
  <si>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</si>
  <si>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</si>
  <si>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</si>
  <si>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C:\git\csw\account_book\세원_2024-01-19~2025-01-19.xlsx</t>
    <phoneticPr fontId="1" type="noConversion"/>
  </si>
  <si>
    <t>C:\git\csw\account_book\유진_2024-01-19~2025-01-19.xlsx</t>
    <phoneticPr fontId="1" type="noConversion"/>
  </si>
  <si>
    <t>하유진_IRP</t>
  </si>
  <si>
    <t>JPMorgan S&amp;P 500 커버드콜 월배당 ETF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</si>
  <si>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</si>
  <si>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</si>
  <si>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</si>
  <si>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</si>
  <si>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</si>
  <si>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1월</t>
  </si>
  <si>
    <t>내계좌이체</t>
  </si>
  <si>
    <t>7회-천세원</t>
  </si>
  <si>
    <t>주식회사 아성다</t>
  </si>
  <si>
    <t>8회-천세원</t>
  </si>
  <si>
    <t>세종떡궁</t>
  </si>
  <si>
    <t>신전떡볶이 세종새롬점</t>
  </si>
  <si>
    <t>여민전</t>
  </si>
  <si>
    <t>청사정류장 편의점</t>
  </si>
  <si>
    <t>9회-천세원</t>
  </si>
  <si>
    <t>로컬푸드직매장 새롬점</t>
  </si>
  <si>
    <t>10회-천세원</t>
  </si>
  <si>
    <t>11회-천세원</t>
  </si>
  <si>
    <t>12회-천세원</t>
  </si>
  <si>
    <t>급여</t>
  </si>
  <si>
    <t>상여 콘티넨탈</t>
  </si>
  <si>
    <t>세븐일레븐 세종새나루점</t>
  </si>
  <si>
    <t>쿠팡 주식회사</t>
  </si>
  <si>
    <t>13회-천세원</t>
  </si>
  <si>
    <t>(주) 동인청사구도일주유소세종</t>
  </si>
  <si>
    <t>14회-천세원</t>
  </si>
  <si>
    <t>교통-버스3건</t>
  </si>
  <si>
    <t>교통-지하철4건</t>
  </si>
  <si>
    <t>15회-천세원</t>
  </si>
  <si>
    <t>GS25응암가온</t>
  </si>
  <si>
    <t>세븐일레븐응암중</t>
  </si>
  <si>
    <t>입금 내역</t>
  </si>
  <si>
    <t>16회-천세원</t>
  </si>
  <si>
    <t>(주)코리아세븐</t>
  </si>
  <si>
    <t>17회-천세원</t>
  </si>
  <si>
    <t>메가엠지씨커피</t>
  </si>
  <si>
    <t>18회-천세원</t>
  </si>
  <si>
    <t>한국도로공사안성</t>
  </si>
  <si>
    <t>19회-천세원</t>
  </si>
  <si>
    <t>메가박스중앙 (주)세종나성지점</t>
  </si>
  <si>
    <t>베트남쌀국수 퍼짱</t>
  </si>
  <si>
    <t>20회-천세원</t>
  </si>
  <si>
    <t>21회-천세원</t>
  </si>
  <si>
    <t>공공기관</t>
  </si>
  <si>
    <t>22회-천세원</t>
  </si>
  <si>
    <t>88양꼬치</t>
  </si>
  <si>
    <t>무지개맥주 세종보람점</t>
  </si>
  <si>
    <t>23회-천세원</t>
  </si>
  <si>
    <t>국민하유진_본식정산</t>
  </si>
  <si>
    <t>24회-천세원</t>
  </si>
  <si>
    <t>25회-천세원</t>
  </si>
  <si>
    <t>26회-천세원</t>
  </si>
  <si>
    <t>티머니GO</t>
  </si>
  <si>
    <t>DB손11602</t>
  </si>
  <si>
    <t>27회-천세원</t>
  </si>
  <si>
    <t>국민은행LiivM</t>
  </si>
  <si>
    <t>28회-천세원</t>
  </si>
  <si>
    <t>디엠포스트(유)뚜레쥬르세종소담점</t>
  </si>
  <si>
    <t>(주)아워홈 콘</t>
  </si>
  <si>
    <t>29회-천세원</t>
  </si>
  <si>
    <t>급여 콘티넨탈</t>
  </si>
  <si>
    <t>엔에이치엔케이씨피 주식회사</t>
  </si>
  <si>
    <t>신대구막창 나성점</t>
  </si>
  <si>
    <t>노군꼬치나성점</t>
  </si>
  <si>
    <t>주식회사 티머니</t>
  </si>
  <si>
    <t>카카오페이(택시</t>
  </si>
  <si>
    <t>천*원</t>
  </si>
  <si>
    <t>카카오페이</t>
  </si>
  <si>
    <t>이자</t>
  </si>
  <si>
    <t>BKR버거킹일산</t>
  </si>
  <si>
    <t>30회-천세원</t>
  </si>
  <si>
    <t>(주)뉴코아아울</t>
  </si>
  <si>
    <t>씨제이올리브네트</t>
  </si>
  <si>
    <t>선도예공방</t>
  </si>
  <si>
    <t>31회-천세원</t>
  </si>
  <si>
    <t>라부파 마라탕</t>
  </si>
  <si>
    <t>우리카드결제대금</t>
  </si>
  <si>
    <t>메리츠001건</t>
  </si>
  <si>
    <t>32회-천세원</t>
  </si>
  <si>
    <t>천세원청약71</t>
  </si>
  <si>
    <t>농협천세원</t>
  </si>
  <si>
    <t>전국고속버스운송사업조합</t>
  </si>
  <si>
    <t>33회-천세원</t>
  </si>
  <si>
    <t>퇴직연금-천세원</t>
  </si>
  <si>
    <t>체크취소입금</t>
  </si>
  <si>
    <t>34회-천세원</t>
  </si>
  <si>
    <t>롯데리아 세종새롬점</t>
  </si>
  <si>
    <t>1207-1510</t>
  </si>
  <si>
    <t>LH2024년02월</t>
  </si>
  <si>
    <t>35회-천세원</t>
  </si>
  <si>
    <t>만기자동해지803503-00-078630</t>
  </si>
  <si>
    <t>쿠팡</t>
  </si>
  <si>
    <t>김*화</t>
  </si>
  <si>
    <t>(주)케이지이니시스</t>
  </si>
  <si>
    <t>네이버페이</t>
  </si>
  <si>
    <t>지마켓</t>
  </si>
  <si>
    <t>서산부인과</t>
  </si>
  <si>
    <t>연스튜디오(정연수)</t>
  </si>
  <si>
    <t>문찬호</t>
  </si>
  <si>
    <t>포토이즘박스세종나성점</t>
  </si>
  <si>
    <t>한*순</t>
  </si>
  <si>
    <t>최송희</t>
  </si>
  <si>
    <t>정*영</t>
  </si>
  <si>
    <t>김*영</t>
  </si>
  <si>
    <t>김경희</t>
  </si>
  <si>
    <t>하봉수</t>
  </si>
  <si>
    <t>LG유플러스통신요금</t>
  </si>
  <si>
    <t>KB카드출금</t>
  </si>
  <si>
    <t>상품권_이니시스</t>
  </si>
  <si>
    <t>빗썸440</t>
  </si>
  <si>
    <t>써브웨이세종새롬점</t>
  </si>
  <si>
    <t>천세원_본식스냅정산</t>
  </si>
  <si>
    <t>장원갑칼국수세</t>
  </si>
  <si>
    <t>코스트코코리아</t>
  </si>
  <si>
    <t>세종중앙농협새뜸지점</t>
  </si>
  <si>
    <t>아파트관리비</t>
  </si>
  <si>
    <t>인생네컷세종로데오</t>
  </si>
  <si>
    <t>정기이자 입금</t>
  </si>
  <si>
    <t>입출금통장 이자</t>
  </si>
  <si>
    <t>김경희쿠팡토레타구매</t>
  </si>
  <si>
    <t>한화손02건</t>
  </si>
  <si>
    <t>주식회사 여기어때컴퍼니</t>
  </si>
  <si>
    <t>김경희 호텔 예약비</t>
  </si>
  <si>
    <t>STEAMGAMES.COM 4259522985</t>
  </si>
  <si>
    <t>지출 비용</t>
    <phoneticPr fontId="1" type="noConversion"/>
  </si>
  <si>
    <t>분류별 분석</t>
    <phoneticPr fontId="1" type="noConversion"/>
  </si>
  <si>
    <t>평화다방강남역점</t>
  </si>
  <si>
    <t>이마트24 서울</t>
  </si>
  <si>
    <t>DB손11501</t>
  </si>
  <si>
    <t>홈플러스세종점O</t>
  </si>
  <si>
    <t>하*진</t>
  </si>
  <si>
    <t>LH천세원</t>
  </si>
  <si>
    <t>천세원청약70</t>
  </si>
  <si>
    <t>예금해지</t>
  </si>
  <si>
    <t>예금신규</t>
  </si>
  <si>
    <t>라봄헤어</t>
  </si>
  <si>
    <t>오유미당 세종보람점</t>
  </si>
  <si>
    <t>2회-천세원</t>
  </si>
  <si>
    <t>3회-천세원</t>
  </si>
  <si>
    <t>국민천세원</t>
  </si>
  <si>
    <t>4회-천세원</t>
  </si>
  <si>
    <t>80350300078630  , 6회차</t>
  </si>
  <si>
    <t>5회-천세원</t>
  </si>
  <si>
    <t>더블디스토어</t>
  </si>
  <si>
    <t>LH2024년01월</t>
  </si>
  <si>
    <t>6회-천세원</t>
  </si>
  <si>
    <t>GS25세종캐슬점</t>
  </si>
  <si>
    <t>천세원_뉴욕숙박</t>
  </si>
  <si>
    <t>출금 내역</t>
  </si>
  <si>
    <t>런던베이글뮤지엄도산</t>
  </si>
  <si>
    <t>11번가</t>
  </si>
  <si>
    <t>하*헌</t>
  </si>
  <si>
    <t>ALIPAY CONNECT PTE. LTD</t>
  </si>
  <si>
    <t>티머니 버스.지하철</t>
  </si>
  <si>
    <t>다이소세종부강점</t>
  </si>
  <si>
    <t>르배</t>
  </si>
  <si>
    <t>김경희쿠팡물구매비용</t>
  </si>
  <si>
    <t>BC바로카드</t>
  </si>
  <si>
    <t>이*원</t>
  </si>
  <si>
    <t>NICE_주차장</t>
  </si>
  <si>
    <t>04806198EF432</t>
  </si>
  <si>
    <t>36회-천세원</t>
  </si>
  <si>
    <t>빽다방성성점</t>
  </si>
  <si>
    <t>37회-천세원</t>
  </si>
  <si>
    <t>백소전세종점</t>
  </si>
  <si>
    <t>우리축산</t>
  </si>
  <si>
    <t>명랑핫도그새롬점</t>
  </si>
  <si>
    <t>세종중앙농협 새뜸지점</t>
  </si>
  <si>
    <t>38회-천세원</t>
  </si>
  <si>
    <t>39회-천세원</t>
  </si>
  <si>
    <t>40회-천세원</t>
  </si>
  <si>
    <t>41회-천세원</t>
  </si>
  <si>
    <t>42회-천세원</t>
  </si>
  <si>
    <t>43회-천세원</t>
  </si>
  <si>
    <t>진성민속촌</t>
  </si>
  <si>
    <t>이디야커피 세종시 부강점</t>
  </si>
  <si>
    <t>어샵식당</t>
  </si>
  <si>
    <t>44회-천세원</t>
  </si>
  <si>
    <t>꾸미오HAIRS</t>
  </si>
  <si>
    <t>45회-천세원</t>
  </si>
  <si>
    <t>46회-천세원</t>
  </si>
  <si>
    <t>교통-지하철2건</t>
  </si>
  <si>
    <t>교통-버스2건</t>
  </si>
  <si>
    <t>47회-천세원</t>
  </si>
  <si>
    <t>곤드레말(주)</t>
  </si>
  <si>
    <t>신*수</t>
  </si>
  <si>
    <t>타코-15 세종나성점</t>
  </si>
  <si>
    <t>48회-천세원</t>
  </si>
  <si>
    <t>세종톡스앤필의원</t>
  </si>
  <si>
    <t>하늘약국</t>
  </si>
  <si>
    <t>노브랜드버거  세종새롬점</t>
  </si>
  <si>
    <t>49회-천세원</t>
  </si>
  <si>
    <t>현대블루핸즈 세종금남점</t>
  </si>
  <si>
    <t>50회-천세원</t>
  </si>
  <si>
    <t>예금결산이자</t>
  </si>
  <si>
    <t>51회-천세원</t>
  </si>
  <si>
    <t>52회-천세원</t>
  </si>
  <si>
    <t>국민(주) 웨딩크라</t>
  </si>
  <si>
    <t>하유진</t>
  </si>
  <si>
    <t>53회-천세원</t>
  </si>
  <si>
    <t>54회-천세원</t>
  </si>
  <si>
    <t>55회-천세원</t>
  </si>
  <si>
    <t>DB손11703</t>
  </si>
  <si>
    <t>56회-천세원</t>
  </si>
  <si>
    <t>57회-천세원</t>
  </si>
  <si>
    <t>58회-천세원</t>
  </si>
  <si>
    <t>49너0572도</t>
  </si>
  <si>
    <t>최고당돈가스 세</t>
  </si>
  <si>
    <t>59회-천세원</t>
  </si>
  <si>
    <t>60회-천세원</t>
  </si>
  <si>
    <t>에스엠하이플러스</t>
  </si>
  <si>
    <t>천세원청약72</t>
  </si>
  <si>
    <t>61회-천세원</t>
  </si>
  <si>
    <t>하나박지욱</t>
  </si>
  <si>
    <t>62회-천세원</t>
  </si>
  <si>
    <t>63회-천세원</t>
  </si>
  <si>
    <t>약손명가 에스테</t>
  </si>
  <si>
    <t>지에스25 세종</t>
  </si>
  <si>
    <t>64회-천세원</t>
  </si>
  <si>
    <t>GS25세종캐슬</t>
  </si>
  <si>
    <t>*25원캐쉬백다이소</t>
  </si>
  <si>
    <t>포토이즘박스 세</t>
  </si>
  <si>
    <t>베스트웨스턴호텔</t>
  </si>
  <si>
    <t>곤드레말</t>
  </si>
  <si>
    <t>컴포즈커피 세종</t>
  </si>
  <si>
    <t>65회-천세원</t>
  </si>
  <si>
    <t>본삼겹살</t>
  </si>
  <si>
    <t>주식회사 세종스</t>
  </si>
  <si>
    <t>66회-천세원</t>
  </si>
  <si>
    <t>퍼무로그</t>
  </si>
  <si>
    <t>에브리데이세종캐슬점</t>
  </si>
  <si>
    <t>할머니학화호두과자(공단점)</t>
  </si>
  <si>
    <t>옥션</t>
  </si>
  <si>
    <t>지에스더프레시세종도담점</t>
  </si>
  <si>
    <t>KCP결제_1</t>
  </si>
  <si>
    <t>역전할머니맥주세종나성점</t>
  </si>
  <si>
    <t>달리는커피세종다정점</t>
  </si>
  <si>
    <t>KCP_결제</t>
  </si>
  <si>
    <t>한섬팩토리아울렛대구점</t>
  </si>
  <si>
    <t>오픈지역사랑상품</t>
  </si>
  <si>
    <t>김서율</t>
  </si>
  <si>
    <t>김경희쿠팡구매</t>
  </si>
  <si>
    <t>*****</t>
  </si>
  <si>
    <t>결산이자</t>
  </si>
  <si>
    <t>방해정</t>
  </si>
  <si>
    <t>맛찬들왕소금구이</t>
  </si>
  <si>
    <t>김경희쿠팡트리트</t>
  </si>
  <si>
    <t>원탁세종점</t>
  </si>
  <si>
    <t>한성양꼬치양갈비</t>
  </si>
  <si>
    <t>뚜레쥬르세종새롬점</t>
  </si>
  <si>
    <t>컴포즈커피세종새롬점</t>
  </si>
  <si>
    <t>네이버페이결제</t>
  </si>
  <si>
    <t>LH2024년03월</t>
  </si>
  <si>
    <t>67회-천세원</t>
  </si>
  <si>
    <t>약손명가 에스테틱(세종어반아트리</t>
  </si>
  <si>
    <t>주식회사 무신사</t>
  </si>
  <si>
    <t>68회-천세원</t>
  </si>
  <si>
    <t>나리온</t>
  </si>
  <si>
    <t>69회-천세원</t>
  </si>
  <si>
    <t>스파오 세종AK</t>
  </si>
  <si>
    <t>70회-천세원</t>
  </si>
  <si>
    <t>71회-천세원</t>
  </si>
  <si>
    <t>복호두</t>
  </si>
  <si>
    <t>사리원면옥</t>
  </si>
  <si>
    <t>제본공작소 오송점</t>
  </si>
  <si>
    <t>72회-천세원</t>
  </si>
  <si>
    <t>(주)기와집</t>
  </si>
  <si>
    <t>73회-천세원</t>
  </si>
  <si>
    <t>74회-천세원</t>
  </si>
  <si>
    <t>75회-천세원</t>
  </si>
  <si>
    <t>이종인</t>
  </si>
  <si>
    <t>크린토피아 세정</t>
  </si>
  <si>
    <t>76회-천세원</t>
  </si>
  <si>
    <t>77회-천세원</t>
  </si>
  <si>
    <t>78회-천세원</t>
  </si>
  <si>
    <t>79회-천세원</t>
  </si>
  <si>
    <t>하유진화과자</t>
  </si>
  <si>
    <t>공오이삼디저트</t>
  </si>
  <si>
    <t>팡시온2</t>
  </si>
  <si>
    <t>80회-천세원</t>
  </si>
  <si>
    <t>인터넷상거래_3</t>
  </si>
  <si>
    <t>81회-천세원</t>
  </si>
  <si>
    <t>82회-천세원</t>
  </si>
  <si>
    <t>복도리 협동조합</t>
  </si>
  <si>
    <t>83회-천세원</t>
  </si>
  <si>
    <t>(주)이마트에브리데이세종캐슬점</t>
  </si>
  <si>
    <t>84회-천세원</t>
  </si>
  <si>
    <t>85회-천세원</t>
  </si>
  <si>
    <t>두두돈</t>
  </si>
  <si>
    <t>기타수입</t>
  </si>
  <si>
    <t>적립 내역</t>
  </si>
  <si>
    <t>김*수</t>
  </si>
  <si>
    <t>한*화</t>
  </si>
  <si>
    <t>곽*경</t>
  </si>
  <si>
    <t>세븐일레븐 일산</t>
  </si>
  <si>
    <t>86회-천세원</t>
  </si>
  <si>
    <t>긱스타PC CAFE</t>
  </si>
  <si>
    <t>(주)하카전자담</t>
  </si>
  <si>
    <t>87회-천세원</t>
  </si>
  <si>
    <t>빅빅버거 하남미</t>
  </si>
  <si>
    <t>DB손11804</t>
  </si>
  <si>
    <t>88회-천세원</t>
  </si>
  <si>
    <t>세종 스타 베이프</t>
  </si>
  <si>
    <t>89회-천세원</t>
  </si>
  <si>
    <t>세븐일레븐 세종</t>
  </si>
  <si>
    <t>90회-천세원</t>
  </si>
  <si>
    <t>91회-천세원</t>
  </si>
  <si>
    <t>국민정상희</t>
  </si>
  <si>
    <t>주식회사 더즌</t>
  </si>
  <si>
    <t>써브웨이 세종새</t>
  </si>
  <si>
    <t>천세원청약73</t>
  </si>
  <si>
    <t>92회-천세원</t>
  </si>
  <si>
    <t>부타하우스</t>
  </si>
  <si>
    <t>컴포즈커피 세종새롬점</t>
  </si>
  <si>
    <t>꽃 담</t>
  </si>
  <si>
    <t>93회-천세원</t>
  </si>
  <si>
    <t>94회-천세원</t>
  </si>
  <si>
    <t>95회-천세원</t>
  </si>
  <si>
    <t>복도리 카페</t>
  </si>
  <si>
    <t>DB손해보험(주</t>
  </si>
  <si>
    <t>(주)다날</t>
  </si>
  <si>
    <t>LH2024년04월</t>
  </si>
  <si>
    <t>96회-천세원</t>
  </si>
  <si>
    <t>581BLVD</t>
  </si>
  <si>
    <t>파리바게뜨새롬점</t>
  </si>
  <si>
    <t>메가엠지씨커피조치원역점</t>
  </si>
  <si>
    <t>이다솜</t>
  </si>
  <si>
    <t>김경희쿠팡책구매</t>
  </si>
  <si>
    <t>서리서리멸치국수새롬점</t>
  </si>
  <si>
    <t>홈플러스경기하남점</t>
  </si>
  <si>
    <t>중국집</t>
  </si>
  <si>
    <t>섬프로젝트</t>
  </si>
  <si>
    <t>천세원_섬스튜디오</t>
  </si>
  <si>
    <t>컴포즈커피세종시청점</t>
  </si>
  <si>
    <t>다이소아성산업</t>
  </si>
  <si>
    <t>브라더꽈배기새롬점</t>
  </si>
  <si>
    <t>GS25세종으뜸점</t>
  </si>
  <si>
    <t>참치정육점세종점</t>
  </si>
  <si>
    <t>씨유CU세종행복점</t>
  </si>
  <si>
    <t>씨유부강점</t>
  </si>
  <si>
    <t>더풋샵세종새롬점</t>
  </si>
  <si>
    <t>김경희쿠팡물구매</t>
  </si>
  <si>
    <t>김경희쿠팡화장품구매</t>
  </si>
  <si>
    <t>김경희타이어값</t>
  </si>
  <si>
    <t>주식회사 티몬</t>
  </si>
  <si>
    <t>동인청사구도일주유소세종</t>
  </si>
  <si>
    <t>안</t>
  </si>
  <si>
    <t>임재건</t>
  </si>
  <si>
    <t>연세미니성형외과</t>
  </si>
  <si>
    <t>더세종약국</t>
  </si>
  <si>
    <t>새뜸365약국</t>
  </si>
  <si>
    <t>하이오아시스매송휴게소목포방향</t>
  </si>
  <si>
    <t>97회-천세원</t>
  </si>
  <si>
    <t>98회-천세원</t>
  </si>
  <si>
    <t>99회-천세원</t>
  </si>
  <si>
    <t>투썸플레이스 대</t>
  </si>
  <si>
    <t>라온아띠</t>
  </si>
  <si>
    <t>100회-천세원</t>
  </si>
  <si>
    <t>왕가탕후루</t>
  </si>
  <si>
    <t>참큰곤드레시래기</t>
  </si>
  <si>
    <t>CU 인계자이점</t>
  </si>
  <si>
    <t>남포동갈비</t>
  </si>
  <si>
    <t>그뤠잇 동전 노</t>
  </si>
  <si>
    <t>배스킨라빈스 세</t>
  </si>
  <si>
    <t>제이엠스퀘어</t>
  </si>
  <si>
    <t>교통-버스1건</t>
  </si>
  <si>
    <t>버거킹 세종반곡</t>
  </si>
  <si>
    <t>주식회사마켓세종</t>
  </si>
  <si>
    <t>세븐일레븐세종부</t>
  </si>
  <si>
    <t>씨제이올리브영(</t>
  </si>
  <si>
    <t>현대아울렛 대전</t>
  </si>
  <si>
    <t>신한경기고속도로(주</t>
  </si>
  <si>
    <t>(주)코페이</t>
  </si>
  <si>
    <t>드림내과</t>
  </si>
  <si>
    <t>엘약국</t>
  </si>
  <si>
    <t>써브웨이 세종새롬점</t>
  </si>
  <si>
    <t>DB손11905</t>
  </si>
  <si>
    <t>국민천변도시고속화도</t>
  </si>
  <si>
    <t>진짜무쇠삼겹</t>
  </si>
  <si>
    <t>메리봉봉다정점</t>
  </si>
  <si>
    <t>라봄헤어새롬점</t>
  </si>
  <si>
    <t>천세원청약74</t>
  </si>
  <si>
    <t>세종부강농업협동</t>
  </si>
  <si>
    <t>용돈</t>
  </si>
  <si>
    <t>가마치 통닭 새</t>
  </si>
  <si>
    <t>LH2024년05월</t>
  </si>
  <si>
    <t>장호덕 손만두</t>
  </si>
  <si>
    <t>이마트세종점</t>
  </si>
  <si>
    <t>박유경</t>
  </si>
  <si>
    <t>천세원_사진보정</t>
  </si>
  <si>
    <t>카페브람스</t>
  </si>
  <si>
    <t>박영미</t>
  </si>
  <si>
    <t>천세원_한복</t>
  </si>
  <si>
    <t>현대아울렛대전점</t>
  </si>
  <si>
    <t>김태정</t>
  </si>
  <si>
    <t>세종권약국</t>
  </si>
  <si>
    <t>완미족발세종나성점</t>
  </si>
  <si>
    <t>김경희쿠팡토레타</t>
  </si>
  <si>
    <t>김경희책구매비용</t>
  </si>
  <si>
    <t>아웃백스테이크하우스평택역사점</t>
  </si>
  <si>
    <t>GS25고덕골든점</t>
  </si>
  <si>
    <t>롯데리아세종새롬점</t>
  </si>
  <si>
    <t>안수용</t>
  </si>
  <si>
    <t>장호덕손만두</t>
  </si>
  <si>
    <t>인지혜</t>
  </si>
  <si>
    <t>세종부강농업협동조합주유소</t>
  </si>
  <si>
    <t>세종스타베이프</t>
  </si>
  <si>
    <t>심현정</t>
  </si>
  <si>
    <t>조민상</t>
  </si>
  <si>
    <t>호호식당파미에스테이션</t>
  </si>
  <si>
    <t>김경희쿠팡바디구매</t>
  </si>
  <si>
    <t>(재)서울그린트러스트</t>
  </si>
  <si>
    <t>복도리카페</t>
  </si>
  <si>
    <t>우정사업본부우체국</t>
  </si>
  <si>
    <t>김경희토레타쿠팡</t>
  </si>
  <si>
    <t>(주)카카오페이</t>
  </si>
  <si>
    <t>꽃마실</t>
  </si>
  <si>
    <t>(주)마켓세종</t>
  </si>
  <si>
    <t>바른약국</t>
  </si>
  <si>
    <t>아시아나항공</t>
  </si>
  <si>
    <t>컴포즈커피(대전갈마점)</t>
  </si>
  <si>
    <t>명성수산</t>
  </si>
  <si>
    <t>코오롱글로벌(주)스</t>
  </si>
  <si>
    <t>신한이심예</t>
  </si>
  <si>
    <t>TW302</t>
  </si>
  <si>
    <t>USCUSTOMS ESTA APPL PMT  INDIANAPOLIS US</t>
  </si>
  <si>
    <t>트래블월렛</t>
  </si>
  <si>
    <t>청사정류장 편의</t>
  </si>
  <si>
    <t>순한양꼬치</t>
  </si>
  <si>
    <t>전국고속버스운송</t>
  </si>
  <si>
    <t>어썸초밥(漁SO</t>
  </si>
  <si>
    <t>파리바게뜨일산삼</t>
  </si>
  <si>
    <t>장원갑칼국수 세</t>
  </si>
  <si>
    <t>카카오(c)</t>
  </si>
  <si>
    <t>농협천세원(세종특별</t>
  </si>
  <si>
    <t>청도미나리 생삼</t>
  </si>
  <si>
    <t>DB손12006</t>
  </si>
  <si>
    <t>스페이스(SPA</t>
  </si>
  <si>
    <t>올리부스</t>
  </si>
  <si>
    <t>주식회사 마이리얼트립</t>
  </si>
  <si>
    <t>말톡 포켓와이파이 유심</t>
  </si>
  <si>
    <t>카드매출취소환급</t>
  </si>
  <si>
    <t>자로라코리아</t>
  </si>
  <si>
    <t>천세원청약75</t>
  </si>
  <si>
    <t>환전주머니 출금</t>
  </si>
  <si>
    <t>맛찬들왕소금구이 세종새롬점</t>
  </si>
  <si>
    <t>새롬동 미용실</t>
  </si>
  <si>
    <t>아쌍트 베이커리</t>
  </si>
  <si>
    <t>우와</t>
  </si>
  <si>
    <t>이지영</t>
  </si>
  <si>
    <t>천세원_뉴욕스냅</t>
  </si>
  <si>
    <t>후라토식당신사점</t>
  </si>
  <si>
    <t>송경민</t>
  </si>
  <si>
    <t>천세원_액자</t>
  </si>
  <si>
    <t>아이린</t>
  </si>
  <si>
    <t>김경희회구매비용</t>
  </si>
  <si>
    <t>서양면옥</t>
  </si>
  <si>
    <t>아워블리스</t>
  </si>
  <si>
    <t>현대아울렛대구점</t>
  </si>
  <si>
    <t>세종수선</t>
  </si>
  <si>
    <t>송기원진주냉면세종부강점</t>
  </si>
  <si>
    <t>정상희</t>
  </si>
  <si>
    <t>(주)여행산책</t>
  </si>
  <si>
    <t>천세원_신혼패키지</t>
  </si>
  <si>
    <t>네이버페이_올리브영</t>
  </si>
  <si>
    <t>HYATT GRD CENTRAL NY</t>
  </si>
  <si>
    <t>우병식</t>
  </si>
  <si>
    <t>박나래</t>
  </si>
  <si>
    <t>유스앤영서울뷰의원</t>
  </si>
  <si>
    <t>USCUSTOMS ESTA APPL PMT               \\</t>
  </si>
  <si>
    <t>김범영</t>
  </si>
  <si>
    <t>칠갑상사고려페인트</t>
  </si>
  <si>
    <t>토스 하유진</t>
  </si>
  <si>
    <t>주식회사 카카오스타일</t>
  </si>
  <si>
    <t>현대카드</t>
  </si>
  <si>
    <t>엘지씨엔에스</t>
  </si>
  <si>
    <t>송주현</t>
  </si>
  <si>
    <t>김경희크팡토레타구매</t>
  </si>
  <si>
    <t>LH2024년06월</t>
  </si>
  <si>
    <t>서리서리멸치국수</t>
  </si>
  <si>
    <t>주식회사 대왕마</t>
  </si>
  <si>
    <t>김현우06</t>
  </si>
  <si>
    <t>박필선</t>
  </si>
  <si>
    <t>설해돈</t>
  </si>
  <si>
    <t>정영웅_결혼축하!</t>
  </si>
  <si>
    <t>이소미</t>
  </si>
  <si>
    <t>등촌샤브칼국수 세종본점</t>
  </si>
  <si>
    <t>지에스25 세종으뜸점</t>
  </si>
  <si>
    <t>소*정</t>
  </si>
  <si>
    <t>이*형</t>
  </si>
  <si>
    <t>이*림</t>
  </si>
  <si>
    <t>김찬호</t>
  </si>
  <si>
    <t>정현우-결혼축하한다</t>
  </si>
  <si>
    <t>정*현</t>
  </si>
  <si>
    <t>이승혁</t>
  </si>
  <si>
    <t>박종선 축의금</t>
  </si>
  <si>
    <t>콘티_이현승</t>
  </si>
  <si>
    <t>결혼축하해!! -이</t>
  </si>
  <si>
    <t>농협승인컴퍼니주식회</t>
  </si>
  <si>
    <t>허*</t>
  </si>
  <si>
    <t>윤*상</t>
  </si>
  <si>
    <t>진민우</t>
  </si>
  <si>
    <t>송원재(출결혼!)</t>
  </si>
  <si>
    <t>이*영</t>
  </si>
  <si>
    <t>박종화</t>
  </si>
  <si>
    <t>이태용</t>
  </si>
  <si>
    <t>이*우</t>
  </si>
  <si>
    <t>유재표 축하드립니다</t>
  </si>
  <si>
    <t>박*</t>
  </si>
  <si>
    <t>콘티넨탈상조회</t>
  </si>
  <si>
    <t>오상현/행복하게살길</t>
  </si>
  <si>
    <t>교통-지하철1건</t>
  </si>
  <si>
    <t>고영호</t>
  </si>
  <si>
    <t>CONTINENTA</t>
  </si>
  <si>
    <t>송*규</t>
  </si>
  <si>
    <t>HILTON GARDEN INN        BENITO JUAREZMX</t>
  </si>
  <si>
    <t>DB손12107</t>
  </si>
  <si>
    <t>유한회사 우티</t>
  </si>
  <si>
    <t>(주)아워홈콘티넨탈세종점</t>
  </si>
  <si>
    <t>주식회사 와이비엠넷</t>
  </si>
  <si>
    <t>씨유(CU) 성</t>
  </si>
  <si>
    <t>삼성834</t>
  </si>
  <si>
    <t>천세원청약76</t>
  </si>
  <si>
    <t>천우용</t>
  </si>
  <si>
    <t>공차 대전충남대</t>
  </si>
  <si>
    <t>농협김정미</t>
  </si>
  <si>
    <t>(주)한화갤러리</t>
  </si>
  <si>
    <t>이마트 에브리데</t>
  </si>
  <si>
    <t>장작집</t>
  </si>
  <si>
    <t>지성경</t>
  </si>
  <si>
    <t>블루홈</t>
  </si>
  <si>
    <t>컴포즈커피 세종시청점</t>
  </si>
  <si>
    <t>세종특별자치시청</t>
  </si>
  <si>
    <t>LH2024년07월</t>
  </si>
  <si>
    <t>현대자동차오송서</t>
  </si>
  <si>
    <t>대독장 새롬점</t>
  </si>
  <si>
    <t>취미는 쇼핑</t>
  </si>
  <si>
    <t>하나카드</t>
  </si>
  <si>
    <t>이근선 결혼축하</t>
  </si>
  <si>
    <t>채수정_축결혼</t>
  </si>
  <si>
    <t>주화섭</t>
  </si>
  <si>
    <t>임정은 결혼축하해요</t>
  </si>
  <si>
    <t>김*진</t>
  </si>
  <si>
    <t>박*현</t>
  </si>
  <si>
    <t>이이넷</t>
  </si>
  <si>
    <t>축결혼 송관백</t>
  </si>
  <si>
    <t>채*락</t>
  </si>
  <si>
    <t>이재복</t>
  </si>
  <si>
    <t>임은혜</t>
  </si>
  <si>
    <t>이*혁</t>
  </si>
  <si>
    <t>허정걸_축의금</t>
  </si>
  <si>
    <t>김범준</t>
  </si>
  <si>
    <t>박종선축의금</t>
  </si>
  <si>
    <t>오세현 축의금</t>
  </si>
  <si>
    <t>컨트롤링서희원</t>
  </si>
  <si>
    <t>결혼축하!! - 이</t>
  </si>
  <si>
    <t>이선미(축하드려용)</t>
  </si>
  <si>
    <t>킹덤</t>
  </si>
  <si>
    <t>박지욱사회자</t>
  </si>
  <si>
    <t>박*우</t>
  </si>
  <si>
    <t>양*영</t>
  </si>
  <si>
    <t>한*수</t>
  </si>
  <si>
    <t>김재율</t>
  </si>
  <si>
    <t>김경희버스비</t>
  </si>
  <si>
    <t>윤영민</t>
  </si>
  <si>
    <t>정연수</t>
  </si>
  <si>
    <t>콘티 계나영</t>
  </si>
  <si>
    <t>최*선</t>
  </si>
  <si>
    <t>콘티소예진</t>
  </si>
  <si>
    <t>HYATT GRAND CENTRAL NY                \\</t>
  </si>
  <si>
    <t>FIVE GUYS 690                         \\</t>
  </si>
  <si>
    <t>BROOKLYN BREWERY                      \\</t>
  </si>
  <si>
    <t>CVS/PHARMACY #07019                   \\</t>
  </si>
  <si>
    <t>박형순-결혼 축하드</t>
  </si>
  <si>
    <t>김민정-결혼축하해</t>
  </si>
  <si>
    <t>THE HALAL GUYS                        \\</t>
  </si>
  <si>
    <t>PEAS AND PICKLES II                   \\</t>
  </si>
  <si>
    <t>TIME OUT MARKET NY                    \\</t>
  </si>
  <si>
    <t>DAWN'S TIL DUSK                       \\</t>
  </si>
  <si>
    <t>BROAD NOSH BAGELS 58                  \\</t>
  </si>
  <si>
    <t>THE METROPOLITAN MUSEUM OF ART        \\</t>
  </si>
  <si>
    <t>TICKETMASTER N E OUTLETS              \\</t>
  </si>
  <si>
    <t>SUPREME                               \\</t>
  </si>
  <si>
    <t>EILEEN'S SPEC CHEESECAKE              \\</t>
  </si>
  <si>
    <t>THE RUM HOUSE                         \\</t>
  </si>
  <si>
    <t>김경희쿠팡복사지구매</t>
  </si>
  <si>
    <t>JETBLUE AIRWAYS 2104022</t>
  </si>
  <si>
    <t>MANHATTAN LOBSTER PLACE               \\</t>
  </si>
  <si>
    <t>SHG - NA                              \\</t>
  </si>
  <si>
    <t>CARNEGIE PIZZA                        \\</t>
  </si>
  <si>
    <t>WB STUDIO ENTERPRISES INC.            \\</t>
  </si>
  <si>
    <t>JETBLUE AIRWAYS                       \\</t>
  </si>
  <si>
    <t>HOTEL HYATT ZIVA CANCUN               \\</t>
  </si>
  <si>
    <t>SUPER CHED CANCUN ZONA HOTELERA       \\</t>
  </si>
  <si>
    <t>HOTEL XCARET ARTE LOBBY MXN           \\</t>
  </si>
  <si>
    <t>사내근로복지기금</t>
  </si>
  <si>
    <t>한만정 행복한 가정</t>
  </si>
  <si>
    <t>AIRSHOP CONVENENCE STORE 7            \\</t>
  </si>
  <si>
    <t>BUBBA GUMP                            \\</t>
  </si>
  <si>
    <t>AIRSHOP CONVENENCE STORE 9            \\</t>
  </si>
  <si>
    <t>KOI PALACE EXPRESS - ITG              \\</t>
  </si>
  <si>
    <t>LYFT                                  \\</t>
  </si>
  <si>
    <t>이마트에브리데이세종캐슬점</t>
  </si>
  <si>
    <t>주_카카오스타일</t>
  </si>
  <si>
    <t>한국토지주택공사세종</t>
  </si>
  <si>
    <t>신한한국토지주택공사세종</t>
  </si>
  <si>
    <t>지자체세입금(인터넷)</t>
  </si>
  <si>
    <t>퍼주고또퍼주는집</t>
  </si>
  <si>
    <t>동대구터미널주유</t>
  </si>
  <si>
    <t>G마켓_일반</t>
  </si>
  <si>
    <t>두끼 세종새롬점</t>
  </si>
  <si>
    <t>한화천세원</t>
  </si>
  <si>
    <t>씨유(CU) 세종행복점</t>
  </si>
  <si>
    <t>주식회사 지바이크</t>
  </si>
  <si>
    <t>송기원진주냉면 세종부강점</t>
  </si>
  <si>
    <t>행복주유소</t>
  </si>
  <si>
    <t>새롬동미용실</t>
  </si>
  <si>
    <t>박*용</t>
  </si>
  <si>
    <t>이마트24 대전도마경남점</t>
  </si>
  <si>
    <t>카페 듀플렉스(</t>
  </si>
  <si>
    <t>(주)아워홈 콘티넨탈 세종점</t>
  </si>
  <si>
    <t>DB손12208</t>
  </si>
  <si>
    <t>CJ올리브영 세종새롬점</t>
  </si>
  <si>
    <t>모미지 세종나성점</t>
  </si>
  <si>
    <t>(주)빅토 코인홀릭동전노래연습장</t>
  </si>
  <si>
    <t>요거트 아이스크</t>
  </si>
  <si>
    <t>천세원청약77</t>
  </si>
  <si>
    <t>주누돈까스.냉면</t>
  </si>
  <si>
    <t>AK플라자 분당</t>
  </si>
  <si>
    <t>메가엠지씨커피 세종나성점</t>
  </si>
  <si>
    <t>롯데카드</t>
  </si>
  <si>
    <t>십일번가 주식회사</t>
  </si>
  <si>
    <t>한화하유진</t>
  </si>
  <si>
    <t>롯데카드하유진</t>
  </si>
  <si>
    <t>스페이스(SPACE)</t>
  </si>
  <si>
    <t>콘티넨탈타이어코리아</t>
  </si>
  <si>
    <t>박*훈</t>
  </si>
  <si>
    <t>(주)제이티네트웍스</t>
  </si>
  <si>
    <t>042커피배재대점</t>
  </si>
  <si>
    <t>김경희피자비용</t>
  </si>
  <si>
    <t>온뱅크예탁금 해지</t>
  </si>
  <si>
    <t>예금51049211</t>
  </si>
  <si>
    <t>G마켓</t>
  </si>
  <si>
    <t>지자체세입금(S)</t>
  </si>
  <si>
    <t>메리츠화재해상보험주식회사</t>
  </si>
  <si>
    <t>(주)케이알산업입장(상)휴게소</t>
  </si>
  <si>
    <t>STEAM PURCHASE</t>
  </si>
  <si>
    <t>비자해외승인대금출금</t>
  </si>
  <si>
    <t>갓 튀긴 후라이드</t>
  </si>
  <si>
    <t>LH2024년08월</t>
  </si>
  <si>
    <t>차이니스루</t>
  </si>
  <si>
    <t>주식회사블랙빈</t>
  </si>
  <si>
    <t>린클 공식 스토어</t>
  </si>
  <si>
    <t>프랭크버거 세종나성점</t>
  </si>
  <si>
    <t>(주)이마트세종</t>
  </si>
  <si>
    <t>UNITED AIR</t>
  </si>
  <si>
    <t>에어로케이항공</t>
  </si>
  <si>
    <t>092U335305487</t>
  </si>
  <si>
    <t>한성양꼬치 양갈비</t>
  </si>
  <si>
    <t>지에스25 세종나성점</t>
  </si>
  <si>
    <t>메가엠지씨커피 세종첫마을점</t>
  </si>
  <si>
    <t>동도주유소</t>
  </si>
  <si>
    <t>하이오커피 금화</t>
  </si>
  <si>
    <t>운정드림주유소</t>
  </si>
  <si>
    <t>롯데쇼핑(주)대</t>
  </si>
  <si>
    <t>이지페이</t>
  </si>
  <si>
    <t>카페 세종리</t>
  </si>
  <si>
    <t>DB손12309</t>
  </si>
  <si>
    <t>말톡</t>
  </si>
  <si>
    <t>천세원청약78</t>
  </si>
  <si>
    <t>구스짐</t>
  </si>
  <si>
    <t>씨유(CU)청주</t>
  </si>
  <si>
    <t>파리바게트 청주</t>
  </si>
  <si>
    <t>LH2024년09월</t>
  </si>
  <si>
    <t>김경희사무실잡화</t>
  </si>
  <si>
    <t>롯데카드2409</t>
  </si>
  <si>
    <t>오잉코인노래연습장</t>
  </si>
  <si>
    <t>롯데백화점대전점</t>
  </si>
  <si>
    <t>봄베이브로이</t>
  </si>
  <si>
    <t>지에스칼텍스세종청사주유소</t>
  </si>
  <si>
    <t>롯데쇼핑_주</t>
  </si>
  <si>
    <t>김성일</t>
  </si>
  <si>
    <t>롯데손해보험주식회사</t>
  </si>
  <si>
    <t>당근 밍채리</t>
  </si>
  <si>
    <t>한국공항공사청주</t>
  </si>
  <si>
    <t>80년 김치찌개</t>
  </si>
  <si>
    <t>카페지유</t>
  </si>
  <si>
    <t>퐁당 세종점</t>
  </si>
  <si>
    <t>마로데코</t>
  </si>
  <si>
    <t>하나마트</t>
  </si>
  <si>
    <t>세종첫마을 파리바게뜨</t>
  </si>
  <si>
    <t>아주알뜰주유소</t>
  </si>
  <si>
    <t>8281 신한카드</t>
  </si>
  <si>
    <t>크린토피아 세종새롬 새뜸마을4</t>
  </si>
  <si>
    <t>부용산건재</t>
  </si>
  <si>
    <t>김상준</t>
  </si>
  <si>
    <t>김보민</t>
  </si>
  <si>
    <t>세종새롬점 홍콩반점</t>
  </si>
  <si>
    <t>새롬PC방</t>
  </si>
  <si>
    <t>샤브마니아</t>
  </si>
  <si>
    <t>세종부강농업협동조합 주유소</t>
  </si>
  <si>
    <t>송림식당</t>
  </si>
  <si>
    <t>주식회사신성전자</t>
  </si>
  <si>
    <t>씨유(CU) 세종페스티발점</t>
  </si>
  <si>
    <t>노모어피자 세종다정점</t>
  </si>
  <si>
    <t>스마트로</t>
  </si>
  <si>
    <t>연와종</t>
  </si>
  <si>
    <t>인계자이오피스텔관리단</t>
  </si>
  <si>
    <t>1059-3</t>
  </si>
  <si>
    <t>*10원캐쉬백다이소</t>
  </si>
  <si>
    <t>ENKHBAYAR</t>
  </si>
  <si>
    <t>DB손12410</t>
  </si>
  <si>
    <t>오가네대구왕뽈데기</t>
  </si>
  <si>
    <t>주식회사 버킷플레이스</t>
  </si>
  <si>
    <t>곤드레말 주식회사</t>
  </si>
  <si>
    <t>주식회사 마켓세종</t>
  </si>
  <si>
    <t>해피램프</t>
  </si>
  <si>
    <t>(주)막스앤</t>
  </si>
  <si>
    <t>퍼부어 밤리단길점</t>
  </si>
  <si>
    <t>건자재스토리</t>
  </si>
  <si>
    <t>천세원청약79</t>
  </si>
  <si>
    <t>(주)더블유컨셉코리아</t>
  </si>
  <si>
    <t>10월카드사용알림서비스이용료</t>
  </si>
  <si>
    <t>LH2024년10월</t>
  </si>
  <si>
    <t>영마트세종점</t>
  </si>
  <si>
    <t>대표비인증_스마트로4</t>
  </si>
  <si>
    <t>김경희숙박비</t>
  </si>
  <si>
    <t>한재인</t>
  </si>
  <si>
    <t>박영균</t>
  </si>
  <si>
    <t>이민형당근식탁등</t>
  </si>
  <si>
    <t>모던</t>
  </si>
  <si>
    <t>윤관식</t>
  </si>
  <si>
    <t>김인화</t>
  </si>
  <si>
    <t>장귀영 알뜰매장</t>
  </si>
  <si>
    <t>철도승차권발매</t>
  </si>
  <si>
    <t>미덕</t>
  </si>
  <si>
    <t>세종전자담배마</t>
  </si>
  <si>
    <t>김경희동전모음</t>
  </si>
  <si>
    <t>김영</t>
  </si>
  <si>
    <t>뚜레쥬르파주운정가람점</t>
  </si>
  <si>
    <t>청미관</t>
  </si>
  <si>
    <t>이디야커피대구텍스빌점</t>
  </si>
  <si>
    <t>가온밀면</t>
  </si>
  <si>
    <t>김광석길 공영주차장</t>
  </si>
  <si>
    <t>에스티 로더</t>
  </si>
  <si>
    <t>*15원캐쉬백다이소</t>
  </si>
  <si>
    <t>다이소 세종부강</t>
  </si>
  <si>
    <t>폴라스튜디오 인</t>
  </si>
  <si>
    <t>씨유(CU)인계</t>
  </si>
  <si>
    <t>신전떡볶이 세종</t>
  </si>
  <si>
    <t>(주)케이알산업</t>
  </si>
  <si>
    <t>서예성</t>
  </si>
  <si>
    <t>정희영당근</t>
  </si>
  <si>
    <t>DB손12511</t>
  </si>
  <si>
    <t>Ncsty</t>
  </si>
  <si>
    <t>충전 내역</t>
  </si>
  <si>
    <t>한국철도공사</t>
  </si>
  <si>
    <t>국민하유진_축의금</t>
  </si>
  <si>
    <t>코레일유통주식회</t>
  </si>
  <si>
    <t>조*일</t>
  </si>
  <si>
    <t>김남권</t>
  </si>
  <si>
    <t>천세원청약80</t>
  </si>
  <si>
    <t>이*은</t>
  </si>
  <si>
    <t>신한카드캐시백</t>
  </si>
  <si>
    <t>농협(주)장남새나루</t>
  </si>
  <si>
    <t>11월카드사용알림서비스이용료</t>
  </si>
  <si>
    <t>다인농업협동조합</t>
  </si>
  <si>
    <t>온누리페이</t>
  </si>
  <si>
    <t>GS25세종하늘점</t>
  </si>
  <si>
    <t>지수인</t>
  </si>
  <si>
    <t>박태선</t>
  </si>
  <si>
    <t>노모어피자세종다정점</t>
  </si>
  <si>
    <t>당근603</t>
  </si>
  <si>
    <t>롯데슈퍼세종캐슬점</t>
  </si>
  <si>
    <t>김경희쿠팡복사지</t>
  </si>
  <si>
    <t>김경희복사지</t>
  </si>
  <si>
    <t>전누리</t>
  </si>
  <si>
    <t>박우식(스튜디오팍스</t>
  </si>
  <si>
    <t>신협온뱅크 신규</t>
  </si>
  <si>
    <t>삼성571</t>
  </si>
  <si>
    <t>금용중화요리</t>
  </si>
  <si>
    <t>이준석</t>
  </si>
  <si>
    <t>현대백화점킨텍스점</t>
  </si>
  <si>
    <t>홈플러스킨텍스점</t>
  </si>
  <si>
    <t>김경희옷구매</t>
  </si>
  <si>
    <t>김영미</t>
  </si>
  <si>
    <t>이마트둔산점</t>
  </si>
  <si>
    <t>뚜레쥬르부강점</t>
  </si>
  <si>
    <t>토스PG버킷플</t>
  </si>
  <si>
    <t>TRAVEL RESERVATION KOR                \\</t>
  </si>
  <si>
    <t>당근 이든</t>
  </si>
  <si>
    <t>천세원_축의금</t>
  </si>
  <si>
    <t>AGODA COMPANY PTE.LTD.                \\</t>
  </si>
  <si>
    <t>송금 취소 내역</t>
  </si>
  <si>
    <t>에스알</t>
  </si>
  <si>
    <t>대전신화수산</t>
  </si>
  <si>
    <t>LH2024년11월</t>
  </si>
  <si>
    <t>지용옥</t>
  </si>
  <si>
    <t>김혜연</t>
  </si>
  <si>
    <t>고대형</t>
  </si>
  <si>
    <t>헌옷</t>
  </si>
  <si>
    <t>노모어피자 세종</t>
  </si>
  <si>
    <t>현우와민이네반찬</t>
  </si>
  <si>
    <t>시장회센타</t>
  </si>
  <si>
    <t>공항소금</t>
  </si>
  <si>
    <t>인생극장 세종새</t>
  </si>
  <si>
    <t>LH_세종시</t>
  </si>
  <si>
    <t>현대블루핸즈 세</t>
  </si>
  <si>
    <t>이정숙</t>
  </si>
  <si>
    <t>유심통</t>
  </si>
  <si>
    <t>뭉클조명</t>
  </si>
  <si>
    <t>주식회사 무신사페이먼츠</t>
  </si>
  <si>
    <t>디스커버리 익스페디션</t>
  </si>
  <si>
    <t>광주광</t>
  </si>
  <si>
    <t>멜로멜로:</t>
  </si>
  <si>
    <t>김한규</t>
  </si>
  <si>
    <t>DB손12612</t>
  </si>
  <si>
    <t>메가커피 세종새</t>
  </si>
  <si>
    <t>서울삼성이비인후</t>
  </si>
  <si>
    <t>천세원청약81</t>
  </si>
  <si>
    <t>실속생활</t>
  </si>
  <si>
    <t>토뱅차지호</t>
  </si>
  <si>
    <t>새나루12단지</t>
  </si>
  <si>
    <t>박가네돼지국밥</t>
  </si>
  <si>
    <t>속리산청주휴게소</t>
  </si>
  <si>
    <t>속리산청원방향주유소</t>
  </si>
  <si>
    <t>장재윤</t>
  </si>
  <si>
    <t>강영희</t>
  </si>
  <si>
    <t>스타벅스코리아_상품권</t>
  </si>
  <si>
    <t>올리브영세종새롬점</t>
  </si>
  <si>
    <t>당근 도라지</t>
  </si>
  <si>
    <t>모바일 티머니 충전(</t>
  </si>
  <si>
    <t>SRT반환수수료</t>
  </si>
  <si>
    <t>당근페이</t>
  </si>
  <si>
    <t>김숙희</t>
  </si>
  <si>
    <t>이광명</t>
  </si>
  <si>
    <t>김*담</t>
  </si>
  <si>
    <t>지자체세입금네이버페이</t>
  </si>
  <si>
    <t>중앙시장활성화구역상인회</t>
  </si>
  <si>
    <t>화이트리에유성노은점</t>
  </si>
  <si>
    <t>배규빛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</si>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</sst>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176" formatCode="&quot;₩&quot;#,##0"/>
    <numFmt numFmtId="177" formatCode="0_);[Red]\(0\)"/>
    <numFmt numFmtId="184" formatCode="&quot;₩&quot;#,##0_);[Red]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/>
      <bottom style="thick">
        <color theme="7"/>
      </bottom>
      <diagonal/>
    </border>
    <border>
      <left style="thin">
        <color theme="2" tint="-0.499984740745262"/>
      </left>
      <right/>
      <top style="thick">
        <color theme="7"/>
      </top>
      <bottom/>
      <diagonal/>
    </border>
    <border>
      <left style="thin">
        <color theme="2" tint="-0.499984740745262"/>
      </left>
      <right/>
      <top/>
      <bottom style="thick">
        <color theme="7" tint="0.39997558519241921"/>
      </bottom>
      <diagonal/>
    </border>
    <border>
      <left/>
      <right style="thin">
        <color theme="2" tint="-0.499984740745262"/>
      </right>
      <top/>
      <bottom style="thick">
        <color theme="7" tint="0.39997558519241921"/>
      </bottom>
      <diagonal/>
    </border>
    <border>
      <left style="thin">
        <color theme="2" tint="-0.499984740745262"/>
      </left>
      <right/>
      <top/>
      <bottom style="thick">
        <color theme="7" tint="0.79998168889431442"/>
      </bottom>
      <diagonal/>
    </border>
    <border>
      <left/>
      <right style="thin">
        <color theme="2" tint="-0.499984740745262"/>
      </right>
      <top/>
      <bottom style="thick">
        <color theme="7" tint="0.7999816888943144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76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84" fontId="0" fillId="0" borderId="16" xfId="0" applyNumberFormat="1" applyBorder="1" applyAlignment="1">
      <alignment horizontal="center" vertical="center"/>
    </xf>
    <xf numFmtId="184" fontId="0" fillId="0" borderId="11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76" fontId="5" fillId="0" borderId="0" xfId="0" applyNumberFormat="1" applyFont="1" applyFill="1" applyBorder="1" applyAlignment="1">
      <alignment horizontal="center" vertical="center"/>
    </xf>
    <xf numFmtId="184" fontId="0" fillId="0" borderId="12" xfId="0" applyNumberFormat="1" applyBorder="1">
      <alignment vertical="center"/>
    </xf>
    <xf numFmtId="184" fontId="0" fillId="0" borderId="6" xfId="0" applyNumberFormat="1" applyBorder="1">
      <alignment vertical="center"/>
    </xf>
    <xf numFmtId="184" fontId="0" fillId="0" borderId="13" xfId="0" applyNumberFormat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32" borderId="28" xfId="0" applyFill="1" applyBorder="1" applyAlignment="1">
      <alignment horizontal="center" vertical="center"/>
    </xf>
    <xf numFmtId="0" fontId="0" fillId="32" borderId="29" xfId="0" applyFill="1" applyBorder="1" applyAlignment="1">
      <alignment horizontal="center" vertical="center"/>
    </xf>
    <xf numFmtId="0" fontId="0" fillId="32" borderId="30" xfId="0" applyFill="1" applyBorder="1" applyAlignment="1">
      <alignment horizontal="center" vertical="center"/>
    </xf>
    <xf numFmtId="0" fontId="0" fillId="0" borderId="31" xfId="0" applyBorder="1">
      <alignment vertical="center"/>
    </xf>
    <xf numFmtId="0" fontId="7" fillId="0" borderId="3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7" fillId="32" borderId="34" xfId="0" applyFont="1" applyFill="1" applyBorder="1" applyAlignment="1">
      <alignment horizontal="center" vertical="center"/>
    </xf>
    <xf numFmtId="0" fontId="0" fillId="32" borderId="36" xfId="0" applyFill="1" applyBorder="1">
      <alignment vertical="center"/>
    </xf>
    <xf numFmtId="0" fontId="7" fillId="0" borderId="37" xfId="0" applyFont="1" applyBorder="1" applyAlignment="1">
      <alignment horizontal="center" vertical="center"/>
    </xf>
    <xf numFmtId="0" fontId="7" fillId="32" borderId="38" xfId="0" applyFont="1" applyFill="1" applyBorder="1" applyAlignment="1">
      <alignment horizontal="center" vertical="center"/>
    </xf>
    <xf numFmtId="0" fontId="0" fillId="32" borderId="39" xfId="0" applyFill="1" applyBorder="1">
      <alignment vertical="center"/>
    </xf>
    <xf numFmtId="0" fontId="7" fillId="0" borderId="34" xfId="0" applyFont="1" applyBorder="1" applyAlignment="1">
      <alignment horizontal="center" vertical="center"/>
    </xf>
    <xf numFmtId="0" fontId="7" fillId="32" borderId="40" xfId="0" applyFont="1" applyFill="1" applyBorder="1" applyAlignment="1">
      <alignment horizontal="center" vertical="center"/>
    </xf>
    <xf numFmtId="0" fontId="0" fillId="32" borderId="41" xfId="0" applyFill="1" applyBorder="1">
      <alignment vertical="center"/>
    </xf>
    <xf numFmtId="0" fontId="7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176" fontId="0" fillId="0" borderId="43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>
      <alignment vertical="center"/>
    </xf>
    <xf numFmtId="0" fontId="7" fillId="32" borderId="28" xfId="0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84" fontId="7" fillId="32" borderId="28" xfId="0" applyNumberFormat="1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3A8F3"/>
      <color rgb="FFD0D0D0"/>
      <color rgb="FFDEBFF7"/>
      <color rgb="FFD3F5D7"/>
      <color rgb="FF64DA75"/>
      <color rgb="FF2EC443"/>
      <color rgb="FF3DADDF"/>
      <color rgb="FFD76BCA"/>
      <color rgb="FFCB3DBA"/>
      <color rgb="FF2195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손익계산서!$AB$5:$AB$24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손익계산서!$AC$5:$AC$24</c:f>
              <c:numCache>
                <c:formatCode>"₩"#,##0_);[Red]\("₩"#,##0\)</c:formatCode>
                <c:ptCount val="20"/>
                <c:pt idx="0">
                  <c:v>565120</c:v>
                </c:pt>
                <c:pt idx="1">
                  <c:v>540230</c:v>
                </c:pt>
                <c:pt idx="2">
                  <c:v>105540</c:v>
                </c:pt>
                <c:pt idx="3">
                  <c:v>6557920</c:v>
                </c:pt>
                <c:pt idx="4">
                  <c:v>59390</c:v>
                </c:pt>
                <c:pt idx="5">
                  <c:v>31500</c:v>
                </c:pt>
                <c:pt idx="6">
                  <c:v>9900</c:v>
                </c:pt>
                <c:pt idx="7">
                  <c:v>81390</c:v>
                </c:pt>
                <c:pt idx="8">
                  <c:v>0</c:v>
                </c:pt>
                <c:pt idx="9">
                  <c:v>85790</c:v>
                </c:pt>
                <c:pt idx="10">
                  <c:v>0</c:v>
                </c:pt>
                <c:pt idx="11">
                  <c:v>0</c:v>
                </c:pt>
                <c:pt idx="12">
                  <c:v>18000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77570</c:v>
                </c:pt>
                <c:pt idx="17">
                  <c:v>1103837</c:v>
                </c:pt>
                <c:pt idx="18">
                  <c:v>25900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손익계산서!$AB$5:$AB$24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손익계산서!$AD$5:$AD$24</c:f>
              <c:numCache>
                <c:formatCode>"₩"#,##0</c:formatCode>
                <c:ptCount val="20"/>
                <c:pt idx="0">
                  <c:v>19611868.333333332</c:v>
                </c:pt>
                <c:pt idx="1">
                  <c:v>2108196.3333333335</c:v>
                </c:pt>
                <c:pt idx="2">
                  <c:v>298272.5</c:v>
                </c:pt>
                <c:pt idx="3">
                  <c:v>1392853.8333333333</c:v>
                </c:pt>
                <c:pt idx="4">
                  <c:v>247309.75</c:v>
                </c:pt>
                <c:pt idx="5">
                  <c:v>346182.5</c:v>
                </c:pt>
                <c:pt idx="6">
                  <c:v>32055.5</c:v>
                </c:pt>
                <c:pt idx="7">
                  <c:v>208108.58333333334</c:v>
                </c:pt>
                <c:pt idx="8">
                  <c:v>496535</c:v>
                </c:pt>
                <c:pt idx="9">
                  <c:v>757168.25</c:v>
                </c:pt>
                <c:pt idx="10">
                  <c:v>97849.083333333328</c:v>
                </c:pt>
                <c:pt idx="11">
                  <c:v>86325.833333333328</c:v>
                </c:pt>
                <c:pt idx="12">
                  <c:v>204983.33333333334</c:v>
                </c:pt>
                <c:pt idx="13">
                  <c:v>9533.3333333333339</c:v>
                </c:pt>
                <c:pt idx="14">
                  <c:v>15418.833333333334</c:v>
                </c:pt>
                <c:pt idx="15">
                  <c:v>4166.666666666667</c:v>
                </c:pt>
                <c:pt idx="16">
                  <c:v>295355.08333333331</c:v>
                </c:pt>
                <c:pt idx="17">
                  <c:v>981257.58333333337</c:v>
                </c:pt>
                <c:pt idx="18">
                  <c:v>171697.91666666666</c:v>
                </c:pt>
                <c:pt idx="19">
                  <c:v>10883.916666666666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7524620</c:v>
                </c:pt>
                <c:pt idx="1">
                  <c:v>1737467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-2480980</c:v>
                </c:pt>
                <c:pt idx="1">
                  <c:v>12480980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5549418</c:v>
                </c:pt>
                <c:pt idx="1">
                  <c:v>4450582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-3328529</c:v>
                </c:pt>
                <c:pt idx="1">
                  <c:v>13328529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10739835</c:v>
                </c:pt>
                <c:pt idx="1">
                  <c:v>-739835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25839255</c:v>
                </c:pt>
                <c:pt idx="1">
                  <c:v>-15839255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-12752973</c:v>
                </c:pt>
                <c:pt idx="1">
                  <c:v>22752973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-31540142</c:v>
                </c:pt>
                <c:pt idx="1">
                  <c:v>41540142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101389747</c:v>
                </c:pt>
                <c:pt idx="1">
                  <c:v>-91389747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1997960</c:v>
                </c:pt>
                <c:pt idx="1">
                  <c:v>8002040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-4662726</c:v>
                </c:pt>
                <c:pt idx="1">
                  <c:v>14662726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-8570314</c:v>
                </c:pt>
                <c:pt idx="1">
                  <c:v>18570314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870976</c:v>
                </c:pt>
                <c:pt idx="1">
                  <c:v>9129024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34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-24.81%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5"/>
            <a:ext cx="20019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55.49%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-33.29%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107.40%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258.39%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-127.53%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-315.40%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1013.90%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19.98%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F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-46.63%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-85.70%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8.71%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1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12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3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A44" sqref="A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3F5D7"/>
  </sheetPr>
  <dimension ref="B2:AH26"/>
  <sheetViews>
    <sheetView tabSelected="1" zoomScaleNormal="100" workbookViewId="0">
      <selection activeCell="V11" sqref="V11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10" max="10" width="2.25" customWidth="1"/>
    <col min="17" max="17" width="9.25" bestFit="1" customWidth="1"/>
    <col min="26" max="26" width="11.375" bestFit="1" customWidth="1"/>
    <col min="29" max="29" width="11.375" bestFit="1" customWidth="1"/>
    <col min="30" max="30" width="11.75" customWidth="1"/>
    <col min="31" max="31" width="7.625" bestFit="1" customWidth="1"/>
    <col min="32" max="32" width="5.5" customWidth="1"/>
    <col min="33" max="33" width="8.75" bestFit="1" customWidth="1"/>
    <col min="34" max="34" width="5.5" customWidth="1"/>
  </cols>
  <sheetData>
    <row r="2" spans="2:34" ht="24.75" thickBot="1" x14ac:dyDescent="0.35">
      <c r="B2" s="121" t="s">
        <v>171</v>
      </c>
      <c r="C2" s="121"/>
      <c r="AE2" s="128" t="s">
        <v>173</v>
      </c>
      <c r="AF2" s="5">
        <f>설정!H4</f>
        <v>2024</v>
      </c>
      <c r="AG2" s="128" t="s">
        <v>172</v>
      </c>
      <c r="AH2" s="5" t="s">
        <v>174</v>
      </c>
    </row>
    <row r="3" spans="2:34" ht="17.25" thickTop="1" x14ac:dyDescent="0.3">
      <c r="Y3" s="122" t="s">
        <v>1016</v>
      </c>
      <c r="Z3" s="124"/>
      <c r="AB3" s="104" t="s">
        <v>293</v>
      </c>
      <c r="AC3" s="106"/>
    </row>
    <row r="4" spans="2:34" x14ac:dyDescent="0.3">
      <c r="B4" s="138" t="s">
        <v>1015</v>
      </c>
      <c r="C4" s="138"/>
      <c r="K4" s="137" t="s">
        <v>1019</v>
      </c>
      <c r="L4" s="137"/>
      <c r="Y4" s="45" t="s">
        <v>28</v>
      </c>
      <c r="Z4" s="47" t="s">
        <v>30</v>
      </c>
      <c r="AB4" s="46" t="s">
        <v>28</v>
      </c>
      <c r="AC4" s="45" t="s">
        <v>30</v>
      </c>
    </row>
    <row r="5" spans="2:34" x14ac:dyDescent="0.3">
      <c r="B5" s="2"/>
      <c r="C5" s="143"/>
      <c r="K5" s="152"/>
      <c r="L5" s="153" t="s">
        <v>33</v>
      </c>
      <c r="M5" s="153"/>
      <c r="N5" s="153"/>
      <c r="O5" s="153" t="s">
        <v>1020</v>
      </c>
      <c r="P5" s="153"/>
      <c r="Q5" s="153" t="s">
        <v>1021</v>
      </c>
      <c r="R5" s="153"/>
      <c r="S5" s="154" t="s">
        <v>1022</v>
      </c>
      <c r="Y5" s="48" t="str" cm="1">
        <f t="array" aca="1" ref="Y5:Y8" ca="1">INDIRECT("'" &amp; $AH$2 &amp; "'!$B$52:$B$55")</f>
        <v>금융수입</v>
      </c>
      <c r="Z5" s="142" cm="1">
        <f t="array" aca="1" ref="Z5:Z8" ca="1">INDIRECT("'" &amp; $AH$2 &amp; "'!$C$52:$C$55")</f>
        <v>13300</v>
      </c>
      <c r="AB5" s="133" t="str" cm="1">
        <f t="array" aca="1" ref="AB5:AB24" ca="1">INDIRECT("'" &amp; $AH$2 &amp; "'!$B$27:$B$46")</f>
        <v>금융</v>
      </c>
      <c r="AC5" s="135" cm="1">
        <f t="array" aca="1" ref="AC5:AC24" ca="1">INDIRECT("'" &amp; $AH$2 &amp; "'!$C$27:$C$46")</f>
        <v>565120</v>
      </c>
      <c r="AD5" s="139">
        <f>AVERAGE('1월:12월'!C27)</f>
        <v>19611868.333333332</v>
      </c>
    </row>
    <row r="6" spans="2:34" x14ac:dyDescent="0.3">
      <c r="B6" s="2"/>
      <c r="C6" s="143"/>
      <c r="K6" s="155"/>
      <c r="L6" s="145"/>
      <c r="M6" s="145"/>
      <c r="N6" s="145"/>
      <c r="O6" s="147"/>
      <c r="P6" s="147"/>
      <c r="Q6" s="146"/>
      <c r="R6" s="146"/>
      <c r="S6" s="156"/>
      <c r="Y6" s="49" t="str">
        <f ca="1"/>
        <v>급여</v>
      </c>
      <c r="Z6" s="30">
        <f ca="1"/>
        <v>9218009</v>
      </c>
      <c r="AB6" s="133" t="str">
        <f ca="1"/>
        <v>생활</v>
      </c>
      <c r="AC6" s="135">
        <f ca="1"/>
        <v>540230</v>
      </c>
      <c r="AD6" s="139">
        <f>AVERAGE('1월:12월'!C28)</f>
        <v>2108196.3333333335</v>
      </c>
    </row>
    <row r="7" spans="2:34" ht="17.25" thickBot="1" x14ac:dyDescent="0.35">
      <c r="B7" s="2"/>
      <c r="C7" s="144"/>
      <c r="K7" s="157">
        <v>1</v>
      </c>
      <c r="L7" s="170" t="str">
        <f ca="1">INDEX(_xlfn.ANCHORARRAY(AB5), MATCH(LARGE(_xlfn.ANCHORARRAY(AC5), 1),_xlfn.ANCHORARRAY( AC5), 0))</f>
        <v>주거/통신</v>
      </c>
      <c r="M7" s="170"/>
      <c r="N7" s="170"/>
      <c r="O7" s="175">
        <f ca="1">LARGE(_xlfn.ANCHORARRAY(AC5),1)</f>
        <v>6557920</v>
      </c>
      <c r="P7" s="170"/>
      <c r="Q7" s="149"/>
      <c r="R7" s="149"/>
      <c r="S7" s="158"/>
      <c r="Y7" s="49" t="str">
        <f ca="1"/>
        <v>용돈</v>
      </c>
      <c r="Z7" s="30">
        <f ca="1"/>
        <v>0</v>
      </c>
      <c r="AB7" s="133" t="str">
        <f ca="1"/>
        <v>식비</v>
      </c>
      <c r="AC7" s="135">
        <f ca="1"/>
        <v>105540</v>
      </c>
      <c r="AD7" s="139">
        <f>AVERAGE('1월:12월'!C29)</f>
        <v>298272.5</v>
      </c>
    </row>
    <row r="8" spans="2:34" ht="17.25" thickTop="1" x14ac:dyDescent="0.3">
      <c r="K8" s="159"/>
      <c r="L8" s="148"/>
      <c r="M8" s="148"/>
      <c r="N8" s="148"/>
      <c r="O8" s="147"/>
      <c r="P8" s="147"/>
      <c r="Q8" s="146"/>
      <c r="R8" s="146"/>
      <c r="S8" s="156"/>
      <c r="Y8" s="49" t="str">
        <f ca="1"/>
        <v>기타수입</v>
      </c>
      <c r="Z8" s="30">
        <f ca="1"/>
        <v>0</v>
      </c>
      <c r="AB8" s="133" t="str">
        <f ca="1"/>
        <v>주거/통신</v>
      </c>
      <c r="AC8" s="135">
        <f ca="1"/>
        <v>6557920</v>
      </c>
      <c r="AD8" s="139">
        <f>AVERAGE('1월:12월'!C30)</f>
        <v>1392853.8333333333</v>
      </c>
    </row>
    <row r="9" spans="2:34" ht="17.25" thickBot="1" x14ac:dyDescent="0.35">
      <c r="K9" s="160">
        <v>2</v>
      </c>
      <c r="L9" s="171" t="str">
        <f ca="1">INDEX(_xlfn.ANCHORARRAY(AB5), MATCH(LARGE(_xlfn.ANCHORARRAY(AC5), 2),_xlfn.ANCHORARRAY( AC5), 0))</f>
        <v>미분류</v>
      </c>
      <c r="M9" s="171"/>
      <c r="N9" s="171"/>
      <c r="O9" s="174">
        <f ca="1">LARGE(_xlfn.ANCHORARRAY(AC5),2)</f>
        <v>1103837</v>
      </c>
      <c r="P9" s="174"/>
      <c r="Q9" s="150"/>
      <c r="R9" s="150"/>
      <c r="S9" s="161"/>
      <c r="Y9" s="49"/>
      <c r="Z9" s="15"/>
      <c r="AB9" s="133" t="str">
        <f ca="1"/>
        <v>온라인쇼핑</v>
      </c>
      <c r="AC9" s="135">
        <f ca="1"/>
        <v>59390</v>
      </c>
      <c r="AD9" s="139">
        <f>AVERAGE('1월:12월'!C31)</f>
        <v>247309.75</v>
      </c>
    </row>
    <row r="10" spans="2:34" ht="17.25" thickTop="1" x14ac:dyDescent="0.3">
      <c r="K10" s="162"/>
      <c r="L10" s="148"/>
      <c r="M10" s="148"/>
      <c r="N10" s="148"/>
      <c r="O10" s="147"/>
      <c r="P10" s="147"/>
      <c r="Q10" s="146"/>
      <c r="R10" s="146"/>
      <c r="S10" s="156"/>
      <c r="Y10" s="49"/>
      <c r="Z10" s="15"/>
      <c r="AB10" s="133" t="str">
        <f ca="1"/>
        <v>자동차</v>
      </c>
      <c r="AC10" s="135">
        <f ca="1"/>
        <v>31500</v>
      </c>
      <c r="AD10" s="139">
        <f>AVERAGE('1월:12월'!C32)</f>
        <v>346182.5</v>
      </c>
    </row>
    <row r="11" spans="2:34" ht="17.25" thickBot="1" x14ac:dyDescent="0.35">
      <c r="K11" s="163">
        <v>3</v>
      </c>
      <c r="L11" s="172" t="str">
        <f ca="1">INDEX(_xlfn.ANCHORARRAY(AB5), MATCH(LARGE(_xlfn.ANCHORARRAY(AC5), 3),_xlfn.ANCHORARRAY( AC5), 0))</f>
        <v>금융</v>
      </c>
      <c r="M11" s="172"/>
      <c r="N11" s="172"/>
      <c r="O11" s="173">
        <f ca="1">LARGE(_xlfn.ANCHORARRAY(AC5),3)</f>
        <v>565120</v>
      </c>
      <c r="P11" s="173"/>
      <c r="Q11" s="151"/>
      <c r="R11" s="151"/>
      <c r="S11" s="164"/>
      <c r="Y11" s="49"/>
      <c r="Z11" s="15"/>
      <c r="AB11" s="133" t="str">
        <f ca="1"/>
        <v>교통</v>
      </c>
      <c r="AC11" s="135">
        <f ca="1"/>
        <v>9900</v>
      </c>
      <c r="AD11" s="139">
        <f>AVERAGE('1월:12월'!C33)</f>
        <v>32055.5</v>
      </c>
    </row>
    <row r="12" spans="2:34" ht="17.25" thickTop="1" x14ac:dyDescent="0.3">
      <c r="K12" s="162"/>
      <c r="L12" s="148"/>
      <c r="M12" s="148"/>
      <c r="N12" s="148"/>
      <c r="O12" s="147"/>
      <c r="P12" s="147"/>
      <c r="Q12" s="146"/>
      <c r="R12" s="146"/>
      <c r="S12" s="156"/>
      <c r="Y12" s="49"/>
      <c r="Z12" s="15"/>
      <c r="AB12" s="133" t="str">
        <f ca="1"/>
        <v>카페/간식</v>
      </c>
      <c r="AC12" s="135">
        <f ca="1"/>
        <v>81390</v>
      </c>
      <c r="AD12" s="139">
        <f>AVERAGE('1월:12월'!C34)</f>
        <v>208108.58333333334</v>
      </c>
    </row>
    <row r="13" spans="2:34" x14ac:dyDescent="0.3">
      <c r="K13" s="162">
        <v>4</v>
      </c>
      <c r="L13" s="148" t="str">
        <f ca="1">INDEX(_xlfn.ANCHORARRAY(AB5), MATCH(LARGE(_xlfn.ANCHORARRAY(AC5), 4),_xlfn.ANCHORARRAY( AC5), 0))</f>
        <v>생활</v>
      </c>
      <c r="M13" s="148"/>
      <c r="N13" s="148"/>
      <c r="O13" s="147">
        <f ca="1">LARGE(_xlfn.ANCHORARRAY(AC5),4)</f>
        <v>540230</v>
      </c>
      <c r="P13" s="147"/>
      <c r="Q13" s="146"/>
      <c r="R13" s="146"/>
      <c r="S13" s="156"/>
      <c r="Y13" s="49"/>
      <c r="Z13" s="15"/>
      <c r="AB13" s="133" t="str">
        <f ca="1"/>
        <v>여행/숙박</v>
      </c>
      <c r="AC13" s="135">
        <f ca="1"/>
        <v>0</v>
      </c>
      <c r="AD13" s="139">
        <f>AVERAGE('1월:12월'!C35)</f>
        <v>496535</v>
      </c>
    </row>
    <row r="14" spans="2:34" x14ac:dyDescent="0.3">
      <c r="K14" s="162"/>
      <c r="L14" s="148"/>
      <c r="M14" s="148"/>
      <c r="N14" s="148"/>
      <c r="O14" s="147"/>
      <c r="P14" s="147"/>
      <c r="Q14" s="146"/>
      <c r="R14" s="146"/>
      <c r="S14" s="156"/>
      <c r="Y14" s="49"/>
      <c r="Z14" s="15"/>
      <c r="AB14" s="133" t="str">
        <f ca="1"/>
        <v>문화/여가</v>
      </c>
      <c r="AC14" s="135">
        <f ca="1"/>
        <v>85790</v>
      </c>
      <c r="AD14" s="139">
        <f>AVERAGE('1월:12월'!C36)</f>
        <v>757168.25</v>
      </c>
    </row>
    <row r="15" spans="2:34" x14ac:dyDescent="0.3">
      <c r="K15" s="162">
        <v>5</v>
      </c>
      <c r="L15" s="148" t="str">
        <f ca="1">INDEX(_xlfn.ANCHORARRAY(AB5), MATCH(LARGE(_xlfn.ANCHORARRAY(AC5), 5),_xlfn.ANCHORARRAY( AC5), 0))</f>
        <v>식비</v>
      </c>
      <c r="M15" s="148"/>
      <c r="N15" s="148"/>
      <c r="O15" s="147">
        <f ca="1">LARGE(_xlfn.ANCHORARRAY(AC5),5)</f>
        <v>105540</v>
      </c>
      <c r="P15" s="147"/>
      <c r="Q15" s="146"/>
      <c r="R15" s="146"/>
      <c r="S15" s="156"/>
      <c r="Y15" s="49"/>
      <c r="Z15" s="15"/>
      <c r="AB15" s="133" t="str">
        <f ca="1"/>
        <v>의료/건강</v>
      </c>
      <c r="AC15" s="135">
        <f ca="1"/>
        <v>0</v>
      </c>
      <c r="AD15" s="139">
        <f>AVERAGE('1월:12월'!C37)</f>
        <v>97849.083333333328</v>
      </c>
    </row>
    <row r="16" spans="2:34" x14ac:dyDescent="0.3">
      <c r="K16" s="162"/>
      <c r="L16" s="148"/>
      <c r="M16" s="148"/>
      <c r="N16" s="148"/>
      <c r="O16" s="147"/>
      <c r="P16" s="147"/>
      <c r="Q16" s="146"/>
      <c r="R16" s="146"/>
      <c r="S16" s="156"/>
      <c r="Y16" s="49"/>
      <c r="Z16" s="15"/>
      <c r="AB16" s="133" t="str">
        <f ca="1"/>
        <v>패션/쇼핑</v>
      </c>
      <c r="AC16" s="135">
        <f ca="1"/>
        <v>0</v>
      </c>
      <c r="AD16" s="139">
        <f>AVERAGE('1월:12월'!C38)</f>
        <v>86325.833333333328</v>
      </c>
    </row>
    <row r="17" spans="2:30" x14ac:dyDescent="0.3">
      <c r="K17" s="165">
        <v>6</v>
      </c>
      <c r="L17" s="166" t="str">
        <f ca="1">INDEX(_xlfn.ANCHORARRAY(AB5), MATCH(LARGE(_xlfn.ANCHORARRAY(AC5), 6),_xlfn.ANCHORARRAY( AC5), 0))</f>
        <v>문화/여가</v>
      </c>
      <c r="M17" s="166"/>
      <c r="N17" s="166"/>
      <c r="O17" s="167">
        <f ca="1">LARGE(_xlfn.ANCHORARRAY(AC5),6)</f>
        <v>85790</v>
      </c>
      <c r="P17" s="167"/>
      <c r="Q17" s="168"/>
      <c r="R17" s="168"/>
      <c r="S17" s="169"/>
      <c r="Y17" s="49"/>
      <c r="Z17" s="15"/>
      <c r="AB17" s="133" t="str">
        <f ca="1"/>
        <v>뷰티/미용</v>
      </c>
      <c r="AC17" s="135">
        <f ca="1"/>
        <v>18000</v>
      </c>
      <c r="AD17" s="139">
        <f>AVERAGE('1월:12월'!C39)</f>
        <v>204983.33333333334</v>
      </c>
    </row>
    <row r="18" spans="2:30" x14ac:dyDescent="0.3">
      <c r="Y18" s="49"/>
      <c r="Z18" s="15"/>
      <c r="AB18" s="133" t="str">
        <f ca="1"/>
        <v>교육/학습</v>
      </c>
      <c r="AC18" s="135">
        <f ca="1"/>
        <v>0</v>
      </c>
      <c r="AD18" s="139">
        <f>AVERAGE('1월:12월'!C40)</f>
        <v>9533.3333333333339</v>
      </c>
    </row>
    <row r="19" spans="2:30" x14ac:dyDescent="0.3">
      <c r="Y19" s="49"/>
      <c r="Z19" s="15"/>
      <c r="AB19" s="133" t="str">
        <f ca="1"/>
        <v>술/유흥</v>
      </c>
      <c r="AC19" s="135">
        <f ca="1"/>
        <v>0</v>
      </c>
      <c r="AD19" s="139">
        <f>AVERAGE('1월:12월'!C41)</f>
        <v>15418.833333333334</v>
      </c>
    </row>
    <row r="20" spans="2:30" x14ac:dyDescent="0.3">
      <c r="Y20" s="49"/>
      <c r="Z20" s="15"/>
      <c r="AB20" s="133" t="str">
        <f ca="1"/>
        <v>교육</v>
      </c>
      <c r="AC20" s="135">
        <f ca="1"/>
        <v>0</v>
      </c>
      <c r="AD20" s="139">
        <f>AVERAGE('1월:12월'!C42)</f>
        <v>4166.666666666667</v>
      </c>
    </row>
    <row r="21" spans="2:30" x14ac:dyDescent="0.3">
      <c r="Y21" s="49"/>
      <c r="Z21" s="15"/>
      <c r="AB21" s="133" t="str">
        <f ca="1"/>
        <v>식사</v>
      </c>
      <c r="AC21" s="135">
        <f ca="1"/>
        <v>77570</v>
      </c>
      <c r="AD21" s="139">
        <f>AVERAGE('1월:12월'!C43)</f>
        <v>295355.08333333331</v>
      </c>
    </row>
    <row r="22" spans="2:30" x14ac:dyDescent="0.3">
      <c r="B22" s="48" t="s">
        <v>1017</v>
      </c>
      <c r="C22" s="45" t="s">
        <v>1018</v>
      </c>
      <c r="Y22" s="49"/>
      <c r="Z22" s="15"/>
      <c r="AB22" s="133" t="str">
        <f ca="1"/>
        <v>미분류</v>
      </c>
      <c r="AC22" s="135">
        <f ca="1"/>
        <v>1103837</v>
      </c>
      <c r="AD22" s="139">
        <f>AVERAGE('1월:12월'!C44)</f>
        <v>981257.58333333337</v>
      </c>
    </row>
    <row r="23" spans="2:30" x14ac:dyDescent="0.3">
      <c r="B23" s="41" t="str">
        <f>설정!D4</f>
        <v>천세원</v>
      </c>
      <c r="C23" s="26" cm="1">
        <f t="array" aca="1" ref="C23" ca="1">-INDIRECT("'" &amp; $AH$2 &amp; "'!$L$89")</f>
        <v>7524620</v>
      </c>
      <c r="Y23" s="49"/>
      <c r="Z23" s="15"/>
      <c r="AB23" s="133" t="str">
        <f ca="1"/>
        <v>의복/미용</v>
      </c>
      <c r="AC23" s="135">
        <f ca="1"/>
        <v>25900</v>
      </c>
      <c r="AD23" s="139">
        <f>AVERAGE('1월:12월'!C45)</f>
        <v>171697.91666666666</v>
      </c>
    </row>
    <row r="24" spans="2:30" x14ac:dyDescent="0.3">
      <c r="B24" s="42" t="str">
        <f>설정!D6</f>
        <v>하유진</v>
      </c>
      <c r="C24" s="9" cm="1">
        <f t="array" aca="1" ref="C24" ca="1">-INDIRECT("'" &amp; $AH$2 &amp; "'!$V$89")</f>
        <v>1737467</v>
      </c>
      <c r="Y24" s="49"/>
      <c r="Z24" s="132"/>
      <c r="AB24" s="134" t="str">
        <f ca="1"/>
        <v>경조사</v>
      </c>
      <c r="AC24" s="136">
        <f ca="1"/>
        <v>0</v>
      </c>
      <c r="AD24" s="139">
        <f>AVERAGE('1월:12월'!C46)</f>
        <v>10883.916666666666</v>
      </c>
    </row>
    <row r="25" spans="2:30" x14ac:dyDescent="0.3">
      <c r="Y25" s="45" t="s">
        <v>24</v>
      </c>
      <c r="Z25" s="141">
        <f ca="1">SUM(_xlfn.ANCHORARRAY(Z5))</f>
        <v>9231309</v>
      </c>
      <c r="AB25" s="45" t="s">
        <v>24</v>
      </c>
      <c r="AC25" s="140">
        <f ca="1">SUM(_xlfn.ANCHORARRAY(AC5))</f>
        <v>9262087</v>
      </c>
    </row>
    <row r="26" spans="2:30" x14ac:dyDescent="0.3">
      <c r="B26" s="138" t="s">
        <v>294</v>
      </c>
      <c r="C26" s="138"/>
    </row>
  </sheetData>
  <mergeCells count="45">
    <mergeCell ref="Q15:R15"/>
    <mergeCell ref="Q16:R16"/>
    <mergeCell ref="Q17:R17"/>
    <mergeCell ref="Q6:R6"/>
    <mergeCell ref="Q7:R7"/>
    <mergeCell ref="Q8:R8"/>
    <mergeCell ref="Q9:R9"/>
    <mergeCell ref="Q10:R10"/>
    <mergeCell ref="Q11:R11"/>
    <mergeCell ref="Q12:R12"/>
    <mergeCell ref="Q13:R13"/>
    <mergeCell ref="Q14:R14"/>
    <mergeCell ref="O12:P12"/>
    <mergeCell ref="O13:P13"/>
    <mergeCell ref="O14:P14"/>
    <mergeCell ref="O15:P15"/>
    <mergeCell ref="O16:P16"/>
    <mergeCell ref="O17:P17"/>
    <mergeCell ref="O6:P6"/>
    <mergeCell ref="O7:P7"/>
    <mergeCell ref="O8:P8"/>
    <mergeCell ref="O9:P9"/>
    <mergeCell ref="O10:P10"/>
    <mergeCell ref="O11:P11"/>
    <mergeCell ref="L13:N13"/>
    <mergeCell ref="L14:N14"/>
    <mergeCell ref="L15:N15"/>
    <mergeCell ref="L16:N16"/>
    <mergeCell ref="L17:N17"/>
    <mergeCell ref="L7:N7"/>
    <mergeCell ref="L8:N8"/>
    <mergeCell ref="L9:N9"/>
    <mergeCell ref="L10:N10"/>
    <mergeCell ref="L11:N11"/>
    <mergeCell ref="L12:N12"/>
    <mergeCell ref="AB3:AC3"/>
    <mergeCell ref="B26:C26"/>
    <mergeCell ref="Y3:Z3"/>
    <mergeCell ref="B4:C4"/>
    <mergeCell ref="K4:L4"/>
    <mergeCell ref="L5:N5"/>
    <mergeCell ref="O5:P5"/>
    <mergeCell ref="Q5:R5"/>
    <mergeCell ref="L6:N6"/>
    <mergeCell ref="B2:C2"/>
  </mergeCells>
  <phoneticPr fontId="1" type="noConversion"/>
  <dataValidations count="1">
    <dataValidation type="list" allowBlank="1" showInputMessage="1" showErrorMessage="1" sqref="AH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B39" sqref="B39:B66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75" t="s">
        <v>0</v>
      </c>
      <c r="C2" s="75"/>
      <c r="D2" s="75"/>
    </row>
    <row r="3" spans="2:29" ht="17.25" thickTop="1" x14ac:dyDescent="0.3">
      <c r="K3" s="1" t="s">
        <v>1</v>
      </c>
    </row>
    <row r="4" spans="2:29" x14ac:dyDescent="0.3">
      <c r="B4" s="72" t="s">
        <v>2</v>
      </c>
      <c r="C4" s="55"/>
      <c r="D4" s="55" t="s">
        <v>3</v>
      </c>
      <c r="E4" s="56"/>
      <c r="G4" s="34" t="s">
        <v>111</v>
      </c>
      <c r="H4" s="55">
        <v>2024</v>
      </c>
      <c r="I4" s="56"/>
      <c r="K4" s="52" t="s">
        <v>165</v>
      </c>
      <c r="L4" s="53"/>
      <c r="M4" s="53"/>
      <c r="N4" s="53"/>
      <c r="O4" s="53"/>
      <c r="P4" s="54"/>
    </row>
    <row r="5" spans="2:29" x14ac:dyDescent="0.3">
      <c r="B5" s="24"/>
      <c r="E5" s="13"/>
      <c r="G5" s="24"/>
      <c r="I5" s="13"/>
    </row>
    <row r="6" spans="2:29" x14ac:dyDescent="0.3">
      <c r="B6" s="73" t="s">
        <v>4</v>
      </c>
      <c r="C6" s="74"/>
      <c r="D6" s="74" t="s">
        <v>5</v>
      </c>
      <c r="E6" s="76"/>
      <c r="G6" s="32"/>
      <c r="H6" s="35"/>
      <c r="I6" s="33"/>
      <c r="K6" s="52" t="s">
        <v>166</v>
      </c>
      <c r="L6" s="53"/>
      <c r="M6" s="53"/>
      <c r="N6" s="53"/>
      <c r="O6" s="53"/>
      <c r="P6" s="54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63" t="s">
        <v>33</v>
      </c>
      <c r="C9" s="87" t="s">
        <v>6</v>
      </c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9"/>
      <c r="S9" s="71" t="s">
        <v>7</v>
      </c>
      <c r="T9" s="71"/>
      <c r="U9" s="71"/>
      <c r="V9" s="71"/>
      <c r="W9" s="71"/>
      <c r="X9" s="71"/>
      <c r="Z9" s="77" t="s">
        <v>8</v>
      </c>
      <c r="AA9" s="78"/>
      <c r="AB9" s="78"/>
      <c r="AC9" s="79"/>
    </row>
    <row r="10" spans="2:29" x14ac:dyDescent="0.3">
      <c r="B10" s="64"/>
      <c r="C10" s="90" t="s">
        <v>9</v>
      </c>
      <c r="D10" s="91"/>
      <c r="E10" s="80" t="s">
        <v>10</v>
      </c>
      <c r="F10" s="80"/>
      <c r="G10" s="81" t="s">
        <v>11</v>
      </c>
      <c r="H10" s="81"/>
      <c r="I10" s="82" t="s">
        <v>12</v>
      </c>
      <c r="J10" s="82"/>
      <c r="K10" s="83" t="s">
        <v>13</v>
      </c>
      <c r="L10" s="83"/>
      <c r="M10" s="84" t="s">
        <v>14</v>
      </c>
      <c r="N10" s="84"/>
      <c r="O10" s="85" t="s">
        <v>15</v>
      </c>
      <c r="P10" s="85"/>
      <c r="Q10" s="86" t="s">
        <v>16</v>
      </c>
      <c r="R10" s="86"/>
      <c r="S10" s="92" t="s">
        <v>17</v>
      </c>
      <c r="T10" s="92"/>
      <c r="U10" s="93" t="s">
        <v>18</v>
      </c>
      <c r="V10" s="93"/>
      <c r="W10" s="94" t="s">
        <v>19</v>
      </c>
      <c r="X10" s="94"/>
      <c r="Z10" s="95" t="s">
        <v>20</v>
      </c>
      <c r="AA10" s="96"/>
      <c r="AB10" s="97" t="s">
        <v>21</v>
      </c>
      <c r="AC10" s="98"/>
    </row>
    <row r="11" spans="2:29" x14ac:dyDescent="0.3">
      <c r="B11" s="65" t="str">
        <f>D4</f>
        <v>천세원</v>
      </c>
      <c r="C11" s="4" t="s">
        <v>64</v>
      </c>
      <c r="D11" s="26">
        <v>3441004</v>
      </c>
      <c r="E11" s="4"/>
      <c r="F11" s="26"/>
      <c r="G11" s="4" t="s">
        <v>80</v>
      </c>
      <c r="H11" s="26">
        <v>0</v>
      </c>
      <c r="I11" s="4" t="s">
        <v>78</v>
      </c>
      <c r="J11" s="26">
        <v>8100000</v>
      </c>
      <c r="K11" s="4" t="s">
        <v>81</v>
      </c>
      <c r="L11" s="26">
        <v>80445</v>
      </c>
      <c r="M11" s="4"/>
      <c r="N11" s="26"/>
      <c r="O11" s="4" t="s">
        <v>88</v>
      </c>
      <c r="P11" s="26">
        <v>0</v>
      </c>
      <c r="Q11" s="4" t="s">
        <v>90</v>
      </c>
      <c r="R11" s="26">
        <v>38057601</v>
      </c>
      <c r="S11" s="4" t="s">
        <v>86</v>
      </c>
      <c r="T11" s="26">
        <v>2610835.6274000001</v>
      </c>
      <c r="U11" s="4"/>
      <c r="V11" s="26"/>
      <c r="W11" s="4" t="s">
        <v>100</v>
      </c>
      <c r="X11" s="29">
        <v>9280000</v>
      </c>
      <c r="Z11" s="4"/>
      <c r="AA11" s="26"/>
      <c r="AB11" s="4" t="s">
        <v>99</v>
      </c>
      <c r="AC11" s="26">
        <v>0</v>
      </c>
    </row>
    <row r="12" spans="2:29" x14ac:dyDescent="0.3">
      <c r="B12" s="66"/>
      <c r="C12" s="6" t="s">
        <v>65</v>
      </c>
      <c r="D12" s="26">
        <v>1</v>
      </c>
      <c r="E12" s="6"/>
      <c r="F12" s="26"/>
      <c r="G12" s="6"/>
      <c r="H12" s="26"/>
      <c r="I12" s="6" t="s">
        <v>79</v>
      </c>
      <c r="J12" s="26">
        <v>3200000</v>
      </c>
      <c r="K12" s="6" t="s">
        <v>82</v>
      </c>
      <c r="L12" s="26">
        <v>0</v>
      </c>
      <c r="M12" s="6"/>
      <c r="N12" s="26"/>
      <c r="O12" s="6" t="s">
        <v>89</v>
      </c>
      <c r="P12" s="26">
        <v>0</v>
      </c>
      <c r="Q12" s="6" t="s">
        <v>79</v>
      </c>
      <c r="R12" s="26">
        <v>3200000</v>
      </c>
      <c r="S12" s="6" t="s">
        <v>85</v>
      </c>
      <c r="T12" s="26">
        <v>1254000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66"/>
      <c r="C13" s="6" t="s">
        <v>66</v>
      </c>
      <c r="D13" s="26">
        <v>70</v>
      </c>
      <c r="E13" s="6"/>
      <c r="F13" s="26"/>
      <c r="G13" s="6"/>
      <c r="H13" s="26"/>
      <c r="I13" s="6"/>
      <c r="J13" s="26"/>
      <c r="K13" s="6" t="s">
        <v>83</v>
      </c>
      <c r="L13" s="26">
        <v>0</v>
      </c>
      <c r="M13" s="6"/>
      <c r="N13" s="26"/>
      <c r="O13" s="6"/>
      <c r="P13" s="26"/>
      <c r="Q13" s="6"/>
      <c r="R13" s="26"/>
      <c r="S13" s="6" t="s">
        <v>58</v>
      </c>
      <c r="T13" s="26">
        <v>0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66"/>
      <c r="C14" s="6" t="s">
        <v>67</v>
      </c>
      <c r="D14" s="26">
        <v>93</v>
      </c>
      <c r="E14" s="6"/>
      <c r="F14" s="26"/>
      <c r="G14" s="6"/>
      <c r="H14" s="26"/>
      <c r="I14" s="6"/>
      <c r="J14" s="26"/>
      <c r="K14" s="6" t="s">
        <v>84</v>
      </c>
      <c r="L14" s="26">
        <v>0</v>
      </c>
      <c r="M14" s="6"/>
      <c r="N14" s="26"/>
      <c r="O14" s="6"/>
      <c r="P14" s="26"/>
      <c r="Q14" s="6"/>
      <c r="R14" s="26"/>
      <c r="S14" s="6" t="s">
        <v>87</v>
      </c>
      <c r="T14" s="26">
        <v>326621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66"/>
      <c r="C15" s="6" t="s">
        <v>68</v>
      </c>
      <c r="D15" s="26">
        <v>15752135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61</v>
      </c>
      <c r="T15" s="26">
        <v>121523.6378</v>
      </c>
      <c r="U15" s="6"/>
      <c r="V15" s="26"/>
      <c r="W15" s="6"/>
      <c r="X15" s="30"/>
      <c r="Z15" s="6"/>
      <c r="AA15" s="26"/>
      <c r="AB15" s="6" t="s">
        <v>99</v>
      </c>
      <c r="AC15" s="26">
        <v>0</v>
      </c>
    </row>
    <row r="16" spans="2:29" x14ac:dyDescent="0.3">
      <c r="B16" s="66"/>
      <c r="C16" s="6" t="s">
        <v>68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61</v>
      </c>
      <c r="T16" s="26">
        <v>0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66"/>
      <c r="C17" s="6" t="s">
        <v>69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10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66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66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63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66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/>
      <c r="T20" s="26"/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66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66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66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66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66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66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66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66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66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66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66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66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66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66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66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66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66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67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68" t="str">
        <f>D6</f>
        <v>하유진</v>
      </c>
      <c r="C39" s="6" t="s">
        <v>64</v>
      </c>
      <c r="D39" s="28">
        <v>33429949</v>
      </c>
      <c r="E39" s="6"/>
      <c r="F39" s="28"/>
      <c r="G39" s="6" t="s">
        <v>80</v>
      </c>
      <c r="H39" s="28">
        <v>0</v>
      </c>
      <c r="I39" s="6" t="s">
        <v>91</v>
      </c>
      <c r="J39" s="28">
        <v>4000000</v>
      </c>
      <c r="K39" s="6" t="s">
        <v>93</v>
      </c>
      <c r="L39" s="28">
        <v>903213</v>
      </c>
      <c r="M39" s="6"/>
      <c r="N39" s="28"/>
      <c r="O39" s="6" t="s">
        <v>95</v>
      </c>
      <c r="P39" s="28">
        <v>0</v>
      </c>
      <c r="Q39" s="6" t="s">
        <v>167</v>
      </c>
      <c r="R39" s="28">
        <v>0</v>
      </c>
      <c r="S39" s="6" t="s">
        <v>39</v>
      </c>
      <c r="T39" s="28">
        <v>1787303.0252</v>
      </c>
      <c r="U39" s="6"/>
      <c r="V39" s="28"/>
      <c r="W39" s="6" t="s">
        <v>169</v>
      </c>
      <c r="X39" s="30">
        <v>7300000</v>
      </c>
    </row>
    <row r="40" spans="2:24" x14ac:dyDescent="0.3">
      <c r="B40" s="69"/>
      <c r="C40" s="6" t="s">
        <v>65</v>
      </c>
      <c r="D40" s="28">
        <v>1</v>
      </c>
      <c r="E40" s="6"/>
      <c r="F40" s="28"/>
      <c r="G40" s="6"/>
      <c r="H40" s="28"/>
      <c r="I40" s="6" t="s">
        <v>92</v>
      </c>
      <c r="J40" s="28">
        <v>30000000</v>
      </c>
      <c r="K40" s="6" t="s">
        <v>83</v>
      </c>
      <c r="L40" s="28">
        <v>0</v>
      </c>
      <c r="M40" s="6"/>
      <c r="N40" s="28"/>
      <c r="O40" s="6" t="s">
        <v>96</v>
      </c>
      <c r="P40" s="28">
        <v>0</v>
      </c>
      <c r="Q40" s="6"/>
      <c r="R40" s="28"/>
      <c r="S40" s="6" t="s">
        <v>40</v>
      </c>
      <c r="T40" s="28">
        <v>380000</v>
      </c>
      <c r="U40" s="6"/>
      <c r="V40" s="28"/>
      <c r="W40" s="6"/>
      <c r="X40" s="30"/>
    </row>
    <row r="41" spans="2:24" x14ac:dyDescent="0.3">
      <c r="B41" s="69"/>
      <c r="C41" s="6" t="s">
        <v>70</v>
      </c>
      <c r="D41" s="28">
        <v>41306396</v>
      </c>
      <c r="E41" s="6"/>
      <c r="F41" s="28"/>
      <c r="G41" s="6"/>
      <c r="H41" s="28"/>
      <c r="I41" s="6" t="s">
        <v>92</v>
      </c>
      <c r="J41" s="28">
        <v>45000000</v>
      </c>
      <c r="K41" s="6" t="s">
        <v>94</v>
      </c>
      <c r="L41" s="28">
        <v>0</v>
      </c>
      <c r="M41" s="6"/>
      <c r="N41" s="28"/>
      <c r="O41" s="6" t="s">
        <v>97</v>
      </c>
      <c r="P41" s="28">
        <v>0</v>
      </c>
      <c r="Q41" s="6"/>
      <c r="R41" s="28"/>
      <c r="S41" s="6" t="s">
        <v>168</v>
      </c>
      <c r="T41" s="28">
        <v>170630.46</v>
      </c>
      <c r="U41" s="6"/>
      <c r="V41" s="28"/>
      <c r="W41" s="6"/>
      <c r="X41" s="30"/>
    </row>
    <row r="42" spans="2:24" x14ac:dyDescent="0.3">
      <c r="B42" s="69"/>
      <c r="C42" s="6" t="s">
        <v>71</v>
      </c>
      <c r="D42" s="28">
        <v>0</v>
      </c>
      <c r="E42" s="6"/>
      <c r="F42" s="28"/>
      <c r="G42" s="6"/>
      <c r="H42" s="28"/>
      <c r="I42" s="6" t="s">
        <v>167</v>
      </c>
      <c r="J42" s="28">
        <v>0</v>
      </c>
      <c r="K42" s="6"/>
      <c r="L42" s="28"/>
      <c r="M42" s="6"/>
      <c r="N42" s="28"/>
      <c r="O42" s="6" t="s">
        <v>98</v>
      </c>
      <c r="P42" s="28">
        <v>0</v>
      </c>
      <c r="Q42" s="6"/>
      <c r="R42" s="28"/>
      <c r="S42" s="6" t="s">
        <v>41</v>
      </c>
      <c r="T42" s="28">
        <v>82894.319199999998</v>
      </c>
      <c r="U42" s="6"/>
      <c r="V42" s="28"/>
      <c r="W42" s="6"/>
      <c r="X42" s="30"/>
    </row>
    <row r="43" spans="2:24" x14ac:dyDescent="0.3">
      <c r="B43" s="69"/>
      <c r="C43" s="6" t="s">
        <v>72</v>
      </c>
      <c r="D43" s="28">
        <v>809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42</v>
      </c>
      <c r="T43" s="28">
        <v>36400</v>
      </c>
      <c r="U43" s="6"/>
      <c r="V43" s="28"/>
      <c r="W43" s="6"/>
      <c r="X43" s="30"/>
    </row>
    <row r="44" spans="2:24" x14ac:dyDescent="0.3">
      <c r="B44" s="69"/>
      <c r="C44" s="6" t="s">
        <v>73</v>
      </c>
      <c r="D44" s="28">
        <v>4252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43</v>
      </c>
      <c r="T44" s="28">
        <v>8970</v>
      </c>
      <c r="U44" s="6"/>
      <c r="V44" s="28"/>
      <c r="W44" s="6"/>
      <c r="X44" s="30"/>
    </row>
    <row r="45" spans="2:24" x14ac:dyDescent="0.3">
      <c r="B45" s="69"/>
      <c r="C45" s="6" t="s">
        <v>74</v>
      </c>
      <c r="D45" s="28">
        <v>121035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44</v>
      </c>
      <c r="T45" s="28">
        <v>644400</v>
      </c>
      <c r="U45" s="6"/>
      <c r="V45" s="28"/>
      <c r="W45" s="6"/>
      <c r="X45" s="30"/>
    </row>
    <row r="46" spans="2:24" x14ac:dyDescent="0.3">
      <c r="B46" s="69"/>
      <c r="C46" s="6" t="s">
        <v>75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45</v>
      </c>
      <c r="T46" s="28">
        <v>508000</v>
      </c>
      <c r="U46" s="6"/>
      <c r="V46" s="28"/>
      <c r="W46" s="6"/>
      <c r="X46" s="30"/>
    </row>
    <row r="47" spans="2:24" x14ac:dyDescent="0.3">
      <c r="B47" s="69"/>
      <c r="C47" s="6" t="s">
        <v>67</v>
      </c>
      <c r="D47" s="28">
        <v>3924310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46</v>
      </c>
      <c r="T47" s="28">
        <v>386400</v>
      </c>
      <c r="U47" s="6"/>
      <c r="V47" s="28"/>
      <c r="W47" s="6"/>
      <c r="X47" s="30"/>
    </row>
    <row r="48" spans="2:24" x14ac:dyDescent="0.3">
      <c r="B48" s="69"/>
      <c r="C48" s="6" t="s">
        <v>67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47</v>
      </c>
      <c r="T48" s="28">
        <v>283500</v>
      </c>
      <c r="U48" s="6"/>
      <c r="V48" s="28"/>
      <c r="W48" s="6"/>
      <c r="X48" s="30"/>
    </row>
    <row r="49" spans="2:24" x14ac:dyDescent="0.3">
      <c r="B49" s="69"/>
      <c r="C49" s="6" t="s">
        <v>68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48</v>
      </c>
      <c r="T49" s="28">
        <v>211500</v>
      </c>
      <c r="U49" s="6"/>
      <c r="V49" s="28"/>
      <c r="W49" s="6"/>
      <c r="X49" s="30"/>
    </row>
    <row r="50" spans="2:24" x14ac:dyDescent="0.3">
      <c r="B50" s="69"/>
      <c r="C50" s="6" t="s">
        <v>76</v>
      </c>
      <c r="D50" s="28">
        <v>19519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49</v>
      </c>
      <c r="T50" s="28">
        <v>145600</v>
      </c>
      <c r="U50" s="6"/>
      <c r="V50" s="28"/>
      <c r="W50" s="6"/>
      <c r="X50" s="30"/>
    </row>
    <row r="51" spans="2:24" x14ac:dyDescent="0.3">
      <c r="B51" s="69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50</v>
      </c>
      <c r="T51" s="28">
        <v>119750</v>
      </c>
      <c r="U51" s="6"/>
      <c r="V51" s="28"/>
      <c r="W51" s="6"/>
      <c r="X51" s="30"/>
    </row>
    <row r="52" spans="2:24" x14ac:dyDescent="0.3">
      <c r="B52" s="69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51</v>
      </c>
      <c r="T52" s="28">
        <v>72920</v>
      </c>
      <c r="U52" s="6"/>
      <c r="V52" s="28"/>
      <c r="W52" s="6"/>
      <c r="X52" s="30"/>
    </row>
    <row r="53" spans="2:24" x14ac:dyDescent="0.3">
      <c r="B53" s="69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52</v>
      </c>
      <c r="T53" s="28">
        <v>38860</v>
      </c>
      <c r="U53" s="6"/>
      <c r="V53" s="28"/>
      <c r="W53" s="6"/>
      <c r="X53" s="30"/>
    </row>
    <row r="54" spans="2:24" x14ac:dyDescent="0.3">
      <c r="B54" s="69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53</v>
      </c>
      <c r="T54" s="28">
        <v>6790</v>
      </c>
      <c r="U54" s="6"/>
      <c r="V54" s="28"/>
      <c r="W54" s="6"/>
      <c r="X54" s="30"/>
    </row>
    <row r="55" spans="2:24" x14ac:dyDescent="0.3">
      <c r="B55" s="69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54</v>
      </c>
      <c r="T55" s="28">
        <v>31000</v>
      </c>
      <c r="U55" s="6"/>
      <c r="V55" s="28"/>
      <c r="W55" s="6"/>
      <c r="X55" s="30"/>
    </row>
    <row r="56" spans="2:24" x14ac:dyDescent="0.3">
      <c r="B56" s="69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55</v>
      </c>
      <c r="T56" s="28">
        <v>19520</v>
      </c>
      <c r="U56" s="6"/>
      <c r="V56" s="28"/>
      <c r="W56" s="6"/>
      <c r="X56" s="30"/>
    </row>
    <row r="57" spans="2:24" x14ac:dyDescent="0.3">
      <c r="B57" s="69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56</v>
      </c>
      <c r="T57" s="28">
        <v>0</v>
      </c>
      <c r="U57" s="6"/>
      <c r="V57" s="28"/>
      <c r="W57" s="6"/>
      <c r="X57" s="30"/>
    </row>
    <row r="58" spans="2:24" x14ac:dyDescent="0.3">
      <c r="B58" s="69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57</v>
      </c>
      <c r="T58" s="28">
        <v>417376</v>
      </c>
      <c r="U58" s="6"/>
      <c r="V58" s="28"/>
      <c r="W58" s="6"/>
      <c r="X58" s="30"/>
    </row>
    <row r="59" spans="2:24" x14ac:dyDescent="0.3">
      <c r="B59" s="69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58</v>
      </c>
      <c r="T59" s="28">
        <v>225</v>
      </c>
      <c r="U59" s="6"/>
      <c r="V59" s="28"/>
      <c r="W59" s="6"/>
      <c r="X59" s="30"/>
    </row>
    <row r="60" spans="2:24" x14ac:dyDescent="0.3">
      <c r="B60" s="69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59</v>
      </c>
      <c r="T60" s="28">
        <v>377467</v>
      </c>
      <c r="U60" s="6"/>
      <c r="V60" s="28"/>
      <c r="W60" s="6"/>
      <c r="X60" s="30"/>
    </row>
    <row r="61" spans="2:24" x14ac:dyDescent="0.3">
      <c r="B61" s="69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60</v>
      </c>
      <c r="T61" s="28">
        <v>0</v>
      </c>
      <c r="U61" s="6"/>
      <c r="V61" s="28"/>
      <c r="W61" s="6"/>
      <c r="X61" s="30"/>
    </row>
    <row r="62" spans="2:24" x14ac:dyDescent="0.3">
      <c r="B62" s="69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61</v>
      </c>
      <c r="T62" s="28">
        <v>0</v>
      </c>
      <c r="U62" s="6"/>
      <c r="V62" s="28"/>
      <c r="W62" s="6"/>
      <c r="X62" s="30"/>
    </row>
    <row r="63" spans="2:24" x14ac:dyDescent="0.3">
      <c r="B63" s="69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61</v>
      </c>
      <c r="T63" s="28">
        <v>157539.022</v>
      </c>
      <c r="U63" s="6"/>
      <c r="V63" s="28"/>
      <c r="W63" s="6"/>
      <c r="X63" s="30"/>
    </row>
    <row r="64" spans="2:24" x14ac:dyDescent="0.3">
      <c r="B64" s="69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62</v>
      </c>
      <c r="T64" s="28">
        <v>40</v>
      </c>
      <c r="U64" s="6"/>
      <c r="V64" s="28"/>
      <c r="W64" s="6"/>
      <c r="X64" s="30"/>
    </row>
    <row r="65" spans="2:24" x14ac:dyDescent="0.3">
      <c r="B65" s="69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63</v>
      </c>
      <c r="T65" s="28">
        <v>0</v>
      </c>
      <c r="U65" s="6"/>
      <c r="V65" s="28"/>
      <c r="W65" s="6"/>
      <c r="X65" s="30"/>
    </row>
    <row r="66" spans="2:24" x14ac:dyDescent="0.3">
      <c r="B66" s="70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77</v>
      </c>
      <c r="D67" s="18">
        <f>SUM(D11:D66)</f>
        <v>98000648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90300000</v>
      </c>
      <c r="K67" s="7" t="s">
        <v>22</v>
      </c>
      <c r="L67" s="18">
        <f>SUM(L11:L66)</f>
        <v>983658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41257601</v>
      </c>
      <c r="S67" s="7" t="s">
        <v>22</v>
      </c>
      <c r="T67" s="18">
        <f>SUM(T11:T66)</f>
        <v>10200075.091600001</v>
      </c>
      <c r="U67" s="7" t="s">
        <v>22</v>
      </c>
      <c r="V67" s="18">
        <f>SUM(V11:V66)</f>
        <v>0</v>
      </c>
      <c r="W67" s="7" t="s">
        <v>22</v>
      </c>
      <c r="X67" s="19">
        <f>SUM(X11:X66)</f>
        <v>16580000</v>
      </c>
    </row>
    <row r="68" spans="2:24" x14ac:dyDescent="0.3">
      <c r="B68" s="15"/>
      <c r="C68" s="7" t="s">
        <v>24</v>
      </c>
      <c r="D68" s="57">
        <f>SUM(D67,F67,H67,J67,L67,N67,P67,R67)</f>
        <v>230541907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9"/>
      <c r="S68" s="7" t="s">
        <v>24</v>
      </c>
      <c r="T68" s="57">
        <f>SUM(T67,V67,X67)</f>
        <v>26780075.091600001</v>
      </c>
      <c r="U68" s="58"/>
      <c r="V68" s="58"/>
      <c r="W68" s="58"/>
      <c r="X68" s="59"/>
    </row>
    <row r="69" spans="2:24" ht="17.25" thickBot="1" x14ac:dyDescent="0.35">
      <c r="B69" s="16"/>
      <c r="C69" s="12" t="s">
        <v>23</v>
      </c>
      <c r="D69" s="60">
        <f>SUM(D68,T68)</f>
        <v>257321982.0916</v>
      </c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2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69:X69"/>
    <mergeCell ref="B9:B10"/>
    <mergeCell ref="B11:B38"/>
    <mergeCell ref="B39:B66"/>
    <mergeCell ref="S9:X9"/>
    <mergeCell ref="K4:P4"/>
    <mergeCell ref="K6:P6"/>
    <mergeCell ref="H4:I4"/>
    <mergeCell ref="D68:R68"/>
    <mergeCell ref="T68:X68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topLeftCell="A49" zoomScaleNormal="100" workbookViewId="0">
      <selection activeCell="L89" sqref="L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21" t="s">
        <v>25</v>
      </c>
      <c r="C2" s="121"/>
      <c r="D2" s="129"/>
      <c r="G2" s="128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10">
        <v>10000000</v>
      </c>
      <c r="D4" s="110"/>
      <c r="G4" s="115" t="str">
        <f>설정!D4</f>
        <v>천세원</v>
      </c>
      <c r="H4" s="116"/>
      <c r="I4" s="116"/>
      <c r="J4" s="116"/>
      <c r="K4" s="116"/>
      <c r="L4" s="116"/>
      <c r="M4" s="116"/>
      <c r="N4" s="116"/>
      <c r="O4" s="11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-2480980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12480980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-0.24809800000000001</v>
      </c>
      <c r="D7" s="111"/>
      <c r="G7" s="6" t="s">
        <v>112</v>
      </c>
      <c r="H7" s="39" t="s">
        <v>253</v>
      </c>
      <c r="I7" s="28">
        <v>13300</v>
      </c>
      <c r="J7" s="6" t="s">
        <v>115</v>
      </c>
      <c r="K7" s="39" t="s">
        <v>132</v>
      </c>
      <c r="L7" s="28">
        <v>-499000</v>
      </c>
      <c r="M7" s="6" t="s">
        <v>175</v>
      </c>
      <c r="N7" s="39" t="s">
        <v>235</v>
      </c>
      <c r="O7" s="40">
        <v>100000</v>
      </c>
      <c r="P7" s="5"/>
      <c r="Q7" s="6" t="s">
        <v>112</v>
      </c>
      <c r="R7" s="39" t="s">
        <v>113</v>
      </c>
      <c r="S7" s="28">
        <v>0</v>
      </c>
      <c r="T7" s="6" t="s">
        <v>144</v>
      </c>
      <c r="U7" s="39" t="s">
        <v>263</v>
      </c>
      <c r="V7" s="28">
        <v>-997837</v>
      </c>
      <c r="W7" s="6" t="s">
        <v>114</v>
      </c>
      <c r="X7" s="39" t="s">
        <v>316</v>
      </c>
      <c r="Y7" s="40">
        <v>499000</v>
      </c>
    </row>
    <row r="8" spans="2:25" x14ac:dyDescent="0.3">
      <c r="G8" s="6" t="s">
        <v>188</v>
      </c>
      <c r="H8" s="39" t="s">
        <v>229</v>
      </c>
      <c r="I8" s="28">
        <v>5002238</v>
      </c>
      <c r="J8" s="6" t="s">
        <v>118</v>
      </c>
      <c r="K8" s="39" t="s">
        <v>224</v>
      </c>
      <c r="L8" s="28">
        <v>-45490</v>
      </c>
      <c r="M8" s="6" t="s">
        <v>175</v>
      </c>
      <c r="N8" s="39" t="s">
        <v>236</v>
      </c>
      <c r="O8" s="26">
        <v>-100000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282</v>
      </c>
      <c r="V8" s="28">
        <v>-58670</v>
      </c>
      <c r="W8" s="6" t="s">
        <v>144</v>
      </c>
      <c r="X8" s="39" t="s">
        <v>224</v>
      </c>
      <c r="Y8" s="26">
        <v>-24100</v>
      </c>
    </row>
    <row r="9" spans="2:25" x14ac:dyDescent="0.3">
      <c r="G9" s="6" t="s">
        <v>112</v>
      </c>
      <c r="H9" s="39" t="s">
        <v>237</v>
      </c>
      <c r="I9" s="28">
        <v>0</v>
      </c>
      <c r="J9" s="6" t="s">
        <v>120</v>
      </c>
      <c r="K9" s="39" t="s">
        <v>121</v>
      </c>
      <c r="L9" s="28">
        <v>-18900</v>
      </c>
      <c r="M9" s="6" t="s">
        <v>127</v>
      </c>
      <c r="N9" s="39" t="s">
        <v>131</v>
      </c>
      <c r="O9" s="26">
        <v>-100000</v>
      </c>
      <c r="P9" s="5"/>
      <c r="Q9" s="6" t="s">
        <v>188</v>
      </c>
      <c r="R9" s="39" t="s">
        <v>229</v>
      </c>
      <c r="S9" s="28">
        <v>4215771</v>
      </c>
      <c r="T9" s="6" t="s">
        <v>125</v>
      </c>
      <c r="U9" s="39" t="s">
        <v>318</v>
      </c>
      <c r="V9" s="28">
        <v>-26300</v>
      </c>
      <c r="W9" s="6" t="s">
        <v>144</v>
      </c>
      <c r="X9" s="39" t="s">
        <v>317</v>
      </c>
      <c r="Y9" s="26">
        <v>-300000</v>
      </c>
    </row>
    <row r="10" spans="2:25" x14ac:dyDescent="0.3">
      <c r="G10" s="6"/>
      <c r="H10" s="39"/>
      <c r="I10" s="28"/>
      <c r="J10" s="6" t="s">
        <v>125</v>
      </c>
      <c r="K10" s="39" t="s">
        <v>295</v>
      </c>
      <c r="L10" s="28">
        <v>-9800</v>
      </c>
      <c r="M10" s="6" t="s">
        <v>175</v>
      </c>
      <c r="N10" s="39" t="s">
        <v>235</v>
      </c>
      <c r="O10" s="26">
        <v>20000</v>
      </c>
      <c r="P10" s="5"/>
      <c r="Q10" s="6" t="s">
        <v>112</v>
      </c>
      <c r="R10" s="39" t="s">
        <v>287</v>
      </c>
      <c r="S10" s="28">
        <v>0</v>
      </c>
      <c r="T10" s="6" t="s">
        <v>138</v>
      </c>
      <c r="U10" s="39" t="s">
        <v>139</v>
      </c>
      <c r="V10" s="28">
        <v>-25900</v>
      </c>
      <c r="W10" s="6" t="s">
        <v>127</v>
      </c>
      <c r="X10" s="39" t="s">
        <v>235</v>
      </c>
      <c r="Y10" s="26">
        <v>100000</v>
      </c>
    </row>
    <row r="11" spans="2:25" x14ac:dyDescent="0.3">
      <c r="G11" s="6"/>
      <c r="H11" s="39"/>
      <c r="I11" s="28"/>
      <c r="J11" s="6" t="s">
        <v>129</v>
      </c>
      <c r="K11" s="39" t="s">
        <v>221</v>
      </c>
      <c r="L11" s="28">
        <v>13300</v>
      </c>
      <c r="M11" s="6" t="s">
        <v>175</v>
      </c>
      <c r="N11" s="39" t="s">
        <v>236</v>
      </c>
      <c r="O11" s="26">
        <v>-20000</v>
      </c>
      <c r="P11" s="5"/>
      <c r="Q11" s="6" t="s">
        <v>112</v>
      </c>
      <c r="R11" s="39" t="s">
        <v>237</v>
      </c>
      <c r="S11" s="28">
        <v>0</v>
      </c>
      <c r="T11" s="6" t="s">
        <v>144</v>
      </c>
      <c r="U11" s="39" t="s">
        <v>319</v>
      </c>
      <c r="V11" s="28">
        <v>-65590</v>
      </c>
      <c r="W11" s="6" t="s">
        <v>127</v>
      </c>
      <c r="X11" s="39" t="s">
        <v>235</v>
      </c>
      <c r="Y11" s="26">
        <v>13900</v>
      </c>
    </row>
    <row r="12" spans="2:25" x14ac:dyDescent="0.3">
      <c r="G12" s="6"/>
      <c r="H12" s="39"/>
      <c r="I12" s="28"/>
      <c r="J12" s="6" t="s">
        <v>116</v>
      </c>
      <c r="K12" s="39" t="s">
        <v>296</v>
      </c>
      <c r="L12" s="28">
        <v>-2500</v>
      </c>
      <c r="M12" s="6" t="s">
        <v>127</v>
      </c>
      <c r="N12" s="39" t="s">
        <v>131</v>
      </c>
      <c r="O12" s="26">
        <v>-13900</v>
      </c>
      <c r="P12" s="5"/>
      <c r="Q12" s="6"/>
      <c r="R12" s="39"/>
      <c r="S12" s="28"/>
      <c r="T12" s="6" t="s">
        <v>137</v>
      </c>
      <c r="U12" s="39" t="s">
        <v>263</v>
      </c>
      <c r="V12" s="28">
        <v>-18900</v>
      </c>
      <c r="W12" s="6" t="s">
        <v>127</v>
      </c>
      <c r="X12" s="39" t="s">
        <v>131</v>
      </c>
      <c r="Y12" s="26">
        <v>-16000</v>
      </c>
    </row>
    <row r="13" spans="2:25" x14ac:dyDescent="0.3">
      <c r="G13" s="44"/>
      <c r="H13" s="39"/>
      <c r="I13" s="28"/>
      <c r="J13" s="6" t="s">
        <v>129</v>
      </c>
      <c r="K13" s="39" t="s">
        <v>250</v>
      </c>
      <c r="L13" s="28">
        <v>13300</v>
      </c>
      <c r="M13" s="6" t="s">
        <v>175</v>
      </c>
      <c r="N13" s="39" t="s">
        <v>235</v>
      </c>
      <c r="O13" s="26">
        <v>10000</v>
      </c>
      <c r="P13" s="5"/>
      <c r="Q13" s="6"/>
      <c r="R13" s="39"/>
      <c r="S13" s="28"/>
      <c r="T13" s="6" t="s">
        <v>125</v>
      </c>
      <c r="U13" s="39" t="s">
        <v>140</v>
      </c>
      <c r="V13" s="28">
        <v>-2500</v>
      </c>
      <c r="W13" s="6" t="s">
        <v>127</v>
      </c>
      <c r="X13" s="39" t="s">
        <v>320</v>
      </c>
      <c r="Y13" s="26">
        <v>3600</v>
      </c>
    </row>
    <row r="14" spans="2:25" x14ac:dyDescent="0.3">
      <c r="G14" s="6"/>
      <c r="H14" s="39"/>
      <c r="I14" s="28"/>
      <c r="J14" s="6" t="s">
        <v>119</v>
      </c>
      <c r="K14" s="39" t="s">
        <v>297</v>
      </c>
      <c r="L14" s="28">
        <v>-30000</v>
      </c>
      <c r="M14" s="6" t="s">
        <v>175</v>
      </c>
      <c r="N14" s="39" t="s">
        <v>236</v>
      </c>
      <c r="O14" s="26">
        <v>-10000</v>
      </c>
      <c r="P14" s="5"/>
      <c r="Q14" s="6"/>
      <c r="R14" s="39"/>
      <c r="S14" s="28"/>
      <c r="T14" s="6" t="s">
        <v>125</v>
      </c>
      <c r="U14" s="39" t="s">
        <v>123</v>
      </c>
      <c r="V14" s="28">
        <v>-990</v>
      </c>
      <c r="W14" s="6" t="s">
        <v>127</v>
      </c>
      <c r="X14" s="39" t="s">
        <v>181</v>
      </c>
      <c r="Y14" s="26">
        <v>-200000</v>
      </c>
    </row>
    <row r="15" spans="2:25" x14ac:dyDescent="0.3">
      <c r="G15" s="6"/>
      <c r="H15" s="39"/>
      <c r="I15" s="28"/>
      <c r="J15" s="6" t="s">
        <v>125</v>
      </c>
      <c r="K15" s="39" t="s">
        <v>227</v>
      </c>
      <c r="L15" s="28">
        <v>-1300</v>
      </c>
      <c r="M15" s="6" t="s">
        <v>127</v>
      </c>
      <c r="N15" s="39" t="s">
        <v>131</v>
      </c>
      <c r="O15" s="26">
        <v>-16000</v>
      </c>
      <c r="P15" s="5"/>
      <c r="Q15" s="6"/>
      <c r="R15" s="39"/>
      <c r="S15" s="28"/>
      <c r="T15" s="6" t="s">
        <v>117</v>
      </c>
      <c r="U15" s="39" t="s">
        <v>321</v>
      </c>
      <c r="V15" s="28">
        <v>1168</v>
      </c>
      <c r="W15" s="6" t="s">
        <v>127</v>
      </c>
      <c r="X15" s="39" t="s">
        <v>131</v>
      </c>
      <c r="Y15" s="26">
        <v>-76000</v>
      </c>
    </row>
    <row r="16" spans="2:25" x14ac:dyDescent="0.3">
      <c r="G16" s="6"/>
      <c r="H16" s="39"/>
      <c r="I16" s="28"/>
      <c r="J16" s="6" t="s">
        <v>116</v>
      </c>
      <c r="K16" s="39" t="s">
        <v>124</v>
      </c>
      <c r="L16" s="28">
        <v>-160000</v>
      </c>
      <c r="M16" s="6" t="s">
        <v>127</v>
      </c>
      <c r="N16" s="39" t="s">
        <v>181</v>
      </c>
      <c r="O16" s="26">
        <v>-200000</v>
      </c>
      <c r="P16" s="5"/>
      <c r="Q16" s="6"/>
      <c r="R16" s="39"/>
      <c r="S16" s="28"/>
      <c r="T16" s="6" t="s">
        <v>118</v>
      </c>
      <c r="U16" s="39" t="s">
        <v>284</v>
      </c>
      <c r="V16" s="28">
        <v>-231420</v>
      </c>
      <c r="W16" s="6" t="s">
        <v>114</v>
      </c>
      <c r="X16" s="39" t="s">
        <v>286</v>
      </c>
      <c r="Y16" s="26">
        <v>1</v>
      </c>
    </row>
    <row r="17" spans="2:25" x14ac:dyDescent="0.3">
      <c r="G17" s="6"/>
      <c r="H17" s="39"/>
      <c r="I17" s="28"/>
      <c r="J17" s="6" t="s">
        <v>116</v>
      </c>
      <c r="K17" s="39" t="s">
        <v>298</v>
      </c>
      <c r="L17" s="28">
        <v>-57030</v>
      </c>
      <c r="M17" s="6" t="s">
        <v>133</v>
      </c>
      <c r="N17" s="39" t="s">
        <v>245</v>
      </c>
      <c r="O17" s="26">
        <v>-11950</v>
      </c>
      <c r="P17" s="5"/>
      <c r="Q17" s="6"/>
      <c r="R17" s="39"/>
      <c r="S17" s="28"/>
      <c r="T17" s="6" t="s">
        <v>125</v>
      </c>
      <c r="U17" s="39" t="s">
        <v>140</v>
      </c>
      <c r="V17" s="28">
        <v>-1200</v>
      </c>
      <c r="W17" s="6" t="s">
        <v>127</v>
      </c>
      <c r="X17" s="39" t="s">
        <v>131</v>
      </c>
      <c r="Y17" s="26">
        <v>-30000</v>
      </c>
    </row>
    <row r="18" spans="2:25" x14ac:dyDescent="0.3">
      <c r="G18" s="6"/>
      <c r="H18" s="39"/>
      <c r="I18" s="28"/>
      <c r="J18" s="6" t="s">
        <v>115</v>
      </c>
      <c r="K18" s="39" t="s">
        <v>246</v>
      </c>
      <c r="L18" s="28">
        <v>-36120</v>
      </c>
      <c r="M18" s="6" t="s">
        <v>127</v>
      </c>
      <c r="N18" s="39" t="s">
        <v>299</v>
      </c>
      <c r="O18" s="26">
        <v>76000</v>
      </c>
      <c r="P18" s="5"/>
      <c r="Q18" s="6"/>
      <c r="R18" s="39"/>
      <c r="S18" s="28"/>
      <c r="T18" s="6" t="s">
        <v>129</v>
      </c>
      <c r="U18" s="39" t="s">
        <v>322</v>
      </c>
      <c r="V18" s="28">
        <v>-4500</v>
      </c>
      <c r="W18" s="6" t="s">
        <v>145</v>
      </c>
      <c r="X18" s="39" t="s">
        <v>325</v>
      </c>
      <c r="Y18" s="26">
        <v>24000</v>
      </c>
    </row>
    <row r="19" spans="2:25" x14ac:dyDescent="0.3">
      <c r="G19" s="6"/>
      <c r="H19" s="39"/>
      <c r="I19" s="28"/>
      <c r="J19" s="6" t="s">
        <v>115</v>
      </c>
      <c r="K19" s="39" t="s">
        <v>303</v>
      </c>
      <c r="L19" s="28">
        <v>-30000</v>
      </c>
      <c r="M19" s="6" t="s">
        <v>175</v>
      </c>
      <c r="N19" s="39" t="s">
        <v>300</v>
      </c>
      <c r="O19" s="26">
        <v>-3060000</v>
      </c>
      <c r="P19" s="5"/>
      <c r="Q19" s="6"/>
      <c r="R19" s="39"/>
      <c r="S19" s="28"/>
      <c r="T19" s="6" t="s">
        <v>129</v>
      </c>
      <c r="U19" s="39" t="s">
        <v>322</v>
      </c>
      <c r="V19" s="28">
        <v>-4200</v>
      </c>
      <c r="W19" s="6" t="s">
        <v>133</v>
      </c>
      <c r="X19" s="39" t="s">
        <v>326</v>
      </c>
      <c r="Y19" s="26">
        <v>-4147433</v>
      </c>
    </row>
    <row r="20" spans="2:25" x14ac:dyDescent="0.3">
      <c r="G20" s="6"/>
      <c r="H20" s="39"/>
      <c r="I20" s="28"/>
      <c r="J20" s="6" t="s">
        <v>120</v>
      </c>
      <c r="K20" s="39" t="s">
        <v>121</v>
      </c>
      <c r="L20" s="28">
        <v>-27800</v>
      </c>
      <c r="M20" s="6" t="s">
        <v>175</v>
      </c>
      <c r="N20" s="39" t="s">
        <v>183</v>
      </c>
      <c r="O20" s="26">
        <v>-500000</v>
      </c>
      <c r="P20" s="5"/>
      <c r="Q20" s="6"/>
      <c r="R20" s="39"/>
      <c r="S20" s="28"/>
      <c r="T20" s="6" t="s">
        <v>144</v>
      </c>
      <c r="U20" s="39" t="s">
        <v>264</v>
      </c>
      <c r="V20" s="28">
        <v>-16730</v>
      </c>
      <c r="W20" s="6" t="s">
        <v>127</v>
      </c>
      <c r="X20" s="39" t="s">
        <v>273</v>
      </c>
      <c r="Y20" s="26">
        <v>-200000</v>
      </c>
    </row>
    <row r="21" spans="2:25" x14ac:dyDescent="0.3">
      <c r="G21" s="6"/>
      <c r="H21" s="39"/>
      <c r="I21" s="28"/>
      <c r="J21" s="6" t="s">
        <v>134</v>
      </c>
      <c r="K21" s="39" t="s">
        <v>304</v>
      </c>
      <c r="L21" s="28">
        <v>-18000</v>
      </c>
      <c r="M21" s="6" t="s">
        <v>175</v>
      </c>
      <c r="N21" s="39" t="s">
        <v>200</v>
      </c>
      <c r="O21" s="26">
        <v>100000</v>
      </c>
      <c r="P21" s="5"/>
      <c r="Q21" s="6"/>
      <c r="R21" s="39"/>
      <c r="S21" s="28"/>
      <c r="T21" s="6" t="s">
        <v>116</v>
      </c>
      <c r="U21" s="39" t="s">
        <v>323</v>
      </c>
      <c r="V21" s="28">
        <v>-7000</v>
      </c>
      <c r="W21" s="6" t="s">
        <v>127</v>
      </c>
      <c r="X21" s="39" t="s">
        <v>274</v>
      </c>
      <c r="Y21" s="26">
        <v>-200000</v>
      </c>
    </row>
    <row r="22" spans="2:25" x14ac:dyDescent="0.3">
      <c r="G22" s="6"/>
      <c r="H22" s="39"/>
      <c r="I22" s="28"/>
      <c r="J22" s="6" t="s">
        <v>120</v>
      </c>
      <c r="K22" s="39" t="s">
        <v>305</v>
      </c>
      <c r="L22" s="28">
        <v>-13900</v>
      </c>
      <c r="M22" s="6" t="s">
        <v>175</v>
      </c>
      <c r="N22" s="39" t="s">
        <v>301</v>
      </c>
      <c r="O22" s="26">
        <v>-100000</v>
      </c>
      <c r="P22" s="5"/>
      <c r="Q22" s="6"/>
      <c r="R22" s="39"/>
      <c r="S22" s="28"/>
      <c r="T22" s="6" t="s">
        <v>125</v>
      </c>
      <c r="U22" s="39" t="s">
        <v>324</v>
      </c>
      <c r="V22" s="28">
        <v>-38000</v>
      </c>
      <c r="W22" s="6" t="s">
        <v>127</v>
      </c>
      <c r="X22" s="39" t="s">
        <v>261</v>
      </c>
      <c r="Y22" s="26">
        <v>40000</v>
      </c>
    </row>
    <row r="23" spans="2:25" x14ac:dyDescent="0.3">
      <c r="G23" s="6"/>
      <c r="H23" s="39"/>
      <c r="I23" s="28"/>
      <c r="J23" s="6" t="s">
        <v>120</v>
      </c>
      <c r="K23" s="39" t="s">
        <v>121</v>
      </c>
      <c r="L23" s="28">
        <v>-24900</v>
      </c>
      <c r="M23" s="6" t="s">
        <v>114</v>
      </c>
      <c r="N23" s="39" t="s">
        <v>302</v>
      </c>
      <c r="O23" s="26">
        <v>6126480</v>
      </c>
      <c r="P23" s="5"/>
      <c r="Q23" s="6"/>
      <c r="R23" s="39"/>
      <c r="S23" s="28"/>
      <c r="T23" s="6" t="s">
        <v>117</v>
      </c>
      <c r="U23" s="39" t="s">
        <v>321</v>
      </c>
      <c r="V23" s="28">
        <v>782</v>
      </c>
      <c r="W23" s="6" t="s">
        <v>127</v>
      </c>
      <c r="X23" s="39" t="s">
        <v>327</v>
      </c>
      <c r="Y23" s="26">
        <v>40000</v>
      </c>
    </row>
    <row r="24" spans="2:25" x14ac:dyDescent="0.3">
      <c r="G24" s="6"/>
      <c r="H24" s="39"/>
      <c r="I24" s="28"/>
      <c r="J24" s="6" t="s">
        <v>122</v>
      </c>
      <c r="K24" s="39" t="s">
        <v>191</v>
      </c>
      <c r="L24" s="28">
        <v>-54090</v>
      </c>
      <c r="M24" s="6" t="s">
        <v>175</v>
      </c>
      <c r="N24" s="39" t="s">
        <v>306</v>
      </c>
      <c r="O24" s="26">
        <v>-30000</v>
      </c>
      <c r="P24" s="5"/>
      <c r="Q24" s="6"/>
      <c r="R24" s="39"/>
      <c r="S24" s="28"/>
      <c r="T24" s="6" t="s">
        <v>144</v>
      </c>
      <c r="U24" s="39" t="s">
        <v>260</v>
      </c>
      <c r="V24" s="28">
        <v>-23680</v>
      </c>
      <c r="W24" s="6" t="s">
        <v>127</v>
      </c>
      <c r="X24" s="39" t="s">
        <v>131</v>
      </c>
      <c r="Y24" s="26">
        <v>-13900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120</v>
      </c>
      <c r="K25" s="39" t="s">
        <v>121</v>
      </c>
      <c r="L25" s="28">
        <v>-20040</v>
      </c>
      <c r="M25" s="6" t="s">
        <v>175</v>
      </c>
      <c r="N25" s="39" t="s">
        <v>307</v>
      </c>
      <c r="O25" s="26">
        <v>-30000</v>
      </c>
      <c r="P25" s="5"/>
      <c r="Q25" s="6"/>
      <c r="R25" s="39"/>
      <c r="S25" s="28"/>
      <c r="T25" s="6" t="s">
        <v>119</v>
      </c>
      <c r="U25" s="39" t="s">
        <v>328</v>
      </c>
      <c r="V25" s="28">
        <v>-1500</v>
      </c>
      <c r="W25" s="6"/>
      <c r="X25" s="39"/>
      <c r="Y25" s="26"/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118</v>
      </c>
      <c r="K26" s="39">
        <v>8035150125519</v>
      </c>
      <c r="L26" s="28">
        <v>-6000000</v>
      </c>
      <c r="M26" s="6" t="s">
        <v>175</v>
      </c>
      <c r="N26" s="39" t="s">
        <v>135</v>
      </c>
      <c r="O26" s="26">
        <v>6000000</v>
      </c>
      <c r="P26" s="5"/>
      <c r="Q26" s="6"/>
      <c r="R26" s="39"/>
      <c r="S26" s="28"/>
      <c r="T26" s="6" t="s">
        <v>118</v>
      </c>
      <c r="U26" s="39" t="s">
        <v>313</v>
      </c>
      <c r="V26" s="28">
        <v>-214500</v>
      </c>
      <c r="W26" s="6"/>
      <c r="X26" s="39"/>
      <c r="Y26" s="26"/>
    </row>
    <row r="27" spans="2:25" x14ac:dyDescent="0.3">
      <c r="B27" s="48" t="s">
        <v>115</v>
      </c>
      <c r="C27" s="131">
        <f>-(SUMIF($J$7:$J$88,B27,$L$7:$L$88)+SUMIF($T$7:$T$88,B27,$V$7:$V$88))</f>
        <v>565120</v>
      </c>
      <c r="D27" s="99"/>
      <c r="E27" s="100"/>
      <c r="G27" s="6"/>
      <c r="H27" s="39"/>
      <c r="I27" s="28"/>
      <c r="J27" s="6" t="s">
        <v>129</v>
      </c>
      <c r="K27" s="39" t="s">
        <v>221</v>
      </c>
      <c r="L27" s="28">
        <v>-13900</v>
      </c>
      <c r="M27" s="6" t="s">
        <v>175</v>
      </c>
      <c r="N27" s="39" t="s">
        <v>308</v>
      </c>
      <c r="O27" s="26">
        <v>-6000000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31">
        <f>-(SUMIF($J$7:$J$88,B28,$L$7:$L$88)+SUMIF($T$7:$T$88,B28,$V$7:$V$88))</f>
        <v>540230</v>
      </c>
      <c r="D28" s="99"/>
      <c r="E28" s="100"/>
      <c r="G28" s="6"/>
      <c r="H28" s="39"/>
      <c r="I28" s="28"/>
      <c r="J28" s="6" t="s">
        <v>116</v>
      </c>
      <c r="K28" s="39" t="s">
        <v>310</v>
      </c>
      <c r="L28" s="28">
        <v>-300000</v>
      </c>
      <c r="M28" s="6" t="s">
        <v>175</v>
      </c>
      <c r="N28" s="39" t="s">
        <v>309</v>
      </c>
      <c r="O28" s="26">
        <v>-30000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31">
        <f>-(SUMIF($J$7:$J$88,B29,$L$7:$L$88)+SUMIF($T$7:$T$88,B29,$V$7:$V$88))</f>
        <v>105540</v>
      </c>
      <c r="D29" s="99"/>
      <c r="E29" s="100"/>
      <c r="G29" s="6"/>
      <c r="H29" s="39"/>
      <c r="I29" s="28"/>
      <c r="J29" s="6" t="s">
        <v>129</v>
      </c>
      <c r="K29" s="39" t="s">
        <v>221</v>
      </c>
      <c r="L29" s="28">
        <v>-13900</v>
      </c>
      <c r="M29" s="6" t="s">
        <v>175</v>
      </c>
      <c r="N29" s="39" t="s">
        <v>252</v>
      </c>
      <c r="O29" s="26">
        <v>-100000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31">
        <f>-(SUMIF($J$7:$J$88,B30,$L$7:$L$88)+SUMIF($T$7:$T$88,B30,$V$7:$V$88))</f>
        <v>6557920</v>
      </c>
      <c r="D30" s="99"/>
      <c r="E30" s="100"/>
      <c r="G30" s="6"/>
      <c r="H30" s="39"/>
      <c r="I30" s="28"/>
      <c r="J30" s="6" t="s">
        <v>116</v>
      </c>
      <c r="K30" s="39" t="s">
        <v>190</v>
      </c>
      <c r="L30" s="28">
        <v>-9900</v>
      </c>
      <c r="M30" s="6" t="s">
        <v>175</v>
      </c>
      <c r="N30" s="39" t="s">
        <v>311</v>
      </c>
      <c r="O30" s="26">
        <v>-30000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31">
        <f>-(SUMIF($J$7:$J$88,B31,$L$7:$L$88)+SUMIF($T$7:$T$88,B31,$V$7:$V$88))</f>
        <v>59390</v>
      </c>
      <c r="D31" s="99"/>
      <c r="E31" s="100"/>
      <c r="G31" s="6"/>
      <c r="H31" s="39"/>
      <c r="I31" s="28"/>
      <c r="J31" s="6" t="s">
        <v>122</v>
      </c>
      <c r="K31" s="39" t="s">
        <v>312</v>
      </c>
      <c r="L31" s="28">
        <v>-5300</v>
      </c>
      <c r="M31" s="6" t="s">
        <v>175</v>
      </c>
      <c r="N31" s="39" t="s">
        <v>314</v>
      </c>
      <c r="O31" s="26">
        <v>-30000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31">
        <f>-(SUMIF($J$7:$J$88,B32,$L$7:$L$88)+SUMIF($T$7:$T$88,B32,$V$7:$V$88))</f>
        <v>31500</v>
      </c>
      <c r="D32" s="99"/>
      <c r="E32" s="100"/>
      <c r="G32" s="6"/>
      <c r="H32" s="39"/>
      <c r="I32" s="28"/>
      <c r="J32" s="6" t="s">
        <v>117</v>
      </c>
      <c r="K32" s="39" t="s">
        <v>256</v>
      </c>
      <c r="L32" s="28">
        <v>-87740</v>
      </c>
      <c r="M32" s="6" t="s">
        <v>127</v>
      </c>
      <c r="N32" s="39" t="s">
        <v>131</v>
      </c>
      <c r="O32" s="26">
        <v>-13900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31">
        <f>-(SUMIF($J$7:$J$88,B33,$L$7:$L$88)+SUMIF($T$7:$T$88,B33,$V$7:$V$88))</f>
        <v>9900</v>
      </c>
      <c r="D33" s="99"/>
      <c r="E33" s="100"/>
      <c r="G33" s="6"/>
      <c r="H33" s="39"/>
      <c r="I33" s="28"/>
      <c r="J33" s="6" t="s">
        <v>118</v>
      </c>
      <c r="K33" s="39" t="s">
        <v>313</v>
      </c>
      <c r="L33" s="28">
        <v>-66510</v>
      </c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31">
        <f>-(SUMIF($J$7:$J$88,B34,$L$7:$L$88)+SUMIF($T$7:$T$88,B34,$V$7:$V$88))</f>
        <v>81390</v>
      </c>
      <c r="D34" s="99"/>
      <c r="E34" s="100"/>
      <c r="G34" s="6"/>
      <c r="H34" s="39"/>
      <c r="I34" s="28"/>
      <c r="J34" s="6" t="s">
        <v>125</v>
      </c>
      <c r="K34" s="39" t="s">
        <v>227</v>
      </c>
      <c r="L34" s="28">
        <v>-1300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31">
        <f>-(SUMIF($J$7:$J$88,B35,$L$7:$L$88)+SUMIF($T$7:$T$88,B35,$V$7:$V$88))</f>
        <v>0</v>
      </c>
      <c r="D35" s="99"/>
      <c r="E35" s="100"/>
      <c r="G35" s="6"/>
      <c r="H35" s="39"/>
      <c r="I35" s="28"/>
      <c r="J35" s="6" t="s">
        <v>116</v>
      </c>
      <c r="K35" s="39" t="s">
        <v>315</v>
      </c>
      <c r="L35" s="28">
        <v>-3800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31">
        <f>-(SUMIF($J$7:$J$88,B36,$L$7:$L$88)+SUMIF($T$7:$T$88,B36,$V$7:$V$88))</f>
        <v>85790</v>
      </c>
      <c r="D36" s="99"/>
      <c r="E36" s="100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31">
        <f>-(SUMIF($J$7:$J$88,B37,$L$7:$L$88)+SUMIF($T$7:$T$88,B37,$V$7:$V$88))</f>
        <v>0</v>
      </c>
      <c r="D37" s="99"/>
      <c r="E37" s="100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31">
        <f>-(SUMIF($J$7:$J$88,B38,$L$7:$L$88)+SUMIF($T$7:$T$88,B38,$V$7:$V$88))</f>
        <v>0</v>
      </c>
      <c r="D38" s="99"/>
      <c r="E38" s="100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31">
        <f>-(SUMIF($J$7:$J$88,B39,$L$7:$L$88)+SUMIF($T$7:$T$88,B39,$V$7:$V$88))</f>
        <v>18000</v>
      </c>
      <c r="D39" s="99"/>
      <c r="E39" s="100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0</v>
      </c>
      <c r="D41" s="99"/>
      <c r="E41" s="100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77570</v>
      </c>
      <c r="D43" s="99"/>
      <c r="E43" s="100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1103837</v>
      </c>
      <c r="D44" s="99"/>
      <c r="E44" s="100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25900</v>
      </c>
      <c r="D45" s="99"/>
      <c r="E45" s="100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13300</v>
      </c>
      <c r="D52" s="99"/>
      <c r="E52" s="100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9218009</v>
      </c>
      <c r="D53" s="99"/>
      <c r="E53" s="100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5015538</v>
      </c>
      <c r="J89" s="7" t="s">
        <v>24</v>
      </c>
      <c r="K89" s="22" t="s">
        <v>34</v>
      </c>
      <c r="L89" s="21">
        <f>SUM(L7:L88)</f>
        <v>-7524620</v>
      </c>
      <c r="M89" s="7" t="s">
        <v>24</v>
      </c>
      <c r="N89" s="22" t="s">
        <v>34</v>
      </c>
      <c r="O89" s="21">
        <f>SUM(O7:O88)</f>
        <v>2036730</v>
      </c>
      <c r="Q89" s="7" t="s">
        <v>24</v>
      </c>
      <c r="R89" s="17" t="s">
        <v>34</v>
      </c>
      <c r="S89" s="19">
        <f>SUM(S7:S88)</f>
        <v>4215771</v>
      </c>
      <c r="T89" s="7" t="s">
        <v>24</v>
      </c>
      <c r="U89" s="22" t="s">
        <v>34</v>
      </c>
      <c r="V89" s="21">
        <f>SUM(V7:V88)</f>
        <v>-1737467</v>
      </c>
      <c r="W89" s="7" t="s">
        <v>24</v>
      </c>
      <c r="X89" s="22" t="s">
        <v>34</v>
      </c>
      <c r="Y89" s="21">
        <f>SUM(Y7:Y88)</f>
        <v>-4486932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-472352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-2008628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54:E54"/>
    <mergeCell ref="C55:E55"/>
    <mergeCell ref="C57:E57"/>
    <mergeCell ref="C51:E51"/>
    <mergeCell ref="B50:E50"/>
    <mergeCell ref="C52:E52"/>
    <mergeCell ref="C53:E53"/>
    <mergeCell ref="B2:C2"/>
    <mergeCell ref="G5:I5"/>
    <mergeCell ref="J5:L5"/>
    <mergeCell ref="M5:O5"/>
    <mergeCell ref="Q5:S5"/>
    <mergeCell ref="C4:D4"/>
    <mergeCell ref="C5:D5"/>
    <mergeCell ref="C6:D6"/>
    <mergeCell ref="C7:D7"/>
    <mergeCell ref="T5:V5"/>
    <mergeCell ref="W5:Y5"/>
    <mergeCell ref="G4:O4"/>
    <mergeCell ref="Q4:Y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topLeftCell="A42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21" t="s">
        <v>101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5549418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4450582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0.55494180000000004</v>
      </c>
      <c r="D7" s="111"/>
      <c r="G7" s="6" t="s">
        <v>188</v>
      </c>
      <c r="H7" s="39" t="s">
        <v>189</v>
      </c>
      <c r="I7" s="28">
        <v>1897572</v>
      </c>
      <c r="J7" s="6" t="s">
        <v>116</v>
      </c>
      <c r="K7" s="39" t="s">
        <v>177</v>
      </c>
      <c r="L7" s="28">
        <v>-5000</v>
      </c>
      <c r="M7" s="6" t="s">
        <v>175</v>
      </c>
      <c r="N7" s="39" t="s">
        <v>176</v>
      </c>
      <c r="O7" s="40">
        <v>-30000</v>
      </c>
      <c r="P7" s="5"/>
      <c r="Q7" s="6" t="s">
        <v>188</v>
      </c>
      <c r="R7" s="39" t="s">
        <v>189</v>
      </c>
      <c r="S7" s="28">
        <v>1785662</v>
      </c>
      <c r="T7" s="6" t="s">
        <v>144</v>
      </c>
      <c r="U7" s="39" t="s">
        <v>260</v>
      </c>
      <c r="V7" s="28">
        <v>-97390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188</v>
      </c>
      <c r="H8" s="39" t="s">
        <v>229</v>
      </c>
      <c r="I8" s="28">
        <v>3837564</v>
      </c>
      <c r="J8" s="6" t="s">
        <v>125</v>
      </c>
      <c r="K8" s="39" t="s">
        <v>179</v>
      </c>
      <c r="L8" s="28">
        <v>-2500</v>
      </c>
      <c r="M8" s="6" t="s">
        <v>175</v>
      </c>
      <c r="N8" s="39" t="s">
        <v>178</v>
      </c>
      <c r="O8" s="26">
        <v>-30000</v>
      </c>
      <c r="P8" s="5"/>
      <c r="Q8" s="6" t="s">
        <v>112</v>
      </c>
      <c r="R8" s="39" t="s">
        <v>113</v>
      </c>
      <c r="S8" s="28">
        <v>0</v>
      </c>
      <c r="T8" s="6" t="s">
        <v>144</v>
      </c>
      <c r="U8" s="39" t="s">
        <v>262</v>
      </c>
      <c r="V8" s="28">
        <v>-49780</v>
      </c>
      <c r="W8" s="6" t="s">
        <v>133</v>
      </c>
      <c r="X8" s="39" t="s">
        <v>136</v>
      </c>
      <c r="Y8" s="26">
        <v>-103880</v>
      </c>
    </row>
    <row r="9" spans="2:25" x14ac:dyDescent="0.3">
      <c r="G9" s="6" t="s">
        <v>112</v>
      </c>
      <c r="H9" s="39" t="s">
        <v>237</v>
      </c>
      <c r="I9" s="28">
        <v>0</v>
      </c>
      <c r="J9" s="6" t="s">
        <v>120</v>
      </c>
      <c r="K9" s="39" t="s">
        <v>180</v>
      </c>
      <c r="L9" s="28">
        <v>-14800</v>
      </c>
      <c r="M9" s="6" t="s">
        <v>127</v>
      </c>
      <c r="N9" s="39" t="s">
        <v>181</v>
      </c>
      <c r="O9" s="26">
        <v>-100000</v>
      </c>
      <c r="P9" s="5"/>
      <c r="Q9" s="6" t="s">
        <v>188</v>
      </c>
      <c r="R9" s="39" t="s">
        <v>229</v>
      </c>
      <c r="S9" s="28">
        <v>4456276</v>
      </c>
      <c r="T9" s="6" t="s">
        <v>144</v>
      </c>
      <c r="U9" s="39" t="s">
        <v>262</v>
      </c>
      <c r="V9" s="28">
        <v>-60880</v>
      </c>
      <c r="W9" s="6" t="s">
        <v>127</v>
      </c>
      <c r="X9" s="39" t="s">
        <v>261</v>
      </c>
      <c r="Y9" s="26">
        <v>48695</v>
      </c>
    </row>
    <row r="10" spans="2:25" x14ac:dyDescent="0.3">
      <c r="G10" s="6" t="s">
        <v>112</v>
      </c>
      <c r="H10" s="39" t="s">
        <v>253</v>
      </c>
      <c r="I10" s="28">
        <v>13300</v>
      </c>
      <c r="J10" s="6" t="s">
        <v>116</v>
      </c>
      <c r="K10" s="39" t="s">
        <v>182</v>
      </c>
      <c r="L10" s="28">
        <v>-2400</v>
      </c>
      <c r="M10" s="6" t="s">
        <v>175</v>
      </c>
      <c r="N10" s="39" t="s">
        <v>183</v>
      </c>
      <c r="O10" s="26">
        <v>-30000</v>
      </c>
      <c r="P10" s="5"/>
      <c r="Q10" s="6" t="s">
        <v>112</v>
      </c>
      <c r="R10" s="39" t="s">
        <v>237</v>
      </c>
      <c r="S10" s="28">
        <v>0</v>
      </c>
      <c r="T10" s="6" t="s">
        <v>138</v>
      </c>
      <c r="U10" s="39" t="s">
        <v>139</v>
      </c>
      <c r="V10" s="28">
        <v>-36163</v>
      </c>
      <c r="W10" s="6" t="s">
        <v>133</v>
      </c>
      <c r="X10" s="39" t="s">
        <v>266</v>
      </c>
      <c r="Y10" s="26">
        <v>-400000</v>
      </c>
    </row>
    <row r="11" spans="2:25" x14ac:dyDescent="0.3">
      <c r="G11" s="6"/>
      <c r="H11" s="39"/>
      <c r="I11" s="28"/>
      <c r="J11" s="6" t="s">
        <v>120</v>
      </c>
      <c r="K11" s="39" t="s">
        <v>184</v>
      </c>
      <c r="L11" s="28">
        <v>-26600</v>
      </c>
      <c r="M11" s="6" t="s">
        <v>175</v>
      </c>
      <c r="N11" s="39" t="s">
        <v>185</v>
      </c>
      <c r="O11" s="26">
        <v>-30000</v>
      </c>
      <c r="P11" s="5"/>
      <c r="Q11" s="6" t="s">
        <v>112</v>
      </c>
      <c r="R11" s="39" t="s">
        <v>287</v>
      </c>
      <c r="S11" s="28">
        <v>0</v>
      </c>
      <c r="T11" s="6" t="s">
        <v>137</v>
      </c>
      <c r="U11" s="39" t="s">
        <v>263</v>
      </c>
      <c r="V11" s="28">
        <v>-15000</v>
      </c>
      <c r="W11" s="6" t="s">
        <v>127</v>
      </c>
      <c r="X11" s="39" t="s">
        <v>267</v>
      </c>
      <c r="Y11" s="26">
        <v>-100000</v>
      </c>
    </row>
    <row r="12" spans="2:25" x14ac:dyDescent="0.3">
      <c r="G12" s="6"/>
      <c r="H12" s="39"/>
      <c r="I12" s="28"/>
      <c r="J12" s="6" t="s">
        <v>116</v>
      </c>
      <c r="K12" s="39" t="s">
        <v>190</v>
      </c>
      <c r="L12" s="28">
        <v>-7200</v>
      </c>
      <c r="M12" s="6" t="s">
        <v>175</v>
      </c>
      <c r="N12" s="39" t="s">
        <v>186</v>
      </c>
      <c r="O12" s="26">
        <v>-30000</v>
      </c>
      <c r="P12" s="5"/>
      <c r="Q12" s="6" t="s">
        <v>188</v>
      </c>
      <c r="R12" s="39" t="s">
        <v>291</v>
      </c>
      <c r="S12" s="28">
        <v>130000</v>
      </c>
      <c r="T12" s="6" t="s">
        <v>144</v>
      </c>
      <c r="U12" s="39" t="s">
        <v>264</v>
      </c>
      <c r="V12" s="28">
        <v>-18530</v>
      </c>
      <c r="W12" s="6" t="s">
        <v>127</v>
      </c>
      <c r="X12" s="39" t="s">
        <v>269</v>
      </c>
      <c r="Y12" s="26">
        <v>500000</v>
      </c>
    </row>
    <row r="13" spans="2:25" x14ac:dyDescent="0.3">
      <c r="G13" s="6"/>
      <c r="H13" s="39"/>
      <c r="I13" s="28"/>
      <c r="J13" s="6" t="s">
        <v>122</v>
      </c>
      <c r="K13" s="39" t="s">
        <v>191</v>
      </c>
      <c r="L13" s="28">
        <v>-34660</v>
      </c>
      <c r="M13" s="6" t="s">
        <v>175</v>
      </c>
      <c r="N13" s="39" t="s">
        <v>187</v>
      </c>
      <c r="O13" s="26">
        <v>-30000</v>
      </c>
      <c r="P13" s="5"/>
      <c r="Q13" s="6"/>
      <c r="R13" s="39"/>
      <c r="S13" s="28"/>
      <c r="T13" s="6" t="s">
        <v>128</v>
      </c>
      <c r="U13" s="39" t="s">
        <v>265</v>
      </c>
      <c r="V13" s="28">
        <v>-36800</v>
      </c>
      <c r="W13" s="6" t="s">
        <v>127</v>
      </c>
      <c r="X13" s="39" t="s">
        <v>270</v>
      </c>
      <c r="Y13" s="26">
        <v>6000</v>
      </c>
    </row>
    <row r="14" spans="2:25" x14ac:dyDescent="0.3">
      <c r="G14" s="6"/>
      <c r="H14" s="39"/>
      <c r="I14" s="28"/>
      <c r="J14" s="6" t="s">
        <v>119</v>
      </c>
      <c r="K14" s="39" t="s">
        <v>193</v>
      </c>
      <c r="L14" s="28">
        <v>-60000</v>
      </c>
      <c r="M14" s="6" t="s">
        <v>175</v>
      </c>
      <c r="N14" s="39" t="s">
        <v>192</v>
      </c>
      <c r="O14" s="26">
        <v>-30000</v>
      </c>
      <c r="P14" s="5"/>
      <c r="Q14" s="6"/>
      <c r="R14" s="39"/>
      <c r="S14" s="28"/>
      <c r="T14" s="6" t="s">
        <v>119</v>
      </c>
      <c r="U14" s="39" t="s">
        <v>268</v>
      </c>
      <c r="V14" s="28">
        <v>-12000</v>
      </c>
      <c r="W14" s="6" t="s">
        <v>127</v>
      </c>
      <c r="X14" s="39" t="s">
        <v>181</v>
      </c>
      <c r="Y14" s="26">
        <v>-50000</v>
      </c>
    </row>
    <row r="15" spans="2:25" x14ac:dyDescent="0.3">
      <c r="G15" s="6"/>
      <c r="H15" s="39"/>
      <c r="I15" s="28"/>
      <c r="J15" s="6" t="s">
        <v>129</v>
      </c>
      <c r="K15" s="39" t="s">
        <v>195</v>
      </c>
      <c r="L15" s="28">
        <v>-4400</v>
      </c>
      <c r="M15" s="6" t="s">
        <v>175</v>
      </c>
      <c r="N15" s="39" t="s">
        <v>194</v>
      </c>
      <c r="O15" s="26">
        <v>-30000</v>
      </c>
      <c r="P15" s="5"/>
      <c r="Q15" s="6"/>
      <c r="R15" s="39"/>
      <c r="S15" s="28"/>
      <c r="T15" s="6" t="s">
        <v>125</v>
      </c>
      <c r="U15" s="39" t="s">
        <v>140</v>
      </c>
      <c r="V15" s="28">
        <v>-7700</v>
      </c>
      <c r="W15" s="6" t="s">
        <v>127</v>
      </c>
      <c r="X15" s="39" t="s">
        <v>181</v>
      </c>
      <c r="Y15" s="26">
        <v>-100000</v>
      </c>
    </row>
    <row r="16" spans="2:25" x14ac:dyDescent="0.3">
      <c r="G16" s="6"/>
      <c r="H16" s="39"/>
      <c r="I16" s="28"/>
      <c r="J16" s="6" t="s">
        <v>129</v>
      </c>
      <c r="K16" s="39" t="s">
        <v>196</v>
      </c>
      <c r="L16" s="28">
        <v>-5600</v>
      </c>
      <c r="M16" s="6" t="s">
        <v>175</v>
      </c>
      <c r="N16" s="39" t="s">
        <v>197</v>
      </c>
      <c r="O16" s="26">
        <v>-30000</v>
      </c>
      <c r="P16" s="5"/>
      <c r="Q16" s="6"/>
      <c r="R16" s="39"/>
      <c r="S16" s="28"/>
      <c r="T16" s="6" t="s">
        <v>144</v>
      </c>
      <c r="U16" s="39" t="s">
        <v>263</v>
      </c>
      <c r="V16" s="28">
        <v>-96800</v>
      </c>
      <c r="W16" s="6" t="s">
        <v>127</v>
      </c>
      <c r="X16" s="39" t="s">
        <v>235</v>
      </c>
      <c r="Y16" s="26">
        <v>11600</v>
      </c>
    </row>
    <row r="17" spans="2:25" x14ac:dyDescent="0.3">
      <c r="G17" s="6"/>
      <c r="H17" s="39"/>
      <c r="I17" s="28"/>
      <c r="J17" s="6" t="s">
        <v>116</v>
      </c>
      <c r="K17" s="39" t="s">
        <v>198</v>
      </c>
      <c r="L17" s="28">
        <v>-15950</v>
      </c>
      <c r="M17" s="6" t="s">
        <v>127</v>
      </c>
      <c r="N17" s="39" t="s">
        <v>131</v>
      </c>
      <c r="O17" s="26">
        <v>-11600</v>
      </c>
      <c r="P17" s="5"/>
      <c r="Q17" s="6"/>
      <c r="R17" s="39"/>
      <c r="S17" s="28"/>
      <c r="T17" s="6" t="s">
        <v>137</v>
      </c>
      <c r="U17" s="39" t="s">
        <v>263</v>
      </c>
      <c r="V17" s="28">
        <v>-25675</v>
      </c>
      <c r="W17" s="6" t="s">
        <v>127</v>
      </c>
      <c r="X17" s="39" t="s">
        <v>271</v>
      </c>
      <c r="Y17" s="26">
        <v>11600</v>
      </c>
    </row>
    <row r="18" spans="2:25" x14ac:dyDescent="0.3">
      <c r="G18" s="6"/>
      <c r="H18" s="39"/>
      <c r="I18" s="28"/>
      <c r="J18" s="6" t="s">
        <v>116</v>
      </c>
      <c r="K18" s="39" t="s">
        <v>199</v>
      </c>
      <c r="L18" s="28">
        <v>-1000</v>
      </c>
      <c r="M18" s="6" t="s">
        <v>144</v>
      </c>
      <c r="N18" s="39" t="s">
        <v>200</v>
      </c>
      <c r="O18" s="26">
        <v>433</v>
      </c>
      <c r="P18" s="5"/>
      <c r="Q18" s="6"/>
      <c r="R18" s="39"/>
      <c r="S18" s="28"/>
      <c r="T18" s="6" t="s">
        <v>144</v>
      </c>
      <c r="U18" s="39" t="s">
        <v>260</v>
      </c>
      <c r="V18" s="28">
        <v>-19790</v>
      </c>
      <c r="W18" s="6" t="s">
        <v>127</v>
      </c>
      <c r="X18" s="39" t="s">
        <v>272</v>
      </c>
      <c r="Y18" s="26">
        <v>11600</v>
      </c>
    </row>
    <row r="19" spans="2:25" x14ac:dyDescent="0.3">
      <c r="G19" s="6"/>
      <c r="H19" s="39"/>
      <c r="I19" s="28"/>
      <c r="J19" s="6" t="s">
        <v>118</v>
      </c>
      <c r="K19" s="39">
        <v>203372020333</v>
      </c>
      <c r="L19" s="28">
        <v>-600000</v>
      </c>
      <c r="M19" s="6" t="s">
        <v>175</v>
      </c>
      <c r="N19" s="39" t="s">
        <v>201</v>
      </c>
      <c r="O19" s="26">
        <v>-30000</v>
      </c>
      <c r="P19" s="5"/>
      <c r="Q19" s="6"/>
      <c r="R19" s="39"/>
      <c r="S19" s="28"/>
      <c r="T19" s="6" t="s">
        <v>138</v>
      </c>
      <c r="U19" s="39" t="s">
        <v>139</v>
      </c>
      <c r="V19" s="28">
        <v>-13900</v>
      </c>
      <c r="W19" s="6" t="s">
        <v>144</v>
      </c>
      <c r="X19" s="39" t="s">
        <v>200</v>
      </c>
      <c r="Y19" s="26">
        <v>1214</v>
      </c>
    </row>
    <row r="20" spans="2:25" x14ac:dyDescent="0.3">
      <c r="G20" s="6"/>
      <c r="H20" s="39"/>
      <c r="I20" s="28"/>
      <c r="J20" s="6" t="s">
        <v>116</v>
      </c>
      <c r="K20" s="39" t="s">
        <v>202</v>
      </c>
      <c r="L20" s="28">
        <v>-800</v>
      </c>
      <c r="M20" s="6" t="s">
        <v>175</v>
      </c>
      <c r="N20" s="39" t="s">
        <v>203</v>
      </c>
      <c r="O20" s="26">
        <v>-30000</v>
      </c>
      <c r="P20" s="5"/>
      <c r="Q20" s="6"/>
      <c r="R20" s="39"/>
      <c r="S20" s="28"/>
      <c r="T20" s="6" t="s">
        <v>119</v>
      </c>
      <c r="U20" s="39" t="s">
        <v>141</v>
      </c>
      <c r="V20" s="28">
        <v>-12590</v>
      </c>
      <c r="W20" s="6" t="s">
        <v>127</v>
      </c>
      <c r="X20" s="39" t="s">
        <v>273</v>
      </c>
      <c r="Y20" s="26">
        <v>25000</v>
      </c>
    </row>
    <row r="21" spans="2:25" x14ac:dyDescent="0.3">
      <c r="G21" s="6"/>
      <c r="H21" s="39"/>
      <c r="I21" s="28"/>
      <c r="J21" s="6" t="s">
        <v>125</v>
      </c>
      <c r="K21" s="39" t="s">
        <v>204</v>
      </c>
      <c r="L21" s="28">
        <v>-10600</v>
      </c>
      <c r="M21" s="6" t="s">
        <v>175</v>
      </c>
      <c r="N21" s="39" t="s">
        <v>205</v>
      </c>
      <c r="O21" s="26">
        <v>-30000</v>
      </c>
      <c r="P21" s="5"/>
      <c r="Q21" s="6"/>
      <c r="R21" s="39"/>
      <c r="S21" s="28"/>
      <c r="T21" s="6" t="s">
        <v>118</v>
      </c>
      <c r="U21" s="39" t="s">
        <v>275</v>
      </c>
      <c r="V21" s="28">
        <v>-20050</v>
      </c>
      <c r="W21" s="6" t="s">
        <v>127</v>
      </c>
      <c r="X21" s="39" t="s">
        <v>274</v>
      </c>
      <c r="Y21" s="26">
        <v>-300000</v>
      </c>
    </row>
    <row r="22" spans="2:25" x14ac:dyDescent="0.3">
      <c r="G22" s="6"/>
      <c r="H22" s="39"/>
      <c r="I22" s="28"/>
      <c r="J22" s="6" t="s">
        <v>119</v>
      </c>
      <c r="K22" s="39" t="s">
        <v>206</v>
      </c>
      <c r="L22" s="28">
        <v>-40000</v>
      </c>
      <c r="M22" s="6" t="s">
        <v>175</v>
      </c>
      <c r="N22" s="39" t="s">
        <v>207</v>
      </c>
      <c r="O22" s="26">
        <v>-30000</v>
      </c>
      <c r="P22" s="5"/>
      <c r="Q22" s="6"/>
      <c r="R22" s="39"/>
      <c r="S22" s="28"/>
      <c r="T22" s="6" t="s">
        <v>118</v>
      </c>
      <c r="U22" s="39" t="s">
        <v>275</v>
      </c>
      <c r="V22" s="28">
        <v>-16500</v>
      </c>
      <c r="W22" s="6" t="s">
        <v>127</v>
      </c>
      <c r="X22" s="39" t="s">
        <v>273</v>
      </c>
      <c r="Y22" s="26">
        <v>-300000</v>
      </c>
    </row>
    <row r="23" spans="2:25" x14ac:dyDescent="0.3">
      <c r="G23" s="6"/>
      <c r="H23" s="39"/>
      <c r="I23" s="28"/>
      <c r="J23" s="6" t="s">
        <v>117</v>
      </c>
      <c r="K23" s="39" t="s">
        <v>208</v>
      </c>
      <c r="L23" s="28">
        <v>-3500</v>
      </c>
      <c r="M23" s="6" t="s">
        <v>127</v>
      </c>
      <c r="N23" s="39" t="s">
        <v>181</v>
      </c>
      <c r="O23" s="26">
        <v>-100000</v>
      </c>
      <c r="P23" s="5"/>
      <c r="Q23" s="6"/>
      <c r="R23" s="39"/>
      <c r="S23" s="28"/>
      <c r="T23" s="6" t="s">
        <v>137</v>
      </c>
      <c r="U23" s="39" t="s">
        <v>263</v>
      </c>
      <c r="V23" s="28">
        <v>-23800</v>
      </c>
      <c r="W23" s="6" t="s">
        <v>127</v>
      </c>
      <c r="X23" s="39" t="s">
        <v>273</v>
      </c>
      <c r="Y23" s="26">
        <v>20000</v>
      </c>
    </row>
    <row r="24" spans="2:25" x14ac:dyDescent="0.3">
      <c r="G24" s="6"/>
      <c r="H24" s="39"/>
      <c r="I24" s="28"/>
      <c r="J24" s="6" t="s">
        <v>120</v>
      </c>
      <c r="K24" s="39" t="s">
        <v>209</v>
      </c>
      <c r="L24" s="28">
        <v>-23000</v>
      </c>
      <c r="M24" s="6" t="s">
        <v>175</v>
      </c>
      <c r="N24" s="39" t="s">
        <v>210</v>
      </c>
      <c r="O24" s="26">
        <v>-30000</v>
      </c>
      <c r="P24" s="5"/>
      <c r="Q24" s="6"/>
      <c r="R24" s="39"/>
      <c r="S24" s="28"/>
      <c r="T24" s="6" t="s">
        <v>125</v>
      </c>
      <c r="U24" s="39" t="s">
        <v>263</v>
      </c>
      <c r="V24" s="28">
        <v>-7800</v>
      </c>
      <c r="W24" s="6" t="s">
        <v>133</v>
      </c>
      <c r="X24" s="39" t="s">
        <v>276</v>
      </c>
      <c r="Y24" s="26">
        <v>-8700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115</v>
      </c>
      <c r="K25" s="39" t="s">
        <v>212</v>
      </c>
      <c r="L25" s="28">
        <v>-3000</v>
      </c>
      <c r="M25" s="6" t="s">
        <v>175</v>
      </c>
      <c r="N25" s="39" t="s">
        <v>211</v>
      </c>
      <c r="O25" s="26">
        <v>-30000</v>
      </c>
      <c r="P25" s="5"/>
      <c r="Q25" s="6"/>
      <c r="R25" s="39"/>
      <c r="S25" s="28"/>
      <c r="T25" s="6" t="s">
        <v>144</v>
      </c>
      <c r="U25" s="39" t="s">
        <v>147</v>
      </c>
      <c r="V25" s="28">
        <v>-120000</v>
      </c>
      <c r="W25" s="6" t="s">
        <v>133</v>
      </c>
      <c r="X25" s="39" t="s">
        <v>143</v>
      </c>
      <c r="Y25" s="26">
        <v>-1879995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118</v>
      </c>
      <c r="K26" s="39" t="s">
        <v>130</v>
      </c>
      <c r="L26" s="28">
        <v>-16500</v>
      </c>
      <c r="M26" s="6" t="s">
        <v>175</v>
      </c>
      <c r="N26" s="39" t="s">
        <v>213</v>
      </c>
      <c r="O26" s="26">
        <v>-30000</v>
      </c>
      <c r="P26" s="5"/>
      <c r="Q26" s="6"/>
      <c r="R26" s="39"/>
      <c r="S26" s="28"/>
      <c r="T26" s="6" t="s">
        <v>137</v>
      </c>
      <c r="U26" s="39" t="s">
        <v>279</v>
      </c>
      <c r="V26" s="28">
        <v>-12600</v>
      </c>
      <c r="W26" s="6" t="s">
        <v>144</v>
      </c>
      <c r="X26" s="39" t="s">
        <v>277</v>
      </c>
      <c r="Y26" s="26">
        <v>-1</v>
      </c>
    </row>
    <row r="27" spans="2:25" x14ac:dyDescent="0.3">
      <c r="B27" s="48" t="s">
        <v>115</v>
      </c>
      <c r="C27" s="131">
        <f>-(SUMIF($J$7:$J$88,B27,$L$7:$L$88)+SUMIF($T$7:$T$88,B27,$V$7:$V$88))</f>
        <v>292120</v>
      </c>
      <c r="D27" s="99"/>
      <c r="E27" s="100"/>
      <c r="G27" s="6"/>
      <c r="H27" s="39"/>
      <c r="I27" s="28"/>
      <c r="J27" s="6" t="s">
        <v>120</v>
      </c>
      <c r="K27" s="39" t="s">
        <v>214</v>
      </c>
      <c r="L27" s="28">
        <v>-62000</v>
      </c>
      <c r="M27" s="6" t="s">
        <v>127</v>
      </c>
      <c r="N27" s="39" t="s">
        <v>181</v>
      </c>
      <c r="O27" s="26">
        <v>-100000</v>
      </c>
      <c r="P27" s="5"/>
      <c r="Q27" s="6"/>
      <c r="R27" s="39"/>
      <c r="S27" s="28"/>
      <c r="T27" s="6" t="s">
        <v>137</v>
      </c>
      <c r="U27" s="39" t="s">
        <v>281</v>
      </c>
      <c r="V27" s="28">
        <v>-27000</v>
      </c>
      <c r="W27" s="6" t="s">
        <v>114</v>
      </c>
      <c r="X27" s="39" t="s">
        <v>278</v>
      </c>
      <c r="Y27" s="26">
        <v>1</v>
      </c>
    </row>
    <row r="28" spans="2:25" x14ac:dyDescent="0.3">
      <c r="B28" s="49" t="s">
        <v>116</v>
      </c>
      <c r="C28" s="131">
        <f>-(SUMIF($J$7:$J$88,B28,$L$7:$L$88)+SUMIF($T$7:$T$88,B28,$V$7:$V$88))</f>
        <v>159968</v>
      </c>
      <c r="D28" s="99"/>
      <c r="E28" s="100"/>
      <c r="G28" s="6"/>
      <c r="H28" s="39"/>
      <c r="I28" s="28"/>
      <c r="J28" s="6" t="s">
        <v>126</v>
      </c>
      <c r="K28" s="39" t="s">
        <v>215</v>
      </c>
      <c r="L28" s="28">
        <v>-23200</v>
      </c>
      <c r="M28" s="6" t="s">
        <v>175</v>
      </c>
      <c r="N28" s="39" t="s">
        <v>216</v>
      </c>
      <c r="O28" s="26">
        <v>-30000</v>
      </c>
      <c r="P28" s="5"/>
      <c r="Q28" s="6"/>
      <c r="R28" s="39"/>
      <c r="S28" s="28"/>
      <c r="T28" s="6" t="s">
        <v>137</v>
      </c>
      <c r="U28" s="39" t="s">
        <v>263</v>
      </c>
      <c r="V28" s="28">
        <v>-13407</v>
      </c>
      <c r="W28" s="6" t="s">
        <v>145</v>
      </c>
      <c r="X28" s="39" t="s">
        <v>280</v>
      </c>
      <c r="Y28" s="26">
        <v>250000</v>
      </c>
    </row>
    <row r="29" spans="2:25" x14ac:dyDescent="0.3">
      <c r="B29" s="49" t="s">
        <v>120</v>
      </c>
      <c r="C29" s="131">
        <f>-(SUMIF($J$7:$J$88,B29,$L$7:$L$88)+SUMIF($T$7:$T$88,B29,$V$7:$V$88))</f>
        <v>249400</v>
      </c>
      <c r="D29" s="99"/>
      <c r="E29" s="100"/>
      <c r="G29" s="6"/>
      <c r="H29" s="39"/>
      <c r="I29" s="28"/>
      <c r="J29" s="6" t="s">
        <v>116</v>
      </c>
      <c r="K29" s="39" t="s">
        <v>190</v>
      </c>
      <c r="L29" s="28">
        <v>-19440</v>
      </c>
      <c r="M29" s="6" t="s">
        <v>175</v>
      </c>
      <c r="N29" s="39" t="s">
        <v>218</v>
      </c>
      <c r="O29" s="26">
        <v>-30000</v>
      </c>
      <c r="P29" s="5"/>
      <c r="Q29" s="6"/>
      <c r="R29" s="39"/>
      <c r="S29" s="28"/>
      <c r="T29" s="6" t="s">
        <v>137</v>
      </c>
      <c r="U29" s="39" t="s">
        <v>282</v>
      </c>
      <c r="V29" s="28">
        <v>-24180</v>
      </c>
      <c r="W29" s="6" t="s">
        <v>144</v>
      </c>
      <c r="X29" s="39" t="s">
        <v>224</v>
      </c>
      <c r="Y29" s="26">
        <v>-24100</v>
      </c>
    </row>
    <row r="30" spans="2:25" x14ac:dyDescent="0.3">
      <c r="B30" s="49" t="s">
        <v>118</v>
      </c>
      <c r="C30" s="131">
        <f>-(SUMIF($J$7:$J$88,B30,$L$7:$L$88)+SUMIF($T$7:$T$88,B30,$V$7:$V$88))</f>
        <v>1251270</v>
      </c>
      <c r="D30" s="99"/>
      <c r="E30" s="100"/>
      <c r="G30" s="6"/>
      <c r="H30" s="39"/>
      <c r="I30" s="28"/>
      <c r="J30" s="6" t="s">
        <v>115</v>
      </c>
      <c r="K30" s="39" t="s">
        <v>217</v>
      </c>
      <c r="L30" s="28">
        <v>-250000</v>
      </c>
      <c r="M30" s="6" t="s">
        <v>175</v>
      </c>
      <c r="N30" s="39" t="s">
        <v>219</v>
      </c>
      <c r="O30" s="26">
        <v>-30000</v>
      </c>
      <c r="P30" s="5"/>
      <c r="Q30" s="6"/>
      <c r="R30" s="39"/>
      <c r="S30" s="28"/>
      <c r="T30" s="6" t="s">
        <v>116</v>
      </c>
      <c r="U30" s="39" t="s">
        <v>283</v>
      </c>
      <c r="V30" s="28">
        <v>-2970</v>
      </c>
      <c r="W30" s="6" t="s">
        <v>127</v>
      </c>
      <c r="X30" s="39" t="s">
        <v>131</v>
      </c>
      <c r="Y30" s="26">
        <v>-13000</v>
      </c>
    </row>
    <row r="31" spans="2:25" x14ac:dyDescent="0.3">
      <c r="B31" s="49" t="s">
        <v>122</v>
      </c>
      <c r="C31" s="131">
        <f>-(SUMIF($J$7:$J$88,B31,$L$7:$L$88)+SUMIF($T$7:$T$88,B31,$V$7:$V$88))</f>
        <v>41060</v>
      </c>
      <c r="D31" s="99"/>
      <c r="E31" s="100"/>
      <c r="G31" s="6"/>
      <c r="H31" s="39"/>
      <c r="I31" s="28"/>
      <c r="J31" s="6" t="s">
        <v>116</v>
      </c>
      <c r="K31" s="39" t="s">
        <v>190</v>
      </c>
      <c r="L31" s="28">
        <v>-5300</v>
      </c>
      <c r="M31" s="6" t="s">
        <v>175</v>
      </c>
      <c r="N31" s="39" t="s">
        <v>220</v>
      </c>
      <c r="O31" s="26">
        <v>-30000</v>
      </c>
      <c r="P31" s="5"/>
      <c r="Q31" s="6"/>
      <c r="R31" s="39"/>
      <c r="S31" s="28"/>
      <c r="T31" s="6" t="s">
        <v>138</v>
      </c>
      <c r="U31" s="39" t="s">
        <v>139</v>
      </c>
      <c r="V31" s="28">
        <v>-17750</v>
      </c>
      <c r="W31" s="6" t="s">
        <v>127</v>
      </c>
      <c r="X31" s="39" t="s">
        <v>235</v>
      </c>
      <c r="Y31" s="26">
        <v>250000</v>
      </c>
    </row>
    <row r="32" spans="2:25" x14ac:dyDescent="0.3">
      <c r="B32" s="49" t="s">
        <v>119</v>
      </c>
      <c r="C32" s="131">
        <f>-(SUMIF($J$7:$J$88,B32,$L$7:$L$88)+SUMIF($T$7:$T$88,B32,$V$7:$V$88))</f>
        <v>204590</v>
      </c>
      <c r="D32" s="99"/>
      <c r="E32" s="100"/>
      <c r="G32" s="6"/>
      <c r="H32" s="39"/>
      <c r="I32" s="28"/>
      <c r="J32" s="6" t="s">
        <v>115</v>
      </c>
      <c r="K32" s="39" t="s">
        <v>212</v>
      </c>
      <c r="L32" s="28">
        <v>-3000</v>
      </c>
      <c r="M32" s="6" t="s">
        <v>175</v>
      </c>
      <c r="N32" s="39" t="s">
        <v>223</v>
      </c>
      <c r="O32" s="26">
        <v>-30000</v>
      </c>
      <c r="P32" s="5"/>
      <c r="Q32" s="6"/>
      <c r="R32" s="39"/>
      <c r="S32" s="28"/>
      <c r="T32" s="6" t="s">
        <v>118</v>
      </c>
      <c r="U32" s="39" t="s">
        <v>284</v>
      </c>
      <c r="V32" s="28">
        <v>-264200</v>
      </c>
      <c r="W32" s="6" t="s">
        <v>114</v>
      </c>
      <c r="X32" s="39" t="s">
        <v>286</v>
      </c>
      <c r="Y32" s="26">
        <v>1</v>
      </c>
    </row>
    <row r="33" spans="2:25" x14ac:dyDescent="0.3">
      <c r="B33" s="49" t="s">
        <v>129</v>
      </c>
      <c r="C33" s="131">
        <f>-(SUMIF($J$7:$J$88,B33,$L$7:$L$88)+SUMIF($T$7:$T$88,B33,$V$7:$V$88))</f>
        <v>19200</v>
      </c>
      <c r="D33" s="99"/>
      <c r="E33" s="100"/>
      <c r="G33" s="6"/>
      <c r="H33" s="39"/>
      <c r="I33" s="28"/>
      <c r="J33" s="6" t="s">
        <v>129</v>
      </c>
      <c r="K33" s="39" t="s">
        <v>221</v>
      </c>
      <c r="L33" s="28">
        <v>-13900</v>
      </c>
      <c r="M33" s="6" t="s">
        <v>175</v>
      </c>
      <c r="N33" s="39" t="s">
        <v>225</v>
      </c>
      <c r="O33" s="26">
        <v>-30000</v>
      </c>
      <c r="P33" s="5"/>
      <c r="Q33" s="6"/>
      <c r="R33" s="39"/>
      <c r="S33" s="28"/>
      <c r="T33" s="6" t="s">
        <v>137</v>
      </c>
      <c r="U33" s="39" t="s">
        <v>285</v>
      </c>
      <c r="V33" s="28">
        <v>-4000</v>
      </c>
      <c r="W33" s="6" t="s">
        <v>127</v>
      </c>
      <c r="X33" s="39" t="s">
        <v>131</v>
      </c>
      <c r="Y33" s="26">
        <v>-17000</v>
      </c>
    </row>
    <row r="34" spans="2:25" x14ac:dyDescent="0.3">
      <c r="B34" s="49" t="s">
        <v>125</v>
      </c>
      <c r="C34" s="131">
        <f>-(SUMIF($J$7:$J$88,B34,$L$7:$L$88)+SUMIF($T$7:$T$88,B34,$V$7:$V$88))</f>
        <v>56090</v>
      </c>
      <c r="D34" s="99"/>
      <c r="E34" s="100"/>
      <c r="G34" s="6"/>
      <c r="H34" s="39"/>
      <c r="I34" s="28"/>
      <c r="J34" s="6" t="s">
        <v>129</v>
      </c>
      <c r="K34" s="39" t="s">
        <v>221</v>
      </c>
      <c r="L34" s="28">
        <v>-13900</v>
      </c>
      <c r="M34" s="6" t="s">
        <v>127</v>
      </c>
      <c r="N34" s="39" t="s">
        <v>131</v>
      </c>
      <c r="O34" s="26">
        <v>-13000</v>
      </c>
      <c r="P34" s="5"/>
      <c r="Q34" s="6"/>
      <c r="R34" s="39"/>
      <c r="S34" s="28"/>
      <c r="T34" s="6" t="s">
        <v>125</v>
      </c>
      <c r="U34" s="39" t="s">
        <v>123</v>
      </c>
      <c r="V34" s="28">
        <v>-990</v>
      </c>
      <c r="W34" s="6" t="s">
        <v>145</v>
      </c>
      <c r="X34" s="39" t="s">
        <v>288</v>
      </c>
      <c r="Y34" s="26">
        <v>19000</v>
      </c>
    </row>
    <row r="35" spans="2:25" x14ac:dyDescent="0.3">
      <c r="B35" s="49" t="s">
        <v>148</v>
      </c>
      <c r="C35" s="131">
        <f>-(SUMIF($J$7:$J$88,B35,$L$7:$L$88)+SUMIF($T$7:$T$88,B35,$V$7:$V$88))</f>
        <v>121600</v>
      </c>
      <c r="D35" s="99"/>
      <c r="E35" s="100"/>
      <c r="G35" s="6"/>
      <c r="H35" s="39"/>
      <c r="I35" s="28"/>
      <c r="J35" s="6" t="s">
        <v>119</v>
      </c>
      <c r="K35" s="39" t="s">
        <v>222</v>
      </c>
      <c r="L35" s="28">
        <v>-30000</v>
      </c>
      <c r="M35" s="6" t="s">
        <v>175</v>
      </c>
      <c r="N35" s="39" t="s">
        <v>228</v>
      </c>
      <c r="O35" s="26">
        <v>-30000</v>
      </c>
      <c r="P35" s="5"/>
      <c r="Q35" s="6"/>
      <c r="R35" s="39"/>
      <c r="S35" s="28"/>
      <c r="T35" s="6" t="s">
        <v>144</v>
      </c>
      <c r="U35" s="39" t="s">
        <v>260</v>
      </c>
      <c r="V35" s="28">
        <v>-18410</v>
      </c>
      <c r="W35" s="6"/>
      <c r="X35" s="39"/>
      <c r="Y35" s="26"/>
    </row>
    <row r="36" spans="2:25" x14ac:dyDescent="0.3">
      <c r="B36" s="49" t="s">
        <v>117</v>
      </c>
      <c r="C36" s="131">
        <f>-(SUMIF($J$7:$J$88,B36,$L$7:$L$88)+SUMIF($T$7:$T$88,B36,$V$7:$V$88))</f>
        <v>183929</v>
      </c>
      <c r="D36" s="99"/>
      <c r="E36" s="100"/>
      <c r="G36" s="6"/>
      <c r="H36" s="39"/>
      <c r="I36" s="28"/>
      <c r="J36" s="6" t="s">
        <v>118</v>
      </c>
      <c r="K36" s="39" t="s">
        <v>224</v>
      </c>
      <c r="L36" s="28">
        <v>-40490</v>
      </c>
      <c r="M36" s="6" t="s">
        <v>175</v>
      </c>
      <c r="N36" s="39" t="s">
        <v>235</v>
      </c>
      <c r="O36" s="26">
        <v>231019</v>
      </c>
      <c r="P36" s="5"/>
      <c r="Q36" s="6"/>
      <c r="R36" s="39"/>
      <c r="S36" s="28"/>
      <c r="T36" s="6" t="s">
        <v>116</v>
      </c>
      <c r="U36" s="39" t="s">
        <v>289</v>
      </c>
      <c r="V36" s="28">
        <v>-97508</v>
      </c>
      <c r="W36" s="6"/>
      <c r="X36" s="39"/>
      <c r="Y36" s="26"/>
    </row>
    <row r="37" spans="2:25" x14ac:dyDescent="0.3">
      <c r="B37" s="49" t="s">
        <v>128</v>
      </c>
      <c r="C37" s="131">
        <f>-(SUMIF($J$7:$J$88,B37,$L$7:$L$88)+SUMIF($T$7:$T$88,B37,$V$7:$V$88))</f>
        <v>36800</v>
      </c>
      <c r="D37" s="99"/>
      <c r="E37" s="100"/>
      <c r="G37" s="6"/>
      <c r="H37" s="39"/>
      <c r="I37" s="28"/>
      <c r="J37" s="6" t="s">
        <v>125</v>
      </c>
      <c r="K37" s="39" t="s">
        <v>226</v>
      </c>
      <c r="L37" s="28">
        <v>-19000</v>
      </c>
      <c r="M37" s="6" t="s">
        <v>175</v>
      </c>
      <c r="N37" s="39" t="s">
        <v>236</v>
      </c>
      <c r="O37" s="26">
        <v>-231019</v>
      </c>
      <c r="P37" s="5"/>
      <c r="Q37" s="6"/>
      <c r="R37" s="39"/>
      <c r="S37" s="28"/>
      <c r="T37" s="6" t="s">
        <v>148</v>
      </c>
      <c r="U37" s="39" t="s">
        <v>290</v>
      </c>
      <c r="V37" s="28">
        <v>-121600</v>
      </c>
      <c r="W37" s="6"/>
      <c r="X37" s="39"/>
      <c r="Y37" s="26"/>
    </row>
    <row r="38" spans="2:25" x14ac:dyDescent="0.3">
      <c r="B38" s="49" t="s">
        <v>146</v>
      </c>
      <c r="C38" s="131">
        <f>-(SUMIF($J$7:$J$88,B38,$L$7:$L$88)+SUMIF($T$7:$T$88,B38,$V$7:$V$88))</f>
        <v>120000</v>
      </c>
      <c r="D38" s="99"/>
      <c r="E38" s="100"/>
      <c r="G38" s="6"/>
      <c r="H38" s="39"/>
      <c r="I38" s="28"/>
      <c r="J38" s="6" t="s">
        <v>125</v>
      </c>
      <c r="K38" s="39" t="s">
        <v>227</v>
      </c>
      <c r="L38" s="28">
        <v>-5100</v>
      </c>
      <c r="M38" s="6" t="s">
        <v>127</v>
      </c>
      <c r="N38" s="39" t="s">
        <v>131</v>
      </c>
      <c r="O38" s="26">
        <v>-250000</v>
      </c>
      <c r="P38" s="5"/>
      <c r="Q38" s="6"/>
      <c r="R38" s="39"/>
      <c r="S38" s="28"/>
      <c r="T38" s="6" t="s">
        <v>125</v>
      </c>
      <c r="U38" s="39" t="s">
        <v>140</v>
      </c>
      <c r="V38" s="28">
        <v>-1200</v>
      </c>
      <c r="W38" s="6"/>
      <c r="X38" s="39"/>
      <c r="Y38" s="26"/>
    </row>
    <row r="39" spans="2:25" x14ac:dyDescent="0.3">
      <c r="B39" s="49" t="s">
        <v>134</v>
      </c>
      <c r="C39" s="131">
        <f>-(SUMIF($J$7:$J$88,B39,$L$7:$L$88)+SUMIF($T$7:$T$88,B39,$V$7:$V$88))</f>
        <v>0</v>
      </c>
      <c r="D39" s="99"/>
      <c r="E39" s="100"/>
      <c r="G39" s="6"/>
      <c r="H39" s="39"/>
      <c r="I39" s="28"/>
      <c r="J39" s="6" t="s">
        <v>122</v>
      </c>
      <c r="K39" s="39" t="s">
        <v>230</v>
      </c>
      <c r="L39" s="28">
        <v>-1000</v>
      </c>
      <c r="M39" s="6" t="s">
        <v>175</v>
      </c>
      <c r="N39" s="39" t="s">
        <v>235</v>
      </c>
      <c r="O39" s="26">
        <v>17000</v>
      </c>
      <c r="P39" s="5"/>
      <c r="Q39" s="6"/>
      <c r="R39" s="39"/>
      <c r="S39" s="28"/>
      <c r="T39" s="6" t="s">
        <v>117</v>
      </c>
      <c r="U39" s="39" t="s">
        <v>292</v>
      </c>
      <c r="V39" s="28">
        <v>-32379</v>
      </c>
      <c r="W39" s="6"/>
      <c r="X39" s="39"/>
      <c r="Y39" s="26"/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120</v>
      </c>
      <c r="K40" s="39" t="s">
        <v>231</v>
      </c>
      <c r="L40" s="28">
        <v>-50600</v>
      </c>
      <c r="M40" s="6" t="s">
        <v>127</v>
      </c>
      <c r="N40" s="39" t="s">
        <v>131</v>
      </c>
      <c r="O40" s="26">
        <v>-17000</v>
      </c>
      <c r="P40" s="5"/>
      <c r="Q40" s="6"/>
      <c r="R40" s="39"/>
      <c r="S40" s="28"/>
      <c r="T40" s="6" t="s">
        <v>137</v>
      </c>
      <c r="U40" s="39" t="s">
        <v>279</v>
      </c>
      <c r="V40" s="28">
        <v>-6300</v>
      </c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41300</v>
      </c>
      <c r="D41" s="99"/>
      <c r="E41" s="100"/>
      <c r="G41" s="6"/>
      <c r="H41" s="39"/>
      <c r="I41" s="28"/>
      <c r="J41" s="6" t="s">
        <v>126</v>
      </c>
      <c r="K41" s="39" t="s">
        <v>232</v>
      </c>
      <c r="L41" s="28">
        <v>-18100</v>
      </c>
      <c r="M41" s="6" t="s">
        <v>175</v>
      </c>
      <c r="N41" s="39" t="s">
        <v>236</v>
      </c>
      <c r="O41" s="26">
        <v>-17000</v>
      </c>
      <c r="P41" s="5"/>
      <c r="Q41" s="6"/>
      <c r="R41" s="39"/>
      <c r="S41" s="28"/>
      <c r="T41" s="6" t="s">
        <v>125</v>
      </c>
      <c r="U41" s="39" t="s">
        <v>140</v>
      </c>
      <c r="V41" s="28">
        <v>-1200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129</v>
      </c>
      <c r="K42" s="39" t="s">
        <v>233</v>
      </c>
      <c r="L42" s="28">
        <v>-5000</v>
      </c>
      <c r="M42" s="6" t="s">
        <v>127</v>
      </c>
      <c r="N42" s="39" t="s">
        <v>181</v>
      </c>
      <c r="O42" s="26">
        <v>-100000</v>
      </c>
      <c r="P42" s="5"/>
      <c r="Q42" s="6"/>
      <c r="R42" s="39"/>
      <c r="S42" s="28"/>
      <c r="T42" s="6" t="s">
        <v>118</v>
      </c>
      <c r="U42" s="39" t="s">
        <v>257</v>
      </c>
      <c r="V42" s="28">
        <v>-214500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151962</v>
      </c>
      <c r="D43" s="99"/>
      <c r="E43" s="100"/>
      <c r="G43" s="6"/>
      <c r="H43" s="39"/>
      <c r="I43" s="28"/>
      <c r="J43" s="6" t="s">
        <v>129</v>
      </c>
      <c r="K43" s="39" t="s">
        <v>233</v>
      </c>
      <c r="L43" s="28">
        <v>5000</v>
      </c>
      <c r="M43" s="6" t="s">
        <v>175</v>
      </c>
      <c r="N43" s="39" t="s">
        <v>239</v>
      </c>
      <c r="O43" s="26">
        <v>-30000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481580</v>
      </c>
      <c r="D44" s="99"/>
      <c r="E44" s="100"/>
      <c r="G44" s="6"/>
      <c r="H44" s="39"/>
      <c r="I44" s="28"/>
      <c r="J44" s="6" t="s">
        <v>129</v>
      </c>
      <c r="K44" s="39" t="s">
        <v>234</v>
      </c>
      <c r="L44" s="28">
        <v>5000</v>
      </c>
      <c r="M44" s="6" t="s">
        <v>175</v>
      </c>
      <c r="N44" s="39" t="s">
        <v>235</v>
      </c>
      <c r="O44" s="26">
        <v>300000</v>
      </c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67813</v>
      </c>
      <c r="D45" s="99"/>
      <c r="E45" s="100"/>
      <c r="G45" s="6"/>
      <c r="H45" s="39"/>
      <c r="I45" s="28"/>
      <c r="J45" s="6" t="s">
        <v>129</v>
      </c>
      <c r="K45" s="39" t="s">
        <v>233</v>
      </c>
      <c r="L45" s="28">
        <v>-2000</v>
      </c>
      <c r="M45" s="6" t="s">
        <v>175</v>
      </c>
      <c r="N45" s="39" t="s">
        <v>236</v>
      </c>
      <c r="O45" s="26">
        <v>-300000</v>
      </c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129</v>
      </c>
      <c r="K46" s="39" t="s">
        <v>233</v>
      </c>
      <c r="L46" s="28">
        <v>2000</v>
      </c>
      <c r="M46" s="6" t="s">
        <v>127</v>
      </c>
      <c r="N46" s="39" t="s">
        <v>131</v>
      </c>
      <c r="O46" s="26">
        <v>-300000</v>
      </c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116</v>
      </c>
      <c r="K47" s="39" t="s">
        <v>182</v>
      </c>
      <c r="L47" s="28">
        <v>-2400</v>
      </c>
      <c r="M47" s="6" t="s">
        <v>175</v>
      </c>
      <c r="N47" s="39" t="s">
        <v>243</v>
      </c>
      <c r="O47" s="26">
        <v>-30000</v>
      </c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120</v>
      </c>
      <c r="K48" s="39" t="s">
        <v>238</v>
      </c>
      <c r="L48" s="28">
        <v>-9700</v>
      </c>
      <c r="M48" s="6" t="s">
        <v>133</v>
      </c>
      <c r="N48" s="39" t="s">
        <v>245</v>
      </c>
      <c r="O48" s="26">
        <v>-10000</v>
      </c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146</v>
      </c>
      <c r="K49" s="39" t="s">
        <v>240</v>
      </c>
      <c r="L49" s="28">
        <v>-120000</v>
      </c>
      <c r="M49" s="6" t="s">
        <v>175</v>
      </c>
      <c r="N49" s="39" t="s">
        <v>247</v>
      </c>
      <c r="O49" s="26">
        <v>-30000</v>
      </c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122</v>
      </c>
      <c r="K50" s="39" t="s">
        <v>241</v>
      </c>
      <c r="L50" s="28">
        <v>-5400</v>
      </c>
      <c r="M50" s="6" t="s">
        <v>175</v>
      </c>
      <c r="N50" s="39" t="s">
        <v>200</v>
      </c>
      <c r="O50" s="26">
        <v>100000</v>
      </c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117</v>
      </c>
      <c r="K51" s="39" t="s">
        <v>242</v>
      </c>
      <c r="L51" s="28">
        <v>-22000</v>
      </c>
      <c r="M51" s="6" t="s">
        <v>175</v>
      </c>
      <c r="N51" s="39" t="s">
        <v>248</v>
      </c>
      <c r="O51" s="26">
        <v>-100000</v>
      </c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13300</v>
      </c>
      <c r="D52" s="99"/>
      <c r="E52" s="100"/>
      <c r="G52" s="6"/>
      <c r="H52" s="39"/>
      <c r="I52" s="28"/>
      <c r="J52" s="6" t="s">
        <v>129</v>
      </c>
      <c r="K52" s="39" t="s">
        <v>221</v>
      </c>
      <c r="L52" s="28">
        <v>-13000</v>
      </c>
      <c r="M52" s="6" t="s">
        <v>175</v>
      </c>
      <c r="N52" s="39" t="s">
        <v>185</v>
      </c>
      <c r="O52" s="26">
        <v>-500000</v>
      </c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12107074</v>
      </c>
      <c r="D53" s="99"/>
      <c r="E53" s="100"/>
      <c r="G53" s="6"/>
      <c r="H53" s="39"/>
      <c r="I53" s="28"/>
      <c r="J53" s="6" t="s">
        <v>129</v>
      </c>
      <c r="K53" s="39" t="s">
        <v>221</v>
      </c>
      <c r="L53" s="28">
        <v>13300</v>
      </c>
      <c r="M53" s="6" t="s">
        <v>175</v>
      </c>
      <c r="N53" s="39" t="s">
        <v>249</v>
      </c>
      <c r="O53" s="26">
        <v>-96920</v>
      </c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 t="s">
        <v>120</v>
      </c>
      <c r="K54" s="39" t="s">
        <v>244</v>
      </c>
      <c r="L54" s="28">
        <v>-22400</v>
      </c>
      <c r="M54" s="6" t="s">
        <v>175</v>
      </c>
      <c r="N54" s="39" t="s">
        <v>251</v>
      </c>
      <c r="O54" s="26">
        <v>-30000</v>
      </c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 t="s">
        <v>115</v>
      </c>
      <c r="K55" s="39" t="s">
        <v>246</v>
      </c>
      <c r="L55" s="28">
        <v>-36120</v>
      </c>
      <c r="M55" s="6" t="s">
        <v>175</v>
      </c>
      <c r="N55" s="39" t="s">
        <v>252</v>
      </c>
      <c r="O55" s="26">
        <v>-100000</v>
      </c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129</v>
      </c>
      <c r="K56" s="39" t="s">
        <v>250</v>
      </c>
      <c r="L56" s="28">
        <v>13300</v>
      </c>
      <c r="M56" s="6" t="s">
        <v>175</v>
      </c>
      <c r="N56" s="39" t="s">
        <v>254</v>
      </c>
      <c r="O56" s="26">
        <v>-30000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120</v>
      </c>
      <c r="K57" s="39" t="s">
        <v>255</v>
      </c>
      <c r="L57" s="28">
        <v>-16400</v>
      </c>
      <c r="M57" s="6" t="s">
        <v>175</v>
      </c>
      <c r="N57" s="39" t="s">
        <v>258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117</v>
      </c>
      <c r="K58" s="39" t="s">
        <v>256</v>
      </c>
      <c r="L58" s="28">
        <v>-126050</v>
      </c>
      <c r="M58" s="6" t="s">
        <v>114</v>
      </c>
      <c r="N58" s="39" t="s">
        <v>259</v>
      </c>
      <c r="O58" s="26">
        <v>1817778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118</v>
      </c>
      <c r="K59" s="39" t="s">
        <v>257</v>
      </c>
      <c r="L59" s="28">
        <v>-79030</v>
      </c>
      <c r="M59" s="6" t="s">
        <v>175</v>
      </c>
      <c r="N59" s="39" t="s">
        <v>235</v>
      </c>
      <c r="O59" s="26">
        <v>23877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120</v>
      </c>
      <c r="K60" s="39" t="s">
        <v>121</v>
      </c>
      <c r="L60" s="28">
        <v>-23900</v>
      </c>
      <c r="M60" s="6" t="s">
        <v>175</v>
      </c>
      <c r="N60" s="39" t="s">
        <v>236</v>
      </c>
      <c r="O60" s="26">
        <v>-23877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119</v>
      </c>
      <c r="K61" s="39" t="s">
        <v>193</v>
      </c>
      <c r="L61" s="28">
        <v>-50000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5748436</v>
      </c>
      <c r="J89" s="7" t="s">
        <v>24</v>
      </c>
      <c r="K89" s="22" t="s">
        <v>34</v>
      </c>
      <c r="L89" s="21">
        <f>SUM(L7:L88)</f>
        <v>-1927340</v>
      </c>
      <c r="M89" s="7" t="s">
        <v>24</v>
      </c>
      <c r="N89" s="22" t="s">
        <v>34</v>
      </c>
      <c r="O89" s="21">
        <f>SUM(O7:O88)</f>
        <v>-750309</v>
      </c>
      <c r="Q89" s="7" t="s">
        <v>24</v>
      </c>
      <c r="R89" s="17" t="s">
        <v>34</v>
      </c>
      <c r="S89" s="19">
        <f>SUM(S7:S88)</f>
        <v>6371938</v>
      </c>
      <c r="T89" s="7" t="s">
        <v>24</v>
      </c>
      <c r="U89" s="22" t="s">
        <v>34</v>
      </c>
      <c r="V89" s="21">
        <f>SUM(V7:V88)</f>
        <v>-1551342</v>
      </c>
      <c r="W89" s="7" t="s">
        <v>24</v>
      </c>
      <c r="X89" s="22" t="s">
        <v>34</v>
      </c>
      <c r="Y89" s="21">
        <f>SUM(Y7:Y88)</f>
        <v>-2341965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3070787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2478631</v>
      </c>
      <c r="T90" s="37"/>
      <c r="U90" s="37"/>
      <c r="V90" s="37"/>
      <c r="W90" s="37"/>
      <c r="X90" s="37"/>
      <c r="Y90" s="38"/>
    </row>
  </sheetData>
  <mergeCells count="43">
    <mergeCell ref="C52:E52"/>
    <mergeCell ref="C53:E53"/>
    <mergeCell ref="C54:E54"/>
    <mergeCell ref="C55:E55"/>
    <mergeCell ref="C57:E57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C31:E31"/>
    <mergeCell ref="C32:E32"/>
    <mergeCell ref="C33:E33"/>
    <mergeCell ref="C34:E34"/>
    <mergeCell ref="C35:E35"/>
    <mergeCell ref="C26:E26"/>
    <mergeCell ref="C27:E27"/>
    <mergeCell ref="C28:E28"/>
    <mergeCell ref="C29:E29"/>
    <mergeCell ref="C30:E30"/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topLeftCell="A54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21" t="s">
        <v>102</v>
      </c>
      <c r="C2" s="121"/>
      <c r="D2" s="130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-3328529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13328529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-0.33285290000000001</v>
      </c>
      <c r="D7" s="111"/>
      <c r="G7" s="6" t="s">
        <v>112</v>
      </c>
      <c r="H7" s="39" t="s">
        <v>363</v>
      </c>
      <c r="I7" s="28">
        <v>892</v>
      </c>
      <c r="J7" s="6" t="s">
        <v>115</v>
      </c>
      <c r="K7" s="39" t="s">
        <v>329</v>
      </c>
      <c r="L7" s="28">
        <v>-301000</v>
      </c>
      <c r="M7" s="6" t="s">
        <v>175</v>
      </c>
      <c r="N7" s="39" t="s">
        <v>330</v>
      </c>
      <c r="O7" s="40">
        <v>-30000</v>
      </c>
      <c r="P7" s="5"/>
      <c r="Q7" s="6" t="s">
        <v>112</v>
      </c>
      <c r="R7" s="39" t="s">
        <v>113</v>
      </c>
      <c r="S7" s="28">
        <v>0</v>
      </c>
      <c r="T7" s="6" t="s">
        <v>116</v>
      </c>
      <c r="U7" s="39" t="s">
        <v>399</v>
      </c>
      <c r="V7" s="28">
        <v>-27520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112</v>
      </c>
      <c r="H8" s="39" t="s">
        <v>237</v>
      </c>
      <c r="I8" s="28">
        <v>0</v>
      </c>
      <c r="J8" s="6" t="s">
        <v>125</v>
      </c>
      <c r="K8" s="39" t="s">
        <v>331</v>
      </c>
      <c r="L8" s="28">
        <v>-12100</v>
      </c>
      <c r="M8" s="6" t="s">
        <v>175</v>
      </c>
      <c r="N8" s="39" t="s">
        <v>332</v>
      </c>
      <c r="O8" s="26">
        <v>-30000</v>
      </c>
      <c r="P8" s="5"/>
      <c r="Q8" s="6" t="s">
        <v>112</v>
      </c>
      <c r="R8" s="39" t="s">
        <v>287</v>
      </c>
      <c r="S8" s="28">
        <v>0</v>
      </c>
      <c r="T8" s="6" t="s">
        <v>128</v>
      </c>
      <c r="U8" s="39" t="s">
        <v>400</v>
      </c>
      <c r="V8" s="28">
        <v>-12000</v>
      </c>
      <c r="W8" s="6" t="s">
        <v>133</v>
      </c>
      <c r="X8" s="39" t="s">
        <v>136</v>
      </c>
      <c r="Y8" s="26">
        <v>-176120</v>
      </c>
    </row>
    <row r="9" spans="2:25" x14ac:dyDescent="0.3">
      <c r="G9" s="6" t="s">
        <v>188</v>
      </c>
      <c r="H9" s="39" t="s">
        <v>229</v>
      </c>
      <c r="I9" s="28">
        <v>4078250</v>
      </c>
      <c r="J9" s="6" t="s">
        <v>120</v>
      </c>
      <c r="K9" s="39" t="s">
        <v>333</v>
      </c>
      <c r="L9" s="28">
        <v>-29000</v>
      </c>
      <c r="M9" s="6" t="s">
        <v>127</v>
      </c>
      <c r="N9" s="39" t="s">
        <v>181</v>
      </c>
      <c r="O9" s="26">
        <v>-100000</v>
      </c>
      <c r="P9" s="5"/>
      <c r="Q9" s="6" t="s">
        <v>112</v>
      </c>
      <c r="R9" s="39" t="s">
        <v>237</v>
      </c>
      <c r="S9" s="28">
        <v>0</v>
      </c>
      <c r="T9" s="6" t="s">
        <v>138</v>
      </c>
      <c r="U9" s="39" t="s">
        <v>139</v>
      </c>
      <c r="V9" s="28">
        <v>-18730</v>
      </c>
      <c r="W9" s="6" t="s">
        <v>127</v>
      </c>
      <c r="X9" s="39" t="s">
        <v>235</v>
      </c>
      <c r="Y9" s="26">
        <v>74400</v>
      </c>
    </row>
    <row r="10" spans="2:25" x14ac:dyDescent="0.3">
      <c r="G10" s="6"/>
      <c r="H10" s="39"/>
      <c r="I10" s="28"/>
      <c r="J10" s="6" t="s">
        <v>120</v>
      </c>
      <c r="K10" s="39" t="s">
        <v>334</v>
      </c>
      <c r="L10" s="28">
        <v>-9800</v>
      </c>
      <c r="M10" s="6" t="s">
        <v>175</v>
      </c>
      <c r="N10" s="39" t="s">
        <v>337</v>
      </c>
      <c r="O10" s="26">
        <v>-30000</v>
      </c>
      <c r="P10" s="5"/>
      <c r="Q10" s="6" t="s">
        <v>112</v>
      </c>
      <c r="R10" s="39" t="s">
        <v>412</v>
      </c>
      <c r="S10" s="28">
        <v>0</v>
      </c>
      <c r="T10" s="6" t="s">
        <v>125</v>
      </c>
      <c r="U10" s="39" t="s">
        <v>140</v>
      </c>
      <c r="V10" s="28">
        <v>-3500</v>
      </c>
      <c r="W10" s="6" t="s">
        <v>127</v>
      </c>
      <c r="X10" s="39" t="s">
        <v>131</v>
      </c>
      <c r="Y10" s="26">
        <v>-50000</v>
      </c>
    </row>
    <row r="11" spans="2:25" x14ac:dyDescent="0.3">
      <c r="G11" s="6"/>
      <c r="H11" s="39"/>
      <c r="I11" s="28"/>
      <c r="J11" s="6" t="s">
        <v>125</v>
      </c>
      <c r="K11" s="39" t="s">
        <v>335</v>
      </c>
      <c r="L11" s="28">
        <v>-7100</v>
      </c>
      <c r="M11" s="6" t="s">
        <v>175</v>
      </c>
      <c r="N11" s="39" t="s">
        <v>338</v>
      </c>
      <c r="O11" s="26">
        <v>-30000</v>
      </c>
      <c r="P11" s="5"/>
      <c r="Q11" s="6" t="s">
        <v>112</v>
      </c>
      <c r="R11" s="39" t="s">
        <v>412</v>
      </c>
      <c r="S11" s="28">
        <v>0</v>
      </c>
      <c r="T11" s="6" t="s">
        <v>144</v>
      </c>
      <c r="U11" s="39" t="s">
        <v>401</v>
      </c>
      <c r="V11" s="28">
        <v>-14080</v>
      </c>
      <c r="W11" s="6" t="s">
        <v>127</v>
      </c>
      <c r="X11" s="39" t="s">
        <v>181</v>
      </c>
      <c r="Y11" s="26">
        <v>-100000</v>
      </c>
    </row>
    <row r="12" spans="2:25" x14ac:dyDescent="0.3">
      <c r="G12" s="6"/>
      <c r="H12" s="39"/>
      <c r="I12" s="28"/>
      <c r="J12" s="6" t="s">
        <v>116</v>
      </c>
      <c r="K12" s="39" t="s">
        <v>336</v>
      </c>
      <c r="L12" s="28">
        <v>-1100</v>
      </c>
      <c r="M12" s="6" t="s">
        <v>175</v>
      </c>
      <c r="N12" s="39" t="s">
        <v>339</v>
      </c>
      <c r="O12" s="26">
        <v>-30000</v>
      </c>
      <c r="P12" s="5"/>
      <c r="Q12" s="6" t="s">
        <v>188</v>
      </c>
      <c r="R12" s="39" t="s">
        <v>229</v>
      </c>
      <c r="S12" s="28">
        <v>3996307</v>
      </c>
      <c r="T12" s="6" t="s">
        <v>116</v>
      </c>
      <c r="U12" s="39" t="s">
        <v>402</v>
      </c>
      <c r="V12" s="28">
        <v>-4360</v>
      </c>
      <c r="W12" s="6" t="s">
        <v>127</v>
      </c>
      <c r="X12" s="39" t="s">
        <v>131</v>
      </c>
      <c r="Y12" s="26">
        <v>-13900</v>
      </c>
    </row>
    <row r="13" spans="2:25" x14ac:dyDescent="0.3">
      <c r="G13" s="6"/>
      <c r="H13" s="39"/>
      <c r="I13" s="28"/>
      <c r="J13" s="6" t="s">
        <v>120</v>
      </c>
      <c r="K13" s="39" t="s">
        <v>121</v>
      </c>
      <c r="L13" s="28">
        <v>-17600</v>
      </c>
      <c r="M13" s="6" t="s">
        <v>175</v>
      </c>
      <c r="N13" s="39" t="s">
        <v>235</v>
      </c>
      <c r="O13" s="26">
        <v>56800</v>
      </c>
      <c r="P13" s="5"/>
      <c r="Q13" s="6"/>
      <c r="R13" s="39"/>
      <c r="S13" s="28"/>
      <c r="T13" s="6" t="s">
        <v>137</v>
      </c>
      <c r="U13" s="39" t="s">
        <v>282</v>
      </c>
      <c r="V13" s="28">
        <v>-280470</v>
      </c>
      <c r="W13" s="6" t="s">
        <v>133</v>
      </c>
      <c r="X13" s="39" t="s">
        <v>143</v>
      </c>
      <c r="Y13" s="26">
        <v>-695785</v>
      </c>
    </row>
    <row r="14" spans="2:25" x14ac:dyDescent="0.3">
      <c r="G14" s="6"/>
      <c r="H14" s="39"/>
      <c r="I14" s="28"/>
      <c r="J14" s="6" t="s">
        <v>120</v>
      </c>
      <c r="K14" s="39" t="s">
        <v>121</v>
      </c>
      <c r="L14" s="28">
        <v>17600</v>
      </c>
      <c r="M14" s="6" t="s">
        <v>175</v>
      </c>
      <c r="N14" s="39" t="s">
        <v>236</v>
      </c>
      <c r="O14" s="26">
        <v>-56800</v>
      </c>
      <c r="P14" s="5"/>
      <c r="Q14" s="6"/>
      <c r="R14" s="39"/>
      <c r="S14" s="28"/>
      <c r="T14" s="6" t="s">
        <v>116</v>
      </c>
      <c r="U14" s="39" t="s">
        <v>399</v>
      </c>
      <c r="V14" s="28">
        <v>-2980</v>
      </c>
      <c r="W14" s="6" t="s">
        <v>127</v>
      </c>
      <c r="X14" s="39" t="s">
        <v>408</v>
      </c>
      <c r="Y14" s="26">
        <v>-40000</v>
      </c>
    </row>
    <row r="15" spans="2:25" x14ac:dyDescent="0.3">
      <c r="G15" s="6"/>
      <c r="H15" s="39"/>
      <c r="I15" s="28"/>
      <c r="J15" s="6" t="s">
        <v>116</v>
      </c>
      <c r="K15" s="39" t="s">
        <v>190</v>
      </c>
      <c r="L15" s="28">
        <v>-15000</v>
      </c>
      <c r="M15" s="6" t="s">
        <v>127</v>
      </c>
      <c r="N15" s="39" t="s">
        <v>131</v>
      </c>
      <c r="O15" s="26">
        <v>-74400</v>
      </c>
      <c r="P15" s="5"/>
      <c r="Q15" s="6"/>
      <c r="R15" s="39"/>
      <c r="S15" s="28"/>
      <c r="T15" s="6" t="s">
        <v>125</v>
      </c>
      <c r="U15" s="39" t="s">
        <v>140</v>
      </c>
      <c r="V15" s="28">
        <v>-1200</v>
      </c>
      <c r="W15" s="6" t="s">
        <v>127</v>
      </c>
      <c r="X15" s="39" t="s">
        <v>408</v>
      </c>
      <c r="Y15" s="26">
        <v>-20000</v>
      </c>
    </row>
    <row r="16" spans="2:25" x14ac:dyDescent="0.3">
      <c r="G16" s="6"/>
      <c r="H16" s="39"/>
      <c r="I16" s="28"/>
      <c r="J16" s="6" t="s">
        <v>125</v>
      </c>
      <c r="K16" s="39" t="s">
        <v>227</v>
      </c>
      <c r="L16" s="28">
        <v>-1300</v>
      </c>
      <c r="M16" s="6" t="s">
        <v>175</v>
      </c>
      <c r="N16" s="39" t="s">
        <v>340</v>
      </c>
      <c r="O16" s="26">
        <v>-30000</v>
      </c>
      <c r="P16" s="5"/>
      <c r="Q16" s="6"/>
      <c r="R16" s="39"/>
      <c r="S16" s="28"/>
      <c r="T16" s="6" t="s">
        <v>129</v>
      </c>
      <c r="U16" s="39" t="s">
        <v>403</v>
      </c>
      <c r="V16" s="28">
        <v>-1000</v>
      </c>
      <c r="W16" s="6" t="s">
        <v>127</v>
      </c>
      <c r="X16" s="39" t="s">
        <v>181</v>
      </c>
      <c r="Y16" s="26">
        <v>-100000</v>
      </c>
    </row>
    <row r="17" spans="2:25" x14ac:dyDescent="0.3">
      <c r="G17" s="6"/>
      <c r="H17" s="39"/>
      <c r="I17" s="28"/>
      <c r="J17" s="6" t="s">
        <v>120</v>
      </c>
      <c r="K17" s="39" t="s">
        <v>343</v>
      </c>
      <c r="L17" s="28">
        <v>-50000</v>
      </c>
      <c r="M17" s="6" t="s">
        <v>175</v>
      </c>
      <c r="N17" s="39" t="s">
        <v>341</v>
      </c>
      <c r="O17" s="26">
        <v>-30000</v>
      </c>
      <c r="P17" s="5"/>
      <c r="Q17" s="6"/>
      <c r="R17" s="39"/>
      <c r="S17" s="28"/>
      <c r="T17" s="6" t="s">
        <v>126</v>
      </c>
      <c r="U17" s="39" t="s">
        <v>404</v>
      </c>
      <c r="V17" s="28">
        <v>-30500</v>
      </c>
      <c r="W17" s="6" t="s">
        <v>144</v>
      </c>
      <c r="X17" s="39" t="s">
        <v>200</v>
      </c>
      <c r="Y17" s="26">
        <v>4</v>
      </c>
    </row>
    <row r="18" spans="2:25" x14ac:dyDescent="0.3">
      <c r="G18" s="6"/>
      <c r="H18" s="39"/>
      <c r="I18" s="28"/>
      <c r="J18" s="6" t="s">
        <v>125</v>
      </c>
      <c r="K18" s="39" t="s">
        <v>344</v>
      </c>
      <c r="L18" s="28">
        <v>-16700</v>
      </c>
      <c r="M18" s="6" t="s">
        <v>175</v>
      </c>
      <c r="N18" s="39" t="s">
        <v>342</v>
      </c>
      <c r="O18" s="26">
        <v>-30000</v>
      </c>
      <c r="P18" s="5"/>
      <c r="Q18" s="6"/>
      <c r="R18" s="39"/>
      <c r="S18" s="28"/>
      <c r="T18" s="6" t="s">
        <v>125</v>
      </c>
      <c r="U18" s="39" t="s">
        <v>405</v>
      </c>
      <c r="V18" s="28">
        <v>-5000</v>
      </c>
      <c r="W18" s="6" t="s">
        <v>114</v>
      </c>
      <c r="X18" s="39" t="s">
        <v>363</v>
      </c>
      <c r="Y18" s="26">
        <v>0</v>
      </c>
    </row>
    <row r="19" spans="2:25" x14ac:dyDescent="0.3">
      <c r="G19" s="6"/>
      <c r="H19" s="39"/>
      <c r="I19" s="28"/>
      <c r="J19" s="6" t="s">
        <v>119</v>
      </c>
      <c r="K19" s="39" t="s">
        <v>193</v>
      </c>
      <c r="L19" s="28">
        <v>-40000</v>
      </c>
      <c r="M19" s="6" t="s">
        <v>127</v>
      </c>
      <c r="N19" s="39" t="s">
        <v>181</v>
      </c>
      <c r="O19" s="26">
        <v>-100000</v>
      </c>
      <c r="P19" s="5"/>
      <c r="Q19" s="6"/>
      <c r="R19" s="39"/>
      <c r="S19" s="28"/>
      <c r="T19" s="6" t="s">
        <v>144</v>
      </c>
      <c r="U19" s="39" t="s">
        <v>406</v>
      </c>
      <c r="V19" s="28">
        <v>-1500</v>
      </c>
      <c r="W19" s="6" t="s">
        <v>127</v>
      </c>
      <c r="X19" s="39" t="s">
        <v>135</v>
      </c>
      <c r="Y19" s="26">
        <v>-495000</v>
      </c>
    </row>
    <row r="20" spans="2:25" x14ac:dyDescent="0.3">
      <c r="G20" s="6"/>
      <c r="H20" s="39"/>
      <c r="I20" s="28"/>
      <c r="J20" s="6" t="s">
        <v>120</v>
      </c>
      <c r="K20" s="39" t="s">
        <v>345</v>
      </c>
      <c r="L20" s="28">
        <v>-79000</v>
      </c>
      <c r="M20" s="6" t="s">
        <v>127</v>
      </c>
      <c r="N20" s="39" t="s">
        <v>181</v>
      </c>
      <c r="O20" s="26">
        <v>-100000</v>
      </c>
      <c r="P20" s="5"/>
      <c r="Q20" s="6"/>
      <c r="R20" s="39"/>
      <c r="S20" s="28"/>
      <c r="T20" s="6" t="s">
        <v>117</v>
      </c>
      <c r="U20" s="39" t="s">
        <v>321</v>
      </c>
      <c r="V20" s="28">
        <v>-136</v>
      </c>
      <c r="W20" s="6" t="s">
        <v>127</v>
      </c>
      <c r="X20" s="39" t="s">
        <v>135</v>
      </c>
      <c r="Y20" s="26">
        <v>41300</v>
      </c>
    </row>
    <row r="21" spans="2:25" x14ac:dyDescent="0.3">
      <c r="G21" s="6"/>
      <c r="H21" s="39"/>
      <c r="I21" s="28"/>
      <c r="J21" s="6" t="s">
        <v>129</v>
      </c>
      <c r="K21" s="39" t="s">
        <v>233</v>
      </c>
      <c r="L21" s="28">
        <v>-4600</v>
      </c>
      <c r="M21" s="6" t="s">
        <v>175</v>
      </c>
      <c r="N21" s="39" t="s">
        <v>346</v>
      </c>
      <c r="O21" s="26">
        <v>-30000</v>
      </c>
      <c r="P21" s="5"/>
      <c r="Q21" s="6"/>
      <c r="R21" s="39"/>
      <c r="S21" s="28"/>
      <c r="T21" s="6" t="s">
        <v>138</v>
      </c>
      <c r="U21" s="39" t="s">
        <v>407</v>
      </c>
      <c r="V21" s="28">
        <v>-115500</v>
      </c>
      <c r="W21" s="6" t="s">
        <v>127</v>
      </c>
      <c r="X21" s="39" t="s">
        <v>409</v>
      </c>
      <c r="Y21" s="26">
        <v>-12000</v>
      </c>
    </row>
    <row r="22" spans="2:25" x14ac:dyDescent="0.3">
      <c r="G22" s="6"/>
      <c r="H22" s="39"/>
      <c r="I22" s="28"/>
      <c r="J22" s="6" t="s">
        <v>129</v>
      </c>
      <c r="K22" s="39" t="s">
        <v>233</v>
      </c>
      <c r="L22" s="28">
        <v>4600</v>
      </c>
      <c r="M22" s="6" t="s">
        <v>175</v>
      </c>
      <c r="N22" s="39" t="s">
        <v>348</v>
      </c>
      <c r="O22" s="26">
        <v>-30000</v>
      </c>
      <c r="P22" s="5"/>
      <c r="Q22" s="6"/>
      <c r="R22" s="39"/>
      <c r="S22" s="28"/>
      <c r="T22" s="6" t="s">
        <v>118</v>
      </c>
      <c r="U22" s="39" t="s">
        <v>275</v>
      </c>
      <c r="V22" s="28">
        <v>-16500</v>
      </c>
      <c r="W22" s="6" t="s">
        <v>127</v>
      </c>
      <c r="X22" s="39" t="s">
        <v>135</v>
      </c>
      <c r="Y22" s="26">
        <v>6000</v>
      </c>
    </row>
    <row r="23" spans="2:25" x14ac:dyDescent="0.3">
      <c r="G23" s="6"/>
      <c r="H23" s="39"/>
      <c r="I23" s="28"/>
      <c r="J23" s="6" t="s">
        <v>129</v>
      </c>
      <c r="K23" s="39" t="s">
        <v>233</v>
      </c>
      <c r="L23" s="28">
        <v>-4120</v>
      </c>
      <c r="M23" s="6" t="s">
        <v>175</v>
      </c>
      <c r="N23" s="39" t="s">
        <v>235</v>
      </c>
      <c r="O23" s="26">
        <v>23500</v>
      </c>
      <c r="P23" s="5"/>
      <c r="Q23" s="6"/>
      <c r="R23" s="39"/>
      <c r="S23" s="28"/>
      <c r="T23" s="6" t="s">
        <v>118</v>
      </c>
      <c r="U23" s="39" t="s">
        <v>275</v>
      </c>
      <c r="V23" s="28">
        <v>-16150</v>
      </c>
      <c r="W23" s="6" t="s">
        <v>145</v>
      </c>
      <c r="X23" s="39" t="s">
        <v>410</v>
      </c>
      <c r="Y23" s="26">
        <v>30000</v>
      </c>
    </row>
    <row r="24" spans="2:25" x14ac:dyDescent="0.3">
      <c r="G24" s="6"/>
      <c r="H24" s="39"/>
      <c r="I24" s="28"/>
      <c r="J24" s="6" t="s">
        <v>134</v>
      </c>
      <c r="K24" s="39" t="s">
        <v>347</v>
      </c>
      <c r="L24" s="28">
        <v>-15000</v>
      </c>
      <c r="M24" s="6" t="s">
        <v>175</v>
      </c>
      <c r="N24" s="39" t="s">
        <v>349</v>
      </c>
      <c r="O24" s="26">
        <v>-30000</v>
      </c>
      <c r="P24" s="5"/>
      <c r="Q24" s="6"/>
      <c r="R24" s="39"/>
      <c r="S24" s="28"/>
      <c r="T24" s="6" t="s">
        <v>119</v>
      </c>
      <c r="U24" s="39" t="s">
        <v>141</v>
      </c>
      <c r="V24" s="28">
        <v>-12590</v>
      </c>
      <c r="W24" s="6" t="s">
        <v>127</v>
      </c>
      <c r="X24" s="39" t="s">
        <v>131</v>
      </c>
      <c r="Y24" s="26">
        <v>-8050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120</v>
      </c>
      <c r="K25" s="39" t="s">
        <v>121</v>
      </c>
      <c r="L25" s="28">
        <v>-23500</v>
      </c>
      <c r="M25" s="6" t="s">
        <v>175</v>
      </c>
      <c r="N25" s="39" t="s">
        <v>352</v>
      </c>
      <c r="O25" s="26">
        <v>-30000</v>
      </c>
      <c r="P25" s="5"/>
      <c r="Q25" s="6"/>
      <c r="R25" s="39"/>
      <c r="S25" s="28"/>
      <c r="T25" s="6" t="s">
        <v>151</v>
      </c>
      <c r="U25" s="39" t="s">
        <v>152</v>
      </c>
      <c r="V25" s="28">
        <v>-50000</v>
      </c>
      <c r="W25" s="6" t="s">
        <v>127</v>
      </c>
      <c r="X25" s="39" t="s">
        <v>411</v>
      </c>
      <c r="Y25" s="26">
        <v>1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129</v>
      </c>
      <c r="K26" s="39" t="s">
        <v>350</v>
      </c>
      <c r="L26" s="28">
        <v>-3300</v>
      </c>
      <c r="M26" s="6" t="s">
        <v>127</v>
      </c>
      <c r="N26" s="39" t="s">
        <v>181</v>
      </c>
      <c r="O26" s="26">
        <v>-100000</v>
      </c>
      <c r="P26" s="5"/>
      <c r="Q26" s="6"/>
      <c r="R26" s="39"/>
      <c r="S26" s="28"/>
      <c r="T26" s="6" t="s">
        <v>144</v>
      </c>
      <c r="U26" s="39" t="s">
        <v>147</v>
      </c>
      <c r="V26" s="28">
        <v>-120000</v>
      </c>
      <c r="W26" s="6" t="s">
        <v>114</v>
      </c>
      <c r="X26" s="39" t="s">
        <v>286</v>
      </c>
      <c r="Y26" s="26">
        <v>1</v>
      </c>
    </row>
    <row r="27" spans="2:25" x14ac:dyDescent="0.3">
      <c r="B27" s="48" t="s">
        <v>115</v>
      </c>
      <c r="C27" s="131">
        <f>-(SUMIF($J$7:$J$88,B27,$L$7:$L$88)+SUMIF($T$7:$T$88,B27,$V$7:$V$88))</f>
        <v>384420</v>
      </c>
      <c r="D27" s="99"/>
      <c r="E27" s="100"/>
      <c r="G27" s="6"/>
      <c r="H27" s="39"/>
      <c r="I27" s="28"/>
      <c r="J27" s="6" t="s">
        <v>129</v>
      </c>
      <c r="K27" s="39" t="s">
        <v>351</v>
      </c>
      <c r="L27" s="28">
        <v>-4200</v>
      </c>
      <c r="M27" s="6" t="s">
        <v>127</v>
      </c>
      <c r="N27" s="39" t="s">
        <v>354</v>
      </c>
      <c r="O27" s="26">
        <v>13200</v>
      </c>
      <c r="P27" s="5"/>
      <c r="Q27" s="6"/>
      <c r="R27" s="39"/>
      <c r="S27" s="28"/>
      <c r="T27" s="6" t="s">
        <v>125</v>
      </c>
      <c r="U27" s="39" t="s">
        <v>140</v>
      </c>
      <c r="V27" s="28">
        <v>-1200</v>
      </c>
      <c r="W27" s="6" t="s">
        <v>127</v>
      </c>
      <c r="X27" s="39" t="s">
        <v>413</v>
      </c>
      <c r="Y27" s="26">
        <v>-80000</v>
      </c>
    </row>
    <row r="28" spans="2:25" x14ac:dyDescent="0.3">
      <c r="B28" s="49" t="s">
        <v>116</v>
      </c>
      <c r="C28" s="131">
        <f>-(SUMIF($J$7:$J$88,B28,$L$7:$L$88)+SUMIF($T$7:$T$88,B28,$V$7:$V$88))</f>
        <v>300343</v>
      </c>
      <c r="D28" s="99"/>
      <c r="E28" s="100"/>
      <c r="G28" s="6"/>
      <c r="H28" s="39"/>
      <c r="I28" s="28"/>
      <c r="J28" s="6" t="s">
        <v>120</v>
      </c>
      <c r="K28" s="39" t="s">
        <v>353</v>
      </c>
      <c r="L28" s="28">
        <v>-69000</v>
      </c>
      <c r="M28" s="6" t="s">
        <v>127</v>
      </c>
      <c r="N28" s="39" t="s">
        <v>299</v>
      </c>
      <c r="O28" s="26">
        <v>13900</v>
      </c>
      <c r="P28" s="5"/>
      <c r="Q28" s="6"/>
      <c r="R28" s="39"/>
      <c r="S28" s="28"/>
      <c r="T28" s="6" t="s">
        <v>137</v>
      </c>
      <c r="U28" s="39" t="s">
        <v>263</v>
      </c>
      <c r="V28" s="28">
        <v>-29354</v>
      </c>
      <c r="W28" s="6" t="s">
        <v>127</v>
      </c>
      <c r="X28" s="39" t="s">
        <v>235</v>
      </c>
      <c r="Y28" s="26">
        <v>40000</v>
      </c>
    </row>
    <row r="29" spans="2:25" x14ac:dyDescent="0.3">
      <c r="B29" s="49" t="s">
        <v>120</v>
      </c>
      <c r="C29" s="131">
        <f>-(SUMIF($J$7:$J$88,B29,$L$7:$L$88)+SUMIF($T$7:$T$88,B29,$V$7:$V$88))</f>
        <v>483300</v>
      </c>
      <c r="D29" s="99"/>
      <c r="E29" s="100"/>
      <c r="G29" s="6"/>
      <c r="H29" s="39"/>
      <c r="I29" s="28"/>
      <c r="J29" s="6" t="s">
        <v>120</v>
      </c>
      <c r="K29" s="39" t="s">
        <v>355</v>
      </c>
      <c r="L29" s="28">
        <v>-21500</v>
      </c>
      <c r="M29" s="6" t="s">
        <v>127</v>
      </c>
      <c r="N29" s="39" t="s">
        <v>272</v>
      </c>
      <c r="O29" s="26">
        <v>13200</v>
      </c>
      <c r="P29" s="5"/>
      <c r="Q29" s="6"/>
      <c r="R29" s="39"/>
      <c r="S29" s="28"/>
      <c r="T29" s="6" t="s">
        <v>144</v>
      </c>
      <c r="U29" s="39" t="s">
        <v>263</v>
      </c>
      <c r="V29" s="28">
        <v>-82600</v>
      </c>
      <c r="W29" s="6" t="s">
        <v>145</v>
      </c>
      <c r="X29" s="39" t="s">
        <v>415</v>
      </c>
      <c r="Y29" s="26">
        <v>40000</v>
      </c>
    </row>
    <row r="30" spans="2:25" x14ac:dyDescent="0.3">
      <c r="B30" s="49" t="s">
        <v>118</v>
      </c>
      <c r="C30" s="131">
        <f>-(SUMIF($J$7:$J$88,B30,$L$7:$L$88)+SUMIF($T$7:$T$88,B30,$V$7:$V$88))</f>
        <v>349230</v>
      </c>
      <c r="D30" s="99"/>
      <c r="E30" s="100"/>
      <c r="G30" s="6"/>
      <c r="H30" s="39"/>
      <c r="I30" s="28"/>
      <c r="J30" s="6" t="s">
        <v>128</v>
      </c>
      <c r="K30" s="39" t="s">
        <v>357</v>
      </c>
      <c r="L30" s="28">
        <v>-177210</v>
      </c>
      <c r="M30" s="6" t="s">
        <v>127</v>
      </c>
      <c r="N30" s="39" t="s">
        <v>271</v>
      </c>
      <c r="O30" s="26">
        <v>13200</v>
      </c>
      <c r="P30" s="5"/>
      <c r="Q30" s="6"/>
      <c r="R30" s="39"/>
      <c r="S30" s="28"/>
      <c r="T30" s="6" t="s">
        <v>137</v>
      </c>
      <c r="U30" s="39" t="s">
        <v>140</v>
      </c>
      <c r="V30" s="28">
        <v>-1200</v>
      </c>
      <c r="W30" s="6" t="s">
        <v>144</v>
      </c>
      <c r="X30" s="39" t="s">
        <v>200</v>
      </c>
      <c r="Y30" s="26">
        <v>0</v>
      </c>
    </row>
    <row r="31" spans="2:25" x14ac:dyDescent="0.3">
      <c r="B31" s="49" t="s">
        <v>122</v>
      </c>
      <c r="C31" s="131">
        <f>-(SUMIF($J$7:$J$88,B31,$L$7:$L$88)+SUMIF($T$7:$T$88,B31,$V$7:$V$88))</f>
        <v>34000</v>
      </c>
      <c r="D31" s="99"/>
      <c r="E31" s="100"/>
      <c r="G31" s="6"/>
      <c r="H31" s="39"/>
      <c r="I31" s="28"/>
      <c r="J31" s="6" t="s">
        <v>128</v>
      </c>
      <c r="K31" s="39" t="s">
        <v>358</v>
      </c>
      <c r="L31" s="28">
        <v>-8500</v>
      </c>
      <c r="M31" s="6" t="s">
        <v>175</v>
      </c>
      <c r="N31" s="39" t="s">
        <v>356</v>
      </c>
      <c r="O31" s="26">
        <v>-30000</v>
      </c>
      <c r="P31" s="5"/>
      <c r="Q31" s="6"/>
      <c r="R31" s="39"/>
      <c r="S31" s="28"/>
      <c r="T31" s="6" t="s">
        <v>137</v>
      </c>
      <c r="U31" s="39" t="s">
        <v>140</v>
      </c>
      <c r="V31" s="28">
        <v>-5100</v>
      </c>
      <c r="W31" s="6" t="s">
        <v>127</v>
      </c>
      <c r="X31" s="39" t="s">
        <v>235</v>
      </c>
      <c r="Y31" s="26">
        <v>50000</v>
      </c>
    </row>
    <row r="32" spans="2:25" x14ac:dyDescent="0.3">
      <c r="B32" s="49" t="s">
        <v>119</v>
      </c>
      <c r="C32" s="131">
        <f>-(SUMIF($J$7:$J$88,B32,$L$7:$L$88)+SUMIF($T$7:$T$88,B32,$V$7:$V$88))</f>
        <v>267390</v>
      </c>
      <c r="D32" s="99"/>
      <c r="E32" s="100"/>
      <c r="G32" s="6"/>
      <c r="H32" s="39"/>
      <c r="I32" s="28"/>
      <c r="J32" s="6" t="s">
        <v>116</v>
      </c>
      <c r="K32" s="39" t="s">
        <v>177</v>
      </c>
      <c r="L32" s="28">
        <v>-11000</v>
      </c>
      <c r="M32" s="6" t="s">
        <v>175</v>
      </c>
      <c r="N32" s="39" t="s">
        <v>360</v>
      </c>
      <c r="O32" s="26">
        <v>-30000</v>
      </c>
      <c r="P32" s="5"/>
      <c r="Q32" s="6"/>
      <c r="R32" s="39"/>
      <c r="S32" s="28"/>
      <c r="T32" s="6" t="s">
        <v>144</v>
      </c>
      <c r="U32" s="39" t="s">
        <v>260</v>
      </c>
      <c r="V32" s="28">
        <v>-30000</v>
      </c>
      <c r="W32" s="6" t="s">
        <v>127</v>
      </c>
      <c r="X32" s="39" t="s">
        <v>131</v>
      </c>
      <c r="Y32" s="26">
        <v>-13000</v>
      </c>
    </row>
    <row r="33" spans="2:25" x14ac:dyDescent="0.3">
      <c r="B33" s="49" t="s">
        <v>129</v>
      </c>
      <c r="C33" s="131">
        <f>-(SUMIF($J$7:$J$88,B33,$L$7:$L$88)+SUMIF($T$7:$T$88,B33,$V$7:$V$88))</f>
        <v>12620</v>
      </c>
      <c r="D33" s="99"/>
      <c r="E33" s="100"/>
      <c r="G33" s="6"/>
      <c r="H33" s="39"/>
      <c r="I33" s="28"/>
      <c r="J33" s="6" t="s">
        <v>120</v>
      </c>
      <c r="K33" s="39" t="s">
        <v>359</v>
      </c>
      <c r="L33" s="28">
        <v>-6600</v>
      </c>
      <c r="M33" s="6" t="s">
        <v>175</v>
      </c>
      <c r="N33" s="39" t="s">
        <v>362</v>
      </c>
      <c r="O33" s="26">
        <v>-30000</v>
      </c>
      <c r="P33" s="5"/>
      <c r="Q33" s="6"/>
      <c r="R33" s="39"/>
      <c r="S33" s="28"/>
      <c r="T33" s="6" t="s">
        <v>137</v>
      </c>
      <c r="U33" s="39" t="s">
        <v>140</v>
      </c>
      <c r="V33" s="28">
        <v>-1200</v>
      </c>
      <c r="W33" s="6" t="s">
        <v>133</v>
      </c>
      <c r="X33" s="39" t="s">
        <v>326</v>
      </c>
      <c r="Y33" s="26">
        <v>-62095</v>
      </c>
    </row>
    <row r="34" spans="2:25" x14ac:dyDescent="0.3">
      <c r="B34" s="49" t="s">
        <v>125</v>
      </c>
      <c r="C34" s="131">
        <f>-(SUMIF($J$7:$J$88,B34,$L$7:$L$88)+SUMIF($T$7:$T$88,B34,$V$7:$V$88))</f>
        <v>139454</v>
      </c>
      <c r="D34" s="99"/>
      <c r="E34" s="100"/>
      <c r="G34" s="6"/>
      <c r="H34" s="39"/>
      <c r="I34" s="28"/>
      <c r="J34" s="6" t="s">
        <v>119</v>
      </c>
      <c r="K34" s="39" t="s">
        <v>361</v>
      </c>
      <c r="L34" s="28">
        <v>-122800</v>
      </c>
      <c r="M34" s="6" t="s">
        <v>144</v>
      </c>
      <c r="N34" s="39" t="s">
        <v>200</v>
      </c>
      <c r="O34" s="26">
        <v>0</v>
      </c>
      <c r="P34" s="5"/>
      <c r="Q34" s="6"/>
      <c r="R34" s="39"/>
      <c r="S34" s="28"/>
      <c r="T34" s="6" t="s">
        <v>118</v>
      </c>
      <c r="U34" s="39" t="s">
        <v>224</v>
      </c>
      <c r="V34" s="28">
        <v>-24100</v>
      </c>
      <c r="W34" s="6" t="s">
        <v>127</v>
      </c>
      <c r="X34" s="39" t="s">
        <v>420</v>
      </c>
      <c r="Y34" s="26">
        <v>-10000</v>
      </c>
    </row>
    <row r="35" spans="2:25" x14ac:dyDescent="0.3">
      <c r="B35" s="49" t="s">
        <v>148</v>
      </c>
      <c r="C35" s="131">
        <f>-(SUMIF($J$7:$J$88,B35,$L$7:$L$88)+SUMIF($T$7:$T$88,B35,$V$7:$V$88))</f>
        <v>100000</v>
      </c>
      <c r="D35" s="99"/>
      <c r="E35" s="100"/>
      <c r="G35" s="6"/>
      <c r="H35" s="39"/>
      <c r="I35" s="28"/>
      <c r="J35" s="6" t="s">
        <v>118</v>
      </c>
      <c r="K35" s="39" t="s">
        <v>130</v>
      </c>
      <c r="L35" s="28">
        <v>-16500</v>
      </c>
      <c r="M35" s="6" t="s">
        <v>175</v>
      </c>
      <c r="N35" s="39" t="s">
        <v>364</v>
      </c>
      <c r="O35" s="26">
        <v>-30000</v>
      </c>
      <c r="P35" s="5"/>
      <c r="Q35" s="6"/>
      <c r="R35" s="39"/>
      <c r="S35" s="28"/>
      <c r="T35" s="6" t="s">
        <v>137</v>
      </c>
      <c r="U35" s="39" t="s">
        <v>140</v>
      </c>
      <c r="V35" s="28">
        <v>-2000</v>
      </c>
      <c r="W35" s="6"/>
      <c r="X35" s="39"/>
      <c r="Y35" s="26"/>
    </row>
    <row r="36" spans="2:25" x14ac:dyDescent="0.3">
      <c r="B36" s="49" t="s">
        <v>117</v>
      </c>
      <c r="C36" s="131">
        <f>-(SUMIF($J$7:$J$88,B36,$L$7:$L$88)+SUMIF($T$7:$T$88,B36,$V$7:$V$88))</f>
        <v>28136</v>
      </c>
      <c r="D36" s="99"/>
      <c r="E36" s="100"/>
      <c r="G36" s="6"/>
      <c r="H36" s="39"/>
      <c r="I36" s="28"/>
      <c r="J36" s="6" t="s">
        <v>115</v>
      </c>
      <c r="K36" s="39" t="s">
        <v>132</v>
      </c>
      <c r="L36" s="28">
        <v>-41300</v>
      </c>
      <c r="M36" s="6" t="s">
        <v>175</v>
      </c>
      <c r="N36" s="39" t="s">
        <v>365</v>
      </c>
      <c r="O36" s="26">
        <v>-30000</v>
      </c>
      <c r="P36" s="5"/>
      <c r="Q36" s="6"/>
      <c r="R36" s="39"/>
      <c r="S36" s="28"/>
      <c r="T36" s="6" t="s">
        <v>125</v>
      </c>
      <c r="U36" s="39" t="s">
        <v>263</v>
      </c>
      <c r="V36" s="28">
        <v>-9350</v>
      </c>
      <c r="W36" s="6"/>
      <c r="X36" s="39"/>
      <c r="Y36" s="26"/>
    </row>
    <row r="37" spans="2:25" x14ac:dyDescent="0.3">
      <c r="B37" s="49" t="s">
        <v>128</v>
      </c>
      <c r="C37" s="131">
        <f>-(SUMIF($J$7:$J$88,B37,$L$7:$L$88)+SUMIF($T$7:$T$88,B37,$V$7:$V$88))</f>
        <v>197710</v>
      </c>
      <c r="D37" s="99"/>
      <c r="E37" s="100"/>
      <c r="G37" s="6"/>
      <c r="H37" s="39"/>
      <c r="I37" s="28"/>
      <c r="J37" s="6" t="s">
        <v>115</v>
      </c>
      <c r="K37" s="39" t="s">
        <v>132</v>
      </c>
      <c r="L37" s="28">
        <v>-6000</v>
      </c>
      <c r="M37" s="6" t="s">
        <v>133</v>
      </c>
      <c r="N37" s="39" t="s">
        <v>366</v>
      </c>
      <c r="O37" s="26">
        <v>-990000</v>
      </c>
      <c r="P37" s="5"/>
      <c r="Q37" s="6"/>
      <c r="R37" s="39"/>
      <c r="S37" s="28"/>
      <c r="T37" s="6" t="s">
        <v>144</v>
      </c>
      <c r="U37" s="39" t="s">
        <v>263</v>
      </c>
      <c r="V37" s="28">
        <v>-37000</v>
      </c>
      <c r="W37" s="6"/>
      <c r="X37" s="39"/>
      <c r="Y37" s="26"/>
    </row>
    <row r="38" spans="2:25" x14ac:dyDescent="0.3">
      <c r="B38" s="49" t="s">
        <v>146</v>
      </c>
      <c r="C38" s="131">
        <f>-(SUMIF($J$7:$J$88,B38,$L$7:$L$88)+SUMIF($T$7:$T$88,B38,$V$7:$V$88))</f>
        <v>0</v>
      </c>
      <c r="D38" s="99"/>
      <c r="E38" s="100"/>
      <c r="G38" s="6"/>
      <c r="H38" s="39"/>
      <c r="I38" s="28"/>
      <c r="J38" s="6" t="s">
        <v>122</v>
      </c>
      <c r="K38" s="39" t="s">
        <v>123</v>
      </c>
      <c r="L38" s="28">
        <v>-24000</v>
      </c>
      <c r="M38" s="6" t="s">
        <v>127</v>
      </c>
      <c r="N38" s="39" t="s">
        <v>367</v>
      </c>
      <c r="O38" s="26">
        <v>495000</v>
      </c>
      <c r="P38" s="5"/>
      <c r="Q38" s="6"/>
      <c r="R38" s="39"/>
      <c r="S38" s="28"/>
      <c r="T38" s="6" t="s">
        <v>137</v>
      </c>
      <c r="U38" s="39" t="s">
        <v>414</v>
      </c>
      <c r="V38" s="28">
        <v>-67000</v>
      </c>
      <c r="W38" s="6"/>
      <c r="X38" s="39"/>
      <c r="Y38" s="26"/>
    </row>
    <row r="39" spans="2:25" x14ac:dyDescent="0.3">
      <c r="B39" s="49" t="s">
        <v>134</v>
      </c>
      <c r="C39" s="131">
        <f>-(SUMIF($J$7:$J$88,B39,$L$7:$L$88)+SUMIF($T$7:$T$88,B39,$V$7:$V$88))</f>
        <v>3433000</v>
      </c>
      <c r="D39" s="99"/>
      <c r="E39" s="100"/>
      <c r="G39" s="6"/>
      <c r="H39" s="39"/>
      <c r="I39" s="28"/>
      <c r="J39" s="6" t="s">
        <v>116</v>
      </c>
      <c r="K39" s="39" t="s">
        <v>336</v>
      </c>
      <c r="L39" s="28">
        <v>-2580</v>
      </c>
      <c r="M39" s="6" t="s">
        <v>175</v>
      </c>
      <c r="N39" s="39" t="s">
        <v>368</v>
      </c>
      <c r="O39" s="26">
        <v>-30000</v>
      </c>
      <c r="P39" s="5"/>
      <c r="Q39" s="6"/>
      <c r="R39" s="39"/>
      <c r="S39" s="28"/>
      <c r="T39" s="6" t="s">
        <v>125</v>
      </c>
      <c r="U39" s="39" t="s">
        <v>123</v>
      </c>
      <c r="V39" s="28">
        <v>-990</v>
      </c>
      <c r="W39" s="6"/>
      <c r="X39" s="39"/>
      <c r="Y39" s="26"/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119</v>
      </c>
      <c r="K40" s="39" t="s">
        <v>371</v>
      </c>
      <c r="L40" s="28">
        <v>-30000</v>
      </c>
      <c r="M40" s="6" t="s">
        <v>175</v>
      </c>
      <c r="N40" s="39" t="s">
        <v>369</v>
      </c>
      <c r="O40" s="26">
        <v>-30000</v>
      </c>
      <c r="P40" s="5"/>
      <c r="Q40" s="6"/>
      <c r="R40" s="39"/>
      <c r="S40" s="28"/>
      <c r="T40" s="6" t="s">
        <v>144</v>
      </c>
      <c r="U40" s="39" t="s">
        <v>260</v>
      </c>
      <c r="V40" s="28">
        <v>-34610</v>
      </c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30500</v>
      </c>
      <c r="D41" s="99"/>
      <c r="E41" s="100"/>
      <c r="G41" s="6"/>
      <c r="H41" s="39"/>
      <c r="I41" s="28"/>
      <c r="J41" s="6" t="s">
        <v>118</v>
      </c>
      <c r="K41" s="39" t="s">
        <v>224</v>
      </c>
      <c r="L41" s="28">
        <v>-40490</v>
      </c>
      <c r="M41" s="6" t="s">
        <v>175</v>
      </c>
      <c r="N41" s="39" t="s">
        <v>370</v>
      </c>
      <c r="O41" s="26">
        <v>-30000</v>
      </c>
      <c r="P41" s="5"/>
      <c r="Q41" s="6"/>
      <c r="R41" s="39"/>
      <c r="S41" s="28"/>
      <c r="T41" s="6" t="s">
        <v>138</v>
      </c>
      <c r="U41" s="39" t="s">
        <v>139</v>
      </c>
      <c r="V41" s="28">
        <v>-19900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50000</v>
      </c>
      <c r="D42" s="99"/>
      <c r="E42" s="100"/>
      <c r="G42" s="6"/>
      <c r="H42" s="39"/>
      <c r="I42" s="28"/>
      <c r="J42" s="6" t="s">
        <v>120</v>
      </c>
      <c r="K42" s="39" t="s">
        <v>121</v>
      </c>
      <c r="L42" s="28">
        <v>-17500</v>
      </c>
      <c r="M42" s="6" t="s">
        <v>127</v>
      </c>
      <c r="N42" s="39" t="s">
        <v>131</v>
      </c>
      <c r="O42" s="26">
        <v>-8050</v>
      </c>
      <c r="P42" s="5"/>
      <c r="Q42" s="6"/>
      <c r="R42" s="39"/>
      <c r="S42" s="28"/>
      <c r="T42" s="6" t="s">
        <v>144</v>
      </c>
      <c r="U42" s="39" t="s">
        <v>263</v>
      </c>
      <c r="V42" s="28">
        <v>-49800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524224</v>
      </c>
      <c r="D43" s="99"/>
      <c r="E43" s="100"/>
      <c r="G43" s="6"/>
      <c r="H43" s="39"/>
      <c r="I43" s="28"/>
      <c r="J43" s="6" t="s">
        <v>116</v>
      </c>
      <c r="K43" s="39" t="s">
        <v>124</v>
      </c>
      <c r="L43" s="28">
        <v>-80000</v>
      </c>
      <c r="M43" s="6" t="s">
        <v>175</v>
      </c>
      <c r="N43" s="39" t="s">
        <v>372</v>
      </c>
      <c r="O43" s="26">
        <v>-30000</v>
      </c>
      <c r="P43" s="5"/>
      <c r="Q43" s="6"/>
      <c r="R43" s="39"/>
      <c r="S43" s="28"/>
      <c r="T43" s="6" t="s">
        <v>125</v>
      </c>
      <c r="U43" s="39" t="s">
        <v>405</v>
      </c>
      <c r="V43" s="28">
        <v>-8900</v>
      </c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539427</v>
      </c>
      <c r="D44" s="99"/>
      <c r="E44" s="100"/>
      <c r="G44" s="6"/>
      <c r="H44" s="39"/>
      <c r="I44" s="28"/>
      <c r="J44" s="6" t="s">
        <v>116</v>
      </c>
      <c r="K44" s="39" t="s">
        <v>149</v>
      </c>
      <c r="L44" s="28">
        <v>-16280</v>
      </c>
      <c r="M44" s="6" t="s">
        <v>175</v>
      </c>
      <c r="N44" s="39" t="s">
        <v>235</v>
      </c>
      <c r="O44" s="26">
        <v>78510</v>
      </c>
      <c r="P44" s="5"/>
      <c r="Q44" s="6"/>
      <c r="R44" s="39"/>
      <c r="S44" s="28"/>
      <c r="T44" s="6" t="s">
        <v>116</v>
      </c>
      <c r="U44" s="39" t="s">
        <v>289</v>
      </c>
      <c r="V44" s="28">
        <v>-97508</v>
      </c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154130</v>
      </c>
      <c r="D45" s="99"/>
      <c r="E45" s="100"/>
      <c r="G45" s="6"/>
      <c r="H45" s="39"/>
      <c r="I45" s="28"/>
      <c r="J45" s="6" t="s">
        <v>120</v>
      </c>
      <c r="K45" s="39" t="s">
        <v>376</v>
      </c>
      <c r="L45" s="28">
        <v>-20800</v>
      </c>
      <c r="M45" s="6" t="s">
        <v>175</v>
      </c>
      <c r="N45" s="39" t="s">
        <v>236</v>
      </c>
      <c r="O45" s="26">
        <v>-78510</v>
      </c>
      <c r="P45" s="5"/>
      <c r="Q45" s="6"/>
      <c r="R45" s="39"/>
      <c r="S45" s="28"/>
      <c r="T45" s="6" t="s">
        <v>118</v>
      </c>
      <c r="U45" s="39" t="s">
        <v>284</v>
      </c>
      <c r="V45" s="28">
        <v>-235490</v>
      </c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115</v>
      </c>
      <c r="K46" s="39" t="s">
        <v>246</v>
      </c>
      <c r="L46" s="28">
        <v>-36120</v>
      </c>
      <c r="M46" s="6" t="s">
        <v>127</v>
      </c>
      <c r="N46" s="39" t="s">
        <v>131</v>
      </c>
      <c r="O46" s="26">
        <v>-100000</v>
      </c>
      <c r="P46" s="5"/>
      <c r="Q46" s="6"/>
      <c r="R46" s="39"/>
      <c r="S46" s="28"/>
      <c r="T46" s="6" t="s">
        <v>137</v>
      </c>
      <c r="U46" s="39" t="s">
        <v>416</v>
      </c>
      <c r="V46" s="28">
        <v>-35500</v>
      </c>
      <c r="W46" s="6"/>
      <c r="X46" s="39"/>
      <c r="Y46" s="26"/>
    </row>
    <row r="47" spans="2:25" x14ac:dyDescent="0.3">
      <c r="G47" s="6"/>
      <c r="H47" s="39"/>
      <c r="I47" s="28"/>
      <c r="J47" s="6" t="s">
        <v>119</v>
      </c>
      <c r="K47" s="39" t="s">
        <v>379</v>
      </c>
      <c r="L47" s="28">
        <v>-50000</v>
      </c>
      <c r="M47" s="6" t="s">
        <v>175</v>
      </c>
      <c r="N47" s="39" t="s">
        <v>373</v>
      </c>
      <c r="O47" s="26">
        <v>-30000</v>
      </c>
      <c r="P47" s="5"/>
      <c r="Q47" s="6"/>
      <c r="R47" s="39"/>
      <c r="S47" s="28"/>
      <c r="T47" s="6" t="s">
        <v>137</v>
      </c>
      <c r="U47" s="39" t="s">
        <v>140</v>
      </c>
      <c r="V47" s="28">
        <v>-1200</v>
      </c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116</v>
      </c>
      <c r="K48" s="39" t="s">
        <v>190</v>
      </c>
      <c r="L48" s="28">
        <v>-5000</v>
      </c>
      <c r="M48" s="6" t="s">
        <v>175</v>
      </c>
      <c r="N48" s="39" t="s">
        <v>235</v>
      </c>
      <c r="O48" s="26">
        <v>17500</v>
      </c>
      <c r="P48" s="5"/>
      <c r="Q48" s="6"/>
      <c r="R48" s="39"/>
      <c r="S48" s="28"/>
      <c r="T48" s="6" t="s">
        <v>137</v>
      </c>
      <c r="U48" s="39" t="s">
        <v>140</v>
      </c>
      <c r="V48" s="28">
        <v>-1200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125</v>
      </c>
      <c r="K49" s="39" t="s">
        <v>382</v>
      </c>
      <c r="L49" s="28">
        <v>-50000</v>
      </c>
      <c r="M49" s="6" t="s">
        <v>175</v>
      </c>
      <c r="N49" s="39" t="s">
        <v>374</v>
      </c>
      <c r="O49" s="26">
        <v>-30000</v>
      </c>
      <c r="P49" s="5"/>
      <c r="Q49" s="6"/>
      <c r="R49" s="39"/>
      <c r="S49" s="28"/>
      <c r="T49" s="6" t="s">
        <v>137</v>
      </c>
      <c r="U49" s="39" t="s">
        <v>417</v>
      </c>
      <c r="V49" s="28">
        <v>-100000</v>
      </c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134</v>
      </c>
      <c r="K50" s="39" t="s">
        <v>385</v>
      </c>
      <c r="L50" s="28">
        <v>-400000</v>
      </c>
      <c r="M50" s="6" t="s">
        <v>175</v>
      </c>
      <c r="N50" s="39" t="s">
        <v>235</v>
      </c>
      <c r="O50" s="26">
        <v>40000</v>
      </c>
      <c r="P50" s="5"/>
      <c r="Q50" s="6"/>
      <c r="R50" s="39"/>
      <c r="S50" s="28"/>
      <c r="T50" s="6" t="s">
        <v>119</v>
      </c>
      <c r="U50" s="39" t="s">
        <v>123</v>
      </c>
      <c r="V50" s="28">
        <v>-12000</v>
      </c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134</v>
      </c>
      <c r="K51" s="39" t="s">
        <v>385</v>
      </c>
      <c r="L51" s="28">
        <v>-400000</v>
      </c>
      <c r="M51" s="6" t="s">
        <v>175</v>
      </c>
      <c r="N51" s="39" t="s">
        <v>236</v>
      </c>
      <c r="O51" s="26">
        <v>-40000</v>
      </c>
      <c r="P51" s="5"/>
      <c r="Q51" s="6"/>
      <c r="R51" s="39"/>
      <c r="S51" s="28"/>
      <c r="T51" s="6" t="s">
        <v>125</v>
      </c>
      <c r="U51" s="39" t="s">
        <v>418</v>
      </c>
      <c r="V51" s="28">
        <v>-12600</v>
      </c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892</v>
      </c>
      <c r="D52" s="99"/>
      <c r="E52" s="100"/>
      <c r="G52" s="6"/>
      <c r="H52" s="39"/>
      <c r="I52" s="28"/>
      <c r="J52" s="6" t="s">
        <v>134</v>
      </c>
      <c r="K52" s="39" t="s">
        <v>385</v>
      </c>
      <c r="L52" s="28">
        <v>-400000</v>
      </c>
      <c r="M52" s="6" t="s">
        <v>127</v>
      </c>
      <c r="N52" s="39" t="s">
        <v>131</v>
      </c>
      <c r="O52" s="26">
        <v>-40000</v>
      </c>
      <c r="P52" s="5"/>
      <c r="Q52" s="6"/>
      <c r="R52" s="39"/>
      <c r="S52" s="28"/>
      <c r="T52" s="6" t="s">
        <v>125</v>
      </c>
      <c r="U52" s="39" t="s">
        <v>419</v>
      </c>
      <c r="V52" s="28">
        <v>-4500</v>
      </c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8074557</v>
      </c>
      <c r="D53" s="99"/>
      <c r="E53" s="100"/>
      <c r="G53" s="6"/>
      <c r="H53" s="39"/>
      <c r="I53" s="28"/>
      <c r="J53" s="6" t="s">
        <v>134</v>
      </c>
      <c r="K53" s="39" t="s">
        <v>385</v>
      </c>
      <c r="L53" s="28">
        <v>-400000</v>
      </c>
      <c r="M53" s="6" t="s">
        <v>144</v>
      </c>
      <c r="N53" s="39" t="s">
        <v>200</v>
      </c>
      <c r="O53" s="26">
        <v>0</v>
      </c>
      <c r="P53" s="5"/>
      <c r="Q53" s="6"/>
      <c r="R53" s="39"/>
      <c r="S53" s="28"/>
      <c r="T53" s="6" t="s">
        <v>144</v>
      </c>
      <c r="U53" s="39" t="s">
        <v>263</v>
      </c>
      <c r="V53" s="28">
        <v>-124837</v>
      </c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 t="s">
        <v>134</v>
      </c>
      <c r="K54" s="39" t="s">
        <v>385</v>
      </c>
      <c r="L54" s="28">
        <v>-200000</v>
      </c>
      <c r="M54" s="6" t="s">
        <v>127</v>
      </c>
      <c r="N54" s="39" t="s">
        <v>375</v>
      </c>
      <c r="O54" s="26">
        <v>-5500</v>
      </c>
      <c r="P54" s="5"/>
      <c r="Q54" s="6"/>
      <c r="R54" s="39"/>
      <c r="S54" s="28"/>
      <c r="T54" s="6" t="s">
        <v>144</v>
      </c>
      <c r="U54" s="39" t="s">
        <v>263</v>
      </c>
      <c r="V54" s="28">
        <v>-45000</v>
      </c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 t="s">
        <v>134</v>
      </c>
      <c r="K55" s="39" t="s">
        <v>385</v>
      </c>
      <c r="L55" s="28">
        <v>-200000</v>
      </c>
      <c r="M55" s="6" t="s">
        <v>175</v>
      </c>
      <c r="N55" s="39" t="s">
        <v>377</v>
      </c>
      <c r="O55" s="26">
        <v>-30000</v>
      </c>
      <c r="P55" s="5"/>
      <c r="Q55" s="6"/>
      <c r="R55" s="39"/>
      <c r="S55" s="28"/>
      <c r="T55" s="6" t="s">
        <v>125</v>
      </c>
      <c r="U55" s="39" t="s">
        <v>263</v>
      </c>
      <c r="V55" s="28">
        <v>-2014</v>
      </c>
      <c r="W55" s="6"/>
      <c r="X55" s="39"/>
      <c r="Y55" s="26"/>
    </row>
    <row r="56" spans="2:25" x14ac:dyDescent="0.3">
      <c r="G56" s="6"/>
      <c r="H56" s="39"/>
      <c r="I56" s="28"/>
      <c r="J56" s="6" t="s">
        <v>134</v>
      </c>
      <c r="K56" s="39" t="s">
        <v>385</v>
      </c>
      <c r="L56" s="28">
        <v>-200000</v>
      </c>
      <c r="M56" s="6" t="s">
        <v>133</v>
      </c>
      <c r="N56" s="39" t="s">
        <v>245</v>
      </c>
      <c r="O56" s="26">
        <v>-7500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134</v>
      </c>
      <c r="K57" s="39" t="s">
        <v>385</v>
      </c>
      <c r="L57" s="28">
        <v>-200000</v>
      </c>
      <c r="M57" s="6" t="s">
        <v>175</v>
      </c>
      <c r="N57" s="39" t="s">
        <v>378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134</v>
      </c>
      <c r="K58" s="39" t="s">
        <v>385</v>
      </c>
      <c r="L58" s="28">
        <v>-200000</v>
      </c>
      <c r="M58" s="6" t="s">
        <v>175</v>
      </c>
      <c r="N58" s="39" t="s">
        <v>235</v>
      </c>
      <c r="O58" s="26">
        <v>49976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134</v>
      </c>
      <c r="K59" s="39" t="s">
        <v>385</v>
      </c>
      <c r="L59" s="28">
        <v>-200000</v>
      </c>
      <c r="M59" s="6" t="s">
        <v>175</v>
      </c>
      <c r="N59" s="39" t="s">
        <v>236</v>
      </c>
      <c r="O59" s="26">
        <v>-49976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134</v>
      </c>
      <c r="K60" s="39" t="s">
        <v>385</v>
      </c>
      <c r="L60" s="28">
        <v>-400000</v>
      </c>
      <c r="M60" s="6" t="s">
        <v>127</v>
      </c>
      <c r="N60" s="39" t="s">
        <v>131</v>
      </c>
      <c r="O60" s="26">
        <v>-50000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134</v>
      </c>
      <c r="K61" s="39" t="s">
        <v>385</v>
      </c>
      <c r="L61" s="28">
        <v>-200000</v>
      </c>
      <c r="M61" s="6" t="s">
        <v>175</v>
      </c>
      <c r="N61" s="39" t="s">
        <v>186</v>
      </c>
      <c r="O61" s="26">
        <v>-500000</v>
      </c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116</v>
      </c>
      <c r="K62" s="39" t="s">
        <v>386</v>
      </c>
      <c r="L62" s="28">
        <v>-19040</v>
      </c>
      <c r="M62" s="6" t="s">
        <v>175</v>
      </c>
      <c r="N62" s="39" t="s">
        <v>200</v>
      </c>
      <c r="O62" s="26">
        <v>100000</v>
      </c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116</v>
      </c>
      <c r="K63" s="39" t="s">
        <v>388</v>
      </c>
      <c r="L63" s="28">
        <v>-7300</v>
      </c>
      <c r="M63" s="6" t="s">
        <v>175</v>
      </c>
      <c r="N63" s="39" t="s">
        <v>380</v>
      </c>
      <c r="O63" s="26">
        <v>-100000</v>
      </c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120</v>
      </c>
      <c r="K64" s="39" t="s">
        <v>121</v>
      </c>
      <c r="L64" s="28">
        <v>-48600</v>
      </c>
      <c r="M64" s="6" t="s">
        <v>175</v>
      </c>
      <c r="N64" s="39" t="s">
        <v>381</v>
      </c>
      <c r="O64" s="26">
        <v>-30000</v>
      </c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116</v>
      </c>
      <c r="K65" s="39" t="s">
        <v>389</v>
      </c>
      <c r="L65" s="28">
        <v>-4975</v>
      </c>
      <c r="M65" s="6" t="s">
        <v>175</v>
      </c>
      <c r="N65" s="39" t="s">
        <v>235</v>
      </c>
      <c r="O65" s="26">
        <v>14500</v>
      </c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116</v>
      </c>
      <c r="K66" s="39" t="s">
        <v>150</v>
      </c>
      <c r="L66" s="28">
        <v>-5700</v>
      </c>
      <c r="M66" s="6" t="s">
        <v>175</v>
      </c>
      <c r="N66" s="39" t="s">
        <v>236</v>
      </c>
      <c r="O66" s="26">
        <v>-14500</v>
      </c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117</v>
      </c>
      <c r="K67" s="39" t="s">
        <v>390</v>
      </c>
      <c r="L67" s="28">
        <v>-8000</v>
      </c>
      <c r="M67" s="6" t="s">
        <v>127</v>
      </c>
      <c r="N67" s="39" t="s">
        <v>131</v>
      </c>
      <c r="O67" s="26">
        <v>-14500</v>
      </c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148</v>
      </c>
      <c r="K68" s="39" t="s">
        <v>391</v>
      </c>
      <c r="L68" s="28">
        <v>-100000</v>
      </c>
      <c r="M68" s="6" t="s">
        <v>175</v>
      </c>
      <c r="N68" s="39" t="s">
        <v>383</v>
      </c>
      <c r="O68" s="26">
        <v>-30000</v>
      </c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120</v>
      </c>
      <c r="K69" s="39" t="s">
        <v>392</v>
      </c>
      <c r="L69" s="28">
        <v>-33000</v>
      </c>
      <c r="M69" s="6" t="s">
        <v>175</v>
      </c>
      <c r="N69" s="39" t="s">
        <v>252</v>
      </c>
      <c r="O69" s="26">
        <v>-100000</v>
      </c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120</v>
      </c>
      <c r="K70" s="39" t="s">
        <v>392</v>
      </c>
      <c r="L70" s="28">
        <v>-22000</v>
      </c>
      <c r="M70" s="6" t="s">
        <v>175</v>
      </c>
      <c r="N70" s="39" t="s">
        <v>384</v>
      </c>
      <c r="O70" s="26">
        <v>-30000</v>
      </c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125</v>
      </c>
      <c r="K71" s="39" t="s">
        <v>393</v>
      </c>
      <c r="L71" s="28">
        <v>-3000</v>
      </c>
      <c r="M71" s="6" t="s">
        <v>175</v>
      </c>
      <c r="N71" s="39" t="s">
        <v>387</v>
      </c>
      <c r="O71" s="26">
        <v>-30000</v>
      </c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120</v>
      </c>
      <c r="K72" s="39" t="s">
        <v>395</v>
      </c>
      <c r="L72" s="28">
        <v>-53000</v>
      </c>
      <c r="M72" s="6" t="s">
        <v>175</v>
      </c>
      <c r="N72" s="39" t="s">
        <v>235</v>
      </c>
      <c r="O72" s="26">
        <v>48600</v>
      </c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117</v>
      </c>
      <c r="K73" s="39" t="s">
        <v>396</v>
      </c>
      <c r="L73" s="28">
        <v>-20000</v>
      </c>
      <c r="M73" s="6" t="s">
        <v>175</v>
      </c>
      <c r="N73" s="39" t="s">
        <v>394</v>
      </c>
      <c r="O73" s="26">
        <v>-30000</v>
      </c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134</v>
      </c>
      <c r="K74" s="39" t="s">
        <v>304</v>
      </c>
      <c r="L74" s="28">
        <v>-18000</v>
      </c>
      <c r="M74" s="6" t="s">
        <v>175</v>
      </c>
      <c r="N74" s="39" t="s">
        <v>397</v>
      </c>
      <c r="O74" s="26">
        <v>-30000</v>
      </c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122</v>
      </c>
      <c r="K75" s="39" t="s">
        <v>398</v>
      </c>
      <c r="L75" s="28">
        <v>-10000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4079142</v>
      </c>
      <c r="J89" s="7" t="s">
        <v>24</v>
      </c>
      <c r="K89" s="22" t="s">
        <v>34</v>
      </c>
      <c r="L89" s="21">
        <f>SUM(L7:L88)</f>
        <v>-5218015</v>
      </c>
      <c r="M89" s="7" t="s">
        <v>24</v>
      </c>
      <c r="N89" s="22" t="s">
        <v>34</v>
      </c>
      <c r="O89" s="21">
        <f>SUM(O7:O88)</f>
        <v>-2581850</v>
      </c>
      <c r="Q89" s="7" t="s">
        <v>24</v>
      </c>
      <c r="R89" s="17" t="s">
        <v>34</v>
      </c>
      <c r="S89" s="19">
        <f>SUM(S7:S88)</f>
        <v>3996307</v>
      </c>
      <c r="T89" s="7" t="s">
        <v>24</v>
      </c>
      <c r="U89" s="22" t="s">
        <v>34</v>
      </c>
      <c r="V89" s="21">
        <f>SUM(V7:V88)</f>
        <v>-1809869</v>
      </c>
      <c r="W89" s="7" t="s">
        <v>24</v>
      </c>
      <c r="X89" s="22" t="s">
        <v>34</v>
      </c>
      <c r="Y89" s="21">
        <f>SUM(Y7:Y88)</f>
        <v>-1794244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-3720723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392194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topLeftCell="A48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21" t="s">
        <v>109</v>
      </c>
      <c r="C2" s="121"/>
      <c r="D2" s="130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10739835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-739835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1.0739835</v>
      </c>
      <c r="D7" s="111"/>
      <c r="G7" s="6" t="s">
        <v>458</v>
      </c>
      <c r="H7" s="39" t="s">
        <v>459</v>
      </c>
      <c r="I7" s="28">
        <v>1</v>
      </c>
      <c r="J7" s="6" t="s">
        <v>117</v>
      </c>
      <c r="K7" s="39" t="s">
        <v>256</v>
      </c>
      <c r="L7" s="28">
        <v>-108410</v>
      </c>
      <c r="M7" s="6" t="s">
        <v>175</v>
      </c>
      <c r="N7" s="39" t="s">
        <v>422</v>
      </c>
      <c r="O7" s="40">
        <v>-30000</v>
      </c>
      <c r="P7" s="5"/>
      <c r="Q7" s="6" t="s">
        <v>112</v>
      </c>
      <c r="R7" s="39" t="s">
        <v>113</v>
      </c>
      <c r="S7" s="28">
        <v>0</v>
      </c>
      <c r="T7" s="6" t="s">
        <v>118</v>
      </c>
      <c r="U7" s="39" t="s">
        <v>421</v>
      </c>
      <c r="V7" s="28">
        <v>-214500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188</v>
      </c>
      <c r="H8" s="39" t="s">
        <v>229</v>
      </c>
      <c r="I8" s="28">
        <v>10882946</v>
      </c>
      <c r="J8" s="6" t="s">
        <v>118</v>
      </c>
      <c r="K8" s="39" t="s">
        <v>421</v>
      </c>
      <c r="L8" s="28">
        <v>-79030</v>
      </c>
      <c r="M8" s="6" t="s">
        <v>127</v>
      </c>
      <c r="N8" s="39" t="s">
        <v>181</v>
      </c>
      <c r="O8" s="26">
        <v>-400000</v>
      </c>
      <c r="P8" s="5"/>
      <c r="Q8" s="6" t="s">
        <v>188</v>
      </c>
      <c r="R8" s="39" t="s">
        <v>229</v>
      </c>
      <c r="S8" s="28">
        <v>8994039</v>
      </c>
      <c r="T8" s="6" t="s">
        <v>119</v>
      </c>
      <c r="U8" s="39" t="s">
        <v>142</v>
      </c>
      <c r="V8" s="28">
        <v>-170800</v>
      </c>
      <c r="W8" s="6" t="s">
        <v>127</v>
      </c>
      <c r="X8" s="39" t="s">
        <v>181</v>
      </c>
      <c r="Y8" s="26">
        <v>-168910</v>
      </c>
    </row>
    <row r="9" spans="2:25" x14ac:dyDescent="0.3">
      <c r="G9" s="6" t="s">
        <v>112</v>
      </c>
      <c r="H9" s="39" t="s">
        <v>237</v>
      </c>
      <c r="I9" s="28">
        <v>0</v>
      </c>
      <c r="J9" s="6" t="s">
        <v>134</v>
      </c>
      <c r="K9" s="39" t="s">
        <v>385</v>
      </c>
      <c r="L9" s="28">
        <v>200000</v>
      </c>
      <c r="M9" s="6" t="s">
        <v>127</v>
      </c>
      <c r="N9" s="39" t="s">
        <v>299</v>
      </c>
      <c r="O9" s="26">
        <v>25000</v>
      </c>
      <c r="P9" s="5"/>
      <c r="Q9" s="6" t="s">
        <v>112</v>
      </c>
      <c r="R9" s="39" t="s">
        <v>287</v>
      </c>
      <c r="S9" s="28">
        <v>0</v>
      </c>
      <c r="T9" s="6" t="s">
        <v>137</v>
      </c>
      <c r="U9" s="39" t="s">
        <v>140</v>
      </c>
      <c r="V9" s="28">
        <v>-1200</v>
      </c>
      <c r="W9" s="6" t="s">
        <v>133</v>
      </c>
      <c r="X9" s="39" t="s">
        <v>136</v>
      </c>
      <c r="Y9" s="26">
        <v>-32490</v>
      </c>
    </row>
    <row r="10" spans="2:25" x14ac:dyDescent="0.3">
      <c r="G10" s="6"/>
      <c r="H10" s="39"/>
      <c r="I10" s="28"/>
      <c r="J10" s="6" t="s">
        <v>134</v>
      </c>
      <c r="K10" s="39" t="s">
        <v>385</v>
      </c>
      <c r="L10" s="28">
        <v>200000</v>
      </c>
      <c r="M10" s="6" t="s">
        <v>175</v>
      </c>
      <c r="N10" s="39" t="s">
        <v>235</v>
      </c>
      <c r="O10" s="26">
        <v>56872</v>
      </c>
      <c r="P10" s="5"/>
      <c r="Q10" s="6" t="s">
        <v>112</v>
      </c>
      <c r="R10" s="39" t="s">
        <v>237</v>
      </c>
      <c r="S10" s="28">
        <v>0</v>
      </c>
      <c r="T10" s="6" t="s">
        <v>116</v>
      </c>
      <c r="U10" s="39" t="s">
        <v>402</v>
      </c>
      <c r="V10" s="28">
        <v>-5660</v>
      </c>
      <c r="W10" s="6" t="s">
        <v>127</v>
      </c>
      <c r="X10" s="39" t="s">
        <v>131</v>
      </c>
      <c r="Y10" s="26">
        <v>-25000</v>
      </c>
    </row>
    <row r="11" spans="2:25" x14ac:dyDescent="0.3">
      <c r="G11" s="6"/>
      <c r="H11" s="39"/>
      <c r="I11" s="28"/>
      <c r="J11" s="6" t="s">
        <v>134</v>
      </c>
      <c r="K11" s="39" t="s">
        <v>423</v>
      </c>
      <c r="L11" s="28">
        <v>-200000</v>
      </c>
      <c r="M11" s="6" t="s">
        <v>175</v>
      </c>
      <c r="N11" s="39" t="s">
        <v>236</v>
      </c>
      <c r="O11" s="26">
        <v>-56872</v>
      </c>
      <c r="P11" s="5"/>
      <c r="Q11" s="6"/>
      <c r="R11" s="39"/>
      <c r="S11" s="28"/>
      <c r="T11" s="6" t="s">
        <v>125</v>
      </c>
      <c r="U11" s="39" t="s">
        <v>494</v>
      </c>
      <c r="V11" s="28">
        <v>-4000</v>
      </c>
      <c r="W11" s="6" t="s">
        <v>127</v>
      </c>
      <c r="X11" s="39" t="s">
        <v>135</v>
      </c>
      <c r="Y11" s="26">
        <v>85400</v>
      </c>
    </row>
    <row r="12" spans="2:25" x14ac:dyDescent="0.3">
      <c r="G12" s="6"/>
      <c r="H12" s="39"/>
      <c r="I12" s="28"/>
      <c r="J12" s="6" t="s">
        <v>115</v>
      </c>
      <c r="K12" s="39" t="s">
        <v>132</v>
      </c>
      <c r="L12" s="28">
        <v>-85400</v>
      </c>
      <c r="M12" s="6" t="s">
        <v>127</v>
      </c>
      <c r="N12" s="39" t="s">
        <v>299</v>
      </c>
      <c r="O12" s="26">
        <v>33500</v>
      </c>
      <c r="P12" s="5"/>
      <c r="Q12" s="6"/>
      <c r="R12" s="39"/>
      <c r="S12" s="28"/>
      <c r="T12" s="6" t="s">
        <v>137</v>
      </c>
      <c r="U12" s="39" t="s">
        <v>279</v>
      </c>
      <c r="V12" s="28">
        <v>-14500</v>
      </c>
      <c r="W12" s="6" t="s">
        <v>127</v>
      </c>
      <c r="X12" s="39" t="s">
        <v>131</v>
      </c>
      <c r="Y12" s="26">
        <v>-33500</v>
      </c>
    </row>
    <row r="13" spans="2:25" x14ac:dyDescent="0.3">
      <c r="G13" s="6"/>
      <c r="H13" s="39"/>
      <c r="I13" s="28"/>
      <c r="J13" s="6" t="s">
        <v>146</v>
      </c>
      <c r="K13" s="39" t="s">
        <v>424</v>
      </c>
      <c r="L13" s="28">
        <v>-81872</v>
      </c>
      <c r="M13" s="6" t="s">
        <v>175</v>
      </c>
      <c r="N13" s="39" t="s">
        <v>425</v>
      </c>
      <c r="O13" s="26">
        <v>-30000</v>
      </c>
      <c r="P13" s="5"/>
      <c r="Q13" s="6"/>
      <c r="R13" s="39"/>
      <c r="S13" s="28"/>
      <c r="T13" s="6" t="s">
        <v>144</v>
      </c>
      <c r="U13" s="39" t="s">
        <v>260</v>
      </c>
      <c r="V13" s="28">
        <v>-30250</v>
      </c>
      <c r="W13" s="6" t="s">
        <v>127</v>
      </c>
      <c r="X13" s="39" t="s">
        <v>131</v>
      </c>
      <c r="Y13" s="26">
        <v>-13857</v>
      </c>
    </row>
    <row r="14" spans="2:25" x14ac:dyDescent="0.3">
      <c r="G14" s="6"/>
      <c r="H14" s="39"/>
      <c r="I14" s="28"/>
      <c r="J14" s="6" t="s">
        <v>116</v>
      </c>
      <c r="K14" s="39" t="s">
        <v>426</v>
      </c>
      <c r="L14" s="28">
        <v>-58900</v>
      </c>
      <c r="M14" s="6" t="s">
        <v>175</v>
      </c>
      <c r="N14" s="39" t="s">
        <v>427</v>
      </c>
      <c r="O14" s="26">
        <v>-30000</v>
      </c>
      <c r="P14" s="5"/>
      <c r="Q14" s="6"/>
      <c r="R14" s="39"/>
      <c r="S14" s="28"/>
      <c r="T14" s="6" t="s">
        <v>125</v>
      </c>
      <c r="U14" s="39" t="s">
        <v>419</v>
      </c>
      <c r="V14" s="28">
        <v>-3000</v>
      </c>
      <c r="W14" s="6" t="s">
        <v>127</v>
      </c>
      <c r="X14" s="39" t="s">
        <v>495</v>
      </c>
      <c r="Y14" s="26">
        <v>-40000</v>
      </c>
    </row>
    <row r="15" spans="2:25" x14ac:dyDescent="0.3">
      <c r="G15" s="6"/>
      <c r="H15" s="39"/>
      <c r="I15" s="28"/>
      <c r="J15" s="6" t="s">
        <v>146</v>
      </c>
      <c r="K15" s="39" t="s">
        <v>428</v>
      </c>
      <c r="L15" s="28">
        <v>-79900</v>
      </c>
      <c r="M15" s="6" t="s">
        <v>127</v>
      </c>
      <c r="N15" s="39" t="s">
        <v>131</v>
      </c>
      <c r="O15" s="26">
        <v>-13857</v>
      </c>
      <c r="P15" s="5"/>
      <c r="Q15" s="6"/>
      <c r="R15" s="39"/>
      <c r="S15" s="28"/>
      <c r="T15" s="6" t="s">
        <v>137</v>
      </c>
      <c r="U15" s="39" t="s">
        <v>497</v>
      </c>
      <c r="V15" s="28">
        <v>-13600</v>
      </c>
      <c r="W15" s="6" t="s">
        <v>145</v>
      </c>
      <c r="X15" s="39" t="s">
        <v>496</v>
      </c>
      <c r="Y15" s="26">
        <v>35000</v>
      </c>
    </row>
    <row r="16" spans="2:25" x14ac:dyDescent="0.3">
      <c r="G16" s="6"/>
      <c r="H16" s="39"/>
      <c r="I16" s="28"/>
      <c r="J16" s="6" t="s">
        <v>116</v>
      </c>
      <c r="K16" s="39" t="s">
        <v>124</v>
      </c>
      <c r="L16" s="28">
        <v>-80000</v>
      </c>
      <c r="M16" s="6" t="s">
        <v>175</v>
      </c>
      <c r="N16" s="39" t="s">
        <v>429</v>
      </c>
      <c r="O16" s="26">
        <v>-30000</v>
      </c>
      <c r="P16" s="5"/>
      <c r="Q16" s="6"/>
      <c r="R16" s="39"/>
      <c r="S16" s="28"/>
      <c r="T16" s="6" t="s">
        <v>144</v>
      </c>
      <c r="U16" s="39" t="s">
        <v>263</v>
      </c>
      <c r="V16" s="28">
        <v>-41452</v>
      </c>
      <c r="W16" s="6" t="s">
        <v>114</v>
      </c>
      <c r="X16" s="39" t="s">
        <v>501</v>
      </c>
      <c r="Y16" s="26">
        <v>230000</v>
      </c>
    </row>
    <row r="17" spans="2:25" x14ac:dyDescent="0.3">
      <c r="G17" s="6"/>
      <c r="H17" s="39"/>
      <c r="I17" s="28"/>
      <c r="J17" s="6" t="s">
        <v>125</v>
      </c>
      <c r="K17" s="39" t="s">
        <v>431</v>
      </c>
      <c r="L17" s="28">
        <v>-3500</v>
      </c>
      <c r="M17" s="6" t="s">
        <v>175</v>
      </c>
      <c r="N17" s="39" t="s">
        <v>430</v>
      </c>
      <c r="O17" s="26">
        <v>-30000</v>
      </c>
      <c r="P17" s="5"/>
      <c r="Q17" s="6"/>
      <c r="R17" s="39"/>
      <c r="S17" s="28"/>
      <c r="T17" s="6" t="s">
        <v>116</v>
      </c>
      <c r="U17" s="39" t="s">
        <v>498</v>
      </c>
      <c r="V17" s="28">
        <v>-15030</v>
      </c>
      <c r="W17" s="6" t="s">
        <v>127</v>
      </c>
      <c r="X17" s="39" t="s">
        <v>131</v>
      </c>
      <c r="Y17" s="26">
        <v>-7300</v>
      </c>
    </row>
    <row r="18" spans="2:25" x14ac:dyDescent="0.3">
      <c r="G18" s="6"/>
      <c r="H18" s="39"/>
      <c r="I18" s="28"/>
      <c r="J18" s="6" t="s">
        <v>120</v>
      </c>
      <c r="K18" s="39" t="s">
        <v>432</v>
      </c>
      <c r="L18" s="28">
        <v>-16000</v>
      </c>
      <c r="M18" s="6" t="s">
        <v>175</v>
      </c>
      <c r="N18" s="39" t="s">
        <v>434</v>
      </c>
      <c r="O18" s="26">
        <v>-30000</v>
      </c>
      <c r="P18" s="5"/>
      <c r="Q18" s="6"/>
      <c r="R18" s="39"/>
      <c r="S18" s="28"/>
      <c r="T18" s="6" t="s">
        <v>137</v>
      </c>
      <c r="U18" s="39" t="s">
        <v>499</v>
      </c>
      <c r="V18" s="28">
        <v>-20000</v>
      </c>
      <c r="W18" s="6" t="s">
        <v>127</v>
      </c>
      <c r="X18" s="39" t="s">
        <v>460</v>
      </c>
      <c r="Y18" s="26">
        <v>1500</v>
      </c>
    </row>
    <row r="19" spans="2:25" x14ac:dyDescent="0.3">
      <c r="G19" s="6"/>
      <c r="H19" s="39"/>
      <c r="I19" s="28"/>
      <c r="J19" s="6" t="s">
        <v>119</v>
      </c>
      <c r="K19" s="39" t="s">
        <v>193</v>
      </c>
      <c r="L19" s="28">
        <v>-60000</v>
      </c>
      <c r="M19" s="6" t="s">
        <v>175</v>
      </c>
      <c r="N19" s="39" t="s">
        <v>436</v>
      </c>
      <c r="O19" s="26">
        <v>-30000</v>
      </c>
      <c r="P19" s="5"/>
      <c r="Q19" s="6"/>
      <c r="R19" s="39"/>
      <c r="S19" s="28"/>
      <c r="T19" s="6" t="s">
        <v>125</v>
      </c>
      <c r="U19" s="39" t="s">
        <v>500</v>
      </c>
      <c r="V19" s="28">
        <v>-660000</v>
      </c>
      <c r="W19" s="6" t="s">
        <v>127</v>
      </c>
      <c r="X19" s="39" t="s">
        <v>272</v>
      </c>
      <c r="Y19" s="26">
        <v>1500</v>
      </c>
    </row>
    <row r="20" spans="2:25" x14ac:dyDescent="0.3">
      <c r="G20" s="6"/>
      <c r="H20" s="39"/>
      <c r="I20" s="28"/>
      <c r="J20" s="6" t="s">
        <v>116</v>
      </c>
      <c r="K20" s="39" t="s">
        <v>433</v>
      </c>
      <c r="L20" s="28">
        <v>-500</v>
      </c>
      <c r="M20" s="6" t="s">
        <v>175</v>
      </c>
      <c r="N20" s="39" t="s">
        <v>437</v>
      </c>
      <c r="O20" s="26">
        <v>-30000</v>
      </c>
      <c r="P20" s="5"/>
      <c r="Q20" s="6"/>
      <c r="R20" s="39"/>
      <c r="S20" s="28"/>
      <c r="T20" s="6" t="s">
        <v>117</v>
      </c>
      <c r="U20" s="39" t="s">
        <v>268</v>
      </c>
      <c r="V20" s="28">
        <v>-4000</v>
      </c>
      <c r="W20" s="6" t="s">
        <v>127</v>
      </c>
      <c r="X20" s="39" t="s">
        <v>354</v>
      </c>
      <c r="Y20" s="26">
        <v>1500</v>
      </c>
    </row>
    <row r="21" spans="2:25" x14ac:dyDescent="0.3">
      <c r="G21" s="6"/>
      <c r="H21" s="39"/>
      <c r="I21" s="28"/>
      <c r="J21" s="6" t="s">
        <v>118</v>
      </c>
      <c r="K21" s="39">
        <v>204858040037</v>
      </c>
      <c r="L21" s="28">
        <v>-200000</v>
      </c>
      <c r="M21" s="6" t="s">
        <v>127</v>
      </c>
      <c r="N21" s="39" t="s">
        <v>131</v>
      </c>
      <c r="O21" s="26">
        <v>-6000</v>
      </c>
      <c r="P21" s="5"/>
      <c r="Q21" s="6"/>
      <c r="R21" s="39"/>
      <c r="S21" s="28"/>
      <c r="T21" s="6" t="s">
        <v>116</v>
      </c>
      <c r="U21" s="39" t="s">
        <v>315</v>
      </c>
      <c r="V21" s="28">
        <v>-10000</v>
      </c>
      <c r="W21" s="6" t="s">
        <v>127</v>
      </c>
      <c r="X21" s="39" t="s">
        <v>235</v>
      </c>
      <c r="Y21" s="26">
        <v>1500</v>
      </c>
    </row>
    <row r="22" spans="2:25" x14ac:dyDescent="0.3">
      <c r="G22" s="6"/>
      <c r="H22" s="39"/>
      <c r="I22" s="28"/>
      <c r="J22" s="6" t="s">
        <v>118</v>
      </c>
      <c r="K22" s="39" t="s">
        <v>435</v>
      </c>
      <c r="L22" s="28">
        <v>-44000</v>
      </c>
      <c r="M22" s="6" t="s">
        <v>127</v>
      </c>
      <c r="N22" s="39" t="s">
        <v>131</v>
      </c>
      <c r="O22" s="26">
        <v>-1500</v>
      </c>
      <c r="P22" s="5"/>
      <c r="Q22" s="6"/>
      <c r="R22" s="39"/>
      <c r="S22" s="28"/>
      <c r="T22" s="6" t="s">
        <v>138</v>
      </c>
      <c r="U22" s="39" t="s">
        <v>139</v>
      </c>
      <c r="V22" s="28">
        <v>-19500</v>
      </c>
      <c r="W22" s="6" t="s">
        <v>127</v>
      </c>
      <c r="X22" s="39" t="s">
        <v>271</v>
      </c>
      <c r="Y22" s="26">
        <v>1500</v>
      </c>
    </row>
    <row r="23" spans="2:25" x14ac:dyDescent="0.3">
      <c r="G23" s="6"/>
      <c r="H23" s="39"/>
      <c r="I23" s="28"/>
      <c r="J23" s="6" t="s">
        <v>115</v>
      </c>
      <c r="K23" s="39" t="s">
        <v>132</v>
      </c>
      <c r="L23" s="28">
        <v>-230000</v>
      </c>
      <c r="M23" s="6" t="s">
        <v>175</v>
      </c>
      <c r="N23" s="39" t="s">
        <v>438</v>
      </c>
      <c r="O23" s="26">
        <v>-30000</v>
      </c>
      <c r="P23" s="5"/>
      <c r="Q23" s="6"/>
      <c r="R23" s="39"/>
      <c r="S23" s="28"/>
      <c r="T23" s="6" t="s">
        <v>125</v>
      </c>
      <c r="U23" s="39" t="s">
        <v>502</v>
      </c>
      <c r="V23" s="28">
        <v>-10500</v>
      </c>
      <c r="W23" s="6" t="s">
        <v>127</v>
      </c>
      <c r="X23" s="39" t="s">
        <v>462</v>
      </c>
      <c r="Y23" s="26">
        <v>1500</v>
      </c>
    </row>
    <row r="24" spans="2:25" x14ac:dyDescent="0.3">
      <c r="G24" s="6"/>
      <c r="H24" s="39"/>
      <c r="I24" s="28"/>
      <c r="J24" s="6" t="s">
        <v>115</v>
      </c>
      <c r="K24" s="39" t="s">
        <v>132</v>
      </c>
      <c r="L24" s="28">
        <v>-150000</v>
      </c>
      <c r="M24" s="6" t="s">
        <v>127</v>
      </c>
      <c r="N24" s="39" t="s">
        <v>439</v>
      </c>
      <c r="O24" s="26">
        <v>150000</v>
      </c>
      <c r="P24" s="5"/>
      <c r="Q24" s="6"/>
      <c r="R24" s="39"/>
      <c r="S24" s="28"/>
      <c r="T24" s="6" t="s">
        <v>116</v>
      </c>
      <c r="U24" s="39" t="s">
        <v>503</v>
      </c>
      <c r="V24" s="28">
        <v>-1000</v>
      </c>
      <c r="W24" s="6" t="s">
        <v>127</v>
      </c>
      <c r="X24" s="39" t="s">
        <v>131</v>
      </c>
      <c r="Y24" s="26">
        <v>-30000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116</v>
      </c>
      <c r="K25" s="39" t="s">
        <v>440</v>
      </c>
      <c r="L25" s="28">
        <v>-17440</v>
      </c>
      <c r="M25" s="6" t="s">
        <v>175</v>
      </c>
      <c r="N25" s="39" t="s">
        <v>441</v>
      </c>
      <c r="O25" s="26">
        <v>-30000</v>
      </c>
      <c r="P25" s="5"/>
      <c r="Q25" s="6"/>
      <c r="R25" s="39"/>
      <c r="S25" s="28"/>
      <c r="T25" s="6" t="s">
        <v>118</v>
      </c>
      <c r="U25" s="39" t="s">
        <v>275</v>
      </c>
      <c r="V25" s="28">
        <v>-16500</v>
      </c>
      <c r="W25" s="6" t="s">
        <v>127</v>
      </c>
      <c r="X25" s="39" t="s">
        <v>135</v>
      </c>
      <c r="Y25" s="26">
        <v>150000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125</v>
      </c>
      <c r="K26" s="39" t="s">
        <v>204</v>
      </c>
      <c r="L26" s="28">
        <v>-4000</v>
      </c>
      <c r="M26" s="6" t="s">
        <v>127</v>
      </c>
      <c r="N26" s="39" t="s">
        <v>367</v>
      </c>
      <c r="O26" s="26">
        <v>-87000</v>
      </c>
      <c r="P26" s="5"/>
      <c r="Q26" s="6"/>
      <c r="R26" s="39"/>
      <c r="S26" s="28"/>
      <c r="T26" s="6" t="s">
        <v>118</v>
      </c>
      <c r="U26" s="39" t="s">
        <v>275</v>
      </c>
      <c r="V26" s="28">
        <v>-16150</v>
      </c>
      <c r="W26" s="6" t="s">
        <v>127</v>
      </c>
      <c r="X26" s="39" t="s">
        <v>135</v>
      </c>
      <c r="Y26" s="26">
        <v>87000</v>
      </c>
    </row>
    <row r="27" spans="2:25" x14ac:dyDescent="0.3">
      <c r="B27" s="48" t="s">
        <v>115</v>
      </c>
      <c r="C27" s="131">
        <f>-(SUMIF($J$7:$J$88,B27,$L$7:$L$88)+SUMIF($T$7:$T$88,B27,$V$7:$V$88))</f>
        <v>1134420</v>
      </c>
      <c r="D27" s="99"/>
      <c r="E27" s="100"/>
      <c r="G27" s="6"/>
      <c r="H27" s="39"/>
      <c r="I27" s="28"/>
      <c r="J27" s="6" t="s">
        <v>119</v>
      </c>
      <c r="K27" s="39" t="s">
        <v>193</v>
      </c>
      <c r="L27" s="28">
        <v>-60000</v>
      </c>
      <c r="M27" s="6" t="s">
        <v>127</v>
      </c>
      <c r="N27" s="39" t="s">
        <v>367</v>
      </c>
      <c r="O27" s="26">
        <v>-30000</v>
      </c>
      <c r="P27" s="5"/>
      <c r="Q27" s="6"/>
      <c r="R27" s="39"/>
      <c r="S27" s="28"/>
      <c r="T27" s="6" t="s">
        <v>125</v>
      </c>
      <c r="U27" s="39" t="s">
        <v>504</v>
      </c>
      <c r="V27" s="28">
        <v>-2000</v>
      </c>
      <c r="W27" s="6" t="s">
        <v>127</v>
      </c>
      <c r="X27" s="39" t="s">
        <v>135</v>
      </c>
      <c r="Y27" s="26">
        <v>30000</v>
      </c>
    </row>
    <row r="28" spans="2:25" x14ac:dyDescent="0.3">
      <c r="B28" s="49" t="s">
        <v>116</v>
      </c>
      <c r="C28" s="131">
        <f>-(SUMIF($J$7:$J$88,B28,$L$7:$L$88)+SUMIF($T$7:$T$88,B28,$V$7:$V$88))</f>
        <v>389965</v>
      </c>
      <c r="D28" s="99"/>
      <c r="E28" s="100"/>
      <c r="G28" s="6"/>
      <c r="H28" s="39"/>
      <c r="I28" s="28"/>
      <c r="J28" s="6" t="s">
        <v>116</v>
      </c>
      <c r="K28" s="39" t="s">
        <v>298</v>
      </c>
      <c r="L28" s="28">
        <v>-19230</v>
      </c>
      <c r="M28" s="6" t="s">
        <v>175</v>
      </c>
      <c r="N28" s="39" t="s">
        <v>442</v>
      </c>
      <c r="O28" s="26">
        <v>-30000</v>
      </c>
      <c r="P28" s="5"/>
      <c r="Q28" s="6"/>
      <c r="R28" s="39"/>
      <c r="S28" s="28"/>
      <c r="T28" s="6" t="s">
        <v>116</v>
      </c>
      <c r="U28" s="39" t="s">
        <v>505</v>
      </c>
      <c r="V28" s="28">
        <v>-18500</v>
      </c>
      <c r="W28" s="6" t="s">
        <v>133</v>
      </c>
      <c r="X28" s="39" t="s">
        <v>143</v>
      </c>
      <c r="Y28" s="26">
        <v>-1579300</v>
      </c>
    </row>
    <row r="29" spans="2:25" x14ac:dyDescent="0.3">
      <c r="B29" s="49" t="s">
        <v>120</v>
      </c>
      <c r="C29" s="131">
        <f>-(SUMIF($J$7:$J$88,B29,$L$7:$L$88)+SUMIF($T$7:$T$88,B29,$V$7:$V$88))</f>
        <v>181100</v>
      </c>
      <c r="D29" s="99"/>
      <c r="E29" s="100"/>
      <c r="G29" s="6"/>
      <c r="H29" s="39"/>
      <c r="I29" s="28"/>
      <c r="J29" s="6" t="s">
        <v>125</v>
      </c>
      <c r="K29" s="39" t="s">
        <v>446</v>
      </c>
      <c r="L29" s="28">
        <v>-94100</v>
      </c>
      <c r="M29" s="6" t="s">
        <v>175</v>
      </c>
      <c r="N29" s="39" t="s">
        <v>443</v>
      </c>
      <c r="O29" s="26">
        <v>-30000</v>
      </c>
      <c r="P29" s="5"/>
      <c r="Q29" s="6"/>
      <c r="R29" s="39"/>
      <c r="S29" s="28"/>
      <c r="T29" s="6" t="s">
        <v>119</v>
      </c>
      <c r="U29" s="39" t="s">
        <v>141</v>
      </c>
      <c r="V29" s="28">
        <v>-12590</v>
      </c>
      <c r="W29" s="6" t="s">
        <v>127</v>
      </c>
      <c r="X29" s="39" t="s">
        <v>135</v>
      </c>
      <c r="Y29" s="26">
        <v>45800</v>
      </c>
    </row>
    <row r="30" spans="2:25" x14ac:dyDescent="0.3">
      <c r="B30" s="49" t="s">
        <v>118</v>
      </c>
      <c r="C30" s="131">
        <f>-(SUMIF($J$7:$J$88,B30,$L$7:$L$88)+SUMIF($T$7:$T$88,B30,$V$7:$V$88))</f>
        <v>1162810</v>
      </c>
      <c r="D30" s="99"/>
      <c r="E30" s="100"/>
      <c r="G30" s="6"/>
      <c r="H30" s="39"/>
      <c r="I30" s="28"/>
      <c r="J30" s="6" t="s">
        <v>125</v>
      </c>
      <c r="K30" s="39" t="s">
        <v>447</v>
      </c>
      <c r="L30" s="28">
        <v>-59000</v>
      </c>
      <c r="M30" s="6" t="s">
        <v>175</v>
      </c>
      <c r="N30" s="39" t="s">
        <v>444</v>
      </c>
      <c r="O30" s="26">
        <v>-30000</v>
      </c>
      <c r="P30" s="5"/>
      <c r="Q30" s="6"/>
      <c r="R30" s="39"/>
      <c r="S30" s="28"/>
      <c r="T30" s="6" t="s">
        <v>117</v>
      </c>
      <c r="U30" s="39" t="s">
        <v>321</v>
      </c>
      <c r="V30" s="28">
        <v>-12550</v>
      </c>
      <c r="W30" s="6" t="s">
        <v>127</v>
      </c>
      <c r="X30" s="39" t="s">
        <v>135</v>
      </c>
      <c r="Y30" s="26">
        <v>-92850</v>
      </c>
    </row>
    <row r="31" spans="2:25" x14ac:dyDescent="0.3">
      <c r="B31" s="49" t="s">
        <v>122</v>
      </c>
      <c r="C31" s="131">
        <f>-(SUMIF($J$7:$J$88,B31,$L$7:$L$88)+SUMIF($T$7:$T$88,B31,$V$7:$V$88))</f>
        <v>42000</v>
      </c>
      <c r="D31" s="99"/>
      <c r="E31" s="100"/>
      <c r="G31" s="6"/>
      <c r="H31" s="39"/>
      <c r="I31" s="28"/>
      <c r="J31" s="6" t="s">
        <v>122</v>
      </c>
      <c r="K31" s="39" t="s">
        <v>449</v>
      </c>
      <c r="L31" s="28">
        <v>-38800</v>
      </c>
      <c r="M31" s="6" t="s">
        <v>127</v>
      </c>
      <c r="N31" s="39" t="s">
        <v>367</v>
      </c>
      <c r="O31" s="26">
        <v>-45800</v>
      </c>
      <c r="P31" s="5"/>
      <c r="Q31" s="6"/>
      <c r="R31" s="39"/>
      <c r="S31" s="28"/>
      <c r="T31" s="6" t="s">
        <v>117</v>
      </c>
      <c r="U31" s="39" t="s">
        <v>321</v>
      </c>
      <c r="V31" s="28">
        <v>-14965</v>
      </c>
      <c r="W31" s="6" t="s">
        <v>114</v>
      </c>
      <c r="X31" s="39" t="s">
        <v>510</v>
      </c>
      <c r="Y31" s="26">
        <v>30000</v>
      </c>
    </row>
    <row r="32" spans="2:25" x14ac:dyDescent="0.3">
      <c r="B32" s="49" t="s">
        <v>119</v>
      </c>
      <c r="C32" s="131">
        <f>-(SUMIF($J$7:$J$88,B32,$L$7:$L$88)+SUMIF($T$7:$T$88,B32,$V$7:$V$88))</f>
        <v>473390</v>
      </c>
      <c r="D32" s="99"/>
      <c r="E32" s="100"/>
      <c r="G32" s="6"/>
      <c r="H32" s="39"/>
      <c r="I32" s="28"/>
      <c r="J32" s="6" t="s">
        <v>118</v>
      </c>
      <c r="K32" s="39" t="s">
        <v>130</v>
      </c>
      <c r="L32" s="28">
        <v>-16500</v>
      </c>
      <c r="M32" s="6" t="s">
        <v>145</v>
      </c>
      <c r="N32" s="39" t="s">
        <v>445</v>
      </c>
      <c r="O32" s="26">
        <v>92850</v>
      </c>
      <c r="P32" s="5"/>
      <c r="Q32" s="6"/>
      <c r="R32" s="39"/>
      <c r="S32" s="28"/>
      <c r="T32" s="6" t="s">
        <v>144</v>
      </c>
      <c r="U32" s="39" t="s">
        <v>260</v>
      </c>
      <c r="V32" s="28">
        <v>-8000</v>
      </c>
      <c r="W32" s="6" t="s">
        <v>127</v>
      </c>
      <c r="X32" s="39" t="s">
        <v>131</v>
      </c>
      <c r="Y32" s="26">
        <v>-13357</v>
      </c>
    </row>
    <row r="33" spans="2:25" x14ac:dyDescent="0.3">
      <c r="B33" s="49" t="s">
        <v>129</v>
      </c>
      <c r="C33" s="131">
        <f>-(SUMIF($J$7:$J$88,B33,$L$7:$L$88)+SUMIF($T$7:$T$88,B33,$V$7:$V$88))</f>
        <v>1700</v>
      </c>
      <c r="D33" s="99"/>
      <c r="E33" s="100"/>
      <c r="G33" s="6"/>
      <c r="H33" s="39"/>
      <c r="I33" s="28"/>
      <c r="J33" s="6" t="s">
        <v>125</v>
      </c>
      <c r="K33" s="39" t="s">
        <v>452</v>
      </c>
      <c r="L33" s="28">
        <v>-7500</v>
      </c>
      <c r="M33" s="6" t="s">
        <v>175</v>
      </c>
      <c r="N33" s="39" t="s">
        <v>448</v>
      </c>
      <c r="O33" s="26">
        <v>-30000</v>
      </c>
      <c r="P33" s="5"/>
      <c r="Q33" s="6"/>
      <c r="R33" s="39"/>
      <c r="S33" s="28"/>
      <c r="T33" s="6" t="s">
        <v>137</v>
      </c>
      <c r="U33" s="39" t="s">
        <v>506</v>
      </c>
      <c r="V33" s="28">
        <v>-49000</v>
      </c>
      <c r="W33" s="6" t="s">
        <v>145</v>
      </c>
      <c r="X33" s="39" t="s">
        <v>511</v>
      </c>
      <c r="Y33" s="26">
        <v>80000</v>
      </c>
    </row>
    <row r="34" spans="2:25" x14ac:dyDescent="0.3">
      <c r="B34" s="49" t="s">
        <v>125</v>
      </c>
      <c r="C34" s="131">
        <f>-(SUMIF($J$7:$J$88,B34,$L$7:$L$88)+SUMIF($T$7:$T$88,B34,$V$7:$V$88))</f>
        <v>985900</v>
      </c>
      <c r="D34" s="99"/>
      <c r="E34" s="100"/>
      <c r="G34" s="6"/>
      <c r="H34" s="39"/>
      <c r="I34" s="28"/>
      <c r="J34" s="6" t="s">
        <v>116</v>
      </c>
      <c r="K34" s="39" t="s">
        <v>454</v>
      </c>
      <c r="L34" s="28">
        <v>-2500</v>
      </c>
      <c r="M34" s="6" t="s">
        <v>175</v>
      </c>
      <c r="N34" s="39" t="s">
        <v>450</v>
      </c>
      <c r="O34" s="26">
        <v>-30000</v>
      </c>
      <c r="P34" s="5"/>
      <c r="Q34" s="6"/>
      <c r="R34" s="39"/>
      <c r="S34" s="28"/>
      <c r="T34" s="6" t="s">
        <v>116</v>
      </c>
      <c r="U34" s="39" t="s">
        <v>507</v>
      </c>
      <c r="V34" s="28">
        <v>-5400</v>
      </c>
      <c r="W34" s="6" t="s">
        <v>114</v>
      </c>
      <c r="X34" s="39" t="s">
        <v>512</v>
      </c>
      <c r="Y34" s="26">
        <v>250000</v>
      </c>
    </row>
    <row r="35" spans="2:25" x14ac:dyDescent="0.3">
      <c r="B35" s="49" t="s">
        <v>148</v>
      </c>
      <c r="C35" s="131">
        <f>-(SUMIF($J$7:$J$88,B35,$L$7:$L$88)+SUMIF($T$7:$T$88,B35,$V$7:$V$88))</f>
        <v>0</v>
      </c>
      <c r="D35" s="99"/>
      <c r="E35" s="100"/>
      <c r="G35" s="6"/>
      <c r="H35" s="39"/>
      <c r="I35" s="28"/>
      <c r="J35" s="6" t="s">
        <v>119</v>
      </c>
      <c r="K35" s="39" t="s">
        <v>193</v>
      </c>
      <c r="L35" s="28">
        <v>-30000</v>
      </c>
      <c r="M35" s="6" t="s">
        <v>175</v>
      </c>
      <c r="N35" s="39" t="s">
        <v>135</v>
      </c>
      <c r="O35" s="26">
        <v>-300000</v>
      </c>
      <c r="P35" s="5"/>
      <c r="Q35" s="6"/>
      <c r="R35" s="39"/>
      <c r="S35" s="28"/>
      <c r="T35" s="6" t="s">
        <v>117</v>
      </c>
      <c r="U35" s="39" t="s">
        <v>321</v>
      </c>
      <c r="V35" s="28">
        <v>12550</v>
      </c>
      <c r="W35" s="6" t="s">
        <v>127</v>
      </c>
      <c r="X35" s="39" t="s">
        <v>516</v>
      </c>
      <c r="Y35" s="26">
        <v>-14000</v>
      </c>
    </row>
    <row r="36" spans="2:25" x14ac:dyDescent="0.3">
      <c r="B36" s="49" t="s">
        <v>117</v>
      </c>
      <c r="C36" s="131">
        <f>-(SUMIF($J$7:$J$88,B36,$L$7:$L$88)+SUMIF($T$7:$T$88,B36,$V$7:$V$88))</f>
        <v>388025</v>
      </c>
      <c r="D36" s="99"/>
      <c r="E36" s="100"/>
      <c r="G36" s="6"/>
      <c r="H36" s="39"/>
      <c r="I36" s="28"/>
      <c r="J36" s="6" t="s">
        <v>116</v>
      </c>
      <c r="K36" s="39" t="s">
        <v>190</v>
      </c>
      <c r="L36" s="28">
        <v>-8100</v>
      </c>
      <c r="M36" s="6" t="s">
        <v>175</v>
      </c>
      <c r="N36" s="39" t="s">
        <v>135</v>
      </c>
      <c r="O36" s="26">
        <v>300000</v>
      </c>
      <c r="P36" s="5"/>
      <c r="Q36" s="6"/>
      <c r="R36" s="39"/>
      <c r="S36" s="28"/>
      <c r="T36" s="6" t="s">
        <v>116</v>
      </c>
      <c r="U36" s="39" t="s">
        <v>503</v>
      </c>
      <c r="V36" s="28">
        <v>-4500</v>
      </c>
      <c r="W36" s="6" t="s">
        <v>114</v>
      </c>
      <c r="X36" s="39" t="s">
        <v>286</v>
      </c>
      <c r="Y36" s="26">
        <v>1</v>
      </c>
    </row>
    <row r="37" spans="2:25" x14ac:dyDescent="0.3">
      <c r="B37" s="49" t="s">
        <v>128</v>
      </c>
      <c r="C37" s="131">
        <f>-(SUMIF($J$7:$J$88,B37,$L$7:$L$88)+SUMIF($T$7:$T$88,B37,$V$7:$V$88))</f>
        <v>393730</v>
      </c>
      <c r="D37" s="99"/>
      <c r="E37" s="100"/>
      <c r="G37" s="6"/>
      <c r="H37" s="39"/>
      <c r="I37" s="28"/>
      <c r="J37" s="6" t="s">
        <v>120</v>
      </c>
      <c r="K37" s="39" t="s">
        <v>457</v>
      </c>
      <c r="L37" s="28">
        <v>-93500</v>
      </c>
      <c r="M37" s="6" t="s">
        <v>175</v>
      </c>
      <c r="N37" s="39" t="s">
        <v>451</v>
      </c>
      <c r="O37" s="26">
        <v>-30000</v>
      </c>
      <c r="P37" s="5"/>
      <c r="Q37" s="6"/>
      <c r="R37" s="39"/>
      <c r="S37" s="28"/>
      <c r="T37" s="6" t="s">
        <v>137</v>
      </c>
      <c r="U37" s="39" t="s">
        <v>140</v>
      </c>
      <c r="V37" s="28">
        <v>-1200</v>
      </c>
      <c r="W37" s="6" t="s">
        <v>133</v>
      </c>
      <c r="X37" s="39" t="s">
        <v>326</v>
      </c>
      <c r="Y37" s="26">
        <v>-107066</v>
      </c>
    </row>
    <row r="38" spans="2:25" x14ac:dyDescent="0.3">
      <c r="B38" s="49" t="s">
        <v>146</v>
      </c>
      <c r="C38" s="131">
        <f>-(SUMIF($J$7:$J$88,B38,$L$7:$L$88)+SUMIF($T$7:$T$88,B38,$V$7:$V$88))</f>
        <v>161772</v>
      </c>
      <c r="D38" s="99"/>
      <c r="E38" s="100"/>
      <c r="G38" s="6"/>
      <c r="H38" s="39"/>
      <c r="I38" s="28"/>
      <c r="J38" s="6" t="s">
        <v>116</v>
      </c>
      <c r="K38" s="39" t="s">
        <v>463</v>
      </c>
      <c r="L38" s="28">
        <v>-19000</v>
      </c>
      <c r="M38" s="6" t="s">
        <v>175</v>
      </c>
      <c r="N38" s="39" t="s">
        <v>453</v>
      </c>
      <c r="O38" s="26">
        <v>-30000</v>
      </c>
      <c r="P38" s="5"/>
      <c r="Q38" s="6"/>
      <c r="R38" s="39"/>
      <c r="S38" s="28"/>
      <c r="T38" s="6" t="s">
        <v>117</v>
      </c>
      <c r="U38" s="39" t="s">
        <v>321</v>
      </c>
      <c r="V38" s="28">
        <v>-11620</v>
      </c>
      <c r="W38" s="6" t="s">
        <v>127</v>
      </c>
      <c r="X38" s="39" t="s">
        <v>131</v>
      </c>
      <c r="Y38" s="26">
        <v>-390000</v>
      </c>
    </row>
    <row r="39" spans="2:25" x14ac:dyDescent="0.3">
      <c r="B39" s="49" t="s">
        <v>134</v>
      </c>
      <c r="C39" s="131">
        <f>-(SUMIF($J$7:$J$88,B39,$L$7:$L$88)+SUMIF($T$7:$T$88,B39,$V$7:$V$88))</f>
        <v>-600000</v>
      </c>
      <c r="D39" s="99"/>
      <c r="E39" s="100"/>
      <c r="G39" s="6"/>
      <c r="H39" s="39"/>
      <c r="I39" s="28"/>
      <c r="J39" s="6" t="s">
        <v>117</v>
      </c>
      <c r="K39" s="39" t="s">
        <v>465</v>
      </c>
      <c r="L39" s="28">
        <v>-3000</v>
      </c>
      <c r="M39" s="6" t="s">
        <v>175</v>
      </c>
      <c r="N39" s="39" t="s">
        <v>455</v>
      </c>
      <c r="O39" s="26">
        <v>-30000</v>
      </c>
      <c r="P39" s="5"/>
      <c r="Q39" s="6"/>
      <c r="R39" s="39"/>
      <c r="S39" s="28"/>
      <c r="T39" s="6" t="s">
        <v>116</v>
      </c>
      <c r="U39" s="39" t="s">
        <v>508</v>
      </c>
      <c r="V39" s="28">
        <v>-6600</v>
      </c>
      <c r="W39" s="6"/>
      <c r="X39" s="39"/>
      <c r="Y39" s="26"/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120</v>
      </c>
      <c r="K40" s="39" t="s">
        <v>466</v>
      </c>
      <c r="L40" s="28">
        <v>-8000</v>
      </c>
      <c r="M40" s="6" t="s">
        <v>175</v>
      </c>
      <c r="N40" s="39" t="s">
        <v>456</v>
      </c>
      <c r="O40" s="26">
        <v>-30000</v>
      </c>
      <c r="P40" s="5"/>
      <c r="Q40" s="6"/>
      <c r="R40" s="39"/>
      <c r="S40" s="28"/>
      <c r="T40" s="6" t="s">
        <v>117</v>
      </c>
      <c r="U40" s="39" t="s">
        <v>509</v>
      </c>
      <c r="V40" s="28">
        <v>-5000</v>
      </c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46000</v>
      </c>
      <c r="D41" s="99"/>
      <c r="E41" s="100"/>
      <c r="G41" s="6"/>
      <c r="H41" s="39"/>
      <c r="I41" s="28"/>
      <c r="J41" s="6" t="s">
        <v>120</v>
      </c>
      <c r="K41" s="39" t="s">
        <v>468</v>
      </c>
      <c r="L41" s="28">
        <v>-24800</v>
      </c>
      <c r="M41" s="6" t="s">
        <v>127</v>
      </c>
      <c r="N41" s="39" t="s">
        <v>460</v>
      </c>
      <c r="O41" s="26">
        <v>13357</v>
      </c>
      <c r="P41" s="5"/>
      <c r="Q41" s="6"/>
      <c r="R41" s="39"/>
      <c r="S41" s="28"/>
      <c r="T41" s="6" t="s">
        <v>144</v>
      </c>
      <c r="U41" s="39" t="s">
        <v>260</v>
      </c>
      <c r="V41" s="28">
        <v>-29330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119</v>
      </c>
      <c r="K42" s="39" t="s">
        <v>469</v>
      </c>
      <c r="L42" s="28">
        <v>-30000</v>
      </c>
      <c r="M42" s="6" t="s">
        <v>127</v>
      </c>
      <c r="N42" s="39" t="s">
        <v>461</v>
      </c>
      <c r="O42" s="26">
        <v>13357</v>
      </c>
      <c r="P42" s="5"/>
      <c r="Q42" s="6"/>
      <c r="R42" s="39"/>
      <c r="S42" s="28"/>
      <c r="T42" s="6" t="s">
        <v>137</v>
      </c>
      <c r="U42" s="39" t="s">
        <v>140</v>
      </c>
      <c r="V42" s="28">
        <v>-1200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212520</v>
      </c>
      <c r="D43" s="99"/>
      <c r="E43" s="100"/>
      <c r="G43" s="6"/>
      <c r="H43" s="39"/>
      <c r="I43" s="28"/>
      <c r="J43" s="6" t="s">
        <v>118</v>
      </c>
      <c r="K43" s="39" t="s">
        <v>224</v>
      </c>
      <c r="L43" s="28">
        <v>-40490</v>
      </c>
      <c r="M43" s="6" t="s">
        <v>127</v>
      </c>
      <c r="N43" s="39" t="s">
        <v>272</v>
      </c>
      <c r="O43" s="26">
        <v>13400</v>
      </c>
      <c r="P43" s="5"/>
      <c r="Q43" s="6"/>
      <c r="R43" s="39"/>
      <c r="S43" s="28"/>
      <c r="T43" s="6" t="s">
        <v>144</v>
      </c>
      <c r="U43" s="39" t="s">
        <v>147</v>
      </c>
      <c r="V43" s="28">
        <v>-120000</v>
      </c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617368</v>
      </c>
      <c r="D44" s="99"/>
      <c r="E44" s="100"/>
      <c r="G44" s="6"/>
      <c r="H44" s="39"/>
      <c r="I44" s="28"/>
      <c r="J44" s="6" t="s">
        <v>119</v>
      </c>
      <c r="K44" s="39" t="s">
        <v>193</v>
      </c>
      <c r="L44" s="28">
        <v>-40000</v>
      </c>
      <c r="M44" s="6" t="s">
        <v>127</v>
      </c>
      <c r="N44" s="39" t="s">
        <v>354</v>
      </c>
      <c r="O44" s="26">
        <v>13357</v>
      </c>
      <c r="P44" s="5"/>
      <c r="Q44" s="6"/>
      <c r="R44" s="39"/>
      <c r="S44" s="28"/>
      <c r="T44" s="6" t="s">
        <v>137</v>
      </c>
      <c r="U44" s="39" t="s">
        <v>282</v>
      </c>
      <c r="V44" s="28">
        <v>-80620</v>
      </c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117500</v>
      </c>
      <c r="D45" s="99"/>
      <c r="E45" s="100"/>
      <c r="G45" s="6"/>
      <c r="H45" s="39"/>
      <c r="I45" s="28"/>
      <c r="J45" s="6" t="s">
        <v>125</v>
      </c>
      <c r="K45" s="39" t="s">
        <v>471</v>
      </c>
      <c r="L45" s="28">
        <v>-80000</v>
      </c>
      <c r="M45" s="6" t="s">
        <v>127</v>
      </c>
      <c r="N45" s="39" t="s">
        <v>462</v>
      </c>
      <c r="O45" s="26">
        <v>13357</v>
      </c>
      <c r="P45" s="5"/>
      <c r="Q45" s="6"/>
      <c r="R45" s="39"/>
      <c r="S45" s="28"/>
      <c r="T45" s="6" t="s">
        <v>144</v>
      </c>
      <c r="U45" s="39" t="s">
        <v>260</v>
      </c>
      <c r="V45" s="28">
        <v>-79580</v>
      </c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116</v>
      </c>
      <c r="K46" s="39" t="s">
        <v>473</v>
      </c>
      <c r="L46" s="28">
        <v>-4900</v>
      </c>
      <c r="M46" s="6" t="s">
        <v>127</v>
      </c>
      <c r="N46" s="39" t="s">
        <v>299</v>
      </c>
      <c r="O46" s="26">
        <v>13357</v>
      </c>
      <c r="P46" s="5"/>
      <c r="Q46" s="6"/>
      <c r="R46" s="39"/>
      <c r="S46" s="28"/>
      <c r="T46" s="6" t="s">
        <v>144</v>
      </c>
      <c r="U46" s="39" t="s">
        <v>263</v>
      </c>
      <c r="V46" s="28">
        <v>-248520</v>
      </c>
      <c r="W46" s="6"/>
      <c r="X46" s="39"/>
      <c r="Y46" s="26"/>
    </row>
    <row r="47" spans="2:25" x14ac:dyDescent="0.3">
      <c r="G47" s="6"/>
      <c r="H47" s="39"/>
      <c r="I47" s="28"/>
      <c r="J47" s="6" t="s">
        <v>116</v>
      </c>
      <c r="K47" s="39" t="s">
        <v>190</v>
      </c>
      <c r="L47" s="28">
        <v>-4200</v>
      </c>
      <c r="M47" s="6" t="s">
        <v>175</v>
      </c>
      <c r="N47" s="39" t="s">
        <v>464</v>
      </c>
      <c r="O47" s="26">
        <v>-30000</v>
      </c>
      <c r="P47" s="5"/>
      <c r="Q47" s="6"/>
      <c r="R47" s="39"/>
      <c r="S47" s="28"/>
      <c r="T47" s="6" t="s">
        <v>144</v>
      </c>
      <c r="U47" s="39" t="s">
        <v>513</v>
      </c>
      <c r="V47" s="28">
        <v>-18036</v>
      </c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115</v>
      </c>
      <c r="K48" s="39" t="s">
        <v>246</v>
      </c>
      <c r="L48" s="28">
        <v>-36120</v>
      </c>
      <c r="M48" s="6" t="s">
        <v>175</v>
      </c>
      <c r="N48" s="39" t="s">
        <v>467</v>
      </c>
      <c r="O48" s="26">
        <v>-30000</v>
      </c>
      <c r="P48" s="5"/>
      <c r="Q48" s="6"/>
      <c r="R48" s="39"/>
      <c r="S48" s="28"/>
      <c r="T48" s="6" t="s">
        <v>118</v>
      </c>
      <c r="U48" s="39" t="s">
        <v>224</v>
      </c>
      <c r="V48" s="28">
        <v>-24100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115</v>
      </c>
      <c r="K49" s="39" t="s">
        <v>476</v>
      </c>
      <c r="L49" s="28">
        <v>-50000</v>
      </c>
      <c r="M49" s="6" t="s">
        <v>175</v>
      </c>
      <c r="N49" s="39" t="s">
        <v>470</v>
      </c>
      <c r="O49" s="26">
        <v>-30000</v>
      </c>
      <c r="P49" s="5"/>
      <c r="Q49" s="6"/>
      <c r="R49" s="39"/>
      <c r="S49" s="28"/>
      <c r="T49" s="6" t="s">
        <v>144</v>
      </c>
      <c r="U49" s="39" t="s">
        <v>123</v>
      </c>
      <c r="V49" s="28">
        <v>-990</v>
      </c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122</v>
      </c>
      <c r="K50" s="39" t="s">
        <v>477</v>
      </c>
      <c r="L50" s="28">
        <v>-3200</v>
      </c>
      <c r="M50" s="6" t="s">
        <v>127</v>
      </c>
      <c r="N50" s="39" t="s">
        <v>375</v>
      </c>
      <c r="O50" s="26">
        <v>-10900</v>
      </c>
      <c r="P50" s="5"/>
      <c r="Q50" s="6"/>
      <c r="R50" s="39"/>
      <c r="S50" s="28"/>
      <c r="T50" s="6" t="s">
        <v>118</v>
      </c>
      <c r="U50" s="39" t="s">
        <v>284</v>
      </c>
      <c r="V50" s="28">
        <v>-218010</v>
      </c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120</v>
      </c>
      <c r="K51" s="39" t="s">
        <v>478</v>
      </c>
      <c r="L51" s="28">
        <v>-16700</v>
      </c>
      <c r="M51" s="6" t="s">
        <v>175</v>
      </c>
      <c r="N51" s="39" t="s">
        <v>472</v>
      </c>
      <c r="O51" s="26">
        <v>-30000</v>
      </c>
      <c r="P51" s="5"/>
      <c r="Q51" s="6"/>
      <c r="R51" s="39"/>
      <c r="S51" s="28"/>
      <c r="T51" s="6" t="s">
        <v>137</v>
      </c>
      <c r="U51" s="39" t="s">
        <v>263</v>
      </c>
      <c r="V51" s="28">
        <v>-30000</v>
      </c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0</v>
      </c>
      <c r="D52" s="99"/>
      <c r="E52" s="100"/>
      <c r="G52" s="6"/>
      <c r="H52" s="39"/>
      <c r="I52" s="28"/>
      <c r="J52" s="6" t="s">
        <v>119</v>
      </c>
      <c r="K52" s="39" t="s">
        <v>153</v>
      </c>
      <c r="L52" s="28">
        <v>-30000</v>
      </c>
      <c r="M52" s="6" t="s">
        <v>175</v>
      </c>
      <c r="N52" s="39" t="s">
        <v>474</v>
      </c>
      <c r="O52" s="26">
        <v>-30000</v>
      </c>
      <c r="P52" s="5"/>
      <c r="Q52" s="6"/>
      <c r="R52" s="39"/>
      <c r="S52" s="28"/>
      <c r="T52" s="6" t="s">
        <v>119</v>
      </c>
      <c r="U52" s="39" t="s">
        <v>514</v>
      </c>
      <c r="V52" s="28">
        <v>-40000</v>
      </c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19876985</v>
      </c>
      <c r="D53" s="99"/>
      <c r="E53" s="100"/>
      <c r="G53" s="6"/>
      <c r="H53" s="39"/>
      <c r="I53" s="28"/>
      <c r="J53" s="6" t="s">
        <v>117</v>
      </c>
      <c r="K53" s="39" t="s">
        <v>390</v>
      </c>
      <c r="L53" s="28">
        <v>-12000</v>
      </c>
      <c r="M53" s="6" t="s">
        <v>175</v>
      </c>
      <c r="N53" s="39" t="s">
        <v>475</v>
      </c>
      <c r="O53" s="26">
        <v>-30000</v>
      </c>
      <c r="P53" s="5"/>
      <c r="Q53" s="6"/>
      <c r="R53" s="39"/>
      <c r="S53" s="28"/>
      <c r="T53" s="6" t="s">
        <v>116</v>
      </c>
      <c r="U53" s="39" t="s">
        <v>289</v>
      </c>
      <c r="V53" s="28">
        <v>-102105</v>
      </c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 t="s">
        <v>126</v>
      </c>
      <c r="K54" s="39" t="s">
        <v>481</v>
      </c>
      <c r="L54" s="28">
        <v>-46000</v>
      </c>
      <c r="M54" s="6" t="s">
        <v>175</v>
      </c>
      <c r="N54" s="39" t="s">
        <v>187</v>
      </c>
      <c r="O54" s="26">
        <v>-500000</v>
      </c>
      <c r="P54" s="5"/>
      <c r="Q54" s="6"/>
      <c r="R54" s="39"/>
      <c r="S54" s="28"/>
      <c r="T54" s="6" t="s">
        <v>129</v>
      </c>
      <c r="U54" s="39" t="s">
        <v>322</v>
      </c>
      <c r="V54" s="28">
        <v>-1700</v>
      </c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1</v>
      </c>
      <c r="D55" s="99"/>
      <c r="E55" s="100"/>
      <c r="G55" s="6"/>
      <c r="H55" s="39"/>
      <c r="I55" s="28"/>
      <c r="J55" s="6" t="s">
        <v>116</v>
      </c>
      <c r="K55" s="39" t="s">
        <v>388</v>
      </c>
      <c r="L55" s="28">
        <v>-4400</v>
      </c>
      <c r="M55" s="6" t="s">
        <v>175</v>
      </c>
      <c r="N55" s="39" t="s">
        <v>200</v>
      </c>
      <c r="O55" s="26">
        <v>100000</v>
      </c>
      <c r="P55" s="5"/>
      <c r="Q55" s="6"/>
      <c r="R55" s="39"/>
      <c r="S55" s="28"/>
      <c r="T55" s="6" t="s">
        <v>137</v>
      </c>
      <c r="U55" s="39" t="s">
        <v>140</v>
      </c>
      <c r="V55" s="28">
        <v>-1200</v>
      </c>
      <c r="W55" s="6"/>
      <c r="X55" s="39"/>
      <c r="Y55" s="26"/>
    </row>
    <row r="56" spans="2:25" x14ac:dyDescent="0.3">
      <c r="G56" s="6"/>
      <c r="H56" s="39"/>
      <c r="I56" s="28"/>
      <c r="J56" s="6" t="s">
        <v>125</v>
      </c>
      <c r="K56" s="39" t="s">
        <v>482</v>
      </c>
      <c r="L56" s="28">
        <v>-5300</v>
      </c>
      <c r="M56" s="6" t="s">
        <v>175</v>
      </c>
      <c r="N56" s="39" t="s">
        <v>479</v>
      </c>
      <c r="O56" s="26">
        <v>-100000</v>
      </c>
      <c r="P56" s="5"/>
      <c r="Q56" s="6"/>
      <c r="R56" s="39"/>
      <c r="S56" s="28"/>
      <c r="T56" s="6" t="s">
        <v>138</v>
      </c>
      <c r="U56" s="39" t="s">
        <v>515</v>
      </c>
      <c r="V56" s="28">
        <v>-98000</v>
      </c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117</v>
      </c>
      <c r="K57" s="39" t="s">
        <v>483</v>
      </c>
      <c r="L57" s="28">
        <v>-80000</v>
      </c>
      <c r="M57" s="6" t="s">
        <v>175</v>
      </c>
      <c r="N57" s="39" t="s">
        <v>480</v>
      </c>
      <c r="O57" s="26">
        <v>-30000</v>
      </c>
      <c r="P57" s="5"/>
      <c r="Q57" s="6"/>
      <c r="R57" s="39"/>
      <c r="S57" s="28"/>
      <c r="T57" s="6" t="s">
        <v>128</v>
      </c>
      <c r="U57" s="39" t="s">
        <v>517</v>
      </c>
      <c r="V57" s="28">
        <v>-251230</v>
      </c>
      <c r="W57" s="6"/>
      <c r="X57" s="39"/>
      <c r="Y57" s="26"/>
    </row>
    <row r="58" spans="2:25" x14ac:dyDescent="0.3">
      <c r="G58" s="6"/>
      <c r="H58" s="39"/>
      <c r="I58" s="28"/>
      <c r="J58" s="6" t="s">
        <v>120</v>
      </c>
      <c r="K58" s="39" t="s">
        <v>121</v>
      </c>
      <c r="L58" s="28">
        <v>-18100</v>
      </c>
      <c r="M58" s="6" t="s">
        <v>175</v>
      </c>
      <c r="N58" s="39" t="s">
        <v>484</v>
      </c>
      <c r="O58" s="26">
        <v>-30000</v>
      </c>
      <c r="P58" s="5"/>
      <c r="Q58" s="6"/>
      <c r="R58" s="39"/>
      <c r="S58" s="28"/>
      <c r="T58" s="6" t="s">
        <v>128</v>
      </c>
      <c r="U58" s="39" t="s">
        <v>518</v>
      </c>
      <c r="V58" s="28">
        <v>-28200</v>
      </c>
      <c r="W58" s="6"/>
      <c r="X58" s="39"/>
      <c r="Y58" s="26"/>
    </row>
    <row r="59" spans="2:25" x14ac:dyDescent="0.3">
      <c r="G59" s="6"/>
      <c r="H59" s="39"/>
      <c r="I59" s="28"/>
      <c r="J59" s="6" t="s">
        <v>125</v>
      </c>
      <c r="K59" s="39" t="s">
        <v>487</v>
      </c>
      <c r="L59" s="28">
        <v>-7500</v>
      </c>
      <c r="M59" s="6" t="s">
        <v>175</v>
      </c>
      <c r="N59" s="39" t="s">
        <v>485</v>
      </c>
      <c r="O59" s="26">
        <v>-30000</v>
      </c>
      <c r="P59" s="5"/>
      <c r="Q59" s="6"/>
      <c r="R59" s="39"/>
      <c r="S59" s="28"/>
      <c r="T59" s="6" t="s">
        <v>144</v>
      </c>
      <c r="U59" s="39" t="s">
        <v>260</v>
      </c>
      <c r="V59" s="28">
        <v>-20090</v>
      </c>
      <c r="W59" s="6"/>
      <c r="X59" s="39"/>
      <c r="Y59" s="26"/>
    </row>
    <row r="60" spans="2:25" x14ac:dyDescent="0.3">
      <c r="G60" s="6"/>
      <c r="H60" s="39"/>
      <c r="I60" s="28"/>
      <c r="J60" s="6" t="s">
        <v>115</v>
      </c>
      <c r="K60" s="39" t="s">
        <v>488</v>
      </c>
      <c r="L60" s="28">
        <v>-582900</v>
      </c>
      <c r="M60" s="6" t="s">
        <v>175</v>
      </c>
      <c r="N60" s="39" t="s">
        <v>486</v>
      </c>
      <c r="O60" s="26">
        <v>-30000</v>
      </c>
      <c r="P60" s="5"/>
      <c r="Q60" s="6"/>
      <c r="R60" s="39"/>
      <c r="S60" s="28"/>
      <c r="T60" s="6" t="s">
        <v>125</v>
      </c>
      <c r="U60" s="39" t="s">
        <v>419</v>
      </c>
      <c r="V60" s="28">
        <v>-3000</v>
      </c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489</v>
      </c>
      <c r="L61" s="28">
        <v>-4000</v>
      </c>
      <c r="M61" s="6" t="s">
        <v>175</v>
      </c>
      <c r="N61" s="39" t="s">
        <v>252</v>
      </c>
      <c r="O61" s="26">
        <v>-100000</v>
      </c>
      <c r="P61" s="5"/>
      <c r="Q61" s="6"/>
      <c r="R61" s="39"/>
      <c r="S61" s="28"/>
      <c r="T61" s="6" t="s">
        <v>128</v>
      </c>
      <c r="U61" s="39" t="s">
        <v>519</v>
      </c>
      <c r="V61" s="28">
        <v>-1500</v>
      </c>
      <c r="W61" s="6"/>
      <c r="X61" s="39"/>
      <c r="Y61" s="26"/>
    </row>
    <row r="62" spans="2:25" x14ac:dyDescent="0.3">
      <c r="G62" s="6"/>
      <c r="H62" s="39"/>
      <c r="I62" s="28"/>
      <c r="J62" s="6" t="s">
        <v>117</v>
      </c>
      <c r="K62" s="39" t="s">
        <v>256</v>
      </c>
      <c r="L62" s="28">
        <v>-104030</v>
      </c>
      <c r="M62" s="6" t="s">
        <v>175</v>
      </c>
      <c r="N62" s="39" t="s">
        <v>491</v>
      </c>
      <c r="O62" s="26">
        <v>-30000</v>
      </c>
      <c r="P62" s="5"/>
      <c r="Q62" s="6"/>
      <c r="R62" s="39"/>
      <c r="S62" s="28"/>
      <c r="T62" s="6" t="s">
        <v>125</v>
      </c>
      <c r="U62" s="39" t="s">
        <v>520</v>
      </c>
      <c r="V62" s="28">
        <v>-21000</v>
      </c>
      <c r="W62" s="6"/>
      <c r="X62" s="39"/>
      <c r="Y62" s="26"/>
    </row>
    <row r="63" spans="2:25" x14ac:dyDescent="0.3">
      <c r="G63" s="6"/>
      <c r="H63" s="39"/>
      <c r="I63" s="28"/>
      <c r="J63" s="6" t="s">
        <v>118</v>
      </c>
      <c r="K63" s="39" t="s">
        <v>490</v>
      </c>
      <c r="L63" s="28">
        <v>-79030</v>
      </c>
      <c r="M63" s="6"/>
      <c r="N63" s="39"/>
      <c r="O63" s="26"/>
      <c r="P63" s="5"/>
      <c r="Q63" s="6"/>
      <c r="R63" s="39"/>
      <c r="S63" s="28"/>
      <c r="T63" s="6" t="s">
        <v>128</v>
      </c>
      <c r="U63" s="39" t="s">
        <v>517</v>
      </c>
      <c r="V63" s="28">
        <v>-104800</v>
      </c>
      <c r="W63" s="6"/>
      <c r="X63" s="39"/>
      <c r="Y63" s="26"/>
    </row>
    <row r="64" spans="2:25" x14ac:dyDescent="0.3">
      <c r="G64" s="6"/>
      <c r="H64" s="39"/>
      <c r="I64" s="28"/>
      <c r="J64" s="6" t="s">
        <v>117</v>
      </c>
      <c r="K64" s="39" t="s">
        <v>492</v>
      </c>
      <c r="L64" s="28">
        <v>-45000</v>
      </c>
      <c r="M64" s="6"/>
      <c r="N64" s="39"/>
      <c r="O64" s="26"/>
      <c r="P64" s="5"/>
      <c r="Q64" s="6"/>
      <c r="R64" s="39"/>
      <c r="S64" s="28"/>
      <c r="T64" s="6" t="s">
        <v>128</v>
      </c>
      <c r="U64" s="39" t="s">
        <v>518</v>
      </c>
      <c r="V64" s="28">
        <v>-8000</v>
      </c>
      <c r="W64" s="6"/>
      <c r="X64" s="39"/>
      <c r="Y64" s="26"/>
    </row>
    <row r="65" spans="7:25" x14ac:dyDescent="0.3">
      <c r="G65" s="6"/>
      <c r="H65" s="39"/>
      <c r="I65" s="28"/>
      <c r="J65" s="6" t="s">
        <v>134</v>
      </c>
      <c r="K65" s="39" t="s">
        <v>385</v>
      </c>
      <c r="L65" s="28">
        <v>400000</v>
      </c>
      <c r="M65" s="6"/>
      <c r="N65" s="39"/>
      <c r="O65" s="26"/>
      <c r="P65" s="5"/>
      <c r="Q65" s="6"/>
      <c r="R65" s="39"/>
      <c r="S65" s="28"/>
      <c r="T65" s="6" t="s">
        <v>144</v>
      </c>
      <c r="U65" s="39" t="s">
        <v>260</v>
      </c>
      <c r="V65" s="28">
        <v>-21120</v>
      </c>
      <c r="W65" s="6"/>
      <c r="X65" s="39"/>
      <c r="Y65" s="26"/>
    </row>
    <row r="66" spans="7:25" x14ac:dyDescent="0.3">
      <c r="G66" s="6"/>
      <c r="H66" s="39"/>
      <c r="I66" s="28"/>
      <c r="J66" s="6" t="s">
        <v>125</v>
      </c>
      <c r="K66" s="39" t="s">
        <v>493</v>
      </c>
      <c r="L66" s="28">
        <v>-21500</v>
      </c>
      <c r="M66" s="6"/>
      <c r="N66" s="39"/>
      <c r="O66" s="26"/>
      <c r="P66" s="5"/>
      <c r="Q66" s="6"/>
      <c r="R66" s="39"/>
      <c r="S66" s="28"/>
      <c r="T66" s="6" t="s">
        <v>116</v>
      </c>
      <c r="U66" s="39" t="s">
        <v>399</v>
      </c>
      <c r="V66" s="28">
        <v>-2000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118</v>
      </c>
      <c r="U67" s="39" t="s">
        <v>490</v>
      </c>
      <c r="V67" s="28">
        <v>-214500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10882947</v>
      </c>
      <c r="J89" s="7" t="s">
        <v>24</v>
      </c>
      <c r="K89" s="22" t="s">
        <v>34</v>
      </c>
      <c r="L89" s="21">
        <f>SUM(L7:L88)</f>
        <v>-2528352</v>
      </c>
      <c r="M89" s="7" t="s">
        <v>24</v>
      </c>
      <c r="N89" s="22" t="s">
        <v>34</v>
      </c>
      <c r="O89" s="21">
        <f>SUM(O7:O88)</f>
        <v>-1713522</v>
      </c>
      <c r="Q89" s="7" t="s">
        <v>24</v>
      </c>
      <c r="R89" s="17" t="s">
        <v>34</v>
      </c>
      <c r="S89" s="19">
        <f>SUM(S7:S88)</f>
        <v>8994039</v>
      </c>
      <c r="T89" s="7" t="s">
        <v>24</v>
      </c>
      <c r="U89" s="22" t="s">
        <v>34</v>
      </c>
      <c r="V89" s="21">
        <f>SUM(V7:V88)</f>
        <v>-3179848</v>
      </c>
      <c r="W89" s="7" t="s">
        <v>24</v>
      </c>
      <c r="X89" s="22" t="s">
        <v>34</v>
      </c>
      <c r="Y89" s="21">
        <f>SUM(Y7:Y88)</f>
        <v>-1715429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6641073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4098762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topLeftCell="A45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21" t="s">
        <v>26</v>
      </c>
      <c r="C2" s="121"/>
      <c r="D2" s="130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25839255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-15839255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2.5839254999999999</v>
      </c>
      <c r="D7" s="111"/>
      <c r="G7" s="6" t="s">
        <v>188</v>
      </c>
      <c r="H7" s="39" t="s">
        <v>229</v>
      </c>
      <c r="I7" s="28">
        <v>4051385</v>
      </c>
      <c r="J7" s="6" t="s">
        <v>115</v>
      </c>
      <c r="K7" s="39" t="s">
        <v>132</v>
      </c>
      <c r="L7" s="28">
        <v>-36400</v>
      </c>
      <c r="M7" s="6" t="s">
        <v>127</v>
      </c>
      <c r="N7" s="39" t="s">
        <v>181</v>
      </c>
      <c r="O7" s="40">
        <v>-400000</v>
      </c>
      <c r="P7" s="5"/>
      <c r="Q7" s="6" t="s">
        <v>112</v>
      </c>
      <c r="R7" s="39" t="s">
        <v>113</v>
      </c>
      <c r="S7" s="28">
        <v>0</v>
      </c>
      <c r="T7" s="6" t="s">
        <v>116</v>
      </c>
      <c r="U7" s="39" t="s">
        <v>556</v>
      </c>
      <c r="V7" s="28">
        <v>-22690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112</v>
      </c>
      <c r="H8" s="39" t="s">
        <v>237</v>
      </c>
      <c r="I8" s="28">
        <v>0</v>
      </c>
      <c r="J8" s="6" t="s">
        <v>119</v>
      </c>
      <c r="K8" s="39" t="s">
        <v>193</v>
      </c>
      <c r="L8" s="28">
        <v>-60000</v>
      </c>
      <c r="M8" s="6" t="s">
        <v>175</v>
      </c>
      <c r="N8" s="39" t="s">
        <v>521</v>
      </c>
      <c r="O8" s="26">
        <v>-30000</v>
      </c>
      <c r="P8" s="5"/>
      <c r="Q8" s="6" t="s">
        <v>188</v>
      </c>
      <c r="R8" s="39" t="s">
        <v>229</v>
      </c>
      <c r="S8" s="28">
        <v>3961806</v>
      </c>
      <c r="T8" s="6" t="s">
        <v>154</v>
      </c>
      <c r="U8" s="39" t="s">
        <v>123</v>
      </c>
      <c r="V8" s="28">
        <v>-37000</v>
      </c>
      <c r="W8" s="6" t="s">
        <v>127</v>
      </c>
      <c r="X8" s="39" t="s">
        <v>181</v>
      </c>
      <c r="Y8" s="26">
        <v>-200000</v>
      </c>
    </row>
    <row r="9" spans="2:25" x14ac:dyDescent="0.3">
      <c r="G9" s="6" t="s">
        <v>552</v>
      </c>
      <c r="H9" s="39">
        <v>1020658023397</v>
      </c>
      <c r="I9" s="28">
        <v>15469546</v>
      </c>
      <c r="J9" s="6" t="s">
        <v>116</v>
      </c>
      <c r="K9" s="39" t="s">
        <v>124</v>
      </c>
      <c r="L9" s="28">
        <v>-160000</v>
      </c>
      <c r="M9" s="6" t="s">
        <v>175</v>
      </c>
      <c r="N9" s="39" t="s">
        <v>522</v>
      </c>
      <c r="O9" s="26">
        <v>-30000</v>
      </c>
      <c r="P9" s="5"/>
      <c r="Q9" s="6" t="s">
        <v>112</v>
      </c>
      <c r="R9" s="39" t="s">
        <v>287</v>
      </c>
      <c r="S9" s="28">
        <v>0</v>
      </c>
      <c r="T9" s="6" t="s">
        <v>137</v>
      </c>
      <c r="U9" s="39" t="s">
        <v>140</v>
      </c>
      <c r="V9" s="28">
        <v>-1200</v>
      </c>
      <c r="W9" s="6" t="s">
        <v>127</v>
      </c>
      <c r="X9" s="39" t="s">
        <v>557</v>
      </c>
      <c r="Y9" s="26">
        <v>-72800</v>
      </c>
    </row>
    <row r="10" spans="2:25" x14ac:dyDescent="0.3">
      <c r="G10" s="6"/>
      <c r="H10" s="39"/>
      <c r="I10" s="28"/>
      <c r="J10" s="6" t="s">
        <v>125</v>
      </c>
      <c r="K10" s="39" t="s">
        <v>524</v>
      </c>
      <c r="L10" s="28">
        <v>-4500</v>
      </c>
      <c r="M10" s="6" t="s">
        <v>175</v>
      </c>
      <c r="N10" s="39" t="s">
        <v>523</v>
      </c>
      <c r="O10" s="26">
        <v>-30000</v>
      </c>
      <c r="P10" s="5"/>
      <c r="Q10" s="6" t="s">
        <v>112</v>
      </c>
      <c r="R10" s="39" t="s">
        <v>237</v>
      </c>
      <c r="S10" s="28">
        <v>0</v>
      </c>
      <c r="T10" s="6" t="s">
        <v>128</v>
      </c>
      <c r="U10" s="39" t="s">
        <v>517</v>
      </c>
      <c r="V10" s="28">
        <v>-58</v>
      </c>
      <c r="W10" s="6" t="s">
        <v>114</v>
      </c>
      <c r="X10" s="39" t="s">
        <v>558</v>
      </c>
      <c r="Y10" s="26">
        <v>36400</v>
      </c>
    </row>
    <row r="11" spans="2:25" x14ac:dyDescent="0.3">
      <c r="G11" s="6"/>
      <c r="H11" s="39"/>
      <c r="I11" s="28"/>
      <c r="J11" s="6" t="s">
        <v>128</v>
      </c>
      <c r="K11" s="39" t="s">
        <v>525</v>
      </c>
      <c r="L11" s="28">
        <v>-13500</v>
      </c>
      <c r="M11" s="6" t="s">
        <v>114</v>
      </c>
      <c r="N11" s="39" t="s">
        <v>302</v>
      </c>
      <c r="O11" s="26">
        <v>6086175</v>
      </c>
      <c r="P11" s="5"/>
      <c r="Q11" s="6" t="s">
        <v>552</v>
      </c>
      <c r="R11" s="39" t="s">
        <v>583</v>
      </c>
      <c r="S11" s="28">
        <v>20000</v>
      </c>
      <c r="T11" s="6" t="s">
        <v>128</v>
      </c>
      <c r="U11" s="39" t="s">
        <v>517</v>
      </c>
      <c r="V11" s="28">
        <v>-5742</v>
      </c>
      <c r="W11" s="6" t="s">
        <v>133</v>
      </c>
      <c r="X11" s="39" t="s">
        <v>136</v>
      </c>
      <c r="Y11" s="26">
        <v>-114860</v>
      </c>
    </row>
    <row r="12" spans="2:25" x14ac:dyDescent="0.3">
      <c r="G12" s="6"/>
      <c r="H12" s="39"/>
      <c r="I12" s="28"/>
      <c r="J12" s="6" t="s">
        <v>125</v>
      </c>
      <c r="K12" s="39" t="s">
        <v>527</v>
      </c>
      <c r="L12" s="28">
        <v>-3000</v>
      </c>
      <c r="M12" s="6" t="s">
        <v>175</v>
      </c>
      <c r="N12" s="39" t="s">
        <v>526</v>
      </c>
      <c r="O12" s="26">
        <v>-30000</v>
      </c>
      <c r="P12" s="5"/>
      <c r="Q12" s="6"/>
      <c r="R12" s="39"/>
      <c r="S12" s="28"/>
      <c r="T12" s="6" t="s">
        <v>125</v>
      </c>
      <c r="U12" s="39" t="s">
        <v>559</v>
      </c>
      <c r="V12" s="28">
        <v>-13500</v>
      </c>
      <c r="W12" s="6" t="s">
        <v>127</v>
      </c>
      <c r="X12" s="39" t="s">
        <v>560</v>
      </c>
      <c r="Y12" s="26">
        <v>-390000</v>
      </c>
    </row>
    <row r="13" spans="2:25" x14ac:dyDescent="0.3">
      <c r="G13" s="6"/>
      <c r="H13" s="39"/>
      <c r="I13" s="28"/>
      <c r="J13" s="6" t="s">
        <v>115</v>
      </c>
      <c r="K13" s="39" t="s">
        <v>132</v>
      </c>
      <c r="L13" s="28">
        <v>-195000</v>
      </c>
      <c r="M13" s="6" t="s">
        <v>114</v>
      </c>
      <c r="N13" s="39" t="s">
        <v>302</v>
      </c>
      <c r="O13" s="26">
        <v>3017916</v>
      </c>
      <c r="P13" s="5"/>
      <c r="Q13" s="6"/>
      <c r="R13" s="39"/>
      <c r="S13" s="28"/>
      <c r="T13" s="6" t="s">
        <v>125</v>
      </c>
      <c r="U13" s="39" t="s">
        <v>263</v>
      </c>
      <c r="V13" s="28">
        <v>-1204</v>
      </c>
      <c r="W13" s="6" t="s">
        <v>114</v>
      </c>
      <c r="X13" s="39" t="s">
        <v>561</v>
      </c>
      <c r="Y13" s="26">
        <v>195000</v>
      </c>
    </row>
    <row r="14" spans="2:25" x14ac:dyDescent="0.3">
      <c r="G14" s="6"/>
      <c r="H14" s="39"/>
      <c r="I14" s="28"/>
      <c r="J14" s="6" t="s">
        <v>125</v>
      </c>
      <c r="K14" s="39" t="s">
        <v>204</v>
      </c>
      <c r="L14" s="28">
        <v>-2000</v>
      </c>
      <c r="M14" s="6" t="s">
        <v>127</v>
      </c>
      <c r="N14" s="39" t="s">
        <v>131</v>
      </c>
      <c r="O14" s="26">
        <v>-14750</v>
      </c>
      <c r="P14" s="5"/>
      <c r="Q14" s="6"/>
      <c r="R14" s="39"/>
      <c r="S14" s="28"/>
      <c r="T14" s="6" t="s">
        <v>138</v>
      </c>
      <c r="U14" s="39" t="s">
        <v>562</v>
      </c>
      <c r="V14" s="28">
        <v>-14000</v>
      </c>
      <c r="W14" s="6" t="s">
        <v>127</v>
      </c>
      <c r="X14" s="39" t="s">
        <v>273</v>
      </c>
      <c r="Y14" s="26">
        <v>300000</v>
      </c>
    </row>
    <row r="15" spans="2:25" x14ac:dyDescent="0.3">
      <c r="G15" s="6"/>
      <c r="H15" s="39"/>
      <c r="I15" s="28"/>
      <c r="J15" s="6" t="s">
        <v>120</v>
      </c>
      <c r="K15" s="39" t="s">
        <v>528</v>
      </c>
      <c r="L15" s="28">
        <v>-18000</v>
      </c>
      <c r="M15" s="6" t="s">
        <v>127</v>
      </c>
      <c r="N15" s="39" t="s">
        <v>375</v>
      </c>
      <c r="O15" s="26">
        <v>-4400</v>
      </c>
      <c r="P15" s="5"/>
      <c r="Q15" s="6"/>
      <c r="R15" s="39"/>
      <c r="S15" s="28"/>
      <c r="T15" s="6" t="s">
        <v>138</v>
      </c>
      <c r="U15" s="39" t="s">
        <v>562</v>
      </c>
      <c r="V15" s="28">
        <v>-14500</v>
      </c>
      <c r="W15" s="6" t="s">
        <v>127</v>
      </c>
      <c r="X15" s="39" t="s">
        <v>563</v>
      </c>
      <c r="Y15" s="26">
        <v>27000</v>
      </c>
    </row>
    <row r="16" spans="2:25" x14ac:dyDescent="0.3">
      <c r="G16" s="6"/>
      <c r="H16" s="39"/>
      <c r="I16" s="28"/>
      <c r="J16" s="6" t="s">
        <v>116</v>
      </c>
      <c r="K16" s="39" t="s">
        <v>529</v>
      </c>
      <c r="L16" s="28">
        <v>-4700</v>
      </c>
      <c r="M16" s="6" t="s">
        <v>127</v>
      </c>
      <c r="N16" s="39" t="s">
        <v>131</v>
      </c>
      <c r="O16" s="26">
        <v>-12500</v>
      </c>
      <c r="P16" s="5"/>
      <c r="Q16" s="6"/>
      <c r="R16" s="39"/>
      <c r="S16" s="28"/>
      <c r="T16" s="6" t="s">
        <v>138</v>
      </c>
      <c r="U16" s="39" t="s">
        <v>562</v>
      </c>
      <c r="V16" s="28">
        <v>-514000</v>
      </c>
      <c r="W16" s="6" t="s">
        <v>127</v>
      </c>
      <c r="X16" s="39" t="s">
        <v>131</v>
      </c>
      <c r="Y16" s="26">
        <v>-14750</v>
      </c>
    </row>
    <row r="17" spans="2:25" x14ac:dyDescent="0.3">
      <c r="G17" s="6"/>
      <c r="H17" s="39"/>
      <c r="I17" s="28"/>
      <c r="J17" s="6" t="s">
        <v>120</v>
      </c>
      <c r="K17" s="39" t="s">
        <v>530</v>
      </c>
      <c r="L17" s="28">
        <v>-53000</v>
      </c>
      <c r="M17" s="6" t="s">
        <v>144</v>
      </c>
      <c r="N17" s="39" t="s">
        <v>200</v>
      </c>
      <c r="O17" s="26">
        <v>572</v>
      </c>
      <c r="P17" s="5"/>
      <c r="Q17" s="6"/>
      <c r="R17" s="39"/>
      <c r="S17" s="28"/>
      <c r="T17" s="6" t="s">
        <v>138</v>
      </c>
      <c r="U17" s="39" t="s">
        <v>562</v>
      </c>
      <c r="V17" s="28">
        <v>-150000</v>
      </c>
      <c r="W17" s="6" t="s">
        <v>127</v>
      </c>
      <c r="X17" s="39" t="s">
        <v>131</v>
      </c>
      <c r="Y17" s="26">
        <v>-11500</v>
      </c>
    </row>
    <row r="18" spans="2:25" x14ac:dyDescent="0.3">
      <c r="G18" s="6"/>
      <c r="H18" s="39"/>
      <c r="I18" s="28"/>
      <c r="J18" s="6" t="s">
        <v>117</v>
      </c>
      <c r="K18" s="39" t="s">
        <v>531</v>
      </c>
      <c r="L18" s="28">
        <v>-6000</v>
      </c>
      <c r="M18" s="6" t="s">
        <v>175</v>
      </c>
      <c r="N18" s="39" t="s">
        <v>135</v>
      </c>
      <c r="O18" s="26">
        <v>1289985</v>
      </c>
      <c r="P18" s="5"/>
      <c r="Q18" s="6"/>
      <c r="R18" s="39"/>
      <c r="S18" s="28"/>
      <c r="T18" s="6" t="s">
        <v>128</v>
      </c>
      <c r="U18" s="39" t="s">
        <v>517</v>
      </c>
      <c r="V18" s="28">
        <v>-4600</v>
      </c>
      <c r="W18" s="6" t="s">
        <v>133</v>
      </c>
      <c r="X18" s="39" t="s">
        <v>276</v>
      </c>
      <c r="Y18" s="26">
        <v>-1700</v>
      </c>
    </row>
    <row r="19" spans="2:25" x14ac:dyDescent="0.3">
      <c r="G19" s="6"/>
      <c r="H19" s="39"/>
      <c r="I19" s="28"/>
      <c r="J19" s="6" t="s">
        <v>117</v>
      </c>
      <c r="K19" s="39" t="s">
        <v>531</v>
      </c>
      <c r="L19" s="28">
        <v>-6000</v>
      </c>
      <c r="M19" s="6" t="s">
        <v>175</v>
      </c>
      <c r="N19" s="39" t="s">
        <v>235</v>
      </c>
      <c r="O19" s="26">
        <v>10000</v>
      </c>
      <c r="P19" s="5"/>
      <c r="Q19" s="6"/>
      <c r="R19" s="39"/>
      <c r="S19" s="28"/>
      <c r="T19" s="6" t="s">
        <v>128</v>
      </c>
      <c r="U19" s="39" t="s">
        <v>564</v>
      </c>
      <c r="V19" s="28">
        <v>-35000</v>
      </c>
      <c r="W19" s="6" t="s">
        <v>144</v>
      </c>
      <c r="X19" s="39" t="s">
        <v>200</v>
      </c>
      <c r="Y19" s="26">
        <v>2211</v>
      </c>
    </row>
    <row r="20" spans="2:25" x14ac:dyDescent="0.3">
      <c r="G20" s="6"/>
      <c r="H20" s="39"/>
      <c r="I20" s="28"/>
      <c r="J20" s="6" t="s">
        <v>125</v>
      </c>
      <c r="K20" s="39" t="s">
        <v>532</v>
      </c>
      <c r="L20" s="28">
        <v>-200</v>
      </c>
      <c r="M20" s="6" t="s">
        <v>175</v>
      </c>
      <c r="N20" s="39" t="s">
        <v>236</v>
      </c>
      <c r="O20" s="26">
        <v>-10000</v>
      </c>
      <c r="P20" s="5"/>
      <c r="Q20" s="6"/>
      <c r="R20" s="39"/>
      <c r="S20" s="28"/>
      <c r="T20" s="6" t="s">
        <v>116</v>
      </c>
      <c r="U20" s="39" t="s">
        <v>155</v>
      </c>
      <c r="V20" s="28">
        <v>-7980</v>
      </c>
      <c r="W20" s="6" t="s">
        <v>145</v>
      </c>
      <c r="X20" s="39" t="s">
        <v>566</v>
      </c>
      <c r="Y20" s="26">
        <v>20000</v>
      </c>
    </row>
    <row r="21" spans="2:25" x14ac:dyDescent="0.3">
      <c r="G21" s="6"/>
      <c r="H21" s="39"/>
      <c r="I21" s="28"/>
      <c r="J21" s="6" t="s">
        <v>122</v>
      </c>
      <c r="K21" s="39" t="s">
        <v>533</v>
      </c>
      <c r="L21" s="28">
        <v>-56800</v>
      </c>
      <c r="M21" s="6" t="s">
        <v>127</v>
      </c>
      <c r="N21" s="39" t="s">
        <v>131</v>
      </c>
      <c r="O21" s="26">
        <v>-23200</v>
      </c>
      <c r="P21" s="5"/>
      <c r="Q21" s="6"/>
      <c r="R21" s="39"/>
      <c r="S21" s="28"/>
      <c r="T21" s="6" t="s">
        <v>137</v>
      </c>
      <c r="U21" s="39" t="s">
        <v>140</v>
      </c>
      <c r="V21" s="28">
        <v>-2700</v>
      </c>
      <c r="W21" s="6" t="s">
        <v>127</v>
      </c>
      <c r="X21" s="39" t="s">
        <v>273</v>
      </c>
      <c r="Y21" s="26">
        <v>-300000</v>
      </c>
    </row>
    <row r="22" spans="2:25" x14ac:dyDescent="0.3">
      <c r="G22" s="6"/>
      <c r="H22" s="39"/>
      <c r="I22" s="28"/>
      <c r="J22" s="6" t="s">
        <v>119</v>
      </c>
      <c r="K22" s="39" t="s">
        <v>153</v>
      </c>
      <c r="L22" s="28">
        <v>-60000</v>
      </c>
      <c r="M22" s="6" t="s">
        <v>175</v>
      </c>
      <c r="N22" s="39" t="s">
        <v>235</v>
      </c>
      <c r="O22" s="26">
        <v>10000</v>
      </c>
      <c r="P22" s="5"/>
      <c r="Q22" s="6"/>
      <c r="R22" s="39"/>
      <c r="S22" s="28"/>
      <c r="T22" s="6" t="s">
        <v>137</v>
      </c>
      <c r="U22" s="39" t="s">
        <v>140</v>
      </c>
      <c r="V22" s="28">
        <v>-1200</v>
      </c>
      <c r="W22" s="6" t="s">
        <v>127</v>
      </c>
      <c r="X22" s="39" t="s">
        <v>274</v>
      </c>
      <c r="Y22" s="26">
        <v>-300000</v>
      </c>
    </row>
    <row r="23" spans="2:25" x14ac:dyDescent="0.3">
      <c r="G23" s="6"/>
      <c r="H23" s="39"/>
      <c r="I23" s="28"/>
      <c r="J23" s="6" t="s">
        <v>129</v>
      </c>
      <c r="K23" s="39" t="s">
        <v>534</v>
      </c>
      <c r="L23" s="28">
        <v>-1450</v>
      </c>
      <c r="M23" s="6" t="s">
        <v>175</v>
      </c>
      <c r="N23" s="39" t="s">
        <v>236</v>
      </c>
      <c r="O23" s="26">
        <v>-10000</v>
      </c>
      <c r="P23" s="5"/>
      <c r="Q23" s="6"/>
      <c r="R23" s="39"/>
      <c r="S23" s="28"/>
      <c r="T23" s="6" t="s">
        <v>118</v>
      </c>
      <c r="U23" s="39" t="s">
        <v>275</v>
      </c>
      <c r="V23" s="28">
        <v>-16150</v>
      </c>
      <c r="W23" s="6" t="s">
        <v>114</v>
      </c>
      <c r="X23" s="39" t="s">
        <v>567</v>
      </c>
      <c r="Y23" s="26">
        <v>15000</v>
      </c>
    </row>
    <row r="24" spans="2:25" x14ac:dyDescent="0.3">
      <c r="G24" s="6"/>
      <c r="H24" s="39"/>
      <c r="I24" s="28"/>
      <c r="J24" s="6" t="s">
        <v>125</v>
      </c>
      <c r="K24" s="39" t="s">
        <v>227</v>
      </c>
      <c r="L24" s="28">
        <v>-8150</v>
      </c>
      <c r="M24" s="6" t="s">
        <v>127</v>
      </c>
      <c r="N24" s="39" t="s">
        <v>131</v>
      </c>
      <c r="O24" s="26">
        <v>-9700</v>
      </c>
      <c r="P24" s="5"/>
      <c r="Q24" s="6"/>
      <c r="R24" s="39"/>
      <c r="S24" s="28"/>
      <c r="T24" s="6" t="s">
        <v>118</v>
      </c>
      <c r="U24" s="39" t="s">
        <v>275</v>
      </c>
      <c r="V24" s="28">
        <v>-16500</v>
      </c>
      <c r="W24" s="6" t="s">
        <v>133</v>
      </c>
      <c r="X24" s="39" t="s">
        <v>143</v>
      </c>
      <c r="Y24" s="26">
        <v>-2388962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120</v>
      </c>
      <c r="K25" s="39" t="s">
        <v>535</v>
      </c>
      <c r="L25" s="28">
        <v>-7100</v>
      </c>
      <c r="M25" s="6" t="s">
        <v>133</v>
      </c>
      <c r="N25" s="39" t="s">
        <v>540</v>
      </c>
      <c r="O25" s="26">
        <v>-2300</v>
      </c>
      <c r="P25" s="5"/>
      <c r="Q25" s="6"/>
      <c r="R25" s="39"/>
      <c r="S25" s="28"/>
      <c r="T25" s="6" t="s">
        <v>137</v>
      </c>
      <c r="U25" s="39" t="s">
        <v>565</v>
      </c>
      <c r="V25" s="28">
        <v>-41900</v>
      </c>
      <c r="W25" s="6" t="s">
        <v>127</v>
      </c>
      <c r="X25" s="39" t="s">
        <v>131</v>
      </c>
      <c r="Y25" s="26">
        <v>-8000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120</v>
      </c>
      <c r="K26" s="39" t="s">
        <v>121</v>
      </c>
      <c r="L26" s="28">
        <v>-18300</v>
      </c>
      <c r="M26" s="6" t="s">
        <v>127</v>
      </c>
      <c r="N26" s="39" t="s">
        <v>299</v>
      </c>
      <c r="O26" s="26">
        <v>8000</v>
      </c>
      <c r="P26" s="5"/>
      <c r="Q26" s="6"/>
      <c r="R26" s="39"/>
      <c r="S26" s="28"/>
      <c r="T26" s="6" t="s">
        <v>144</v>
      </c>
      <c r="U26" s="39" t="s">
        <v>260</v>
      </c>
      <c r="V26" s="28">
        <v>-26010</v>
      </c>
      <c r="W26" s="6" t="s">
        <v>127</v>
      </c>
      <c r="X26" s="39" t="s">
        <v>571</v>
      </c>
      <c r="Y26" s="26">
        <v>-100000</v>
      </c>
    </row>
    <row r="27" spans="2:25" x14ac:dyDescent="0.3">
      <c r="B27" s="48" t="s">
        <v>115</v>
      </c>
      <c r="C27" s="131">
        <f>-(SUMIF($J$7:$J$88,B27,$L$7:$L$88)+SUMIF($T$7:$T$88,B27,$V$7:$V$88))</f>
        <v>328320</v>
      </c>
      <c r="D27" s="99"/>
      <c r="E27" s="100"/>
      <c r="G27" s="6"/>
      <c r="H27" s="39"/>
      <c r="I27" s="28"/>
      <c r="J27" s="6" t="s">
        <v>116</v>
      </c>
      <c r="K27" s="39" t="s">
        <v>536</v>
      </c>
      <c r="L27" s="28">
        <v>-17360</v>
      </c>
      <c r="M27" s="6" t="s">
        <v>175</v>
      </c>
      <c r="N27" s="39" t="s">
        <v>235</v>
      </c>
      <c r="O27" s="26">
        <v>10000</v>
      </c>
      <c r="P27" s="5"/>
      <c r="Q27" s="6"/>
      <c r="R27" s="39"/>
      <c r="S27" s="28"/>
      <c r="T27" s="6" t="s">
        <v>138</v>
      </c>
      <c r="U27" s="39" t="s">
        <v>139</v>
      </c>
      <c r="V27" s="28">
        <v>-36900</v>
      </c>
      <c r="W27" s="6" t="s">
        <v>127</v>
      </c>
      <c r="X27" s="39" t="s">
        <v>573</v>
      </c>
      <c r="Y27" s="26">
        <v>-15000</v>
      </c>
    </row>
    <row r="28" spans="2:25" x14ac:dyDescent="0.3">
      <c r="B28" s="49" t="s">
        <v>116</v>
      </c>
      <c r="C28" s="131">
        <f>-(SUMIF($J$7:$J$88,B28,$L$7:$L$88)+SUMIF($T$7:$T$88,B28,$V$7:$V$88))</f>
        <v>614735</v>
      </c>
      <c r="D28" s="99"/>
      <c r="E28" s="100"/>
      <c r="G28" s="6"/>
      <c r="H28" s="39"/>
      <c r="I28" s="28"/>
      <c r="J28" s="6" t="s">
        <v>122</v>
      </c>
      <c r="K28" s="39" t="s">
        <v>230</v>
      </c>
      <c r="L28" s="28">
        <v>-1000</v>
      </c>
      <c r="M28" s="6" t="s">
        <v>175</v>
      </c>
      <c r="N28" s="39" t="s">
        <v>236</v>
      </c>
      <c r="O28" s="26">
        <v>-10000</v>
      </c>
      <c r="P28" s="5"/>
      <c r="Q28" s="6"/>
      <c r="R28" s="39"/>
      <c r="S28" s="28"/>
      <c r="T28" s="6" t="s">
        <v>129</v>
      </c>
      <c r="U28" s="39" t="s">
        <v>403</v>
      </c>
      <c r="V28" s="28">
        <v>-1000</v>
      </c>
      <c r="W28" s="6" t="s">
        <v>127</v>
      </c>
      <c r="X28" s="39" t="s">
        <v>131</v>
      </c>
      <c r="Y28" s="26">
        <v>-32400</v>
      </c>
    </row>
    <row r="29" spans="2:25" x14ac:dyDescent="0.3">
      <c r="B29" s="49" t="s">
        <v>120</v>
      </c>
      <c r="C29" s="131">
        <f>-(SUMIF($J$7:$J$88,B29,$L$7:$L$88)+SUMIF($T$7:$T$88,B29,$V$7:$V$88))</f>
        <v>208500</v>
      </c>
      <c r="D29" s="99"/>
      <c r="E29" s="100"/>
      <c r="G29" s="6"/>
      <c r="H29" s="39"/>
      <c r="I29" s="28"/>
      <c r="J29" s="6" t="s">
        <v>116</v>
      </c>
      <c r="K29" s="39" t="s">
        <v>537</v>
      </c>
      <c r="L29" s="28">
        <v>-2000</v>
      </c>
      <c r="M29" s="6" t="s">
        <v>133</v>
      </c>
      <c r="N29" s="39" t="s">
        <v>540</v>
      </c>
      <c r="O29" s="26">
        <v>-2300</v>
      </c>
      <c r="P29" s="5"/>
      <c r="Q29" s="6"/>
      <c r="R29" s="39"/>
      <c r="S29" s="28"/>
      <c r="T29" s="6" t="s">
        <v>144</v>
      </c>
      <c r="U29" s="39" t="s">
        <v>260</v>
      </c>
      <c r="V29" s="28">
        <v>-19620</v>
      </c>
      <c r="W29" s="6" t="s">
        <v>127</v>
      </c>
      <c r="X29" s="39" t="s">
        <v>131</v>
      </c>
      <c r="Y29" s="26">
        <v>-12500</v>
      </c>
    </row>
    <row r="30" spans="2:25" x14ac:dyDescent="0.3">
      <c r="B30" s="49" t="s">
        <v>118</v>
      </c>
      <c r="C30" s="131">
        <f>-(SUMIF($J$7:$J$88,B30,$L$7:$L$88)+SUMIF($T$7:$T$88,B30,$V$7:$V$88))</f>
        <v>575230</v>
      </c>
      <c r="D30" s="99"/>
      <c r="E30" s="100"/>
      <c r="G30" s="6"/>
      <c r="H30" s="39"/>
      <c r="I30" s="28"/>
      <c r="J30" s="6" t="s">
        <v>134</v>
      </c>
      <c r="K30" s="39" t="s">
        <v>538</v>
      </c>
      <c r="L30" s="28">
        <v>-3300</v>
      </c>
      <c r="M30" s="6" t="s">
        <v>133</v>
      </c>
      <c r="N30" s="39" t="s">
        <v>245</v>
      </c>
      <c r="O30" s="26">
        <v>-1450</v>
      </c>
      <c r="P30" s="5"/>
      <c r="Q30" s="6"/>
      <c r="R30" s="39"/>
      <c r="S30" s="28"/>
      <c r="T30" s="6" t="s">
        <v>119</v>
      </c>
      <c r="U30" s="39" t="s">
        <v>141</v>
      </c>
      <c r="V30" s="28">
        <v>-12590</v>
      </c>
      <c r="W30" s="6" t="s">
        <v>127</v>
      </c>
      <c r="X30" s="39" t="s">
        <v>576</v>
      </c>
      <c r="Y30" s="26">
        <v>-30000</v>
      </c>
    </row>
    <row r="31" spans="2:25" x14ac:dyDescent="0.3">
      <c r="B31" s="49" t="s">
        <v>122</v>
      </c>
      <c r="C31" s="131">
        <f>-(SUMIF($J$7:$J$88,B31,$L$7:$L$88)+SUMIF($T$7:$T$88,B31,$V$7:$V$88))</f>
        <v>102340</v>
      </c>
      <c r="D31" s="99"/>
      <c r="E31" s="100"/>
      <c r="G31" s="6"/>
      <c r="H31" s="39"/>
      <c r="I31" s="28"/>
      <c r="J31" s="6" t="s">
        <v>146</v>
      </c>
      <c r="K31" s="39" t="s">
        <v>539</v>
      </c>
      <c r="L31" s="28">
        <v>-34000</v>
      </c>
      <c r="M31" s="6" t="s">
        <v>175</v>
      </c>
      <c r="N31" s="39" t="s">
        <v>200</v>
      </c>
      <c r="O31" s="26">
        <v>100000</v>
      </c>
      <c r="P31" s="5"/>
      <c r="Q31" s="6"/>
      <c r="R31" s="39"/>
      <c r="S31" s="28"/>
      <c r="T31" s="6" t="s">
        <v>144</v>
      </c>
      <c r="U31" s="39" t="s">
        <v>260</v>
      </c>
      <c r="V31" s="28">
        <v>-12600</v>
      </c>
      <c r="W31" s="6" t="s">
        <v>127</v>
      </c>
      <c r="X31" s="39" t="s">
        <v>577</v>
      </c>
      <c r="Y31" s="26">
        <v>-50000</v>
      </c>
    </row>
    <row r="32" spans="2:25" x14ac:dyDescent="0.3">
      <c r="B32" s="49" t="s">
        <v>119</v>
      </c>
      <c r="C32" s="131">
        <f>-(SUMIF($J$7:$J$88,B32,$L$7:$L$88)+SUMIF($T$7:$T$88,B32,$V$7:$V$88))</f>
        <v>332590</v>
      </c>
      <c r="D32" s="99"/>
      <c r="E32" s="100"/>
      <c r="G32" s="6"/>
      <c r="H32" s="39"/>
      <c r="I32" s="28"/>
      <c r="J32" s="6" t="s">
        <v>118</v>
      </c>
      <c r="K32" s="39" t="s">
        <v>130</v>
      </c>
      <c r="L32" s="28">
        <v>-16500</v>
      </c>
      <c r="M32" s="6" t="s">
        <v>175</v>
      </c>
      <c r="N32" s="39" t="s">
        <v>550</v>
      </c>
      <c r="O32" s="26">
        <v>-100000</v>
      </c>
      <c r="P32" s="5"/>
      <c r="Q32" s="6"/>
      <c r="R32" s="39"/>
      <c r="S32" s="28"/>
      <c r="T32" s="6" t="s">
        <v>128</v>
      </c>
      <c r="U32" s="39" t="s">
        <v>517</v>
      </c>
      <c r="V32" s="28">
        <v>-26600</v>
      </c>
      <c r="W32" s="6" t="s">
        <v>114</v>
      </c>
      <c r="X32" s="39" t="s">
        <v>286</v>
      </c>
      <c r="Y32" s="26">
        <v>1</v>
      </c>
    </row>
    <row r="33" spans="2:25" x14ac:dyDescent="0.3">
      <c r="B33" s="49" t="s">
        <v>129</v>
      </c>
      <c r="C33" s="131">
        <f>-(SUMIF($J$7:$J$88,B33,$L$7:$L$88)+SUMIF($T$7:$T$88,B33,$V$7:$V$88))</f>
        <v>3450</v>
      </c>
      <c r="D33" s="99"/>
      <c r="E33" s="100"/>
      <c r="G33" s="6"/>
      <c r="H33" s="39"/>
      <c r="I33" s="28"/>
      <c r="J33" s="6" t="s">
        <v>122</v>
      </c>
      <c r="K33" s="39" t="s">
        <v>191</v>
      </c>
      <c r="L33" s="28">
        <v>-43540</v>
      </c>
      <c r="M33" s="6" t="s">
        <v>175</v>
      </c>
      <c r="N33" s="39" t="s">
        <v>252</v>
      </c>
      <c r="O33" s="26">
        <v>-100000</v>
      </c>
      <c r="P33" s="5"/>
      <c r="Q33" s="6"/>
      <c r="R33" s="39"/>
      <c r="S33" s="28"/>
      <c r="T33" s="6" t="s">
        <v>144</v>
      </c>
      <c r="U33" s="39" t="s">
        <v>147</v>
      </c>
      <c r="V33" s="28">
        <v>-120000</v>
      </c>
      <c r="W33" s="6" t="s">
        <v>145</v>
      </c>
      <c r="X33" s="39" t="s">
        <v>579</v>
      </c>
      <c r="Y33" s="26">
        <v>40000</v>
      </c>
    </row>
    <row r="34" spans="2:25" x14ac:dyDescent="0.3">
      <c r="B34" s="49" t="s">
        <v>125</v>
      </c>
      <c r="C34" s="131">
        <f>-(SUMIF($J$7:$J$88,B34,$L$7:$L$88)+SUMIF($T$7:$T$88,B34,$V$7:$V$88))</f>
        <v>127769</v>
      </c>
      <c r="D34" s="99"/>
      <c r="E34" s="100"/>
      <c r="G34" s="6"/>
      <c r="H34" s="39"/>
      <c r="I34" s="28"/>
      <c r="J34" s="6" t="s">
        <v>115</v>
      </c>
      <c r="K34" s="39" t="s">
        <v>541</v>
      </c>
      <c r="L34" s="28">
        <v>-60000</v>
      </c>
      <c r="M34" s="6"/>
      <c r="N34" s="39"/>
      <c r="O34" s="26"/>
      <c r="P34" s="5"/>
      <c r="Q34" s="6"/>
      <c r="R34" s="39"/>
      <c r="S34" s="28"/>
      <c r="T34" s="6" t="s">
        <v>138</v>
      </c>
      <c r="U34" s="39" t="s">
        <v>562</v>
      </c>
      <c r="V34" s="28">
        <v>-4200</v>
      </c>
      <c r="W34" s="6" t="s">
        <v>144</v>
      </c>
      <c r="X34" s="39" t="s">
        <v>367</v>
      </c>
      <c r="Y34" s="26">
        <v>-240000</v>
      </c>
    </row>
    <row r="35" spans="2:25" x14ac:dyDescent="0.3">
      <c r="B35" s="49" t="s">
        <v>148</v>
      </c>
      <c r="C35" s="131">
        <f>-(SUMIF($J$7:$J$88,B35,$L$7:$L$88)+SUMIF($T$7:$T$88,B35,$V$7:$V$88))</f>
        <v>0</v>
      </c>
      <c r="D35" s="99"/>
      <c r="E35" s="100"/>
      <c r="G35" s="6"/>
      <c r="H35" s="39"/>
      <c r="I35" s="28"/>
      <c r="J35" s="6" t="s">
        <v>116</v>
      </c>
      <c r="K35" s="39" t="s">
        <v>177</v>
      </c>
      <c r="L35" s="28">
        <v>-14000</v>
      </c>
      <c r="M35" s="6"/>
      <c r="N35" s="39"/>
      <c r="O35" s="26"/>
      <c r="P35" s="5"/>
      <c r="Q35" s="6"/>
      <c r="R35" s="39"/>
      <c r="S35" s="28"/>
      <c r="T35" s="6" t="s">
        <v>144</v>
      </c>
      <c r="U35" s="39" t="s">
        <v>263</v>
      </c>
      <c r="V35" s="28">
        <v>-78396</v>
      </c>
      <c r="W35" s="6" t="s">
        <v>144</v>
      </c>
      <c r="X35" s="39" t="s">
        <v>367</v>
      </c>
      <c r="Y35" s="26">
        <v>240000</v>
      </c>
    </row>
    <row r="36" spans="2:25" x14ac:dyDescent="0.3">
      <c r="B36" s="49" t="s">
        <v>117</v>
      </c>
      <c r="C36" s="131">
        <f>-(SUMIF($J$7:$J$88,B36,$L$7:$L$88)+SUMIF($T$7:$T$88,B36,$V$7:$V$88))</f>
        <v>131006</v>
      </c>
      <c r="D36" s="99"/>
      <c r="E36" s="100"/>
      <c r="G36" s="6"/>
      <c r="H36" s="39"/>
      <c r="I36" s="28"/>
      <c r="J36" s="6" t="s">
        <v>128</v>
      </c>
      <c r="K36" s="39" t="s">
        <v>542</v>
      </c>
      <c r="L36" s="28">
        <v>-6500</v>
      </c>
      <c r="M36" s="6"/>
      <c r="N36" s="39"/>
      <c r="O36" s="26"/>
      <c r="P36" s="5"/>
      <c r="Q36" s="6"/>
      <c r="R36" s="39"/>
      <c r="S36" s="28"/>
      <c r="T36" s="6" t="s">
        <v>125</v>
      </c>
      <c r="U36" s="39" t="s">
        <v>504</v>
      </c>
      <c r="V36" s="28">
        <v>-2800</v>
      </c>
      <c r="W36" s="6" t="s">
        <v>144</v>
      </c>
      <c r="X36" s="39" t="s">
        <v>299</v>
      </c>
      <c r="Y36" s="26">
        <v>234712</v>
      </c>
    </row>
    <row r="37" spans="2:25" x14ac:dyDescent="0.3">
      <c r="B37" s="49" t="s">
        <v>128</v>
      </c>
      <c r="C37" s="131">
        <f>-(SUMIF($J$7:$J$88,B37,$L$7:$L$88)+SUMIF($T$7:$T$88,B37,$V$7:$V$88))</f>
        <v>99100</v>
      </c>
      <c r="D37" s="99"/>
      <c r="E37" s="100"/>
      <c r="G37" s="6"/>
      <c r="H37" s="39"/>
      <c r="I37" s="28"/>
      <c r="J37" s="6" t="s">
        <v>128</v>
      </c>
      <c r="K37" s="39" t="s">
        <v>543</v>
      </c>
      <c r="L37" s="28">
        <v>-7100</v>
      </c>
      <c r="M37" s="6"/>
      <c r="N37" s="39"/>
      <c r="O37" s="26"/>
      <c r="P37" s="5"/>
      <c r="Q37" s="6"/>
      <c r="R37" s="39"/>
      <c r="S37" s="28"/>
      <c r="T37" s="6" t="s">
        <v>117</v>
      </c>
      <c r="U37" s="39" t="s">
        <v>321</v>
      </c>
      <c r="V37" s="28">
        <v>-140</v>
      </c>
      <c r="W37" s="6" t="s">
        <v>127</v>
      </c>
      <c r="X37" s="39" t="s">
        <v>131</v>
      </c>
      <c r="Y37" s="26">
        <v>-400000</v>
      </c>
    </row>
    <row r="38" spans="2:25" x14ac:dyDescent="0.3">
      <c r="B38" s="49" t="s">
        <v>146</v>
      </c>
      <c r="C38" s="131">
        <f>-(SUMIF($J$7:$J$88,B38,$L$7:$L$88)+SUMIF($T$7:$T$88,B38,$V$7:$V$88))</f>
        <v>34000</v>
      </c>
      <c r="D38" s="99"/>
      <c r="E38" s="100"/>
      <c r="G38" s="6"/>
      <c r="H38" s="39"/>
      <c r="I38" s="28"/>
      <c r="J38" s="6" t="s">
        <v>120</v>
      </c>
      <c r="K38" s="39" t="s">
        <v>121</v>
      </c>
      <c r="L38" s="28">
        <v>-15500</v>
      </c>
      <c r="M38" s="6"/>
      <c r="N38" s="39"/>
      <c r="O38" s="26"/>
      <c r="P38" s="5"/>
      <c r="Q38" s="6"/>
      <c r="R38" s="39"/>
      <c r="S38" s="28"/>
      <c r="T38" s="6" t="s">
        <v>117</v>
      </c>
      <c r="U38" s="39" t="s">
        <v>321</v>
      </c>
      <c r="V38" s="28">
        <v>-9870</v>
      </c>
      <c r="W38" s="6" t="s">
        <v>144</v>
      </c>
      <c r="X38" s="39" t="s">
        <v>236</v>
      </c>
      <c r="Y38" s="26">
        <v>-234712</v>
      </c>
    </row>
    <row r="39" spans="2:25" x14ac:dyDescent="0.3">
      <c r="B39" s="49" t="s">
        <v>134</v>
      </c>
      <c r="C39" s="131">
        <f>-(SUMIF($J$7:$J$88,B39,$L$7:$L$88)+SUMIF($T$7:$T$88,B39,$V$7:$V$88))</f>
        <v>-578700</v>
      </c>
      <c r="D39" s="99"/>
      <c r="E39" s="100"/>
      <c r="G39" s="6"/>
      <c r="H39" s="39"/>
      <c r="I39" s="28"/>
      <c r="J39" s="6" t="s">
        <v>120</v>
      </c>
      <c r="K39" s="39" t="s">
        <v>544</v>
      </c>
      <c r="L39" s="28">
        <v>-15600</v>
      </c>
      <c r="M39" s="6"/>
      <c r="N39" s="39"/>
      <c r="O39" s="26"/>
      <c r="P39" s="5"/>
      <c r="Q39" s="6"/>
      <c r="R39" s="39"/>
      <c r="S39" s="28"/>
      <c r="T39" s="6" t="s">
        <v>137</v>
      </c>
      <c r="U39" s="39" t="s">
        <v>140</v>
      </c>
      <c r="V39" s="28">
        <v>-1200</v>
      </c>
      <c r="W39" s="6"/>
      <c r="X39" s="39"/>
      <c r="Y39" s="26"/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119</v>
      </c>
      <c r="K40" s="39" t="s">
        <v>153</v>
      </c>
      <c r="L40" s="28">
        <v>-60000</v>
      </c>
      <c r="M40" s="6"/>
      <c r="N40" s="39"/>
      <c r="O40" s="26"/>
      <c r="P40" s="5"/>
      <c r="Q40" s="6"/>
      <c r="R40" s="39"/>
      <c r="S40" s="28"/>
      <c r="T40" s="6" t="s">
        <v>129</v>
      </c>
      <c r="U40" s="39" t="s">
        <v>403</v>
      </c>
      <c r="V40" s="28">
        <v>-1000</v>
      </c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0</v>
      </c>
      <c r="D41" s="99"/>
      <c r="E41" s="100"/>
      <c r="G41" s="6"/>
      <c r="H41" s="39"/>
      <c r="I41" s="28"/>
      <c r="J41" s="6" t="s">
        <v>119</v>
      </c>
      <c r="K41" s="39" t="s">
        <v>545</v>
      </c>
      <c r="L41" s="28">
        <v>-30000</v>
      </c>
      <c r="M41" s="6"/>
      <c r="N41" s="39"/>
      <c r="O41" s="26"/>
      <c r="P41" s="5"/>
      <c r="Q41" s="6"/>
      <c r="R41" s="39"/>
      <c r="S41" s="28"/>
      <c r="T41" s="6" t="s">
        <v>137</v>
      </c>
      <c r="U41" s="39" t="s">
        <v>263</v>
      </c>
      <c r="V41" s="28">
        <v>-11342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118</v>
      </c>
      <c r="K42" s="39" t="s">
        <v>224</v>
      </c>
      <c r="L42" s="28">
        <v>-40490</v>
      </c>
      <c r="M42" s="6"/>
      <c r="N42" s="39"/>
      <c r="O42" s="26"/>
      <c r="P42" s="5"/>
      <c r="Q42" s="6"/>
      <c r="R42" s="39"/>
      <c r="S42" s="28"/>
      <c r="T42" s="6" t="s">
        <v>137</v>
      </c>
      <c r="U42" s="39" t="s">
        <v>568</v>
      </c>
      <c r="V42" s="28">
        <v>-124865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251717</v>
      </c>
      <c r="D43" s="99"/>
      <c r="E43" s="100"/>
      <c r="G43" s="6"/>
      <c r="H43" s="39"/>
      <c r="I43" s="28"/>
      <c r="J43" s="6" t="s">
        <v>125</v>
      </c>
      <c r="K43" s="39" t="s">
        <v>227</v>
      </c>
      <c r="L43" s="28">
        <v>-1300</v>
      </c>
      <c r="M43" s="6"/>
      <c r="N43" s="39"/>
      <c r="O43" s="26"/>
      <c r="P43" s="5"/>
      <c r="Q43" s="6"/>
      <c r="R43" s="39"/>
      <c r="S43" s="28"/>
      <c r="T43" s="6" t="s">
        <v>116</v>
      </c>
      <c r="U43" s="39" t="s">
        <v>569</v>
      </c>
      <c r="V43" s="28">
        <v>-3600</v>
      </c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301926</v>
      </c>
      <c r="D44" s="99"/>
      <c r="E44" s="100"/>
      <c r="G44" s="6"/>
      <c r="H44" s="39"/>
      <c r="I44" s="28"/>
      <c r="J44" s="6" t="s">
        <v>125</v>
      </c>
      <c r="K44" s="39" t="s">
        <v>487</v>
      </c>
      <c r="L44" s="28">
        <v>-12500</v>
      </c>
      <c r="M44" s="6"/>
      <c r="N44" s="39"/>
      <c r="O44" s="26"/>
      <c r="P44" s="5"/>
      <c r="Q44" s="6"/>
      <c r="R44" s="39"/>
      <c r="S44" s="28"/>
      <c r="T44" s="6" t="s">
        <v>137</v>
      </c>
      <c r="U44" s="39" t="s">
        <v>570</v>
      </c>
      <c r="V44" s="28">
        <v>-1800</v>
      </c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798600</v>
      </c>
      <c r="D45" s="99"/>
      <c r="E45" s="100"/>
      <c r="G45" s="6"/>
      <c r="H45" s="39"/>
      <c r="I45" s="28"/>
      <c r="J45" s="6" t="s">
        <v>115</v>
      </c>
      <c r="K45" s="39" t="s">
        <v>546</v>
      </c>
      <c r="L45" s="28">
        <v>-800</v>
      </c>
      <c r="M45" s="6"/>
      <c r="N45" s="39"/>
      <c r="O45" s="26"/>
      <c r="P45" s="5"/>
      <c r="Q45" s="6"/>
      <c r="R45" s="39"/>
      <c r="S45" s="28"/>
      <c r="T45" s="6" t="s">
        <v>116</v>
      </c>
      <c r="U45" s="39" t="s">
        <v>399</v>
      </c>
      <c r="V45" s="28">
        <v>-14960</v>
      </c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38087</v>
      </c>
      <c r="D46" s="99"/>
      <c r="E46" s="100"/>
      <c r="G46" s="6"/>
      <c r="H46" s="39"/>
      <c r="I46" s="28"/>
      <c r="J46" s="6" t="s">
        <v>125</v>
      </c>
      <c r="K46" s="39" t="s">
        <v>487</v>
      </c>
      <c r="L46" s="28">
        <v>-5000</v>
      </c>
      <c r="M46" s="6"/>
      <c r="N46" s="39"/>
      <c r="O46" s="26"/>
      <c r="P46" s="5"/>
      <c r="Q46" s="6"/>
      <c r="R46" s="39"/>
      <c r="S46" s="28"/>
      <c r="T46" s="6" t="s">
        <v>118</v>
      </c>
      <c r="U46" s="39" t="s">
        <v>224</v>
      </c>
      <c r="V46" s="28">
        <v>-24100</v>
      </c>
      <c r="W46" s="6"/>
      <c r="X46" s="39"/>
      <c r="Y46" s="26"/>
    </row>
    <row r="47" spans="2:25" x14ac:dyDescent="0.3">
      <c r="G47" s="6"/>
      <c r="H47" s="39"/>
      <c r="I47" s="28"/>
      <c r="J47" s="6" t="s">
        <v>122</v>
      </c>
      <c r="K47" s="39" t="s">
        <v>230</v>
      </c>
      <c r="L47" s="28">
        <v>-1000</v>
      </c>
      <c r="M47" s="6"/>
      <c r="N47" s="39"/>
      <c r="O47" s="26"/>
      <c r="P47" s="5"/>
      <c r="Q47" s="6"/>
      <c r="R47" s="39"/>
      <c r="S47" s="28"/>
      <c r="T47" s="6" t="s">
        <v>137</v>
      </c>
      <c r="U47" s="39" t="s">
        <v>572</v>
      </c>
      <c r="V47" s="28">
        <v>-6000</v>
      </c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120</v>
      </c>
      <c r="K48" s="39" t="s">
        <v>547</v>
      </c>
      <c r="L48" s="28">
        <v>-45000</v>
      </c>
      <c r="M48" s="6"/>
      <c r="N48" s="39"/>
      <c r="O48" s="26"/>
      <c r="P48" s="5"/>
      <c r="Q48" s="6"/>
      <c r="R48" s="39"/>
      <c r="S48" s="28"/>
      <c r="T48" s="6" t="s">
        <v>125</v>
      </c>
      <c r="U48" s="39" t="s">
        <v>263</v>
      </c>
      <c r="V48" s="28">
        <v>-9415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125</v>
      </c>
      <c r="K49" s="39" t="s">
        <v>548</v>
      </c>
      <c r="L49" s="28">
        <v>-41000</v>
      </c>
      <c r="M49" s="6"/>
      <c r="N49" s="39"/>
      <c r="O49" s="26"/>
      <c r="P49" s="5"/>
      <c r="Q49" s="6"/>
      <c r="R49" s="39"/>
      <c r="S49" s="28"/>
      <c r="T49" s="6" t="s">
        <v>137</v>
      </c>
      <c r="U49" s="39" t="s">
        <v>263</v>
      </c>
      <c r="V49" s="28">
        <v>-10510</v>
      </c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134</v>
      </c>
      <c r="K50" s="39" t="s">
        <v>549</v>
      </c>
      <c r="L50" s="28">
        <v>-18000</v>
      </c>
      <c r="M50" s="6"/>
      <c r="N50" s="39"/>
      <c r="O50" s="26"/>
      <c r="P50" s="5"/>
      <c r="Q50" s="6"/>
      <c r="R50" s="39"/>
      <c r="S50" s="28"/>
      <c r="T50" s="6" t="s">
        <v>144</v>
      </c>
      <c r="U50" s="39" t="s">
        <v>263</v>
      </c>
      <c r="V50" s="28">
        <v>10510</v>
      </c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115</v>
      </c>
      <c r="K51" s="39" t="s">
        <v>246</v>
      </c>
      <c r="L51" s="28">
        <v>-36120</v>
      </c>
      <c r="M51" s="6"/>
      <c r="N51" s="39"/>
      <c r="O51" s="26"/>
      <c r="P51" s="5"/>
      <c r="Q51" s="6"/>
      <c r="R51" s="39"/>
      <c r="S51" s="28"/>
      <c r="T51" s="6" t="s">
        <v>119</v>
      </c>
      <c r="U51" s="39" t="s">
        <v>574</v>
      </c>
      <c r="V51" s="28">
        <v>-60000</v>
      </c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0</v>
      </c>
      <c r="D52" s="99"/>
      <c r="E52" s="100"/>
      <c r="G52" s="6"/>
      <c r="H52" s="39"/>
      <c r="I52" s="28"/>
      <c r="J52" s="6" t="s">
        <v>116</v>
      </c>
      <c r="K52" s="39" t="s">
        <v>551</v>
      </c>
      <c r="L52" s="28">
        <v>-60000</v>
      </c>
      <c r="M52" s="6"/>
      <c r="N52" s="39"/>
      <c r="O52" s="26"/>
      <c r="P52" s="5"/>
      <c r="Q52" s="6"/>
      <c r="R52" s="39"/>
      <c r="S52" s="28"/>
      <c r="T52" s="6" t="s">
        <v>116</v>
      </c>
      <c r="U52" s="39" t="s">
        <v>575</v>
      </c>
      <c r="V52" s="28">
        <v>-160000</v>
      </c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8013191</v>
      </c>
      <c r="D53" s="99"/>
      <c r="E53" s="100"/>
      <c r="G53" s="6"/>
      <c r="H53" s="39"/>
      <c r="I53" s="28"/>
      <c r="J53" s="6" t="s">
        <v>125</v>
      </c>
      <c r="K53" s="39" t="s">
        <v>487</v>
      </c>
      <c r="L53" s="28">
        <v>-7500</v>
      </c>
      <c r="M53" s="6"/>
      <c r="N53" s="39"/>
      <c r="O53" s="26"/>
      <c r="P53" s="5"/>
      <c r="Q53" s="6"/>
      <c r="R53" s="39"/>
      <c r="S53" s="28"/>
      <c r="T53" s="6" t="s">
        <v>144</v>
      </c>
      <c r="U53" s="39" t="s">
        <v>123</v>
      </c>
      <c r="V53" s="28">
        <v>-990</v>
      </c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15489546</v>
      </c>
      <c r="D54" s="99"/>
      <c r="E54" s="100"/>
      <c r="G54" s="6"/>
      <c r="H54" s="39"/>
      <c r="I54" s="28"/>
      <c r="J54" s="6" t="s">
        <v>119</v>
      </c>
      <c r="K54" s="39" t="s">
        <v>379</v>
      </c>
      <c r="L54" s="28">
        <v>-50000</v>
      </c>
      <c r="M54" s="6"/>
      <c r="N54" s="39"/>
      <c r="O54" s="26"/>
      <c r="P54" s="5"/>
      <c r="Q54" s="6"/>
      <c r="R54" s="39"/>
      <c r="S54" s="28"/>
      <c r="T54" s="6" t="s">
        <v>117</v>
      </c>
      <c r="U54" s="39" t="s">
        <v>321</v>
      </c>
      <c r="V54" s="28">
        <v>-11456</v>
      </c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 t="s">
        <v>134</v>
      </c>
      <c r="K55" s="39" t="s">
        <v>385</v>
      </c>
      <c r="L55" s="28">
        <v>400000</v>
      </c>
      <c r="M55" s="6"/>
      <c r="N55" s="39"/>
      <c r="O55" s="26"/>
      <c r="P55" s="5"/>
      <c r="Q55" s="6"/>
      <c r="R55" s="39"/>
      <c r="S55" s="28"/>
      <c r="T55" s="6" t="s">
        <v>137</v>
      </c>
      <c r="U55" s="39" t="s">
        <v>578</v>
      </c>
      <c r="V55" s="28">
        <v>-49000</v>
      </c>
      <c r="W55" s="6"/>
      <c r="X55" s="39"/>
      <c r="Y55" s="26"/>
    </row>
    <row r="56" spans="2:25" x14ac:dyDescent="0.3">
      <c r="G56" s="6"/>
      <c r="H56" s="39"/>
      <c r="I56" s="28"/>
      <c r="J56" s="6" t="s">
        <v>134</v>
      </c>
      <c r="K56" s="39" t="s">
        <v>385</v>
      </c>
      <c r="L56" s="28">
        <v>400000</v>
      </c>
      <c r="M56" s="6"/>
      <c r="N56" s="39"/>
      <c r="O56" s="26"/>
      <c r="P56" s="5"/>
      <c r="Q56" s="6"/>
      <c r="R56" s="39"/>
      <c r="S56" s="28"/>
      <c r="T56" s="6" t="s">
        <v>125</v>
      </c>
      <c r="U56" s="39" t="s">
        <v>418</v>
      </c>
      <c r="V56" s="28">
        <v>-6500</v>
      </c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134</v>
      </c>
      <c r="K57" s="39" t="s">
        <v>423</v>
      </c>
      <c r="L57" s="28">
        <v>-200000</v>
      </c>
      <c r="M57" s="6"/>
      <c r="N57" s="39"/>
      <c r="O57" s="26"/>
      <c r="P57" s="5"/>
      <c r="Q57" s="6"/>
      <c r="R57" s="39"/>
      <c r="S57" s="28"/>
      <c r="T57" s="6" t="s">
        <v>116</v>
      </c>
      <c r="U57" s="39" t="s">
        <v>155</v>
      </c>
      <c r="V57" s="28">
        <v>-12200</v>
      </c>
      <c r="W57" s="6"/>
      <c r="X57" s="39"/>
      <c r="Y57" s="26"/>
    </row>
    <row r="58" spans="2:25" x14ac:dyDescent="0.3">
      <c r="G58" s="6"/>
      <c r="H58" s="39"/>
      <c r="I58" s="28"/>
      <c r="J58" s="6" t="s">
        <v>120</v>
      </c>
      <c r="K58" s="39" t="s">
        <v>553</v>
      </c>
      <c r="L58" s="28">
        <v>-18000</v>
      </c>
      <c r="M58" s="6"/>
      <c r="N58" s="39"/>
      <c r="O58" s="26"/>
      <c r="P58" s="5"/>
      <c r="Q58" s="6"/>
      <c r="R58" s="39"/>
      <c r="S58" s="28"/>
      <c r="T58" s="6" t="s">
        <v>116</v>
      </c>
      <c r="U58" s="39" t="s">
        <v>503</v>
      </c>
      <c r="V58" s="28">
        <v>-5000</v>
      </c>
      <c r="W58" s="6"/>
      <c r="X58" s="39"/>
      <c r="Y58" s="26"/>
    </row>
    <row r="59" spans="2:25" x14ac:dyDescent="0.3">
      <c r="G59" s="6"/>
      <c r="H59" s="39"/>
      <c r="I59" s="28"/>
      <c r="J59" s="6" t="s">
        <v>117</v>
      </c>
      <c r="K59" s="39" t="s">
        <v>256</v>
      </c>
      <c r="L59" s="28">
        <v>-97540</v>
      </c>
      <c r="M59" s="6"/>
      <c r="N59" s="39"/>
      <c r="O59" s="26"/>
      <c r="P59" s="5"/>
      <c r="Q59" s="6"/>
      <c r="R59" s="39"/>
      <c r="S59" s="28"/>
      <c r="T59" s="6" t="s">
        <v>138</v>
      </c>
      <c r="U59" s="39" t="s">
        <v>139</v>
      </c>
      <c r="V59" s="28">
        <v>-65000</v>
      </c>
      <c r="W59" s="6"/>
      <c r="X59" s="39"/>
      <c r="Y59" s="26"/>
    </row>
    <row r="60" spans="2:25" x14ac:dyDescent="0.3">
      <c r="G60" s="6"/>
      <c r="H60" s="39"/>
      <c r="I60" s="28"/>
      <c r="J60" s="6" t="s">
        <v>118</v>
      </c>
      <c r="K60" s="39" t="s">
        <v>554</v>
      </c>
      <c r="L60" s="28">
        <v>-79030</v>
      </c>
      <c r="M60" s="6"/>
      <c r="N60" s="39"/>
      <c r="O60" s="26"/>
      <c r="P60" s="5"/>
      <c r="Q60" s="6"/>
      <c r="R60" s="39"/>
      <c r="S60" s="28"/>
      <c r="T60" s="6" t="s">
        <v>118</v>
      </c>
      <c r="U60" s="39" t="s">
        <v>284</v>
      </c>
      <c r="V60" s="28">
        <v>-167960</v>
      </c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555</v>
      </c>
      <c r="L61" s="28">
        <v>-18000</v>
      </c>
      <c r="M61" s="6"/>
      <c r="N61" s="39"/>
      <c r="O61" s="26"/>
      <c r="P61" s="5"/>
      <c r="Q61" s="6"/>
      <c r="R61" s="39"/>
      <c r="S61" s="28"/>
      <c r="T61" s="6" t="s">
        <v>116</v>
      </c>
      <c r="U61" s="39" t="s">
        <v>399</v>
      </c>
      <c r="V61" s="28">
        <v>-16510</v>
      </c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116</v>
      </c>
      <c r="U62" s="39" t="s">
        <v>289</v>
      </c>
      <c r="V62" s="28">
        <v>-102105</v>
      </c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144</v>
      </c>
      <c r="U63" s="39" t="s">
        <v>260</v>
      </c>
      <c r="V63" s="28">
        <v>-36900</v>
      </c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 t="s">
        <v>154</v>
      </c>
      <c r="U64" s="39" t="s">
        <v>580</v>
      </c>
      <c r="V64" s="28">
        <v>-1087</v>
      </c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 t="s">
        <v>125</v>
      </c>
      <c r="U65" s="39" t="s">
        <v>581</v>
      </c>
      <c r="V65" s="28">
        <v>-1700</v>
      </c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 t="s">
        <v>116</v>
      </c>
      <c r="U66" s="39" t="s">
        <v>399</v>
      </c>
      <c r="V66" s="28">
        <v>-7630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116</v>
      </c>
      <c r="U67" s="39" t="s">
        <v>582</v>
      </c>
      <c r="V67" s="28">
        <v>-4000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 t="s">
        <v>125</v>
      </c>
      <c r="U68" s="39" t="s">
        <v>581</v>
      </c>
      <c r="V68" s="28">
        <v>-7500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144</v>
      </c>
      <c r="U69" s="39" t="s">
        <v>260</v>
      </c>
      <c r="V69" s="28">
        <v>-17920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118</v>
      </c>
      <c r="U70" s="39" t="s">
        <v>554</v>
      </c>
      <c r="V70" s="28">
        <v>-214500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19520931</v>
      </c>
      <c r="J89" s="7" t="s">
        <v>24</v>
      </c>
      <c r="K89" s="22" t="s">
        <v>34</v>
      </c>
      <c r="L89" s="21">
        <f>SUM(L7:L88)</f>
        <v>-971780</v>
      </c>
      <c r="M89" s="7" t="s">
        <v>24</v>
      </c>
      <c r="N89" s="22" t="s">
        <v>34</v>
      </c>
      <c r="O89" s="21">
        <f>SUM(O7:O88)</f>
        <v>9712048</v>
      </c>
      <c r="Q89" s="7" t="s">
        <v>24</v>
      </c>
      <c r="R89" s="17" t="s">
        <v>34</v>
      </c>
      <c r="S89" s="19">
        <f>SUM(S7:S88)</f>
        <v>3981806</v>
      </c>
      <c r="T89" s="7" t="s">
        <v>24</v>
      </c>
      <c r="U89" s="22" t="s">
        <v>34</v>
      </c>
      <c r="V89" s="21">
        <f>SUM(V7:V88)</f>
        <v>-2396890</v>
      </c>
      <c r="W89" s="7" t="s">
        <v>24</v>
      </c>
      <c r="X89" s="22" t="s">
        <v>34</v>
      </c>
      <c r="Y89" s="21">
        <f>SUM(Y7:Y88)</f>
        <v>-4006860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28261199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-2421944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topLeftCell="A45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21" t="s">
        <v>103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-12752973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22752973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-1.2752973000000001</v>
      </c>
      <c r="D7" s="111"/>
      <c r="G7" s="6" t="s">
        <v>112</v>
      </c>
      <c r="H7" s="39" t="s">
        <v>253</v>
      </c>
      <c r="I7" s="28">
        <v>19600</v>
      </c>
      <c r="J7" s="6" t="s">
        <v>120</v>
      </c>
      <c r="K7" s="39" t="s">
        <v>121</v>
      </c>
      <c r="L7" s="28">
        <v>-15900</v>
      </c>
      <c r="M7" s="6" t="s">
        <v>175</v>
      </c>
      <c r="N7" s="39" t="s">
        <v>235</v>
      </c>
      <c r="O7" s="40">
        <v>11261</v>
      </c>
      <c r="P7" s="5"/>
      <c r="Q7" s="6" t="s">
        <v>552</v>
      </c>
      <c r="R7" s="39" t="s">
        <v>624</v>
      </c>
      <c r="S7" s="28">
        <v>70000</v>
      </c>
      <c r="T7" s="6" t="s">
        <v>137</v>
      </c>
      <c r="U7" s="39" t="s">
        <v>617</v>
      </c>
      <c r="V7" s="28">
        <v>-41000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112</v>
      </c>
      <c r="H8" s="39" t="s">
        <v>363</v>
      </c>
      <c r="I8" s="28">
        <v>2850</v>
      </c>
      <c r="J8" s="6" t="s">
        <v>115</v>
      </c>
      <c r="K8" s="39" t="s">
        <v>132</v>
      </c>
      <c r="L8" s="28">
        <v>-332400</v>
      </c>
      <c r="M8" s="6" t="s">
        <v>175</v>
      </c>
      <c r="N8" s="39" t="s">
        <v>584</v>
      </c>
      <c r="O8" s="26">
        <v>-11261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620</v>
      </c>
      <c r="V8" s="28">
        <v>-38000</v>
      </c>
      <c r="W8" s="6" t="s">
        <v>127</v>
      </c>
      <c r="X8" s="39" t="s">
        <v>618</v>
      </c>
      <c r="Y8" s="26">
        <v>-664800</v>
      </c>
    </row>
    <row r="9" spans="2:25" x14ac:dyDescent="0.3">
      <c r="G9" s="6" t="s">
        <v>112</v>
      </c>
      <c r="H9" s="39" t="s">
        <v>237</v>
      </c>
      <c r="I9" s="28">
        <v>0</v>
      </c>
      <c r="J9" s="6" t="s">
        <v>115</v>
      </c>
      <c r="K9" s="39" t="s">
        <v>132</v>
      </c>
      <c r="L9" s="28">
        <v>-27250</v>
      </c>
      <c r="M9" s="6" t="s">
        <v>127</v>
      </c>
      <c r="N9" s="39" t="s">
        <v>181</v>
      </c>
      <c r="O9" s="26">
        <v>-400000</v>
      </c>
      <c r="P9" s="5"/>
      <c r="Q9" s="6" t="s">
        <v>112</v>
      </c>
      <c r="R9" s="39" t="s">
        <v>237</v>
      </c>
      <c r="S9" s="28">
        <v>0</v>
      </c>
      <c r="T9" s="6" t="s">
        <v>137</v>
      </c>
      <c r="U9" s="39" t="s">
        <v>263</v>
      </c>
      <c r="V9" s="28">
        <v>-22053</v>
      </c>
      <c r="W9" s="6" t="s">
        <v>114</v>
      </c>
      <c r="X9" s="39" t="s">
        <v>619</v>
      </c>
      <c r="Y9" s="26">
        <v>332400</v>
      </c>
    </row>
    <row r="10" spans="2:25" x14ac:dyDescent="0.3">
      <c r="G10" s="6" t="s">
        <v>188</v>
      </c>
      <c r="H10" s="39" t="s">
        <v>229</v>
      </c>
      <c r="I10" s="28">
        <v>4065133</v>
      </c>
      <c r="J10" s="6" t="s">
        <v>125</v>
      </c>
      <c r="K10" s="39" t="s">
        <v>452</v>
      </c>
      <c r="L10" s="28">
        <v>-5000</v>
      </c>
      <c r="M10" s="6" t="s">
        <v>175</v>
      </c>
      <c r="N10" s="39" t="s">
        <v>235</v>
      </c>
      <c r="O10" s="26">
        <v>194892</v>
      </c>
      <c r="P10" s="5"/>
      <c r="Q10" s="6" t="s">
        <v>112</v>
      </c>
      <c r="R10" s="39" t="s">
        <v>412</v>
      </c>
      <c r="S10" s="28">
        <v>0</v>
      </c>
      <c r="T10" s="6" t="s">
        <v>144</v>
      </c>
      <c r="U10" s="39" t="s">
        <v>263</v>
      </c>
      <c r="V10" s="28">
        <v>-32000</v>
      </c>
      <c r="W10" s="6" t="s">
        <v>127</v>
      </c>
      <c r="X10" s="39" t="s">
        <v>621</v>
      </c>
      <c r="Y10" s="26">
        <v>-6000</v>
      </c>
    </row>
    <row r="11" spans="2:25" x14ac:dyDescent="0.3">
      <c r="G11" s="6"/>
      <c r="H11" s="39"/>
      <c r="I11" s="28"/>
      <c r="J11" s="6" t="s">
        <v>146</v>
      </c>
      <c r="K11" s="39" t="s">
        <v>424</v>
      </c>
      <c r="L11" s="28">
        <v>-194895</v>
      </c>
      <c r="M11" s="6" t="s">
        <v>175</v>
      </c>
      <c r="N11" s="39" t="s">
        <v>584</v>
      </c>
      <c r="O11" s="26">
        <v>-194892</v>
      </c>
      <c r="P11" s="5"/>
      <c r="Q11" s="6" t="s">
        <v>112</v>
      </c>
      <c r="R11" s="39" t="s">
        <v>412</v>
      </c>
      <c r="S11" s="28">
        <v>0</v>
      </c>
      <c r="T11" s="6" t="s">
        <v>117</v>
      </c>
      <c r="U11" s="39" t="s">
        <v>623</v>
      </c>
      <c r="V11" s="28">
        <v>-1100000</v>
      </c>
      <c r="W11" s="6" t="s">
        <v>127</v>
      </c>
      <c r="X11" s="39" t="s">
        <v>181</v>
      </c>
      <c r="Y11" s="26">
        <v>-200000</v>
      </c>
    </row>
    <row r="12" spans="2:25" x14ac:dyDescent="0.3">
      <c r="G12" s="6"/>
      <c r="H12" s="39"/>
      <c r="I12" s="28"/>
      <c r="J12" s="6" t="s">
        <v>120</v>
      </c>
      <c r="K12" s="39" t="s">
        <v>353</v>
      </c>
      <c r="L12" s="28">
        <v>-80000</v>
      </c>
      <c r="M12" s="6" t="s">
        <v>175</v>
      </c>
      <c r="N12" s="39" t="s">
        <v>235</v>
      </c>
      <c r="O12" s="26">
        <v>10000</v>
      </c>
      <c r="P12" s="5"/>
      <c r="Q12" s="6" t="s">
        <v>188</v>
      </c>
      <c r="R12" s="39" t="s">
        <v>229</v>
      </c>
      <c r="S12" s="28">
        <v>3959826</v>
      </c>
      <c r="T12" s="6" t="s">
        <v>125</v>
      </c>
      <c r="U12" s="39" t="s">
        <v>263</v>
      </c>
      <c r="V12" s="28">
        <v>-3850</v>
      </c>
      <c r="W12" s="6" t="s">
        <v>114</v>
      </c>
      <c r="X12" s="39" t="s">
        <v>622</v>
      </c>
      <c r="Y12" s="26">
        <v>27250</v>
      </c>
    </row>
    <row r="13" spans="2:25" x14ac:dyDescent="0.3">
      <c r="G13" s="6"/>
      <c r="H13" s="39"/>
      <c r="I13" s="28"/>
      <c r="J13" s="6" t="s">
        <v>120</v>
      </c>
      <c r="K13" s="39" t="s">
        <v>585</v>
      </c>
      <c r="L13" s="28">
        <v>-25000</v>
      </c>
      <c r="M13" s="6" t="s">
        <v>175</v>
      </c>
      <c r="N13" s="39" t="s">
        <v>236</v>
      </c>
      <c r="O13" s="26">
        <v>-10000</v>
      </c>
      <c r="P13" s="5"/>
      <c r="Q13" s="6" t="s">
        <v>112</v>
      </c>
      <c r="R13" s="39" t="s">
        <v>287</v>
      </c>
      <c r="S13" s="28">
        <v>5</v>
      </c>
      <c r="T13" s="6" t="s">
        <v>137</v>
      </c>
      <c r="U13" s="39" t="s">
        <v>625</v>
      </c>
      <c r="V13" s="28">
        <v>-41800</v>
      </c>
      <c r="W13" s="6" t="s">
        <v>144</v>
      </c>
      <c r="X13" s="39" t="s">
        <v>367</v>
      </c>
      <c r="Y13" s="26">
        <v>-100000</v>
      </c>
    </row>
    <row r="14" spans="2:25" x14ac:dyDescent="0.3">
      <c r="G14" s="6"/>
      <c r="H14" s="39"/>
      <c r="I14" s="28"/>
      <c r="J14" s="6" t="s">
        <v>116</v>
      </c>
      <c r="K14" s="39" t="s">
        <v>454</v>
      </c>
      <c r="L14" s="28">
        <v>-16050</v>
      </c>
      <c r="M14" s="6" t="s">
        <v>127</v>
      </c>
      <c r="N14" s="39" t="s">
        <v>592</v>
      </c>
      <c r="O14" s="26">
        <v>-19000</v>
      </c>
      <c r="P14" s="5"/>
      <c r="Q14" s="6"/>
      <c r="R14" s="39"/>
      <c r="S14" s="28"/>
      <c r="T14" s="6" t="s">
        <v>125</v>
      </c>
      <c r="U14" s="39" t="s">
        <v>626</v>
      </c>
      <c r="V14" s="28">
        <v>-11500</v>
      </c>
      <c r="W14" s="6" t="s">
        <v>144</v>
      </c>
      <c r="X14" s="39" t="s">
        <v>367</v>
      </c>
      <c r="Y14" s="26">
        <v>100000</v>
      </c>
    </row>
    <row r="15" spans="2:25" x14ac:dyDescent="0.3">
      <c r="G15" s="6"/>
      <c r="H15" s="39"/>
      <c r="I15" s="28"/>
      <c r="J15" s="6" t="s">
        <v>116</v>
      </c>
      <c r="K15" s="39" t="s">
        <v>586</v>
      </c>
      <c r="L15" s="28">
        <v>-2170</v>
      </c>
      <c r="M15" s="6" t="s">
        <v>80</v>
      </c>
      <c r="N15" s="39" t="s">
        <v>593</v>
      </c>
      <c r="O15" s="26">
        <v>1</v>
      </c>
      <c r="P15" s="5"/>
      <c r="Q15" s="6"/>
      <c r="R15" s="39"/>
      <c r="S15" s="28"/>
      <c r="T15" s="6" t="s">
        <v>138</v>
      </c>
      <c r="U15" s="39" t="s">
        <v>627</v>
      </c>
      <c r="V15" s="28">
        <v>-280000</v>
      </c>
      <c r="W15" s="6" t="s">
        <v>127</v>
      </c>
      <c r="X15" s="39" t="s">
        <v>131</v>
      </c>
      <c r="Y15" s="26">
        <v>-17500</v>
      </c>
    </row>
    <row r="16" spans="2:25" x14ac:dyDescent="0.3">
      <c r="G16" s="6"/>
      <c r="H16" s="39"/>
      <c r="I16" s="28"/>
      <c r="J16" s="6" t="s">
        <v>128</v>
      </c>
      <c r="K16" s="39" t="s">
        <v>587</v>
      </c>
      <c r="L16" s="28">
        <v>-6000</v>
      </c>
      <c r="M16" s="6" t="s">
        <v>175</v>
      </c>
      <c r="N16" s="39" t="s">
        <v>235</v>
      </c>
      <c r="O16" s="26">
        <v>106316</v>
      </c>
      <c r="P16" s="5"/>
      <c r="Q16" s="6"/>
      <c r="R16" s="39"/>
      <c r="S16" s="28"/>
      <c r="T16" s="6" t="s">
        <v>118</v>
      </c>
      <c r="U16" s="39" t="s">
        <v>275</v>
      </c>
      <c r="V16" s="28">
        <v>-16150</v>
      </c>
      <c r="W16" s="6" t="s">
        <v>144</v>
      </c>
      <c r="X16" s="39" t="s">
        <v>299</v>
      </c>
      <c r="Y16" s="26">
        <v>17500</v>
      </c>
    </row>
    <row r="17" spans="2:25" x14ac:dyDescent="0.3">
      <c r="G17" s="6"/>
      <c r="H17" s="39"/>
      <c r="I17" s="28"/>
      <c r="J17" s="6" t="s">
        <v>118</v>
      </c>
      <c r="K17" s="39">
        <v>960606126304</v>
      </c>
      <c r="L17" s="28">
        <v>-151300</v>
      </c>
      <c r="M17" s="6" t="s">
        <v>175</v>
      </c>
      <c r="N17" s="39" t="s">
        <v>236</v>
      </c>
      <c r="O17" s="26">
        <v>-106316</v>
      </c>
      <c r="P17" s="5"/>
      <c r="Q17" s="6"/>
      <c r="R17" s="39"/>
      <c r="S17" s="28"/>
      <c r="T17" s="6" t="s">
        <v>118</v>
      </c>
      <c r="U17" s="39" t="s">
        <v>275</v>
      </c>
      <c r="V17" s="28">
        <v>-16500</v>
      </c>
      <c r="W17" s="6" t="s">
        <v>144</v>
      </c>
      <c r="X17" s="39" t="s">
        <v>236</v>
      </c>
      <c r="Y17" s="26">
        <v>-17500</v>
      </c>
    </row>
    <row r="18" spans="2:25" x14ac:dyDescent="0.3">
      <c r="G18" s="6"/>
      <c r="H18" s="39"/>
      <c r="I18" s="28"/>
      <c r="J18" s="6" t="s">
        <v>148</v>
      </c>
      <c r="K18" s="39" t="s">
        <v>588</v>
      </c>
      <c r="L18" s="28">
        <v>-418000</v>
      </c>
      <c r="M18" s="6" t="s">
        <v>175</v>
      </c>
      <c r="N18" s="39" t="s">
        <v>235</v>
      </c>
      <c r="O18" s="26">
        <v>13500</v>
      </c>
      <c r="P18" s="5"/>
      <c r="Q18" s="6"/>
      <c r="R18" s="39"/>
      <c r="S18" s="28"/>
      <c r="T18" s="6" t="s">
        <v>137</v>
      </c>
      <c r="U18" s="39" t="s">
        <v>140</v>
      </c>
      <c r="V18" s="28">
        <v>-3900</v>
      </c>
      <c r="W18" s="6" t="s">
        <v>133</v>
      </c>
      <c r="X18" s="39" t="s">
        <v>136</v>
      </c>
      <c r="Y18" s="26">
        <v>-208350</v>
      </c>
    </row>
    <row r="19" spans="2:25" x14ac:dyDescent="0.3">
      <c r="G19" s="6"/>
      <c r="H19" s="39"/>
      <c r="I19" s="28"/>
      <c r="J19" s="6" t="s">
        <v>125</v>
      </c>
      <c r="K19" s="39" t="s">
        <v>589</v>
      </c>
      <c r="L19" s="28">
        <v>-4000</v>
      </c>
      <c r="M19" s="6" t="s">
        <v>127</v>
      </c>
      <c r="N19" s="39" t="s">
        <v>299</v>
      </c>
      <c r="O19" s="26">
        <v>64000</v>
      </c>
      <c r="P19" s="5"/>
      <c r="Q19" s="6"/>
      <c r="R19" s="39"/>
      <c r="S19" s="28"/>
      <c r="T19" s="6" t="s">
        <v>137</v>
      </c>
      <c r="U19" s="39" t="s">
        <v>628</v>
      </c>
      <c r="V19" s="28">
        <v>-12000</v>
      </c>
      <c r="W19" s="6" t="s">
        <v>127</v>
      </c>
      <c r="X19" s="39" t="s">
        <v>131</v>
      </c>
      <c r="Y19" s="26">
        <v>-64000</v>
      </c>
    </row>
    <row r="20" spans="2:25" x14ac:dyDescent="0.3">
      <c r="G20" s="6"/>
      <c r="H20" s="39"/>
      <c r="I20" s="28"/>
      <c r="J20" s="6" t="s">
        <v>120</v>
      </c>
      <c r="K20" s="39" t="s">
        <v>590</v>
      </c>
      <c r="L20" s="28">
        <v>-64000</v>
      </c>
      <c r="M20" s="6" t="s">
        <v>144</v>
      </c>
      <c r="N20" s="39" t="s">
        <v>200</v>
      </c>
      <c r="O20" s="26">
        <v>0</v>
      </c>
      <c r="P20" s="5"/>
      <c r="Q20" s="6"/>
      <c r="R20" s="39"/>
      <c r="S20" s="28"/>
      <c r="T20" s="6" t="s">
        <v>119</v>
      </c>
      <c r="U20" s="39" t="s">
        <v>141</v>
      </c>
      <c r="V20" s="28">
        <v>-12590</v>
      </c>
      <c r="W20" s="6" t="s">
        <v>144</v>
      </c>
      <c r="X20" s="39" t="s">
        <v>299</v>
      </c>
      <c r="Y20" s="26">
        <v>70000</v>
      </c>
    </row>
    <row r="21" spans="2:25" x14ac:dyDescent="0.3">
      <c r="G21" s="6"/>
      <c r="H21" s="39"/>
      <c r="I21" s="28"/>
      <c r="J21" s="6" t="s">
        <v>115</v>
      </c>
      <c r="K21" s="39" t="s">
        <v>132</v>
      </c>
      <c r="L21" s="28">
        <v>-475000</v>
      </c>
      <c r="M21" s="6" t="s">
        <v>114</v>
      </c>
      <c r="N21" s="39" t="s">
        <v>602</v>
      </c>
      <c r="O21" s="26">
        <v>4500</v>
      </c>
      <c r="P21" s="5"/>
      <c r="Q21" s="6"/>
      <c r="R21" s="39"/>
      <c r="S21" s="28"/>
      <c r="T21" s="6" t="s">
        <v>137</v>
      </c>
      <c r="U21" s="39" t="s">
        <v>629</v>
      </c>
      <c r="V21" s="28">
        <v>-63000</v>
      </c>
      <c r="W21" s="6" t="s">
        <v>144</v>
      </c>
      <c r="X21" s="39" t="s">
        <v>236</v>
      </c>
      <c r="Y21" s="26">
        <v>-70000</v>
      </c>
    </row>
    <row r="22" spans="2:25" x14ac:dyDescent="0.3">
      <c r="G22" s="6"/>
      <c r="H22" s="39"/>
      <c r="I22" s="28"/>
      <c r="J22" s="6" t="s">
        <v>116</v>
      </c>
      <c r="K22" s="39" t="s">
        <v>591</v>
      </c>
      <c r="L22" s="28">
        <v>-3000</v>
      </c>
      <c r="M22" s="6" t="s">
        <v>175</v>
      </c>
      <c r="N22" s="39" t="s">
        <v>603</v>
      </c>
      <c r="O22" s="26">
        <v>-94100</v>
      </c>
      <c r="P22" s="5"/>
      <c r="Q22" s="6"/>
      <c r="R22" s="39"/>
      <c r="S22" s="28"/>
      <c r="T22" s="6" t="s">
        <v>144</v>
      </c>
      <c r="U22" s="39" t="s">
        <v>260</v>
      </c>
      <c r="V22" s="28">
        <v>-17920</v>
      </c>
      <c r="W22" s="6" t="s">
        <v>127</v>
      </c>
      <c r="X22" s="39" t="s">
        <v>135</v>
      </c>
      <c r="Y22" s="26">
        <v>475000</v>
      </c>
    </row>
    <row r="23" spans="2:25" x14ac:dyDescent="0.3">
      <c r="G23" s="6"/>
      <c r="H23" s="39"/>
      <c r="I23" s="28"/>
      <c r="J23" s="6" t="s">
        <v>116</v>
      </c>
      <c r="K23" s="39" t="s">
        <v>124</v>
      </c>
      <c r="L23" s="28">
        <v>-80000</v>
      </c>
      <c r="M23" s="6" t="s">
        <v>144</v>
      </c>
      <c r="N23" s="39" t="s">
        <v>200</v>
      </c>
      <c r="O23" s="26">
        <v>0</v>
      </c>
      <c r="P23" s="5"/>
      <c r="Q23" s="6"/>
      <c r="R23" s="39"/>
      <c r="S23" s="28"/>
      <c r="T23" s="6" t="s">
        <v>138</v>
      </c>
      <c r="U23" s="39" t="s">
        <v>633</v>
      </c>
      <c r="V23" s="28">
        <v>-29235</v>
      </c>
      <c r="W23" s="6" t="s">
        <v>144</v>
      </c>
      <c r="X23" s="39" t="s">
        <v>367</v>
      </c>
      <c r="Y23" s="26">
        <v>-100000</v>
      </c>
    </row>
    <row r="24" spans="2:25" x14ac:dyDescent="0.3">
      <c r="G24" s="6"/>
      <c r="H24" s="39"/>
      <c r="I24" s="28"/>
      <c r="J24" s="6" t="s">
        <v>146</v>
      </c>
      <c r="K24" s="39" t="s">
        <v>424</v>
      </c>
      <c r="L24" s="28">
        <v>-112316</v>
      </c>
      <c r="M24" s="6" t="s">
        <v>175</v>
      </c>
      <c r="N24" s="39" t="s">
        <v>235</v>
      </c>
      <c r="O24" s="26">
        <v>96488</v>
      </c>
      <c r="P24" s="5"/>
      <c r="Q24" s="6"/>
      <c r="R24" s="39"/>
      <c r="S24" s="28"/>
      <c r="T24" s="6" t="s">
        <v>129</v>
      </c>
      <c r="U24" s="39" t="s">
        <v>403</v>
      </c>
      <c r="V24" s="28">
        <v>-1000</v>
      </c>
      <c r="W24" s="6" t="s">
        <v>144</v>
      </c>
      <c r="X24" s="39" t="s">
        <v>367</v>
      </c>
      <c r="Y24" s="26">
        <v>100000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120</v>
      </c>
      <c r="K25" s="39" t="s">
        <v>121</v>
      </c>
      <c r="L25" s="28">
        <v>-13500</v>
      </c>
      <c r="M25" s="6" t="s">
        <v>175</v>
      </c>
      <c r="N25" s="39" t="s">
        <v>236</v>
      </c>
      <c r="O25" s="26">
        <v>-96488</v>
      </c>
      <c r="P25" s="5"/>
      <c r="Q25" s="6"/>
      <c r="R25" s="39"/>
      <c r="S25" s="28"/>
      <c r="T25" s="6" t="s">
        <v>144</v>
      </c>
      <c r="U25" s="39" t="s">
        <v>263</v>
      </c>
      <c r="V25" s="28">
        <v>-1066523</v>
      </c>
      <c r="W25" s="6" t="s">
        <v>127</v>
      </c>
      <c r="X25" s="39" t="s">
        <v>131</v>
      </c>
      <c r="Y25" s="26">
        <v>-40000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129</v>
      </c>
      <c r="K26" s="39" t="s">
        <v>221</v>
      </c>
      <c r="L26" s="28">
        <v>-27800</v>
      </c>
      <c r="M26" s="6" t="s">
        <v>133</v>
      </c>
      <c r="N26" s="39" t="s">
        <v>245</v>
      </c>
      <c r="O26" s="26">
        <v>-10000</v>
      </c>
      <c r="P26" s="5"/>
      <c r="Q26" s="6"/>
      <c r="R26" s="39"/>
      <c r="S26" s="28"/>
      <c r="T26" s="6" t="s">
        <v>138</v>
      </c>
      <c r="U26" s="39" t="s">
        <v>634</v>
      </c>
      <c r="V26" s="28">
        <v>-349845</v>
      </c>
      <c r="W26" s="6" t="s">
        <v>144</v>
      </c>
      <c r="X26" s="39" t="s">
        <v>299</v>
      </c>
      <c r="Y26" s="26">
        <v>34000</v>
      </c>
    </row>
    <row r="27" spans="2:25" x14ac:dyDescent="0.3">
      <c r="B27" s="48" t="s">
        <v>115</v>
      </c>
      <c r="C27" s="131">
        <f>-(SUMIF($J$7:$J$88,B27,$L$7:$L$88)+SUMIF($T$7:$T$88,B27,$V$7:$V$88))</f>
        <v>4795110</v>
      </c>
      <c r="D27" s="99"/>
      <c r="E27" s="100"/>
      <c r="G27" s="6"/>
      <c r="H27" s="39"/>
      <c r="I27" s="28"/>
      <c r="J27" s="6" t="s">
        <v>148</v>
      </c>
      <c r="K27" s="39" t="s">
        <v>594</v>
      </c>
      <c r="L27" s="28">
        <v>-30270</v>
      </c>
      <c r="M27" s="6" t="s">
        <v>114</v>
      </c>
      <c r="N27" s="39" t="s">
        <v>610</v>
      </c>
      <c r="O27" s="26">
        <v>295</v>
      </c>
      <c r="P27" s="5"/>
      <c r="Q27" s="6"/>
      <c r="R27" s="39"/>
      <c r="S27" s="28"/>
      <c r="T27" s="6" t="s">
        <v>144</v>
      </c>
      <c r="U27" s="39" t="s">
        <v>263</v>
      </c>
      <c r="V27" s="28">
        <v>-1029192</v>
      </c>
      <c r="W27" s="6" t="s">
        <v>144</v>
      </c>
      <c r="X27" s="39" t="s">
        <v>236</v>
      </c>
      <c r="Y27" s="26">
        <v>-34000</v>
      </c>
    </row>
    <row r="28" spans="2:25" x14ac:dyDescent="0.3">
      <c r="B28" s="49" t="s">
        <v>116</v>
      </c>
      <c r="C28" s="131">
        <f>-(SUMIF($J$7:$J$88,B28,$L$7:$L$88)+SUMIF($T$7:$T$88,B28,$V$7:$V$88))</f>
        <v>448845</v>
      </c>
      <c r="D28" s="99"/>
      <c r="E28" s="100"/>
      <c r="G28" s="6"/>
      <c r="H28" s="39"/>
      <c r="I28" s="28"/>
      <c r="J28" s="6" t="s">
        <v>148</v>
      </c>
      <c r="K28" s="39" t="s">
        <v>595</v>
      </c>
      <c r="L28" s="28">
        <v>-137550</v>
      </c>
      <c r="M28" s="6" t="s">
        <v>175</v>
      </c>
      <c r="N28" s="39" t="s">
        <v>235</v>
      </c>
      <c r="O28" s="26">
        <v>25900</v>
      </c>
      <c r="P28" s="5"/>
      <c r="Q28" s="6"/>
      <c r="R28" s="39"/>
      <c r="S28" s="28"/>
      <c r="T28" s="6" t="s">
        <v>125</v>
      </c>
      <c r="U28" s="39" t="s">
        <v>263</v>
      </c>
      <c r="V28" s="28">
        <v>-8728</v>
      </c>
      <c r="W28" s="6" t="s">
        <v>127</v>
      </c>
      <c r="X28" s="39" t="s">
        <v>630</v>
      </c>
      <c r="Y28" s="26">
        <v>-50000</v>
      </c>
    </row>
    <row r="29" spans="2:25" x14ac:dyDescent="0.3">
      <c r="B29" s="49" t="s">
        <v>120</v>
      </c>
      <c r="C29" s="131">
        <f>-(SUMIF($J$7:$J$88,B29,$L$7:$L$88)+SUMIF($T$7:$T$88,B29,$V$7:$V$88))</f>
        <v>625900</v>
      </c>
      <c r="D29" s="99"/>
      <c r="E29" s="100"/>
      <c r="G29" s="6"/>
      <c r="H29" s="39"/>
      <c r="I29" s="28"/>
      <c r="J29" s="6" t="s">
        <v>125</v>
      </c>
      <c r="K29" s="39" t="s">
        <v>487</v>
      </c>
      <c r="L29" s="28">
        <v>-10000</v>
      </c>
      <c r="M29" s="6" t="s">
        <v>175</v>
      </c>
      <c r="N29" s="39" t="s">
        <v>200</v>
      </c>
      <c r="O29" s="26">
        <v>100000</v>
      </c>
      <c r="P29" s="5"/>
      <c r="Q29" s="6"/>
      <c r="R29" s="39"/>
      <c r="S29" s="28"/>
      <c r="T29" s="6" t="s">
        <v>116</v>
      </c>
      <c r="U29" s="39" t="s">
        <v>575</v>
      </c>
      <c r="V29" s="28">
        <v>-160000</v>
      </c>
      <c r="W29" s="6" t="s">
        <v>144</v>
      </c>
      <c r="X29" s="39" t="s">
        <v>631</v>
      </c>
      <c r="Y29" s="26">
        <v>-7848680</v>
      </c>
    </row>
    <row r="30" spans="2:25" x14ac:dyDescent="0.3">
      <c r="B30" s="49" t="s">
        <v>118</v>
      </c>
      <c r="C30" s="131">
        <f>-(SUMIF($J$7:$J$88,B30,$L$7:$L$88)+SUMIF($T$7:$T$88,B30,$V$7:$V$88))</f>
        <v>1168648</v>
      </c>
      <c r="D30" s="99"/>
      <c r="E30" s="100"/>
      <c r="G30" s="6"/>
      <c r="H30" s="39"/>
      <c r="I30" s="28"/>
      <c r="J30" s="6" t="s">
        <v>119</v>
      </c>
      <c r="K30" s="39" t="s">
        <v>153</v>
      </c>
      <c r="L30" s="28">
        <v>-60000</v>
      </c>
      <c r="M30" s="6" t="s">
        <v>175</v>
      </c>
      <c r="N30" s="39" t="s">
        <v>612</v>
      </c>
      <c r="O30" s="26">
        <v>-100000</v>
      </c>
      <c r="P30" s="5"/>
      <c r="Q30" s="6"/>
      <c r="R30" s="39"/>
      <c r="S30" s="28"/>
      <c r="T30" s="6" t="s">
        <v>128</v>
      </c>
      <c r="U30" s="39" t="s">
        <v>637</v>
      </c>
      <c r="V30" s="28">
        <v>-162800</v>
      </c>
      <c r="W30" s="6" t="s">
        <v>127</v>
      </c>
      <c r="X30" s="39" t="s">
        <v>632</v>
      </c>
      <c r="Y30" s="26">
        <v>3924340</v>
      </c>
    </row>
    <row r="31" spans="2:25" x14ac:dyDescent="0.3">
      <c r="B31" s="49" t="s">
        <v>122</v>
      </c>
      <c r="C31" s="131">
        <f>-(SUMIF($J$7:$J$88,B31,$L$7:$L$88)+SUMIF($T$7:$T$88,B31,$V$7:$V$88))</f>
        <v>20160</v>
      </c>
      <c r="D31" s="99"/>
      <c r="E31" s="100"/>
      <c r="G31" s="6"/>
      <c r="H31" s="39"/>
      <c r="I31" s="28"/>
      <c r="J31" s="6" t="s">
        <v>129</v>
      </c>
      <c r="K31" s="39" t="s">
        <v>221</v>
      </c>
      <c r="L31" s="28">
        <v>27800</v>
      </c>
      <c r="M31" s="6" t="s">
        <v>175</v>
      </c>
      <c r="N31" s="39" t="s">
        <v>252</v>
      </c>
      <c r="O31" s="26">
        <v>-100000</v>
      </c>
      <c r="P31" s="5"/>
      <c r="Q31" s="6"/>
      <c r="R31" s="39"/>
      <c r="S31" s="28"/>
      <c r="T31" s="6" t="s">
        <v>148</v>
      </c>
      <c r="U31" s="39" t="s">
        <v>638</v>
      </c>
      <c r="V31" s="28">
        <v>-29313</v>
      </c>
      <c r="W31" s="6" t="s">
        <v>133</v>
      </c>
      <c r="X31" s="39" t="s">
        <v>143</v>
      </c>
      <c r="Y31" s="26">
        <v>-1882592</v>
      </c>
    </row>
    <row r="32" spans="2:25" x14ac:dyDescent="0.3">
      <c r="B32" s="49" t="s">
        <v>119</v>
      </c>
      <c r="C32" s="131">
        <f>-(SUMIF($J$7:$J$88,B32,$L$7:$L$88)+SUMIF($T$7:$T$88,B32,$V$7:$V$88))</f>
        <v>162590</v>
      </c>
      <c r="D32" s="99"/>
      <c r="E32" s="100"/>
      <c r="G32" s="6"/>
      <c r="H32" s="39"/>
      <c r="I32" s="28"/>
      <c r="J32" s="6" t="s">
        <v>129</v>
      </c>
      <c r="K32" s="39" t="s">
        <v>221</v>
      </c>
      <c r="L32" s="28">
        <v>-27800</v>
      </c>
      <c r="M32" s="6"/>
      <c r="N32" s="39"/>
      <c r="O32" s="26"/>
      <c r="P32" s="5"/>
      <c r="Q32" s="6"/>
      <c r="R32" s="39"/>
      <c r="S32" s="28"/>
      <c r="T32" s="6" t="s">
        <v>137</v>
      </c>
      <c r="U32" s="39" t="s">
        <v>140</v>
      </c>
      <c r="V32" s="28">
        <v>-2600</v>
      </c>
      <c r="W32" s="6" t="s">
        <v>145</v>
      </c>
      <c r="X32" s="39" t="s">
        <v>566</v>
      </c>
      <c r="Y32" s="26">
        <v>18000</v>
      </c>
    </row>
    <row r="33" spans="2:25" x14ac:dyDescent="0.3">
      <c r="B33" s="49" t="s">
        <v>129</v>
      </c>
      <c r="C33" s="131">
        <f>-(SUMIF($J$7:$J$88,B33,$L$7:$L$88)+SUMIF($T$7:$T$88,B33,$V$7:$V$88))</f>
        <v>77000</v>
      </c>
      <c r="D33" s="99"/>
      <c r="E33" s="100"/>
      <c r="G33" s="6"/>
      <c r="H33" s="39"/>
      <c r="I33" s="28"/>
      <c r="J33" s="6" t="s">
        <v>129</v>
      </c>
      <c r="K33" s="39" t="s">
        <v>221</v>
      </c>
      <c r="L33" s="28">
        <v>19600</v>
      </c>
      <c r="M33" s="6"/>
      <c r="N33" s="39"/>
      <c r="O33" s="26"/>
      <c r="P33" s="5"/>
      <c r="Q33" s="6"/>
      <c r="R33" s="39"/>
      <c r="S33" s="28"/>
      <c r="T33" s="6" t="s">
        <v>125</v>
      </c>
      <c r="U33" s="39" t="s">
        <v>123</v>
      </c>
      <c r="V33" s="28">
        <v>-23000</v>
      </c>
      <c r="W33" s="6" t="s">
        <v>144</v>
      </c>
      <c r="X33" s="39" t="s">
        <v>200</v>
      </c>
      <c r="Y33" s="26">
        <v>4</v>
      </c>
    </row>
    <row r="34" spans="2:25" x14ac:dyDescent="0.3">
      <c r="B34" s="49" t="s">
        <v>125</v>
      </c>
      <c r="C34" s="131">
        <f>-(SUMIF($J$7:$J$88,B34,$L$7:$L$88)+SUMIF($T$7:$T$88,B34,$V$7:$V$88))</f>
        <v>177960</v>
      </c>
      <c r="D34" s="99"/>
      <c r="E34" s="100"/>
      <c r="G34" s="6"/>
      <c r="H34" s="39"/>
      <c r="I34" s="28"/>
      <c r="J34" s="6" t="s">
        <v>129</v>
      </c>
      <c r="K34" s="39" t="s">
        <v>221</v>
      </c>
      <c r="L34" s="28">
        <v>-33600</v>
      </c>
      <c r="M34" s="6"/>
      <c r="N34" s="39"/>
      <c r="O34" s="26"/>
      <c r="P34" s="5"/>
      <c r="Q34" s="6"/>
      <c r="R34" s="39"/>
      <c r="S34" s="28"/>
      <c r="T34" s="6" t="s">
        <v>118</v>
      </c>
      <c r="U34" s="39" t="s">
        <v>224</v>
      </c>
      <c r="V34" s="28">
        <v>-24100</v>
      </c>
      <c r="W34" s="6" t="s">
        <v>114</v>
      </c>
      <c r="X34" s="39" t="s">
        <v>363</v>
      </c>
      <c r="Y34" s="26">
        <v>0</v>
      </c>
    </row>
    <row r="35" spans="2:25" x14ac:dyDescent="0.3">
      <c r="B35" s="49" t="s">
        <v>148</v>
      </c>
      <c r="C35" s="131">
        <f>-(SUMIF($J$7:$J$88,B35,$L$7:$L$88)+SUMIF($T$7:$T$88,B35,$V$7:$V$88))</f>
        <v>774733</v>
      </c>
      <c r="D35" s="99"/>
      <c r="E35" s="100"/>
      <c r="G35" s="6"/>
      <c r="H35" s="39"/>
      <c r="I35" s="28"/>
      <c r="J35" s="6" t="s">
        <v>115</v>
      </c>
      <c r="K35" s="39" t="s">
        <v>132</v>
      </c>
      <c r="L35" s="28">
        <v>-3924340</v>
      </c>
      <c r="M35" s="6"/>
      <c r="N35" s="39"/>
      <c r="O35" s="26"/>
      <c r="P35" s="5"/>
      <c r="Q35" s="6"/>
      <c r="R35" s="39"/>
      <c r="S35" s="28"/>
      <c r="T35" s="6" t="s">
        <v>125</v>
      </c>
      <c r="U35" s="39" t="s">
        <v>640</v>
      </c>
      <c r="V35" s="28">
        <v>-18000</v>
      </c>
      <c r="W35" s="6" t="s">
        <v>127</v>
      </c>
      <c r="X35" s="39" t="s">
        <v>635</v>
      </c>
      <c r="Y35" s="26">
        <v>-1500000</v>
      </c>
    </row>
    <row r="36" spans="2:25" x14ac:dyDescent="0.3">
      <c r="B36" s="49" t="s">
        <v>117</v>
      </c>
      <c r="C36" s="131">
        <f>-(SUMIF($J$7:$J$88,B36,$L$7:$L$88)+SUMIF($T$7:$T$88,B36,$V$7:$V$88))</f>
        <v>1154340</v>
      </c>
      <c r="D36" s="99"/>
      <c r="E36" s="100"/>
      <c r="G36" s="6"/>
      <c r="H36" s="39"/>
      <c r="I36" s="28"/>
      <c r="J36" s="6" t="s">
        <v>129</v>
      </c>
      <c r="K36" s="39" t="s">
        <v>221</v>
      </c>
      <c r="L36" s="28">
        <v>-30400</v>
      </c>
      <c r="M36" s="6"/>
      <c r="N36" s="39"/>
      <c r="O36" s="26"/>
      <c r="P36" s="5"/>
      <c r="Q36" s="6"/>
      <c r="R36" s="39"/>
      <c r="S36" s="28"/>
      <c r="T36" s="6" t="s">
        <v>125</v>
      </c>
      <c r="U36" s="39" t="s">
        <v>123</v>
      </c>
      <c r="V36" s="28">
        <v>-990</v>
      </c>
      <c r="W36" s="6" t="s">
        <v>127</v>
      </c>
      <c r="X36" s="39" t="s">
        <v>636</v>
      </c>
      <c r="Y36" s="26">
        <v>15000</v>
      </c>
    </row>
    <row r="37" spans="2:25" x14ac:dyDescent="0.3">
      <c r="B37" s="49" t="s">
        <v>128</v>
      </c>
      <c r="C37" s="131">
        <f>-(SUMIF($J$7:$J$88,B37,$L$7:$L$88)+SUMIF($T$7:$T$88,B37,$V$7:$V$88))</f>
        <v>168800</v>
      </c>
      <c r="D37" s="99"/>
      <c r="E37" s="100"/>
      <c r="G37" s="6"/>
      <c r="H37" s="39"/>
      <c r="I37" s="28"/>
      <c r="J37" s="6" t="s">
        <v>129</v>
      </c>
      <c r="K37" s="39" t="s">
        <v>596</v>
      </c>
      <c r="L37" s="28">
        <v>-2200</v>
      </c>
      <c r="M37" s="6"/>
      <c r="N37" s="39"/>
      <c r="O37" s="26"/>
      <c r="P37" s="5"/>
      <c r="Q37" s="6"/>
      <c r="R37" s="39"/>
      <c r="S37" s="28"/>
      <c r="T37" s="6" t="s">
        <v>137</v>
      </c>
      <c r="U37" s="39" t="s">
        <v>140</v>
      </c>
      <c r="V37" s="28">
        <v>-1200</v>
      </c>
      <c r="W37" s="6" t="s">
        <v>144</v>
      </c>
      <c r="X37" s="39" t="s">
        <v>299</v>
      </c>
      <c r="Y37" s="26">
        <v>23000</v>
      </c>
    </row>
    <row r="38" spans="2:25" x14ac:dyDescent="0.3">
      <c r="B38" s="49" t="s">
        <v>146</v>
      </c>
      <c r="C38" s="131">
        <f>-(SUMIF($J$7:$J$88,B38,$L$7:$L$88)+SUMIF($T$7:$T$88,B38,$V$7:$V$88))</f>
        <v>331211</v>
      </c>
      <c r="D38" s="99"/>
      <c r="E38" s="100"/>
      <c r="G38" s="6"/>
      <c r="H38" s="39"/>
      <c r="I38" s="28"/>
      <c r="J38" s="6" t="s">
        <v>125</v>
      </c>
      <c r="K38" s="39" t="s">
        <v>487</v>
      </c>
      <c r="L38" s="28">
        <v>-7500</v>
      </c>
      <c r="M38" s="6"/>
      <c r="N38" s="39"/>
      <c r="O38" s="26"/>
      <c r="P38" s="5"/>
      <c r="Q38" s="6"/>
      <c r="R38" s="39"/>
      <c r="S38" s="28"/>
      <c r="T38" s="6" t="s">
        <v>137</v>
      </c>
      <c r="U38" s="39" t="s">
        <v>263</v>
      </c>
      <c r="V38" s="28">
        <v>-26380</v>
      </c>
      <c r="W38" s="6" t="s">
        <v>127</v>
      </c>
      <c r="X38" s="39" t="s">
        <v>639</v>
      </c>
      <c r="Y38" s="26">
        <v>-387500</v>
      </c>
    </row>
    <row r="39" spans="2:25" x14ac:dyDescent="0.3">
      <c r="B39" s="49" t="s">
        <v>134</v>
      </c>
      <c r="C39" s="131">
        <f>-(SUMIF($J$7:$J$88,B39,$L$7:$L$88)+SUMIF($T$7:$T$88,B39,$V$7:$V$88))</f>
        <v>-162000</v>
      </c>
      <c r="D39" s="99"/>
      <c r="E39" s="100"/>
      <c r="G39" s="6"/>
      <c r="H39" s="39"/>
      <c r="I39" s="28"/>
      <c r="J39" s="6" t="s">
        <v>122</v>
      </c>
      <c r="K39" s="39" t="s">
        <v>230</v>
      </c>
      <c r="L39" s="28">
        <v>-1000</v>
      </c>
      <c r="M39" s="6"/>
      <c r="N39" s="39"/>
      <c r="O39" s="26"/>
      <c r="P39" s="5"/>
      <c r="Q39" s="6"/>
      <c r="R39" s="39"/>
      <c r="S39" s="28"/>
      <c r="T39" s="6" t="s">
        <v>118</v>
      </c>
      <c r="U39" s="39" t="s">
        <v>284</v>
      </c>
      <c r="V39" s="28">
        <v>-169940</v>
      </c>
      <c r="W39" s="6" t="s">
        <v>127</v>
      </c>
      <c r="X39" s="39" t="s">
        <v>411</v>
      </c>
      <c r="Y39" s="26">
        <v>1</v>
      </c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120</v>
      </c>
      <c r="K40" s="39" t="s">
        <v>597</v>
      </c>
      <c r="L40" s="28">
        <v>-108000</v>
      </c>
      <c r="M40" s="6"/>
      <c r="N40" s="39"/>
      <c r="O40" s="26"/>
      <c r="P40" s="5"/>
      <c r="Q40" s="6"/>
      <c r="R40" s="39"/>
      <c r="S40" s="28"/>
      <c r="T40" s="6" t="s">
        <v>116</v>
      </c>
      <c r="U40" s="39" t="s">
        <v>289</v>
      </c>
      <c r="V40" s="28">
        <v>-102105</v>
      </c>
      <c r="W40" s="6" t="s">
        <v>127</v>
      </c>
      <c r="X40" s="39" t="s">
        <v>635</v>
      </c>
      <c r="Y40" s="26">
        <v>-180000</v>
      </c>
    </row>
    <row r="41" spans="2:25" x14ac:dyDescent="0.3">
      <c r="B41" s="49" t="s">
        <v>126</v>
      </c>
      <c r="C41" s="131">
        <f>-(SUMIF($J$7:$J$88,B41,$L$7:$L$88)+SUMIF($T$7:$T$88,B41,$V$7:$V$88))</f>
        <v>0</v>
      </c>
      <c r="D41" s="99"/>
      <c r="E41" s="100"/>
      <c r="G41" s="6"/>
      <c r="H41" s="39"/>
      <c r="I41" s="28"/>
      <c r="J41" s="6" t="s">
        <v>129</v>
      </c>
      <c r="K41" s="39" t="s">
        <v>250</v>
      </c>
      <c r="L41" s="28">
        <v>19600</v>
      </c>
      <c r="M41" s="6"/>
      <c r="N41" s="39"/>
      <c r="O41" s="26"/>
      <c r="P41" s="5"/>
      <c r="Q41" s="6"/>
      <c r="R41" s="39"/>
      <c r="S41" s="28"/>
      <c r="T41" s="6" t="s">
        <v>154</v>
      </c>
      <c r="U41" s="39" t="s">
        <v>642</v>
      </c>
      <c r="V41" s="28">
        <v>-91220</v>
      </c>
      <c r="W41" s="6" t="s">
        <v>144</v>
      </c>
      <c r="X41" s="39" t="s">
        <v>200</v>
      </c>
      <c r="Y41" s="26">
        <v>0</v>
      </c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129</v>
      </c>
      <c r="K42" s="39" t="s">
        <v>598</v>
      </c>
      <c r="L42" s="28">
        <v>27800</v>
      </c>
      <c r="M42" s="6"/>
      <c r="N42" s="39"/>
      <c r="O42" s="26"/>
      <c r="P42" s="5"/>
      <c r="Q42" s="6"/>
      <c r="R42" s="39"/>
      <c r="S42" s="28"/>
      <c r="T42" s="6" t="s">
        <v>144</v>
      </c>
      <c r="U42" s="39" t="s">
        <v>260</v>
      </c>
      <c r="V42" s="28">
        <v>-24780</v>
      </c>
      <c r="W42" s="6" t="s">
        <v>144</v>
      </c>
      <c r="X42" s="39" t="s">
        <v>299</v>
      </c>
      <c r="Y42" s="26">
        <v>10000</v>
      </c>
    </row>
    <row r="43" spans="2:25" x14ac:dyDescent="0.3">
      <c r="B43" s="49" t="s">
        <v>137</v>
      </c>
      <c r="C43" s="131">
        <f>-(SUMIF($J$7:$J$88,B43,$L$7:$L$88)+SUMIF($T$7:$T$88,B43,$V$7:$V$88))</f>
        <v>251933</v>
      </c>
      <c r="D43" s="99"/>
      <c r="E43" s="100"/>
      <c r="G43" s="6"/>
      <c r="H43" s="39"/>
      <c r="I43" s="28"/>
      <c r="J43" s="6" t="s">
        <v>120</v>
      </c>
      <c r="K43" s="39" t="s">
        <v>599</v>
      </c>
      <c r="L43" s="28">
        <v>-51000</v>
      </c>
      <c r="M43" s="6"/>
      <c r="N43" s="39"/>
      <c r="O43" s="26"/>
      <c r="P43" s="5"/>
      <c r="Q43" s="6"/>
      <c r="R43" s="39"/>
      <c r="S43" s="28"/>
      <c r="T43" s="6" t="s">
        <v>125</v>
      </c>
      <c r="U43" s="39" t="s">
        <v>644</v>
      </c>
      <c r="V43" s="28">
        <v>-1000</v>
      </c>
      <c r="W43" s="6" t="s">
        <v>144</v>
      </c>
      <c r="X43" s="39" t="s">
        <v>236</v>
      </c>
      <c r="Y43" s="26">
        <v>-10000</v>
      </c>
    </row>
    <row r="44" spans="2:25" x14ac:dyDescent="0.3">
      <c r="B44" s="49" t="s">
        <v>144</v>
      </c>
      <c r="C44" s="131">
        <f>-(SUMIF($J$7:$J$88,B44,$L$7:$L$88)+SUMIF($T$7:$T$88,B44,$V$7:$V$88))</f>
        <v>2270703</v>
      </c>
      <c r="D44" s="99"/>
      <c r="E44" s="100"/>
      <c r="G44" s="6"/>
      <c r="H44" s="39"/>
      <c r="I44" s="28"/>
      <c r="J44" s="6" t="s">
        <v>120</v>
      </c>
      <c r="K44" s="39" t="s">
        <v>478</v>
      </c>
      <c r="L44" s="28">
        <v>-11800</v>
      </c>
      <c r="M44" s="6"/>
      <c r="N44" s="39"/>
      <c r="O44" s="26"/>
      <c r="P44" s="5"/>
      <c r="Q44" s="6"/>
      <c r="R44" s="39"/>
      <c r="S44" s="28"/>
      <c r="T44" s="6" t="s">
        <v>125</v>
      </c>
      <c r="U44" s="39" t="s">
        <v>263</v>
      </c>
      <c r="V44" s="28">
        <v>-6842</v>
      </c>
      <c r="W44" s="6" t="s">
        <v>144</v>
      </c>
      <c r="X44" s="39" t="s">
        <v>641</v>
      </c>
      <c r="Y44" s="26">
        <v>-100000</v>
      </c>
    </row>
    <row r="45" spans="2:25" x14ac:dyDescent="0.3">
      <c r="B45" s="49" t="s">
        <v>138</v>
      </c>
      <c r="C45" s="131">
        <f>-(SUMIF($J$7:$J$88,B45,$L$7:$L$88)+SUMIF($T$7:$T$88,B45,$V$7:$V$88))</f>
        <v>659080</v>
      </c>
      <c r="D45" s="99"/>
      <c r="E45" s="100"/>
      <c r="G45" s="6"/>
      <c r="H45" s="39"/>
      <c r="I45" s="28"/>
      <c r="J45" s="6" t="s">
        <v>125</v>
      </c>
      <c r="K45" s="39" t="s">
        <v>393</v>
      </c>
      <c r="L45" s="28">
        <v>-6000</v>
      </c>
      <c r="M45" s="6"/>
      <c r="N45" s="39"/>
      <c r="O45" s="26"/>
      <c r="P45" s="5"/>
      <c r="Q45" s="6"/>
      <c r="R45" s="39"/>
      <c r="S45" s="28"/>
      <c r="T45" s="6" t="s">
        <v>125</v>
      </c>
      <c r="U45" s="39" t="s">
        <v>263</v>
      </c>
      <c r="V45" s="28">
        <v>-7800</v>
      </c>
      <c r="W45" s="6" t="s">
        <v>144</v>
      </c>
      <c r="X45" s="39" t="s">
        <v>367</v>
      </c>
      <c r="Y45" s="26">
        <v>100000</v>
      </c>
    </row>
    <row r="46" spans="2:25" x14ac:dyDescent="0.3">
      <c r="B46" s="50" t="s">
        <v>154</v>
      </c>
      <c r="C46" s="131">
        <f>-(SUMIF($J$7:$J$88,B46,$L$7:$L$88)+SUMIF($T$7:$T$88,B46,$V$7:$V$88))</f>
        <v>91220</v>
      </c>
      <c r="D46" s="99"/>
      <c r="E46" s="100"/>
      <c r="G46" s="6"/>
      <c r="H46" s="39"/>
      <c r="I46" s="28"/>
      <c r="J46" s="6" t="s">
        <v>116</v>
      </c>
      <c r="K46" s="39" t="s">
        <v>463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144</v>
      </c>
      <c r="U46" s="39" t="s">
        <v>263</v>
      </c>
      <c r="V46" s="28">
        <v>6842</v>
      </c>
      <c r="W46" s="6" t="s">
        <v>144</v>
      </c>
      <c r="X46" s="39" t="s">
        <v>367</v>
      </c>
      <c r="Y46" s="26">
        <v>100000</v>
      </c>
    </row>
    <row r="47" spans="2:25" x14ac:dyDescent="0.3">
      <c r="G47" s="6"/>
      <c r="H47" s="39"/>
      <c r="I47" s="28"/>
      <c r="J47" s="6" t="s">
        <v>125</v>
      </c>
      <c r="K47" s="39" t="s">
        <v>600</v>
      </c>
      <c r="L47" s="28">
        <v>-29450</v>
      </c>
      <c r="M47" s="6"/>
      <c r="N47" s="39"/>
      <c r="O47" s="26"/>
      <c r="P47" s="5"/>
      <c r="Q47" s="6"/>
      <c r="R47" s="39"/>
      <c r="S47" s="28"/>
      <c r="T47" s="6" t="s">
        <v>144</v>
      </c>
      <c r="U47" s="39" t="s">
        <v>260</v>
      </c>
      <c r="V47" s="28">
        <v>-89210</v>
      </c>
      <c r="W47" s="6" t="s">
        <v>127</v>
      </c>
      <c r="X47" s="39" t="s">
        <v>367</v>
      </c>
      <c r="Y47" s="26">
        <v>-100000</v>
      </c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116</v>
      </c>
      <c r="K48" s="39" t="s">
        <v>463</v>
      </c>
      <c r="L48" s="28">
        <v>-6100</v>
      </c>
      <c r="M48" s="6"/>
      <c r="N48" s="39"/>
      <c r="O48" s="26"/>
      <c r="P48" s="5"/>
      <c r="Q48" s="6"/>
      <c r="R48" s="39"/>
      <c r="S48" s="28"/>
      <c r="T48" s="6" t="s">
        <v>144</v>
      </c>
      <c r="U48" s="39" t="s">
        <v>260</v>
      </c>
      <c r="V48" s="28">
        <v>-17920</v>
      </c>
      <c r="W48" s="6" t="s">
        <v>144</v>
      </c>
      <c r="X48" s="39" t="s">
        <v>299</v>
      </c>
      <c r="Y48" s="26">
        <v>82210</v>
      </c>
    </row>
    <row r="49" spans="2:25" x14ac:dyDescent="0.3">
      <c r="C49" s="51"/>
      <c r="G49" s="6"/>
      <c r="H49" s="39"/>
      <c r="I49" s="28"/>
      <c r="J49" s="6" t="s">
        <v>120</v>
      </c>
      <c r="K49" s="39" t="s">
        <v>601</v>
      </c>
      <c r="L49" s="28">
        <v>-27000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 t="s">
        <v>144</v>
      </c>
      <c r="X49" s="39" t="s">
        <v>236</v>
      </c>
      <c r="Y49" s="26">
        <v>-82210</v>
      </c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118</v>
      </c>
      <c r="K50" s="39" t="s">
        <v>130</v>
      </c>
      <c r="L50" s="28">
        <v>-16500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127</v>
      </c>
      <c r="X50" s="39" t="s">
        <v>273</v>
      </c>
      <c r="Y50" s="26">
        <v>25000</v>
      </c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125</v>
      </c>
      <c r="K51" s="39" t="s">
        <v>487</v>
      </c>
      <c r="L51" s="28">
        <v>-10000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80</v>
      </c>
      <c r="X51" s="39" t="s">
        <v>643</v>
      </c>
      <c r="Y51" s="26">
        <v>997837</v>
      </c>
    </row>
    <row r="52" spans="2:25" x14ac:dyDescent="0.3">
      <c r="B52" s="48" t="s">
        <v>1010</v>
      </c>
      <c r="C52" s="131">
        <f>(SUMIF($G$7:$G$88,B52,$I$7:$I$88)+SUMIF($Q$7:$Q$88,B52,$S$7:$S$88))</f>
        <v>22455</v>
      </c>
      <c r="D52" s="99"/>
      <c r="E52" s="100"/>
      <c r="G52" s="6"/>
      <c r="H52" s="39"/>
      <c r="I52" s="28"/>
      <c r="J52" s="6" t="s">
        <v>134</v>
      </c>
      <c r="K52" s="39" t="s">
        <v>385</v>
      </c>
      <c r="L52" s="28">
        <v>400000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133</v>
      </c>
      <c r="X52" s="39" t="s">
        <v>326</v>
      </c>
      <c r="Y52" s="26">
        <v>-5661</v>
      </c>
    </row>
    <row r="53" spans="2:25" x14ac:dyDescent="0.3">
      <c r="B53" s="49" t="s">
        <v>1011</v>
      </c>
      <c r="C53" s="131">
        <f>(SUMIF($G$7:$G$88,B53,$I$7:$I$88)+SUMIF($Q$7:$Q$88,B53,$S$7:$S$88))</f>
        <v>8024959</v>
      </c>
      <c r="D53" s="99"/>
      <c r="E53" s="100"/>
      <c r="G53" s="6"/>
      <c r="H53" s="39"/>
      <c r="I53" s="28"/>
      <c r="J53" s="6" t="s">
        <v>134</v>
      </c>
      <c r="K53" s="39" t="s">
        <v>423</v>
      </c>
      <c r="L53" s="28">
        <v>-200000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114</v>
      </c>
      <c r="X53" s="39" t="s">
        <v>286</v>
      </c>
      <c r="Y53" s="26">
        <v>1</v>
      </c>
    </row>
    <row r="54" spans="2:25" x14ac:dyDescent="0.3">
      <c r="B54" s="49" t="s">
        <v>1012</v>
      </c>
      <c r="C54" s="131">
        <f>(SUMIF($G$7:$G$88,B54,$I$7:$I$88)+SUMIF($Q$7:$Q$88,B54,$S$7:$S$88))</f>
        <v>70000</v>
      </c>
      <c r="D54" s="99"/>
      <c r="E54" s="100"/>
      <c r="G54" s="6"/>
      <c r="H54" s="39"/>
      <c r="I54" s="28"/>
      <c r="J54" s="6" t="s">
        <v>119</v>
      </c>
      <c r="K54" s="39" t="s">
        <v>153</v>
      </c>
      <c r="L54" s="28">
        <v>-60000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145</v>
      </c>
      <c r="X54" s="39" t="s">
        <v>410</v>
      </c>
      <c r="Y54" s="26">
        <v>90000</v>
      </c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 t="s">
        <v>116</v>
      </c>
      <c r="K55" s="39" t="s">
        <v>473</v>
      </c>
      <c r="L55" s="28">
        <v>-3900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127</v>
      </c>
      <c r="X55" s="39" t="s">
        <v>645</v>
      </c>
      <c r="Y55" s="26">
        <v>-30000</v>
      </c>
    </row>
    <row r="56" spans="2:25" x14ac:dyDescent="0.3">
      <c r="G56" s="6"/>
      <c r="H56" s="39"/>
      <c r="I56" s="28"/>
      <c r="J56" s="6" t="s">
        <v>120</v>
      </c>
      <c r="K56" s="39" t="s">
        <v>604</v>
      </c>
      <c r="L56" s="28">
        <v>-99000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114</v>
      </c>
      <c r="X56" s="39" t="s">
        <v>646</v>
      </c>
      <c r="Y56" s="26">
        <v>18000</v>
      </c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119</v>
      </c>
      <c r="K57" s="39" t="s">
        <v>605</v>
      </c>
      <c r="L57" s="28">
        <v>-30000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118</v>
      </c>
      <c r="K58" s="39" t="s">
        <v>224</v>
      </c>
      <c r="L58" s="28">
        <v>-40490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117</v>
      </c>
      <c r="K59" s="39" t="s">
        <v>606</v>
      </c>
      <c r="L59" s="28">
        <v>-57200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117</v>
      </c>
      <c r="K60" s="39" t="s">
        <v>606</v>
      </c>
      <c r="L60" s="28">
        <v>57200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117</v>
      </c>
      <c r="K61" s="39" t="s">
        <v>606</v>
      </c>
      <c r="L61" s="28">
        <v>-54340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116</v>
      </c>
      <c r="K62" s="39" t="s">
        <v>473</v>
      </c>
      <c r="L62" s="28">
        <v>-10400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116</v>
      </c>
      <c r="K63" s="39" t="s">
        <v>177</v>
      </c>
      <c r="L63" s="28">
        <v>-10000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120</v>
      </c>
      <c r="K64" s="39" t="s">
        <v>607</v>
      </c>
      <c r="L64" s="28">
        <v>-35800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129</v>
      </c>
      <c r="K65" s="39" t="s">
        <v>156</v>
      </c>
      <c r="L65" s="28">
        <v>-49000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148</v>
      </c>
      <c r="K66" s="39" t="s">
        <v>608</v>
      </c>
      <c r="L66" s="28">
        <v>-159600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118</v>
      </c>
      <c r="K67" s="39" t="s">
        <v>609</v>
      </c>
      <c r="L67" s="28">
        <v>-37390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115</v>
      </c>
      <c r="K68" s="39" t="s">
        <v>246</v>
      </c>
      <c r="L68" s="28">
        <v>-36120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120</v>
      </c>
      <c r="K69" s="39" t="s">
        <v>121</v>
      </c>
      <c r="L69" s="28">
        <v>-25900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146</v>
      </c>
      <c r="K70" s="39" t="s">
        <v>611</v>
      </c>
      <c r="L70" s="28">
        <v>-24000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118</v>
      </c>
      <c r="K71" s="39" t="s">
        <v>613</v>
      </c>
      <c r="L71" s="28">
        <v>-417972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125</v>
      </c>
      <c r="K72" s="39" t="s">
        <v>452</v>
      </c>
      <c r="L72" s="28">
        <v>-5000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118</v>
      </c>
      <c r="K73" s="39" t="s">
        <v>613</v>
      </c>
      <c r="L73" s="28">
        <v>-278306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116</v>
      </c>
      <c r="K74" s="39" t="s">
        <v>473</v>
      </c>
      <c r="L74" s="28">
        <v>-7800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122</v>
      </c>
      <c r="K75" s="39" t="s">
        <v>401</v>
      </c>
      <c r="L75" s="28">
        <v>-19160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 t="s">
        <v>120</v>
      </c>
      <c r="K76" s="39" t="s">
        <v>614</v>
      </c>
      <c r="L76" s="28">
        <v>-69000</v>
      </c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 t="s">
        <v>134</v>
      </c>
      <c r="K77" s="39" t="s">
        <v>615</v>
      </c>
      <c r="L77" s="28">
        <v>-38000</v>
      </c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 t="s">
        <v>116</v>
      </c>
      <c r="K78" s="39" t="s">
        <v>536</v>
      </c>
      <c r="L78" s="28">
        <v>-36320</v>
      </c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 t="s">
        <v>125</v>
      </c>
      <c r="K79" s="39" t="s">
        <v>616</v>
      </c>
      <c r="L79" s="28">
        <v>-19300</v>
      </c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4087583</v>
      </c>
      <c r="J89" s="7" t="s">
        <v>24</v>
      </c>
      <c r="K89" s="22" t="s">
        <v>34</v>
      </c>
      <c r="L89" s="21">
        <f>SUM(L7:L88)</f>
        <v>-7867089</v>
      </c>
      <c r="M89" s="7" t="s">
        <v>24</v>
      </c>
      <c r="N89" s="22" t="s">
        <v>34</v>
      </c>
      <c r="O89" s="21">
        <f>SUM(O7:O88)</f>
        <v>-514904</v>
      </c>
      <c r="Q89" s="7" t="s">
        <v>24</v>
      </c>
      <c r="R89" s="17" t="s">
        <v>34</v>
      </c>
      <c r="S89" s="19">
        <f>SUM(S7:S88)</f>
        <v>4029831</v>
      </c>
      <c r="T89" s="7" t="s">
        <v>24</v>
      </c>
      <c r="U89" s="22" t="s">
        <v>34</v>
      </c>
      <c r="V89" s="21">
        <f>SUM(V7:V88)</f>
        <v>-5149144</v>
      </c>
      <c r="W89" s="7" t="s">
        <v>24</v>
      </c>
      <c r="X89" s="22" t="s">
        <v>34</v>
      </c>
      <c r="Y89" s="21">
        <f>SUM(Y7:Y88)</f>
        <v>-7339250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-4294410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-8458563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topLeftCell="A42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21" t="s">
        <v>104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-31540142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41540142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-3.1540142000000002</v>
      </c>
      <c r="D7" s="111"/>
      <c r="G7" s="6" t="s">
        <v>188</v>
      </c>
      <c r="H7" s="39" t="s">
        <v>650</v>
      </c>
      <c r="I7" s="28">
        <v>50000</v>
      </c>
      <c r="J7" s="6" t="s">
        <v>146</v>
      </c>
      <c r="K7" s="39" t="s">
        <v>424</v>
      </c>
      <c r="L7" s="28">
        <v>-30070</v>
      </c>
      <c r="M7" s="6" t="s">
        <v>175</v>
      </c>
      <c r="N7" s="39" t="s">
        <v>235</v>
      </c>
      <c r="O7" s="40">
        <v>30070</v>
      </c>
      <c r="P7" s="5"/>
      <c r="Q7" s="6" t="s">
        <v>188</v>
      </c>
      <c r="R7" s="39" t="s">
        <v>650</v>
      </c>
      <c r="S7" s="28">
        <v>50000</v>
      </c>
      <c r="T7" s="6" t="s">
        <v>137</v>
      </c>
      <c r="U7" s="39" t="s">
        <v>263</v>
      </c>
      <c r="V7" s="28">
        <v>-27440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188</v>
      </c>
      <c r="H8" s="39" t="s">
        <v>653</v>
      </c>
      <c r="I8" s="28">
        <v>100000</v>
      </c>
      <c r="J8" s="6" t="s">
        <v>117</v>
      </c>
      <c r="K8" s="39" t="s">
        <v>256</v>
      </c>
      <c r="L8" s="28">
        <v>-95810</v>
      </c>
      <c r="M8" s="6" t="s">
        <v>145</v>
      </c>
      <c r="N8" s="39">
        <v>1020564737040</v>
      </c>
      <c r="O8" s="26">
        <v>40624332</v>
      </c>
      <c r="P8" s="5"/>
      <c r="Q8" s="6" t="s">
        <v>188</v>
      </c>
      <c r="R8" s="39" t="s">
        <v>653</v>
      </c>
      <c r="S8" s="28">
        <v>100000</v>
      </c>
      <c r="T8" s="6" t="s">
        <v>118</v>
      </c>
      <c r="U8" s="39" t="s">
        <v>647</v>
      </c>
      <c r="V8" s="28">
        <v>-214500</v>
      </c>
      <c r="W8" s="6" t="s">
        <v>133</v>
      </c>
      <c r="X8" s="39" t="s">
        <v>706</v>
      </c>
      <c r="Y8" s="26">
        <v>-8750</v>
      </c>
    </row>
    <row r="9" spans="2:25" x14ac:dyDescent="0.3">
      <c r="G9" s="6" t="s">
        <v>188</v>
      </c>
      <c r="H9" s="39" t="s">
        <v>661</v>
      </c>
      <c r="I9" s="28">
        <v>100000</v>
      </c>
      <c r="J9" s="6" t="s">
        <v>118</v>
      </c>
      <c r="K9" s="39" t="s">
        <v>647</v>
      </c>
      <c r="L9" s="28">
        <v>-79030</v>
      </c>
      <c r="M9" s="6" t="s">
        <v>127</v>
      </c>
      <c r="N9" s="39" t="s">
        <v>181</v>
      </c>
      <c r="O9" s="26">
        <v>-400000</v>
      </c>
      <c r="P9" s="5"/>
      <c r="Q9" s="6" t="s">
        <v>188</v>
      </c>
      <c r="R9" s="39" t="s">
        <v>732</v>
      </c>
      <c r="S9" s="28">
        <v>700000</v>
      </c>
      <c r="T9" s="6" t="s">
        <v>144</v>
      </c>
      <c r="U9" s="39" t="s">
        <v>260</v>
      </c>
      <c r="V9" s="28">
        <v>-48800</v>
      </c>
      <c r="W9" s="6" t="s">
        <v>133</v>
      </c>
      <c r="X9" s="39" t="s">
        <v>136</v>
      </c>
      <c r="Y9" s="26">
        <v>-72740</v>
      </c>
    </row>
    <row r="10" spans="2:25" x14ac:dyDescent="0.3">
      <c r="G10" s="6" t="s">
        <v>552</v>
      </c>
      <c r="H10" s="39" t="s">
        <v>679</v>
      </c>
      <c r="I10" s="28">
        <v>100000</v>
      </c>
      <c r="J10" s="6" t="s">
        <v>125</v>
      </c>
      <c r="K10" s="39" t="s">
        <v>487</v>
      </c>
      <c r="L10" s="28">
        <v>-7500</v>
      </c>
      <c r="M10" s="6" t="s">
        <v>127</v>
      </c>
      <c r="N10" s="39" t="s">
        <v>651</v>
      </c>
      <c r="O10" s="26">
        <v>50000</v>
      </c>
      <c r="P10" s="5"/>
      <c r="Q10" s="6" t="s">
        <v>188</v>
      </c>
      <c r="R10" s="39" t="s">
        <v>742</v>
      </c>
      <c r="S10" s="28">
        <v>50000</v>
      </c>
      <c r="T10" s="6" t="s">
        <v>144</v>
      </c>
      <c r="U10" s="39" t="s">
        <v>260</v>
      </c>
      <c r="V10" s="28">
        <v>-22760</v>
      </c>
      <c r="W10" s="6" t="s">
        <v>127</v>
      </c>
      <c r="X10" s="39" t="s">
        <v>273</v>
      </c>
      <c r="Y10" s="26">
        <v>50000</v>
      </c>
    </row>
    <row r="11" spans="2:25" x14ac:dyDescent="0.3">
      <c r="G11" s="6" t="s">
        <v>188</v>
      </c>
      <c r="H11" s="39" t="s">
        <v>189</v>
      </c>
      <c r="I11" s="28">
        <v>2170122</v>
      </c>
      <c r="J11" s="6" t="s">
        <v>120</v>
      </c>
      <c r="K11" s="39" t="s">
        <v>648</v>
      </c>
      <c r="L11" s="28">
        <v>-7600</v>
      </c>
      <c r="M11" s="6" t="s">
        <v>127</v>
      </c>
      <c r="N11" s="39" t="s">
        <v>654</v>
      </c>
      <c r="O11" s="26">
        <v>50000</v>
      </c>
      <c r="P11" s="5"/>
      <c r="Q11" s="6" t="s">
        <v>112</v>
      </c>
      <c r="R11" s="39" t="s">
        <v>113</v>
      </c>
      <c r="S11" s="28">
        <v>0</v>
      </c>
      <c r="T11" s="6" t="s">
        <v>119</v>
      </c>
      <c r="U11" s="39" t="s">
        <v>141</v>
      </c>
      <c r="V11" s="28">
        <v>-6780</v>
      </c>
      <c r="W11" s="6" t="s">
        <v>127</v>
      </c>
      <c r="X11" s="39" t="s">
        <v>707</v>
      </c>
      <c r="Y11" s="26">
        <v>50000</v>
      </c>
    </row>
    <row r="12" spans="2:25" x14ac:dyDescent="0.3">
      <c r="G12" s="6" t="s">
        <v>188</v>
      </c>
      <c r="H12" s="39" t="s">
        <v>229</v>
      </c>
      <c r="I12" s="28">
        <v>4064849</v>
      </c>
      <c r="J12" s="6" t="s">
        <v>120</v>
      </c>
      <c r="K12" s="39" t="s">
        <v>649</v>
      </c>
      <c r="L12" s="28">
        <v>-2800</v>
      </c>
      <c r="M12" s="6" t="s">
        <v>144</v>
      </c>
      <c r="N12" s="39" t="s">
        <v>317</v>
      </c>
      <c r="O12" s="26">
        <v>-700000</v>
      </c>
      <c r="P12" s="5"/>
      <c r="Q12" s="6" t="s">
        <v>188</v>
      </c>
      <c r="R12" s="39" t="s">
        <v>189</v>
      </c>
      <c r="S12" s="28">
        <v>2065142</v>
      </c>
      <c r="T12" s="6" t="s">
        <v>117</v>
      </c>
      <c r="U12" s="39" t="s">
        <v>713</v>
      </c>
      <c r="V12" s="28">
        <v>-160</v>
      </c>
      <c r="W12" s="6" t="s">
        <v>127</v>
      </c>
      <c r="X12" s="39" t="s">
        <v>267</v>
      </c>
      <c r="Y12" s="26">
        <v>-275000</v>
      </c>
    </row>
    <row r="13" spans="2:25" x14ac:dyDescent="0.3">
      <c r="G13" s="6" t="s">
        <v>458</v>
      </c>
      <c r="H13" s="39" t="s">
        <v>690</v>
      </c>
      <c r="I13" s="28">
        <v>1</v>
      </c>
      <c r="J13" s="6" t="s">
        <v>122</v>
      </c>
      <c r="K13" s="39" t="s">
        <v>191</v>
      </c>
      <c r="L13" s="28">
        <v>-23620</v>
      </c>
      <c r="M13" s="6" t="s">
        <v>175</v>
      </c>
      <c r="N13" s="39" t="s">
        <v>308</v>
      </c>
      <c r="O13" s="26">
        <v>-700000</v>
      </c>
      <c r="P13" s="5"/>
      <c r="Q13" s="6" t="s">
        <v>188</v>
      </c>
      <c r="R13" s="39" t="s">
        <v>229</v>
      </c>
      <c r="S13" s="28">
        <v>3985171</v>
      </c>
      <c r="T13" s="6" t="s">
        <v>117</v>
      </c>
      <c r="U13" s="39" t="s">
        <v>713</v>
      </c>
      <c r="V13" s="28">
        <v>-320</v>
      </c>
      <c r="W13" s="6" t="s">
        <v>80</v>
      </c>
      <c r="X13" s="39" t="s">
        <v>643</v>
      </c>
      <c r="Y13" s="26">
        <v>359083</v>
      </c>
    </row>
    <row r="14" spans="2:25" x14ac:dyDescent="0.3">
      <c r="G14" s="6" t="s">
        <v>112</v>
      </c>
      <c r="H14" s="39" t="s">
        <v>237</v>
      </c>
      <c r="I14" s="28">
        <v>0</v>
      </c>
      <c r="J14" s="6" t="s">
        <v>119</v>
      </c>
      <c r="K14" s="39" t="s">
        <v>153</v>
      </c>
      <c r="L14" s="28">
        <v>-60000</v>
      </c>
      <c r="M14" s="6" t="s">
        <v>175</v>
      </c>
      <c r="N14" s="39" t="s">
        <v>135</v>
      </c>
      <c r="O14" s="26">
        <v>700000</v>
      </c>
      <c r="P14" s="5"/>
      <c r="Q14" s="6" t="s">
        <v>112</v>
      </c>
      <c r="R14" s="39" t="s">
        <v>287</v>
      </c>
      <c r="S14" s="28">
        <v>5</v>
      </c>
      <c r="T14" s="6" t="s">
        <v>117</v>
      </c>
      <c r="U14" s="39" t="s">
        <v>713</v>
      </c>
      <c r="V14" s="28">
        <v>-80</v>
      </c>
      <c r="W14" s="6" t="s">
        <v>127</v>
      </c>
      <c r="X14" s="39" t="s">
        <v>651</v>
      </c>
      <c r="Y14" s="26">
        <v>50000</v>
      </c>
    </row>
    <row r="15" spans="2:25" x14ac:dyDescent="0.3">
      <c r="G15" s="6"/>
      <c r="H15" s="39"/>
      <c r="I15" s="28"/>
      <c r="J15" s="6" t="s">
        <v>116</v>
      </c>
      <c r="K15" s="39" t="s">
        <v>177</v>
      </c>
      <c r="L15" s="28">
        <v>-13000</v>
      </c>
      <c r="M15" s="6" t="s">
        <v>127</v>
      </c>
      <c r="N15" s="39" t="s">
        <v>657</v>
      </c>
      <c r="O15" s="26">
        <v>100000</v>
      </c>
      <c r="P15" s="5"/>
      <c r="Q15" s="6" t="s">
        <v>112</v>
      </c>
      <c r="R15" s="39" t="s">
        <v>237</v>
      </c>
      <c r="S15" s="28">
        <v>0</v>
      </c>
      <c r="T15" s="6" t="s">
        <v>117</v>
      </c>
      <c r="U15" s="39" t="s">
        <v>726</v>
      </c>
      <c r="V15" s="28">
        <v>-5864000</v>
      </c>
      <c r="W15" s="6" t="s">
        <v>145</v>
      </c>
      <c r="X15" s="39" t="s">
        <v>708</v>
      </c>
      <c r="Y15" s="26">
        <v>100000</v>
      </c>
    </row>
    <row r="16" spans="2:25" x14ac:dyDescent="0.3">
      <c r="G16" s="6"/>
      <c r="H16" s="39"/>
      <c r="I16" s="28"/>
      <c r="J16" s="6" t="s">
        <v>120</v>
      </c>
      <c r="K16" s="39" t="s">
        <v>535</v>
      </c>
      <c r="L16" s="28">
        <v>-9700</v>
      </c>
      <c r="M16" s="6" t="s">
        <v>127</v>
      </c>
      <c r="N16" s="39" t="s">
        <v>658</v>
      </c>
      <c r="O16" s="26">
        <v>50000</v>
      </c>
      <c r="P16" s="5"/>
      <c r="Q16" s="6"/>
      <c r="R16" s="39"/>
      <c r="S16" s="28"/>
      <c r="T16" s="6" t="s">
        <v>148</v>
      </c>
      <c r="U16" s="39" t="s">
        <v>738</v>
      </c>
      <c r="V16" s="28">
        <v>-814299</v>
      </c>
      <c r="W16" s="6" t="s">
        <v>127</v>
      </c>
      <c r="X16" s="39" t="s">
        <v>495</v>
      </c>
      <c r="Y16" s="26">
        <v>-94000</v>
      </c>
    </row>
    <row r="17" spans="2:25" x14ac:dyDescent="0.3">
      <c r="G17" s="6"/>
      <c r="H17" s="39"/>
      <c r="I17" s="28"/>
      <c r="J17" s="6" t="s">
        <v>115</v>
      </c>
      <c r="K17" s="39" t="s">
        <v>141</v>
      </c>
      <c r="L17" s="28">
        <v>-83380</v>
      </c>
      <c r="M17" s="6" t="s">
        <v>127</v>
      </c>
      <c r="N17" s="39" t="s">
        <v>659</v>
      </c>
      <c r="O17" s="26">
        <v>100000</v>
      </c>
      <c r="P17" s="5"/>
      <c r="Q17" s="6"/>
      <c r="R17" s="39"/>
      <c r="S17" s="28"/>
      <c r="T17" s="6" t="s">
        <v>138</v>
      </c>
      <c r="U17" s="39" t="s">
        <v>739</v>
      </c>
      <c r="V17" s="28">
        <v>-48252</v>
      </c>
      <c r="W17" s="6" t="s">
        <v>127</v>
      </c>
      <c r="X17" s="39" t="s">
        <v>709</v>
      </c>
      <c r="Y17" s="26">
        <v>100000</v>
      </c>
    </row>
    <row r="18" spans="2:25" x14ac:dyDescent="0.3">
      <c r="G18" s="6"/>
      <c r="H18" s="39"/>
      <c r="I18" s="28"/>
      <c r="J18" s="6" t="s">
        <v>119</v>
      </c>
      <c r="K18" s="39" t="s">
        <v>361</v>
      </c>
      <c r="L18" s="28">
        <v>-81800</v>
      </c>
      <c r="M18" s="6" t="s">
        <v>127</v>
      </c>
      <c r="N18" s="39" t="s">
        <v>660</v>
      </c>
      <c r="O18" s="26">
        <v>50000</v>
      </c>
      <c r="P18" s="5"/>
      <c r="Q18" s="6"/>
      <c r="R18" s="39"/>
      <c r="S18" s="28"/>
      <c r="T18" s="6" t="s">
        <v>126</v>
      </c>
      <c r="U18" s="39" t="s">
        <v>740</v>
      </c>
      <c r="V18" s="28">
        <v>-11163</v>
      </c>
      <c r="W18" s="6" t="s">
        <v>127</v>
      </c>
      <c r="X18" s="39" t="s">
        <v>710</v>
      </c>
      <c r="Y18" s="26">
        <v>100000</v>
      </c>
    </row>
    <row r="19" spans="2:25" x14ac:dyDescent="0.3">
      <c r="G19" s="6"/>
      <c r="H19" s="39"/>
      <c r="I19" s="28"/>
      <c r="J19" s="6" t="s">
        <v>120</v>
      </c>
      <c r="K19" s="39" t="s">
        <v>652</v>
      </c>
      <c r="L19" s="28">
        <v>-21000</v>
      </c>
      <c r="M19" s="6" t="s">
        <v>127</v>
      </c>
      <c r="N19" s="39" t="s">
        <v>662</v>
      </c>
      <c r="O19" s="26">
        <v>50000</v>
      </c>
      <c r="P19" s="5"/>
      <c r="Q19" s="6"/>
      <c r="R19" s="39"/>
      <c r="S19" s="28"/>
      <c r="T19" s="6" t="s">
        <v>144</v>
      </c>
      <c r="U19" s="39" t="s">
        <v>263</v>
      </c>
      <c r="V19" s="28">
        <v>-321927</v>
      </c>
      <c r="W19" s="6" t="s">
        <v>127</v>
      </c>
      <c r="X19" s="39" t="s">
        <v>711</v>
      </c>
      <c r="Y19" s="26">
        <v>300000</v>
      </c>
    </row>
    <row r="20" spans="2:25" x14ac:dyDescent="0.3">
      <c r="G20" s="6"/>
      <c r="H20" s="39"/>
      <c r="I20" s="28"/>
      <c r="J20" s="6" t="s">
        <v>148</v>
      </c>
      <c r="K20" s="39" t="s">
        <v>391</v>
      </c>
      <c r="L20" s="28">
        <v>-100000</v>
      </c>
      <c r="M20" s="6" t="s">
        <v>127</v>
      </c>
      <c r="N20" s="39" t="s">
        <v>663</v>
      </c>
      <c r="O20" s="26">
        <v>100000</v>
      </c>
      <c r="P20" s="5"/>
      <c r="Q20" s="6"/>
      <c r="R20" s="39"/>
      <c r="S20" s="28"/>
      <c r="T20" s="6" t="s">
        <v>126</v>
      </c>
      <c r="U20" s="39" t="s">
        <v>740</v>
      </c>
      <c r="V20" s="28">
        <v>-11163</v>
      </c>
      <c r="W20" s="6" t="s">
        <v>127</v>
      </c>
      <c r="X20" s="39" t="s">
        <v>712</v>
      </c>
      <c r="Y20" s="26">
        <v>300000</v>
      </c>
    </row>
    <row r="21" spans="2:25" x14ac:dyDescent="0.3">
      <c r="G21" s="6"/>
      <c r="H21" s="39"/>
      <c r="I21" s="28"/>
      <c r="J21" s="6" t="s">
        <v>120</v>
      </c>
      <c r="K21" s="39" t="s">
        <v>655</v>
      </c>
      <c r="L21" s="28">
        <v>-43000</v>
      </c>
      <c r="M21" s="6" t="s">
        <v>114</v>
      </c>
      <c r="N21" s="39" t="s">
        <v>664</v>
      </c>
      <c r="O21" s="26">
        <v>50000</v>
      </c>
      <c r="P21" s="5"/>
      <c r="Q21" s="6"/>
      <c r="R21" s="39"/>
      <c r="S21" s="28"/>
      <c r="T21" s="6" t="s">
        <v>128</v>
      </c>
      <c r="U21" s="39" t="s">
        <v>741</v>
      </c>
      <c r="V21" s="28">
        <v>-6125</v>
      </c>
      <c r="W21" s="6" t="s">
        <v>80</v>
      </c>
      <c r="X21" s="39" t="s">
        <v>714</v>
      </c>
      <c r="Y21" s="26">
        <v>50000</v>
      </c>
    </row>
    <row r="22" spans="2:25" x14ac:dyDescent="0.3">
      <c r="G22" s="6"/>
      <c r="H22" s="39"/>
      <c r="I22" s="28"/>
      <c r="J22" s="6" t="s">
        <v>116</v>
      </c>
      <c r="K22" s="39" t="s">
        <v>656</v>
      </c>
      <c r="L22" s="28">
        <v>-9300</v>
      </c>
      <c r="M22" s="6" t="s">
        <v>127</v>
      </c>
      <c r="N22" s="39" t="s">
        <v>665</v>
      </c>
      <c r="O22" s="26">
        <v>30000</v>
      </c>
      <c r="P22" s="5"/>
      <c r="Q22" s="6"/>
      <c r="R22" s="39"/>
      <c r="S22" s="28"/>
      <c r="T22" s="6" t="s">
        <v>137</v>
      </c>
      <c r="U22" s="39" t="s">
        <v>744</v>
      </c>
      <c r="V22" s="28">
        <v>-25752</v>
      </c>
      <c r="W22" s="6" t="s">
        <v>127</v>
      </c>
      <c r="X22" s="39" t="s">
        <v>715</v>
      </c>
      <c r="Y22" s="26">
        <v>50000</v>
      </c>
    </row>
    <row r="23" spans="2:25" x14ac:dyDescent="0.3">
      <c r="G23" s="6"/>
      <c r="H23" s="39"/>
      <c r="I23" s="28"/>
      <c r="J23" s="6" t="s">
        <v>128</v>
      </c>
      <c r="K23" s="39" t="s">
        <v>587</v>
      </c>
      <c r="L23" s="28">
        <v>-28000</v>
      </c>
      <c r="M23" s="6" t="s">
        <v>114</v>
      </c>
      <c r="N23" s="39" t="s">
        <v>666</v>
      </c>
      <c r="O23" s="26">
        <v>50000</v>
      </c>
      <c r="P23" s="5"/>
      <c r="Q23" s="6"/>
      <c r="R23" s="39"/>
      <c r="S23" s="28"/>
      <c r="T23" s="6" t="s">
        <v>137</v>
      </c>
      <c r="U23" s="39" t="s">
        <v>745</v>
      </c>
      <c r="V23" s="28">
        <v>-11019</v>
      </c>
      <c r="W23" s="6" t="s">
        <v>127</v>
      </c>
      <c r="X23" s="39" t="s">
        <v>716</v>
      </c>
      <c r="Y23" s="26">
        <v>50000</v>
      </c>
    </row>
    <row r="24" spans="2:25" x14ac:dyDescent="0.3">
      <c r="G24" s="6"/>
      <c r="H24" s="39"/>
      <c r="I24" s="28"/>
      <c r="J24" s="6" t="s">
        <v>119</v>
      </c>
      <c r="K24" s="39" t="s">
        <v>193</v>
      </c>
      <c r="L24" s="28">
        <v>-60000</v>
      </c>
      <c r="M24" s="6" t="s">
        <v>133</v>
      </c>
      <c r="N24" s="39" t="s">
        <v>667</v>
      </c>
      <c r="O24" s="26">
        <v>-6620000</v>
      </c>
      <c r="P24" s="5"/>
      <c r="Q24" s="6"/>
      <c r="R24" s="39"/>
      <c r="S24" s="28"/>
      <c r="T24" s="6" t="s">
        <v>137</v>
      </c>
      <c r="U24" s="39" t="s">
        <v>746</v>
      </c>
      <c r="V24" s="28">
        <v>-36354</v>
      </c>
      <c r="W24" s="6" t="s">
        <v>127</v>
      </c>
      <c r="X24" s="39" t="s">
        <v>717</v>
      </c>
      <c r="Y24" s="26">
        <v>100000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129</v>
      </c>
      <c r="K25" s="39" t="s">
        <v>351</v>
      </c>
      <c r="L25" s="28">
        <v>-4150</v>
      </c>
      <c r="M25" s="6" t="s">
        <v>127</v>
      </c>
      <c r="N25" s="39" t="s">
        <v>668</v>
      </c>
      <c r="O25" s="26">
        <v>100000</v>
      </c>
      <c r="P25" s="5"/>
      <c r="Q25" s="6"/>
      <c r="R25" s="39"/>
      <c r="S25" s="28"/>
      <c r="T25" s="6" t="s">
        <v>116</v>
      </c>
      <c r="U25" s="39" t="s">
        <v>747</v>
      </c>
      <c r="V25" s="28">
        <v>-15902</v>
      </c>
      <c r="W25" s="6" t="s">
        <v>127</v>
      </c>
      <c r="X25" s="39" t="s">
        <v>659</v>
      </c>
      <c r="Y25" s="26">
        <v>100000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129</v>
      </c>
      <c r="K26" s="39" t="s">
        <v>680</v>
      </c>
      <c r="L26" s="28">
        <v>-1600</v>
      </c>
      <c r="M26" s="6" t="s">
        <v>127</v>
      </c>
      <c r="N26" s="39" t="s">
        <v>669</v>
      </c>
      <c r="O26" s="26">
        <v>50000</v>
      </c>
      <c r="P26" s="5"/>
      <c r="Q26" s="6"/>
      <c r="R26" s="39"/>
      <c r="S26" s="28"/>
      <c r="T26" s="6" t="s">
        <v>118</v>
      </c>
      <c r="U26" s="39" t="s">
        <v>275</v>
      </c>
      <c r="V26" s="28">
        <v>-16500</v>
      </c>
      <c r="W26" s="6" t="s">
        <v>127</v>
      </c>
      <c r="X26" s="39" t="s">
        <v>718</v>
      </c>
      <c r="Y26" s="26">
        <v>200000</v>
      </c>
    </row>
    <row r="27" spans="2:25" x14ac:dyDescent="0.3">
      <c r="B27" s="48" t="s">
        <v>115</v>
      </c>
      <c r="C27" s="131">
        <f>-(SUMIF($J$7:$J$88,B27,$L$7:$L$88)+SUMIF($T$7:$T$88,B27,$V$7:$V$88))</f>
        <v>180119500</v>
      </c>
      <c r="D27" s="99"/>
      <c r="E27" s="100"/>
      <c r="G27" s="6"/>
      <c r="H27" s="39"/>
      <c r="I27" s="28"/>
      <c r="J27" s="6" t="s">
        <v>148</v>
      </c>
      <c r="K27" s="39" t="s">
        <v>595</v>
      </c>
      <c r="L27" s="28">
        <v>-274600</v>
      </c>
      <c r="M27" s="6" t="s">
        <v>127</v>
      </c>
      <c r="N27" s="39" t="s">
        <v>670</v>
      </c>
      <c r="O27" s="26">
        <v>70000</v>
      </c>
      <c r="P27" s="5"/>
      <c r="Q27" s="6"/>
      <c r="R27" s="39"/>
      <c r="S27" s="28"/>
      <c r="T27" s="6" t="s">
        <v>118</v>
      </c>
      <c r="U27" s="39" t="s">
        <v>275</v>
      </c>
      <c r="V27" s="28">
        <v>-16150</v>
      </c>
      <c r="W27" s="6" t="s">
        <v>114</v>
      </c>
      <c r="X27" s="39" t="s">
        <v>719</v>
      </c>
      <c r="Y27" s="26">
        <v>100000</v>
      </c>
    </row>
    <row r="28" spans="2:25" x14ac:dyDescent="0.3">
      <c r="B28" s="49" t="s">
        <v>116</v>
      </c>
      <c r="C28" s="131">
        <f>-(SUMIF($J$7:$J$88,B28,$L$7:$L$88)+SUMIF($T$7:$T$88,B28,$V$7:$V$88))</f>
        <v>400317</v>
      </c>
      <c r="D28" s="99"/>
      <c r="E28" s="100"/>
      <c r="G28" s="6"/>
      <c r="H28" s="39"/>
      <c r="I28" s="28"/>
      <c r="J28" s="6" t="s">
        <v>118</v>
      </c>
      <c r="K28" s="39" t="s">
        <v>130</v>
      </c>
      <c r="L28" s="28">
        <v>-16500</v>
      </c>
      <c r="M28" s="6" t="s">
        <v>145</v>
      </c>
      <c r="N28" s="39" t="s">
        <v>671</v>
      </c>
      <c r="O28" s="26">
        <v>150000</v>
      </c>
      <c r="P28" s="5"/>
      <c r="Q28" s="6"/>
      <c r="R28" s="39"/>
      <c r="S28" s="28"/>
      <c r="T28" s="6" t="s">
        <v>125</v>
      </c>
      <c r="U28" s="39" t="s">
        <v>748</v>
      </c>
      <c r="V28" s="28">
        <v>-27361</v>
      </c>
      <c r="W28" s="6" t="s">
        <v>127</v>
      </c>
      <c r="X28" s="39" t="s">
        <v>720</v>
      </c>
      <c r="Y28" s="26">
        <v>100000</v>
      </c>
    </row>
    <row r="29" spans="2:25" x14ac:dyDescent="0.3">
      <c r="B29" s="49" t="s">
        <v>120</v>
      </c>
      <c r="C29" s="131">
        <f>-(SUMIF($J$7:$J$88,B29,$L$7:$L$88)+SUMIF($T$7:$T$88,B29,$V$7:$V$88))</f>
        <v>142900</v>
      </c>
      <c r="D29" s="99"/>
      <c r="E29" s="100"/>
      <c r="G29" s="6"/>
      <c r="H29" s="39"/>
      <c r="I29" s="28"/>
      <c r="J29" s="6" t="s">
        <v>119</v>
      </c>
      <c r="K29" s="39" t="s">
        <v>379</v>
      </c>
      <c r="L29" s="28">
        <v>-50000</v>
      </c>
      <c r="M29" s="6" t="s">
        <v>127</v>
      </c>
      <c r="N29" s="39" t="s">
        <v>672</v>
      </c>
      <c r="O29" s="26">
        <v>200000</v>
      </c>
      <c r="P29" s="5"/>
      <c r="Q29" s="6"/>
      <c r="R29" s="39"/>
      <c r="S29" s="28"/>
      <c r="T29" s="6" t="s">
        <v>117</v>
      </c>
      <c r="U29" s="39" t="s">
        <v>749</v>
      </c>
      <c r="V29" s="28">
        <v>-83844</v>
      </c>
      <c r="W29" s="6" t="s">
        <v>145</v>
      </c>
      <c r="X29" s="39" t="s">
        <v>721</v>
      </c>
      <c r="Y29" s="26">
        <v>50000</v>
      </c>
    </row>
    <row r="30" spans="2:25" x14ac:dyDescent="0.3">
      <c r="B30" s="49" t="s">
        <v>118</v>
      </c>
      <c r="C30" s="131">
        <f>-(SUMIF($J$7:$J$88,B30,$L$7:$L$88)+SUMIF($T$7:$T$88,B30,$V$7:$V$88))</f>
        <v>654550</v>
      </c>
      <c r="D30" s="99"/>
      <c r="E30" s="100"/>
      <c r="G30" s="6"/>
      <c r="H30" s="39"/>
      <c r="I30" s="28"/>
      <c r="J30" s="6" t="s">
        <v>146</v>
      </c>
      <c r="K30" s="39" t="s">
        <v>684</v>
      </c>
      <c r="L30" s="28">
        <v>-73257</v>
      </c>
      <c r="M30" s="6" t="s">
        <v>127</v>
      </c>
      <c r="N30" s="39" t="s">
        <v>673</v>
      </c>
      <c r="O30" s="26">
        <v>300000</v>
      </c>
      <c r="P30" s="5"/>
      <c r="Q30" s="6"/>
      <c r="R30" s="39"/>
      <c r="S30" s="28"/>
      <c r="T30" s="6" t="s">
        <v>138</v>
      </c>
      <c r="U30" s="39" t="s">
        <v>750</v>
      </c>
      <c r="V30" s="28">
        <v>-319725</v>
      </c>
      <c r="W30" s="6" t="s">
        <v>114</v>
      </c>
      <c r="X30" s="39" t="s">
        <v>722</v>
      </c>
      <c r="Y30" s="26">
        <v>50000</v>
      </c>
    </row>
    <row r="31" spans="2:25" x14ac:dyDescent="0.3">
      <c r="B31" s="49" t="s">
        <v>122</v>
      </c>
      <c r="C31" s="131">
        <f>-(SUMIF($J$7:$J$88,B31,$L$7:$L$88)+SUMIF($T$7:$T$88,B31,$V$7:$V$88))</f>
        <v>141920</v>
      </c>
      <c r="D31" s="99"/>
      <c r="E31" s="100"/>
      <c r="G31" s="6"/>
      <c r="H31" s="39"/>
      <c r="I31" s="28"/>
      <c r="J31" s="6" t="s">
        <v>119</v>
      </c>
      <c r="K31" s="39" t="s">
        <v>685</v>
      </c>
      <c r="L31" s="28">
        <v>-35950</v>
      </c>
      <c r="M31" s="6" t="s">
        <v>127</v>
      </c>
      <c r="N31" s="39" t="s">
        <v>674</v>
      </c>
      <c r="O31" s="26">
        <v>100000</v>
      </c>
      <c r="P31" s="5"/>
      <c r="Q31" s="6"/>
      <c r="R31" s="39"/>
      <c r="S31" s="28"/>
      <c r="T31" s="6" t="s">
        <v>138</v>
      </c>
      <c r="U31" s="39" t="s">
        <v>751</v>
      </c>
      <c r="V31" s="28">
        <v>-245942</v>
      </c>
      <c r="W31" s="6" t="s">
        <v>127</v>
      </c>
      <c r="X31" s="39" t="s">
        <v>665</v>
      </c>
      <c r="Y31" s="26">
        <v>30000</v>
      </c>
    </row>
    <row r="32" spans="2:25" x14ac:dyDescent="0.3">
      <c r="B32" s="49" t="s">
        <v>119</v>
      </c>
      <c r="C32" s="131">
        <f>-(SUMIF($J$7:$J$88,B32,$L$7:$L$88)+SUMIF($T$7:$T$88,B32,$V$7:$V$88))</f>
        <v>609720</v>
      </c>
      <c r="D32" s="99"/>
      <c r="E32" s="100"/>
      <c r="G32" s="6"/>
      <c r="H32" s="39"/>
      <c r="I32" s="28"/>
      <c r="J32" s="6" t="s">
        <v>129</v>
      </c>
      <c r="K32" s="39" t="s">
        <v>686</v>
      </c>
      <c r="L32" s="28">
        <v>-100</v>
      </c>
      <c r="M32" s="6" t="s">
        <v>127</v>
      </c>
      <c r="N32" s="39" t="s">
        <v>675</v>
      </c>
      <c r="O32" s="26">
        <v>50000</v>
      </c>
      <c r="P32" s="5"/>
      <c r="Q32" s="6"/>
      <c r="R32" s="39"/>
      <c r="S32" s="28"/>
      <c r="T32" s="6" t="s">
        <v>138</v>
      </c>
      <c r="U32" s="39" t="s">
        <v>752</v>
      </c>
      <c r="V32" s="28">
        <v>-23057</v>
      </c>
      <c r="W32" s="6" t="s">
        <v>114</v>
      </c>
      <c r="X32" s="39" t="s">
        <v>723</v>
      </c>
      <c r="Y32" s="26">
        <v>50000</v>
      </c>
    </row>
    <row r="33" spans="2:25" x14ac:dyDescent="0.3">
      <c r="B33" s="49" t="s">
        <v>129</v>
      </c>
      <c r="C33" s="131">
        <f>-(SUMIF($J$7:$J$88,B33,$L$7:$L$88)+SUMIF($T$7:$T$88,B33,$V$7:$V$88))</f>
        <v>5890</v>
      </c>
      <c r="D33" s="99"/>
      <c r="E33" s="100"/>
      <c r="G33" s="6"/>
      <c r="H33" s="39"/>
      <c r="I33" s="28"/>
      <c r="J33" s="6" t="s">
        <v>129</v>
      </c>
      <c r="K33" s="39" t="s">
        <v>686</v>
      </c>
      <c r="L33" s="28">
        <v>100</v>
      </c>
      <c r="M33" s="6" t="s">
        <v>145</v>
      </c>
      <c r="N33" s="39">
        <v>204858040071</v>
      </c>
      <c r="O33" s="26">
        <v>4250000</v>
      </c>
      <c r="P33" s="5"/>
      <c r="Q33" s="6"/>
      <c r="R33" s="39"/>
      <c r="S33" s="28"/>
      <c r="T33" s="6" t="s">
        <v>125</v>
      </c>
      <c r="U33" s="39" t="s">
        <v>753</v>
      </c>
      <c r="V33" s="28">
        <v>-90048</v>
      </c>
      <c r="W33" s="6" t="s">
        <v>114</v>
      </c>
      <c r="X33" s="39" t="s">
        <v>724</v>
      </c>
      <c r="Y33" s="26">
        <v>100000</v>
      </c>
    </row>
    <row r="34" spans="2:25" x14ac:dyDescent="0.3">
      <c r="B34" s="49" t="s">
        <v>125</v>
      </c>
      <c r="C34" s="131">
        <f>-(SUMIF($J$7:$J$88,B34,$L$7:$L$88)+SUMIF($T$7:$T$88,B34,$V$7:$V$88))</f>
        <v>167963</v>
      </c>
      <c r="D34" s="99"/>
      <c r="E34" s="100"/>
      <c r="G34" s="6"/>
      <c r="H34" s="39"/>
      <c r="I34" s="28"/>
      <c r="J34" s="6" t="s">
        <v>118</v>
      </c>
      <c r="K34" s="39" t="s">
        <v>224</v>
      </c>
      <c r="L34" s="28">
        <v>-40490</v>
      </c>
      <c r="M34" s="6" t="s">
        <v>145</v>
      </c>
      <c r="N34" s="39">
        <v>204858040073</v>
      </c>
      <c r="O34" s="26">
        <v>5500000</v>
      </c>
      <c r="P34" s="5"/>
      <c r="Q34" s="6"/>
      <c r="R34" s="39"/>
      <c r="S34" s="28"/>
      <c r="T34" s="6" t="s">
        <v>144</v>
      </c>
      <c r="U34" s="39" t="s">
        <v>260</v>
      </c>
      <c r="V34" s="28">
        <v>-23790</v>
      </c>
      <c r="W34" s="6" t="s">
        <v>114</v>
      </c>
      <c r="X34" s="39" t="s">
        <v>725</v>
      </c>
      <c r="Y34" s="26">
        <v>50000</v>
      </c>
    </row>
    <row r="35" spans="2:25" x14ac:dyDescent="0.3">
      <c r="B35" s="49" t="s">
        <v>148</v>
      </c>
      <c r="C35" s="131">
        <f>-(SUMIF($J$7:$J$88,B35,$L$7:$L$88)+SUMIF($T$7:$T$88,B35,$V$7:$V$88))</f>
        <v>2435737</v>
      </c>
      <c r="D35" s="99"/>
      <c r="E35" s="100"/>
      <c r="G35" s="6"/>
      <c r="H35" s="39"/>
      <c r="I35" s="28"/>
      <c r="J35" s="6" t="s">
        <v>119</v>
      </c>
      <c r="K35" s="39" t="s">
        <v>193</v>
      </c>
      <c r="L35" s="28">
        <v>-60000</v>
      </c>
      <c r="M35" s="6" t="s">
        <v>145</v>
      </c>
      <c r="N35" s="39">
        <v>204858040075</v>
      </c>
      <c r="O35" s="26">
        <v>3700000</v>
      </c>
      <c r="P35" s="5"/>
      <c r="Q35" s="6"/>
      <c r="R35" s="39"/>
      <c r="S35" s="28"/>
      <c r="T35" s="6" t="s">
        <v>148</v>
      </c>
      <c r="U35" s="39" t="s">
        <v>755</v>
      </c>
      <c r="V35" s="28">
        <v>-48284</v>
      </c>
      <c r="W35" s="6" t="s">
        <v>144</v>
      </c>
      <c r="X35" s="39" t="s">
        <v>727</v>
      </c>
      <c r="Y35" s="26">
        <v>-200000</v>
      </c>
    </row>
    <row r="36" spans="2:25" x14ac:dyDescent="0.3">
      <c r="B36" s="49" t="s">
        <v>117</v>
      </c>
      <c r="C36" s="131">
        <f>-(SUMIF($J$7:$J$88,B36,$L$7:$L$88)+SUMIF($T$7:$T$88,B36,$V$7:$V$88))</f>
        <v>6201423</v>
      </c>
      <c r="D36" s="99"/>
      <c r="E36" s="100"/>
      <c r="G36" s="6"/>
      <c r="H36" s="39"/>
      <c r="I36" s="28"/>
      <c r="J36" s="6" t="s">
        <v>116</v>
      </c>
      <c r="K36" s="39" t="s">
        <v>190</v>
      </c>
      <c r="L36" s="28">
        <v>-4200</v>
      </c>
      <c r="M36" s="6" t="s">
        <v>145</v>
      </c>
      <c r="N36" s="39">
        <v>204858040077</v>
      </c>
      <c r="O36" s="26">
        <v>770000</v>
      </c>
      <c r="P36" s="5"/>
      <c r="Q36" s="6"/>
      <c r="R36" s="39"/>
      <c r="S36" s="28"/>
      <c r="T36" s="6" t="s">
        <v>137</v>
      </c>
      <c r="U36" s="39" t="s">
        <v>756</v>
      </c>
      <c r="V36" s="28">
        <v>-92815</v>
      </c>
      <c r="W36" s="6" t="s">
        <v>127</v>
      </c>
      <c r="X36" s="39" t="s">
        <v>662</v>
      </c>
      <c r="Y36" s="26">
        <v>100000</v>
      </c>
    </row>
    <row r="37" spans="2:25" x14ac:dyDescent="0.3">
      <c r="B37" s="49" t="s">
        <v>128</v>
      </c>
      <c r="C37" s="131">
        <f>-(SUMIF($J$7:$J$88,B37,$L$7:$L$88)+SUMIF($T$7:$T$88,B37,$V$7:$V$88))</f>
        <v>113259</v>
      </c>
      <c r="D37" s="99"/>
      <c r="E37" s="100"/>
      <c r="G37" s="6"/>
      <c r="H37" s="39"/>
      <c r="I37" s="28"/>
      <c r="J37" s="6" t="s">
        <v>120</v>
      </c>
      <c r="K37" s="39" t="s">
        <v>687</v>
      </c>
      <c r="L37" s="28">
        <v>-1300</v>
      </c>
      <c r="M37" s="6" t="s">
        <v>114</v>
      </c>
      <c r="N37" s="39" t="s">
        <v>676</v>
      </c>
      <c r="O37" s="26">
        <v>50000</v>
      </c>
      <c r="P37" s="5"/>
      <c r="Q37" s="6"/>
      <c r="R37" s="39"/>
      <c r="S37" s="28"/>
      <c r="T37" s="6" t="s">
        <v>138</v>
      </c>
      <c r="U37" s="39" t="s">
        <v>757</v>
      </c>
      <c r="V37" s="28">
        <v>-41922</v>
      </c>
      <c r="W37" s="6" t="s">
        <v>127</v>
      </c>
      <c r="X37" s="39" t="s">
        <v>728</v>
      </c>
      <c r="Y37" s="26">
        <v>100000</v>
      </c>
    </row>
    <row r="38" spans="2:25" x14ac:dyDescent="0.3">
      <c r="B38" s="49" t="s">
        <v>146</v>
      </c>
      <c r="C38" s="131">
        <f>-(SUMIF($J$7:$J$88,B38,$L$7:$L$88)+SUMIF($T$7:$T$88,B38,$V$7:$V$88))</f>
        <v>268227</v>
      </c>
      <c r="D38" s="99"/>
      <c r="E38" s="100"/>
      <c r="G38" s="6"/>
      <c r="H38" s="39"/>
      <c r="I38" s="28"/>
      <c r="J38" s="6" t="s">
        <v>157</v>
      </c>
      <c r="K38" s="39" t="s">
        <v>688</v>
      </c>
      <c r="L38" s="28">
        <v>-114400</v>
      </c>
      <c r="M38" s="6" t="s">
        <v>127</v>
      </c>
      <c r="N38" s="39" t="s">
        <v>677</v>
      </c>
      <c r="O38" s="26">
        <v>100000</v>
      </c>
      <c r="P38" s="5"/>
      <c r="Q38" s="6"/>
      <c r="R38" s="39"/>
      <c r="S38" s="28"/>
      <c r="T38" s="6" t="s">
        <v>137</v>
      </c>
      <c r="U38" s="39" t="s">
        <v>758</v>
      </c>
      <c r="V38" s="28">
        <v>-21366</v>
      </c>
      <c r="W38" s="6" t="s">
        <v>127</v>
      </c>
      <c r="X38" s="39" t="s">
        <v>729</v>
      </c>
      <c r="Y38" s="26">
        <v>150000</v>
      </c>
    </row>
    <row r="39" spans="2:25" x14ac:dyDescent="0.3">
      <c r="B39" s="49" t="s">
        <v>134</v>
      </c>
      <c r="C39" s="131">
        <f>-(SUMIF($J$7:$J$88,B39,$L$7:$L$88)+SUMIF($T$7:$T$88,B39,$V$7:$V$88))</f>
        <v>0</v>
      </c>
      <c r="D39" s="99"/>
      <c r="E39" s="100"/>
      <c r="G39" s="6"/>
      <c r="H39" s="39"/>
      <c r="I39" s="28"/>
      <c r="J39" s="6" t="s">
        <v>116</v>
      </c>
      <c r="K39" s="39" t="s">
        <v>124</v>
      </c>
      <c r="L39" s="28">
        <v>-160000</v>
      </c>
      <c r="M39" s="6" t="s">
        <v>145</v>
      </c>
      <c r="N39" s="39" t="s">
        <v>678</v>
      </c>
      <c r="O39" s="26">
        <v>300000</v>
      </c>
      <c r="P39" s="5"/>
      <c r="Q39" s="6"/>
      <c r="R39" s="39"/>
      <c r="S39" s="28"/>
      <c r="T39" s="6" t="s">
        <v>117</v>
      </c>
      <c r="U39" s="39" t="s">
        <v>759</v>
      </c>
      <c r="V39" s="28">
        <v>-20541</v>
      </c>
      <c r="W39" s="6" t="s">
        <v>127</v>
      </c>
      <c r="X39" s="39" t="s">
        <v>131</v>
      </c>
      <c r="Y39" s="26">
        <v>-30000</v>
      </c>
    </row>
    <row r="40" spans="2:25" x14ac:dyDescent="0.3">
      <c r="B40" s="49" t="s">
        <v>157</v>
      </c>
      <c r="C40" s="131">
        <f>-(SUMIF($J$7:$J$88,B40,$L$7:$L$88)+SUMIF($T$7:$T$88,B40,$V$7:$V$88))</f>
        <v>114400</v>
      </c>
      <c r="D40" s="99"/>
      <c r="E40" s="100"/>
      <c r="G40" s="6"/>
      <c r="H40" s="39"/>
      <c r="I40" s="28"/>
      <c r="J40" s="6" t="s">
        <v>115</v>
      </c>
      <c r="K40" s="39" t="s">
        <v>246</v>
      </c>
      <c r="L40" s="28">
        <v>-36120</v>
      </c>
      <c r="M40" s="6" t="s">
        <v>127</v>
      </c>
      <c r="N40" s="39" t="s">
        <v>681</v>
      </c>
      <c r="O40" s="26">
        <v>-53133</v>
      </c>
      <c r="P40" s="5"/>
      <c r="Q40" s="6"/>
      <c r="R40" s="39"/>
      <c r="S40" s="28"/>
      <c r="T40" s="6" t="s">
        <v>119</v>
      </c>
      <c r="U40" s="39" t="s">
        <v>141</v>
      </c>
      <c r="V40" s="28">
        <v>-12590</v>
      </c>
      <c r="W40" s="6" t="s">
        <v>127</v>
      </c>
      <c r="X40" s="39" t="s">
        <v>670</v>
      </c>
      <c r="Y40" s="26">
        <v>70000</v>
      </c>
    </row>
    <row r="41" spans="2:25" x14ac:dyDescent="0.3">
      <c r="B41" s="49" t="s">
        <v>126</v>
      </c>
      <c r="C41" s="131">
        <f>-(SUMIF($J$7:$J$88,B41,$L$7:$L$88)+SUMIF($T$7:$T$88,B41,$V$7:$V$88))</f>
        <v>22326</v>
      </c>
      <c r="D41" s="99"/>
      <c r="E41" s="100"/>
      <c r="G41" s="6"/>
      <c r="H41" s="39"/>
      <c r="I41" s="28"/>
      <c r="J41" s="6" t="s">
        <v>116</v>
      </c>
      <c r="K41" s="39" t="s">
        <v>689</v>
      </c>
      <c r="L41" s="28">
        <v>-3000</v>
      </c>
      <c r="M41" s="6" t="s">
        <v>114</v>
      </c>
      <c r="N41" s="39" t="s">
        <v>682</v>
      </c>
      <c r="O41" s="26">
        <v>400000</v>
      </c>
      <c r="P41" s="5"/>
      <c r="Q41" s="6"/>
      <c r="R41" s="39"/>
      <c r="S41" s="28"/>
      <c r="T41" s="6" t="s">
        <v>128</v>
      </c>
      <c r="U41" s="39" t="s">
        <v>741</v>
      </c>
      <c r="V41" s="28">
        <v>-79134</v>
      </c>
      <c r="W41" s="6" t="s">
        <v>127</v>
      </c>
      <c r="X41" s="39" t="s">
        <v>274</v>
      </c>
      <c r="Y41" s="26">
        <v>6670000</v>
      </c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119</v>
      </c>
      <c r="K42" s="39" t="s">
        <v>193</v>
      </c>
      <c r="L42" s="28">
        <v>-50000</v>
      </c>
      <c r="M42" s="6" t="s">
        <v>127</v>
      </c>
      <c r="N42" s="39" t="s">
        <v>683</v>
      </c>
      <c r="O42" s="26">
        <v>100000</v>
      </c>
      <c r="P42" s="5"/>
      <c r="Q42" s="6"/>
      <c r="R42" s="39"/>
      <c r="S42" s="28"/>
      <c r="T42" s="6" t="s">
        <v>148</v>
      </c>
      <c r="U42" s="39" t="s">
        <v>760</v>
      </c>
      <c r="V42" s="28">
        <v>-97818</v>
      </c>
      <c r="W42" s="6" t="s">
        <v>127</v>
      </c>
      <c r="X42" s="39" t="s">
        <v>730</v>
      </c>
      <c r="Y42" s="26">
        <v>100000</v>
      </c>
    </row>
    <row r="43" spans="2:25" x14ac:dyDescent="0.3">
      <c r="B43" s="49" t="s">
        <v>137</v>
      </c>
      <c r="C43" s="131">
        <f>-(SUMIF($J$7:$J$88,B43,$L$7:$L$88)+SUMIF($T$7:$T$88,B43,$V$7:$V$88))</f>
        <v>516164</v>
      </c>
      <c r="D43" s="99"/>
      <c r="E43" s="100"/>
      <c r="G43" s="6"/>
      <c r="H43" s="39"/>
      <c r="I43" s="28"/>
      <c r="J43" s="6" t="s">
        <v>125</v>
      </c>
      <c r="K43" s="39" t="s">
        <v>693</v>
      </c>
      <c r="L43" s="28">
        <v>-9700</v>
      </c>
      <c r="M43" s="6" t="s">
        <v>127</v>
      </c>
      <c r="N43" s="39" t="s">
        <v>131</v>
      </c>
      <c r="O43" s="26">
        <v>-2500</v>
      </c>
      <c r="P43" s="5"/>
      <c r="Q43" s="6"/>
      <c r="R43" s="39"/>
      <c r="S43" s="28"/>
      <c r="T43" s="6" t="s">
        <v>148</v>
      </c>
      <c r="U43" s="39" t="s">
        <v>761</v>
      </c>
      <c r="V43" s="28">
        <v>-786820</v>
      </c>
      <c r="W43" s="6" t="s">
        <v>127</v>
      </c>
      <c r="X43" s="39" t="s">
        <v>571</v>
      </c>
      <c r="Y43" s="26">
        <v>-600000</v>
      </c>
    </row>
    <row r="44" spans="2:25" x14ac:dyDescent="0.3">
      <c r="B44" s="49" t="s">
        <v>144</v>
      </c>
      <c r="C44" s="131">
        <f>-(SUMIF($J$7:$J$88,B44,$L$7:$L$88)+SUMIF($T$7:$T$88,B44,$V$7:$V$88))</f>
        <v>2272413</v>
      </c>
      <c r="D44" s="99"/>
      <c r="E44" s="100"/>
      <c r="G44" s="6"/>
      <c r="H44" s="39"/>
      <c r="I44" s="28"/>
      <c r="J44" s="6" t="s">
        <v>117</v>
      </c>
      <c r="K44" s="39" t="s">
        <v>695</v>
      </c>
      <c r="L44" s="28">
        <v>-7000</v>
      </c>
      <c r="M44" s="6" t="s">
        <v>133</v>
      </c>
      <c r="N44" s="39" t="s">
        <v>245</v>
      </c>
      <c r="O44" s="26">
        <v>-5750</v>
      </c>
      <c r="P44" s="5"/>
      <c r="Q44" s="6"/>
      <c r="R44" s="39"/>
      <c r="S44" s="28"/>
      <c r="T44" s="6" t="s">
        <v>137</v>
      </c>
      <c r="U44" s="39" t="s">
        <v>762</v>
      </c>
      <c r="V44" s="28">
        <v>-236879</v>
      </c>
      <c r="W44" s="6" t="s">
        <v>127</v>
      </c>
      <c r="X44" s="39" t="s">
        <v>731</v>
      </c>
      <c r="Y44" s="26">
        <v>300000</v>
      </c>
    </row>
    <row r="45" spans="2:25" x14ac:dyDescent="0.3">
      <c r="B45" s="49" t="s">
        <v>138</v>
      </c>
      <c r="C45" s="131">
        <f>-(SUMIF($J$7:$J$88,B45,$L$7:$L$88)+SUMIF($T$7:$T$88,B45,$V$7:$V$88))</f>
        <v>702628</v>
      </c>
      <c r="D45" s="99"/>
      <c r="E45" s="100"/>
      <c r="G45" s="6"/>
      <c r="H45" s="39"/>
      <c r="I45" s="28"/>
      <c r="J45" s="6" t="s">
        <v>116</v>
      </c>
      <c r="K45" s="39" t="s">
        <v>696</v>
      </c>
      <c r="L45" s="28">
        <v>-10410</v>
      </c>
      <c r="M45" s="6" t="s">
        <v>175</v>
      </c>
      <c r="N45" s="39" t="s">
        <v>200</v>
      </c>
      <c r="O45" s="26">
        <v>100000</v>
      </c>
      <c r="P45" s="5"/>
      <c r="Q45" s="6"/>
      <c r="R45" s="39"/>
      <c r="S45" s="28"/>
      <c r="T45" s="6" t="s">
        <v>148</v>
      </c>
      <c r="U45" s="39" t="s">
        <v>763</v>
      </c>
      <c r="V45" s="28">
        <v>-313916</v>
      </c>
      <c r="W45" s="6" t="s">
        <v>127</v>
      </c>
      <c r="X45" s="39" t="s">
        <v>733</v>
      </c>
      <c r="Y45" s="26">
        <v>100000</v>
      </c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115</v>
      </c>
      <c r="K46" s="39" t="s">
        <v>132</v>
      </c>
      <c r="L46" s="28">
        <v>-40000000</v>
      </c>
      <c r="M46" s="6" t="s">
        <v>175</v>
      </c>
      <c r="N46" s="39" t="s">
        <v>691</v>
      </c>
      <c r="O46" s="26">
        <v>-100000</v>
      </c>
      <c r="P46" s="5"/>
      <c r="Q46" s="6"/>
      <c r="R46" s="39"/>
      <c r="S46" s="28"/>
      <c r="T46" s="6" t="s">
        <v>144</v>
      </c>
      <c r="U46" s="39" t="s">
        <v>260</v>
      </c>
      <c r="V46" s="28">
        <v>-17120</v>
      </c>
      <c r="W46" s="6" t="s">
        <v>127</v>
      </c>
      <c r="X46" s="39" t="s">
        <v>734</v>
      </c>
      <c r="Y46" s="26">
        <v>-800000</v>
      </c>
    </row>
    <row r="47" spans="2:25" x14ac:dyDescent="0.3">
      <c r="G47" s="6"/>
      <c r="H47" s="39"/>
      <c r="I47" s="28"/>
      <c r="J47" s="6" t="s">
        <v>116</v>
      </c>
      <c r="K47" s="39" t="s">
        <v>177</v>
      </c>
      <c r="L47" s="28">
        <v>-6000</v>
      </c>
      <c r="M47" s="6" t="s">
        <v>127</v>
      </c>
      <c r="N47" s="39" t="s">
        <v>131</v>
      </c>
      <c r="O47" s="26">
        <v>-14142</v>
      </c>
      <c r="P47" s="5"/>
      <c r="Q47" s="6"/>
      <c r="R47" s="39"/>
      <c r="S47" s="28"/>
      <c r="T47" s="6" t="s">
        <v>117</v>
      </c>
      <c r="U47" s="39" t="s">
        <v>766</v>
      </c>
      <c r="V47" s="28">
        <v>-6199</v>
      </c>
      <c r="W47" s="6" t="s">
        <v>114</v>
      </c>
      <c r="X47" s="39" t="s">
        <v>735</v>
      </c>
      <c r="Y47" s="26">
        <v>50000</v>
      </c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120</v>
      </c>
      <c r="K48" s="39" t="s">
        <v>697</v>
      </c>
      <c r="L48" s="28">
        <v>-38500</v>
      </c>
      <c r="M48" s="6" t="s">
        <v>127</v>
      </c>
      <c r="N48" s="39" t="s">
        <v>692</v>
      </c>
      <c r="O48" s="26">
        <v>10000000</v>
      </c>
      <c r="P48" s="5"/>
      <c r="Q48" s="6"/>
      <c r="R48" s="39"/>
      <c r="S48" s="28"/>
      <c r="T48" s="6" t="s">
        <v>144</v>
      </c>
      <c r="U48" s="39" t="s">
        <v>263</v>
      </c>
      <c r="V48" s="28">
        <v>-137210</v>
      </c>
      <c r="W48" s="6" t="s">
        <v>144</v>
      </c>
      <c r="X48" s="39" t="s">
        <v>200</v>
      </c>
      <c r="Y48" s="26">
        <v>5000000</v>
      </c>
    </row>
    <row r="49" spans="2:25" x14ac:dyDescent="0.3">
      <c r="C49" s="51"/>
      <c r="G49" s="6"/>
      <c r="H49" s="39"/>
      <c r="I49" s="28"/>
      <c r="J49" s="6" t="s">
        <v>122</v>
      </c>
      <c r="K49" s="39" t="s">
        <v>230</v>
      </c>
      <c r="L49" s="28">
        <v>-118300</v>
      </c>
      <c r="M49" s="6" t="s">
        <v>127</v>
      </c>
      <c r="N49" s="39" t="s">
        <v>692</v>
      </c>
      <c r="O49" s="26">
        <v>10000000</v>
      </c>
      <c r="P49" s="5"/>
      <c r="Q49" s="6"/>
      <c r="R49" s="39"/>
      <c r="S49" s="28"/>
      <c r="T49" s="6" t="s">
        <v>137</v>
      </c>
      <c r="U49" s="39" t="s">
        <v>767</v>
      </c>
      <c r="V49" s="28">
        <v>-56717</v>
      </c>
      <c r="W49" s="6" t="s">
        <v>144</v>
      </c>
      <c r="X49" s="39" t="s">
        <v>200</v>
      </c>
      <c r="Y49" s="26">
        <v>1000000</v>
      </c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115</v>
      </c>
      <c r="K50" s="39" t="s">
        <v>132</v>
      </c>
      <c r="L50" s="28">
        <v>-100000000</v>
      </c>
      <c r="M50" s="6" t="s">
        <v>127</v>
      </c>
      <c r="N50" s="39" t="s">
        <v>692</v>
      </c>
      <c r="O50" s="26">
        <v>10000000</v>
      </c>
      <c r="P50" s="5"/>
      <c r="Q50" s="6"/>
      <c r="R50" s="39"/>
      <c r="S50" s="28"/>
      <c r="T50" s="6" t="s">
        <v>117</v>
      </c>
      <c r="U50" s="39" t="s">
        <v>768</v>
      </c>
      <c r="V50" s="28">
        <v>-38959</v>
      </c>
      <c r="W50" s="6" t="s">
        <v>144</v>
      </c>
      <c r="X50" s="39" t="s">
        <v>200</v>
      </c>
      <c r="Y50" s="26">
        <v>900000</v>
      </c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115</v>
      </c>
      <c r="K51" s="39" t="s">
        <v>132</v>
      </c>
      <c r="L51" s="28">
        <v>-40000000</v>
      </c>
      <c r="M51" s="6" t="s">
        <v>127</v>
      </c>
      <c r="N51" s="39" t="s">
        <v>692</v>
      </c>
      <c r="O51" s="26">
        <v>10000000</v>
      </c>
      <c r="P51" s="5"/>
      <c r="Q51" s="6"/>
      <c r="R51" s="39"/>
      <c r="S51" s="28"/>
      <c r="T51" s="6" t="s">
        <v>125</v>
      </c>
      <c r="U51" s="39" t="s">
        <v>263</v>
      </c>
      <c r="V51" s="28">
        <v>-7764</v>
      </c>
      <c r="W51" s="6" t="s">
        <v>144</v>
      </c>
      <c r="X51" s="39" t="s">
        <v>200</v>
      </c>
      <c r="Y51" s="26">
        <v>290000</v>
      </c>
    </row>
    <row r="52" spans="2:25" x14ac:dyDescent="0.3">
      <c r="B52" s="48" t="s">
        <v>1010</v>
      </c>
      <c r="C52" s="131">
        <f>(SUMIF($G$7:$G$88,B52,$I$7:$I$88)+SUMIF($Q$7:$Q$88,B52,$S$7:$S$88))</f>
        <v>5</v>
      </c>
      <c r="D52" s="99"/>
      <c r="E52" s="100"/>
      <c r="G52" s="6"/>
      <c r="H52" s="39"/>
      <c r="I52" s="28"/>
      <c r="J52" s="6" t="s">
        <v>119</v>
      </c>
      <c r="K52" s="39" t="s">
        <v>153</v>
      </c>
      <c r="L52" s="28">
        <v>-50000</v>
      </c>
      <c r="M52" s="6" t="s">
        <v>175</v>
      </c>
      <c r="N52" s="39" t="s">
        <v>135</v>
      </c>
      <c r="O52" s="26">
        <v>-1000000</v>
      </c>
      <c r="P52" s="5"/>
      <c r="Q52" s="6"/>
      <c r="R52" s="39"/>
      <c r="S52" s="28"/>
      <c r="T52" s="6" t="s">
        <v>144</v>
      </c>
      <c r="U52" s="39" t="s">
        <v>263</v>
      </c>
      <c r="V52" s="28">
        <v>7764</v>
      </c>
      <c r="W52" s="6" t="s">
        <v>114</v>
      </c>
      <c r="X52" s="39" t="s">
        <v>676</v>
      </c>
      <c r="Y52" s="26">
        <v>50000</v>
      </c>
    </row>
    <row r="53" spans="2:25" x14ac:dyDescent="0.3">
      <c r="B53" s="49" t="s">
        <v>1011</v>
      </c>
      <c r="C53" s="131">
        <f>(SUMIF($G$7:$G$88,B53,$I$7:$I$88)+SUMIF($Q$7:$Q$88,B53,$S$7:$S$88))</f>
        <v>13435284</v>
      </c>
      <c r="D53" s="99"/>
      <c r="E53" s="100"/>
      <c r="G53" s="6"/>
      <c r="H53" s="39"/>
      <c r="I53" s="28"/>
      <c r="J53" s="6" t="s">
        <v>125</v>
      </c>
      <c r="K53" s="39" t="s">
        <v>699</v>
      </c>
      <c r="L53" s="28">
        <v>-21600</v>
      </c>
      <c r="M53" s="6" t="s">
        <v>175</v>
      </c>
      <c r="N53" s="39" t="s">
        <v>135</v>
      </c>
      <c r="O53" s="26">
        <v>1000000</v>
      </c>
      <c r="P53" s="5"/>
      <c r="Q53" s="6"/>
      <c r="R53" s="39"/>
      <c r="S53" s="28"/>
      <c r="T53" s="6" t="s">
        <v>137</v>
      </c>
      <c r="U53" s="39" t="s">
        <v>769</v>
      </c>
      <c r="V53" s="28">
        <v>-7822</v>
      </c>
      <c r="W53" s="6" t="s">
        <v>127</v>
      </c>
      <c r="X53" s="39" t="s">
        <v>736</v>
      </c>
      <c r="Y53" s="26">
        <v>50000</v>
      </c>
    </row>
    <row r="54" spans="2:25" x14ac:dyDescent="0.3">
      <c r="B54" s="49" t="s">
        <v>1012</v>
      </c>
      <c r="C54" s="131">
        <f>(SUMIF($G$7:$G$88,B54,$I$7:$I$88)+SUMIF($Q$7:$Q$88,B54,$S$7:$S$88))</f>
        <v>100000</v>
      </c>
      <c r="D54" s="99"/>
      <c r="E54" s="100"/>
      <c r="G54" s="6"/>
      <c r="H54" s="39"/>
      <c r="I54" s="28"/>
      <c r="J54" s="6" t="s">
        <v>125</v>
      </c>
      <c r="K54" s="39" t="s">
        <v>700</v>
      </c>
      <c r="L54" s="28">
        <v>-3000</v>
      </c>
      <c r="M54" s="6" t="s">
        <v>175</v>
      </c>
      <c r="N54" s="39" t="s">
        <v>135</v>
      </c>
      <c r="O54" s="26">
        <v>500000</v>
      </c>
      <c r="P54" s="5"/>
      <c r="Q54" s="6"/>
      <c r="R54" s="39"/>
      <c r="S54" s="28"/>
      <c r="T54" s="6" t="s">
        <v>129</v>
      </c>
      <c r="U54" s="39" t="s">
        <v>770</v>
      </c>
      <c r="V54" s="28">
        <v>-140</v>
      </c>
      <c r="W54" s="6" t="s">
        <v>145</v>
      </c>
      <c r="X54" s="39" t="s">
        <v>737</v>
      </c>
      <c r="Y54" s="26">
        <v>50000</v>
      </c>
    </row>
    <row r="55" spans="2:25" x14ac:dyDescent="0.3">
      <c r="B55" s="50" t="s">
        <v>1013</v>
      </c>
      <c r="C55" s="131">
        <f>(SUMIF($G$7:$G$88,B55,$I$7:$I$88)+SUMIF($Q$7:$Q$88,B55,$S$7:$S$88))</f>
        <v>1</v>
      </c>
      <c r="D55" s="99"/>
      <c r="E55" s="100"/>
      <c r="G55" s="6"/>
      <c r="H55" s="39"/>
      <c r="I55" s="28"/>
      <c r="J55" s="6" t="s">
        <v>116</v>
      </c>
      <c r="K55" s="39" t="s">
        <v>701</v>
      </c>
      <c r="L55" s="28">
        <v>-200</v>
      </c>
      <c r="M55" s="6" t="s">
        <v>127</v>
      </c>
      <c r="N55" s="39" t="s">
        <v>694</v>
      </c>
      <c r="O55" s="26">
        <v>-3856000</v>
      </c>
      <c r="P55" s="5"/>
      <c r="Q55" s="6"/>
      <c r="R55" s="39"/>
      <c r="S55" s="28"/>
      <c r="T55" s="6" t="s">
        <v>118</v>
      </c>
      <c r="U55" s="39" t="s">
        <v>224</v>
      </c>
      <c r="V55" s="28">
        <v>-24100</v>
      </c>
      <c r="W55" s="6" t="s">
        <v>145</v>
      </c>
      <c r="X55" s="39" t="s">
        <v>678</v>
      </c>
      <c r="Y55" s="26">
        <v>300000</v>
      </c>
    </row>
    <row r="56" spans="2:25" x14ac:dyDescent="0.3">
      <c r="G56" s="6"/>
      <c r="H56" s="39"/>
      <c r="I56" s="28"/>
      <c r="J56" s="6" t="s">
        <v>116</v>
      </c>
      <c r="K56" s="39" t="s">
        <v>536</v>
      </c>
      <c r="L56" s="28">
        <v>-42500</v>
      </c>
      <c r="M56" s="6" t="s">
        <v>127</v>
      </c>
      <c r="N56" s="39" t="s">
        <v>692</v>
      </c>
      <c r="O56" s="26">
        <v>10000000</v>
      </c>
      <c r="P56" s="5"/>
      <c r="Q56" s="6"/>
      <c r="R56" s="39"/>
      <c r="S56" s="28"/>
      <c r="T56" s="6" t="s">
        <v>144</v>
      </c>
      <c r="U56" s="39" t="s">
        <v>260</v>
      </c>
      <c r="V56" s="28">
        <v>-20500</v>
      </c>
      <c r="W56" s="6" t="s">
        <v>114</v>
      </c>
      <c r="X56" s="39" t="s">
        <v>743</v>
      </c>
      <c r="Y56" s="26">
        <v>50000</v>
      </c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117</v>
      </c>
      <c r="K57" s="39" t="s">
        <v>256</v>
      </c>
      <c r="L57" s="28">
        <v>-84510</v>
      </c>
      <c r="M57" s="6" t="s">
        <v>127</v>
      </c>
      <c r="N57" s="39" t="s">
        <v>692</v>
      </c>
      <c r="O57" s="26">
        <v>10000000</v>
      </c>
      <c r="P57" s="5"/>
      <c r="Q57" s="6"/>
      <c r="R57" s="39"/>
      <c r="S57" s="28"/>
      <c r="T57" s="6" t="s">
        <v>125</v>
      </c>
      <c r="U57" s="39" t="s">
        <v>123</v>
      </c>
      <c r="V57" s="28">
        <v>-990</v>
      </c>
      <c r="W57" s="6" t="s">
        <v>114</v>
      </c>
      <c r="X57" s="39" t="s">
        <v>754</v>
      </c>
      <c r="Y57" s="26">
        <v>25000</v>
      </c>
    </row>
    <row r="58" spans="2:25" x14ac:dyDescent="0.3">
      <c r="G58" s="6"/>
      <c r="H58" s="39"/>
      <c r="I58" s="28"/>
      <c r="J58" s="6" t="s">
        <v>118</v>
      </c>
      <c r="K58" s="39" t="s">
        <v>702</v>
      </c>
      <c r="L58" s="28">
        <v>-79030</v>
      </c>
      <c r="M58" s="6" t="s">
        <v>127</v>
      </c>
      <c r="N58" s="39" t="s">
        <v>692</v>
      </c>
      <c r="O58" s="26">
        <v>10000000</v>
      </c>
      <c r="P58" s="5"/>
      <c r="Q58" s="6"/>
      <c r="R58" s="39"/>
      <c r="S58" s="28"/>
      <c r="T58" s="6" t="s">
        <v>116</v>
      </c>
      <c r="U58" s="39" t="s">
        <v>771</v>
      </c>
      <c r="V58" s="28">
        <v>-7900</v>
      </c>
      <c r="W58" s="6" t="s">
        <v>114</v>
      </c>
      <c r="X58" s="39" t="s">
        <v>682</v>
      </c>
      <c r="Y58" s="26">
        <v>400000</v>
      </c>
    </row>
    <row r="59" spans="2:25" x14ac:dyDescent="0.3">
      <c r="G59" s="6"/>
      <c r="H59" s="39"/>
      <c r="I59" s="28"/>
      <c r="J59" s="6" t="s">
        <v>119</v>
      </c>
      <c r="K59" s="39" t="s">
        <v>703</v>
      </c>
      <c r="L59" s="28">
        <v>-142600</v>
      </c>
      <c r="M59" s="6" t="s">
        <v>127</v>
      </c>
      <c r="N59" s="39" t="s">
        <v>692</v>
      </c>
      <c r="O59" s="26">
        <v>10000000</v>
      </c>
      <c r="P59" s="5"/>
      <c r="Q59" s="6"/>
      <c r="R59" s="39"/>
      <c r="S59" s="28"/>
      <c r="T59" s="6" t="s">
        <v>118</v>
      </c>
      <c r="U59" s="39" t="s">
        <v>284</v>
      </c>
      <c r="V59" s="28">
        <v>-168250</v>
      </c>
      <c r="W59" s="6" t="s">
        <v>133</v>
      </c>
      <c r="X59" s="39" t="s">
        <v>143</v>
      </c>
      <c r="Y59" s="26">
        <v>-3678280</v>
      </c>
    </row>
    <row r="60" spans="2:25" x14ac:dyDescent="0.3">
      <c r="G60" s="6"/>
      <c r="H60" s="39"/>
      <c r="I60" s="28"/>
      <c r="J60" s="6" t="s">
        <v>120</v>
      </c>
      <c r="K60" s="39" t="s">
        <v>704</v>
      </c>
      <c r="L60" s="28">
        <v>-19000</v>
      </c>
      <c r="M60" s="6" t="s">
        <v>127</v>
      </c>
      <c r="N60" s="39" t="s">
        <v>692</v>
      </c>
      <c r="O60" s="26">
        <v>10000000</v>
      </c>
      <c r="P60" s="5"/>
      <c r="Q60" s="6"/>
      <c r="R60" s="39"/>
      <c r="S60" s="28"/>
      <c r="T60" s="6" t="s">
        <v>116</v>
      </c>
      <c r="U60" s="39" t="s">
        <v>289</v>
      </c>
      <c r="V60" s="28">
        <v>-102105</v>
      </c>
      <c r="W60" s="6" t="s">
        <v>114</v>
      </c>
      <c r="X60" s="39" t="s">
        <v>764</v>
      </c>
      <c r="Y60" s="26">
        <v>40000000</v>
      </c>
    </row>
    <row r="61" spans="2:25" x14ac:dyDescent="0.3">
      <c r="G61" s="6"/>
      <c r="H61" s="39"/>
      <c r="I61" s="28"/>
      <c r="J61" s="6" t="s">
        <v>146</v>
      </c>
      <c r="K61" s="39" t="s">
        <v>705</v>
      </c>
      <c r="L61" s="28">
        <v>-164900</v>
      </c>
      <c r="M61" s="6" t="s">
        <v>144</v>
      </c>
      <c r="N61" s="39" t="s">
        <v>200</v>
      </c>
      <c r="O61" s="26">
        <v>6090100</v>
      </c>
      <c r="P61" s="5"/>
      <c r="Q61" s="6"/>
      <c r="R61" s="39"/>
      <c r="S61" s="28"/>
      <c r="T61" s="6" t="s">
        <v>138</v>
      </c>
      <c r="U61" s="39" t="s">
        <v>772</v>
      </c>
      <c r="V61" s="28">
        <v>-23730</v>
      </c>
      <c r="W61" s="6" t="s">
        <v>145</v>
      </c>
      <c r="X61" s="39" t="s">
        <v>765</v>
      </c>
      <c r="Y61" s="26">
        <v>100000</v>
      </c>
    </row>
    <row r="62" spans="2:25" x14ac:dyDescent="0.3">
      <c r="G62" s="6"/>
      <c r="H62" s="39"/>
      <c r="I62" s="28"/>
      <c r="J62" s="6"/>
      <c r="K62" s="39"/>
      <c r="L62" s="28"/>
      <c r="M62" s="6" t="s">
        <v>175</v>
      </c>
      <c r="N62" s="39" t="s">
        <v>252</v>
      </c>
      <c r="O62" s="26">
        <v>-100000</v>
      </c>
      <c r="P62" s="5"/>
      <c r="Q62" s="6"/>
      <c r="R62" s="39"/>
      <c r="S62" s="28"/>
      <c r="T62" s="6" t="s">
        <v>116</v>
      </c>
      <c r="U62" s="39" t="s">
        <v>155</v>
      </c>
      <c r="V62" s="28">
        <v>-25800</v>
      </c>
      <c r="W62" s="6" t="s">
        <v>145</v>
      </c>
      <c r="X62" s="39" t="s">
        <v>566</v>
      </c>
      <c r="Y62" s="26">
        <v>18000</v>
      </c>
    </row>
    <row r="63" spans="2:25" x14ac:dyDescent="0.3">
      <c r="G63" s="6"/>
      <c r="H63" s="39"/>
      <c r="I63" s="28"/>
      <c r="J63" s="6"/>
      <c r="K63" s="39"/>
      <c r="L63" s="28"/>
      <c r="M63" s="6" t="s">
        <v>127</v>
      </c>
      <c r="N63" s="39" t="s">
        <v>698</v>
      </c>
      <c r="O63" s="26">
        <v>5000000</v>
      </c>
      <c r="P63" s="5"/>
      <c r="Q63" s="6"/>
      <c r="R63" s="39"/>
      <c r="S63" s="28"/>
      <c r="T63" s="6" t="s">
        <v>144</v>
      </c>
      <c r="U63" s="39" t="s">
        <v>775</v>
      </c>
      <c r="V63" s="28">
        <v>-1617550</v>
      </c>
      <c r="W63" s="6" t="s">
        <v>127</v>
      </c>
      <c r="X63" s="39" t="s">
        <v>131</v>
      </c>
      <c r="Y63" s="26">
        <v>-2500</v>
      </c>
    </row>
    <row r="64" spans="2:25" x14ac:dyDescent="0.3">
      <c r="G64" s="6"/>
      <c r="H64" s="39"/>
      <c r="I64" s="28"/>
      <c r="J64" s="6"/>
      <c r="K64" s="39"/>
      <c r="L64" s="28"/>
      <c r="M64" s="6" t="s">
        <v>127</v>
      </c>
      <c r="N64" s="39" t="s">
        <v>698</v>
      </c>
      <c r="O64" s="26">
        <v>5000000</v>
      </c>
      <c r="P64" s="5"/>
      <c r="Q64" s="6"/>
      <c r="R64" s="39"/>
      <c r="S64" s="28"/>
      <c r="T64" s="6" t="s">
        <v>144</v>
      </c>
      <c r="U64" s="39" t="s">
        <v>260</v>
      </c>
      <c r="V64" s="28">
        <v>-70520</v>
      </c>
      <c r="W64" s="6" t="s">
        <v>145</v>
      </c>
      <c r="X64" s="39" t="s">
        <v>325</v>
      </c>
      <c r="Y64" s="26">
        <v>20500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127</v>
      </c>
      <c r="X65" s="39" t="s">
        <v>181</v>
      </c>
      <c r="Y65" s="26">
        <v>-100000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127</v>
      </c>
      <c r="X66" s="39" t="s">
        <v>131</v>
      </c>
      <c r="Y66" s="26">
        <v>-14142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114</v>
      </c>
      <c r="X67" s="39" t="s">
        <v>286</v>
      </c>
      <c r="Y67" s="26">
        <v>1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127</v>
      </c>
      <c r="X68" s="39" t="s">
        <v>135</v>
      </c>
      <c r="Y68" s="26">
        <v>40000000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127</v>
      </c>
      <c r="X69" s="39" t="s">
        <v>135</v>
      </c>
      <c r="Y69" s="26">
        <v>100000000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127</v>
      </c>
      <c r="X70" s="39" t="s">
        <v>135</v>
      </c>
      <c r="Y70" s="26">
        <v>40000000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133</v>
      </c>
      <c r="X71" s="39" t="s">
        <v>326</v>
      </c>
      <c r="Y71" s="26">
        <v>-306614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144</v>
      </c>
      <c r="X72" s="39" t="s">
        <v>773</v>
      </c>
      <c r="Y72" s="26">
        <v>-363000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144</v>
      </c>
      <c r="X73" s="39" t="s">
        <v>773</v>
      </c>
      <c r="Y73" s="26">
        <v>-100000000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 t="s">
        <v>127</v>
      </c>
      <c r="X74" s="39" t="s">
        <v>774</v>
      </c>
      <c r="Y74" s="26">
        <v>-100000000</v>
      </c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 t="s">
        <v>127</v>
      </c>
      <c r="X75" s="39" t="s">
        <v>774</v>
      </c>
      <c r="Y75" s="26">
        <v>-34257630</v>
      </c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 t="s">
        <v>145</v>
      </c>
      <c r="X76" s="39" t="s">
        <v>410</v>
      </c>
      <c r="Y76" s="26">
        <v>71000</v>
      </c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6584972</v>
      </c>
      <c r="J89" s="7" t="s">
        <v>24</v>
      </c>
      <c r="K89" s="22" t="s">
        <v>34</v>
      </c>
      <c r="L89" s="21">
        <f>SUM(L7:L88)</f>
        <v>-182478427</v>
      </c>
      <c r="M89" s="7" t="s">
        <v>24</v>
      </c>
      <c r="N89" s="22" t="s">
        <v>34</v>
      </c>
      <c r="O89" s="21">
        <f>SUM(O7:O88)</f>
        <v>152362977</v>
      </c>
      <c r="Q89" s="7" t="s">
        <v>24</v>
      </c>
      <c r="R89" s="17" t="s">
        <v>34</v>
      </c>
      <c r="S89" s="19">
        <f>SUM(S7:S88)</f>
        <v>6950318</v>
      </c>
      <c r="T89" s="7" t="s">
        <v>24</v>
      </c>
      <c r="U89" s="22" t="s">
        <v>34</v>
      </c>
      <c r="V89" s="21">
        <f>SUM(V7:V88)</f>
        <v>-12410910</v>
      </c>
      <c r="W89" s="7" t="s">
        <v>24</v>
      </c>
      <c r="X89" s="22" t="s">
        <v>34</v>
      </c>
      <c r="Y89" s="21">
        <f>SUM(Y7:Y88)</f>
        <v>-2549072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-23530478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-8009664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topLeftCell="A45" workbookViewId="0">
      <selection activeCell="L89" sqref="L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21" t="s">
        <v>105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101389747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-91389747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10.1389747</v>
      </c>
      <c r="D7" s="111"/>
      <c r="G7" s="6" t="s">
        <v>188</v>
      </c>
      <c r="H7" s="39" t="s">
        <v>229</v>
      </c>
      <c r="I7" s="28">
        <v>4047397</v>
      </c>
      <c r="J7" s="6" t="s">
        <v>120</v>
      </c>
      <c r="K7" s="39" t="s">
        <v>776</v>
      </c>
      <c r="L7" s="28">
        <v>-20000</v>
      </c>
      <c r="M7" s="6" t="s">
        <v>127</v>
      </c>
      <c r="N7" s="39" t="s">
        <v>181</v>
      </c>
      <c r="O7" s="40">
        <v>-200000</v>
      </c>
      <c r="P7" s="5"/>
      <c r="Q7" s="6" t="s">
        <v>112</v>
      </c>
      <c r="R7" s="39" t="s">
        <v>113</v>
      </c>
      <c r="S7" s="28">
        <v>0</v>
      </c>
      <c r="T7" s="6" t="s">
        <v>119</v>
      </c>
      <c r="U7" s="39" t="s">
        <v>142</v>
      </c>
      <c r="V7" s="28">
        <v>-237000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112</v>
      </c>
      <c r="H8" s="39" t="s">
        <v>237</v>
      </c>
      <c r="I8" s="28">
        <v>0</v>
      </c>
      <c r="J8" s="6" t="s">
        <v>118</v>
      </c>
      <c r="K8" s="39">
        <v>204252990108</v>
      </c>
      <c r="L8" s="28">
        <v>-700000</v>
      </c>
      <c r="M8" s="6" t="s">
        <v>144</v>
      </c>
      <c r="N8" s="39" t="s">
        <v>317</v>
      </c>
      <c r="O8" s="26">
        <v>-700000</v>
      </c>
      <c r="P8" s="5"/>
      <c r="Q8" s="6" t="s">
        <v>188</v>
      </c>
      <c r="R8" s="39" t="s">
        <v>229</v>
      </c>
      <c r="S8" s="28">
        <v>3924384</v>
      </c>
      <c r="T8" s="6" t="s">
        <v>144</v>
      </c>
      <c r="U8" s="39" t="s">
        <v>800</v>
      </c>
      <c r="V8" s="28">
        <v>-9820</v>
      </c>
      <c r="W8" s="6" t="s">
        <v>144</v>
      </c>
      <c r="X8" s="39" t="s">
        <v>317</v>
      </c>
      <c r="Y8" s="26">
        <v>-700000</v>
      </c>
    </row>
    <row r="9" spans="2:25" x14ac:dyDescent="0.3">
      <c r="G9" s="6"/>
      <c r="H9" s="39"/>
      <c r="I9" s="28"/>
      <c r="J9" s="6" t="s">
        <v>118</v>
      </c>
      <c r="K9" s="39">
        <v>204252990114</v>
      </c>
      <c r="L9" s="28">
        <v>-1000000</v>
      </c>
      <c r="M9" s="6" t="s">
        <v>175</v>
      </c>
      <c r="N9" s="39" t="s">
        <v>135</v>
      </c>
      <c r="O9" s="26">
        <v>-1000000</v>
      </c>
      <c r="P9" s="5"/>
      <c r="Q9" s="6" t="s">
        <v>112</v>
      </c>
      <c r="R9" s="39" t="s">
        <v>287</v>
      </c>
      <c r="S9" s="28">
        <v>5</v>
      </c>
      <c r="T9" s="6" t="s">
        <v>137</v>
      </c>
      <c r="U9" s="39" t="s">
        <v>263</v>
      </c>
      <c r="V9" s="28">
        <v>-23606</v>
      </c>
      <c r="W9" s="6" t="s">
        <v>133</v>
      </c>
      <c r="X9" s="39" t="s">
        <v>799</v>
      </c>
      <c r="Y9" s="26">
        <v>-86</v>
      </c>
    </row>
    <row r="10" spans="2:25" x14ac:dyDescent="0.3">
      <c r="G10" s="6"/>
      <c r="H10" s="39"/>
      <c r="I10" s="28"/>
      <c r="J10" s="6" t="s">
        <v>118</v>
      </c>
      <c r="K10" s="39">
        <v>204252990116</v>
      </c>
      <c r="L10" s="28">
        <v>-400000</v>
      </c>
      <c r="M10" s="6" t="s">
        <v>175</v>
      </c>
      <c r="N10" s="39" t="s">
        <v>135</v>
      </c>
      <c r="O10" s="26">
        <v>1000000</v>
      </c>
      <c r="P10" s="5"/>
      <c r="Q10" s="6" t="s">
        <v>112</v>
      </c>
      <c r="R10" s="39" t="s">
        <v>237</v>
      </c>
      <c r="S10" s="28">
        <v>0</v>
      </c>
      <c r="T10" s="6" t="s">
        <v>137</v>
      </c>
      <c r="U10" s="39" t="s">
        <v>140</v>
      </c>
      <c r="V10" s="28">
        <v>-3000</v>
      </c>
      <c r="W10" s="6" t="s">
        <v>133</v>
      </c>
      <c r="X10" s="39" t="s">
        <v>136</v>
      </c>
      <c r="Y10" s="26">
        <v>-227260</v>
      </c>
    </row>
    <row r="11" spans="2:25" x14ac:dyDescent="0.3">
      <c r="G11" s="6"/>
      <c r="H11" s="39"/>
      <c r="I11" s="28"/>
      <c r="J11" s="6" t="s">
        <v>119</v>
      </c>
      <c r="K11" s="39" t="s">
        <v>777</v>
      </c>
      <c r="L11" s="28">
        <v>-50000</v>
      </c>
      <c r="M11" s="6" t="s">
        <v>175</v>
      </c>
      <c r="N11" s="39" t="s">
        <v>780</v>
      </c>
      <c r="O11" s="26">
        <v>182903</v>
      </c>
      <c r="P11" s="5"/>
      <c r="Q11" s="6"/>
      <c r="R11" s="39"/>
      <c r="S11" s="28"/>
      <c r="T11" s="6" t="s">
        <v>144</v>
      </c>
      <c r="U11" s="39" t="s">
        <v>262</v>
      </c>
      <c r="V11" s="28">
        <v>-7600</v>
      </c>
      <c r="W11" s="6" t="s">
        <v>127</v>
      </c>
      <c r="X11" s="39" t="s">
        <v>131</v>
      </c>
      <c r="Y11" s="26">
        <v>-464000</v>
      </c>
    </row>
    <row r="12" spans="2:25" x14ac:dyDescent="0.3">
      <c r="G12" s="6"/>
      <c r="H12" s="39"/>
      <c r="I12" s="28"/>
      <c r="J12" s="6" t="s">
        <v>122</v>
      </c>
      <c r="K12" s="39" t="s">
        <v>778</v>
      </c>
      <c r="L12" s="28">
        <v>-33910</v>
      </c>
      <c r="M12" s="6" t="s">
        <v>144</v>
      </c>
      <c r="N12" s="39" t="s">
        <v>200</v>
      </c>
      <c r="O12" s="26">
        <v>616</v>
      </c>
      <c r="P12" s="5"/>
      <c r="Q12" s="6"/>
      <c r="R12" s="39"/>
      <c r="S12" s="28"/>
      <c r="T12" s="6" t="s">
        <v>117</v>
      </c>
      <c r="U12" s="39" t="s">
        <v>321</v>
      </c>
      <c r="V12" s="28">
        <v>-50407</v>
      </c>
      <c r="W12" s="6" t="s">
        <v>144</v>
      </c>
      <c r="X12" s="39" t="s">
        <v>801</v>
      </c>
      <c r="Y12" s="26">
        <v>182903</v>
      </c>
    </row>
    <row r="13" spans="2:25" x14ac:dyDescent="0.3">
      <c r="G13" s="6"/>
      <c r="H13" s="39"/>
      <c r="I13" s="28"/>
      <c r="J13" s="6" t="s">
        <v>120</v>
      </c>
      <c r="K13" s="39" t="s">
        <v>779</v>
      </c>
      <c r="L13" s="28">
        <v>-21800</v>
      </c>
      <c r="M13" s="6" t="s">
        <v>175</v>
      </c>
      <c r="N13" s="39" t="s">
        <v>780</v>
      </c>
      <c r="O13" s="26">
        <v>76798</v>
      </c>
      <c r="P13" s="5"/>
      <c r="Q13" s="6"/>
      <c r="R13" s="39"/>
      <c r="S13" s="28"/>
      <c r="T13" s="6" t="s">
        <v>144</v>
      </c>
      <c r="U13" s="39" t="s">
        <v>260</v>
      </c>
      <c r="V13" s="28">
        <v>-17120</v>
      </c>
      <c r="W13" s="6" t="s">
        <v>144</v>
      </c>
      <c r="X13" s="39" t="s">
        <v>802</v>
      </c>
      <c r="Y13" s="26">
        <v>-1788575</v>
      </c>
    </row>
    <row r="14" spans="2:25" x14ac:dyDescent="0.3">
      <c r="G14" s="6"/>
      <c r="H14" s="39"/>
      <c r="I14" s="28"/>
      <c r="J14" s="6" t="s">
        <v>116</v>
      </c>
      <c r="K14" s="39" t="s">
        <v>586</v>
      </c>
      <c r="L14" s="28">
        <v>-37180</v>
      </c>
      <c r="M14" s="6" t="s">
        <v>127</v>
      </c>
      <c r="N14" s="39" t="s">
        <v>181</v>
      </c>
      <c r="O14" s="26">
        <v>-100000</v>
      </c>
      <c r="P14" s="5"/>
      <c r="Q14" s="6"/>
      <c r="R14" s="39"/>
      <c r="S14" s="28"/>
      <c r="T14" s="6" t="s">
        <v>118</v>
      </c>
      <c r="U14" s="39" t="s">
        <v>275</v>
      </c>
      <c r="V14" s="28">
        <v>-16150</v>
      </c>
      <c r="W14" s="6" t="s">
        <v>144</v>
      </c>
      <c r="X14" s="39" t="s">
        <v>200</v>
      </c>
      <c r="Y14" s="26">
        <v>18516490</v>
      </c>
    </row>
    <row r="15" spans="2:25" x14ac:dyDescent="0.3">
      <c r="G15" s="6"/>
      <c r="H15" s="39"/>
      <c r="I15" s="28"/>
      <c r="J15" s="6" t="s">
        <v>119</v>
      </c>
      <c r="K15" s="39" t="s">
        <v>379</v>
      </c>
      <c r="L15" s="28">
        <v>-50000</v>
      </c>
      <c r="M15" s="6" t="s">
        <v>127</v>
      </c>
      <c r="N15" s="39" t="s">
        <v>131</v>
      </c>
      <c r="O15" s="26">
        <v>-2500</v>
      </c>
      <c r="P15" s="5"/>
      <c r="Q15" s="6"/>
      <c r="R15" s="39"/>
      <c r="S15" s="28"/>
      <c r="T15" s="6" t="s">
        <v>118</v>
      </c>
      <c r="U15" s="39" t="s">
        <v>275</v>
      </c>
      <c r="V15" s="28">
        <v>-16500</v>
      </c>
      <c r="W15" s="6" t="s">
        <v>127</v>
      </c>
      <c r="X15" s="39" t="s">
        <v>273</v>
      </c>
      <c r="Y15" s="26">
        <v>20000</v>
      </c>
    </row>
    <row r="16" spans="2:25" x14ac:dyDescent="0.3">
      <c r="G16" s="6"/>
      <c r="H16" s="39"/>
      <c r="I16" s="28"/>
      <c r="J16" s="6" t="s">
        <v>125</v>
      </c>
      <c r="K16" s="39" t="s">
        <v>452</v>
      </c>
      <c r="L16" s="28">
        <v>-10000</v>
      </c>
      <c r="M16" s="6" t="s">
        <v>127</v>
      </c>
      <c r="N16" s="39" t="s">
        <v>131</v>
      </c>
      <c r="O16" s="26">
        <v>-56500</v>
      </c>
      <c r="P16" s="5"/>
      <c r="Q16" s="6"/>
      <c r="R16" s="39"/>
      <c r="S16" s="28"/>
      <c r="T16" s="6" t="s">
        <v>117</v>
      </c>
      <c r="U16" s="39" t="s">
        <v>803</v>
      </c>
      <c r="V16" s="28">
        <v>-26400</v>
      </c>
      <c r="W16" s="6" t="s">
        <v>127</v>
      </c>
      <c r="X16" s="39" t="s">
        <v>420</v>
      </c>
      <c r="Y16" s="26">
        <v>-30000</v>
      </c>
    </row>
    <row r="17" spans="2:25" x14ac:dyDescent="0.3">
      <c r="G17" s="6"/>
      <c r="H17" s="39"/>
      <c r="I17" s="28"/>
      <c r="J17" s="6" t="s">
        <v>116</v>
      </c>
      <c r="K17" s="39" t="s">
        <v>781</v>
      </c>
      <c r="L17" s="28">
        <v>-4400</v>
      </c>
      <c r="M17" s="6" t="s">
        <v>127</v>
      </c>
      <c r="N17" s="39" t="s">
        <v>131</v>
      </c>
      <c r="O17" s="26">
        <v>-2500</v>
      </c>
      <c r="P17" s="5"/>
      <c r="Q17" s="6"/>
      <c r="R17" s="39"/>
      <c r="S17" s="28"/>
      <c r="T17" s="6" t="s">
        <v>119</v>
      </c>
      <c r="U17" s="39" t="s">
        <v>141</v>
      </c>
      <c r="V17" s="28">
        <v>-12590</v>
      </c>
      <c r="W17" s="6" t="s">
        <v>144</v>
      </c>
      <c r="X17" s="39" t="s">
        <v>200</v>
      </c>
      <c r="Y17" s="26">
        <v>6099</v>
      </c>
    </row>
    <row r="18" spans="2:25" x14ac:dyDescent="0.3">
      <c r="G18" s="6"/>
      <c r="H18" s="39"/>
      <c r="I18" s="28"/>
      <c r="J18" s="6" t="s">
        <v>129</v>
      </c>
      <c r="K18" s="39" t="s">
        <v>782</v>
      </c>
      <c r="L18" s="28">
        <v>170</v>
      </c>
      <c r="M18" s="6" t="s">
        <v>127</v>
      </c>
      <c r="N18" s="39" t="s">
        <v>131</v>
      </c>
      <c r="O18" s="26">
        <v>-2500</v>
      </c>
      <c r="P18" s="5"/>
      <c r="Q18" s="6"/>
      <c r="R18" s="39"/>
      <c r="S18" s="28"/>
      <c r="T18" s="6" t="s">
        <v>118</v>
      </c>
      <c r="U18" s="39" t="s">
        <v>804</v>
      </c>
      <c r="V18" s="28">
        <v>-307648</v>
      </c>
      <c r="W18" s="6" t="s">
        <v>144</v>
      </c>
      <c r="X18" s="39" t="s">
        <v>801</v>
      </c>
      <c r="Y18" s="26">
        <v>13200</v>
      </c>
    </row>
    <row r="19" spans="2:25" x14ac:dyDescent="0.3">
      <c r="G19" s="6"/>
      <c r="H19" s="39"/>
      <c r="I19" s="28"/>
      <c r="J19" s="6" t="s">
        <v>129</v>
      </c>
      <c r="K19" s="39" t="s">
        <v>782</v>
      </c>
      <c r="L19" s="28">
        <v>-170</v>
      </c>
      <c r="M19" s="6" t="s">
        <v>127</v>
      </c>
      <c r="N19" s="39" t="s">
        <v>181</v>
      </c>
      <c r="O19" s="26">
        <v>-100000</v>
      </c>
      <c r="P19" s="5"/>
      <c r="Q19" s="6"/>
      <c r="R19" s="39"/>
      <c r="S19" s="28"/>
      <c r="T19" s="6" t="s">
        <v>137</v>
      </c>
      <c r="U19" s="39" t="s">
        <v>282</v>
      </c>
      <c r="V19" s="28">
        <v>-70450</v>
      </c>
      <c r="W19" s="6" t="s">
        <v>127</v>
      </c>
      <c r="X19" s="39" t="s">
        <v>131</v>
      </c>
      <c r="Y19" s="26">
        <v>-2500</v>
      </c>
    </row>
    <row r="20" spans="2:25" x14ac:dyDescent="0.3">
      <c r="G20" s="6"/>
      <c r="H20" s="39"/>
      <c r="I20" s="28"/>
      <c r="J20" s="6" t="s">
        <v>120</v>
      </c>
      <c r="K20" s="39" t="s">
        <v>121</v>
      </c>
      <c r="L20" s="28">
        <v>-18600</v>
      </c>
      <c r="M20" s="6" t="s">
        <v>114</v>
      </c>
      <c r="N20" s="39" t="s">
        <v>682</v>
      </c>
      <c r="O20" s="26">
        <v>162560</v>
      </c>
      <c r="P20" s="5"/>
      <c r="Q20" s="6"/>
      <c r="R20" s="39"/>
      <c r="S20" s="28"/>
      <c r="T20" s="6" t="s">
        <v>144</v>
      </c>
      <c r="U20" s="39" t="s">
        <v>260</v>
      </c>
      <c r="V20" s="28">
        <v>-17920</v>
      </c>
      <c r="W20" s="6" t="s">
        <v>127</v>
      </c>
      <c r="X20" s="39" t="s">
        <v>131</v>
      </c>
      <c r="Y20" s="26">
        <v>-56500</v>
      </c>
    </row>
    <row r="21" spans="2:25" x14ac:dyDescent="0.3">
      <c r="G21" s="6"/>
      <c r="H21" s="39"/>
      <c r="I21" s="28"/>
      <c r="J21" s="6" t="s">
        <v>120</v>
      </c>
      <c r="K21" s="39" t="s">
        <v>783</v>
      </c>
      <c r="L21" s="28">
        <v>-26000</v>
      </c>
      <c r="M21" s="6" t="s">
        <v>127</v>
      </c>
      <c r="N21" s="39" t="s">
        <v>786</v>
      </c>
      <c r="O21" s="26">
        <v>2500</v>
      </c>
      <c r="P21" s="5"/>
      <c r="Q21" s="6"/>
      <c r="R21" s="39"/>
      <c r="S21" s="28"/>
      <c r="T21" s="6" t="s">
        <v>117</v>
      </c>
      <c r="U21" s="39" t="s">
        <v>321</v>
      </c>
      <c r="V21" s="28">
        <v>-140</v>
      </c>
      <c r="W21" s="6" t="s">
        <v>133</v>
      </c>
      <c r="X21" s="39" t="s">
        <v>143</v>
      </c>
      <c r="Y21" s="26">
        <v>-8246387</v>
      </c>
    </row>
    <row r="22" spans="2:25" x14ac:dyDescent="0.3">
      <c r="G22" s="6"/>
      <c r="H22" s="39"/>
      <c r="I22" s="28"/>
      <c r="J22" s="6" t="s">
        <v>119</v>
      </c>
      <c r="K22" s="39" t="s">
        <v>784</v>
      </c>
      <c r="L22" s="28">
        <v>-60000</v>
      </c>
      <c r="M22" s="6" t="s">
        <v>127</v>
      </c>
      <c r="N22" s="39" t="s">
        <v>462</v>
      </c>
      <c r="O22" s="26">
        <v>2500</v>
      </c>
      <c r="P22" s="5"/>
      <c r="Q22" s="6"/>
      <c r="R22" s="39"/>
      <c r="S22" s="28"/>
      <c r="T22" s="6" t="s">
        <v>125</v>
      </c>
      <c r="U22" s="39" t="s">
        <v>807</v>
      </c>
      <c r="V22" s="28">
        <v>-2000</v>
      </c>
      <c r="W22" s="6" t="s">
        <v>127</v>
      </c>
      <c r="X22" s="39" t="s">
        <v>131</v>
      </c>
      <c r="Y22" s="26">
        <v>-5000</v>
      </c>
    </row>
    <row r="23" spans="2:25" x14ac:dyDescent="0.3">
      <c r="G23" s="6"/>
      <c r="H23" s="39"/>
      <c r="I23" s="28"/>
      <c r="J23" s="6" t="s">
        <v>116</v>
      </c>
      <c r="K23" s="39" t="s">
        <v>586</v>
      </c>
      <c r="L23" s="28">
        <v>-41350</v>
      </c>
      <c r="M23" s="6" t="s">
        <v>127</v>
      </c>
      <c r="N23" s="39" t="s">
        <v>299</v>
      </c>
      <c r="O23" s="26">
        <v>2500</v>
      </c>
      <c r="P23" s="5"/>
      <c r="Q23" s="6"/>
      <c r="R23" s="39"/>
      <c r="S23" s="28"/>
      <c r="T23" s="6" t="s">
        <v>144</v>
      </c>
      <c r="U23" s="39" t="s">
        <v>260</v>
      </c>
      <c r="V23" s="28">
        <v>-25320</v>
      </c>
      <c r="W23" s="6" t="s">
        <v>145</v>
      </c>
      <c r="X23" s="39" t="s">
        <v>288</v>
      </c>
      <c r="Y23" s="26">
        <v>20000</v>
      </c>
    </row>
    <row r="24" spans="2:25" x14ac:dyDescent="0.3">
      <c r="G24" s="6"/>
      <c r="H24" s="39"/>
      <c r="I24" s="28"/>
      <c r="J24" s="6" t="s">
        <v>134</v>
      </c>
      <c r="K24" s="39" t="s">
        <v>785</v>
      </c>
      <c r="L24" s="28">
        <v>-21000</v>
      </c>
      <c r="M24" s="6" t="s">
        <v>175</v>
      </c>
      <c r="N24" s="39" t="s">
        <v>603</v>
      </c>
      <c r="O24" s="26">
        <v>-7700</v>
      </c>
      <c r="P24" s="5"/>
      <c r="Q24" s="6"/>
      <c r="R24" s="39"/>
      <c r="S24" s="28"/>
      <c r="T24" s="6" t="s">
        <v>137</v>
      </c>
      <c r="U24" s="39" t="s">
        <v>140</v>
      </c>
      <c r="V24" s="28">
        <v>-1200</v>
      </c>
      <c r="W24" s="6" t="s">
        <v>127</v>
      </c>
      <c r="X24" s="39" t="s">
        <v>805</v>
      </c>
      <c r="Y24" s="26">
        <v>50000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118</v>
      </c>
      <c r="K25" s="39" t="s">
        <v>130</v>
      </c>
      <c r="L25" s="28">
        <v>-16500</v>
      </c>
      <c r="M25" s="6" t="s">
        <v>175</v>
      </c>
      <c r="N25" s="39" t="s">
        <v>200</v>
      </c>
      <c r="O25" s="26">
        <v>100000</v>
      </c>
      <c r="P25" s="5"/>
      <c r="Q25" s="6"/>
      <c r="R25" s="39"/>
      <c r="S25" s="28"/>
      <c r="T25" s="6" t="s">
        <v>137</v>
      </c>
      <c r="U25" s="39" t="s">
        <v>570</v>
      </c>
      <c r="V25" s="28">
        <v>-3400</v>
      </c>
      <c r="W25" s="6" t="s">
        <v>127</v>
      </c>
      <c r="X25" s="39" t="s">
        <v>181</v>
      </c>
      <c r="Y25" s="26">
        <v>-100000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125</v>
      </c>
      <c r="K26" s="39" t="s">
        <v>452</v>
      </c>
      <c r="L26" s="28">
        <v>-10000</v>
      </c>
      <c r="M26" s="6" t="s">
        <v>175</v>
      </c>
      <c r="N26" s="39" t="s">
        <v>795</v>
      </c>
      <c r="O26" s="26">
        <v>-100000</v>
      </c>
      <c r="P26" s="5"/>
      <c r="Q26" s="6"/>
      <c r="R26" s="39"/>
      <c r="S26" s="28"/>
      <c r="T26" s="6" t="s">
        <v>117</v>
      </c>
      <c r="U26" s="39" t="s">
        <v>321</v>
      </c>
      <c r="V26" s="28">
        <v>-15352</v>
      </c>
      <c r="W26" s="6" t="s">
        <v>144</v>
      </c>
      <c r="X26" s="39" t="s">
        <v>806</v>
      </c>
      <c r="Y26" s="26">
        <v>-105000</v>
      </c>
    </row>
    <row r="27" spans="2:25" x14ac:dyDescent="0.3">
      <c r="B27" s="48" t="s">
        <v>115</v>
      </c>
      <c r="C27" s="131">
        <f>-(SUMIF($J$7:$J$88,B27,$L$7:$L$88)+SUMIF($T$7:$T$88,B27,$V$7:$V$88))</f>
        <v>36120</v>
      </c>
      <c r="D27" s="99"/>
      <c r="E27" s="100"/>
      <c r="G27" s="6"/>
      <c r="H27" s="39"/>
      <c r="I27" s="28"/>
      <c r="J27" s="6" t="s">
        <v>116</v>
      </c>
      <c r="K27" s="39" t="s">
        <v>787</v>
      </c>
      <c r="L27" s="28">
        <v>-1800</v>
      </c>
      <c r="M27" s="6" t="s">
        <v>127</v>
      </c>
      <c r="N27" s="39" t="s">
        <v>131</v>
      </c>
      <c r="O27" s="26">
        <v>-5000</v>
      </c>
      <c r="P27" s="5"/>
      <c r="Q27" s="6"/>
      <c r="R27" s="39"/>
      <c r="S27" s="28"/>
      <c r="T27" s="6" t="s">
        <v>137</v>
      </c>
      <c r="U27" s="39" t="s">
        <v>140</v>
      </c>
      <c r="V27" s="28">
        <v>-1200</v>
      </c>
      <c r="W27" s="6" t="s">
        <v>127</v>
      </c>
      <c r="X27" s="39" t="s">
        <v>131</v>
      </c>
      <c r="Y27" s="26">
        <v>-2500</v>
      </c>
    </row>
    <row r="28" spans="2:25" x14ac:dyDescent="0.3">
      <c r="B28" s="49" t="s">
        <v>116</v>
      </c>
      <c r="C28" s="131">
        <f>-(SUMIF($J$7:$J$88,B28,$L$7:$L$88)+SUMIF($T$7:$T$88,B28,$V$7:$V$88))</f>
        <v>266835</v>
      </c>
      <c r="D28" s="99"/>
      <c r="E28" s="100"/>
      <c r="G28" s="6"/>
      <c r="H28" s="39"/>
      <c r="I28" s="28"/>
      <c r="J28" s="6" t="s">
        <v>125</v>
      </c>
      <c r="K28" s="39" t="s">
        <v>788</v>
      </c>
      <c r="L28" s="28">
        <v>-49500</v>
      </c>
      <c r="M28" s="6" t="s">
        <v>114</v>
      </c>
      <c r="N28" s="39" t="s">
        <v>610</v>
      </c>
      <c r="O28" s="26">
        <v>725</v>
      </c>
      <c r="P28" s="5"/>
      <c r="Q28" s="6"/>
      <c r="R28" s="39"/>
      <c r="S28" s="28"/>
      <c r="T28" s="6" t="s">
        <v>144</v>
      </c>
      <c r="U28" s="39" t="s">
        <v>147</v>
      </c>
      <c r="V28" s="28">
        <v>-120000</v>
      </c>
      <c r="W28" s="6" t="s">
        <v>145</v>
      </c>
      <c r="X28" s="39" t="s">
        <v>808</v>
      </c>
      <c r="Y28" s="26">
        <v>23500</v>
      </c>
    </row>
    <row r="29" spans="2:25" x14ac:dyDescent="0.3">
      <c r="B29" s="49" t="s">
        <v>120</v>
      </c>
      <c r="C29" s="131">
        <f>-(SUMIF($J$7:$J$88,B29,$L$7:$L$88)+SUMIF($T$7:$T$88,B29,$V$7:$V$88))</f>
        <v>285590</v>
      </c>
      <c r="D29" s="99"/>
      <c r="E29" s="100"/>
      <c r="G29" s="6"/>
      <c r="H29" s="39"/>
      <c r="I29" s="28"/>
      <c r="J29" s="6" t="s">
        <v>120</v>
      </c>
      <c r="K29" s="39" t="s">
        <v>359</v>
      </c>
      <c r="L29" s="28">
        <v>-13200</v>
      </c>
      <c r="M29" s="6" t="s">
        <v>175</v>
      </c>
      <c r="N29" s="39" t="s">
        <v>252</v>
      </c>
      <c r="O29" s="26">
        <v>-100000</v>
      </c>
      <c r="P29" s="5"/>
      <c r="Q29" s="6"/>
      <c r="R29" s="39"/>
      <c r="S29" s="28"/>
      <c r="T29" s="6" t="s">
        <v>118</v>
      </c>
      <c r="U29" s="39" t="s">
        <v>224</v>
      </c>
      <c r="V29" s="28">
        <v>-37300</v>
      </c>
      <c r="W29" s="6" t="s">
        <v>145</v>
      </c>
      <c r="X29" s="39" t="s">
        <v>496</v>
      </c>
      <c r="Y29" s="26">
        <v>25320</v>
      </c>
    </row>
    <row r="30" spans="2:25" x14ac:dyDescent="0.3">
      <c r="B30" s="49" t="s">
        <v>118</v>
      </c>
      <c r="C30" s="131">
        <f>-(SUMIF($J$7:$J$88,B30,$L$7:$L$88)+SUMIF($T$7:$T$88,B30,$V$7:$V$88))</f>
        <v>2781578</v>
      </c>
      <c r="D30" s="99"/>
      <c r="E30" s="100"/>
      <c r="G30" s="6"/>
      <c r="H30" s="39"/>
      <c r="I30" s="28"/>
      <c r="J30" s="6" t="s">
        <v>120</v>
      </c>
      <c r="K30" s="39" t="s">
        <v>789</v>
      </c>
      <c r="L30" s="28">
        <v>-1300</v>
      </c>
      <c r="M30" s="6" t="s">
        <v>127</v>
      </c>
      <c r="N30" s="39" t="s">
        <v>131</v>
      </c>
      <c r="O30" s="26">
        <v>-600</v>
      </c>
      <c r="P30" s="5"/>
      <c r="Q30" s="6"/>
      <c r="R30" s="39"/>
      <c r="S30" s="28"/>
      <c r="T30" s="6" t="s">
        <v>137</v>
      </c>
      <c r="U30" s="39" t="s">
        <v>140</v>
      </c>
      <c r="V30" s="28">
        <v>-1200</v>
      </c>
      <c r="W30" s="6" t="s">
        <v>127</v>
      </c>
      <c r="X30" s="39" t="s">
        <v>809</v>
      </c>
      <c r="Y30" s="26">
        <v>51903500</v>
      </c>
    </row>
    <row r="31" spans="2:25" x14ac:dyDescent="0.3">
      <c r="B31" s="49" t="s">
        <v>122</v>
      </c>
      <c r="C31" s="131">
        <f>-(SUMIF($J$7:$J$88,B31,$L$7:$L$88)+SUMIF($T$7:$T$88,B31,$V$7:$V$88))</f>
        <v>33910</v>
      </c>
      <c r="D31" s="99"/>
      <c r="E31" s="100"/>
      <c r="G31" s="6"/>
      <c r="H31" s="39"/>
      <c r="I31" s="28"/>
      <c r="J31" s="6" t="s">
        <v>116</v>
      </c>
      <c r="K31" s="39" t="s">
        <v>124</v>
      </c>
      <c r="L31" s="28">
        <v>-80000</v>
      </c>
      <c r="M31" s="6" t="s">
        <v>127</v>
      </c>
      <c r="N31" s="39" t="s">
        <v>131</v>
      </c>
      <c r="O31" s="26">
        <v>-2500</v>
      </c>
      <c r="P31" s="5"/>
      <c r="Q31" s="6"/>
      <c r="R31" s="39"/>
      <c r="S31" s="28"/>
      <c r="T31" s="6" t="s">
        <v>144</v>
      </c>
      <c r="U31" s="39" t="s">
        <v>141</v>
      </c>
      <c r="V31" s="28">
        <v>18323</v>
      </c>
      <c r="W31" s="6" t="s">
        <v>145</v>
      </c>
      <c r="X31" s="39" t="s">
        <v>810</v>
      </c>
      <c r="Y31" s="26">
        <v>41302840</v>
      </c>
    </row>
    <row r="32" spans="2:25" x14ac:dyDescent="0.3">
      <c r="B32" s="49" t="s">
        <v>119</v>
      </c>
      <c r="C32" s="131">
        <f>-(SUMIF($J$7:$J$88,B32,$L$7:$L$88)+SUMIF($T$7:$T$88,B32,$V$7:$V$88))</f>
        <v>481540</v>
      </c>
      <c r="D32" s="99"/>
      <c r="E32" s="100"/>
      <c r="G32" s="6"/>
      <c r="H32" s="39"/>
      <c r="I32" s="28"/>
      <c r="J32" s="6" t="s">
        <v>119</v>
      </c>
      <c r="K32" s="39" t="s">
        <v>790</v>
      </c>
      <c r="L32" s="28">
        <v>-35950</v>
      </c>
      <c r="M32" s="6" t="s">
        <v>127</v>
      </c>
      <c r="N32" s="39" t="s">
        <v>131</v>
      </c>
      <c r="O32" s="26">
        <v>-7400</v>
      </c>
      <c r="P32" s="5"/>
      <c r="Q32" s="6"/>
      <c r="R32" s="39"/>
      <c r="S32" s="28"/>
      <c r="T32" s="6" t="s">
        <v>125</v>
      </c>
      <c r="U32" s="39" t="s">
        <v>123</v>
      </c>
      <c r="V32" s="28">
        <v>-990</v>
      </c>
      <c r="W32" s="6" t="s">
        <v>114</v>
      </c>
      <c r="X32" s="39" t="s">
        <v>286</v>
      </c>
      <c r="Y32" s="26">
        <v>1</v>
      </c>
    </row>
    <row r="33" spans="2:25" x14ac:dyDescent="0.3">
      <c r="B33" s="49" t="s">
        <v>129</v>
      </c>
      <c r="C33" s="131">
        <f>-(SUMIF($J$7:$J$88,B33,$L$7:$L$88)+SUMIF($T$7:$T$88,B33,$V$7:$V$88))</f>
        <v>1000</v>
      </c>
      <c r="D33" s="99"/>
      <c r="E33" s="100"/>
      <c r="G33" s="6"/>
      <c r="H33" s="39"/>
      <c r="I33" s="28"/>
      <c r="J33" s="6" t="s">
        <v>118</v>
      </c>
      <c r="K33" s="39" t="s">
        <v>224</v>
      </c>
      <c r="L33" s="28">
        <v>-117280</v>
      </c>
      <c r="M33" s="6" t="s">
        <v>127</v>
      </c>
      <c r="N33" s="39" t="s">
        <v>131</v>
      </c>
      <c r="O33" s="26">
        <v>-2500</v>
      </c>
      <c r="P33" s="5"/>
      <c r="Q33" s="6"/>
      <c r="R33" s="39"/>
      <c r="S33" s="28"/>
      <c r="T33" s="6" t="s">
        <v>144</v>
      </c>
      <c r="U33" s="39" t="s">
        <v>260</v>
      </c>
      <c r="V33" s="28">
        <v>-24940</v>
      </c>
      <c r="W33" s="6" t="s">
        <v>80</v>
      </c>
      <c r="X33" s="39" t="s">
        <v>643</v>
      </c>
      <c r="Y33" s="26">
        <v>54970</v>
      </c>
    </row>
    <row r="34" spans="2:25" x14ac:dyDescent="0.3">
      <c r="B34" s="49" t="s">
        <v>125</v>
      </c>
      <c r="C34" s="131">
        <f>-(SUMIF($J$7:$J$88,B34,$L$7:$L$88)+SUMIF($T$7:$T$88,B34,$V$7:$V$88))</f>
        <v>94090</v>
      </c>
      <c r="D34" s="99"/>
      <c r="E34" s="100"/>
      <c r="G34" s="6"/>
      <c r="H34" s="39"/>
      <c r="I34" s="28"/>
      <c r="J34" s="6" t="s">
        <v>134</v>
      </c>
      <c r="K34" s="39" t="s">
        <v>791</v>
      </c>
      <c r="L34" s="28">
        <v>-4500</v>
      </c>
      <c r="M34" s="6"/>
      <c r="N34" s="39"/>
      <c r="O34" s="26"/>
      <c r="P34" s="5"/>
      <c r="Q34" s="6"/>
      <c r="R34" s="39"/>
      <c r="S34" s="28"/>
      <c r="T34" s="6" t="s">
        <v>117</v>
      </c>
      <c r="U34" s="39" t="s">
        <v>321</v>
      </c>
      <c r="V34" s="28">
        <v>-7983</v>
      </c>
      <c r="W34" s="6" t="s">
        <v>133</v>
      </c>
      <c r="X34" s="39" t="s">
        <v>326</v>
      </c>
      <c r="Y34" s="26">
        <v>-545926</v>
      </c>
    </row>
    <row r="35" spans="2:25" x14ac:dyDescent="0.3">
      <c r="B35" s="49" t="s">
        <v>148</v>
      </c>
      <c r="C35" s="131">
        <f>-(SUMIF($J$7:$J$88,B35,$L$7:$L$88)+SUMIF($T$7:$T$88,B35,$V$7:$V$88))</f>
        <v>27139</v>
      </c>
      <c r="D35" s="99"/>
      <c r="E35" s="100"/>
      <c r="G35" s="6"/>
      <c r="H35" s="39"/>
      <c r="I35" s="28"/>
      <c r="J35" s="6" t="s">
        <v>120</v>
      </c>
      <c r="K35" s="39" t="s">
        <v>792</v>
      </c>
      <c r="L35" s="28">
        <v>-87500</v>
      </c>
      <c r="M35" s="6"/>
      <c r="N35" s="39"/>
      <c r="O35" s="26"/>
      <c r="P35" s="5"/>
      <c r="Q35" s="6"/>
      <c r="R35" s="39"/>
      <c r="S35" s="28"/>
      <c r="T35" s="6" t="s">
        <v>144</v>
      </c>
      <c r="U35" s="39" t="s">
        <v>811</v>
      </c>
      <c r="V35" s="28">
        <v>-36840</v>
      </c>
      <c r="W35" s="6" t="s">
        <v>145</v>
      </c>
      <c r="X35" s="39" t="s">
        <v>288</v>
      </c>
      <c r="Y35" s="26">
        <v>20000</v>
      </c>
    </row>
    <row r="36" spans="2:25" x14ac:dyDescent="0.3">
      <c r="B36" s="49" t="s">
        <v>117</v>
      </c>
      <c r="C36" s="131">
        <f>-(SUMIF($J$7:$J$88,B36,$L$7:$L$88)+SUMIF($T$7:$T$88,B36,$V$7:$V$88))</f>
        <v>135645</v>
      </c>
      <c r="D36" s="99"/>
      <c r="E36" s="100"/>
      <c r="G36" s="6"/>
      <c r="H36" s="39"/>
      <c r="I36" s="28"/>
      <c r="J36" s="6" t="s">
        <v>117</v>
      </c>
      <c r="K36" s="39" t="s">
        <v>793</v>
      </c>
      <c r="L36" s="28">
        <v>-5000</v>
      </c>
      <c r="M36" s="6"/>
      <c r="N36" s="39"/>
      <c r="O36" s="26"/>
      <c r="P36" s="5"/>
      <c r="Q36" s="6"/>
      <c r="R36" s="39"/>
      <c r="S36" s="28"/>
      <c r="T36" s="6" t="s">
        <v>144</v>
      </c>
      <c r="U36" s="39" t="s">
        <v>812</v>
      </c>
      <c r="V36" s="28">
        <v>-7700</v>
      </c>
      <c r="W36" s="6" t="s">
        <v>127</v>
      </c>
      <c r="X36" s="39" t="s">
        <v>131</v>
      </c>
      <c r="Y36" s="26">
        <v>-1700</v>
      </c>
    </row>
    <row r="37" spans="2:25" x14ac:dyDescent="0.3">
      <c r="B37" s="49" t="s">
        <v>128</v>
      </c>
      <c r="C37" s="131">
        <f>-(SUMIF($J$7:$J$88,B37,$L$7:$L$88)+SUMIF($T$7:$T$88,B37,$V$7:$V$88))</f>
        <v>0</v>
      </c>
      <c r="D37" s="99"/>
      <c r="E37" s="100"/>
      <c r="G37" s="6"/>
      <c r="H37" s="39"/>
      <c r="I37" s="28"/>
      <c r="J37" s="6" t="s">
        <v>117</v>
      </c>
      <c r="K37" s="39" t="s">
        <v>793</v>
      </c>
      <c r="L37" s="28">
        <v>-5000</v>
      </c>
      <c r="M37" s="6"/>
      <c r="N37" s="39"/>
      <c r="O37" s="26"/>
      <c r="P37" s="5"/>
      <c r="Q37" s="6"/>
      <c r="R37" s="39"/>
      <c r="S37" s="28"/>
      <c r="T37" s="6" t="s">
        <v>116</v>
      </c>
      <c r="U37" s="39" t="s">
        <v>289</v>
      </c>
      <c r="V37" s="28">
        <v>-102105</v>
      </c>
      <c r="W37" s="6" t="s">
        <v>127</v>
      </c>
      <c r="X37" s="39" t="s">
        <v>131</v>
      </c>
      <c r="Y37" s="26">
        <v>-2500</v>
      </c>
    </row>
    <row r="38" spans="2:25" x14ac:dyDescent="0.3">
      <c r="B38" s="49" t="s">
        <v>146</v>
      </c>
      <c r="C38" s="131">
        <f>-(SUMIF($J$7:$J$88,B38,$L$7:$L$88)+SUMIF($T$7:$T$88,B38,$V$7:$V$88))</f>
        <v>10000</v>
      </c>
      <c r="D38" s="99"/>
      <c r="E38" s="100"/>
      <c r="G38" s="6"/>
      <c r="H38" s="39"/>
      <c r="I38" s="28"/>
      <c r="J38" s="6" t="s">
        <v>125</v>
      </c>
      <c r="K38" s="39" t="s">
        <v>794</v>
      </c>
      <c r="L38" s="28">
        <v>-14500</v>
      </c>
      <c r="M38" s="6"/>
      <c r="N38" s="39"/>
      <c r="O38" s="26"/>
      <c r="P38" s="5"/>
      <c r="Q38" s="6"/>
      <c r="R38" s="39"/>
      <c r="S38" s="28"/>
      <c r="T38" s="6" t="s">
        <v>118</v>
      </c>
      <c r="U38" s="39" t="s">
        <v>284</v>
      </c>
      <c r="V38" s="28">
        <v>-170200</v>
      </c>
      <c r="W38" s="6" t="s">
        <v>127</v>
      </c>
      <c r="X38" s="39" t="s">
        <v>131</v>
      </c>
      <c r="Y38" s="26">
        <v>-2500</v>
      </c>
    </row>
    <row r="39" spans="2:25" x14ac:dyDescent="0.3">
      <c r="B39" s="49" t="s">
        <v>134</v>
      </c>
      <c r="C39" s="131">
        <f>-(SUMIF($J$7:$J$88,B39,$L$7:$L$88)+SUMIF($T$7:$T$88,B39,$V$7:$V$88))</f>
        <v>25500</v>
      </c>
      <c r="D39" s="99"/>
      <c r="E39" s="100"/>
      <c r="G39" s="6"/>
      <c r="H39" s="39"/>
      <c r="I39" s="28"/>
      <c r="J39" s="6" t="s">
        <v>120</v>
      </c>
      <c r="K39" s="39" t="s">
        <v>121</v>
      </c>
      <c r="L39" s="28">
        <v>-39800</v>
      </c>
      <c r="M39" s="6"/>
      <c r="N39" s="39"/>
      <c r="O39" s="26"/>
      <c r="P39" s="5"/>
      <c r="Q39" s="6"/>
      <c r="R39" s="39"/>
      <c r="S39" s="28"/>
      <c r="T39" s="6" t="s">
        <v>144</v>
      </c>
      <c r="U39" s="39" t="s">
        <v>813</v>
      </c>
      <c r="V39" s="28">
        <v>-732890</v>
      </c>
      <c r="W39" s="6" t="s">
        <v>145</v>
      </c>
      <c r="X39" s="39" t="s">
        <v>410</v>
      </c>
      <c r="Y39" s="26">
        <v>51000</v>
      </c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115</v>
      </c>
      <c r="K40" s="39" t="s">
        <v>246</v>
      </c>
      <c r="L40" s="28">
        <v>-36120</v>
      </c>
      <c r="M40" s="6"/>
      <c r="N40" s="39"/>
      <c r="O40" s="26"/>
      <c r="P40" s="5"/>
      <c r="Q40" s="6"/>
      <c r="R40" s="39"/>
      <c r="S40" s="28"/>
      <c r="T40" s="6" t="s">
        <v>144</v>
      </c>
      <c r="U40" s="39" t="s">
        <v>260</v>
      </c>
      <c r="V40" s="28">
        <v>-17920</v>
      </c>
      <c r="W40" s="6" t="s">
        <v>127</v>
      </c>
      <c r="X40" s="39" t="s">
        <v>181</v>
      </c>
      <c r="Y40" s="26">
        <v>-100000</v>
      </c>
    </row>
    <row r="41" spans="2:25" x14ac:dyDescent="0.3">
      <c r="B41" s="49" t="s">
        <v>126</v>
      </c>
      <c r="C41" s="131">
        <f>-(SUMIF($J$7:$J$88,B41,$L$7:$L$88)+SUMIF($T$7:$T$88,B41,$V$7:$V$88))</f>
        <v>0</v>
      </c>
      <c r="D41" s="99"/>
      <c r="E41" s="100"/>
      <c r="G41" s="6"/>
      <c r="H41" s="39"/>
      <c r="I41" s="28"/>
      <c r="J41" s="6" t="s">
        <v>120</v>
      </c>
      <c r="K41" s="39" t="s">
        <v>478</v>
      </c>
      <c r="L41" s="28">
        <v>-12600</v>
      </c>
      <c r="M41" s="6"/>
      <c r="N41" s="39"/>
      <c r="O41" s="26"/>
      <c r="P41" s="5"/>
      <c r="Q41" s="6"/>
      <c r="R41" s="39"/>
      <c r="S41" s="28"/>
      <c r="T41" s="6" t="s">
        <v>119</v>
      </c>
      <c r="U41" s="39" t="s">
        <v>814</v>
      </c>
      <c r="V41" s="28">
        <v>-6000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119</v>
      </c>
      <c r="K42" s="39" t="s">
        <v>153</v>
      </c>
      <c r="L42" s="28">
        <v>-30000</v>
      </c>
      <c r="M42" s="6"/>
      <c r="N42" s="39"/>
      <c r="O42" s="26"/>
      <c r="P42" s="5"/>
      <c r="Q42" s="6"/>
      <c r="R42" s="39"/>
      <c r="S42" s="28"/>
      <c r="T42" s="6" t="s">
        <v>117</v>
      </c>
      <c r="U42" s="39" t="s">
        <v>815</v>
      </c>
      <c r="V42" s="28">
        <v>-25363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104056</v>
      </c>
      <c r="D43" s="99"/>
      <c r="E43" s="100"/>
      <c r="G43" s="6"/>
      <c r="H43" s="39"/>
      <c r="I43" s="28"/>
      <c r="J43" s="6" t="s">
        <v>120</v>
      </c>
      <c r="K43" s="39" t="s">
        <v>796</v>
      </c>
      <c r="L43" s="28">
        <v>-22000</v>
      </c>
      <c r="M43" s="6"/>
      <c r="N43" s="39"/>
      <c r="O43" s="26"/>
      <c r="P43" s="5"/>
      <c r="Q43" s="6"/>
      <c r="R43" s="39"/>
      <c r="S43" s="28"/>
      <c r="T43" s="6" t="s">
        <v>148</v>
      </c>
      <c r="U43" s="39" t="s">
        <v>816</v>
      </c>
      <c r="V43" s="28">
        <v>-27139</v>
      </c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1049827</v>
      </c>
      <c r="D44" s="99"/>
      <c r="E44" s="100"/>
      <c r="G44" s="6"/>
      <c r="H44" s="39"/>
      <c r="I44" s="28"/>
      <c r="J44" s="6" t="s">
        <v>146</v>
      </c>
      <c r="K44" s="39" t="s">
        <v>797</v>
      </c>
      <c r="L44" s="28">
        <v>-10000</v>
      </c>
      <c r="M44" s="6"/>
      <c r="N44" s="39"/>
      <c r="O44" s="26"/>
      <c r="P44" s="5"/>
      <c r="Q44" s="6"/>
      <c r="R44" s="39"/>
      <c r="S44" s="28"/>
      <c r="T44" s="6" t="s">
        <v>129</v>
      </c>
      <c r="U44" s="39" t="s">
        <v>403</v>
      </c>
      <c r="V44" s="28">
        <v>-1000</v>
      </c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0</v>
      </c>
      <c r="D45" s="99"/>
      <c r="E45" s="100"/>
      <c r="G45" s="6"/>
      <c r="H45" s="39"/>
      <c r="I45" s="28"/>
      <c r="J45" s="6" t="s">
        <v>120</v>
      </c>
      <c r="K45" s="39" t="s">
        <v>121</v>
      </c>
      <c r="L45" s="28">
        <v>-22790</v>
      </c>
      <c r="M45" s="6"/>
      <c r="N45" s="39"/>
      <c r="O45" s="26"/>
      <c r="P45" s="5"/>
      <c r="Q45" s="6"/>
      <c r="R45" s="39"/>
      <c r="S45" s="28"/>
      <c r="T45" s="6" t="s">
        <v>144</v>
      </c>
      <c r="U45" s="39" t="s">
        <v>260</v>
      </c>
      <c r="V45" s="28">
        <v>-50080</v>
      </c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125</v>
      </c>
      <c r="K46" s="39" t="s">
        <v>798</v>
      </c>
      <c r="L46" s="28">
        <v>-7100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5</v>
      </c>
      <c r="D52" s="99"/>
      <c r="E52" s="100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7971781</v>
      </c>
      <c r="D53" s="99"/>
      <c r="E53" s="100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4047397</v>
      </c>
      <c r="J89" s="7" t="s">
        <v>24</v>
      </c>
      <c r="K89" s="22" t="s">
        <v>34</v>
      </c>
      <c r="L89" s="21">
        <f>SUM(L7:L88)</f>
        <v>-3116680</v>
      </c>
      <c r="M89" s="7" t="s">
        <v>24</v>
      </c>
      <c r="N89" s="22" t="s">
        <v>34</v>
      </c>
      <c r="O89" s="21">
        <f>SUM(O7:O88)</f>
        <v>-858598</v>
      </c>
      <c r="Q89" s="7" t="s">
        <v>24</v>
      </c>
      <c r="R89" s="17" t="s">
        <v>34</v>
      </c>
      <c r="S89" s="19">
        <f>SUM(S7:S88)</f>
        <v>3924389</v>
      </c>
      <c r="T89" s="7" t="s">
        <v>24</v>
      </c>
      <c r="U89" s="22" t="s">
        <v>34</v>
      </c>
      <c r="V89" s="21">
        <f>SUM(V7:V88)</f>
        <v>-2216150</v>
      </c>
      <c r="W89" s="7" t="s">
        <v>24</v>
      </c>
      <c r="X89" s="22" t="s">
        <v>34</v>
      </c>
      <c r="Y89" s="21">
        <f>SUM(Y7:Y88)</f>
        <v>99609389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72119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101317628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topLeftCell="A54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21" t="s">
        <v>106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1997960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8002040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0.199796</v>
      </c>
      <c r="D7" s="111"/>
      <c r="G7" s="6" t="s">
        <v>188</v>
      </c>
      <c r="H7" s="39" t="s">
        <v>189</v>
      </c>
      <c r="I7" s="28">
        <v>1897572</v>
      </c>
      <c r="J7" s="6" t="s">
        <v>120</v>
      </c>
      <c r="K7" s="39" t="s">
        <v>817</v>
      </c>
      <c r="L7" s="28">
        <v>-13500</v>
      </c>
      <c r="M7" s="6" t="s">
        <v>127</v>
      </c>
      <c r="N7" s="39" t="s">
        <v>181</v>
      </c>
      <c r="O7" s="40">
        <v>-100000</v>
      </c>
      <c r="P7" s="5"/>
      <c r="Q7" s="6" t="s">
        <v>188</v>
      </c>
      <c r="R7" s="39" t="s">
        <v>843</v>
      </c>
      <c r="S7" s="28">
        <v>35000</v>
      </c>
      <c r="T7" s="6" t="s">
        <v>116</v>
      </c>
      <c r="U7" s="39" t="s">
        <v>155</v>
      </c>
      <c r="V7" s="28">
        <v>-10200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112</v>
      </c>
      <c r="H8" s="39" t="s">
        <v>363</v>
      </c>
      <c r="I8" s="28">
        <v>7518</v>
      </c>
      <c r="J8" s="6" t="s">
        <v>117</v>
      </c>
      <c r="K8" s="39" t="s">
        <v>256</v>
      </c>
      <c r="L8" s="28">
        <v>-91740</v>
      </c>
      <c r="M8" s="6" t="s">
        <v>127</v>
      </c>
      <c r="N8" s="39" t="s">
        <v>181</v>
      </c>
      <c r="O8" s="26">
        <v>-100000</v>
      </c>
      <c r="P8" s="5"/>
      <c r="Q8" s="6" t="s">
        <v>188</v>
      </c>
      <c r="R8" s="39" t="s">
        <v>189</v>
      </c>
      <c r="S8" s="28">
        <v>1785662</v>
      </c>
      <c r="T8" s="6" t="s">
        <v>144</v>
      </c>
      <c r="U8" s="39" t="s">
        <v>260</v>
      </c>
      <c r="V8" s="28">
        <v>-34690</v>
      </c>
      <c r="W8" s="6" t="s">
        <v>114</v>
      </c>
      <c r="X8" s="39" t="s">
        <v>510</v>
      </c>
      <c r="Y8" s="26">
        <v>30000</v>
      </c>
    </row>
    <row r="9" spans="2:25" x14ac:dyDescent="0.3">
      <c r="G9" s="6" t="s">
        <v>188</v>
      </c>
      <c r="H9" s="39" t="s">
        <v>229</v>
      </c>
      <c r="I9" s="28">
        <v>4062895</v>
      </c>
      <c r="J9" s="6" t="s">
        <v>118</v>
      </c>
      <c r="K9" s="39" t="s">
        <v>818</v>
      </c>
      <c r="L9" s="28">
        <v>-79030</v>
      </c>
      <c r="M9" s="6" t="s">
        <v>127</v>
      </c>
      <c r="N9" s="39" t="s">
        <v>181</v>
      </c>
      <c r="O9" s="26">
        <v>-100000</v>
      </c>
      <c r="P9" s="5"/>
      <c r="Q9" s="6" t="s">
        <v>112</v>
      </c>
      <c r="R9" s="39" t="s">
        <v>113</v>
      </c>
      <c r="S9" s="28">
        <v>0</v>
      </c>
      <c r="T9" s="6" t="s">
        <v>144</v>
      </c>
      <c r="U9" s="39" t="s">
        <v>260</v>
      </c>
      <c r="V9" s="28">
        <v>-29520</v>
      </c>
      <c r="W9" s="6" t="s">
        <v>133</v>
      </c>
      <c r="X9" s="39" t="s">
        <v>844</v>
      </c>
      <c r="Y9" s="26">
        <v>-123010</v>
      </c>
    </row>
    <row r="10" spans="2:25" x14ac:dyDescent="0.3">
      <c r="G10" s="6" t="s">
        <v>112</v>
      </c>
      <c r="H10" s="39" t="s">
        <v>237</v>
      </c>
      <c r="I10" s="28">
        <v>0</v>
      </c>
      <c r="J10" s="6" t="s">
        <v>120</v>
      </c>
      <c r="K10" s="39" t="s">
        <v>819</v>
      </c>
      <c r="L10" s="28">
        <v>-75000</v>
      </c>
      <c r="M10" s="6" t="s">
        <v>127</v>
      </c>
      <c r="N10" s="39" t="s">
        <v>272</v>
      </c>
      <c r="O10" s="26">
        <v>12500</v>
      </c>
      <c r="P10" s="5"/>
      <c r="Q10" s="6" t="s">
        <v>188</v>
      </c>
      <c r="R10" s="39" t="s">
        <v>229</v>
      </c>
      <c r="S10" s="28">
        <v>3911274</v>
      </c>
      <c r="T10" s="6" t="s">
        <v>119</v>
      </c>
      <c r="U10" s="39" t="s">
        <v>142</v>
      </c>
      <c r="V10" s="28">
        <v>-63520</v>
      </c>
      <c r="W10" s="6" t="s">
        <v>133</v>
      </c>
      <c r="X10" s="39" t="s">
        <v>136</v>
      </c>
      <c r="Y10" s="26">
        <v>-143180</v>
      </c>
    </row>
    <row r="11" spans="2:25" x14ac:dyDescent="0.3">
      <c r="G11" s="6"/>
      <c r="H11" s="39"/>
      <c r="I11" s="28"/>
      <c r="J11" s="6" t="s">
        <v>122</v>
      </c>
      <c r="K11" s="39" t="s">
        <v>820</v>
      </c>
      <c r="L11" s="28">
        <v>-63520</v>
      </c>
      <c r="M11" s="6" t="s">
        <v>127</v>
      </c>
      <c r="N11" s="39" t="s">
        <v>354</v>
      </c>
      <c r="O11" s="26">
        <v>12500</v>
      </c>
      <c r="P11" s="5"/>
      <c r="Q11" s="6" t="s">
        <v>112</v>
      </c>
      <c r="R11" s="39" t="s">
        <v>287</v>
      </c>
      <c r="S11" s="28">
        <v>7</v>
      </c>
      <c r="T11" s="6" t="s">
        <v>119</v>
      </c>
      <c r="U11" s="39" t="s">
        <v>142</v>
      </c>
      <c r="V11" s="28">
        <v>-51340</v>
      </c>
      <c r="W11" s="6" t="s">
        <v>127</v>
      </c>
      <c r="X11" s="39" t="s">
        <v>131</v>
      </c>
      <c r="Y11" s="26">
        <v>-12500</v>
      </c>
    </row>
    <row r="12" spans="2:25" x14ac:dyDescent="0.3">
      <c r="G12" s="6"/>
      <c r="H12" s="39"/>
      <c r="I12" s="28"/>
      <c r="J12" s="6" t="s">
        <v>116</v>
      </c>
      <c r="K12" s="39" t="s">
        <v>124</v>
      </c>
      <c r="L12" s="28">
        <v>-80000</v>
      </c>
      <c r="M12" s="6" t="s">
        <v>127</v>
      </c>
      <c r="N12" s="39" t="s">
        <v>299</v>
      </c>
      <c r="O12" s="26">
        <v>12500</v>
      </c>
      <c r="P12" s="5"/>
      <c r="Q12" s="6" t="s">
        <v>112</v>
      </c>
      <c r="R12" s="39" t="s">
        <v>237</v>
      </c>
      <c r="S12" s="28">
        <v>0</v>
      </c>
      <c r="T12" s="6" t="s">
        <v>137</v>
      </c>
      <c r="U12" s="39" t="s">
        <v>572</v>
      </c>
      <c r="V12" s="28">
        <v>-18000</v>
      </c>
      <c r="W12" s="6" t="s">
        <v>144</v>
      </c>
      <c r="X12" s="39" t="s">
        <v>159</v>
      </c>
      <c r="Y12" s="26">
        <v>-40000</v>
      </c>
    </row>
    <row r="13" spans="2:25" x14ac:dyDescent="0.3">
      <c r="G13" s="6"/>
      <c r="H13" s="39"/>
      <c r="I13" s="28"/>
      <c r="J13" s="6" t="s">
        <v>116</v>
      </c>
      <c r="K13" s="39" t="s">
        <v>586</v>
      </c>
      <c r="L13" s="28">
        <v>-17700</v>
      </c>
      <c r="M13" s="6" t="s">
        <v>127</v>
      </c>
      <c r="N13" s="39" t="s">
        <v>460</v>
      </c>
      <c r="O13" s="26">
        <v>12500</v>
      </c>
      <c r="P13" s="5"/>
      <c r="Q13" s="6" t="s">
        <v>112</v>
      </c>
      <c r="R13" s="39" t="s">
        <v>412</v>
      </c>
      <c r="S13" s="28">
        <v>8912</v>
      </c>
      <c r="T13" s="6" t="s">
        <v>137</v>
      </c>
      <c r="U13" s="39" t="s">
        <v>140</v>
      </c>
      <c r="V13" s="28">
        <v>-1200</v>
      </c>
      <c r="W13" s="6" t="s">
        <v>114</v>
      </c>
      <c r="X13" s="39" t="s">
        <v>602</v>
      </c>
      <c r="Y13" s="26">
        <v>1350</v>
      </c>
    </row>
    <row r="14" spans="2:25" x14ac:dyDescent="0.3">
      <c r="G14" s="6"/>
      <c r="H14" s="39"/>
      <c r="I14" s="28"/>
      <c r="J14" s="6" t="s">
        <v>119</v>
      </c>
      <c r="K14" s="39" t="s">
        <v>193</v>
      </c>
      <c r="L14" s="28">
        <v>-60000</v>
      </c>
      <c r="M14" s="6" t="s">
        <v>127</v>
      </c>
      <c r="N14" s="39" t="s">
        <v>786</v>
      </c>
      <c r="O14" s="26">
        <v>12500</v>
      </c>
      <c r="P14" s="5"/>
      <c r="Q14" s="6" t="s">
        <v>112</v>
      </c>
      <c r="R14" s="39" t="s">
        <v>412</v>
      </c>
      <c r="S14" s="28">
        <v>0</v>
      </c>
      <c r="T14" s="6" t="s">
        <v>137</v>
      </c>
      <c r="U14" s="39" t="s">
        <v>140</v>
      </c>
      <c r="V14" s="28">
        <v>-1200</v>
      </c>
      <c r="W14" s="6" t="s">
        <v>114</v>
      </c>
      <c r="X14" s="39" t="s">
        <v>602</v>
      </c>
      <c r="Y14" s="26">
        <v>1350</v>
      </c>
    </row>
    <row r="15" spans="2:25" x14ac:dyDescent="0.3">
      <c r="G15" s="6"/>
      <c r="H15" s="39"/>
      <c r="I15" s="28"/>
      <c r="J15" s="6" t="s">
        <v>122</v>
      </c>
      <c r="K15" s="39" t="s">
        <v>821</v>
      </c>
      <c r="L15" s="28">
        <v>-539600</v>
      </c>
      <c r="M15" s="6" t="s">
        <v>127</v>
      </c>
      <c r="N15" s="39" t="s">
        <v>131</v>
      </c>
      <c r="O15" s="26">
        <v>-2500</v>
      </c>
      <c r="P15" s="5"/>
      <c r="Q15" s="6"/>
      <c r="R15" s="39"/>
      <c r="S15" s="28"/>
      <c r="T15" s="6" t="s">
        <v>118</v>
      </c>
      <c r="U15" s="39" t="s">
        <v>275</v>
      </c>
      <c r="V15" s="28">
        <v>-16150</v>
      </c>
      <c r="W15" s="6" t="s">
        <v>127</v>
      </c>
      <c r="X15" s="39" t="s">
        <v>135</v>
      </c>
      <c r="Y15" s="26">
        <v>1000000</v>
      </c>
    </row>
    <row r="16" spans="2:25" x14ac:dyDescent="0.3">
      <c r="G16" s="6"/>
      <c r="H16" s="39"/>
      <c r="I16" s="28"/>
      <c r="J16" s="6" t="s">
        <v>122</v>
      </c>
      <c r="K16" s="39" t="s">
        <v>821</v>
      </c>
      <c r="L16" s="28">
        <v>-30400</v>
      </c>
      <c r="M16" s="6" t="s">
        <v>127</v>
      </c>
      <c r="N16" s="39" t="s">
        <v>181</v>
      </c>
      <c r="O16" s="26">
        <v>-100000</v>
      </c>
      <c r="P16" s="5"/>
      <c r="Q16" s="6"/>
      <c r="R16" s="39"/>
      <c r="S16" s="28"/>
      <c r="T16" s="6" t="s">
        <v>118</v>
      </c>
      <c r="U16" s="39" t="s">
        <v>275</v>
      </c>
      <c r="V16" s="28">
        <v>-15960</v>
      </c>
      <c r="W16" s="6" t="s">
        <v>127</v>
      </c>
      <c r="X16" s="39" t="s">
        <v>131</v>
      </c>
      <c r="Y16" s="26">
        <v>-2500</v>
      </c>
    </row>
    <row r="17" spans="2:25" x14ac:dyDescent="0.3">
      <c r="G17" s="6"/>
      <c r="H17" s="39"/>
      <c r="I17" s="28"/>
      <c r="J17" s="6" t="s">
        <v>120</v>
      </c>
      <c r="K17" s="39" t="s">
        <v>822</v>
      </c>
      <c r="L17" s="28">
        <v>-18800</v>
      </c>
      <c r="M17" s="6" t="s">
        <v>127</v>
      </c>
      <c r="N17" s="39" t="s">
        <v>131</v>
      </c>
      <c r="O17" s="26">
        <v>-2500</v>
      </c>
      <c r="P17" s="5"/>
      <c r="Q17" s="6"/>
      <c r="R17" s="39"/>
      <c r="S17" s="28"/>
      <c r="T17" s="6" t="s">
        <v>144</v>
      </c>
      <c r="U17" s="39" t="s">
        <v>811</v>
      </c>
      <c r="V17" s="28">
        <v>-1649000</v>
      </c>
      <c r="W17" s="6" t="s">
        <v>127</v>
      </c>
      <c r="X17" s="39" t="s">
        <v>131</v>
      </c>
      <c r="Y17" s="26">
        <v>-15000</v>
      </c>
    </row>
    <row r="18" spans="2:25" x14ac:dyDescent="0.3">
      <c r="G18" s="6"/>
      <c r="H18" s="39"/>
      <c r="I18" s="28"/>
      <c r="J18" s="6" t="s">
        <v>120</v>
      </c>
      <c r="K18" s="39" t="s">
        <v>121</v>
      </c>
      <c r="L18" s="28">
        <v>-37990</v>
      </c>
      <c r="M18" s="6" t="s">
        <v>127</v>
      </c>
      <c r="N18" s="39" t="s">
        <v>131</v>
      </c>
      <c r="O18" s="26">
        <v>-15000</v>
      </c>
      <c r="P18" s="5"/>
      <c r="Q18" s="6"/>
      <c r="R18" s="39"/>
      <c r="S18" s="28"/>
      <c r="T18" s="6" t="s">
        <v>137</v>
      </c>
      <c r="U18" s="39" t="s">
        <v>263</v>
      </c>
      <c r="V18" s="28">
        <v>-21418</v>
      </c>
      <c r="W18" s="6" t="s">
        <v>127</v>
      </c>
      <c r="X18" s="39" t="s">
        <v>131</v>
      </c>
      <c r="Y18" s="26">
        <v>-1200</v>
      </c>
    </row>
    <row r="19" spans="2:25" x14ac:dyDescent="0.3">
      <c r="G19" s="6"/>
      <c r="H19" s="39"/>
      <c r="I19" s="28"/>
      <c r="J19" s="6" t="s">
        <v>116</v>
      </c>
      <c r="K19" s="39" t="s">
        <v>388</v>
      </c>
      <c r="L19" s="28">
        <v>-13740</v>
      </c>
      <c r="M19" s="6" t="s">
        <v>127</v>
      </c>
      <c r="N19" s="39" t="s">
        <v>131</v>
      </c>
      <c r="O19" s="26">
        <v>-1300</v>
      </c>
      <c r="P19" s="5"/>
      <c r="Q19" s="6"/>
      <c r="R19" s="39"/>
      <c r="S19" s="28"/>
      <c r="T19" s="6" t="s">
        <v>117</v>
      </c>
      <c r="U19" s="39" t="s">
        <v>321</v>
      </c>
      <c r="V19" s="28">
        <v>-37360</v>
      </c>
      <c r="W19" s="6" t="s">
        <v>133</v>
      </c>
      <c r="X19" s="39" t="s">
        <v>143</v>
      </c>
      <c r="Y19" s="26">
        <v>-693196</v>
      </c>
    </row>
    <row r="20" spans="2:25" x14ac:dyDescent="0.3">
      <c r="G20" s="6"/>
      <c r="H20" s="39"/>
      <c r="I20" s="28"/>
      <c r="J20" s="6" t="s">
        <v>120</v>
      </c>
      <c r="K20" s="39" t="s">
        <v>121</v>
      </c>
      <c r="L20" s="28">
        <v>37990</v>
      </c>
      <c r="M20" s="6" t="s">
        <v>114</v>
      </c>
      <c r="N20" s="39" t="s">
        <v>824</v>
      </c>
      <c r="O20" s="26">
        <v>414000</v>
      </c>
      <c r="P20" s="5"/>
      <c r="Q20" s="6"/>
      <c r="R20" s="39"/>
      <c r="S20" s="28"/>
      <c r="T20" s="6" t="s">
        <v>144</v>
      </c>
      <c r="U20" s="39" t="s">
        <v>811</v>
      </c>
      <c r="V20" s="28">
        <v>-199000</v>
      </c>
      <c r="W20" s="6" t="s">
        <v>114</v>
      </c>
      <c r="X20" s="39" t="s">
        <v>682</v>
      </c>
      <c r="Y20" s="26">
        <v>20000</v>
      </c>
    </row>
    <row r="21" spans="2:25" x14ac:dyDescent="0.3">
      <c r="G21" s="6"/>
      <c r="H21" s="39"/>
      <c r="I21" s="28"/>
      <c r="J21" s="6" t="s">
        <v>116</v>
      </c>
      <c r="K21" s="39" t="s">
        <v>823</v>
      </c>
      <c r="L21" s="28">
        <v>-70080</v>
      </c>
      <c r="M21" s="6" t="s">
        <v>114</v>
      </c>
      <c r="N21" s="39" t="s">
        <v>682</v>
      </c>
      <c r="O21" s="26">
        <v>148340</v>
      </c>
      <c r="P21" s="5"/>
      <c r="Q21" s="6"/>
      <c r="R21" s="39"/>
      <c r="S21" s="28"/>
      <c r="T21" s="6" t="s">
        <v>119</v>
      </c>
      <c r="U21" s="39" t="s">
        <v>141</v>
      </c>
      <c r="V21" s="28">
        <v>-13260</v>
      </c>
      <c r="W21" s="6" t="s">
        <v>145</v>
      </c>
      <c r="X21" s="39" t="s">
        <v>410</v>
      </c>
      <c r="Y21" s="26">
        <v>90000</v>
      </c>
    </row>
    <row r="22" spans="2:25" x14ac:dyDescent="0.3">
      <c r="G22" s="6"/>
      <c r="H22" s="39"/>
      <c r="I22" s="28"/>
      <c r="J22" s="6" t="s">
        <v>122</v>
      </c>
      <c r="K22" s="39" t="s">
        <v>321</v>
      </c>
      <c r="L22" s="28">
        <v>-37360</v>
      </c>
      <c r="M22" s="6" t="s">
        <v>127</v>
      </c>
      <c r="N22" s="39" t="s">
        <v>131</v>
      </c>
      <c r="O22" s="26">
        <v>-2500</v>
      </c>
      <c r="P22" s="5"/>
      <c r="Q22" s="6"/>
      <c r="R22" s="39"/>
      <c r="S22" s="28"/>
      <c r="T22" s="6" t="s">
        <v>117</v>
      </c>
      <c r="U22" s="39" t="s">
        <v>321</v>
      </c>
      <c r="V22" s="28">
        <v>-6657</v>
      </c>
      <c r="W22" s="6" t="s">
        <v>127</v>
      </c>
      <c r="X22" s="39" t="s">
        <v>131</v>
      </c>
      <c r="Y22" s="26">
        <v>-2500</v>
      </c>
    </row>
    <row r="23" spans="2:25" x14ac:dyDescent="0.3">
      <c r="G23" s="6"/>
      <c r="H23" s="39"/>
      <c r="I23" s="28"/>
      <c r="J23" s="6" t="s">
        <v>115</v>
      </c>
      <c r="K23" s="39" t="s">
        <v>132</v>
      </c>
      <c r="L23" s="28">
        <v>-1000000</v>
      </c>
      <c r="M23" s="6" t="s">
        <v>144</v>
      </c>
      <c r="N23" s="39" t="s">
        <v>200</v>
      </c>
      <c r="O23" s="26">
        <v>0</v>
      </c>
      <c r="P23" s="5"/>
      <c r="Q23" s="6"/>
      <c r="R23" s="39"/>
      <c r="S23" s="28"/>
      <c r="T23" s="6" t="s">
        <v>144</v>
      </c>
      <c r="U23" s="39" t="s">
        <v>147</v>
      </c>
      <c r="V23" s="28">
        <v>-120000</v>
      </c>
      <c r="W23" s="6" t="s">
        <v>145</v>
      </c>
      <c r="X23" s="39" t="s">
        <v>410</v>
      </c>
      <c r="Y23" s="26">
        <v>26000</v>
      </c>
    </row>
    <row r="24" spans="2:25" x14ac:dyDescent="0.3">
      <c r="G24" s="6"/>
      <c r="H24" s="39"/>
      <c r="I24" s="28"/>
      <c r="J24" s="6" t="s">
        <v>148</v>
      </c>
      <c r="K24" s="39" t="s">
        <v>825</v>
      </c>
      <c r="L24" s="28">
        <v>-586000</v>
      </c>
      <c r="M24" s="6" t="s">
        <v>127</v>
      </c>
      <c r="N24" s="39" t="s">
        <v>131</v>
      </c>
      <c r="O24" s="26">
        <v>-14500</v>
      </c>
      <c r="P24" s="5"/>
      <c r="Q24" s="6"/>
      <c r="R24" s="39"/>
      <c r="S24" s="28"/>
      <c r="T24" s="6" t="s">
        <v>144</v>
      </c>
      <c r="U24" s="39" t="s">
        <v>260</v>
      </c>
      <c r="V24" s="28">
        <v>-89620</v>
      </c>
      <c r="W24" s="6" t="s">
        <v>127</v>
      </c>
      <c r="X24" s="39" t="s">
        <v>411</v>
      </c>
      <c r="Y24" s="26">
        <v>1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116</v>
      </c>
      <c r="K25" s="39" t="s">
        <v>586</v>
      </c>
      <c r="L25" s="28">
        <v>-7900</v>
      </c>
      <c r="M25" s="6" t="s">
        <v>133</v>
      </c>
      <c r="N25" s="39" t="s">
        <v>706</v>
      </c>
      <c r="O25" s="26">
        <v>-30000</v>
      </c>
      <c r="P25" s="5"/>
      <c r="Q25" s="6"/>
      <c r="R25" s="39"/>
      <c r="S25" s="28"/>
      <c r="T25" s="6" t="s">
        <v>117</v>
      </c>
      <c r="U25" s="39" t="s">
        <v>845</v>
      </c>
      <c r="V25" s="28">
        <v>-5000</v>
      </c>
      <c r="W25" s="6" t="s">
        <v>144</v>
      </c>
      <c r="X25" s="39" t="s">
        <v>200</v>
      </c>
      <c r="Y25" s="26">
        <v>5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148</v>
      </c>
      <c r="K26" s="39" t="s">
        <v>826</v>
      </c>
      <c r="L26" s="28">
        <v>-800000</v>
      </c>
      <c r="M26" s="6" t="s">
        <v>175</v>
      </c>
      <c r="N26" s="39" t="s">
        <v>200</v>
      </c>
      <c r="O26" s="26">
        <v>100000</v>
      </c>
      <c r="P26" s="5"/>
      <c r="Q26" s="6"/>
      <c r="R26" s="39"/>
      <c r="S26" s="28"/>
      <c r="T26" s="6" t="s">
        <v>144</v>
      </c>
      <c r="U26" s="39" t="s">
        <v>260</v>
      </c>
      <c r="V26" s="28">
        <v>-25970</v>
      </c>
      <c r="W26" s="6" t="s">
        <v>114</v>
      </c>
      <c r="X26" s="39" t="s">
        <v>363</v>
      </c>
      <c r="Y26" s="26">
        <v>0</v>
      </c>
    </row>
    <row r="27" spans="2:25" x14ac:dyDescent="0.3">
      <c r="B27" s="48" t="s">
        <v>115</v>
      </c>
      <c r="C27" s="131">
        <f>-(SUMIF($J$7:$J$88,B27,$L$7:$L$88)+SUMIF($T$7:$T$88,B27,$V$7:$V$88))</f>
        <v>1048930</v>
      </c>
      <c r="D27" s="99"/>
      <c r="E27" s="100"/>
      <c r="G27" s="6"/>
      <c r="H27" s="39"/>
      <c r="I27" s="28"/>
      <c r="J27" s="6" t="s">
        <v>115</v>
      </c>
      <c r="K27" s="39" t="s">
        <v>141</v>
      </c>
      <c r="L27" s="28">
        <v>-9810</v>
      </c>
      <c r="M27" s="6" t="s">
        <v>175</v>
      </c>
      <c r="N27" s="39" t="s">
        <v>838</v>
      </c>
      <c r="O27" s="26">
        <v>-100000</v>
      </c>
      <c r="P27" s="5"/>
      <c r="Q27" s="6"/>
      <c r="R27" s="39"/>
      <c r="S27" s="28"/>
      <c r="T27" s="6" t="s">
        <v>116</v>
      </c>
      <c r="U27" s="39" t="s">
        <v>556</v>
      </c>
      <c r="V27" s="28">
        <v>-110810</v>
      </c>
      <c r="W27" s="6" t="s">
        <v>127</v>
      </c>
      <c r="X27" s="39" t="s">
        <v>131</v>
      </c>
      <c r="Y27" s="26">
        <v>-14500</v>
      </c>
    </row>
    <row r="28" spans="2:25" x14ac:dyDescent="0.3">
      <c r="B28" s="49" t="s">
        <v>116</v>
      </c>
      <c r="C28" s="131">
        <f>-(SUMIF($J$7:$J$88,B28,$L$7:$L$88)+SUMIF($T$7:$T$88,B28,$V$7:$V$88))</f>
        <v>2022115</v>
      </c>
      <c r="D28" s="99"/>
      <c r="E28" s="100"/>
      <c r="G28" s="6"/>
      <c r="H28" s="39"/>
      <c r="I28" s="28"/>
      <c r="J28" s="6" t="s">
        <v>120</v>
      </c>
      <c r="K28" s="39" t="s">
        <v>827</v>
      </c>
      <c r="L28" s="28">
        <v>-89000</v>
      </c>
      <c r="M28" s="6" t="s">
        <v>175</v>
      </c>
      <c r="N28" s="39" t="s">
        <v>252</v>
      </c>
      <c r="O28" s="26">
        <v>-100000</v>
      </c>
      <c r="P28" s="5"/>
      <c r="Q28" s="6"/>
      <c r="R28" s="39"/>
      <c r="S28" s="28"/>
      <c r="T28" s="6" t="s">
        <v>144</v>
      </c>
      <c r="U28" s="39" t="s">
        <v>260</v>
      </c>
      <c r="V28" s="28">
        <v>19160</v>
      </c>
      <c r="W28" s="6" t="s">
        <v>127</v>
      </c>
      <c r="X28" s="39" t="s">
        <v>850</v>
      </c>
      <c r="Y28" s="26">
        <v>60000</v>
      </c>
    </row>
    <row r="29" spans="2:25" x14ac:dyDescent="0.3">
      <c r="B29" s="49" t="s">
        <v>120</v>
      </c>
      <c r="C29" s="131">
        <f>-(SUMIF($J$7:$J$88,B29,$L$7:$L$88)+SUMIF($T$7:$T$88,B29,$V$7:$V$88))</f>
        <v>204100</v>
      </c>
      <c r="D29" s="99"/>
      <c r="E29" s="100"/>
      <c r="G29" s="6"/>
      <c r="H29" s="39"/>
      <c r="I29" s="28"/>
      <c r="J29" s="6" t="s">
        <v>116</v>
      </c>
      <c r="K29" s="39" t="s">
        <v>828</v>
      </c>
      <c r="L29" s="28">
        <v>-700</v>
      </c>
      <c r="M29" s="6" t="s">
        <v>144</v>
      </c>
      <c r="N29" s="39" t="s">
        <v>200</v>
      </c>
      <c r="O29" s="26">
        <v>0</v>
      </c>
      <c r="P29" s="5"/>
      <c r="Q29" s="6"/>
      <c r="R29" s="39"/>
      <c r="S29" s="28"/>
      <c r="T29" s="6" t="s">
        <v>144</v>
      </c>
      <c r="U29" s="39" t="s">
        <v>260</v>
      </c>
      <c r="V29" s="28">
        <v>12990</v>
      </c>
      <c r="W29" s="6" t="s">
        <v>114</v>
      </c>
      <c r="X29" s="39" t="s">
        <v>286</v>
      </c>
      <c r="Y29" s="26">
        <v>1</v>
      </c>
    </row>
    <row r="30" spans="2:25" x14ac:dyDescent="0.3">
      <c r="B30" s="49" t="s">
        <v>118</v>
      </c>
      <c r="C30" s="131">
        <f>-(SUMIF($J$7:$J$88,B30,$L$7:$L$88)+SUMIF($T$7:$T$88,B30,$V$7:$V$88))</f>
        <v>524420</v>
      </c>
      <c r="D30" s="99"/>
      <c r="E30" s="100"/>
      <c r="G30" s="6"/>
      <c r="H30" s="39"/>
      <c r="I30" s="28"/>
      <c r="J30" s="6" t="s">
        <v>125</v>
      </c>
      <c r="K30" s="39" t="s">
        <v>829</v>
      </c>
      <c r="L30" s="28">
        <v>-4000</v>
      </c>
      <c r="M30" s="6"/>
      <c r="N30" s="39"/>
      <c r="O30" s="26"/>
      <c r="P30" s="5"/>
      <c r="Q30" s="6"/>
      <c r="R30" s="39"/>
      <c r="S30" s="28"/>
      <c r="T30" s="6" t="s">
        <v>138</v>
      </c>
      <c r="U30" s="39" t="s">
        <v>846</v>
      </c>
      <c r="V30" s="28">
        <v>-3150</v>
      </c>
      <c r="W30" s="6" t="s">
        <v>114</v>
      </c>
      <c r="X30" s="39" t="s">
        <v>852</v>
      </c>
      <c r="Y30" s="26">
        <v>55000</v>
      </c>
    </row>
    <row r="31" spans="2:25" x14ac:dyDescent="0.3">
      <c r="B31" s="49" t="s">
        <v>122</v>
      </c>
      <c r="C31" s="131">
        <f>-(SUMIF($J$7:$J$88,B31,$L$7:$L$88)+SUMIF($T$7:$T$88,B31,$V$7:$V$88))</f>
        <v>671880</v>
      </c>
      <c r="D31" s="99"/>
      <c r="E31" s="100"/>
      <c r="G31" s="6"/>
      <c r="H31" s="39"/>
      <c r="I31" s="28"/>
      <c r="J31" s="6" t="s">
        <v>116</v>
      </c>
      <c r="K31" s="39" t="s">
        <v>336</v>
      </c>
      <c r="L31" s="28">
        <v>-4980</v>
      </c>
      <c r="M31" s="6"/>
      <c r="N31" s="39"/>
      <c r="O31" s="26"/>
      <c r="P31" s="5"/>
      <c r="Q31" s="6"/>
      <c r="R31" s="39"/>
      <c r="S31" s="28"/>
      <c r="T31" s="6" t="s">
        <v>144</v>
      </c>
      <c r="U31" s="39" t="s">
        <v>230</v>
      </c>
      <c r="V31" s="28">
        <v>-1000</v>
      </c>
      <c r="W31" s="6" t="s">
        <v>144</v>
      </c>
      <c r="X31" s="39" t="s">
        <v>317</v>
      </c>
      <c r="Y31" s="26">
        <v>-580</v>
      </c>
    </row>
    <row r="32" spans="2:25" x14ac:dyDescent="0.3">
      <c r="B32" s="49" t="s">
        <v>119</v>
      </c>
      <c r="C32" s="131">
        <f>-(SUMIF($J$7:$J$88,B32,$L$7:$L$88)+SUMIF($T$7:$T$88,B32,$V$7:$V$88))</f>
        <v>364070</v>
      </c>
      <c r="D32" s="99"/>
      <c r="E32" s="100"/>
      <c r="G32" s="6"/>
      <c r="H32" s="39"/>
      <c r="I32" s="28"/>
      <c r="J32" s="6" t="s">
        <v>119</v>
      </c>
      <c r="K32" s="39" t="s">
        <v>830</v>
      </c>
      <c r="L32" s="28">
        <v>-40000</v>
      </c>
      <c r="M32" s="6"/>
      <c r="N32" s="39"/>
      <c r="O32" s="26"/>
      <c r="P32" s="5"/>
      <c r="Q32" s="6"/>
      <c r="R32" s="39"/>
      <c r="S32" s="28"/>
      <c r="T32" s="6" t="s">
        <v>137</v>
      </c>
      <c r="U32" s="39" t="s">
        <v>847</v>
      </c>
      <c r="V32" s="28">
        <v>-31700</v>
      </c>
      <c r="W32" s="6" t="s">
        <v>144</v>
      </c>
      <c r="X32" s="39" t="s">
        <v>317</v>
      </c>
      <c r="Y32" s="26">
        <v>-50</v>
      </c>
    </row>
    <row r="33" spans="2:25" x14ac:dyDescent="0.3">
      <c r="B33" s="49" t="s">
        <v>129</v>
      </c>
      <c r="C33" s="131">
        <f>-(SUMIF($J$7:$J$88,B33,$L$7:$L$88)+SUMIF($T$7:$T$88,B33,$V$7:$V$88))</f>
        <v>0</v>
      </c>
      <c r="D33" s="99"/>
      <c r="E33" s="100"/>
      <c r="G33" s="6"/>
      <c r="H33" s="39"/>
      <c r="I33" s="28"/>
      <c r="J33" s="6" t="s">
        <v>116</v>
      </c>
      <c r="K33" s="39" t="s">
        <v>463</v>
      </c>
      <c r="L33" s="28">
        <v>-12600</v>
      </c>
      <c r="M33" s="6"/>
      <c r="N33" s="39"/>
      <c r="O33" s="26"/>
      <c r="P33" s="5"/>
      <c r="Q33" s="6"/>
      <c r="R33" s="39"/>
      <c r="S33" s="28"/>
      <c r="T33" s="6" t="s">
        <v>116</v>
      </c>
      <c r="U33" s="39" t="s">
        <v>315</v>
      </c>
      <c r="V33" s="28">
        <v>-5000</v>
      </c>
      <c r="W33" s="6" t="s">
        <v>144</v>
      </c>
      <c r="X33" s="39" t="s">
        <v>200</v>
      </c>
      <c r="Y33" s="26">
        <v>4186</v>
      </c>
    </row>
    <row r="34" spans="2:25" x14ac:dyDescent="0.3">
      <c r="B34" s="49" t="s">
        <v>125</v>
      </c>
      <c r="C34" s="131">
        <f>-(SUMIF($J$7:$J$88,B34,$L$7:$L$88)+SUMIF($T$7:$T$88,B34,$V$7:$V$88))</f>
        <v>52390</v>
      </c>
      <c r="D34" s="99"/>
      <c r="E34" s="100"/>
      <c r="G34" s="6"/>
      <c r="H34" s="39"/>
      <c r="I34" s="28"/>
      <c r="J34" s="6" t="s">
        <v>125</v>
      </c>
      <c r="K34" s="39" t="s">
        <v>831</v>
      </c>
      <c r="L34" s="28">
        <v>-17600</v>
      </c>
      <c r="M34" s="6"/>
      <c r="N34" s="39"/>
      <c r="O34" s="26"/>
      <c r="P34" s="5"/>
      <c r="Q34" s="6"/>
      <c r="R34" s="39"/>
      <c r="S34" s="28"/>
      <c r="T34" s="6" t="s">
        <v>144</v>
      </c>
      <c r="U34" s="39" t="s">
        <v>141</v>
      </c>
      <c r="V34" s="28">
        <v>18323</v>
      </c>
      <c r="W34" s="6"/>
      <c r="X34" s="39"/>
      <c r="Y34" s="26"/>
    </row>
    <row r="35" spans="2:25" x14ac:dyDescent="0.3">
      <c r="B35" s="49" t="s">
        <v>148</v>
      </c>
      <c r="C35" s="131">
        <f>-(SUMIF($J$7:$J$88,B35,$L$7:$L$88)+SUMIF($T$7:$T$88,B35,$V$7:$V$88))</f>
        <v>1825636</v>
      </c>
      <c r="D35" s="99"/>
      <c r="E35" s="100"/>
      <c r="G35" s="6"/>
      <c r="H35" s="39"/>
      <c r="I35" s="28"/>
      <c r="J35" s="6" t="s">
        <v>119</v>
      </c>
      <c r="K35" s="39" t="s">
        <v>832</v>
      </c>
      <c r="L35" s="28">
        <v>-60000</v>
      </c>
      <c r="M35" s="6"/>
      <c r="N35" s="39"/>
      <c r="O35" s="26"/>
      <c r="P35" s="5"/>
      <c r="Q35" s="6"/>
      <c r="R35" s="39"/>
      <c r="S35" s="28"/>
      <c r="T35" s="6" t="s">
        <v>148</v>
      </c>
      <c r="U35" s="39" t="s">
        <v>290</v>
      </c>
      <c r="V35" s="28">
        <v>-429436</v>
      </c>
      <c r="W35" s="6"/>
      <c r="X35" s="39"/>
      <c r="Y35" s="26"/>
    </row>
    <row r="36" spans="2:25" x14ac:dyDescent="0.3">
      <c r="B36" s="49" t="s">
        <v>117</v>
      </c>
      <c r="C36" s="131">
        <f>-(SUMIF($J$7:$J$88,B36,$L$7:$L$88)+SUMIF($T$7:$T$88,B36,$V$7:$V$88))</f>
        <v>279287</v>
      </c>
      <c r="D36" s="99"/>
      <c r="E36" s="100"/>
      <c r="G36" s="6"/>
      <c r="H36" s="39"/>
      <c r="I36" s="28"/>
      <c r="J36" s="6" t="s">
        <v>118</v>
      </c>
      <c r="K36" s="39" t="s">
        <v>130</v>
      </c>
      <c r="L36" s="28">
        <v>-49500</v>
      </c>
      <c r="M36" s="6"/>
      <c r="N36" s="39"/>
      <c r="O36" s="26"/>
      <c r="P36" s="5"/>
      <c r="Q36" s="6"/>
      <c r="R36" s="39"/>
      <c r="S36" s="28"/>
      <c r="T36" s="6" t="s">
        <v>118</v>
      </c>
      <c r="U36" s="39" t="s">
        <v>224</v>
      </c>
      <c r="V36" s="28">
        <v>-24100</v>
      </c>
      <c r="W36" s="6"/>
      <c r="X36" s="39"/>
      <c r="Y36" s="26"/>
    </row>
    <row r="37" spans="2:25" x14ac:dyDescent="0.3">
      <c r="B37" s="49" t="s">
        <v>128</v>
      </c>
      <c r="C37" s="131">
        <f>-(SUMIF($J$7:$J$88,B37,$L$7:$L$88)+SUMIF($T$7:$T$88,B37,$V$7:$V$88))</f>
        <v>0</v>
      </c>
      <c r="D37" s="99"/>
      <c r="E37" s="100"/>
      <c r="G37" s="6"/>
      <c r="H37" s="39"/>
      <c r="I37" s="28"/>
      <c r="J37" s="6" t="s">
        <v>146</v>
      </c>
      <c r="K37" s="39" t="s">
        <v>833</v>
      </c>
      <c r="L37" s="28">
        <v>-45700</v>
      </c>
      <c r="M37" s="6"/>
      <c r="N37" s="39"/>
      <c r="O37" s="26"/>
      <c r="P37" s="5"/>
      <c r="Q37" s="6"/>
      <c r="R37" s="39"/>
      <c r="S37" s="28"/>
      <c r="T37" s="6" t="s">
        <v>125</v>
      </c>
      <c r="U37" s="39" t="s">
        <v>123</v>
      </c>
      <c r="V37" s="28">
        <v>-990</v>
      </c>
      <c r="W37" s="6"/>
      <c r="X37" s="39"/>
      <c r="Y37" s="26"/>
    </row>
    <row r="38" spans="2:25" x14ac:dyDescent="0.3">
      <c r="B38" s="49" t="s">
        <v>146</v>
      </c>
      <c r="C38" s="131">
        <f>-(SUMIF($J$7:$J$88,B38,$L$7:$L$88)+SUMIF($T$7:$T$88,B38,$V$7:$V$88))</f>
        <v>45700</v>
      </c>
      <c r="D38" s="99"/>
      <c r="E38" s="100"/>
      <c r="G38" s="6"/>
      <c r="H38" s="39"/>
      <c r="I38" s="28"/>
      <c r="J38" s="6" t="s">
        <v>116</v>
      </c>
      <c r="K38" s="39" t="s">
        <v>158</v>
      </c>
      <c r="L38" s="28">
        <v>-1500000</v>
      </c>
      <c r="M38" s="6"/>
      <c r="N38" s="39"/>
      <c r="O38" s="26"/>
      <c r="P38" s="5"/>
      <c r="Q38" s="6"/>
      <c r="R38" s="39"/>
      <c r="S38" s="28"/>
      <c r="T38" s="6" t="s">
        <v>118</v>
      </c>
      <c r="U38" s="39" t="s">
        <v>284</v>
      </c>
      <c r="V38" s="28">
        <v>-220160</v>
      </c>
      <c r="W38" s="6"/>
      <c r="X38" s="39"/>
      <c r="Y38" s="26"/>
    </row>
    <row r="39" spans="2:25" x14ac:dyDescent="0.3">
      <c r="B39" s="49" t="s">
        <v>134</v>
      </c>
      <c r="C39" s="131">
        <f>-(SUMIF($J$7:$J$88,B39,$L$7:$L$88)+SUMIF($T$7:$T$88,B39,$V$7:$V$88))</f>
        <v>0</v>
      </c>
      <c r="D39" s="99"/>
      <c r="E39" s="100"/>
      <c r="G39" s="6"/>
      <c r="H39" s="39"/>
      <c r="I39" s="28"/>
      <c r="J39" s="6" t="s">
        <v>115</v>
      </c>
      <c r="K39" s="39" t="s">
        <v>834</v>
      </c>
      <c r="L39" s="28">
        <v>-3000</v>
      </c>
      <c r="M39" s="6"/>
      <c r="N39" s="39"/>
      <c r="O39" s="26"/>
      <c r="P39" s="5"/>
      <c r="Q39" s="6"/>
      <c r="R39" s="39"/>
      <c r="S39" s="28"/>
      <c r="T39" s="6" t="s">
        <v>119</v>
      </c>
      <c r="U39" s="39" t="s">
        <v>848</v>
      </c>
      <c r="V39" s="28">
        <v>-40000</v>
      </c>
      <c r="W39" s="6"/>
      <c r="X39" s="39"/>
      <c r="Y39" s="26"/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116</v>
      </c>
      <c r="K40" s="39" t="s">
        <v>124</v>
      </c>
      <c r="L40" s="28">
        <v>-80000</v>
      </c>
      <c r="M40" s="6"/>
      <c r="N40" s="39"/>
      <c r="O40" s="26"/>
      <c r="P40" s="5"/>
      <c r="Q40" s="6"/>
      <c r="R40" s="39"/>
      <c r="S40" s="28"/>
      <c r="T40" s="6" t="s">
        <v>138</v>
      </c>
      <c r="U40" s="39" t="s">
        <v>849</v>
      </c>
      <c r="V40" s="28">
        <v>-35862</v>
      </c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0</v>
      </c>
      <c r="D41" s="99"/>
      <c r="E41" s="100"/>
      <c r="G41" s="6"/>
      <c r="H41" s="39"/>
      <c r="I41" s="28"/>
      <c r="J41" s="6" t="s">
        <v>122</v>
      </c>
      <c r="K41" s="39" t="s">
        <v>230</v>
      </c>
      <c r="L41" s="28">
        <v>-1000</v>
      </c>
      <c r="M41" s="6"/>
      <c r="N41" s="39"/>
      <c r="O41" s="26"/>
      <c r="P41" s="5"/>
      <c r="Q41" s="6"/>
      <c r="R41" s="39"/>
      <c r="S41" s="28"/>
      <c r="T41" s="6" t="s">
        <v>137</v>
      </c>
      <c r="U41" s="39" t="s">
        <v>263</v>
      </c>
      <c r="V41" s="28">
        <v>-12240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125</v>
      </c>
      <c r="K42" s="39" t="s">
        <v>835</v>
      </c>
      <c r="L42" s="28">
        <v>-8000</v>
      </c>
      <c r="M42" s="6"/>
      <c r="N42" s="39"/>
      <c r="O42" s="26"/>
      <c r="P42" s="5"/>
      <c r="Q42" s="6"/>
      <c r="R42" s="39"/>
      <c r="S42" s="28"/>
      <c r="T42" s="6" t="s">
        <v>144</v>
      </c>
      <c r="U42" s="39" t="s">
        <v>263</v>
      </c>
      <c r="V42" s="28">
        <v>12240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104458</v>
      </c>
      <c r="D43" s="99"/>
      <c r="E43" s="100"/>
      <c r="G43" s="6"/>
      <c r="H43" s="39"/>
      <c r="I43" s="28"/>
      <c r="J43" s="6" t="s">
        <v>119</v>
      </c>
      <c r="K43" s="39" t="s">
        <v>836</v>
      </c>
      <c r="L43" s="28">
        <v>-35950</v>
      </c>
      <c r="M43" s="6"/>
      <c r="N43" s="39"/>
      <c r="O43" s="26"/>
      <c r="P43" s="5"/>
      <c r="Q43" s="6"/>
      <c r="R43" s="39"/>
      <c r="S43" s="28"/>
      <c r="T43" s="6" t="s">
        <v>137</v>
      </c>
      <c r="U43" s="39" t="s">
        <v>263</v>
      </c>
      <c r="V43" s="28">
        <v>-16200</v>
      </c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2625099</v>
      </c>
      <c r="D44" s="99"/>
      <c r="E44" s="100"/>
      <c r="G44" s="6"/>
      <c r="H44" s="39"/>
      <c r="I44" s="28"/>
      <c r="J44" s="6" t="s">
        <v>118</v>
      </c>
      <c r="K44" s="39" t="s">
        <v>224</v>
      </c>
      <c r="L44" s="28">
        <v>-40490</v>
      </c>
      <c r="M44" s="6"/>
      <c r="N44" s="39"/>
      <c r="O44" s="26"/>
      <c r="P44" s="5"/>
      <c r="Q44" s="6"/>
      <c r="R44" s="39"/>
      <c r="S44" s="28"/>
      <c r="T44" s="6" t="s">
        <v>116</v>
      </c>
      <c r="U44" s="39" t="s">
        <v>289</v>
      </c>
      <c r="V44" s="28">
        <v>-102105</v>
      </c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39012</v>
      </c>
      <c r="D45" s="99"/>
      <c r="E45" s="100"/>
      <c r="G45" s="6"/>
      <c r="H45" s="39"/>
      <c r="I45" s="28"/>
      <c r="J45" s="6" t="s">
        <v>120</v>
      </c>
      <c r="K45" s="39" t="s">
        <v>359</v>
      </c>
      <c r="L45" s="28">
        <v>-7800</v>
      </c>
      <c r="M45" s="6"/>
      <c r="N45" s="39"/>
      <c r="O45" s="26"/>
      <c r="P45" s="5"/>
      <c r="Q45" s="6"/>
      <c r="R45" s="39"/>
      <c r="S45" s="28"/>
      <c r="T45" s="6" t="s">
        <v>125</v>
      </c>
      <c r="U45" s="39" t="s">
        <v>263</v>
      </c>
      <c r="V45" s="28">
        <v>-7800</v>
      </c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115</v>
      </c>
      <c r="K46" s="39" t="s">
        <v>246</v>
      </c>
      <c r="L46" s="28">
        <v>-36120</v>
      </c>
      <c r="M46" s="6"/>
      <c r="N46" s="39"/>
      <c r="O46" s="26"/>
      <c r="P46" s="5"/>
      <c r="Q46" s="6"/>
      <c r="R46" s="39"/>
      <c r="S46" s="28"/>
      <c r="T46" s="6" t="s">
        <v>137</v>
      </c>
      <c r="U46" s="39" t="s">
        <v>140</v>
      </c>
      <c r="V46" s="28">
        <v>-2500</v>
      </c>
      <c r="W46" s="6"/>
      <c r="X46" s="39"/>
      <c r="Y46" s="26"/>
    </row>
    <row r="47" spans="2:25" x14ac:dyDescent="0.3">
      <c r="G47" s="6"/>
      <c r="H47" s="39"/>
      <c r="I47" s="28"/>
      <c r="J47" s="6" t="s">
        <v>125</v>
      </c>
      <c r="K47" s="39" t="s">
        <v>227</v>
      </c>
      <c r="L47" s="28">
        <v>-5200</v>
      </c>
      <c r="M47" s="6"/>
      <c r="N47" s="39"/>
      <c r="O47" s="26"/>
      <c r="P47" s="5"/>
      <c r="Q47" s="6"/>
      <c r="R47" s="39"/>
      <c r="S47" s="28"/>
      <c r="T47" s="6" t="s">
        <v>144</v>
      </c>
      <c r="U47" s="39" t="s">
        <v>263</v>
      </c>
      <c r="V47" s="28">
        <v>-347812</v>
      </c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148</v>
      </c>
      <c r="K48" s="39" t="s">
        <v>837</v>
      </c>
      <c r="L48" s="28">
        <v>-4500</v>
      </c>
      <c r="M48" s="6"/>
      <c r="N48" s="39"/>
      <c r="O48" s="26"/>
      <c r="P48" s="5"/>
      <c r="Q48" s="6"/>
      <c r="R48" s="39"/>
      <c r="S48" s="28"/>
      <c r="T48" s="6" t="s">
        <v>144</v>
      </c>
      <c r="U48" s="39" t="s">
        <v>263</v>
      </c>
      <c r="V48" s="28">
        <v>-191200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117</v>
      </c>
      <c r="K49" s="39" t="s">
        <v>839</v>
      </c>
      <c r="L49" s="28">
        <v>-62900</v>
      </c>
      <c r="M49" s="6"/>
      <c r="N49" s="39"/>
      <c r="O49" s="26"/>
      <c r="P49" s="5"/>
      <c r="Q49" s="6"/>
      <c r="R49" s="39"/>
      <c r="S49" s="28"/>
      <c r="T49" s="6" t="s">
        <v>148</v>
      </c>
      <c r="U49" s="39" t="s">
        <v>851</v>
      </c>
      <c r="V49" s="28">
        <v>-5700</v>
      </c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116</v>
      </c>
      <c r="K50" s="39" t="s">
        <v>840</v>
      </c>
      <c r="L50" s="28">
        <v>-6300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125</v>
      </c>
      <c r="K51" s="39" t="s">
        <v>841</v>
      </c>
      <c r="L51" s="28">
        <v>-8800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16437</v>
      </c>
      <c r="D52" s="99"/>
      <c r="E52" s="100"/>
      <c r="G52" s="6"/>
      <c r="H52" s="39"/>
      <c r="I52" s="28"/>
      <c r="J52" s="6" t="s">
        <v>117</v>
      </c>
      <c r="K52" s="39" t="s">
        <v>256</v>
      </c>
      <c r="L52" s="28">
        <v>-75630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11692403</v>
      </c>
      <c r="D53" s="99"/>
      <c r="E53" s="100"/>
      <c r="G53" s="6"/>
      <c r="H53" s="39"/>
      <c r="I53" s="28"/>
      <c r="J53" s="6" t="s">
        <v>118</v>
      </c>
      <c r="K53" s="39" t="s">
        <v>842</v>
      </c>
      <c r="L53" s="28">
        <v>-79030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5967985</v>
      </c>
      <c r="J89" s="7" t="s">
        <v>24</v>
      </c>
      <c r="K89" s="22" t="s">
        <v>34</v>
      </c>
      <c r="L89" s="21">
        <f>SUM(L7:L88)</f>
        <v>-5872980</v>
      </c>
      <c r="M89" s="7" t="s">
        <v>24</v>
      </c>
      <c r="N89" s="22" t="s">
        <v>34</v>
      </c>
      <c r="O89" s="21">
        <f>SUM(O7:O88)</f>
        <v>56540</v>
      </c>
      <c r="Q89" s="7" t="s">
        <v>24</v>
      </c>
      <c r="R89" s="17" t="s">
        <v>34</v>
      </c>
      <c r="S89" s="19">
        <f>SUM(S7:S88)</f>
        <v>5740855</v>
      </c>
      <c r="T89" s="7" t="s">
        <v>24</v>
      </c>
      <c r="U89" s="22" t="s">
        <v>34</v>
      </c>
      <c r="V89" s="21">
        <f>SUM(V7:V88)</f>
        <v>-3934117</v>
      </c>
      <c r="W89" s="7" t="s">
        <v>24</v>
      </c>
      <c r="X89" s="22" t="s">
        <v>34</v>
      </c>
      <c r="Y89" s="21">
        <f>SUM(Y7:Y88)</f>
        <v>39677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151545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1846415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topLeftCell="A45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21" t="s">
        <v>110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-4662726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14662726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-0.46627259999999998</v>
      </c>
      <c r="D7" s="111"/>
      <c r="G7" s="6" t="s">
        <v>112</v>
      </c>
      <c r="H7" s="39" t="s">
        <v>861</v>
      </c>
      <c r="I7" s="28">
        <v>1</v>
      </c>
      <c r="J7" s="6" t="s">
        <v>148</v>
      </c>
      <c r="K7" s="39" t="s">
        <v>853</v>
      </c>
      <c r="L7" s="28">
        <v>-24000</v>
      </c>
      <c r="M7" s="6" t="s">
        <v>127</v>
      </c>
      <c r="N7" s="39" t="s">
        <v>181</v>
      </c>
      <c r="O7" s="40">
        <v>-100000</v>
      </c>
      <c r="P7" s="5"/>
      <c r="Q7" s="6" t="s">
        <v>188</v>
      </c>
      <c r="R7" s="39" t="s">
        <v>902</v>
      </c>
      <c r="S7" s="28">
        <v>120000</v>
      </c>
      <c r="T7" s="6" t="s">
        <v>116</v>
      </c>
      <c r="U7" s="39" t="s">
        <v>503</v>
      </c>
      <c r="V7" s="28">
        <v>-6000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188</v>
      </c>
      <c r="H8" s="39" t="s">
        <v>229</v>
      </c>
      <c r="I8" s="28">
        <v>4063316</v>
      </c>
      <c r="J8" s="6" t="s">
        <v>120</v>
      </c>
      <c r="K8" s="39" t="s">
        <v>854</v>
      </c>
      <c r="L8" s="28">
        <v>-16000</v>
      </c>
      <c r="M8" s="6" t="s">
        <v>127</v>
      </c>
      <c r="N8" s="39" t="s">
        <v>181</v>
      </c>
      <c r="O8" s="26">
        <v>-100000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263</v>
      </c>
      <c r="V8" s="28">
        <v>-11476</v>
      </c>
      <c r="W8" s="6" t="s">
        <v>133</v>
      </c>
      <c r="X8" s="39" t="s">
        <v>136</v>
      </c>
      <c r="Y8" s="26">
        <v>-2124780</v>
      </c>
    </row>
    <row r="9" spans="2:25" x14ac:dyDescent="0.3">
      <c r="G9" s="6" t="s">
        <v>112</v>
      </c>
      <c r="H9" s="39" t="s">
        <v>237</v>
      </c>
      <c r="I9" s="28">
        <v>0</v>
      </c>
      <c r="J9" s="6" t="s">
        <v>125</v>
      </c>
      <c r="K9" s="39" t="s">
        <v>855</v>
      </c>
      <c r="L9" s="28">
        <v>-6000</v>
      </c>
      <c r="M9" s="6" t="s">
        <v>127</v>
      </c>
      <c r="N9" s="39" t="s">
        <v>181</v>
      </c>
      <c r="O9" s="26">
        <v>-100000</v>
      </c>
      <c r="P9" s="5"/>
      <c r="Q9" s="6" t="s">
        <v>188</v>
      </c>
      <c r="R9" s="39" t="s">
        <v>229</v>
      </c>
      <c r="S9" s="28">
        <v>3912370</v>
      </c>
      <c r="T9" s="6" t="s">
        <v>117</v>
      </c>
      <c r="U9" s="39" t="s">
        <v>321</v>
      </c>
      <c r="V9" s="28">
        <v>-22714</v>
      </c>
      <c r="W9" s="6" t="s">
        <v>145</v>
      </c>
      <c r="X9" s="39" t="s">
        <v>410</v>
      </c>
      <c r="Y9" s="26">
        <v>50000</v>
      </c>
    </row>
    <row r="10" spans="2:25" x14ac:dyDescent="0.3">
      <c r="G10" s="6"/>
      <c r="H10" s="39"/>
      <c r="I10" s="28"/>
      <c r="J10" s="6" t="s">
        <v>125</v>
      </c>
      <c r="K10" s="39" t="s">
        <v>856</v>
      </c>
      <c r="L10" s="28">
        <v>-39800</v>
      </c>
      <c r="M10" s="6" t="s">
        <v>127</v>
      </c>
      <c r="N10" s="39" t="s">
        <v>181</v>
      </c>
      <c r="O10" s="26">
        <v>-100000</v>
      </c>
      <c r="P10" s="5"/>
      <c r="Q10" s="6" t="s">
        <v>188</v>
      </c>
      <c r="R10" s="39" t="s">
        <v>907</v>
      </c>
      <c r="S10" s="28">
        <v>14000</v>
      </c>
      <c r="T10" s="6" t="s">
        <v>117</v>
      </c>
      <c r="U10" s="39" t="s">
        <v>321</v>
      </c>
      <c r="V10" s="28">
        <v>-34248</v>
      </c>
      <c r="W10" s="6" t="s">
        <v>144</v>
      </c>
      <c r="X10" s="39" t="s">
        <v>367</v>
      </c>
      <c r="Y10" s="26">
        <v>-50000</v>
      </c>
    </row>
    <row r="11" spans="2:25" x14ac:dyDescent="0.3">
      <c r="G11" s="6"/>
      <c r="H11" s="39"/>
      <c r="I11" s="28"/>
      <c r="J11" s="6" t="s">
        <v>116</v>
      </c>
      <c r="K11" s="39" t="s">
        <v>857</v>
      </c>
      <c r="L11" s="28">
        <v>-10800</v>
      </c>
      <c r="M11" s="6" t="s">
        <v>175</v>
      </c>
      <c r="N11" s="39" t="s">
        <v>135</v>
      </c>
      <c r="O11" s="26">
        <v>-1000000</v>
      </c>
      <c r="P11" s="5"/>
      <c r="Q11" s="6" t="s">
        <v>112</v>
      </c>
      <c r="R11" s="39" t="s">
        <v>287</v>
      </c>
      <c r="S11" s="28">
        <v>8</v>
      </c>
      <c r="T11" s="6" t="s">
        <v>125</v>
      </c>
      <c r="U11" s="39" t="s">
        <v>581</v>
      </c>
      <c r="V11" s="28">
        <v>-10000</v>
      </c>
      <c r="W11" s="6" t="s">
        <v>144</v>
      </c>
      <c r="X11" s="39" t="s">
        <v>367</v>
      </c>
      <c r="Y11" s="26">
        <v>50000</v>
      </c>
    </row>
    <row r="12" spans="2:25" x14ac:dyDescent="0.3">
      <c r="G12" s="6"/>
      <c r="H12" s="39"/>
      <c r="I12" s="28"/>
      <c r="J12" s="6" t="s">
        <v>122</v>
      </c>
      <c r="K12" s="39" t="s">
        <v>191</v>
      </c>
      <c r="L12" s="28">
        <v>-6200</v>
      </c>
      <c r="M12" s="6" t="s">
        <v>175</v>
      </c>
      <c r="N12" s="39" t="s">
        <v>135</v>
      </c>
      <c r="O12" s="26">
        <v>1000000</v>
      </c>
      <c r="P12" s="5"/>
      <c r="Q12" s="6" t="s">
        <v>112</v>
      </c>
      <c r="R12" s="39" t="s">
        <v>237</v>
      </c>
      <c r="S12" s="28">
        <v>0</v>
      </c>
      <c r="T12" s="6" t="s">
        <v>116</v>
      </c>
      <c r="U12" s="39" t="s">
        <v>893</v>
      </c>
      <c r="V12" s="28">
        <v>-3980</v>
      </c>
      <c r="W12" s="6" t="s">
        <v>145</v>
      </c>
      <c r="X12" s="39" t="s">
        <v>895</v>
      </c>
      <c r="Y12" s="26">
        <v>100000</v>
      </c>
    </row>
    <row r="13" spans="2:25" x14ac:dyDescent="0.3">
      <c r="G13" s="6"/>
      <c r="H13" s="39"/>
      <c r="I13" s="28"/>
      <c r="J13" s="6" t="s">
        <v>116</v>
      </c>
      <c r="K13" s="39" t="s">
        <v>858</v>
      </c>
      <c r="L13" s="28">
        <v>-2700</v>
      </c>
      <c r="M13" s="6" t="s">
        <v>127</v>
      </c>
      <c r="N13" s="39" t="s">
        <v>864</v>
      </c>
      <c r="O13" s="26">
        <v>10000</v>
      </c>
      <c r="P13" s="5"/>
      <c r="Q13" s="6"/>
      <c r="R13" s="39"/>
      <c r="S13" s="28"/>
      <c r="T13" s="6" t="s">
        <v>125</v>
      </c>
      <c r="U13" s="39" t="s">
        <v>419</v>
      </c>
      <c r="V13" s="28">
        <v>-3000</v>
      </c>
      <c r="W13" s="6" t="s">
        <v>127</v>
      </c>
      <c r="X13" s="39" t="s">
        <v>896</v>
      </c>
      <c r="Y13" s="26">
        <v>-800000</v>
      </c>
    </row>
    <row r="14" spans="2:25" x14ac:dyDescent="0.3">
      <c r="G14" s="6"/>
      <c r="H14" s="39"/>
      <c r="I14" s="28"/>
      <c r="J14" s="6" t="s">
        <v>125</v>
      </c>
      <c r="K14" s="39" t="s">
        <v>859</v>
      </c>
      <c r="L14" s="28">
        <v>-3600</v>
      </c>
      <c r="M14" s="6" t="s">
        <v>127</v>
      </c>
      <c r="N14" s="39" t="s">
        <v>865</v>
      </c>
      <c r="O14" s="26">
        <v>80000</v>
      </c>
      <c r="P14" s="5"/>
      <c r="Q14" s="6"/>
      <c r="R14" s="39"/>
      <c r="S14" s="28"/>
      <c r="T14" s="6" t="s">
        <v>116</v>
      </c>
      <c r="U14" s="39" t="s">
        <v>894</v>
      </c>
      <c r="V14" s="28">
        <v>-5000</v>
      </c>
      <c r="W14" s="6" t="s">
        <v>127</v>
      </c>
      <c r="X14" s="39" t="s">
        <v>897</v>
      </c>
      <c r="Y14" s="26">
        <v>-400000</v>
      </c>
    </row>
    <row r="15" spans="2:25" x14ac:dyDescent="0.3">
      <c r="G15" s="6"/>
      <c r="H15" s="39"/>
      <c r="I15" s="28"/>
      <c r="J15" s="6" t="s">
        <v>119</v>
      </c>
      <c r="K15" s="39" t="s">
        <v>860</v>
      </c>
      <c r="L15" s="28">
        <v>-60000</v>
      </c>
      <c r="M15" s="6" t="s">
        <v>127</v>
      </c>
      <c r="N15" s="39" t="s">
        <v>131</v>
      </c>
      <c r="O15" s="26">
        <v>-7000</v>
      </c>
      <c r="P15" s="5"/>
      <c r="Q15" s="6"/>
      <c r="R15" s="39"/>
      <c r="S15" s="28"/>
      <c r="T15" s="6" t="s">
        <v>117</v>
      </c>
      <c r="U15" s="39" t="s">
        <v>321</v>
      </c>
      <c r="V15" s="28">
        <v>-11017</v>
      </c>
      <c r="W15" s="6" t="s">
        <v>114</v>
      </c>
      <c r="X15" s="39" t="s">
        <v>898</v>
      </c>
      <c r="Y15" s="26">
        <v>25000</v>
      </c>
    </row>
    <row r="16" spans="2:25" x14ac:dyDescent="0.3">
      <c r="G16" s="6"/>
      <c r="H16" s="39"/>
      <c r="I16" s="28"/>
      <c r="J16" s="6" t="s">
        <v>116</v>
      </c>
      <c r="K16" s="39" t="s">
        <v>315</v>
      </c>
      <c r="L16" s="28">
        <v>-4100</v>
      </c>
      <c r="M16" s="6" t="s">
        <v>175</v>
      </c>
      <c r="N16" s="39" t="s">
        <v>135</v>
      </c>
      <c r="O16" s="26">
        <v>-1000000</v>
      </c>
      <c r="P16" s="5"/>
      <c r="Q16" s="6"/>
      <c r="R16" s="39"/>
      <c r="S16" s="28"/>
      <c r="T16" s="6" t="s">
        <v>144</v>
      </c>
      <c r="U16" s="39" t="s">
        <v>263</v>
      </c>
      <c r="V16" s="28">
        <v>-32250</v>
      </c>
      <c r="W16" s="6" t="s">
        <v>127</v>
      </c>
      <c r="X16" s="39" t="s">
        <v>899</v>
      </c>
      <c r="Y16" s="26">
        <v>5000</v>
      </c>
    </row>
    <row r="17" spans="2:25" x14ac:dyDescent="0.3">
      <c r="G17" s="6"/>
      <c r="H17" s="39"/>
      <c r="I17" s="28"/>
      <c r="J17" s="6" t="s">
        <v>116</v>
      </c>
      <c r="K17" s="39" t="s">
        <v>315</v>
      </c>
      <c r="L17" s="28">
        <v>-5800</v>
      </c>
      <c r="M17" s="6" t="s">
        <v>175</v>
      </c>
      <c r="N17" s="39" t="s">
        <v>135</v>
      </c>
      <c r="O17" s="26">
        <v>1000000</v>
      </c>
      <c r="P17" s="5"/>
      <c r="Q17" s="6"/>
      <c r="R17" s="39"/>
      <c r="S17" s="28"/>
      <c r="T17" s="6" t="s">
        <v>116</v>
      </c>
      <c r="U17" s="39" t="s">
        <v>155</v>
      </c>
      <c r="V17" s="28">
        <v>-42120</v>
      </c>
      <c r="W17" s="6" t="s">
        <v>127</v>
      </c>
      <c r="X17" s="39" t="s">
        <v>135</v>
      </c>
      <c r="Y17" s="26">
        <v>-10000000</v>
      </c>
    </row>
    <row r="18" spans="2:25" x14ac:dyDescent="0.3">
      <c r="G18" s="6"/>
      <c r="H18" s="39"/>
      <c r="I18" s="28"/>
      <c r="J18" s="6" t="s">
        <v>125</v>
      </c>
      <c r="K18" s="39" t="s">
        <v>452</v>
      </c>
      <c r="L18" s="28">
        <v>-10000</v>
      </c>
      <c r="M18" s="6" t="s">
        <v>127</v>
      </c>
      <c r="N18" s="39" t="s">
        <v>367</v>
      </c>
      <c r="O18" s="26">
        <v>10000000</v>
      </c>
      <c r="P18" s="5"/>
      <c r="Q18" s="6"/>
      <c r="R18" s="39"/>
      <c r="S18" s="28"/>
      <c r="T18" s="6" t="s">
        <v>129</v>
      </c>
      <c r="U18" s="39" t="s">
        <v>403</v>
      </c>
      <c r="V18" s="28">
        <v>-1000</v>
      </c>
      <c r="W18" s="6" t="s">
        <v>133</v>
      </c>
      <c r="X18" s="39" t="s">
        <v>143</v>
      </c>
      <c r="Y18" s="26">
        <v>-1331442</v>
      </c>
    </row>
    <row r="19" spans="2:25" x14ac:dyDescent="0.3">
      <c r="G19" s="6"/>
      <c r="H19" s="39"/>
      <c r="I19" s="28"/>
      <c r="J19" s="6" t="s">
        <v>125</v>
      </c>
      <c r="K19" s="39" t="s">
        <v>616</v>
      </c>
      <c r="L19" s="28">
        <v>-15500</v>
      </c>
      <c r="M19" s="6" t="s">
        <v>127</v>
      </c>
      <c r="N19" s="39" t="s">
        <v>299</v>
      </c>
      <c r="O19" s="26">
        <v>14500</v>
      </c>
      <c r="P19" s="5"/>
      <c r="Q19" s="6"/>
      <c r="R19" s="39"/>
      <c r="S19" s="28"/>
      <c r="T19" s="6" t="s">
        <v>118</v>
      </c>
      <c r="U19" s="39" t="s">
        <v>275</v>
      </c>
      <c r="V19" s="28">
        <v>-16150</v>
      </c>
      <c r="W19" s="6" t="s">
        <v>127</v>
      </c>
      <c r="X19" s="39" t="s">
        <v>900</v>
      </c>
      <c r="Y19" s="26">
        <v>-2020000</v>
      </c>
    </row>
    <row r="20" spans="2:25" x14ac:dyDescent="0.3">
      <c r="G20" s="6"/>
      <c r="H20" s="39"/>
      <c r="I20" s="28"/>
      <c r="J20" s="6" t="s">
        <v>116</v>
      </c>
      <c r="K20" s="39" t="s">
        <v>862</v>
      </c>
      <c r="L20" s="28">
        <v>-17550</v>
      </c>
      <c r="M20" s="6" t="s">
        <v>127</v>
      </c>
      <c r="N20" s="39" t="s">
        <v>354</v>
      </c>
      <c r="O20" s="26">
        <v>14500</v>
      </c>
      <c r="P20" s="5"/>
      <c r="Q20" s="6"/>
      <c r="R20" s="39"/>
      <c r="S20" s="28"/>
      <c r="T20" s="6" t="s">
        <v>144</v>
      </c>
      <c r="U20" s="39" t="s">
        <v>263</v>
      </c>
      <c r="V20" s="28">
        <v>-91900</v>
      </c>
      <c r="W20" s="6" t="s">
        <v>127</v>
      </c>
      <c r="X20" s="39" t="s">
        <v>901</v>
      </c>
      <c r="Y20" s="26">
        <v>-50000</v>
      </c>
    </row>
    <row r="21" spans="2:25" x14ac:dyDescent="0.3">
      <c r="G21" s="6"/>
      <c r="H21" s="39"/>
      <c r="I21" s="28"/>
      <c r="J21" s="6" t="s">
        <v>122</v>
      </c>
      <c r="K21" s="39" t="s">
        <v>230</v>
      </c>
      <c r="L21" s="28">
        <v>-1000</v>
      </c>
      <c r="M21" s="6" t="s">
        <v>127</v>
      </c>
      <c r="N21" s="39" t="s">
        <v>786</v>
      </c>
      <c r="O21" s="26">
        <v>14500</v>
      </c>
      <c r="P21" s="5"/>
      <c r="Q21" s="6"/>
      <c r="R21" s="39"/>
      <c r="S21" s="28"/>
      <c r="T21" s="6" t="s">
        <v>119</v>
      </c>
      <c r="U21" s="39" t="s">
        <v>141</v>
      </c>
      <c r="V21" s="28">
        <v>-13260</v>
      </c>
      <c r="W21" s="6" t="s">
        <v>127</v>
      </c>
      <c r="X21" s="39" t="s">
        <v>131</v>
      </c>
      <c r="Y21" s="26">
        <v>-14500</v>
      </c>
    </row>
    <row r="22" spans="2:25" x14ac:dyDescent="0.3">
      <c r="G22" s="6"/>
      <c r="H22" s="39"/>
      <c r="I22" s="28"/>
      <c r="J22" s="6" t="s">
        <v>120</v>
      </c>
      <c r="K22" s="39" t="s">
        <v>359</v>
      </c>
      <c r="L22" s="28">
        <v>-11600</v>
      </c>
      <c r="M22" s="6" t="s">
        <v>127</v>
      </c>
      <c r="N22" s="39" t="s">
        <v>462</v>
      </c>
      <c r="O22" s="26">
        <v>15500</v>
      </c>
      <c r="P22" s="5"/>
      <c r="Q22" s="6"/>
      <c r="R22" s="39"/>
      <c r="S22" s="28"/>
      <c r="T22" s="6" t="s">
        <v>117</v>
      </c>
      <c r="U22" s="39" t="s">
        <v>867</v>
      </c>
      <c r="V22" s="28">
        <v>-5000</v>
      </c>
      <c r="W22" s="6" t="s">
        <v>145</v>
      </c>
      <c r="X22" s="39" t="s">
        <v>410</v>
      </c>
      <c r="Y22" s="26">
        <v>53000</v>
      </c>
    </row>
    <row r="23" spans="2:25" x14ac:dyDescent="0.3">
      <c r="G23" s="6"/>
      <c r="H23" s="39"/>
      <c r="I23" s="28"/>
      <c r="J23" s="6" t="s">
        <v>125</v>
      </c>
      <c r="K23" s="39" t="s">
        <v>482</v>
      </c>
      <c r="L23" s="28">
        <v>-6000</v>
      </c>
      <c r="M23" s="6" t="s">
        <v>127</v>
      </c>
      <c r="N23" s="39" t="s">
        <v>461</v>
      </c>
      <c r="O23" s="26">
        <v>14500</v>
      </c>
      <c r="P23" s="5"/>
      <c r="Q23" s="6"/>
      <c r="R23" s="39"/>
      <c r="S23" s="28"/>
      <c r="T23" s="6" t="s">
        <v>137</v>
      </c>
      <c r="U23" s="39" t="s">
        <v>140</v>
      </c>
      <c r="V23" s="28">
        <v>-1200</v>
      </c>
      <c r="W23" s="6" t="s">
        <v>127</v>
      </c>
      <c r="X23" s="39" t="s">
        <v>904</v>
      </c>
      <c r="Y23" s="26">
        <v>15000</v>
      </c>
    </row>
    <row r="24" spans="2:25" x14ac:dyDescent="0.3">
      <c r="G24" s="6"/>
      <c r="H24" s="39"/>
      <c r="I24" s="28"/>
      <c r="J24" s="6" t="s">
        <v>120</v>
      </c>
      <c r="K24" s="39" t="s">
        <v>614</v>
      </c>
      <c r="L24" s="28">
        <v>-72000</v>
      </c>
      <c r="M24" s="6" t="s">
        <v>127</v>
      </c>
      <c r="N24" s="39" t="s">
        <v>272</v>
      </c>
      <c r="O24" s="26">
        <v>14500</v>
      </c>
      <c r="P24" s="5"/>
      <c r="Q24" s="6"/>
      <c r="R24" s="39"/>
      <c r="S24" s="28"/>
      <c r="T24" s="6" t="s">
        <v>144</v>
      </c>
      <c r="U24" s="39" t="s">
        <v>263</v>
      </c>
      <c r="V24" s="28">
        <v>-194028</v>
      </c>
      <c r="W24" s="6" t="s">
        <v>145</v>
      </c>
      <c r="X24" s="39" t="s">
        <v>410</v>
      </c>
      <c r="Y24" s="26">
        <v>35000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116</v>
      </c>
      <c r="K25" s="39" t="s">
        <v>863</v>
      </c>
      <c r="L25" s="28">
        <v>-4800</v>
      </c>
      <c r="M25" s="6" t="s">
        <v>127</v>
      </c>
      <c r="N25" s="39" t="s">
        <v>271</v>
      </c>
      <c r="O25" s="26">
        <v>14500</v>
      </c>
      <c r="P25" s="5"/>
      <c r="Q25" s="6"/>
      <c r="R25" s="39"/>
      <c r="S25" s="28"/>
      <c r="T25" s="6" t="s">
        <v>125</v>
      </c>
      <c r="U25" s="39" t="s">
        <v>418</v>
      </c>
      <c r="V25" s="28">
        <v>-9100</v>
      </c>
      <c r="W25" s="6" t="s">
        <v>127</v>
      </c>
      <c r="X25" s="39" t="s">
        <v>135</v>
      </c>
      <c r="Y25" s="26">
        <v>20000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125</v>
      </c>
      <c r="K26" s="39" t="s">
        <v>452</v>
      </c>
      <c r="L26" s="28">
        <v>-5000</v>
      </c>
      <c r="M26" s="6" t="s">
        <v>114</v>
      </c>
      <c r="N26" s="39" t="s">
        <v>871</v>
      </c>
      <c r="O26" s="26">
        <v>1050000</v>
      </c>
      <c r="P26" s="5"/>
      <c r="Q26" s="6"/>
      <c r="R26" s="39"/>
      <c r="S26" s="28"/>
      <c r="T26" s="6" t="s">
        <v>137</v>
      </c>
      <c r="U26" s="39" t="s">
        <v>263</v>
      </c>
      <c r="V26" s="28">
        <v>-27500</v>
      </c>
      <c r="W26" s="6" t="s">
        <v>127</v>
      </c>
      <c r="X26" s="39" t="s">
        <v>131</v>
      </c>
      <c r="Y26" s="26">
        <v>-2500</v>
      </c>
    </row>
    <row r="27" spans="2:25" x14ac:dyDescent="0.3">
      <c r="B27" s="48" t="s">
        <v>115</v>
      </c>
      <c r="C27" s="131">
        <f>-(SUMIF($J$7:$J$88,B27,$L$7:$L$88)+SUMIF($T$7:$T$88,B27,$V$7:$V$88))</f>
        <v>186120</v>
      </c>
      <c r="D27" s="99"/>
      <c r="E27" s="100"/>
      <c r="G27" s="6"/>
      <c r="H27" s="39"/>
      <c r="I27" s="28"/>
      <c r="J27" s="6" t="s">
        <v>120</v>
      </c>
      <c r="K27" s="39" t="s">
        <v>866</v>
      </c>
      <c r="L27" s="28">
        <v>-14500</v>
      </c>
      <c r="M27" s="6" t="s">
        <v>114</v>
      </c>
      <c r="N27" s="39" t="s">
        <v>879</v>
      </c>
      <c r="O27" s="26">
        <v>20000</v>
      </c>
      <c r="P27" s="5"/>
      <c r="Q27" s="6"/>
      <c r="R27" s="39"/>
      <c r="S27" s="28"/>
      <c r="T27" s="6" t="s">
        <v>144</v>
      </c>
      <c r="U27" s="39" t="s">
        <v>147</v>
      </c>
      <c r="V27" s="28">
        <v>-120000</v>
      </c>
      <c r="W27" s="6" t="s">
        <v>144</v>
      </c>
      <c r="X27" s="39" t="s">
        <v>905</v>
      </c>
      <c r="Y27" s="26">
        <v>-160000</v>
      </c>
    </row>
    <row r="28" spans="2:25" x14ac:dyDescent="0.3">
      <c r="B28" s="49" t="s">
        <v>116</v>
      </c>
      <c r="C28" s="131">
        <f>-(SUMIF($J$7:$J$88,B28,$L$7:$L$88)+SUMIF($T$7:$T$88,B28,$V$7:$V$88))</f>
        <v>3536335</v>
      </c>
      <c r="D28" s="99"/>
      <c r="E28" s="100"/>
      <c r="G28" s="6"/>
      <c r="H28" s="39"/>
      <c r="I28" s="28"/>
      <c r="J28" s="6" t="s">
        <v>125</v>
      </c>
      <c r="K28" s="39" t="s">
        <v>482</v>
      </c>
      <c r="L28" s="28">
        <v>-9000</v>
      </c>
      <c r="M28" s="6" t="s">
        <v>127</v>
      </c>
      <c r="N28" s="39" t="s">
        <v>131</v>
      </c>
      <c r="O28" s="26">
        <v>-2500</v>
      </c>
      <c r="P28" s="5"/>
      <c r="Q28" s="6"/>
      <c r="R28" s="39"/>
      <c r="S28" s="28"/>
      <c r="T28" s="6" t="s">
        <v>129</v>
      </c>
      <c r="U28" s="39" t="s">
        <v>903</v>
      </c>
      <c r="V28" s="28">
        <v>-5400</v>
      </c>
      <c r="W28" s="6" t="s">
        <v>145</v>
      </c>
      <c r="X28" s="39" t="s">
        <v>905</v>
      </c>
      <c r="Y28" s="26">
        <v>160000</v>
      </c>
    </row>
    <row r="29" spans="2:25" x14ac:dyDescent="0.3">
      <c r="B29" s="49" t="s">
        <v>120</v>
      </c>
      <c r="C29" s="131">
        <f>-(SUMIF($J$7:$J$88,B29,$L$7:$L$88)+SUMIF($T$7:$T$88,B29,$V$7:$V$88))</f>
        <v>597210</v>
      </c>
      <c r="D29" s="99"/>
      <c r="E29" s="100"/>
      <c r="G29" s="6"/>
      <c r="H29" s="39"/>
      <c r="I29" s="28"/>
      <c r="J29" s="6" t="s">
        <v>117</v>
      </c>
      <c r="K29" s="39" t="s">
        <v>867</v>
      </c>
      <c r="L29" s="28">
        <v>-5000</v>
      </c>
      <c r="M29" s="6" t="s">
        <v>127</v>
      </c>
      <c r="N29" s="39" t="s">
        <v>131</v>
      </c>
      <c r="O29" s="26">
        <v>-2500</v>
      </c>
      <c r="P29" s="5"/>
      <c r="Q29" s="6"/>
      <c r="R29" s="39"/>
      <c r="S29" s="28"/>
      <c r="T29" s="6" t="s">
        <v>137</v>
      </c>
      <c r="U29" s="39" t="s">
        <v>282</v>
      </c>
      <c r="V29" s="28">
        <v>-116840</v>
      </c>
      <c r="W29" s="6" t="s">
        <v>114</v>
      </c>
      <c r="X29" s="39" t="s">
        <v>906</v>
      </c>
      <c r="Y29" s="26">
        <v>39460</v>
      </c>
    </row>
    <row r="30" spans="2:25" x14ac:dyDescent="0.3">
      <c r="B30" s="49" t="s">
        <v>118</v>
      </c>
      <c r="C30" s="131">
        <f>-(SUMIF($J$7:$J$88,B30,$L$7:$L$88)+SUMIF($T$7:$T$88,B30,$V$7:$V$88))</f>
        <v>425450</v>
      </c>
      <c r="D30" s="99"/>
      <c r="E30" s="100"/>
      <c r="G30" s="6"/>
      <c r="H30" s="39"/>
      <c r="I30" s="28"/>
      <c r="J30" s="6" t="s">
        <v>116</v>
      </c>
      <c r="K30" s="39" t="s">
        <v>190</v>
      </c>
      <c r="L30" s="28">
        <v>-12100</v>
      </c>
      <c r="M30" s="6" t="s">
        <v>127</v>
      </c>
      <c r="N30" s="39" t="s">
        <v>299</v>
      </c>
      <c r="O30" s="26">
        <v>15750</v>
      </c>
      <c r="P30" s="5"/>
      <c r="Q30" s="6"/>
      <c r="R30" s="39"/>
      <c r="S30" s="28"/>
      <c r="T30" s="6" t="s">
        <v>118</v>
      </c>
      <c r="U30" s="39" t="s">
        <v>224</v>
      </c>
      <c r="V30" s="28">
        <v>-24100</v>
      </c>
      <c r="W30" s="6" t="s">
        <v>127</v>
      </c>
      <c r="X30" s="39" t="s">
        <v>131</v>
      </c>
      <c r="Y30" s="26">
        <v>-15750</v>
      </c>
    </row>
    <row r="31" spans="2:25" x14ac:dyDescent="0.3">
      <c r="B31" s="49" t="s">
        <v>122</v>
      </c>
      <c r="C31" s="131">
        <f>-(SUMIF($J$7:$J$88,B31,$L$7:$L$88)+SUMIF($T$7:$T$88,B31,$V$7:$V$88))</f>
        <v>507200</v>
      </c>
      <c r="D31" s="99"/>
      <c r="E31" s="100"/>
      <c r="G31" s="6"/>
      <c r="H31" s="39"/>
      <c r="I31" s="28"/>
      <c r="J31" s="6" t="s">
        <v>120</v>
      </c>
      <c r="K31" s="39" t="s">
        <v>121</v>
      </c>
      <c r="L31" s="28">
        <v>-22810</v>
      </c>
      <c r="M31" s="6" t="s">
        <v>127</v>
      </c>
      <c r="N31" s="39" t="s">
        <v>460</v>
      </c>
      <c r="O31" s="26">
        <v>15750</v>
      </c>
      <c r="P31" s="5"/>
      <c r="Q31" s="6"/>
      <c r="R31" s="39"/>
      <c r="S31" s="28"/>
      <c r="T31" s="6" t="s">
        <v>144</v>
      </c>
      <c r="U31" s="39" t="s">
        <v>141</v>
      </c>
      <c r="V31" s="28">
        <v>18323</v>
      </c>
      <c r="W31" s="6" t="s">
        <v>127</v>
      </c>
      <c r="X31" s="39" t="s">
        <v>181</v>
      </c>
      <c r="Y31" s="26">
        <v>-200000</v>
      </c>
    </row>
    <row r="32" spans="2:25" x14ac:dyDescent="0.3">
      <c r="B32" s="49" t="s">
        <v>119</v>
      </c>
      <c r="C32" s="131">
        <f>-(SUMIF($J$7:$J$88,B32,$L$7:$L$88)+SUMIF($T$7:$T$88,B32,$V$7:$V$88))</f>
        <v>277210</v>
      </c>
      <c r="D32" s="99"/>
      <c r="E32" s="100"/>
      <c r="G32" s="6"/>
      <c r="H32" s="39"/>
      <c r="I32" s="28"/>
      <c r="J32" s="6" t="s">
        <v>116</v>
      </c>
      <c r="K32" s="39" t="s">
        <v>190</v>
      </c>
      <c r="L32" s="28">
        <v>-11900</v>
      </c>
      <c r="M32" s="6" t="s">
        <v>127</v>
      </c>
      <c r="N32" s="39" t="s">
        <v>354</v>
      </c>
      <c r="O32" s="26">
        <v>15750</v>
      </c>
      <c r="P32" s="5"/>
      <c r="Q32" s="6"/>
      <c r="R32" s="39"/>
      <c r="S32" s="28"/>
      <c r="T32" s="6" t="s">
        <v>137</v>
      </c>
      <c r="U32" s="39" t="s">
        <v>140</v>
      </c>
      <c r="V32" s="28">
        <v>-1200</v>
      </c>
      <c r="W32" s="6" t="s">
        <v>114</v>
      </c>
      <c r="X32" s="39" t="s">
        <v>286</v>
      </c>
      <c r="Y32" s="26">
        <v>1</v>
      </c>
    </row>
    <row r="33" spans="2:25" x14ac:dyDescent="0.3">
      <c r="B33" s="49" t="s">
        <v>129</v>
      </c>
      <c r="C33" s="131">
        <f>-(SUMIF($J$7:$J$88,B33,$L$7:$L$88)+SUMIF($T$7:$T$88,B33,$V$7:$V$88))</f>
        <v>15900</v>
      </c>
      <c r="D33" s="99"/>
      <c r="E33" s="100"/>
      <c r="G33" s="6"/>
      <c r="H33" s="39"/>
      <c r="I33" s="28"/>
      <c r="J33" s="6" t="s">
        <v>116</v>
      </c>
      <c r="K33" s="39" t="s">
        <v>158</v>
      </c>
      <c r="L33" s="28">
        <v>-500000</v>
      </c>
      <c r="M33" s="6" t="s">
        <v>127</v>
      </c>
      <c r="N33" s="39" t="s">
        <v>461</v>
      </c>
      <c r="O33" s="26">
        <v>15750</v>
      </c>
      <c r="P33" s="5"/>
      <c r="Q33" s="6"/>
      <c r="R33" s="39"/>
      <c r="S33" s="28"/>
      <c r="T33" s="6" t="s">
        <v>125</v>
      </c>
      <c r="U33" s="39" t="s">
        <v>123</v>
      </c>
      <c r="V33" s="28">
        <v>-990</v>
      </c>
      <c r="W33" s="6" t="s">
        <v>127</v>
      </c>
      <c r="X33" s="39" t="s">
        <v>131</v>
      </c>
      <c r="Y33" s="26">
        <v>-60000</v>
      </c>
    </row>
    <row r="34" spans="2:25" x14ac:dyDescent="0.3">
      <c r="B34" s="49" t="s">
        <v>125</v>
      </c>
      <c r="C34" s="131">
        <f>-(SUMIF($J$7:$J$88,B34,$L$7:$L$88)+SUMIF($T$7:$T$88,B34,$V$7:$V$88))</f>
        <v>171990</v>
      </c>
      <c r="D34" s="99"/>
      <c r="E34" s="100"/>
      <c r="G34" s="6"/>
      <c r="H34" s="39"/>
      <c r="I34" s="28"/>
      <c r="J34" s="6" t="s">
        <v>116</v>
      </c>
      <c r="K34" s="39" t="s">
        <v>158</v>
      </c>
      <c r="L34" s="28">
        <v>-1500000</v>
      </c>
      <c r="M34" s="6" t="s">
        <v>127</v>
      </c>
      <c r="N34" s="39" t="s">
        <v>271</v>
      </c>
      <c r="O34" s="26">
        <v>15750</v>
      </c>
      <c r="P34" s="5"/>
      <c r="Q34" s="6"/>
      <c r="R34" s="39"/>
      <c r="S34" s="28"/>
      <c r="T34" s="6" t="s">
        <v>137</v>
      </c>
      <c r="U34" s="39" t="s">
        <v>140</v>
      </c>
      <c r="V34" s="28">
        <v>-1200</v>
      </c>
      <c r="W34" s="6" t="s">
        <v>127</v>
      </c>
      <c r="X34" s="39" t="s">
        <v>235</v>
      </c>
      <c r="Y34" s="26">
        <v>60000</v>
      </c>
    </row>
    <row r="35" spans="2:25" x14ac:dyDescent="0.3">
      <c r="B35" s="49" t="s">
        <v>148</v>
      </c>
      <c r="C35" s="131">
        <f>-(SUMIF($J$7:$J$88,B35,$L$7:$L$88)+SUMIF($T$7:$T$88,B35,$V$7:$V$88))</f>
        <v>24000</v>
      </c>
      <c r="D35" s="99"/>
      <c r="E35" s="100"/>
      <c r="G35" s="6"/>
      <c r="H35" s="39"/>
      <c r="I35" s="28"/>
      <c r="J35" s="6" t="s">
        <v>122</v>
      </c>
      <c r="K35" s="39" t="s">
        <v>160</v>
      </c>
      <c r="L35" s="28">
        <v>-500000</v>
      </c>
      <c r="M35" s="6" t="s">
        <v>127</v>
      </c>
      <c r="N35" s="39" t="s">
        <v>272</v>
      </c>
      <c r="O35" s="26">
        <v>15750</v>
      </c>
      <c r="P35" s="5"/>
      <c r="Q35" s="6"/>
      <c r="R35" s="39"/>
      <c r="S35" s="28"/>
      <c r="T35" s="6" t="s">
        <v>118</v>
      </c>
      <c r="U35" s="39" t="s">
        <v>284</v>
      </c>
      <c r="V35" s="28">
        <v>-215650</v>
      </c>
      <c r="W35" s="6" t="s">
        <v>127</v>
      </c>
      <c r="X35" s="39" t="s">
        <v>131</v>
      </c>
      <c r="Y35" s="26">
        <v>-23500</v>
      </c>
    </row>
    <row r="36" spans="2:25" x14ac:dyDescent="0.3">
      <c r="B36" s="49" t="s">
        <v>117</v>
      </c>
      <c r="C36" s="131">
        <f>-(SUMIF($J$7:$J$88,B36,$L$7:$L$88)+SUMIF($T$7:$T$88,B36,$V$7:$V$88))</f>
        <v>146459</v>
      </c>
      <c r="D36" s="99"/>
      <c r="E36" s="100"/>
      <c r="G36" s="6"/>
      <c r="H36" s="39"/>
      <c r="I36" s="28"/>
      <c r="J36" s="6" t="s">
        <v>120</v>
      </c>
      <c r="K36" s="39" t="s">
        <v>868</v>
      </c>
      <c r="L36" s="28">
        <v>-31800</v>
      </c>
      <c r="M36" s="6" t="s">
        <v>127</v>
      </c>
      <c r="N36" s="39" t="s">
        <v>786</v>
      </c>
      <c r="O36" s="26">
        <v>15750</v>
      </c>
      <c r="P36" s="5"/>
      <c r="Q36" s="6"/>
      <c r="R36" s="39"/>
      <c r="S36" s="28"/>
      <c r="T36" s="6" t="s">
        <v>137</v>
      </c>
      <c r="U36" s="39" t="s">
        <v>282</v>
      </c>
      <c r="V36" s="28">
        <v>-93450</v>
      </c>
      <c r="W36" s="6" t="s">
        <v>133</v>
      </c>
      <c r="X36" s="39" t="s">
        <v>326</v>
      </c>
      <c r="Y36" s="26">
        <v>-97565</v>
      </c>
    </row>
    <row r="37" spans="2:25" x14ac:dyDescent="0.3">
      <c r="B37" s="49" t="s">
        <v>128</v>
      </c>
      <c r="C37" s="131">
        <f>-(SUMIF($J$7:$J$88,B37,$L$7:$L$88)+SUMIF($T$7:$T$88,B37,$V$7:$V$88))</f>
        <v>0</v>
      </c>
      <c r="D37" s="99"/>
      <c r="E37" s="100"/>
      <c r="G37" s="6"/>
      <c r="H37" s="39"/>
      <c r="I37" s="28"/>
      <c r="J37" s="6" t="s">
        <v>119</v>
      </c>
      <c r="K37" s="39" t="s">
        <v>869</v>
      </c>
      <c r="L37" s="28">
        <v>-60000</v>
      </c>
      <c r="M37" s="6" t="s">
        <v>133</v>
      </c>
      <c r="N37" s="39" t="s">
        <v>136</v>
      </c>
      <c r="O37" s="26">
        <v>-22000</v>
      </c>
      <c r="P37" s="5"/>
      <c r="Q37" s="6"/>
      <c r="R37" s="39"/>
      <c r="S37" s="28"/>
      <c r="T37" s="6" t="s">
        <v>116</v>
      </c>
      <c r="U37" s="39" t="s">
        <v>289</v>
      </c>
      <c r="V37" s="28">
        <v>-102105</v>
      </c>
      <c r="W37" s="6" t="s">
        <v>145</v>
      </c>
      <c r="X37" s="39" t="s">
        <v>566</v>
      </c>
      <c r="Y37" s="26">
        <v>38000</v>
      </c>
    </row>
    <row r="38" spans="2:25" x14ac:dyDescent="0.3">
      <c r="B38" s="49" t="s">
        <v>146</v>
      </c>
      <c r="C38" s="131">
        <f>-(SUMIF($J$7:$J$88,B38,$L$7:$L$88)+SUMIF($T$7:$T$88,B38,$V$7:$V$88))</f>
        <v>60000</v>
      </c>
      <c r="D38" s="99"/>
      <c r="E38" s="100"/>
      <c r="G38" s="6"/>
      <c r="H38" s="39"/>
      <c r="I38" s="28"/>
      <c r="J38" s="6" t="s">
        <v>119</v>
      </c>
      <c r="K38" s="39" t="s">
        <v>869</v>
      </c>
      <c r="L38" s="28">
        <v>-58000</v>
      </c>
      <c r="M38" s="6" t="s">
        <v>127</v>
      </c>
      <c r="N38" s="39" t="s">
        <v>131</v>
      </c>
      <c r="O38" s="26">
        <v>-60000</v>
      </c>
      <c r="P38" s="5"/>
      <c r="Q38" s="6"/>
      <c r="R38" s="39"/>
      <c r="S38" s="28"/>
      <c r="T38" s="6" t="s">
        <v>129</v>
      </c>
      <c r="U38" s="39" t="s">
        <v>233</v>
      </c>
      <c r="V38" s="28">
        <v>-8500</v>
      </c>
      <c r="W38" s="6" t="s">
        <v>127</v>
      </c>
      <c r="X38" s="39" t="s">
        <v>131</v>
      </c>
      <c r="Y38" s="26">
        <v>-2500</v>
      </c>
    </row>
    <row r="39" spans="2:25" x14ac:dyDescent="0.3">
      <c r="B39" s="49" t="s">
        <v>134</v>
      </c>
      <c r="C39" s="131">
        <f>-(SUMIF($J$7:$J$88,B39,$L$7:$L$88)+SUMIF($T$7:$T$88,B39,$V$7:$V$88))</f>
        <v>21000</v>
      </c>
      <c r="D39" s="99"/>
      <c r="E39" s="100"/>
      <c r="G39" s="6"/>
      <c r="H39" s="39"/>
      <c r="I39" s="28"/>
      <c r="J39" s="6" t="s">
        <v>119</v>
      </c>
      <c r="K39" s="39" t="s">
        <v>869</v>
      </c>
      <c r="L39" s="28">
        <v>60000</v>
      </c>
      <c r="M39" s="6" t="s">
        <v>175</v>
      </c>
      <c r="N39" s="39" t="s">
        <v>200</v>
      </c>
      <c r="O39" s="26">
        <v>100000</v>
      </c>
      <c r="P39" s="5"/>
      <c r="Q39" s="6"/>
      <c r="R39" s="39"/>
      <c r="S39" s="28"/>
      <c r="T39" s="6" t="s">
        <v>129</v>
      </c>
      <c r="U39" s="39" t="s">
        <v>233</v>
      </c>
      <c r="V39" s="28">
        <v>8500</v>
      </c>
      <c r="W39" s="6" t="s">
        <v>127</v>
      </c>
      <c r="X39" s="39" t="s">
        <v>131</v>
      </c>
      <c r="Y39" s="26">
        <v>-2500</v>
      </c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116</v>
      </c>
      <c r="K40" s="39" t="s">
        <v>158</v>
      </c>
      <c r="L40" s="28">
        <v>1500000</v>
      </c>
      <c r="M40" s="6" t="s">
        <v>175</v>
      </c>
      <c r="N40" s="39" t="s">
        <v>889</v>
      </c>
      <c r="O40" s="26">
        <v>-100000</v>
      </c>
      <c r="P40" s="5"/>
      <c r="Q40" s="6"/>
      <c r="R40" s="39"/>
      <c r="S40" s="28"/>
      <c r="T40" s="6" t="s">
        <v>129</v>
      </c>
      <c r="U40" s="39" t="s">
        <v>233</v>
      </c>
      <c r="V40" s="28">
        <v>-9500</v>
      </c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0</v>
      </c>
      <c r="D41" s="99"/>
      <c r="E41" s="100"/>
      <c r="G41" s="6"/>
      <c r="H41" s="39"/>
      <c r="I41" s="28"/>
      <c r="J41" s="6" t="s">
        <v>120</v>
      </c>
      <c r="K41" s="39" t="s">
        <v>870</v>
      </c>
      <c r="L41" s="28">
        <v>-96000</v>
      </c>
      <c r="M41" s="6" t="s">
        <v>175</v>
      </c>
      <c r="N41" s="39" t="s">
        <v>252</v>
      </c>
      <c r="O41" s="26">
        <v>-100000</v>
      </c>
      <c r="P41" s="5"/>
      <c r="Q41" s="6"/>
      <c r="R41" s="39"/>
      <c r="S41" s="28"/>
      <c r="T41" s="6" t="s">
        <v>125</v>
      </c>
      <c r="U41" s="39" t="s">
        <v>908</v>
      </c>
      <c r="V41" s="28">
        <v>-33000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125</v>
      </c>
      <c r="K42" s="39" t="s">
        <v>487</v>
      </c>
      <c r="L42" s="28">
        <v>-21000</v>
      </c>
      <c r="M42" s="6" t="s">
        <v>127</v>
      </c>
      <c r="N42" s="39" t="s">
        <v>131</v>
      </c>
      <c r="O42" s="26">
        <v>-2500</v>
      </c>
      <c r="P42" s="5"/>
      <c r="Q42" s="6"/>
      <c r="R42" s="39"/>
      <c r="S42" s="28"/>
      <c r="T42" s="6" t="s">
        <v>116</v>
      </c>
      <c r="U42" s="39" t="s">
        <v>323</v>
      </c>
      <c r="V42" s="28">
        <v>-4000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252866</v>
      </c>
      <c r="D43" s="99"/>
      <c r="E43" s="100"/>
      <c r="G43" s="6"/>
      <c r="H43" s="39"/>
      <c r="I43" s="28"/>
      <c r="J43" s="6" t="s">
        <v>118</v>
      </c>
      <c r="K43" s="39" t="s">
        <v>130</v>
      </c>
      <c r="L43" s="28">
        <v>-16500</v>
      </c>
      <c r="M43" s="6" t="s">
        <v>127</v>
      </c>
      <c r="N43" s="39" t="s">
        <v>131</v>
      </c>
      <c r="O43" s="26">
        <v>-2500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419855</v>
      </c>
      <c r="D44" s="99"/>
      <c r="E44" s="100"/>
      <c r="G44" s="6"/>
      <c r="H44" s="39"/>
      <c r="I44" s="28"/>
      <c r="J44" s="6" t="s">
        <v>120</v>
      </c>
      <c r="K44" s="39" t="s">
        <v>359</v>
      </c>
      <c r="L44" s="28">
        <v>-6600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0</v>
      </c>
      <c r="D45" s="99"/>
      <c r="E45" s="100"/>
      <c r="G45" s="6"/>
      <c r="H45" s="39"/>
      <c r="I45" s="28"/>
      <c r="J45" s="6" t="s">
        <v>116</v>
      </c>
      <c r="K45" s="39" t="s">
        <v>872</v>
      </c>
      <c r="L45" s="28">
        <v>-12540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120</v>
      </c>
      <c r="K46" s="39" t="s">
        <v>873</v>
      </c>
      <c r="L46" s="28">
        <v>-29300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115</v>
      </c>
      <c r="K47" s="39" t="s">
        <v>874</v>
      </c>
      <c r="L47" s="28">
        <v>-130000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120</v>
      </c>
      <c r="K48" s="39" t="s">
        <v>875</v>
      </c>
      <c r="L48" s="28">
        <v>-25000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118</v>
      </c>
      <c r="K49" s="39" t="s">
        <v>876</v>
      </c>
      <c r="L49" s="28">
        <v>-30000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120</v>
      </c>
      <c r="K50" s="39" t="s">
        <v>877</v>
      </c>
      <c r="L50" s="28">
        <v>-51200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116</v>
      </c>
      <c r="K51" s="39" t="s">
        <v>586</v>
      </c>
      <c r="L51" s="28">
        <v>-39930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9</v>
      </c>
      <c r="D52" s="99"/>
      <c r="E52" s="100"/>
      <c r="G52" s="6"/>
      <c r="H52" s="39"/>
      <c r="I52" s="28"/>
      <c r="J52" s="6" t="s">
        <v>116</v>
      </c>
      <c r="K52" s="39" t="s">
        <v>878</v>
      </c>
      <c r="L52" s="28">
        <v>-1990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8109686</v>
      </c>
      <c r="D53" s="99"/>
      <c r="E53" s="100"/>
      <c r="G53" s="6"/>
      <c r="H53" s="39"/>
      <c r="I53" s="28"/>
      <c r="J53" s="6" t="s">
        <v>115</v>
      </c>
      <c r="K53" s="39" t="s">
        <v>132</v>
      </c>
      <c r="L53" s="28">
        <v>-20000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 t="s">
        <v>119</v>
      </c>
      <c r="K54" s="39" t="s">
        <v>880</v>
      </c>
      <c r="L54" s="28">
        <v>-35950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 t="s">
        <v>118</v>
      </c>
      <c r="K55" s="39" t="s">
        <v>224</v>
      </c>
      <c r="L55" s="28">
        <v>-44020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120</v>
      </c>
      <c r="K56" s="39" t="s">
        <v>881</v>
      </c>
      <c r="L56" s="28">
        <v>-45000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116</v>
      </c>
      <c r="K57" s="39" t="s">
        <v>124</v>
      </c>
      <c r="L57" s="28">
        <v>-80000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120</v>
      </c>
      <c r="K58" s="39" t="s">
        <v>789</v>
      </c>
      <c r="L58" s="28">
        <v>-2600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116</v>
      </c>
      <c r="K59" s="39" t="s">
        <v>882</v>
      </c>
      <c r="L59" s="28">
        <v>-19400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115</v>
      </c>
      <c r="K60" s="39" t="s">
        <v>246</v>
      </c>
      <c r="L60" s="28">
        <v>-36120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883</v>
      </c>
      <c r="L61" s="28">
        <v>-126000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116</v>
      </c>
      <c r="K62" s="39" t="s">
        <v>884</v>
      </c>
      <c r="L62" s="28">
        <v>-15790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134</v>
      </c>
      <c r="K63" s="39" t="s">
        <v>615</v>
      </c>
      <c r="L63" s="28">
        <v>-21000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116</v>
      </c>
      <c r="K64" s="39" t="s">
        <v>885</v>
      </c>
      <c r="L64" s="28">
        <v>-5730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116</v>
      </c>
      <c r="K65" s="39" t="s">
        <v>886</v>
      </c>
      <c r="L65" s="28">
        <v>-2573000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120</v>
      </c>
      <c r="K66" s="39" t="s">
        <v>887</v>
      </c>
      <c r="L66" s="28">
        <v>-40200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116</v>
      </c>
      <c r="K67" s="39" t="s">
        <v>888</v>
      </c>
      <c r="L67" s="28">
        <v>-55000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119</v>
      </c>
      <c r="K68" s="39" t="s">
        <v>379</v>
      </c>
      <c r="L68" s="28">
        <v>-50000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146</v>
      </c>
      <c r="K69" s="39" t="s">
        <v>890</v>
      </c>
      <c r="L69" s="28">
        <v>-60000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120</v>
      </c>
      <c r="K70" s="39" t="s">
        <v>359</v>
      </c>
      <c r="L70" s="28">
        <v>-6600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115</v>
      </c>
      <c r="K71" s="39" t="s">
        <v>891</v>
      </c>
      <c r="L71" s="28">
        <v>0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117</v>
      </c>
      <c r="K72" s="39" t="s">
        <v>256</v>
      </c>
      <c r="L72" s="28">
        <v>-68480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118</v>
      </c>
      <c r="K73" s="39" t="s">
        <v>892</v>
      </c>
      <c r="L73" s="28">
        <v>-79030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119</v>
      </c>
      <c r="K74" s="39" t="s">
        <v>869</v>
      </c>
      <c r="L74" s="28">
        <v>-60000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4063317</v>
      </c>
      <c r="J89" s="7" t="s">
        <v>24</v>
      </c>
      <c r="K89" s="22" t="s">
        <v>34</v>
      </c>
      <c r="L89" s="21">
        <f>SUM(L7:L88)</f>
        <v>-5391540</v>
      </c>
      <c r="M89" s="7" t="s">
        <v>24</v>
      </c>
      <c r="N89" s="22" t="s">
        <v>34</v>
      </c>
      <c r="O89" s="21">
        <f>SUM(O7:O88)</f>
        <v>10773750</v>
      </c>
      <c r="Q89" s="7" t="s">
        <v>24</v>
      </c>
      <c r="R89" s="17" t="s">
        <v>34</v>
      </c>
      <c r="S89" s="19">
        <f>SUM(S7:S88)</f>
        <v>4046378</v>
      </c>
      <c r="T89" s="7" t="s">
        <v>24</v>
      </c>
      <c r="U89" s="22" t="s">
        <v>34</v>
      </c>
      <c r="V89" s="21">
        <f>SUM(V7:V88)</f>
        <v>-1250055</v>
      </c>
      <c r="W89" s="7" t="s">
        <v>24</v>
      </c>
      <c r="X89" s="22" t="s">
        <v>34</v>
      </c>
      <c r="Y89" s="21">
        <f>SUM(Y7:Y88)</f>
        <v>-16904576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9445527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-14108253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topLeftCell="A48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21" t="s">
        <v>107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-8570314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18570314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-0.8570314</v>
      </c>
      <c r="D7" s="111"/>
      <c r="G7" s="6" t="s">
        <v>188</v>
      </c>
      <c r="H7" s="39" t="s">
        <v>921</v>
      </c>
      <c r="I7" s="28">
        <v>150000</v>
      </c>
      <c r="J7" s="6" t="s">
        <v>125</v>
      </c>
      <c r="K7" s="39" t="s">
        <v>487</v>
      </c>
      <c r="L7" s="28">
        <v>-10000</v>
      </c>
      <c r="M7" s="6" t="s">
        <v>127</v>
      </c>
      <c r="N7" s="39" t="s">
        <v>131</v>
      </c>
      <c r="O7" s="40">
        <v>-2500</v>
      </c>
      <c r="P7" s="5"/>
      <c r="Q7" s="6" t="s">
        <v>112</v>
      </c>
      <c r="R7" s="39" t="s">
        <v>932</v>
      </c>
      <c r="S7" s="28">
        <v>5063</v>
      </c>
      <c r="T7" s="6" t="s">
        <v>116</v>
      </c>
      <c r="U7" s="39" t="s">
        <v>936</v>
      </c>
      <c r="V7" s="28">
        <v>-1080000</v>
      </c>
      <c r="W7" s="6" t="s">
        <v>127</v>
      </c>
      <c r="X7" s="39" t="s">
        <v>181</v>
      </c>
      <c r="Y7" s="40">
        <v>-200000</v>
      </c>
    </row>
    <row r="8" spans="2:25" x14ac:dyDescent="0.3">
      <c r="G8" s="6" t="s">
        <v>112</v>
      </c>
      <c r="H8" s="39" t="s">
        <v>237</v>
      </c>
      <c r="I8" s="28">
        <v>0</v>
      </c>
      <c r="J8" s="6" t="s">
        <v>120</v>
      </c>
      <c r="K8" s="39" t="s">
        <v>909</v>
      </c>
      <c r="L8" s="28">
        <v>-37000</v>
      </c>
      <c r="M8" s="6" t="s">
        <v>127</v>
      </c>
      <c r="N8" s="39" t="s">
        <v>299</v>
      </c>
      <c r="O8" s="26">
        <v>2500</v>
      </c>
      <c r="P8" s="5"/>
      <c r="Q8" s="6" t="s">
        <v>112</v>
      </c>
      <c r="R8" s="39" t="s">
        <v>113</v>
      </c>
      <c r="S8" s="28">
        <v>0</v>
      </c>
      <c r="T8" s="6" t="s">
        <v>116</v>
      </c>
      <c r="U8" s="39" t="s">
        <v>161</v>
      </c>
      <c r="V8" s="28">
        <v>-2153333</v>
      </c>
      <c r="W8" s="6" t="s">
        <v>127</v>
      </c>
      <c r="X8" s="39" t="s">
        <v>131</v>
      </c>
      <c r="Y8" s="26">
        <v>-2500</v>
      </c>
    </row>
    <row r="9" spans="2:25" x14ac:dyDescent="0.3">
      <c r="G9" s="6" t="s">
        <v>188</v>
      </c>
      <c r="H9" s="39" t="s">
        <v>229</v>
      </c>
      <c r="I9" s="28">
        <v>4070399</v>
      </c>
      <c r="J9" s="6" t="s">
        <v>125</v>
      </c>
      <c r="K9" s="39" t="s">
        <v>910</v>
      </c>
      <c r="L9" s="28">
        <v>-6400</v>
      </c>
      <c r="M9" s="6" t="s">
        <v>127</v>
      </c>
      <c r="N9" s="39" t="s">
        <v>271</v>
      </c>
      <c r="O9" s="26">
        <v>2500</v>
      </c>
      <c r="P9" s="5"/>
      <c r="Q9" s="6" t="s">
        <v>188</v>
      </c>
      <c r="R9" s="39" t="s">
        <v>953</v>
      </c>
      <c r="S9" s="28">
        <v>25000</v>
      </c>
      <c r="T9" s="6" t="s">
        <v>116</v>
      </c>
      <c r="U9" s="39" t="s">
        <v>936</v>
      </c>
      <c r="V9" s="28">
        <v>-306000</v>
      </c>
      <c r="W9" s="6" t="s">
        <v>127</v>
      </c>
      <c r="X9" s="39" t="s">
        <v>131</v>
      </c>
      <c r="Y9" s="26">
        <v>-2500</v>
      </c>
    </row>
    <row r="10" spans="2:25" x14ac:dyDescent="0.3">
      <c r="G10" s="6" t="s">
        <v>112</v>
      </c>
      <c r="H10" s="39" t="s">
        <v>932</v>
      </c>
      <c r="I10" s="28">
        <v>700000</v>
      </c>
      <c r="J10" s="6" t="s">
        <v>120</v>
      </c>
      <c r="K10" s="39" t="s">
        <v>911</v>
      </c>
      <c r="L10" s="28">
        <v>-16000</v>
      </c>
      <c r="M10" s="6" t="s">
        <v>127</v>
      </c>
      <c r="N10" s="39" t="s">
        <v>786</v>
      </c>
      <c r="O10" s="26">
        <v>2500</v>
      </c>
      <c r="P10" s="5"/>
      <c r="Q10" s="6" t="s">
        <v>112</v>
      </c>
      <c r="R10" s="39" t="s">
        <v>287</v>
      </c>
      <c r="S10" s="28">
        <v>9</v>
      </c>
      <c r="T10" s="6" t="s">
        <v>116</v>
      </c>
      <c r="U10" s="39" t="s">
        <v>937</v>
      </c>
      <c r="V10" s="28">
        <v>-12000</v>
      </c>
      <c r="W10" s="6" t="s">
        <v>127</v>
      </c>
      <c r="X10" s="39" t="s">
        <v>462</v>
      </c>
      <c r="Y10" s="26">
        <v>20000</v>
      </c>
    </row>
    <row r="11" spans="2:25" x14ac:dyDescent="0.3">
      <c r="G11" s="6" t="s">
        <v>112</v>
      </c>
      <c r="H11" s="39" t="s">
        <v>932</v>
      </c>
      <c r="I11" s="28">
        <v>350000</v>
      </c>
      <c r="J11" s="6" t="s">
        <v>119</v>
      </c>
      <c r="K11" s="39" t="s">
        <v>912</v>
      </c>
      <c r="L11" s="28">
        <v>-1000</v>
      </c>
      <c r="M11" s="6" t="s">
        <v>127</v>
      </c>
      <c r="N11" s="39" t="s">
        <v>131</v>
      </c>
      <c r="O11" s="26">
        <v>-2500</v>
      </c>
      <c r="P11" s="5"/>
      <c r="Q11" s="6" t="s">
        <v>112</v>
      </c>
      <c r="R11" s="39" t="s">
        <v>237</v>
      </c>
      <c r="S11" s="28">
        <v>0</v>
      </c>
      <c r="T11" s="6" t="s">
        <v>137</v>
      </c>
      <c r="U11" s="39" t="s">
        <v>140</v>
      </c>
      <c r="V11" s="28">
        <v>-1200</v>
      </c>
      <c r="W11" s="6" t="s">
        <v>133</v>
      </c>
      <c r="X11" s="39" t="s">
        <v>136</v>
      </c>
      <c r="Y11" s="26">
        <v>-127240</v>
      </c>
    </row>
    <row r="12" spans="2:25" x14ac:dyDescent="0.3">
      <c r="G12" s="6" t="s">
        <v>112</v>
      </c>
      <c r="H12" s="39" t="s">
        <v>932</v>
      </c>
      <c r="I12" s="28">
        <v>50000</v>
      </c>
      <c r="J12" s="6" t="s">
        <v>116</v>
      </c>
      <c r="K12" s="39" t="s">
        <v>161</v>
      </c>
      <c r="L12" s="28">
        <v>-200000</v>
      </c>
      <c r="M12" s="6" t="s">
        <v>175</v>
      </c>
      <c r="N12" s="39" t="s">
        <v>603</v>
      </c>
      <c r="O12" s="26">
        <v>-32000</v>
      </c>
      <c r="P12" s="5"/>
      <c r="Q12" s="6" t="s">
        <v>188</v>
      </c>
      <c r="R12" s="39" t="s">
        <v>229</v>
      </c>
      <c r="S12" s="28">
        <v>3945244</v>
      </c>
      <c r="T12" s="6" t="s">
        <v>125</v>
      </c>
      <c r="U12" s="39" t="s">
        <v>263</v>
      </c>
      <c r="V12" s="28">
        <v>-1317</v>
      </c>
      <c r="W12" s="6" t="s">
        <v>127</v>
      </c>
      <c r="X12" s="39" t="s">
        <v>938</v>
      </c>
      <c r="Y12" s="26">
        <v>190000</v>
      </c>
    </row>
    <row r="13" spans="2:25" x14ac:dyDescent="0.3">
      <c r="G13" s="6"/>
      <c r="H13" s="39"/>
      <c r="I13" s="28"/>
      <c r="J13" s="6" t="s">
        <v>116</v>
      </c>
      <c r="K13" s="39" t="s">
        <v>551</v>
      </c>
      <c r="L13" s="28">
        <v>-60000</v>
      </c>
      <c r="M13" s="6" t="s">
        <v>127</v>
      </c>
      <c r="N13" s="39" t="s">
        <v>131</v>
      </c>
      <c r="O13" s="26">
        <v>-3400</v>
      </c>
      <c r="P13" s="5"/>
      <c r="Q13" s="6"/>
      <c r="R13" s="39"/>
      <c r="S13" s="28"/>
      <c r="T13" s="6" t="s">
        <v>137</v>
      </c>
      <c r="U13" s="39" t="s">
        <v>940</v>
      </c>
      <c r="V13" s="28">
        <v>-12300</v>
      </c>
      <c r="W13" s="6" t="s">
        <v>127</v>
      </c>
      <c r="X13" s="39" t="s">
        <v>939</v>
      </c>
      <c r="Y13" s="26">
        <v>-85000</v>
      </c>
    </row>
    <row r="14" spans="2:25" x14ac:dyDescent="0.3">
      <c r="G14" s="6"/>
      <c r="H14" s="39"/>
      <c r="I14" s="28"/>
      <c r="J14" s="6" t="s">
        <v>134</v>
      </c>
      <c r="K14" s="39" t="s">
        <v>913</v>
      </c>
      <c r="L14" s="28">
        <v>-285000</v>
      </c>
      <c r="M14" s="6" t="s">
        <v>144</v>
      </c>
      <c r="N14" s="39" t="s">
        <v>200</v>
      </c>
      <c r="O14" s="26">
        <v>1068</v>
      </c>
      <c r="P14" s="5"/>
      <c r="Q14" s="6"/>
      <c r="R14" s="39"/>
      <c r="S14" s="28"/>
      <c r="T14" s="6" t="s">
        <v>116</v>
      </c>
      <c r="U14" s="39" t="s">
        <v>283</v>
      </c>
      <c r="V14" s="28">
        <v>-3780</v>
      </c>
      <c r="W14" s="6" t="s">
        <v>127</v>
      </c>
      <c r="X14" s="39" t="s">
        <v>131</v>
      </c>
      <c r="Y14" s="26">
        <v>-3400</v>
      </c>
    </row>
    <row r="15" spans="2:25" x14ac:dyDescent="0.3">
      <c r="G15" s="6"/>
      <c r="H15" s="39"/>
      <c r="I15" s="28"/>
      <c r="J15" s="6" t="s">
        <v>116</v>
      </c>
      <c r="K15" s="39" t="s">
        <v>914</v>
      </c>
      <c r="L15" s="28">
        <v>-2985</v>
      </c>
      <c r="M15" s="6" t="s">
        <v>127</v>
      </c>
      <c r="N15" s="39" t="s">
        <v>131</v>
      </c>
      <c r="O15" s="26">
        <v>-5000</v>
      </c>
      <c r="P15" s="5"/>
      <c r="Q15" s="6"/>
      <c r="R15" s="39"/>
      <c r="S15" s="28"/>
      <c r="T15" s="6" t="s">
        <v>116</v>
      </c>
      <c r="U15" s="39" t="s">
        <v>155</v>
      </c>
      <c r="V15" s="28">
        <v>-21030</v>
      </c>
      <c r="W15" s="6" t="s">
        <v>144</v>
      </c>
      <c r="X15" s="39" t="s">
        <v>200</v>
      </c>
      <c r="Y15" s="26">
        <v>5346</v>
      </c>
    </row>
    <row r="16" spans="2:25" x14ac:dyDescent="0.3">
      <c r="G16" s="6"/>
      <c r="H16" s="39"/>
      <c r="I16" s="28"/>
      <c r="J16" s="6" t="s">
        <v>120</v>
      </c>
      <c r="K16" s="39" t="s">
        <v>359</v>
      </c>
      <c r="L16" s="28">
        <v>-6600</v>
      </c>
      <c r="M16" s="6" t="s">
        <v>114</v>
      </c>
      <c r="N16" s="39" t="s">
        <v>682</v>
      </c>
      <c r="O16" s="26">
        <v>114000</v>
      </c>
      <c r="P16" s="5"/>
      <c r="Q16" s="6"/>
      <c r="R16" s="39"/>
      <c r="S16" s="28"/>
      <c r="T16" s="6" t="s">
        <v>119</v>
      </c>
      <c r="U16" s="39" t="s">
        <v>141</v>
      </c>
      <c r="V16" s="28">
        <v>-13260</v>
      </c>
      <c r="W16" s="6" t="s">
        <v>80</v>
      </c>
      <c r="X16" s="39" t="s">
        <v>941</v>
      </c>
      <c r="Y16" s="26">
        <v>1</v>
      </c>
    </row>
    <row r="17" spans="2:25" x14ac:dyDescent="0.3">
      <c r="G17" s="6"/>
      <c r="H17" s="39"/>
      <c r="I17" s="28"/>
      <c r="J17" s="6" t="s">
        <v>116</v>
      </c>
      <c r="K17" s="39" t="s">
        <v>124</v>
      </c>
      <c r="L17" s="28">
        <v>-80000</v>
      </c>
      <c r="M17" s="6" t="s">
        <v>127</v>
      </c>
      <c r="N17" s="39" t="s">
        <v>131</v>
      </c>
      <c r="O17" s="26">
        <v>-17500</v>
      </c>
      <c r="P17" s="5"/>
      <c r="Q17" s="6"/>
      <c r="R17" s="39"/>
      <c r="S17" s="28"/>
      <c r="T17" s="6" t="s">
        <v>118</v>
      </c>
      <c r="U17" s="39" t="s">
        <v>275</v>
      </c>
      <c r="V17" s="28">
        <v>-16150</v>
      </c>
      <c r="W17" s="6" t="s">
        <v>145</v>
      </c>
      <c r="X17" s="39" t="s">
        <v>496</v>
      </c>
      <c r="Y17" s="26">
        <v>17000</v>
      </c>
    </row>
    <row r="18" spans="2:25" x14ac:dyDescent="0.3">
      <c r="G18" s="6"/>
      <c r="H18" s="39"/>
      <c r="I18" s="28"/>
      <c r="J18" s="6" t="s">
        <v>116</v>
      </c>
      <c r="K18" s="39" t="s">
        <v>915</v>
      </c>
      <c r="L18" s="28">
        <v>-8000</v>
      </c>
      <c r="M18" s="6" t="s">
        <v>127</v>
      </c>
      <c r="N18" s="39" t="s">
        <v>131</v>
      </c>
      <c r="O18" s="26">
        <v>-100000</v>
      </c>
      <c r="P18" s="5"/>
      <c r="Q18" s="6"/>
      <c r="R18" s="39"/>
      <c r="S18" s="28"/>
      <c r="T18" s="6" t="s">
        <v>125</v>
      </c>
      <c r="U18" s="39" t="s">
        <v>123</v>
      </c>
      <c r="V18" s="28">
        <v>-20000</v>
      </c>
      <c r="W18" s="6" t="s">
        <v>114</v>
      </c>
      <c r="X18" s="39" t="s">
        <v>943</v>
      </c>
      <c r="Y18" s="26">
        <v>38000</v>
      </c>
    </row>
    <row r="19" spans="2:25" x14ac:dyDescent="0.3">
      <c r="G19" s="6"/>
      <c r="H19" s="39"/>
      <c r="I19" s="28"/>
      <c r="J19" s="6" t="s">
        <v>117</v>
      </c>
      <c r="K19" s="39" t="s">
        <v>916</v>
      </c>
      <c r="L19" s="28">
        <v>-10000</v>
      </c>
      <c r="M19" s="6" t="s">
        <v>127</v>
      </c>
      <c r="N19" s="39" t="s">
        <v>920</v>
      </c>
      <c r="O19" s="26">
        <v>-38000</v>
      </c>
      <c r="P19" s="5"/>
      <c r="Q19" s="6"/>
      <c r="R19" s="39"/>
      <c r="S19" s="28"/>
      <c r="T19" s="6" t="s">
        <v>116</v>
      </c>
      <c r="U19" s="39" t="s">
        <v>942</v>
      </c>
      <c r="V19" s="28">
        <v>-5590</v>
      </c>
      <c r="W19" s="6" t="s">
        <v>114</v>
      </c>
      <c r="X19" s="39" t="s">
        <v>944</v>
      </c>
      <c r="Y19" s="26">
        <v>71000</v>
      </c>
    </row>
    <row r="20" spans="2:25" x14ac:dyDescent="0.3">
      <c r="G20" s="6"/>
      <c r="H20" s="39"/>
      <c r="I20" s="28"/>
      <c r="J20" s="6" t="s">
        <v>116</v>
      </c>
      <c r="K20" s="39" t="s">
        <v>917</v>
      </c>
      <c r="L20" s="28">
        <v>-13500</v>
      </c>
      <c r="M20" s="6" t="s">
        <v>127</v>
      </c>
      <c r="N20" s="39" t="s">
        <v>272</v>
      </c>
      <c r="O20" s="26">
        <v>2500</v>
      </c>
      <c r="P20" s="5"/>
      <c r="Q20" s="6"/>
      <c r="R20" s="39"/>
      <c r="S20" s="28"/>
      <c r="T20" s="6" t="s">
        <v>116</v>
      </c>
      <c r="U20" s="39" t="s">
        <v>263</v>
      </c>
      <c r="V20" s="28">
        <v>-3385200</v>
      </c>
      <c r="W20" s="6" t="s">
        <v>133</v>
      </c>
      <c r="X20" s="39" t="s">
        <v>143</v>
      </c>
      <c r="Y20" s="26">
        <v>-1063704</v>
      </c>
    </row>
    <row r="21" spans="2:25" x14ac:dyDescent="0.3">
      <c r="G21" s="6"/>
      <c r="H21" s="39"/>
      <c r="I21" s="28"/>
      <c r="J21" s="6" t="s">
        <v>120</v>
      </c>
      <c r="K21" s="39" t="s">
        <v>918</v>
      </c>
      <c r="L21" s="28">
        <v>-10500</v>
      </c>
      <c r="M21" s="6" t="s">
        <v>127</v>
      </c>
      <c r="N21" s="39" t="s">
        <v>272</v>
      </c>
      <c r="O21" s="26">
        <v>2500</v>
      </c>
      <c r="P21" s="5"/>
      <c r="Q21" s="6"/>
      <c r="R21" s="39"/>
      <c r="S21" s="28"/>
      <c r="T21" s="6" t="s">
        <v>117</v>
      </c>
      <c r="U21" s="39" t="s">
        <v>147</v>
      </c>
      <c r="V21" s="28">
        <v>-120000</v>
      </c>
      <c r="W21" s="6" t="s">
        <v>127</v>
      </c>
      <c r="X21" s="39" t="s">
        <v>945</v>
      </c>
      <c r="Y21" s="26">
        <v>5000</v>
      </c>
    </row>
    <row r="22" spans="2:25" x14ac:dyDescent="0.3">
      <c r="G22" s="6"/>
      <c r="H22" s="39"/>
      <c r="I22" s="28"/>
      <c r="J22" s="6" t="s">
        <v>116</v>
      </c>
      <c r="K22" s="39" t="s">
        <v>177</v>
      </c>
      <c r="L22" s="28">
        <v>-27000</v>
      </c>
      <c r="M22" s="6" t="s">
        <v>127</v>
      </c>
      <c r="N22" s="39" t="s">
        <v>354</v>
      </c>
      <c r="O22" s="26">
        <v>2500</v>
      </c>
      <c r="P22" s="5"/>
      <c r="Q22" s="6"/>
      <c r="R22" s="39"/>
      <c r="S22" s="28"/>
      <c r="T22" s="6" t="s">
        <v>137</v>
      </c>
      <c r="U22" s="39" t="s">
        <v>949</v>
      </c>
      <c r="V22" s="28">
        <v>-75000</v>
      </c>
      <c r="W22" s="6" t="s">
        <v>144</v>
      </c>
      <c r="X22" s="39" t="s">
        <v>946</v>
      </c>
      <c r="Y22" s="26">
        <v>-5000</v>
      </c>
    </row>
    <row r="23" spans="2:25" x14ac:dyDescent="0.3">
      <c r="G23" s="6"/>
      <c r="H23" s="39"/>
      <c r="I23" s="28"/>
      <c r="J23" s="6" t="s">
        <v>116</v>
      </c>
      <c r="K23" s="39" t="s">
        <v>656</v>
      </c>
      <c r="L23" s="28">
        <v>-7000</v>
      </c>
      <c r="M23" s="6" t="s">
        <v>127</v>
      </c>
      <c r="N23" s="39" t="s">
        <v>462</v>
      </c>
      <c r="O23" s="26">
        <v>2500</v>
      </c>
      <c r="P23" s="5"/>
      <c r="Q23" s="6"/>
      <c r="R23" s="39"/>
      <c r="S23" s="28"/>
      <c r="T23" s="6" t="s">
        <v>138</v>
      </c>
      <c r="U23" s="39" t="s">
        <v>951</v>
      </c>
      <c r="V23" s="28">
        <v>-4260</v>
      </c>
      <c r="W23" s="6" t="s">
        <v>144</v>
      </c>
      <c r="X23" s="39" t="s">
        <v>367</v>
      </c>
      <c r="Y23" s="26">
        <v>3000000</v>
      </c>
    </row>
    <row r="24" spans="2:25" x14ac:dyDescent="0.3">
      <c r="G24" s="6"/>
      <c r="H24" s="39"/>
      <c r="I24" s="28"/>
      <c r="J24" s="6" t="s">
        <v>125</v>
      </c>
      <c r="K24" s="39" t="s">
        <v>452</v>
      </c>
      <c r="L24" s="28">
        <v>-15000</v>
      </c>
      <c r="M24" s="6" t="s">
        <v>127</v>
      </c>
      <c r="N24" s="39" t="s">
        <v>271</v>
      </c>
      <c r="O24" s="26">
        <v>2500</v>
      </c>
      <c r="P24" s="5"/>
      <c r="Q24" s="6"/>
      <c r="R24" s="39"/>
      <c r="S24" s="28"/>
      <c r="T24" s="6" t="s">
        <v>116</v>
      </c>
      <c r="U24" s="39" t="s">
        <v>952</v>
      </c>
      <c r="V24" s="28">
        <v>-9080</v>
      </c>
      <c r="W24" s="6" t="s">
        <v>144</v>
      </c>
      <c r="X24" s="39" t="s">
        <v>367</v>
      </c>
      <c r="Y24" s="26">
        <v>-3000000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116</v>
      </c>
      <c r="K25" s="39" t="s">
        <v>158</v>
      </c>
      <c r="L25" s="28">
        <v>-500000</v>
      </c>
      <c r="M25" s="6" t="s">
        <v>127</v>
      </c>
      <c r="N25" s="39" t="s">
        <v>786</v>
      </c>
      <c r="O25" s="26">
        <v>2500</v>
      </c>
      <c r="P25" s="5"/>
      <c r="Q25" s="6"/>
      <c r="R25" s="39"/>
      <c r="S25" s="28"/>
      <c r="T25" s="6" t="s">
        <v>119</v>
      </c>
      <c r="U25" s="39" t="s">
        <v>406</v>
      </c>
      <c r="V25" s="28">
        <v>-1000</v>
      </c>
      <c r="W25" s="6" t="s">
        <v>144</v>
      </c>
      <c r="X25" s="39" t="s">
        <v>367</v>
      </c>
      <c r="Y25" s="26">
        <v>-10000000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116</v>
      </c>
      <c r="K26" s="39" t="s">
        <v>158</v>
      </c>
      <c r="L26" s="28">
        <v>-1500000</v>
      </c>
      <c r="M26" s="6" t="s">
        <v>127</v>
      </c>
      <c r="N26" s="39" t="s">
        <v>131</v>
      </c>
      <c r="O26" s="26">
        <v>-2500</v>
      </c>
      <c r="P26" s="5"/>
      <c r="Q26" s="6"/>
      <c r="R26" s="39"/>
      <c r="S26" s="28"/>
      <c r="T26" s="6" t="s">
        <v>116</v>
      </c>
      <c r="U26" s="39" t="s">
        <v>263</v>
      </c>
      <c r="V26" s="28">
        <v>-69096</v>
      </c>
      <c r="W26" s="6" t="s">
        <v>144</v>
      </c>
      <c r="X26" s="39" t="s">
        <v>367</v>
      </c>
      <c r="Y26" s="26">
        <v>10000000</v>
      </c>
    </row>
    <row r="27" spans="2:25" x14ac:dyDescent="0.3">
      <c r="B27" s="48" t="s">
        <v>115</v>
      </c>
      <c r="C27" s="131">
        <f>-(SUMIF($J$7:$J$88,B27,$L$7:$L$88)+SUMIF($T$7:$T$88,B27,$V$7:$V$88))</f>
        <v>12416120</v>
      </c>
      <c r="D27" s="99"/>
      <c r="E27" s="100"/>
      <c r="G27" s="6"/>
      <c r="H27" s="39"/>
      <c r="I27" s="28"/>
      <c r="J27" s="6" t="s">
        <v>122</v>
      </c>
      <c r="K27" s="39" t="s">
        <v>160</v>
      </c>
      <c r="L27" s="28">
        <v>-500000</v>
      </c>
      <c r="M27" s="6" t="s">
        <v>127</v>
      </c>
      <c r="N27" s="39" t="s">
        <v>131</v>
      </c>
      <c r="O27" s="26">
        <v>-22800</v>
      </c>
      <c r="P27" s="5"/>
      <c r="Q27" s="6"/>
      <c r="R27" s="39"/>
      <c r="S27" s="28"/>
      <c r="T27" s="6" t="s">
        <v>116</v>
      </c>
      <c r="U27" s="39" t="s">
        <v>955</v>
      </c>
      <c r="V27" s="28">
        <v>-95840</v>
      </c>
      <c r="W27" s="6" t="s">
        <v>144</v>
      </c>
      <c r="X27" s="39" t="s">
        <v>367</v>
      </c>
      <c r="Y27" s="26">
        <v>-5000000</v>
      </c>
    </row>
    <row r="28" spans="2:25" x14ac:dyDescent="0.3">
      <c r="B28" s="49" t="s">
        <v>116</v>
      </c>
      <c r="C28" s="131">
        <f>-(SUMIF($J$7:$J$88,B28,$L$7:$L$88)+SUMIF($T$7:$T$88,B28,$V$7:$V$88))</f>
        <v>10060082</v>
      </c>
      <c r="D28" s="99"/>
      <c r="E28" s="100"/>
      <c r="G28" s="6"/>
      <c r="H28" s="39"/>
      <c r="I28" s="28"/>
      <c r="J28" s="6" t="s">
        <v>115</v>
      </c>
      <c r="K28" s="39" t="s">
        <v>132</v>
      </c>
      <c r="L28" s="28">
        <v>-6000000</v>
      </c>
      <c r="M28" s="6" t="s">
        <v>127</v>
      </c>
      <c r="N28" s="39" t="s">
        <v>131</v>
      </c>
      <c r="O28" s="26">
        <v>-2500</v>
      </c>
      <c r="P28" s="5"/>
      <c r="Q28" s="6"/>
      <c r="R28" s="39"/>
      <c r="S28" s="28"/>
      <c r="T28" s="6" t="s">
        <v>125</v>
      </c>
      <c r="U28" s="39" t="s">
        <v>581</v>
      </c>
      <c r="V28" s="28">
        <v>-10000</v>
      </c>
      <c r="W28" s="6" t="s">
        <v>144</v>
      </c>
      <c r="X28" s="39" t="s">
        <v>367</v>
      </c>
      <c r="Y28" s="26">
        <v>5000000</v>
      </c>
    </row>
    <row r="29" spans="2:25" x14ac:dyDescent="0.3">
      <c r="B29" s="49" t="s">
        <v>120</v>
      </c>
      <c r="C29" s="131">
        <f>-(SUMIF($J$7:$J$88,B29,$L$7:$L$88)+SUMIF($T$7:$T$88,B29,$V$7:$V$88))</f>
        <v>135190</v>
      </c>
      <c r="D29" s="99"/>
      <c r="E29" s="100"/>
      <c r="G29" s="6"/>
      <c r="H29" s="39"/>
      <c r="I29" s="28"/>
      <c r="J29" s="6" t="s">
        <v>115</v>
      </c>
      <c r="K29" s="39" t="s">
        <v>132</v>
      </c>
      <c r="L29" s="28">
        <v>-6000000</v>
      </c>
      <c r="M29" s="6" t="s">
        <v>80</v>
      </c>
      <c r="N29" s="39" t="s">
        <v>923</v>
      </c>
      <c r="O29" s="26">
        <v>1</v>
      </c>
      <c r="P29" s="5"/>
      <c r="Q29" s="6"/>
      <c r="R29" s="39"/>
      <c r="S29" s="28"/>
      <c r="T29" s="6" t="s">
        <v>125</v>
      </c>
      <c r="U29" s="39" t="s">
        <v>956</v>
      </c>
      <c r="V29" s="28">
        <v>-23800</v>
      </c>
      <c r="W29" s="6" t="s">
        <v>144</v>
      </c>
      <c r="X29" s="39" t="s">
        <v>367</v>
      </c>
      <c r="Y29" s="26">
        <v>-10000000</v>
      </c>
    </row>
    <row r="30" spans="2:25" x14ac:dyDescent="0.3">
      <c r="B30" s="49" t="s">
        <v>118</v>
      </c>
      <c r="C30" s="131">
        <f>-(SUMIF($J$7:$J$88,B30,$L$7:$L$88)+SUMIF($T$7:$T$88,B30,$V$7:$V$88))</f>
        <v>749210</v>
      </c>
      <c r="D30" s="99"/>
      <c r="E30" s="100"/>
      <c r="G30" s="6"/>
      <c r="H30" s="39"/>
      <c r="I30" s="28"/>
      <c r="J30" s="6" t="s">
        <v>118</v>
      </c>
      <c r="K30" s="39" t="s">
        <v>130</v>
      </c>
      <c r="L30" s="28">
        <v>-16500</v>
      </c>
      <c r="M30" s="6" t="s">
        <v>175</v>
      </c>
      <c r="N30" s="39" t="s">
        <v>159</v>
      </c>
      <c r="O30" s="26">
        <v>-20000</v>
      </c>
      <c r="P30" s="5"/>
      <c r="Q30" s="6"/>
      <c r="R30" s="39"/>
      <c r="S30" s="28"/>
      <c r="T30" s="6" t="s">
        <v>148</v>
      </c>
      <c r="U30" s="39" t="s">
        <v>958</v>
      </c>
      <c r="V30" s="28">
        <v>-150796</v>
      </c>
      <c r="W30" s="6" t="s">
        <v>144</v>
      </c>
      <c r="X30" s="39" t="s">
        <v>367</v>
      </c>
      <c r="Y30" s="26">
        <v>10000000</v>
      </c>
    </row>
    <row r="31" spans="2:25" x14ac:dyDescent="0.3">
      <c r="B31" s="49" t="s">
        <v>122</v>
      </c>
      <c r="C31" s="131">
        <f>-(SUMIF($J$7:$J$88,B31,$L$7:$L$88)+SUMIF($T$7:$T$88,B31,$V$7:$V$88))</f>
        <v>522650</v>
      </c>
      <c r="D31" s="99"/>
      <c r="E31" s="100"/>
      <c r="G31" s="6"/>
      <c r="H31" s="39"/>
      <c r="I31" s="28"/>
      <c r="J31" s="6" t="s">
        <v>116</v>
      </c>
      <c r="K31" s="39" t="s">
        <v>536</v>
      </c>
      <c r="L31" s="28">
        <v>-29680</v>
      </c>
      <c r="M31" s="6" t="s">
        <v>175</v>
      </c>
      <c r="N31" s="39" t="s">
        <v>924</v>
      </c>
      <c r="O31" s="26">
        <v>20000</v>
      </c>
      <c r="P31" s="5"/>
      <c r="Q31" s="6"/>
      <c r="R31" s="39"/>
      <c r="S31" s="28"/>
      <c r="T31" s="6" t="s">
        <v>148</v>
      </c>
      <c r="U31" s="39" t="s">
        <v>958</v>
      </c>
      <c r="V31" s="28">
        <v>-172788</v>
      </c>
      <c r="W31" s="6" t="s">
        <v>144</v>
      </c>
      <c r="X31" s="39" t="s">
        <v>367</v>
      </c>
      <c r="Y31" s="26">
        <v>10000000</v>
      </c>
    </row>
    <row r="32" spans="2:25" x14ac:dyDescent="0.3">
      <c r="B32" s="49" t="s">
        <v>119</v>
      </c>
      <c r="C32" s="131">
        <f>-(SUMIF($J$7:$J$88,B32,$L$7:$L$88)+SUMIF($T$7:$T$88,B32,$V$7:$V$88))</f>
        <v>211210</v>
      </c>
      <c r="D32" s="99"/>
      <c r="E32" s="100"/>
      <c r="G32" s="6"/>
      <c r="H32" s="39"/>
      <c r="I32" s="28"/>
      <c r="J32" s="6" t="s">
        <v>119</v>
      </c>
      <c r="K32" s="39" t="s">
        <v>919</v>
      </c>
      <c r="L32" s="28">
        <v>-50000</v>
      </c>
      <c r="M32" s="6" t="s">
        <v>127</v>
      </c>
      <c r="N32" s="39" t="s">
        <v>928</v>
      </c>
      <c r="O32" s="26">
        <v>150000</v>
      </c>
      <c r="P32" s="5"/>
      <c r="Q32" s="6"/>
      <c r="R32" s="39"/>
      <c r="S32" s="28"/>
      <c r="T32" s="6" t="s">
        <v>118</v>
      </c>
      <c r="U32" s="39" t="s">
        <v>224</v>
      </c>
      <c r="V32" s="28">
        <v>-24100</v>
      </c>
      <c r="W32" s="6" t="s">
        <v>144</v>
      </c>
      <c r="X32" s="39" t="s">
        <v>367</v>
      </c>
      <c r="Y32" s="26">
        <v>-10000000</v>
      </c>
    </row>
    <row r="33" spans="2:25" x14ac:dyDescent="0.3">
      <c r="B33" s="49" t="s">
        <v>129</v>
      </c>
      <c r="C33" s="131">
        <f>-(SUMIF($J$7:$J$88,B33,$L$7:$L$88)+SUMIF($T$7:$T$88,B33,$V$7:$V$88))</f>
        <v>55500</v>
      </c>
      <c r="D33" s="99"/>
      <c r="E33" s="100"/>
      <c r="G33" s="6"/>
      <c r="H33" s="39"/>
      <c r="I33" s="28"/>
      <c r="J33" s="6" t="s">
        <v>116</v>
      </c>
      <c r="K33" s="39" t="s">
        <v>463</v>
      </c>
      <c r="L33" s="28">
        <v>-22700</v>
      </c>
      <c r="M33" s="6" t="s">
        <v>127</v>
      </c>
      <c r="N33" s="39" t="s">
        <v>929</v>
      </c>
      <c r="O33" s="26">
        <v>300000</v>
      </c>
      <c r="P33" s="5"/>
      <c r="Q33" s="6"/>
      <c r="R33" s="39"/>
      <c r="S33" s="28"/>
      <c r="T33" s="6" t="s">
        <v>119</v>
      </c>
      <c r="U33" s="39" t="s">
        <v>574</v>
      </c>
      <c r="V33" s="28">
        <v>-60000</v>
      </c>
      <c r="W33" s="6" t="s">
        <v>144</v>
      </c>
      <c r="X33" s="39" t="s">
        <v>367</v>
      </c>
      <c r="Y33" s="26">
        <v>-10000000</v>
      </c>
    </row>
    <row r="34" spans="2:25" x14ac:dyDescent="0.3">
      <c r="B34" s="49" t="s">
        <v>125</v>
      </c>
      <c r="C34" s="131">
        <f>-(SUMIF($J$7:$J$88,B34,$L$7:$L$88)+SUMIF($T$7:$T$88,B34,$V$7:$V$88))</f>
        <v>102507</v>
      </c>
      <c r="D34" s="99"/>
      <c r="E34" s="100"/>
      <c r="G34" s="6"/>
      <c r="H34" s="39"/>
      <c r="I34" s="28"/>
      <c r="J34" s="6" t="s">
        <v>115</v>
      </c>
      <c r="K34" s="39" t="s">
        <v>132</v>
      </c>
      <c r="L34" s="28">
        <v>-100000</v>
      </c>
      <c r="M34" s="6" t="s">
        <v>127</v>
      </c>
      <c r="N34" s="39" t="s">
        <v>131</v>
      </c>
      <c r="O34" s="26">
        <v>-2500</v>
      </c>
      <c r="P34" s="5"/>
      <c r="Q34" s="6"/>
      <c r="R34" s="39"/>
      <c r="S34" s="28"/>
      <c r="T34" s="6" t="s">
        <v>125</v>
      </c>
      <c r="U34" s="39" t="s">
        <v>581</v>
      </c>
      <c r="V34" s="28">
        <v>-10000</v>
      </c>
      <c r="W34" s="6" t="s">
        <v>144</v>
      </c>
      <c r="X34" s="39" t="s">
        <v>367</v>
      </c>
      <c r="Y34" s="26">
        <v>10000000</v>
      </c>
    </row>
    <row r="35" spans="2:25" x14ac:dyDescent="0.3">
      <c r="B35" s="49" t="s">
        <v>148</v>
      </c>
      <c r="C35" s="131">
        <f>-(SUMIF($J$7:$J$88,B35,$L$7:$L$88)+SUMIF($T$7:$T$88,B35,$V$7:$V$88))</f>
        <v>382427</v>
      </c>
      <c r="D35" s="99"/>
      <c r="E35" s="100"/>
      <c r="G35" s="6"/>
      <c r="H35" s="39"/>
      <c r="I35" s="28"/>
      <c r="J35" s="6" t="s">
        <v>122</v>
      </c>
      <c r="K35" s="39" t="s">
        <v>191</v>
      </c>
      <c r="L35" s="28">
        <v>-22650</v>
      </c>
      <c r="M35" s="6" t="s">
        <v>133</v>
      </c>
      <c r="N35" s="39" t="s">
        <v>136</v>
      </c>
      <c r="O35" s="26">
        <v>-3425630</v>
      </c>
      <c r="P35" s="5"/>
      <c r="Q35" s="6"/>
      <c r="R35" s="39"/>
      <c r="S35" s="28"/>
      <c r="T35" s="6" t="s">
        <v>138</v>
      </c>
      <c r="U35" s="39" t="s">
        <v>800</v>
      </c>
      <c r="V35" s="28">
        <v>-14040</v>
      </c>
      <c r="W35" s="6" t="s">
        <v>144</v>
      </c>
      <c r="X35" s="39">
        <v>158051297990</v>
      </c>
      <c r="Y35" s="26">
        <v>-45000000</v>
      </c>
    </row>
    <row r="36" spans="2:25" x14ac:dyDescent="0.3">
      <c r="B36" s="49" t="s">
        <v>117</v>
      </c>
      <c r="C36" s="131">
        <f>-(SUMIF($J$7:$J$88,B36,$L$7:$L$88)+SUMIF($T$7:$T$88,B36,$V$7:$V$88))</f>
        <v>130000</v>
      </c>
      <c r="D36" s="99"/>
      <c r="E36" s="100"/>
      <c r="G36" s="6"/>
      <c r="H36" s="39"/>
      <c r="I36" s="28"/>
      <c r="J36" s="6" t="s">
        <v>125</v>
      </c>
      <c r="K36" s="39" t="s">
        <v>487</v>
      </c>
      <c r="L36" s="28">
        <v>-5000</v>
      </c>
      <c r="M36" s="6" t="s">
        <v>175</v>
      </c>
      <c r="N36" s="39" t="s">
        <v>200</v>
      </c>
      <c r="O36" s="26">
        <v>100000</v>
      </c>
      <c r="P36" s="5"/>
      <c r="Q36" s="6"/>
      <c r="R36" s="39"/>
      <c r="S36" s="28"/>
      <c r="T36" s="6" t="s">
        <v>137</v>
      </c>
      <c r="U36" s="39" t="s">
        <v>282</v>
      </c>
      <c r="V36" s="28">
        <v>-63450</v>
      </c>
      <c r="W36" s="6" t="s">
        <v>144</v>
      </c>
      <c r="X36" s="39" t="s">
        <v>947</v>
      </c>
      <c r="Y36" s="26">
        <v>45000000</v>
      </c>
    </row>
    <row r="37" spans="2:25" x14ac:dyDescent="0.3">
      <c r="B37" s="49" t="s">
        <v>128</v>
      </c>
      <c r="C37" s="131">
        <f>-(SUMIF($J$7:$J$88,B37,$L$7:$L$88)+SUMIF($T$7:$T$88,B37,$V$7:$V$88))</f>
        <v>0</v>
      </c>
      <c r="D37" s="99"/>
      <c r="E37" s="100"/>
      <c r="G37" s="6"/>
      <c r="H37" s="39"/>
      <c r="I37" s="28"/>
      <c r="J37" s="6" t="s">
        <v>116</v>
      </c>
      <c r="K37" s="39" t="s">
        <v>124</v>
      </c>
      <c r="L37" s="28">
        <v>-80000</v>
      </c>
      <c r="M37" s="6" t="s">
        <v>175</v>
      </c>
      <c r="N37" s="39" t="s">
        <v>930</v>
      </c>
      <c r="O37" s="26">
        <v>-100000</v>
      </c>
      <c r="P37" s="5"/>
      <c r="Q37" s="6"/>
      <c r="R37" s="39"/>
      <c r="S37" s="28"/>
      <c r="T37" s="6" t="s">
        <v>116</v>
      </c>
      <c r="U37" s="39" t="s">
        <v>155</v>
      </c>
      <c r="V37" s="28">
        <v>-17780</v>
      </c>
      <c r="W37" s="6" t="s">
        <v>127</v>
      </c>
      <c r="X37" s="39" t="s">
        <v>948</v>
      </c>
      <c r="Y37" s="26">
        <v>1</v>
      </c>
    </row>
    <row r="38" spans="2:25" x14ac:dyDescent="0.3">
      <c r="B38" s="49" t="s">
        <v>146</v>
      </c>
      <c r="C38" s="131">
        <f>-(SUMIF($J$7:$J$88,B38,$L$7:$L$88)+SUMIF($T$7:$T$88,B38,$V$7:$V$88))</f>
        <v>0</v>
      </c>
      <c r="D38" s="99"/>
      <c r="E38" s="100"/>
      <c r="G38" s="6"/>
      <c r="H38" s="39"/>
      <c r="I38" s="28"/>
      <c r="J38" s="6" t="s">
        <v>119</v>
      </c>
      <c r="K38" s="39" t="s">
        <v>379</v>
      </c>
      <c r="L38" s="28">
        <v>-50000</v>
      </c>
      <c r="M38" s="6" t="s">
        <v>127</v>
      </c>
      <c r="N38" s="39" t="s">
        <v>931</v>
      </c>
      <c r="O38" s="26">
        <v>9000</v>
      </c>
      <c r="P38" s="5"/>
      <c r="Q38" s="6"/>
      <c r="R38" s="39"/>
      <c r="S38" s="28"/>
      <c r="T38" s="6" t="s">
        <v>125</v>
      </c>
      <c r="U38" s="39" t="s">
        <v>123</v>
      </c>
      <c r="V38" s="28">
        <v>-990</v>
      </c>
      <c r="W38" s="6" t="s">
        <v>144</v>
      </c>
      <c r="X38" s="39" t="s">
        <v>367</v>
      </c>
      <c r="Y38" s="26">
        <v>48000</v>
      </c>
    </row>
    <row r="39" spans="2:25" x14ac:dyDescent="0.3">
      <c r="B39" s="49" t="s">
        <v>134</v>
      </c>
      <c r="C39" s="131">
        <f>-(SUMIF($J$7:$J$88,B39,$L$7:$L$88)+SUMIF($T$7:$T$88,B39,$V$7:$V$88))</f>
        <v>285000</v>
      </c>
      <c r="D39" s="99"/>
      <c r="E39" s="100"/>
      <c r="G39" s="6"/>
      <c r="H39" s="39"/>
      <c r="I39" s="28"/>
      <c r="J39" s="6" t="s">
        <v>115</v>
      </c>
      <c r="K39" s="39" t="s">
        <v>132</v>
      </c>
      <c r="L39" s="28">
        <v>-100000</v>
      </c>
      <c r="M39" s="6" t="s">
        <v>175</v>
      </c>
      <c r="N39" s="39" t="s">
        <v>252</v>
      </c>
      <c r="O39" s="26">
        <v>-100000</v>
      </c>
      <c r="P39" s="5"/>
      <c r="Q39" s="6"/>
      <c r="R39" s="39"/>
      <c r="S39" s="28"/>
      <c r="T39" s="6" t="s">
        <v>148</v>
      </c>
      <c r="U39" s="39" t="s">
        <v>961</v>
      </c>
      <c r="V39" s="28">
        <v>-58843</v>
      </c>
      <c r="W39" s="6" t="s">
        <v>127</v>
      </c>
      <c r="X39" s="39" t="s">
        <v>135</v>
      </c>
      <c r="Y39" s="26">
        <v>6000000</v>
      </c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119</v>
      </c>
      <c r="K40" s="39" t="s">
        <v>922</v>
      </c>
      <c r="L40" s="28">
        <v>-35950</v>
      </c>
      <c r="M40" s="6" t="s">
        <v>127</v>
      </c>
      <c r="N40" s="39" t="s">
        <v>131</v>
      </c>
      <c r="O40" s="26">
        <v>-2500</v>
      </c>
      <c r="P40" s="5"/>
      <c r="Q40" s="6"/>
      <c r="R40" s="39"/>
      <c r="S40" s="28"/>
      <c r="T40" s="6" t="s">
        <v>116</v>
      </c>
      <c r="U40" s="39" t="s">
        <v>263</v>
      </c>
      <c r="V40" s="28">
        <v>-195243</v>
      </c>
      <c r="W40" s="6" t="s">
        <v>127</v>
      </c>
      <c r="X40" s="39" t="s">
        <v>135</v>
      </c>
      <c r="Y40" s="26">
        <v>6000000</v>
      </c>
    </row>
    <row r="41" spans="2:25" x14ac:dyDescent="0.3">
      <c r="B41" s="49" t="s">
        <v>126</v>
      </c>
      <c r="C41" s="131">
        <f>-(SUMIF($J$7:$J$88,B41,$L$7:$L$88)+SUMIF($T$7:$T$88,B41,$V$7:$V$88))</f>
        <v>44900</v>
      </c>
      <c r="D41" s="99"/>
      <c r="E41" s="100"/>
      <c r="G41" s="6"/>
      <c r="H41" s="39"/>
      <c r="I41" s="28"/>
      <c r="J41" s="6" t="s">
        <v>118</v>
      </c>
      <c r="K41" s="39" t="s">
        <v>224</v>
      </c>
      <c r="L41" s="28">
        <v>-40490</v>
      </c>
      <c r="M41" s="6" t="s">
        <v>127</v>
      </c>
      <c r="N41" s="39" t="s">
        <v>131</v>
      </c>
      <c r="O41" s="26">
        <v>-4300</v>
      </c>
      <c r="P41" s="5"/>
      <c r="Q41" s="6"/>
      <c r="R41" s="39"/>
      <c r="S41" s="28"/>
      <c r="T41" s="6" t="s">
        <v>116</v>
      </c>
      <c r="U41" s="39" t="s">
        <v>155</v>
      </c>
      <c r="V41" s="28">
        <v>-13140</v>
      </c>
      <c r="W41" s="6" t="s">
        <v>127</v>
      </c>
      <c r="X41" s="39" t="s">
        <v>272</v>
      </c>
      <c r="Y41" s="26">
        <v>17500</v>
      </c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129</v>
      </c>
      <c r="K42" s="39" t="s">
        <v>221</v>
      </c>
      <c r="L42" s="28">
        <v>-9500</v>
      </c>
      <c r="M42" s="6" t="s">
        <v>175</v>
      </c>
      <c r="N42" s="39" t="s">
        <v>135</v>
      </c>
      <c r="O42" s="26">
        <v>6211</v>
      </c>
      <c r="P42" s="5"/>
      <c r="Q42" s="6"/>
      <c r="R42" s="39"/>
      <c r="S42" s="28"/>
      <c r="T42" s="6" t="s">
        <v>116</v>
      </c>
      <c r="U42" s="39" t="s">
        <v>289</v>
      </c>
      <c r="V42" s="28">
        <v>-102105</v>
      </c>
      <c r="W42" s="6" t="s">
        <v>127</v>
      </c>
      <c r="X42" s="39" t="s">
        <v>460</v>
      </c>
      <c r="Y42" s="26">
        <v>17500</v>
      </c>
    </row>
    <row r="43" spans="2:25" x14ac:dyDescent="0.3">
      <c r="B43" s="49" t="s">
        <v>137</v>
      </c>
      <c r="C43" s="131">
        <f>-(SUMIF($J$7:$J$88,B43,$L$7:$L$88)+SUMIF($T$7:$T$88,B43,$V$7:$V$88))</f>
        <v>412741</v>
      </c>
      <c r="D43" s="99"/>
      <c r="E43" s="100"/>
      <c r="G43" s="6"/>
      <c r="H43" s="39"/>
      <c r="I43" s="28"/>
      <c r="J43" s="6" t="s">
        <v>129</v>
      </c>
      <c r="K43" s="39" t="s">
        <v>221</v>
      </c>
      <c r="L43" s="28">
        <v>9500</v>
      </c>
      <c r="M43" s="6" t="s">
        <v>127</v>
      </c>
      <c r="N43" s="39" t="s">
        <v>933</v>
      </c>
      <c r="O43" s="26">
        <v>-151480</v>
      </c>
      <c r="P43" s="5"/>
      <c r="Q43" s="6"/>
      <c r="R43" s="39"/>
      <c r="S43" s="28"/>
      <c r="T43" s="6" t="s">
        <v>118</v>
      </c>
      <c r="U43" s="39" t="s">
        <v>284</v>
      </c>
      <c r="V43" s="28">
        <v>-201970</v>
      </c>
      <c r="W43" s="6" t="s">
        <v>127</v>
      </c>
      <c r="X43" s="39" t="s">
        <v>786</v>
      </c>
      <c r="Y43" s="26">
        <v>17500</v>
      </c>
    </row>
    <row r="44" spans="2:25" x14ac:dyDescent="0.3">
      <c r="B44" s="49" t="s">
        <v>144</v>
      </c>
      <c r="C44" s="131">
        <f>-(SUMIF($J$7:$J$88,B44,$L$7:$L$88)+SUMIF($T$7:$T$88,B44,$V$7:$V$88))</f>
        <v>0</v>
      </c>
      <c r="D44" s="99"/>
      <c r="E44" s="100"/>
      <c r="G44" s="6"/>
      <c r="H44" s="39"/>
      <c r="I44" s="28"/>
      <c r="J44" s="6" t="s">
        <v>115</v>
      </c>
      <c r="K44" s="39" t="s">
        <v>132</v>
      </c>
      <c r="L44" s="28">
        <v>-30000</v>
      </c>
      <c r="M44" s="6"/>
      <c r="N44" s="39"/>
      <c r="O44" s="26"/>
      <c r="P44" s="5"/>
      <c r="Q44" s="6"/>
      <c r="R44" s="39"/>
      <c r="S44" s="28"/>
      <c r="T44" s="6" t="s">
        <v>126</v>
      </c>
      <c r="U44" s="39" t="s">
        <v>481</v>
      </c>
      <c r="V44" s="28">
        <v>-44900</v>
      </c>
      <c r="W44" s="6" t="s">
        <v>127</v>
      </c>
      <c r="X44" s="39" t="s">
        <v>235</v>
      </c>
      <c r="Y44" s="26">
        <v>17500</v>
      </c>
    </row>
    <row r="45" spans="2:25" x14ac:dyDescent="0.3">
      <c r="B45" s="49" t="s">
        <v>138</v>
      </c>
      <c r="C45" s="131">
        <f>-(SUMIF($J$7:$J$88,B45,$L$7:$L$88)+SUMIF($T$7:$T$88,B45,$V$7:$V$88))</f>
        <v>36800</v>
      </c>
      <c r="D45" s="99"/>
      <c r="E45" s="100"/>
      <c r="G45" s="6"/>
      <c r="H45" s="39"/>
      <c r="I45" s="28"/>
      <c r="J45" s="6" t="s">
        <v>129</v>
      </c>
      <c r="K45" s="39" t="s">
        <v>925</v>
      </c>
      <c r="L45" s="28">
        <v>-18500</v>
      </c>
      <c r="M45" s="6"/>
      <c r="N45" s="39"/>
      <c r="O45" s="26"/>
      <c r="P45" s="5"/>
      <c r="Q45" s="6"/>
      <c r="R45" s="39"/>
      <c r="S45" s="28"/>
      <c r="T45" s="6" t="s">
        <v>137</v>
      </c>
      <c r="U45" s="39" t="s">
        <v>263</v>
      </c>
      <c r="V45" s="28">
        <v>-34291</v>
      </c>
      <c r="W45" s="6" t="s">
        <v>127</v>
      </c>
      <c r="X45" s="39" t="s">
        <v>950</v>
      </c>
      <c r="Y45" s="26">
        <v>-300000</v>
      </c>
    </row>
    <row r="46" spans="2:25" x14ac:dyDescent="0.3">
      <c r="B46" s="50" t="s">
        <v>154</v>
      </c>
      <c r="C46" s="131">
        <f>-(SUMIF($J$7:$J$88,B46,$L$7:$L$88)+SUMIF($T$7:$T$88,B46,$V$7:$V$88))</f>
        <v>0</v>
      </c>
      <c r="D46" s="99"/>
      <c r="E46" s="100"/>
      <c r="G46" s="6"/>
      <c r="H46" s="39"/>
      <c r="I46" s="28"/>
      <c r="J46" s="6" t="s">
        <v>115</v>
      </c>
      <c r="K46" s="39" t="s">
        <v>926</v>
      </c>
      <c r="L46" s="28">
        <v>-150000</v>
      </c>
      <c r="M46" s="6"/>
      <c r="N46" s="39"/>
      <c r="O46" s="26"/>
      <c r="P46" s="5"/>
      <c r="Q46" s="6"/>
      <c r="R46" s="39"/>
      <c r="S46" s="28"/>
      <c r="T46" s="6" t="s">
        <v>138</v>
      </c>
      <c r="U46" s="39" t="s">
        <v>139</v>
      </c>
      <c r="V46" s="28">
        <v>-18500</v>
      </c>
      <c r="W46" s="6" t="s">
        <v>127</v>
      </c>
      <c r="X46" s="39" t="s">
        <v>954</v>
      </c>
      <c r="Y46" s="26">
        <v>2000</v>
      </c>
    </row>
    <row r="47" spans="2:25" x14ac:dyDescent="0.3">
      <c r="G47" s="6"/>
      <c r="H47" s="39"/>
      <c r="I47" s="28"/>
      <c r="J47" s="6" t="s">
        <v>129</v>
      </c>
      <c r="K47" s="39" t="s">
        <v>927</v>
      </c>
      <c r="L47" s="28">
        <v>-1300</v>
      </c>
      <c r="M47" s="6"/>
      <c r="N47" s="39"/>
      <c r="O47" s="26"/>
      <c r="P47" s="5"/>
      <c r="Q47" s="6"/>
      <c r="R47" s="39"/>
      <c r="S47" s="28"/>
      <c r="T47" s="6" t="s">
        <v>129</v>
      </c>
      <c r="U47" s="39" t="s">
        <v>903</v>
      </c>
      <c r="V47" s="28">
        <v>-15500</v>
      </c>
      <c r="W47" s="6" t="s">
        <v>127</v>
      </c>
      <c r="X47" s="39" t="s">
        <v>135</v>
      </c>
      <c r="Y47" s="26">
        <v>100000</v>
      </c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118</v>
      </c>
      <c r="K48" s="39">
        <v>206092040104</v>
      </c>
      <c r="L48" s="28">
        <v>-300000</v>
      </c>
      <c r="M48" s="6"/>
      <c r="N48" s="39"/>
      <c r="O48" s="26"/>
      <c r="P48" s="5"/>
      <c r="Q48" s="6"/>
      <c r="R48" s="39"/>
      <c r="S48" s="28"/>
      <c r="T48" s="6" t="s">
        <v>129</v>
      </c>
      <c r="U48" s="39" t="s">
        <v>963</v>
      </c>
      <c r="V48" s="28">
        <v>-15000</v>
      </c>
      <c r="W48" s="6" t="s">
        <v>145</v>
      </c>
      <c r="X48" s="39" t="s">
        <v>566</v>
      </c>
      <c r="Y48" s="26">
        <v>33000</v>
      </c>
    </row>
    <row r="49" spans="2:25" x14ac:dyDescent="0.3">
      <c r="C49" s="51"/>
      <c r="G49" s="6"/>
      <c r="H49" s="39"/>
      <c r="I49" s="28"/>
      <c r="J49" s="6" t="s">
        <v>118</v>
      </c>
      <c r="K49" s="39">
        <v>208162010069</v>
      </c>
      <c r="L49" s="28">
        <v>-150000</v>
      </c>
      <c r="M49" s="6"/>
      <c r="N49" s="39"/>
      <c r="O49" s="26"/>
      <c r="P49" s="5"/>
      <c r="Q49" s="6"/>
      <c r="R49" s="39"/>
      <c r="S49" s="28"/>
      <c r="T49" s="6" t="s">
        <v>137</v>
      </c>
      <c r="U49" s="39" t="s">
        <v>964</v>
      </c>
      <c r="V49" s="28">
        <v>-226500</v>
      </c>
      <c r="W49" s="6" t="s">
        <v>127</v>
      </c>
      <c r="X49" s="39" t="s">
        <v>272</v>
      </c>
      <c r="Y49" s="26">
        <v>2500</v>
      </c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115</v>
      </c>
      <c r="K50" s="39" t="s">
        <v>246</v>
      </c>
      <c r="L50" s="28">
        <v>-36120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127</v>
      </c>
      <c r="X50" s="39" t="s">
        <v>354</v>
      </c>
      <c r="Y50" s="26">
        <v>2500</v>
      </c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116</v>
      </c>
      <c r="K51" s="39" t="s">
        <v>551</v>
      </c>
      <c r="L51" s="28">
        <v>-60000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127</v>
      </c>
      <c r="X51" s="39" t="s">
        <v>235</v>
      </c>
      <c r="Y51" s="26">
        <v>2500</v>
      </c>
    </row>
    <row r="52" spans="2:25" x14ac:dyDescent="0.3">
      <c r="B52" s="48" t="s">
        <v>1010</v>
      </c>
      <c r="C52" s="131">
        <f>(SUMIF($G$7:$G$88,B52,$I$7:$I$88)+SUMIF($Q$7:$Q$88,B52,$S$7:$S$88))</f>
        <v>1105072</v>
      </c>
      <c r="D52" s="99"/>
      <c r="E52" s="100"/>
      <c r="G52" s="6"/>
      <c r="H52" s="39"/>
      <c r="I52" s="28"/>
      <c r="J52" s="6" t="s">
        <v>120</v>
      </c>
      <c r="K52" s="39" t="s">
        <v>162</v>
      </c>
      <c r="L52" s="28">
        <v>-18000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127</v>
      </c>
      <c r="X52" s="39" t="s">
        <v>462</v>
      </c>
      <c r="Y52" s="26">
        <v>12000</v>
      </c>
    </row>
    <row r="53" spans="2:25" x14ac:dyDescent="0.3">
      <c r="B53" s="49" t="s">
        <v>1011</v>
      </c>
      <c r="C53" s="131">
        <f>(SUMIF($G$7:$G$88,B53,$I$7:$I$88)+SUMIF($Q$7:$Q$88,B53,$S$7:$S$88))</f>
        <v>8190643</v>
      </c>
      <c r="D53" s="99"/>
      <c r="E53" s="100"/>
      <c r="G53" s="6"/>
      <c r="H53" s="39"/>
      <c r="I53" s="28"/>
      <c r="J53" s="6" t="s">
        <v>129</v>
      </c>
      <c r="K53" s="39" t="s">
        <v>233</v>
      </c>
      <c r="L53" s="28">
        <v>-6200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127</v>
      </c>
      <c r="X53" s="39" t="s">
        <v>135</v>
      </c>
      <c r="Y53" s="26">
        <v>100000</v>
      </c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 t="s">
        <v>129</v>
      </c>
      <c r="K54" s="39" t="s">
        <v>233</v>
      </c>
      <c r="L54" s="28">
        <v>6200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144</v>
      </c>
      <c r="X54" s="39" t="s">
        <v>957</v>
      </c>
      <c r="Y54" s="26">
        <v>-91587</v>
      </c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 t="s">
        <v>129</v>
      </c>
      <c r="K55" s="39" t="s">
        <v>233</v>
      </c>
      <c r="L55" s="28">
        <v>-5200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114</v>
      </c>
      <c r="X55" s="39" t="s">
        <v>959</v>
      </c>
      <c r="Y55" s="26">
        <v>10000</v>
      </c>
    </row>
    <row r="56" spans="2:25" x14ac:dyDescent="0.3">
      <c r="G56" s="6"/>
      <c r="H56" s="39"/>
      <c r="I56" s="28"/>
      <c r="J56" s="6" t="s">
        <v>120</v>
      </c>
      <c r="K56" s="39" t="s">
        <v>789</v>
      </c>
      <c r="L56" s="28">
        <v>-1300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127</v>
      </c>
      <c r="X56" s="39" t="s">
        <v>272</v>
      </c>
      <c r="Y56" s="26">
        <v>7020</v>
      </c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115</v>
      </c>
      <c r="K57" s="39" t="s">
        <v>934</v>
      </c>
      <c r="L57" s="28">
        <v>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 t="s">
        <v>127</v>
      </c>
      <c r="X57" s="39" t="s">
        <v>271</v>
      </c>
      <c r="Y57" s="26">
        <v>2500</v>
      </c>
    </row>
    <row r="58" spans="2:25" x14ac:dyDescent="0.3">
      <c r="G58" s="6"/>
      <c r="H58" s="39"/>
      <c r="I58" s="28"/>
      <c r="J58" s="6" t="s">
        <v>120</v>
      </c>
      <c r="K58" s="39" t="s">
        <v>935</v>
      </c>
      <c r="L58" s="28">
        <v>-45790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 t="s">
        <v>127</v>
      </c>
      <c r="X58" s="39" t="s">
        <v>235</v>
      </c>
      <c r="Y58" s="26">
        <v>2500</v>
      </c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 t="s">
        <v>127</v>
      </c>
      <c r="X59" s="39" t="s">
        <v>272</v>
      </c>
      <c r="Y59" s="26">
        <v>2500</v>
      </c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 t="s">
        <v>144</v>
      </c>
      <c r="X60" s="39" t="s">
        <v>159</v>
      </c>
      <c r="Y60" s="26">
        <v>-20000</v>
      </c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 t="s">
        <v>144</v>
      </c>
      <c r="X61" s="39" t="s">
        <v>159</v>
      </c>
      <c r="Y61" s="26">
        <v>-30000</v>
      </c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 t="s">
        <v>127</v>
      </c>
      <c r="X62" s="39" t="s">
        <v>135</v>
      </c>
      <c r="Y62" s="26">
        <v>30000</v>
      </c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 t="s">
        <v>114</v>
      </c>
      <c r="X63" s="39" t="s">
        <v>286</v>
      </c>
      <c r="Y63" s="26">
        <v>1</v>
      </c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 t="s">
        <v>114</v>
      </c>
      <c r="X64" s="39" t="s">
        <v>960</v>
      </c>
      <c r="Y64" s="26">
        <v>150000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144</v>
      </c>
      <c r="X65" s="39" t="s">
        <v>159</v>
      </c>
      <c r="Y65" s="26">
        <v>-50000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127</v>
      </c>
      <c r="X66" s="39" t="s">
        <v>131</v>
      </c>
      <c r="Y66" s="26">
        <v>-2500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145</v>
      </c>
      <c r="X67" s="39" t="s">
        <v>496</v>
      </c>
      <c r="Y67" s="26">
        <v>50000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127</v>
      </c>
      <c r="X68" s="39" t="s">
        <v>131</v>
      </c>
      <c r="Y68" s="26">
        <v>-2500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127</v>
      </c>
      <c r="X69" s="39" t="s">
        <v>131</v>
      </c>
      <c r="Y69" s="26">
        <v>-2500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127</v>
      </c>
      <c r="X70" s="39" t="s">
        <v>131</v>
      </c>
      <c r="Y70" s="26">
        <v>-2500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127</v>
      </c>
      <c r="X71" s="39" t="s">
        <v>962</v>
      </c>
      <c r="Y71" s="26">
        <v>-2500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127</v>
      </c>
      <c r="X72" s="39" t="s">
        <v>131</v>
      </c>
      <c r="Y72" s="26">
        <v>-4300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127</v>
      </c>
      <c r="X73" s="39" t="s">
        <v>272</v>
      </c>
      <c r="Y73" s="26">
        <v>15000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5320399</v>
      </c>
      <c r="J89" s="7" t="s">
        <v>24</v>
      </c>
      <c r="K89" s="22" t="s">
        <v>34</v>
      </c>
      <c r="L89" s="21">
        <f>SUM(L7:L88)</f>
        <v>-16665165</v>
      </c>
      <c r="M89" s="7" t="s">
        <v>24</v>
      </c>
      <c r="N89" s="22" t="s">
        <v>34</v>
      </c>
      <c r="O89" s="21">
        <f>SUM(O7:O88)</f>
        <v>-3312330</v>
      </c>
      <c r="Q89" s="7" t="s">
        <v>24</v>
      </c>
      <c r="R89" s="17" t="s">
        <v>34</v>
      </c>
      <c r="S89" s="19">
        <f>SUM(S7:S88)</f>
        <v>3975316</v>
      </c>
      <c r="T89" s="7" t="s">
        <v>24</v>
      </c>
      <c r="U89" s="22" t="s">
        <v>34</v>
      </c>
      <c r="V89" s="21">
        <f>SUM(V7:V88)</f>
        <v>-8879172</v>
      </c>
      <c r="W89" s="7" t="s">
        <v>24</v>
      </c>
      <c r="X89" s="22" t="s">
        <v>34</v>
      </c>
      <c r="Y89" s="21">
        <f>SUM(Y7:Y88)</f>
        <v>10990638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-14657096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6086782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topLeftCell="A45" workbookViewId="0">
      <selection activeCell="V89" sqref="V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21" t="s">
        <v>108</v>
      </c>
      <c r="C2" s="121"/>
      <c r="D2" s="129"/>
    </row>
    <row r="3" spans="2:25" ht="17.25" thickTop="1" x14ac:dyDescent="0.3"/>
    <row r="4" spans="2:25" x14ac:dyDescent="0.3">
      <c r="B4" s="2" t="s">
        <v>35</v>
      </c>
      <c r="C4" s="110">
        <v>10000000</v>
      </c>
      <c r="D4" s="110"/>
      <c r="G4" s="125" t="str">
        <f>설정!D4</f>
        <v>천세원</v>
      </c>
      <c r="H4" s="126"/>
      <c r="I4" s="126"/>
      <c r="J4" s="126"/>
      <c r="K4" s="126"/>
      <c r="L4" s="126"/>
      <c r="M4" s="126"/>
      <c r="N4" s="126"/>
      <c r="O4" s="127"/>
      <c r="Q4" s="118" t="str">
        <f>설정!D6</f>
        <v>하유진</v>
      </c>
      <c r="R4" s="119"/>
      <c r="S4" s="119"/>
      <c r="T4" s="119"/>
      <c r="U4" s="119"/>
      <c r="V4" s="119"/>
      <c r="W4" s="119"/>
      <c r="X4" s="119"/>
      <c r="Y4" s="120"/>
    </row>
    <row r="5" spans="2:25" x14ac:dyDescent="0.3">
      <c r="B5" s="2" t="s">
        <v>36</v>
      </c>
      <c r="C5" s="110">
        <f>I90+S90</f>
        <v>870976</v>
      </c>
      <c r="D5" s="110"/>
      <c r="G5" s="122" t="s">
        <v>27</v>
      </c>
      <c r="H5" s="123"/>
      <c r="I5" s="124"/>
      <c r="J5" s="104" t="s">
        <v>31</v>
      </c>
      <c r="K5" s="105"/>
      <c r="L5" s="106"/>
      <c r="M5" s="112" t="s">
        <v>32</v>
      </c>
      <c r="N5" s="113"/>
      <c r="O5" s="114"/>
      <c r="Q5" s="122" t="s">
        <v>27</v>
      </c>
      <c r="R5" s="123"/>
      <c r="S5" s="124"/>
      <c r="T5" s="104" t="s">
        <v>31</v>
      </c>
      <c r="U5" s="105"/>
      <c r="V5" s="106"/>
      <c r="W5" s="112" t="s">
        <v>32</v>
      </c>
      <c r="X5" s="113"/>
      <c r="Y5" s="114"/>
    </row>
    <row r="6" spans="2:25" x14ac:dyDescent="0.3">
      <c r="B6" s="2" t="s">
        <v>38</v>
      </c>
      <c r="C6" s="110">
        <f>C4-C5</f>
        <v>9129024</v>
      </c>
      <c r="D6" s="110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11">
        <f>(C5)/(C4)</f>
        <v>8.7097599999999997E-2</v>
      </c>
      <c r="D7" s="111"/>
      <c r="G7" s="6" t="s">
        <v>112</v>
      </c>
      <c r="H7" s="39" t="s">
        <v>973</v>
      </c>
      <c r="I7" s="28">
        <v>1</v>
      </c>
      <c r="J7" s="6" t="s">
        <v>118</v>
      </c>
      <c r="K7" s="39" t="s">
        <v>965</v>
      </c>
      <c r="L7" s="28">
        <v>-79030</v>
      </c>
      <c r="M7" s="6" t="s">
        <v>127</v>
      </c>
      <c r="N7" s="39" t="s">
        <v>966</v>
      </c>
      <c r="O7" s="40">
        <v>7000</v>
      </c>
      <c r="P7" s="5"/>
      <c r="Q7" s="6" t="s">
        <v>112</v>
      </c>
      <c r="R7" s="39" t="s">
        <v>932</v>
      </c>
      <c r="S7" s="28">
        <v>3459</v>
      </c>
      <c r="T7" s="6" t="s">
        <v>137</v>
      </c>
      <c r="U7" s="39" t="s">
        <v>993</v>
      </c>
      <c r="V7" s="28">
        <v>-19000</v>
      </c>
      <c r="W7" s="6" t="s">
        <v>127</v>
      </c>
      <c r="X7" s="39" t="s">
        <v>273</v>
      </c>
      <c r="Y7" s="40">
        <v>22000</v>
      </c>
    </row>
    <row r="8" spans="2:25" x14ac:dyDescent="0.3">
      <c r="G8" s="6" t="s">
        <v>112</v>
      </c>
      <c r="H8" s="39" t="s">
        <v>363</v>
      </c>
      <c r="I8" s="28">
        <v>4052</v>
      </c>
      <c r="J8" s="6" t="s">
        <v>125</v>
      </c>
      <c r="K8" s="39" t="s">
        <v>227</v>
      </c>
      <c r="L8" s="28">
        <v>-1300</v>
      </c>
      <c r="M8" s="6" t="s">
        <v>127</v>
      </c>
      <c r="N8" s="39" t="s">
        <v>967</v>
      </c>
      <c r="O8" s="26">
        <v>18000</v>
      </c>
      <c r="P8" s="5"/>
      <c r="Q8" s="6" t="s">
        <v>112</v>
      </c>
      <c r="R8" s="39" t="s">
        <v>113</v>
      </c>
      <c r="S8" s="28">
        <v>0</v>
      </c>
      <c r="T8" s="6" t="s">
        <v>137</v>
      </c>
      <c r="U8" s="39" t="s">
        <v>993</v>
      </c>
      <c r="V8" s="28">
        <v>-10300</v>
      </c>
      <c r="W8" s="6" t="s">
        <v>133</v>
      </c>
      <c r="X8" s="39" t="s">
        <v>136</v>
      </c>
      <c r="Y8" s="26">
        <v>-228720</v>
      </c>
    </row>
    <row r="9" spans="2:25" x14ac:dyDescent="0.3">
      <c r="G9" s="6" t="s">
        <v>188</v>
      </c>
      <c r="H9" s="39" t="s">
        <v>229</v>
      </c>
      <c r="I9" s="28">
        <v>4004950</v>
      </c>
      <c r="J9" s="6" t="s">
        <v>125</v>
      </c>
      <c r="K9" s="39" t="s">
        <v>487</v>
      </c>
      <c r="L9" s="28">
        <v>-10000</v>
      </c>
      <c r="M9" s="6" t="s">
        <v>127</v>
      </c>
      <c r="N9" s="39" t="s">
        <v>131</v>
      </c>
      <c r="O9" s="26">
        <v>-2500</v>
      </c>
      <c r="P9" s="5"/>
      <c r="Q9" s="6" t="s">
        <v>188</v>
      </c>
      <c r="R9" s="39" t="s">
        <v>229</v>
      </c>
      <c r="S9" s="28">
        <v>3933830</v>
      </c>
      <c r="T9" s="6" t="s">
        <v>119</v>
      </c>
      <c r="U9" s="39" t="s">
        <v>994</v>
      </c>
      <c r="V9" s="28">
        <v>-50000</v>
      </c>
      <c r="W9" s="6" t="s">
        <v>127</v>
      </c>
      <c r="X9" s="39" t="s">
        <v>131</v>
      </c>
      <c r="Y9" s="26">
        <v>-2500</v>
      </c>
    </row>
    <row r="10" spans="2:25" x14ac:dyDescent="0.3">
      <c r="G10" s="6" t="s">
        <v>112</v>
      </c>
      <c r="H10" s="39" t="s">
        <v>237</v>
      </c>
      <c r="I10" s="28">
        <v>0</v>
      </c>
      <c r="J10" s="6" t="s">
        <v>116</v>
      </c>
      <c r="K10" s="39" t="s">
        <v>551</v>
      </c>
      <c r="L10" s="28">
        <v>-50000</v>
      </c>
      <c r="M10" s="6" t="s">
        <v>127</v>
      </c>
      <c r="N10" s="39" t="s">
        <v>968</v>
      </c>
      <c r="O10" s="26">
        <v>3000</v>
      </c>
      <c r="P10" s="5"/>
      <c r="Q10" s="6" t="s">
        <v>112</v>
      </c>
      <c r="R10" s="39" t="s">
        <v>287</v>
      </c>
      <c r="S10" s="28">
        <v>11</v>
      </c>
      <c r="T10" s="6" t="s">
        <v>116</v>
      </c>
      <c r="U10" s="39" t="s">
        <v>155</v>
      </c>
      <c r="V10" s="28">
        <v>-10660</v>
      </c>
      <c r="W10" s="6" t="s">
        <v>127</v>
      </c>
      <c r="X10" s="39" t="s">
        <v>995</v>
      </c>
      <c r="Y10" s="26">
        <v>-49800</v>
      </c>
    </row>
    <row r="11" spans="2:25" x14ac:dyDescent="0.3">
      <c r="G11" s="6" t="s">
        <v>112</v>
      </c>
      <c r="H11" s="39" t="s">
        <v>932</v>
      </c>
      <c r="I11" s="28">
        <v>900000</v>
      </c>
      <c r="J11" s="6" t="s">
        <v>120</v>
      </c>
      <c r="K11" s="39" t="s">
        <v>970</v>
      </c>
      <c r="L11" s="28">
        <v>-23800</v>
      </c>
      <c r="M11" s="6" t="s">
        <v>80</v>
      </c>
      <c r="N11" s="39" t="s">
        <v>969</v>
      </c>
      <c r="O11" s="26">
        <v>13800</v>
      </c>
      <c r="P11" s="5"/>
      <c r="Q11" s="6" t="s">
        <v>112</v>
      </c>
      <c r="R11" s="39" t="s">
        <v>237</v>
      </c>
      <c r="S11" s="28">
        <v>0</v>
      </c>
      <c r="T11" s="6" t="s">
        <v>119</v>
      </c>
      <c r="U11" s="39" t="s">
        <v>152</v>
      </c>
      <c r="V11" s="28">
        <v>-50000</v>
      </c>
      <c r="W11" s="6" t="s">
        <v>127</v>
      </c>
      <c r="X11" s="39" t="s">
        <v>996</v>
      </c>
      <c r="Y11" s="26">
        <v>20000</v>
      </c>
    </row>
    <row r="12" spans="2:25" x14ac:dyDescent="0.3">
      <c r="G12" s="6"/>
      <c r="H12" s="39"/>
      <c r="I12" s="28"/>
      <c r="J12" s="6" t="s">
        <v>134</v>
      </c>
      <c r="K12" s="39" t="s">
        <v>304</v>
      </c>
      <c r="L12" s="28">
        <v>-18000</v>
      </c>
      <c r="M12" s="6" t="s">
        <v>127</v>
      </c>
      <c r="N12" s="39" t="s">
        <v>272</v>
      </c>
      <c r="O12" s="26">
        <v>2500</v>
      </c>
      <c r="P12" s="5"/>
      <c r="Q12" s="6" t="s">
        <v>112</v>
      </c>
      <c r="R12" s="39" t="s">
        <v>412</v>
      </c>
      <c r="S12" s="28">
        <v>0</v>
      </c>
      <c r="T12" s="6" t="s">
        <v>125</v>
      </c>
      <c r="U12" s="39" t="s">
        <v>575</v>
      </c>
      <c r="V12" s="28">
        <v>-80000</v>
      </c>
      <c r="W12" s="6" t="s">
        <v>127</v>
      </c>
      <c r="X12" s="39" t="s">
        <v>320</v>
      </c>
      <c r="Y12" s="26">
        <v>85000</v>
      </c>
    </row>
    <row r="13" spans="2:25" x14ac:dyDescent="0.3">
      <c r="G13" s="6"/>
      <c r="H13" s="39"/>
      <c r="I13" s="28"/>
      <c r="J13" s="6" t="s">
        <v>120</v>
      </c>
      <c r="K13" s="39" t="s">
        <v>971</v>
      </c>
      <c r="L13" s="28">
        <v>-10000</v>
      </c>
      <c r="M13" s="6" t="s">
        <v>127</v>
      </c>
      <c r="N13" s="39" t="s">
        <v>462</v>
      </c>
      <c r="O13" s="26">
        <v>2500</v>
      </c>
      <c r="P13" s="5"/>
      <c r="Q13" s="6" t="s">
        <v>112</v>
      </c>
      <c r="R13" s="39" t="s">
        <v>412</v>
      </c>
      <c r="S13" s="28">
        <v>11898</v>
      </c>
      <c r="T13" s="6" t="s">
        <v>116</v>
      </c>
      <c r="U13" s="39" t="s">
        <v>263</v>
      </c>
      <c r="V13" s="28">
        <v>-137886</v>
      </c>
      <c r="W13" s="6" t="s">
        <v>127</v>
      </c>
      <c r="X13" s="39" t="s">
        <v>135</v>
      </c>
      <c r="Y13" s="26">
        <v>3000000</v>
      </c>
    </row>
    <row r="14" spans="2:25" x14ac:dyDescent="0.3">
      <c r="G14" s="6"/>
      <c r="H14" s="39"/>
      <c r="I14" s="28"/>
      <c r="J14" s="6" t="s">
        <v>120</v>
      </c>
      <c r="K14" s="39" t="s">
        <v>972</v>
      </c>
      <c r="L14" s="28">
        <v>-65000</v>
      </c>
      <c r="M14" s="6" t="s">
        <v>127</v>
      </c>
      <c r="N14" s="39" t="s">
        <v>271</v>
      </c>
      <c r="O14" s="26">
        <v>2500</v>
      </c>
      <c r="P14" s="5"/>
      <c r="Q14" s="6"/>
      <c r="R14" s="39"/>
      <c r="S14" s="28"/>
      <c r="T14" s="6" t="s">
        <v>116</v>
      </c>
      <c r="U14" s="39" t="s">
        <v>161</v>
      </c>
      <c r="V14" s="28">
        <v>-2153333</v>
      </c>
      <c r="W14" s="6" t="s">
        <v>127</v>
      </c>
      <c r="X14" s="39" t="s">
        <v>131</v>
      </c>
      <c r="Y14" s="26">
        <v>-85000</v>
      </c>
    </row>
    <row r="15" spans="2:25" x14ac:dyDescent="0.3">
      <c r="G15" s="6"/>
      <c r="H15" s="39"/>
      <c r="I15" s="28"/>
      <c r="J15" s="6" t="s">
        <v>120</v>
      </c>
      <c r="K15" s="39" t="s">
        <v>972</v>
      </c>
      <c r="L15" s="28">
        <v>-3000</v>
      </c>
      <c r="M15" s="6" t="s">
        <v>127</v>
      </c>
      <c r="N15" s="39" t="s">
        <v>975</v>
      </c>
      <c r="O15" s="26">
        <v>41330660</v>
      </c>
      <c r="P15" s="5"/>
      <c r="Q15" s="6"/>
      <c r="R15" s="39"/>
      <c r="S15" s="28"/>
      <c r="T15" s="6" t="s">
        <v>137</v>
      </c>
      <c r="U15" s="39" t="s">
        <v>282</v>
      </c>
      <c r="V15" s="28">
        <v>-73250</v>
      </c>
      <c r="W15" s="6" t="s">
        <v>144</v>
      </c>
      <c r="X15" s="39" t="s">
        <v>367</v>
      </c>
      <c r="Y15" s="26">
        <v>108000</v>
      </c>
    </row>
    <row r="16" spans="2:25" x14ac:dyDescent="0.3">
      <c r="G16" s="6"/>
      <c r="H16" s="39"/>
      <c r="I16" s="28"/>
      <c r="J16" s="6" t="s">
        <v>116</v>
      </c>
      <c r="K16" s="39" t="s">
        <v>536</v>
      </c>
      <c r="L16" s="28">
        <v>-4490</v>
      </c>
      <c r="M16" s="6" t="s">
        <v>175</v>
      </c>
      <c r="N16" s="39" t="s">
        <v>159</v>
      </c>
      <c r="O16" s="26">
        <v>-30000</v>
      </c>
      <c r="P16" s="5"/>
      <c r="Q16" s="6"/>
      <c r="R16" s="39"/>
      <c r="S16" s="28"/>
      <c r="T16" s="6" t="s">
        <v>116</v>
      </c>
      <c r="U16" s="39" t="s">
        <v>155</v>
      </c>
      <c r="V16" s="28">
        <v>-19420</v>
      </c>
      <c r="W16" s="6" t="s">
        <v>127</v>
      </c>
      <c r="X16" s="39" t="s">
        <v>131</v>
      </c>
      <c r="Y16" s="26">
        <v>-2500</v>
      </c>
    </row>
    <row r="17" spans="2:25" x14ac:dyDescent="0.3">
      <c r="G17" s="6"/>
      <c r="H17" s="39"/>
      <c r="I17" s="28"/>
      <c r="J17" s="6" t="s">
        <v>115</v>
      </c>
      <c r="K17" s="39" t="s">
        <v>132</v>
      </c>
      <c r="L17" s="28">
        <v>-3000000</v>
      </c>
      <c r="M17" s="6" t="s">
        <v>175</v>
      </c>
      <c r="N17" s="39" t="s">
        <v>924</v>
      </c>
      <c r="O17" s="26">
        <v>30000</v>
      </c>
      <c r="P17" s="5"/>
      <c r="Q17" s="6"/>
      <c r="R17" s="39"/>
      <c r="S17" s="28"/>
      <c r="T17" s="6" t="s">
        <v>137</v>
      </c>
      <c r="U17" s="39" t="s">
        <v>282</v>
      </c>
      <c r="V17" s="28">
        <v>-118540</v>
      </c>
      <c r="W17" s="6" t="s">
        <v>133</v>
      </c>
      <c r="X17" s="39" t="s">
        <v>143</v>
      </c>
      <c r="Y17" s="26">
        <v>-6874577</v>
      </c>
    </row>
    <row r="18" spans="2:25" x14ac:dyDescent="0.3">
      <c r="G18" s="6"/>
      <c r="H18" s="39"/>
      <c r="I18" s="28"/>
      <c r="J18" s="6" t="s">
        <v>125</v>
      </c>
      <c r="K18" s="39" t="s">
        <v>227</v>
      </c>
      <c r="L18" s="28">
        <v>-1300</v>
      </c>
      <c r="M18" s="6" t="s">
        <v>127</v>
      </c>
      <c r="N18" s="39" t="s">
        <v>977</v>
      </c>
      <c r="O18" s="26">
        <v>10000</v>
      </c>
      <c r="P18" s="5"/>
      <c r="Q18" s="6"/>
      <c r="R18" s="39"/>
      <c r="S18" s="28"/>
      <c r="T18" s="6" t="s">
        <v>119</v>
      </c>
      <c r="U18" s="39" t="s">
        <v>164</v>
      </c>
      <c r="V18" s="28">
        <v>-83390</v>
      </c>
      <c r="W18" s="6" t="s">
        <v>114</v>
      </c>
      <c r="X18" s="39" t="s">
        <v>999</v>
      </c>
      <c r="Y18" s="26">
        <v>7500</v>
      </c>
    </row>
    <row r="19" spans="2:25" x14ac:dyDescent="0.3">
      <c r="G19" s="6"/>
      <c r="H19" s="39"/>
      <c r="I19" s="28"/>
      <c r="J19" s="6" t="s">
        <v>120</v>
      </c>
      <c r="K19" s="39" t="s">
        <v>974</v>
      </c>
      <c r="L19" s="28">
        <v>-141400</v>
      </c>
      <c r="M19" s="6" t="s">
        <v>175</v>
      </c>
      <c r="N19" s="39" t="s">
        <v>159</v>
      </c>
      <c r="O19" s="26">
        <v>-20000</v>
      </c>
      <c r="P19" s="5"/>
      <c r="Q19" s="6"/>
      <c r="R19" s="39"/>
      <c r="S19" s="28"/>
      <c r="T19" s="6" t="s">
        <v>119</v>
      </c>
      <c r="U19" s="39" t="s">
        <v>164</v>
      </c>
      <c r="V19" s="28">
        <v>83390</v>
      </c>
      <c r="W19" s="6" t="s">
        <v>127</v>
      </c>
      <c r="X19" s="39" t="s">
        <v>320</v>
      </c>
      <c r="Y19" s="26">
        <v>1000000</v>
      </c>
    </row>
    <row r="20" spans="2:25" x14ac:dyDescent="0.3">
      <c r="G20" s="6"/>
      <c r="H20" s="39"/>
      <c r="I20" s="28"/>
      <c r="J20" s="6" t="s">
        <v>116</v>
      </c>
      <c r="K20" s="39" t="s">
        <v>124</v>
      </c>
      <c r="L20" s="28">
        <v>-80000</v>
      </c>
      <c r="M20" s="6" t="s">
        <v>175</v>
      </c>
      <c r="N20" s="39" t="s">
        <v>924</v>
      </c>
      <c r="O20" s="26">
        <v>20000</v>
      </c>
      <c r="P20" s="5"/>
      <c r="Q20" s="6"/>
      <c r="R20" s="39"/>
      <c r="S20" s="28"/>
      <c r="T20" s="6" t="s">
        <v>116</v>
      </c>
      <c r="U20" s="39" t="s">
        <v>263</v>
      </c>
      <c r="V20" s="28">
        <v>-165030</v>
      </c>
      <c r="W20" s="6" t="s">
        <v>144</v>
      </c>
      <c r="X20" s="39" t="s">
        <v>159</v>
      </c>
      <c r="Y20" s="26">
        <v>-10000</v>
      </c>
    </row>
    <row r="21" spans="2:25" x14ac:dyDescent="0.3">
      <c r="G21" s="6"/>
      <c r="H21" s="39"/>
      <c r="I21" s="28"/>
      <c r="J21" s="6" t="s">
        <v>129</v>
      </c>
      <c r="K21" s="39" t="s">
        <v>680</v>
      </c>
      <c r="L21" s="28">
        <v>-1400</v>
      </c>
      <c r="M21" s="6" t="s">
        <v>175</v>
      </c>
      <c r="N21" s="39" t="s">
        <v>159</v>
      </c>
      <c r="O21" s="26">
        <v>-100000</v>
      </c>
      <c r="P21" s="5"/>
      <c r="Q21" s="6"/>
      <c r="R21" s="39"/>
      <c r="S21" s="28"/>
      <c r="T21" s="6" t="s">
        <v>116</v>
      </c>
      <c r="U21" s="39" t="s">
        <v>263</v>
      </c>
      <c r="V21" s="28">
        <v>-165030</v>
      </c>
      <c r="W21" s="6" t="s">
        <v>80</v>
      </c>
      <c r="X21" s="39" t="s">
        <v>643</v>
      </c>
      <c r="Y21" s="26">
        <v>15000</v>
      </c>
    </row>
    <row r="22" spans="2:25" x14ac:dyDescent="0.3">
      <c r="G22" s="6"/>
      <c r="H22" s="39"/>
      <c r="I22" s="28"/>
      <c r="J22" s="6" t="s">
        <v>125</v>
      </c>
      <c r="K22" s="39" t="s">
        <v>487</v>
      </c>
      <c r="L22" s="28">
        <v>-4500</v>
      </c>
      <c r="M22" s="6" t="s">
        <v>175</v>
      </c>
      <c r="N22" s="39" t="s">
        <v>924</v>
      </c>
      <c r="O22" s="26">
        <v>100000</v>
      </c>
      <c r="P22" s="5"/>
      <c r="Q22" s="6"/>
      <c r="R22" s="39"/>
      <c r="S22" s="28"/>
      <c r="T22" s="6" t="s">
        <v>118</v>
      </c>
      <c r="U22" s="39" t="s">
        <v>275</v>
      </c>
      <c r="V22" s="28">
        <v>-16150</v>
      </c>
      <c r="W22" s="6" t="s">
        <v>127</v>
      </c>
      <c r="X22" s="39" t="s">
        <v>354</v>
      </c>
      <c r="Y22" s="26">
        <v>2500</v>
      </c>
    </row>
    <row r="23" spans="2:25" x14ac:dyDescent="0.3">
      <c r="G23" s="6"/>
      <c r="H23" s="39"/>
      <c r="I23" s="28"/>
      <c r="J23" s="6" t="s">
        <v>120</v>
      </c>
      <c r="K23" s="39" t="s">
        <v>131</v>
      </c>
      <c r="L23" s="28">
        <v>-2500</v>
      </c>
      <c r="M23" s="6" t="s">
        <v>114</v>
      </c>
      <c r="N23" s="39" t="s">
        <v>682</v>
      </c>
      <c r="O23" s="26">
        <v>123480</v>
      </c>
      <c r="P23" s="5"/>
      <c r="Q23" s="6"/>
      <c r="R23" s="39"/>
      <c r="S23" s="28"/>
      <c r="T23" s="6" t="s">
        <v>119</v>
      </c>
      <c r="U23" s="39" t="s">
        <v>164</v>
      </c>
      <c r="V23" s="28">
        <v>-457380</v>
      </c>
      <c r="W23" s="6" t="s">
        <v>127</v>
      </c>
      <c r="X23" s="39" t="s">
        <v>235</v>
      </c>
      <c r="Y23" s="26">
        <v>2500</v>
      </c>
    </row>
    <row r="24" spans="2:25" x14ac:dyDescent="0.3">
      <c r="G24" s="6"/>
      <c r="H24" s="39"/>
      <c r="I24" s="28"/>
      <c r="J24" s="6" t="s">
        <v>148</v>
      </c>
      <c r="K24" s="39" t="s">
        <v>837</v>
      </c>
      <c r="L24" s="28">
        <v>-26700</v>
      </c>
      <c r="M24" s="6" t="s">
        <v>144</v>
      </c>
      <c r="N24" s="39" t="s">
        <v>200</v>
      </c>
      <c r="O24" s="26">
        <v>0</v>
      </c>
      <c r="P24" s="5"/>
      <c r="Q24" s="6"/>
      <c r="R24" s="39"/>
      <c r="S24" s="28"/>
      <c r="T24" s="6" t="s">
        <v>117</v>
      </c>
      <c r="U24" s="39" t="s">
        <v>147</v>
      </c>
      <c r="V24" s="28">
        <v>-120000</v>
      </c>
      <c r="W24" s="6" t="s">
        <v>127</v>
      </c>
      <c r="X24" s="39" t="s">
        <v>462</v>
      </c>
      <c r="Y24" s="26">
        <v>2500</v>
      </c>
    </row>
    <row r="25" spans="2:25" x14ac:dyDescent="0.3">
      <c r="B25" s="104" t="s">
        <v>293</v>
      </c>
      <c r="C25" s="105"/>
      <c r="D25" s="105"/>
      <c r="E25" s="106"/>
      <c r="G25" s="6"/>
      <c r="H25" s="39"/>
      <c r="I25" s="28"/>
      <c r="J25" s="6" t="s">
        <v>148</v>
      </c>
      <c r="K25" s="39" t="s">
        <v>837</v>
      </c>
      <c r="L25" s="28">
        <v>26700</v>
      </c>
      <c r="M25" s="6" t="s">
        <v>127</v>
      </c>
      <c r="N25" s="39" t="s">
        <v>984</v>
      </c>
      <c r="O25" s="26">
        <v>70000</v>
      </c>
      <c r="P25" s="5"/>
      <c r="Q25" s="6"/>
      <c r="R25" s="39"/>
      <c r="S25" s="28"/>
      <c r="T25" s="6" t="s">
        <v>116</v>
      </c>
      <c r="U25" s="39" t="s">
        <v>263</v>
      </c>
      <c r="V25" s="28">
        <v>-61000</v>
      </c>
      <c r="W25" s="6" t="s">
        <v>127</v>
      </c>
      <c r="X25" s="39" t="s">
        <v>786</v>
      </c>
      <c r="Y25" s="26">
        <v>2500</v>
      </c>
    </row>
    <row r="26" spans="2:25" x14ac:dyDescent="0.3">
      <c r="B26" s="48" t="s">
        <v>28</v>
      </c>
      <c r="C26" s="107" t="s">
        <v>30</v>
      </c>
      <c r="D26" s="108"/>
      <c r="E26" s="109"/>
      <c r="G26" s="6"/>
      <c r="H26" s="39"/>
      <c r="I26" s="28"/>
      <c r="J26" s="6" t="s">
        <v>120</v>
      </c>
      <c r="K26" s="39" t="s">
        <v>131</v>
      </c>
      <c r="L26" s="28">
        <v>-2500</v>
      </c>
      <c r="M26" s="6" t="s">
        <v>133</v>
      </c>
      <c r="N26" s="39" t="s">
        <v>245</v>
      </c>
      <c r="O26" s="26">
        <v>-1400</v>
      </c>
      <c r="P26" s="5"/>
      <c r="Q26" s="6"/>
      <c r="R26" s="39"/>
      <c r="S26" s="28"/>
      <c r="T26" s="6" t="s">
        <v>119</v>
      </c>
      <c r="U26" s="39" t="s">
        <v>141</v>
      </c>
      <c r="V26" s="28">
        <v>-13260</v>
      </c>
      <c r="W26" s="6" t="s">
        <v>127</v>
      </c>
      <c r="X26" s="39" t="s">
        <v>271</v>
      </c>
      <c r="Y26" s="26">
        <v>2500</v>
      </c>
    </row>
    <row r="27" spans="2:25" x14ac:dyDescent="0.3">
      <c r="B27" s="48" t="s">
        <v>115</v>
      </c>
      <c r="C27" s="131">
        <f>-(SUMIF($J$7:$J$88,B27,$L$7:$L$88)+SUMIF($T$7:$T$88,B27,$V$7:$V$88))</f>
        <v>34036120</v>
      </c>
      <c r="D27" s="99"/>
      <c r="E27" s="100"/>
      <c r="G27" s="6"/>
      <c r="H27" s="39"/>
      <c r="I27" s="28"/>
      <c r="J27" s="6" t="s">
        <v>119</v>
      </c>
      <c r="K27" s="39" t="s">
        <v>976</v>
      </c>
      <c r="L27" s="28">
        <v>-81800</v>
      </c>
      <c r="M27" s="6" t="s">
        <v>175</v>
      </c>
      <c r="N27" s="39" t="s">
        <v>200</v>
      </c>
      <c r="O27" s="26">
        <v>100000</v>
      </c>
      <c r="P27" s="5"/>
      <c r="Q27" s="6"/>
      <c r="R27" s="39"/>
      <c r="S27" s="28"/>
      <c r="T27" s="6" t="s">
        <v>125</v>
      </c>
      <c r="U27" s="39" t="s">
        <v>997</v>
      </c>
      <c r="V27" s="28">
        <v>-200000</v>
      </c>
      <c r="W27" s="6" t="s">
        <v>144</v>
      </c>
      <c r="X27" s="39" t="s">
        <v>1002</v>
      </c>
      <c r="Y27" s="26">
        <v>-10000</v>
      </c>
    </row>
    <row r="28" spans="2:25" x14ac:dyDescent="0.3">
      <c r="B28" s="49" t="s">
        <v>116</v>
      </c>
      <c r="C28" s="131">
        <f>-(SUMIF($J$7:$J$88,B28,$L$7:$L$88)+SUMIF($T$7:$T$88,B28,$V$7:$V$88))</f>
        <v>6558586</v>
      </c>
      <c r="D28" s="99"/>
      <c r="E28" s="100"/>
      <c r="G28" s="6"/>
      <c r="H28" s="39"/>
      <c r="I28" s="28"/>
      <c r="J28" s="6" t="s">
        <v>148</v>
      </c>
      <c r="K28" s="39" t="s">
        <v>978</v>
      </c>
      <c r="L28" s="28">
        <v>-12300</v>
      </c>
      <c r="M28" s="6" t="s">
        <v>175</v>
      </c>
      <c r="N28" s="39" t="s">
        <v>988</v>
      </c>
      <c r="O28" s="26">
        <v>-100000</v>
      </c>
      <c r="P28" s="5"/>
      <c r="Q28" s="6"/>
      <c r="R28" s="39"/>
      <c r="S28" s="28"/>
      <c r="T28" s="6" t="s">
        <v>138</v>
      </c>
      <c r="U28" s="39" t="s">
        <v>998</v>
      </c>
      <c r="V28" s="28">
        <v>-42960</v>
      </c>
      <c r="W28" s="6" t="s">
        <v>144</v>
      </c>
      <c r="X28" s="39" t="s">
        <v>200</v>
      </c>
      <c r="Y28" s="26">
        <v>4</v>
      </c>
    </row>
    <row r="29" spans="2:25" x14ac:dyDescent="0.3">
      <c r="B29" s="49" t="s">
        <v>120</v>
      </c>
      <c r="C29" s="131">
        <f>-(SUMIF($J$7:$J$88,B29,$L$7:$L$88)+SUMIF($T$7:$T$88,B29,$V$7:$V$88))</f>
        <v>360540</v>
      </c>
      <c r="D29" s="99"/>
      <c r="E29" s="100"/>
      <c r="G29" s="6"/>
      <c r="H29" s="39"/>
      <c r="I29" s="28"/>
      <c r="J29" s="6" t="s">
        <v>116</v>
      </c>
      <c r="K29" s="39" t="s">
        <v>979</v>
      </c>
      <c r="L29" s="28">
        <v>-96000</v>
      </c>
      <c r="M29" s="6" t="s">
        <v>133</v>
      </c>
      <c r="N29" s="39" t="s">
        <v>136</v>
      </c>
      <c r="O29" s="26">
        <v>-2410000</v>
      </c>
      <c r="P29" s="5"/>
      <c r="Q29" s="6"/>
      <c r="R29" s="39"/>
      <c r="S29" s="28"/>
      <c r="T29" s="6" t="s">
        <v>138</v>
      </c>
      <c r="U29" s="39" t="s">
        <v>998</v>
      </c>
      <c r="V29" s="28">
        <v>42960</v>
      </c>
      <c r="W29" s="6" t="s">
        <v>127</v>
      </c>
      <c r="X29" s="39" t="s">
        <v>411</v>
      </c>
      <c r="Y29" s="26">
        <v>1</v>
      </c>
    </row>
    <row r="30" spans="2:25" x14ac:dyDescent="0.3">
      <c r="B30" s="49" t="s">
        <v>118</v>
      </c>
      <c r="C30" s="131">
        <f>-(SUMIF($J$7:$J$88,B30,$L$7:$L$88)+SUMIF($T$7:$T$88,B30,$V$7:$V$88))</f>
        <v>513930</v>
      </c>
      <c r="D30" s="99"/>
      <c r="E30" s="100"/>
      <c r="G30" s="6"/>
      <c r="H30" s="39"/>
      <c r="I30" s="28"/>
      <c r="J30" s="6" t="s">
        <v>148</v>
      </c>
      <c r="K30" s="39" t="s">
        <v>595</v>
      </c>
      <c r="L30" s="28">
        <v>-254848</v>
      </c>
      <c r="M30" s="6" t="s">
        <v>175</v>
      </c>
      <c r="N30" s="39" t="s">
        <v>252</v>
      </c>
      <c r="O30" s="26">
        <v>-100000</v>
      </c>
      <c r="P30" s="5"/>
      <c r="Q30" s="6"/>
      <c r="R30" s="39"/>
      <c r="S30" s="28"/>
      <c r="T30" s="6" t="s">
        <v>138</v>
      </c>
      <c r="U30" s="39" t="s">
        <v>998</v>
      </c>
      <c r="V30" s="28">
        <v>-35040</v>
      </c>
      <c r="W30" s="6" t="s">
        <v>114</v>
      </c>
      <c r="X30" s="39" t="s">
        <v>363</v>
      </c>
      <c r="Y30" s="26">
        <v>0</v>
      </c>
    </row>
    <row r="31" spans="2:25" x14ac:dyDescent="0.3">
      <c r="B31" s="49" t="s">
        <v>122</v>
      </c>
      <c r="C31" s="131">
        <f>-(SUMIF($J$7:$J$88,B31,$L$7:$L$88)+SUMIF($T$7:$T$88,B31,$V$7:$V$88))</f>
        <v>791207</v>
      </c>
      <c r="D31" s="99"/>
      <c r="E31" s="100"/>
      <c r="G31" s="6"/>
      <c r="H31" s="39"/>
      <c r="I31" s="28"/>
      <c r="J31" s="6" t="s">
        <v>120</v>
      </c>
      <c r="K31" s="39" t="s">
        <v>131</v>
      </c>
      <c r="L31" s="28">
        <v>-11800</v>
      </c>
      <c r="M31" s="6" t="s">
        <v>80</v>
      </c>
      <c r="N31" s="39" t="s">
        <v>990</v>
      </c>
      <c r="O31" s="26">
        <v>-50000</v>
      </c>
      <c r="P31" s="5"/>
      <c r="Q31" s="6"/>
      <c r="R31" s="39"/>
      <c r="S31" s="28"/>
      <c r="T31" s="6" t="s">
        <v>116</v>
      </c>
      <c r="U31" s="39" t="s">
        <v>263</v>
      </c>
      <c r="V31" s="28">
        <v>-6944</v>
      </c>
      <c r="W31" s="6" t="s">
        <v>127</v>
      </c>
      <c r="X31" s="39" t="s">
        <v>1003</v>
      </c>
      <c r="Y31" s="26">
        <v>-34000</v>
      </c>
    </row>
    <row r="32" spans="2:25" x14ac:dyDescent="0.3">
      <c r="B32" s="49" t="s">
        <v>119</v>
      </c>
      <c r="C32" s="131">
        <f>-(SUMIF($J$7:$J$88,B32,$L$7:$L$88)+SUMIF($T$7:$T$88,B32,$V$7:$V$88))</f>
        <v>738390</v>
      </c>
      <c r="D32" s="99"/>
      <c r="E32" s="100"/>
      <c r="G32" s="6"/>
      <c r="H32" s="39"/>
      <c r="I32" s="28"/>
      <c r="J32" s="6" t="s">
        <v>116</v>
      </c>
      <c r="K32" s="39" t="s">
        <v>158</v>
      </c>
      <c r="L32" s="28">
        <v>-500000</v>
      </c>
      <c r="M32" s="6" t="s">
        <v>145</v>
      </c>
      <c r="N32" s="39" t="s">
        <v>991</v>
      </c>
      <c r="O32" s="26">
        <v>7340</v>
      </c>
      <c r="P32" s="5"/>
      <c r="Q32" s="6"/>
      <c r="R32" s="39"/>
      <c r="S32" s="28"/>
      <c r="T32" s="6" t="s">
        <v>125</v>
      </c>
      <c r="U32" s="39" t="s">
        <v>581</v>
      </c>
      <c r="V32" s="28">
        <v>-1700</v>
      </c>
      <c r="W32" s="6" t="s">
        <v>127</v>
      </c>
      <c r="X32" s="39" t="s">
        <v>1004</v>
      </c>
      <c r="Y32" s="26">
        <v>-25000</v>
      </c>
    </row>
    <row r="33" spans="2:25" x14ac:dyDescent="0.3">
      <c r="B33" s="49" t="s">
        <v>129</v>
      </c>
      <c r="C33" s="131">
        <f>-(SUMIF($J$7:$J$88,B33,$L$7:$L$88)+SUMIF($T$7:$T$88,B33,$V$7:$V$88))</f>
        <v>182506</v>
      </c>
      <c r="D33" s="99"/>
      <c r="E33" s="100"/>
      <c r="G33" s="6"/>
      <c r="H33" s="39"/>
      <c r="I33" s="28"/>
      <c r="J33" s="6" t="s">
        <v>116</v>
      </c>
      <c r="K33" s="39" t="s">
        <v>158</v>
      </c>
      <c r="L33" s="28">
        <v>-1500000</v>
      </c>
      <c r="M33" s="6"/>
      <c r="N33" s="39"/>
      <c r="O33" s="26"/>
      <c r="P33" s="5"/>
      <c r="Q33" s="6"/>
      <c r="R33" s="39"/>
      <c r="S33" s="28"/>
      <c r="T33" s="6" t="s">
        <v>144</v>
      </c>
      <c r="U33" s="39" t="s">
        <v>263</v>
      </c>
      <c r="V33" s="28">
        <v>6944</v>
      </c>
      <c r="W33" s="6" t="s">
        <v>127</v>
      </c>
      <c r="X33" s="39" t="s">
        <v>1005</v>
      </c>
      <c r="Y33" s="26">
        <v>11300</v>
      </c>
    </row>
    <row r="34" spans="2:25" x14ac:dyDescent="0.3">
      <c r="B34" s="49" t="s">
        <v>125</v>
      </c>
      <c r="C34" s="131">
        <f>-(SUMIF($J$7:$J$88,B34,$L$7:$L$88)+SUMIF($T$7:$T$88,B34,$V$7:$V$88))</f>
        <v>339800</v>
      </c>
      <c r="D34" s="99"/>
      <c r="E34" s="100"/>
      <c r="G34" s="6"/>
      <c r="H34" s="39"/>
      <c r="I34" s="28"/>
      <c r="J34" s="6" t="s">
        <v>122</v>
      </c>
      <c r="K34" s="39" t="s">
        <v>160</v>
      </c>
      <c r="L34" s="28">
        <v>-500000</v>
      </c>
      <c r="M34" s="6"/>
      <c r="N34" s="39"/>
      <c r="O34" s="26"/>
      <c r="P34" s="5"/>
      <c r="Q34" s="6"/>
      <c r="R34" s="39"/>
      <c r="S34" s="28"/>
      <c r="T34" s="6" t="s">
        <v>116</v>
      </c>
      <c r="U34" s="39" t="s">
        <v>263</v>
      </c>
      <c r="V34" s="28">
        <v>-8844</v>
      </c>
      <c r="W34" s="6" t="s">
        <v>114</v>
      </c>
      <c r="X34" s="39" t="s">
        <v>286</v>
      </c>
      <c r="Y34" s="26">
        <v>1</v>
      </c>
    </row>
    <row r="35" spans="2:25" x14ac:dyDescent="0.3">
      <c r="B35" s="49" t="s">
        <v>148</v>
      </c>
      <c r="C35" s="131">
        <f>-(SUMIF($J$7:$J$88,B35,$L$7:$L$88)+SUMIF($T$7:$T$88,B35,$V$7:$V$88))</f>
        <v>267148</v>
      </c>
      <c r="D35" s="99"/>
      <c r="E35" s="100"/>
      <c r="G35" s="6"/>
      <c r="H35" s="39"/>
      <c r="I35" s="28"/>
      <c r="J35" s="6" t="s">
        <v>122</v>
      </c>
      <c r="K35" s="39" t="s">
        <v>980</v>
      </c>
      <c r="L35" s="28">
        <v>-189507</v>
      </c>
      <c r="M35" s="6"/>
      <c r="N35" s="39"/>
      <c r="O35" s="26"/>
      <c r="P35" s="5"/>
      <c r="Q35" s="6"/>
      <c r="R35" s="39"/>
      <c r="S35" s="28"/>
      <c r="T35" s="6" t="s">
        <v>137</v>
      </c>
      <c r="U35" s="39" t="s">
        <v>131</v>
      </c>
      <c r="V35" s="28">
        <v>-11800</v>
      </c>
      <c r="W35" s="6" t="s">
        <v>127</v>
      </c>
      <c r="X35" s="39" t="s">
        <v>135</v>
      </c>
      <c r="Y35" s="26">
        <v>500000</v>
      </c>
    </row>
    <row r="36" spans="2:25" x14ac:dyDescent="0.3">
      <c r="B36" s="49" t="s">
        <v>117</v>
      </c>
      <c r="C36" s="131">
        <f>-(SUMIF($J$7:$J$88,B36,$L$7:$L$88)+SUMIF($T$7:$T$88,B36,$V$7:$V$88))</f>
        <v>221979</v>
      </c>
      <c r="D36" s="99"/>
      <c r="E36" s="100"/>
      <c r="G36" s="6"/>
      <c r="H36" s="39"/>
      <c r="I36" s="28"/>
      <c r="J36" s="6" t="s">
        <v>146</v>
      </c>
      <c r="K36" s="39" t="s">
        <v>981</v>
      </c>
      <c r="L36" s="28">
        <v>-5000</v>
      </c>
      <c r="M36" s="6"/>
      <c r="N36" s="39"/>
      <c r="O36" s="26"/>
      <c r="P36" s="5"/>
      <c r="Q36" s="6"/>
      <c r="R36" s="39"/>
      <c r="S36" s="28"/>
      <c r="T36" s="6" t="s">
        <v>116</v>
      </c>
      <c r="U36" s="39" t="s">
        <v>263</v>
      </c>
      <c r="V36" s="28">
        <v>-255208</v>
      </c>
      <c r="W36" s="6" t="s">
        <v>127</v>
      </c>
      <c r="X36" s="39" t="s">
        <v>1009</v>
      </c>
      <c r="Y36" s="26">
        <v>-38000</v>
      </c>
    </row>
    <row r="37" spans="2:25" x14ac:dyDescent="0.3">
      <c r="B37" s="49" t="s">
        <v>128</v>
      </c>
      <c r="C37" s="131">
        <f>-(SUMIF($J$7:$J$88,B37,$L$7:$L$88)+SUMIF($T$7:$T$88,B37,$V$7:$V$88))</f>
        <v>164790</v>
      </c>
      <c r="D37" s="99"/>
      <c r="E37" s="100"/>
      <c r="G37" s="6"/>
      <c r="H37" s="39"/>
      <c r="I37" s="28"/>
      <c r="J37" s="6" t="s">
        <v>116</v>
      </c>
      <c r="K37" s="39" t="s">
        <v>979</v>
      </c>
      <c r="L37" s="28">
        <v>96000</v>
      </c>
      <c r="M37" s="6"/>
      <c r="N37" s="39"/>
      <c r="O37" s="26"/>
      <c r="P37" s="5"/>
      <c r="Q37" s="6"/>
      <c r="R37" s="39"/>
      <c r="S37" s="28"/>
      <c r="T37" s="6" t="s">
        <v>116</v>
      </c>
      <c r="U37" s="39" t="s">
        <v>263</v>
      </c>
      <c r="V37" s="28">
        <v>-250550</v>
      </c>
      <c r="W37" s="6"/>
      <c r="X37" s="39"/>
      <c r="Y37" s="26"/>
    </row>
    <row r="38" spans="2:25" x14ac:dyDescent="0.3">
      <c r="B38" s="49" t="s">
        <v>146</v>
      </c>
      <c r="C38" s="131">
        <f>-(SUMIF($J$7:$J$88,B38,$L$7:$L$88)+SUMIF($T$7:$T$88,B38,$V$7:$V$88))</f>
        <v>5000</v>
      </c>
      <c r="D38" s="99"/>
      <c r="E38" s="100"/>
      <c r="G38" s="6"/>
      <c r="H38" s="39"/>
      <c r="I38" s="28"/>
      <c r="J38" s="6" t="s">
        <v>116</v>
      </c>
      <c r="K38" s="39" t="s">
        <v>388</v>
      </c>
      <c r="L38" s="28">
        <v>-3780</v>
      </c>
      <c r="M38" s="6"/>
      <c r="N38" s="39"/>
      <c r="O38" s="26"/>
      <c r="P38" s="5"/>
      <c r="Q38" s="6"/>
      <c r="R38" s="39"/>
      <c r="S38" s="28"/>
      <c r="T38" s="6" t="s">
        <v>116</v>
      </c>
      <c r="U38" s="39" t="s">
        <v>263</v>
      </c>
      <c r="V38" s="28">
        <v>-95000</v>
      </c>
      <c r="W38" s="6"/>
      <c r="X38" s="39"/>
      <c r="Y38" s="26"/>
    </row>
    <row r="39" spans="2:25" x14ac:dyDescent="0.3">
      <c r="B39" s="49" t="s">
        <v>134</v>
      </c>
      <c r="C39" s="131">
        <f>-(SUMIF($J$7:$J$88,B39,$L$7:$L$88)+SUMIF($T$7:$T$88,B39,$V$7:$V$88))</f>
        <v>18000</v>
      </c>
      <c r="D39" s="99"/>
      <c r="E39" s="100"/>
      <c r="G39" s="6"/>
      <c r="H39" s="39"/>
      <c r="I39" s="28"/>
      <c r="J39" s="6" t="s">
        <v>118</v>
      </c>
      <c r="K39" s="39" t="s">
        <v>130</v>
      </c>
      <c r="L39" s="28">
        <v>-16500</v>
      </c>
      <c r="M39" s="6"/>
      <c r="N39" s="39"/>
      <c r="O39" s="26"/>
      <c r="P39" s="5"/>
      <c r="Q39" s="6"/>
      <c r="R39" s="39"/>
      <c r="S39" s="28"/>
      <c r="T39" s="6" t="s">
        <v>129</v>
      </c>
      <c r="U39" s="39" t="s">
        <v>1000</v>
      </c>
      <c r="V39" s="28">
        <v>-5095</v>
      </c>
      <c r="W39" s="6"/>
      <c r="X39" s="39"/>
      <c r="Y39" s="26"/>
    </row>
    <row r="40" spans="2:25" x14ac:dyDescent="0.3">
      <c r="B40" s="49" t="s">
        <v>157</v>
      </c>
      <c r="C40" s="131">
        <f>-(SUMIF($J$7:$J$88,B40,$L$7:$L$88)+SUMIF($T$7:$T$88,B40,$V$7:$V$88))</f>
        <v>0</v>
      </c>
      <c r="D40" s="99"/>
      <c r="E40" s="100"/>
      <c r="G40" s="6"/>
      <c r="H40" s="39"/>
      <c r="I40" s="28"/>
      <c r="J40" s="6" t="s">
        <v>120</v>
      </c>
      <c r="K40" s="39" t="s">
        <v>131</v>
      </c>
      <c r="L40" s="28">
        <v>-11000</v>
      </c>
      <c r="M40" s="6"/>
      <c r="N40" s="39"/>
      <c r="O40" s="26"/>
      <c r="P40" s="5"/>
      <c r="Q40" s="6"/>
      <c r="R40" s="39"/>
      <c r="S40" s="28"/>
      <c r="T40" s="6" t="s">
        <v>129</v>
      </c>
      <c r="U40" s="39" t="s">
        <v>963</v>
      </c>
      <c r="V40" s="28">
        <v>15000</v>
      </c>
      <c r="W40" s="6"/>
      <c r="X40" s="39"/>
      <c r="Y40" s="26"/>
    </row>
    <row r="41" spans="2:25" x14ac:dyDescent="0.3">
      <c r="B41" s="49" t="s">
        <v>126</v>
      </c>
      <c r="C41" s="131">
        <f>-(SUMIF($J$7:$J$88,B41,$L$7:$L$88)+SUMIF($T$7:$T$88,B41,$V$7:$V$88))</f>
        <v>0</v>
      </c>
      <c r="D41" s="99"/>
      <c r="E41" s="100"/>
      <c r="G41" s="6"/>
      <c r="H41" s="39"/>
      <c r="I41" s="28"/>
      <c r="J41" s="6" t="s">
        <v>118</v>
      </c>
      <c r="K41" s="39" t="s">
        <v>982</v>
      </c>
      <c r="L41" s="28">
        <v>-100000</v>
      </c>
      <c r="M41" s="6"/>
      <c r="N41" s="39"/>
      <c r="O41" s="26"/>
      <c r="P41" s="5"/>
      <c r="Q41" s="6"/>
      <c r="R41" s="39"/>
      <c r="S41" s="28"/>
      <c r="T41" s="6" t="s">
        <v>137</v>
      </c>
      <c r="U41" s="39" t="s">
        <v>131</v>
      </c>
      <c r="V41" s="28">
        <v>-104750</v>
      </c>
      <c r="W41" s="6"/>
      <c r="X41" s="39"/>
      <c r="Y41" s="26"/>
    </row>
    <row r="42" spans="2:25" x14ac:dyDescent="0.3">
      <c r="B42" s="49" t="s">
        <v>151</v>
      </c>
      <c r="C42" s="131">
        <f>-(SUMIF($J$7:$J$88,B42,$L$7:$L$88)+SUMIF($T$7:$T$88,B42,$V$7:$V$88))</f>
        <v>0</v>
      </c>
      <c r="D42" s="99"/>
      <c r="E42" s="100"/>
      <c r="G42" s="6"/>
      <c r="H42" s="39"/>
      <c r="I42" s="28"/>
      <c r="J42" s="6" t="s">
        <v>120</v>
      </c>
      <c r="K42" s="39" t="s">
        <v>789</v>
      </c>
      <c r="L42" s="28">
        <v>-1300</v>
      </c>
      <c r="M42" s="6"/>
      <c r="N42" s="39"/>
      <c r="O42" s="26"/>
      <c r="P42" s="5"/>
      <c r="Q42" s="6"/>
      <c r="R42" s="39"/>
      <c r="S42" s="28"/>
      <c r="T42" s="6" t="s">
        <v>137</v>
      </c>
      <c r="U42" s="39" t="s">
        <v>131</v>
      </c>
      <c r="V42" s="28">
        <v>-7100</v>
      </c>
      <c r="W42" s="6"/>
      <c r="X42" s="39"/>
      <c r="Y42" s="26"/>
    </row>
    <row r="43" spans="2:25" x14ac:dyDescent="0.3">
      <c r="B43" s="49" t="s">
        <v>137</v>
      </c>
      <c r="C43" s="131">
        <f>-(SUMIF($J$7:$J$88,B43,$L$7:$L$88)+SUMIF($T$7:$T$88,B43,$V$7:$V$88))</f>
        <v>684050</v>
      </c>
      <c r="D43" s="99"/>
      <c r="E43" s="100"/>
      <c r="G43" s="6"/>
      <c r="H43" s="39"/>
      <c r="I43" s="28"/>
      <c r="J43" s="6" t="s">
        <v>120</v>
      </c>
      <c r="K43" s="39" t="s">
        <v>789</v>
      </c>
      <c r="L43" s="28">
        <v>-1200</v>
      </c>
      <c r="M43" s="6"/>
      <c r="N43" s="39"/>
      <c r="O43" s="26"/>
      <c r="P43" s="5"/>
      <c r="Q43" s="6"/>
      <c r="R43" s="39"/>
      <c r="S43" s="28"/>
      <c r="T43" s="6" t="s">
        <v>129</v>
      </c>
      <c r="U43" s="39" t="s">
        <v>1001</v>
      </c>
      <c r="V43" s="28">
        <v>-800</v>
      </c>
      <c r="W43" s="6"/>
      <c r="X43" s="39"/>
      <c r="Y43" s="26"/>
    </row>
    <row r="44" spans="2:25" x14ac:dyDescent="0.3">
      <c r="B44" s="49" t="s">
        <v>144</v>
      </c>
      <c r="C44" s="131">
        <f>-(SUMIF($J$7:$J$88,B44,$L$7:$L$88)+SUMIF($T$7:$T$88,B44,$V$7:$V$88))</f>
        <v>93056</v>
      </c>
      <c r="D44" s="99"/>
      <c r="E44" s="100"/>
      <c r="G44" s="6"/>
      <c r="H44" s="39"/>
      <c r="I44" s="28"/>
      <c r="J44" s="6" t="s">
        <v>122</v>
      </c>
      <c r="K44" s="39" t="s">
        <v>123</v>
      </c>
      <c r="L44" s="28">
        <v>-20000</v>
      </c>
      <c r="M44" s="6"/>
      <c r="N44" s="39"/>
      <c r="O44" s="26"/>
      <c r="P44" s="5"/>
      <c r="Q44" s="6"/>
      <c r="R44" s="39"/>
      <c r="S44" s="28"/>
      <c r="T44" s="6" t="s">
        <v>137</v>
      </c>
      <c r="U44" s="39" t="s">
        <v>131</v>
      </c>
      <c r="V44" s="28">
        <v>-13000</v>
      </c>
      <c r="W44" s="6"/>
      <c r="X44" s="39"/>
      <c r="Y44" s="26"/>
    </row>
    <row r="45" spans="2:25" x14ac:dyDescent="0.3">
      <c r="B45" s="49" t="s">
        <v>138</v>
      </c>
      <c r="C45" s="131">
        <f>-(SUMIF($J$7:$J$88,B45,$L$7:$L$88)+SUMIF($T$7:$T$88,B45,$V$7:$V$88))</f>
        <v>-541088</v>
      </c>
      <c r="D45" s="99"/>
      <c r="E45" s="100"/>
      <c r="G45" s="6"/>
      <c r="H45" s="39"/>
      <c r="I45" s="28"/>
      <c r="J45" s="6" t="s">
        <v>120</v>
      </c>
      <c r="K45" s="39" t="s">
        <v>131</v>
      </c>
      <c r="L45" s="28">
        <v>-2500</v>
      </c>
      <c r="M45" s="6"/>
      <c r="N45" s="39"/>
      <c r="O45" s="26"/>
      <c r="P45" s="5"/>
      <c r="Q45" s="6"/>
      <c r="R45" s="39"/>
      <c r="S45" s="28"/>
      <c r="T45" s="6" t="s">
        <v>138</v>
      </c>
      <c r="U45" s="39" t="s">
        <v>263</v>
      </c>
      <c r="V45" s="28">
        <v>255208</v>
      </c>
      <c r="W45" s="6"/>
      <c r="X45" s="39"/>
      <c r="Y45" s="26"/>
    </row>
    <row r="46" spans="2:25" x14ac:dyDescent="0.3">
      <c r="B46" s="50" t="s">
        <v>154</v>
      </c>
      <c r="C46" s="131">
        <f>-(SUMIF($J$7:$J$88,B46,$L$7:$L$88)+SUMIF($T$7:$T$88,B46,$V$7:$V$88))</f>
        <v>1300</v>
      </c>
      <c r="D46" s="99"/>
      <c r="E46" s="100"/>
      <c r="G46" s="6"/>
      <c r="H46" s="39"/>
      <c r="I46" s="28"/>
      <c r="J46" s="6" t="s">
        <v>120</v>
      </c>
      <c r="K46" s="39" t="s">
        <v>131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137</v>
      </c>
      <c r="U46" s="39" t="s">
        <v>140</v>
      </c>
      <c r="V46" s="28">
        <v>-2500</v>
      </c>
      <c r="W46" s="6"/>
      <c r="X46" s="39"/>
      <c r="Y46" s="26"/>
    </row>
    <row r="47" spans="2:25" x14ac:dyDescent="0.3">
      <c r="G47" s="6"/>
      <c r="H47" s="39"/>
      <c r="I47" s="28"/>
      <c r="J47" s="6" t="s">
        <v>122</v>
      </c>
      <c r="K47" s="39" t="s">
        <v>983</v>
      </c>
      <c r="L47" s="28">
        <v>-81700</v>
      </c>
      <c r="M47" s="6"/>
      <c r="N47" s="39"/>
      <c r="O47" s="26"/>
      <c r="P47" s="5"/>
      <c r="Q47" s="6"/>
      <c r="R47" s="39"/>
      <c r="S47" s="28"/>
      <c r="T47" s="6" t="s">
        <v>125</v>
      </c>
      <c r="U47" s="39" t="s">
        <v>581</v>
      </c>
      <c r="V47" s="28">
        <v>-15000</v>
      </c>
      <c r="W47" s="6"/>
      <c r="X47" s="39"/>
      <c r="Y47" s="26"/>
    </row>
    <row r="48" spans="2:25" x14ac:dyDescent="0.3">
      <c r="B48" s="45" t="s">
        <v>170</v>
      </c>
      <c r="C48" s="101" t="str">
        <f>IF(ABS(SUM(C27:E46))&lt;&gt;ABS(SUM(L89,V89)),"항목 추가해주세요","-")</f>
        <v>-</v>
      </c>
      <c r="D48" s="102"/>
      <c r="E48" s="103"/>
      <c r="G48" s="6"/>
      <c r="H48" s="39"/>
      <c r="I48" s="28"/>
      <c r="J48" s="6" t="s">
        <v>116</v>
      </c>
      <c r="K48" s="39" t="s">
        <v>177</v>
      </c>
      <c r="L48" s="28">
        <v>-2500</v>
      </c>
      <c r="M48" s="6"/>
      <c r="N48" s="39"/>
      <c r="O48" s="26"/>
      <c r="P48" s="5"/>
      <c r="Q48" s="6"/>
      <c r="R48" s="39"/>
      <c r="S48" s="28"/>
      <c r="T48" s="6" t="s">
        <v>137</v>
      </c>
      <c r="U48" s="39" t="s">
        <v>131</v>
      </c>
      <c r="V48" s="28">
        <v>-11000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119</v>
      </c>
      <c r="K49" s="39" t="s">
        <v>985</v>
      </c>
      <c r="L49" s="28">
        <v>-35950</v>
      </c>
      <c r="M49" s="6"/>
      <c r="N49" s="39"/>
      <c r="O49" s="26"/>
      <c r="P49" s="5"/>
      <c r="Q49" s="6"/>
      <c r="R49" s="39"/>
      <c r="S49" s="28"/>
      <c r="T49" s="6" t="s">
        <v>116</v>
      </c>
      <c r="U49" s="39" t="s">
        <v>155</v>
      </c>
      <c r="V49" s="28">
        <v>-19640</v>
      </c>
      <c r="W49" s="6"/>
      <c r="X49" s="39"/>
      <c r="Y49" s="26"/>
    </row>
    <row r="50" spans="2:25" x14ac:dyDescent="0.3">
      <c r="B50" s="122" t="s">
        <v>1014</v>
      </c>
      <c r="C50" s="123"/>
      <c r="D50" s="123"/>
      <c r="E50" s="124"/>
      <c r="G50" s="6"/>
      <c r="H50" s="39"/>
      <c r="I50" s="28"/>
      <c r="J50" s="6" t="s">
        <v>118</v>
      </c>
      <c r="K50" s="39" t="s">
        <v>224</v>
      </c>
      <c r="L50" s="28">
        <v>-40490</v>
      </c>
      <c r="M50" s="6"/>
      <c r="N50" s="39"/>
      <c r="O50" s="26"/>
      <c r="P50" s="5"/>
      <c r="Q50" s="6"/>
      <c r="R50" s="39"/>
      <c r="S50" s="28"/>
      <c r="T50" s="6" t="s">
        <v>117</v>
      </c>
      <c r="U50" s="39" t="s">
        <v>321</v>
      </c>
      <c r="V50" s="28">
        <v>-77489</v>
      </c>
      <c r="W50" s="6"/>
      <c r="X50" s="39"/>
      <c r="Y50" s="26"/>
    </row>
    <row r="51" spans="2:25" x14ac:dyDescent="0.3">
      <c r="B51" s="48" t="s">
        <v>28</v>
      </c>
      <c r="C51" s="107" t="s">
        <v>30</v>
      </c>
      <c r="D51" s="108"/>
      <c r="E51" s="109"/>
      <c r="G51" s="6"/>
      <c r="H51" s="39"/>
      <c r="I51" s="28"/>
      <c r="J51" s="6" t="s">
        <v>120</v>
      </c>
      <c r="K51" s="39" t="s">
        <v>163</v>
      </c>
      <c r="L51" s="28">
        <v>-13200</v>
      </c>
      <c r="M51" s="6"/>
      <c r="N51" s="39"/>
      <c r="O51" s="26"/>
      <c r="P51" s="5"/>
      <c r="Q51" s="6"/>
      <c r="R51" s="39"/>
      <c r="S51" s="28"/>
      <c r="T51" s="6" t="s">
        <v>118</v>
      </c>
      <c r="U51" s="39" t="s">
        <v>224</v>
      </c>
      <c r="V51" s="28">
        <v>-24100</v>
      </c>
      <c r="W51" s="6"/>
      <c r="X51" s="39"/>
      <c r="Y51" s="26"/>
    </row>
    <row r="52" spans="2:25" x14ac:dyDescent="0.3">
      <c r="B52" s="48" t="s">
        <v>1010</v>
      </c>
      <c r="C52" s="131">
        <f>(SUMIF($G$7:$G$88,B52,$I$7:$I$88)+SUMIF($Q$7:$Q$88,B52,$S$7:$S$88))</f>
        <v>919421</v>
      </c>
      <c r="D52" s="99"/>
      <c r="E52" s="100"/>
      <c r="G52" s="6"/>
      <c r="H52" s="39"/>
      <c r="I52" s="28"/>
      <c r="J52" s="6" t="s">
        <v>125</v>
      </c>
      <c r="K52" s="39" t="s">
        <v>986</v>
      </c>
      <c r="L52" s="28">
        <v>-5700</v>
      </c>
      <c r="M52" s="6"/>
      <c r="N52" s="39"/>
      <c r="O52" s="26"/>
      <c r="P52" s="5"/>
      <c r="Q52" s="6"/>
      <c r="R52" s="39"/>
      <c r="S52" s="28"/>
      <c r="T52" s="6" t="s">
        <v>137</v>
      </c>
      <c r="U52" s="39" t="s">
        <v>282</v>
      </c>
      <c r="V52" s="28">
        <v>-174480</v>
      </c>
      <c r="W52" s="6"/>
      <c r="X52" s="39"/>
      <c r="Y52" s="26"/>
    </row>
    <row r="53" spans="2:25" x14ac:dyDescent="0.3">
      <c r="B53" s="49" t="s">
        <v>1011</v>
      </c>
      <c r="C53" s="131">
        <f>(SUMIF($G$7:$G$88,B53,$I$7:$I$88)+SUMIF($Q$7:$Q$88,B53,$S$7:$S$88))</f>
        <v>7938780</v>
      </c>
      <c r="D53" s="99"/>
      <c r="E53" s="100"/>
      <c r="G53" s="6"/>
      <c r="H53" s="39"/>
      <c r="I53" s="28"/>
      <c r="J53" s="6" t="s">
        <v>128</v>
      </c>
      <c r="K53" s="39" t="s">
        <v>987</v>
      </c>
      <c r="L53" s="28">
        <v>-164790</v>
      </c>
      <c r="M53" s="6"/>
      <c r="N53" s="39"/>
      <c r="O53" s="26"/>
      <c r="P53" s="5"/>
      <c r="Q53" s="6"/>
      <c r="R53" s="39"/>
      <c r="S53" s="28"/>
      <c r="T53" s="6" t="s">
        <v>117</v>
      </c>
      <c r="U53" s="39" t="s">
        <v>123</v>
      </c>
      <c r="V53" s="28">
        <v>-990</v>
      </c>
      <c r="W53" s="6"/>
      <c r="X53" s="39"/>
      <c r="Y53" s="26"/>
    </row>
    <row r="54" spans="2:25" x14ac:dyDescent="0.3">
      <c r="B54" s="49" t="s">
        <v>1012</v>
      </c>
      <c r="C54" s="131">
        <f>(SUMIF($G$7:$G$88,B54,$I$7:$I$88)+SUMIF($Q$7:$Q$88,B54,$S$7:$S$88))</f>
        <v>0</v>
      </c>
      <c r="D54" s="99"/>
      <c r="E54" s="100"/>
      <c r="G54" s="6"/>
      <c r="H54" s="39"/>
      <c r="I54" s="28"/>
      <c r="J54" s="6" t="s">
        <v>116</v>
      </c>
      <c r="K54" s="39" t="s">
        <v>551</v>
      </c>
      <c r="L54" s="28">
        <v>-60000</v>
      </c>
      <c r="M54" s="6"/>
      <c r="N54" s="39"/>
      <c r="O54" s="26"/>
      <c r="P54" s="5"/>
      <c r="Q54" s="6"/>
      <c r="R54" s="39"/>
      <c r="S54" s="28"/>
      <c r="T54" s="6" t="s">
        <v>118</v>
      </c>
      <c r="U54" s="39" t="s">
        <v>284</v>
      </c>
      <c r="V54" s="28">
        <v>-237660</v>
      </c>
      <c r="W54" s="6"/>
      <c r="X54" s="39"/>
      <c r="Y54" s="26"/>
    </row>
    <row r="55" spans="2:25" x14ac:dyDescent="0.3">
      <c r="B55" s="50" t="s">
        <v>1013</v>
      </c>
      <c r="C55" s="131">
        <f>(SUMIF($G$7:$G$88,B55,$I$7:$I$88)+SUMIF($Q$7:$Q$88,B55,$S$7:$S$88))</f>
        <v>0</v>
      </c>
      <c r="D55" s="99"/>
      <c r="E55" s="100"/>
      <c r="G55" s="6"/>
      <c r="H55" s="39"/>
      <c r="I55" s="28"/>
      <c r="J55" s="6" t="s">
        <v>115</v>
      </c>
      <c r="K55" s="39" t="s">
        <v>303</v>
      </c>
      <c r="L55" s="28">
        <v>-500000</v>
      </c>
      <c r="M55" s="6"/>
      <c r="N55" s="39"/>
      <c r="O55" s="26"/>
      <c r="P55" s="5"/>
      <c r="Q55" s="6"/>
      <c r="R55" s="39"/>
      <c r="S55" s="28"/>
      <c r="T55" s="6" t="s">
        <v>117</v>
      </c>
      <c r="U55" s="39" t="s">
        <v>321</v>
      </c>
      <c r="V55" s="28">
        <v>-23500</v>
      </c>
      <c r="W55" s="6"/>
      <c r="X55" s="39"/>
      <c r="Y55" s="26"/>
    </row>
    <row r="56" spans="2:25" x14ac:dyDescent="0.3">
      <c r="G56" s="6"/>
      <c r="H56" s="39"/>
      <c r="I56" s="28"/>
      <c r="J56" s="6" t="s">
        <v>115</v>
      </c>
      <c r="K56" s="39" t="s">
        <v>303</v>
      </c>
      <c r="L56" s="28">
        <v>-30000000</v>
      </c>
      <c r="M56" s="6"/>
      <c r="N56" s="39"/>
      <c r="O56" s="26"/>
      <c r="P56" s="5"/>
      <c r="Q56" s="6"/>
      <c r="R56" s="39"/>
      <c r="S56" s="28"/>
      <c r="T56" s="6" t="s">
        <v>144</v>
      </c>
      <c r="U56" s="39" t="s">
        <v>1006</v>
      </c>
      <c r="V56" s="28">
        <v>-100000</v>
      </c>
      <c r="W56" s="6"/>
      <c r="X56" s="39"/>
      <c r="Y56" s="26"/>
    </row>
    <row r="57" spans="2:25" x14ac:dyDescent="0.3">
      <c r="B57" s="45" t="s">
        <v>170</v>
      </c>
      <c r="C57" s="101" t="str">
        <f>IF(ABS(SUM(C52:E55))&lt;&gt;ABS(SUM(I89,S89)),"항목 추가해주세요","-")</f>
        <v>-</v>
      </c>
      <c r="D57" s="102"/>
      <c r="E57" s="103"/>
      <c r="G57" s="6"/>
      <c r="H57" s="39"/>
      <c r="I57" s="28"/>
      <c r="J57" s="6" t="s">
        <v>116</v>
      </c>
      <c r="K57" s="39" t="s">
        <v>823</v>
      </c>
      <c r="L57" s="28">
        <v>-56670</v>
      </c>
      <c r="M57" s="6"/>
      <c r="N57" s="39"/>
      <c r="O57" s="26"/>
      <c r="P57" s="5"/>
      <c r="Q57" s="6"/>
      <c r="R57" s="39"/>
      <c r="S57" s="28"/>
      <c r="T57" s="6" t="s">
        <v>137</v>
      </c>
      <c r="U57" s="39" t="s">
        <v>140</v>
      </c>
      <c r="V57" s="28">
        <v>-1200</v>
      </c>
      <c r="W57" s="6"/>
      <c r="X57" s="39"/>
      <c r="Y57" s="26"/>
    </row>
    <row r="58" spans="2:25" x14ac:dyDescent="0.3">
      <c r="G58" s="6"/>
      <c r="H58" s="39"/>
      <c r="I58" s="28"/>
      <c r="J58" s="6" t="s">
        <v>115</v>
      </c>
      <c r="K58" s="39" t="s">
        <v>246</v>
      </c>
      <c r="L58" s="28">
        <v>-36120</v>
      </c>
      <c r="M58" s="6"/>
      <c r="N58" s="39"/>
      <c r="O58" s="26"/>
      <c r="P58" s="5"/>
      <c r="Q58" s="6"/>
      <c r="R58" s="39"/>
      <c r="S58" s="28"/>
      <c r="T58" s="6" t="s">
        <v>116</v>
      </c>
      <c r="U58" s="39" t="s">
        <v>263</v>
      </c>
      <c r="V58" s="28">
        <v>-21896</v>
      </c>
      <c r="W58" s="6"/>
      <c r="X58" s="39"/>
      <c r="Y58" s="26"/>
    </row>
    <row r="59" spans="2:25" x14ac:dyDescent="0.3">
      <c r="G59" s="6"/>
      <c r="H59" s="39"/>
      <c r="I59" s="28"/>
      <c r="J59" s="6" t="s">
        <v>116</v>
      </c>
      <c r="K59" s="39" t="s">
        <v>124</v>
      </c>
      <c r="L59" s="28">
        <v>-160000</v>
      </c>
      <c r="M59" s="6"/>
      <c r="N59" s="39"/>
      <c r="O59" s="26"/>
      <c r="P59" s="5"/>
      <c r="Q59" s="6"/>
      <c r="R59" s="39"/>
      <c r="S59" s="28"/>
      <c r="T59" s="6" t="s">
        <v>116</v>
      </c>
      <c r="U59" s="39" t="s">
        <v>289</v>
      </c>
      <c r="V59" s="28">
        <v>-102105</v>
      </c>
      <c r="W59" s="6"/>
      <c r="X59" s="39"/>
      <c r="Y59" s="26"/>
    </row>
    <row r="60" spans="2:25" x14ac:dyDescent="0.3">
      <c r="G60" s="6"/>
      <c r="H60" s="39"/>
      <c r="I60" s="28"/>
      <c r="J60" s="6" t="s">
        <v>120</v>
      </c>
      <c r="K60" s="39" t="s">
        <v>131</v>
      </c>
      <c r="L60" s="28">
        <v>-2500</v>
      </c>
      <c r="M60" s="6"/>
      <c r="N60" s="39"/>
      <c r="O60" s="26"/>
      <c r="P60" s="5"/>
      <c r="Q60" s="6"/>
      <c r="R60" s="39"/>
      <c r="S60" s="28"/>
      <c r="T60" s="6" t="s">
        <v>116</v>
      </c>
      <c r="U60" s="39" t="s">
        <v>263</v>
      </c>
      <c r="V60" s="28">
        <v>-370000</v>
      </c>
      <c r="W60" s="6"/>
      <c r="X60" s="39"/>
      <c r="Y60" s="26"/>
    </row>
    <row r="61" spans="2:25" x14ac:dyDescent="0.3">
      <c r="G61" s="6"/>
      <c r="H61" s="39"/>
      <c r="I61" s="28"/>
      <c r="J61" s="6" t="s">
        <v>120</v>
      </c>
      <c r="K61" s="39" t="s">
        <v>131</v>
      </c>
      <c r="L61" s="28">
        <v>-2500</v>
      </c>
      <c r="M61" s="6"/>
      <c r="N61" s="39"/>
      <c r="O61" s="26"/>
      <c r="P61" s="5"/>
      <c r="Q61" s="6"/>
      <c r="R61" s="39"/>
      <c r="S61" s="28"/>
      <c r="T61" s="6" t="s">
        <v>116</v>
      </c>
      <c r="U61" s="39" t="s">
        <v>263</v>
      </c>
      <c r="V61" s="28">
        <v>-267900</v>
      </c>
      <c r="W61" s="6"/>
      <c r="X61" s="39"/>
      <c r="Y61" s="26"/>
    </row>
    <row r="62" spans="2:25" x14ac:dyDescent="0.3">
      <c r="G62" s="6"/>
      <c r="H62" s="39"/>
      <c r="I62" s="28"/>
      <c r="J62" s="6" t="s">
        <v>125</v>
      </c>
      <c r="K62" s="39" t="s">
        <v>989</v>
      </c>
      <c r="L62" s="28">
        <v>-14300</v>
      </c>
      <c r="M62" s="6"/>
      <c r="N62" s="39"/>
      <c r="O62" s="26"/>
      <c r="P62" s="5"/>
      <c r="Q62" s="6"/>
      <c r="R62" s="39"/>
      <c r="S62" s="28"/>
      <c r="T62" s="6" t="s">
        <v>137</v>
      </c>
      <c r="U62" s="39" t="s">
        <v>131</v>
      </c>
      <c r="V62" s="28">
        <v>-2500</v>
      </c>
      <c r="W62" s="6"/>
      <c r="X62" s="39"/>
      <c r="Y62" s="26"/>
    </row>
    <row r="63" spans="2:25" x14ac:dyDescent="0.3">
      <c r="G63" s="6"/>
      <c r="H63" s="39"/>
      <c r="I63" s="28"/>
      <c r="J63" s="6" t="s">
        <v>115</v>
      </c>
      <c r="K63" s="39" t="s">
        <v>132</v>
      </c>
      <c r="L63" s="28">
        <v>-500000</v>
      </c>
      <c r="M63" s="6"/>
      <c r="N63" s="39"/>
      <c r="O63" s="26"/>
      <c r="P63" s="5"/>
      <c r="Q63" s="6"/>
      <c r="R63" s="39"/>
      <c r="S63" s="28"/>
      <c r="T63" s="6" t="s">
        <v>138</v>
      </c>
      <c r="U63" s="39" t="s">
        <v>139</v>
      </c>
      <c r="V63" s="28">
        <v>-18000</v>
      </c>
      <c r="W63" s="6"/>
      <c r="X63" s="39"/>
      <c r="Y63" s="26"/>
    </row>
    <row r="64" spans="2:25" x14ac:dyDescent="0.3">
      <c r="G64" s="6"/>
      <c r="H64" s="39"/>
      <c r="I64" s="28"/>
      <c r="J64" s="6" t="s">
        <v>120</v>
      </c>
      <c r="K64" s="39" t="s">
        <v>131</v>
      </c>
      <c r="L64" s="28">
        <v>-2680</v>
      </c>
      <c r="M64" s="6"/>
      <c r="N64" s="39"/>
      <c r="O64" s="26"/>
      <c r="P64" s="5"/>
      <c r="Q64" s="6"/>
      <c r="R64" s="39"/>
      <c r="S64" s="28"/>
      <c r="T64" s="6" t="s">
        <v>129</v>
      </c>
      <c r="U64" s="39" t="s">
        <v>326</v>
      </c>
      <c r="V64" s="28">
        <v>-190211</v>
      </c>
      <c r="W64" s="6"/>
      <c r="X64" s="39"/>
      <c r="Y64" s="26"/>
    </row>
    <row r="65" spans="7:25" x14ac:dyDescent="0.3">
      <c r="G65" s="6"/>
      <c r="H65" s="39"/>
      <c r="I65" s="28"/>
      <c r="J65" s="6" t="s">
        <v>120</v>
      </c>
      <c r="K65" s="39" t="s">
        <v>992</v>
      </c>
      <c r="L65" s="28">
        <v>-35000</v>
      </c>
      <c r="M65" s="6"/>
      <c r="N65" s="39"/>
      <c r="O65" s="26"/>
      <c r="P65" s="5"/>
      <c r="Q65" s="6"/>
      <c r="R65" s="39"/>
      <c r="S65" s="28"/>
      <c r="T65" s="6" t="s">
        <v>119</v>
      </c>
      <c r="U65" s="39" t="s">
        <v>152</v>
      </c>
      <c r="V65" s="28">
        <v>-50000</v>
      </c>
      <c r="W65" s="6"/>
      <c r="X65" s="39"/>
      <c r="Y65" s="26"/>
    </row>
    <row r="66" spans="7:25" x14ac:dyDescent="0.3">
      <c r="G66" s="6"/>
      <c r="H66" s="39"/>
      <c r="I66" s="28"/>
      <c r="J66" s="6" t="s">
        <v>120</v>
      </c>
      <c r="K66" s="39" t="s">
        <v>131</v>
      </c>
      <c r="L66" s="28">
        <v>-13660</v>
      </c>
      <c r="M66" s="6"/>
      <c r="N66" s="39"/>
      <c r="O66" s="26"/>
      <c r="P66" s="5"/>
      <c r="Q66" s="6"/>
      <c r="R66" s="39"/>
      <c r="S66" s="28"/>
      <c r="T66" s="6" t="s">
        <v>154</v>
      </c>
      <c r="U66" s="39" t="s">
        <v>1007</v>
      </c>
      <c r="V66" s="28">
        <v>-1300</v>
      </c>
      <c r="W66" s="6"/>
      <c r="X66" s="39"/>
      <c r="Y66" s="26"/>
    </row>
    <row r="67" spans="7:25" x14ac:dyDescent="0.3">
      <c r="G67" s="6"/>
      <c r="H67" s="39"/>
      <c r="I67" s="28"/>
      <c r="J67" s="6" t="s">
        <v>120</v>
      </c>
      <c r="K67" s="39" t="s">
        <v>131</v>
      </c>
      <c r="L67" s="28">
        <v>-4000</v>
      </c>
      <c r="M67" s="6"/>
      <c r="N67" s="39"/>
      <c r="O67" s="26"/>
      <c r="P67" s="5"/>
      <c r="Q67" s="6"/>
      <c r="R67" s="39"/>
      <c r="S67" s="28"/>
      <c r="T67" s="6" t="s">
        <v>125</v>
      </c>
      <c r="U67" s="39" t="s">
        <v>1008</v>
      </c>
      <c r="V67" s="28">
        <v>-6000</v>
      </c>
      <c r="W67" s="6"/>
      <c r="X67" s="39"/>
      <c r="Y67" s="26"/>
    </row>
    <row r="68" spans="7:25" x14ac:dyDescent="0.3">
      <c r="G68" s="6"/>
      <c r="H68" s="39"/>
      <c r="I68" s="28"/>
      <c r="J68" s="6" t="s">
        <v>116</v>
      </c>
      <c r="K68" s="39" t="s">
        <v>536</v>
      </c>
      <c r="L68" s="28">
        <v>-30700</v>
      </c>
      <c r="M68" s="6"/>
      <c r="N68" s="39"/>
      <c r="O68" s="26"/>
      <c r="P68" s="5"/>
      <c r="Q68" s="6"/>
      <c r="R68" s="39"/>
      <c r="S68" s="28"/>
      <c r="T68" s="6" t="s">
        <v>137</v>
      </c>
      <c r="U68" s="39" t="s">
        <v>131</v>
      </c>
      <c r="V68" s="28">
        <v>-2680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137</v>
      </c>
      <c r="U69" s="39" t="s">
        <v>282</v>
      </c>
      <c r="V69" s="28">
        <v>-114290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138</v>
      </c>
      <c r="U70" s="39" t="s">
        <v>263</v>
      </c>
      <c r="V70" s="28">
        <v>370000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 t="s">
        <v>137</v>
      </c>
      <c r="U71" s="39" t="s">
        <v>131</v>
      </c>
      <c r="V71" s="28">
        <v>-13660</v>
      </c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 t="s">
        <v>137</v>
      </c>
      <c r="U72" s="39" t="s">
        <v>131</v>
      </c>
      <c r="V72" s="28">
        <v>-4000</v>
      </c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 t="s">
        <v>138</v>
      </c>
      <c r="U73" s="39" t="s">
        <v>642</v>
      </c>
      <c r="V73" s="28">
        <v>-31080</v>
      </c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4909003</v>
      </c>
      <c r="J89" s="7" t="s">
        <v>24</v>
      </c>
      <c r="K89" s="22" t="s">
        <v>34</v>
      </c>
      <c r="L89" s="21">
        <f>SUM(L7:L88)</f>
        <v>-38483215</v>
      </c>
      <c r="M89" s="7" t="s">
        <v>24</v>
      </c>
      <c r="N89" s="22" t="s">
        <v>34</v>
      </c>
      <c r="O89" s="21">
        <f>SUM(O7:O88)</f>
        <v>39026880</v>
      </c>
      <c r="Q89" s="7" t="s">
        <v>24</v>
      </c>
      <c r="R89" s="17" t="s">
        <v>34</v>
      </c>
      <c r="S89" s="19">
        <f>SUM(S7:S88)</f>
        <v>3949198</v>
      </c>
      <c r="T89" s="7" t="s">
        <v>24</v>
      </c>
      <c r="U89" s="22" t="s">
        <v>34</v>
      </c>
      <c r="V89" s="21">
        <f>SUM(V7:V88)</f>
        <v>-5952099</v>
      </c>
      <c r="W89" s="7" t="s">
        <v>24</v>
      </c>
      <c r="X89" s="22" t="s">
        <v>34</v>
      </c>
      <c r="Y89" s="21">
        <f>SUM(Y7:Y88)</f>
        <v>-2578791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5452668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-4581692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대시보드</vt:lpstr>
      <vt:lpstr>재무상태표</vt:lpstr>
      <vt:lpstr>저축</vt:lpstr>
      <vt:lpstr>투자</vt:lpstr>
      <vt:lpstr>부채</vt:lpstr>
      <vt:lpstr>현금흐름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2025-01-19T16:30:02Z</dcterms:modified>
</cp:coreProperties>
</file>