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drawings/drawing4.xml" ContentType="application/vnd.openxmlformats-officedocument.drawing+xml"/>
  <Override PartName="/xl/activeX/activeX3.xml" ContentType="application/vnd.ms-office.activeX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activeX/activeX4.xml" ContentType="application/vnd.ms-office.activeX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activeX/activeX5.xml" ContentType="application/vnd.ms-office.activeX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activeX/activeX6.xml" ContentType="application/vnd.ms-office.activeX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activeX/activeX7.xml" ContentType="application/vnd.ms-office.activeX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activeX/activeX8.xml" ContentType="application/vnd.ms-office.activeX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activeX/activeX9.xml" ContentType="application/vnd.ms-office.activeX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activeX/activeX10.xml" ContentType="application/vnd.ms-office.activeX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activeX/activeX11.xml" ContentType="application/vnd.ms-office.activeX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activeX/activeX12.xml" ContentType="application/vnd.ms-office.activeX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+xml"/>
  <Override PartName="/xl/activeX/activeX13.xml" ContentType="application/vnd.ms-office.activeX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activeX/activeX14.xml" ContentType="application/vnd.ms-office.activeX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git\csw\account_book\"/>
    </mc:Choice>
  </mc:AlternateContent>
  <xr:revisionPtr revIDLastSave="0" documentId="13_ncr:1_{300FF5B5-A6A8-4BB1-A0DA-5DB97155AE80}" xr6:coauthVersionLast="47" xr6:coauthVersionMax="47" xr10:uidLastSave="{00000000-0000-0000-0000-000000000000}"/>
  <bookViews>
    <workbookView xWindow="-120" yWindow="-120" windowWidth="29040" windowHeight="15720" firstSheet="1" activeTab="5" xr2:uid="{DAF02292-9BE1-4363-82A9-9201BCC21734}"/>
  </bookViews>
  <sheets>
    <sheet name="대시보드" sheetId="2" r:id="rId1"/>
    <sheet name="재무상태표" sheetId="3" r:id="rId2"/>
    <sheet name="저축" sheetId="4" r:id="rId3"/>
    <sheet name="투자" sheetId="5" r:id="rId4"/>
    <sheet name="손익계산서" sheetId="21" r:id="rId5"/>
    <sheet name="설정" sheetId="8" r:id="rId6"/>
    <sheet name="1월" sheetId="9" r:id="rId7"/>
    <sheet name="2월" sheetId="10" r:id="rId8"/>
    <sheet name="3월" sheetId="11" r:id="rId9"/>
    <sheet name="4월" sheetId="12" r:id="rId10"/>
    <sheet name="5월" sheetId="13" r:id="rId11"/>
    <sheet name="6월" sheetId="14" r:id="rId12"/>
    <sheet name="7월" sheetId="15" r:id="rId13"/>
    <sheet name="8월" sheetId="16" r:id="rId14"/>
    <sheet name="9월" sheetId="17" r:id="rId15"/>
    <sheet name="10월" sheetId="18" r:id="rId16"/>
    <sheet name="11월" sheetId="19" r:id="rId17"/>
    <sheet name="12월" sheetId="20" r:id="rId18"/>
  </sheets>
  <functionGroups builtInGroupCount="19"/>
  <definedNames>
    <definedName name="_xlnm._FilterDatabase" localSheetId="7" hidden="1">'2월'!$G$6:$Y$44</definedName>
    <definedName name="_xleta.AVERAGE" hidden="1" xlm="1">#NAME?</definedName>
    <definedName name="_xleta.MAX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4" i="12" l="1"/>
  <c r="G4" i="12"/>
  <c r="Q4" i="11"/>
  <c r="G4" i="11"/>
  <c r="B24" i="21"/>
  <c r="B23" i="21"/>
  <c r="C55" i="20"/>
  <c r="C54" i="20"/>
  <c r="C53" i="20"/>
  <c r="C52" i="20"/>
  <c r="C46" i="20"/>
  <c r="C45" i="20"/>
  <c r="C44" i="20"/>
  <c r="C43" i="20"/>
  <c r="C42" i="20"/>
  <c r="C41" i="20"/>
  <c r="C40" i="20"/>
  <c r="C39" i="20"/>
  <c r="C38" i="20"/>
  <c r="C37" i="20"/>
  <c r="C36" i="20"/>
  <c r="C35" i="20"/>
  <c r="C34" i="20"/>
  <c r="C33" i="20"/>
  <c r="C32" i="20"/>
  <c r="C31" i="20"/>
  <c r="C30" i="20"/>
  <c r="C29" i="20"/>
  <c r="C28" i="20"/>
  <c r="C27" i="20"/>
  <c r="C55" i="19"/>
  <c r="C54" i="19"/>
  <c r="C53" i="19"/>
  <c r="C52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55" i="18"/>
  <c r="C54" i="18"/>
  <c r="C53" i="18"/>
  <c r="C52" i="18"/>
  <c r="C46" i="18"/>
  <c r="C45" i="18"/>
  <c r="C44" i="18"/>
  <c r="C43" i="18"/>
  <c r="C42" i="18"/>
  <c r="C41" i="18"/>
  <c r="C40" i="18"/>
  <c r="C39" i="18"/>
  <c r="C38" i="18"/>
  <c r="C37" i="18"/>
  <c r="C36" i="18"/>
  <c r="C35" i="18"/>
  <c r="C34" i="18"/>
  <c r="C33" i="18"/>
  <c r="C32" i="18"/>
  <c r="C31" i="18"/>
  <c r="C30" i="18"/>
  <c r="C29" i="18"/>
  <c r="C28" i="18"/>
  <c r="C27" i="18"/>
  <c r="C55" i="17"/>
  <c r="C54" i="17"/>
  <c r="C53" i="17"/>
  <c r="C52" i="17"/>
  <c r="C46" i="17"/>
  <c r="C45" i="17"/>
  <c r="C44" i="17"/>
  <c r="C43" i="17"/>
  <c r="C42" i="17"/>
  <c r="C41" i="17"/>
  <c r="C40" i="17"/>
  <c r="C39" i="17"/>
  <c r="C38" i="17"/>
  <c r="C37" i="17"/>
  <c r="C36" i="17"/>
  <c r="C35" i="17"/>
  <c r="C34" i="17"/>
  <c r="C33" i="17"/>
  <c r="C32" i="17"/>
  <c r="C31" i="17"/>
  <c r="C30" i="17"/>
  <c r="C29" i="17"/>
  <c r="C28" i="17"/>
  <c r="C27" i="17"/>
  <c r="C55" i="16"/>
  <c r="C54" i="16"/>
  <c r="C53" i="16"/>
  <c r="C52" i="16"/>
  <c r="C46" i="16"/>
  <c r="C45" i="16"/>
  <c r="C44" i="16"/>
  <c r="C43" i="16"/>
  <c r="C42" i="16"/>
  <c r="C41" i="16"/>
  <c r="C40" i="16"/>
  <c r="C39" i="16"/>
  <c r="C38" i="16"/>
  <c r="C37" i="16"/>
  <c r="C36" i="16"/>
  <c r="C35" i="16"/>
  <c r="C34" i="16"/>
  <c r="C33" i="16"/>
  <c r="C32" i="16"/>
  <c r="C31" i="16"/>
  <c r="C30" i="16"/>
  <c r="C29" i="16"/>
  <c r="C28" i="16"/>
  <c r="C27" i="16"/>
  <c r="C55" i="15"/>
  <c r="C54" i="15"/>
  <c r="C53" i="15"/>
  <c r="C52" i="15"/>
  <c r="C46" i="15"/>
  <c r="C45" i="15"/>
  <c r="C44" i="15"/>
  <c r="C43" i="15"/>
  <c r="C42" i="15"/>
  <c r="C41" i="15"/>
  <c r="C40" i="15"/>
  <c r="C39" i="15"/>
  <c r="C38" i="15"/>
  <c r="C37" i="15"/>
  <c r="C36" i="15"/>
  <c r="C35" i="15"/>
  <c r="C34" i="15"/>
  <c r="C33" i="15"/>
  <c r="C32" i="15"/>
  <c r="C31" i="15"/>
  <c r="C30" i="15"/>
  <c r="C29" i="15"/>
  <c r="C28" i="15"/>
  <c r="C27" i="15"/>
  <c r="C55" i="14"/>
  <c r="C54" i="14"/>
  <c r="C53" i="14"/>
  <c r="C52" i="14"/>
  <c r="C46" i="14"/>
  <c r="C45" i="14"/>
  <c r="C44" i="14"/>
  <c r="C43" i="14"/>
  <c r="C42" i="14"/>
  <c r="C41" i="14"/>
  <c r="C40" i="14"/>
  <c r="C39" i="14"/>
  <c r="C38" i="14"/>
  <c r="C37" i="14"/>
  <c r="C36" i="14"/>
  <c r="C35" i="14"/>
  <c r="C34" i="14"/>
  <c r="C33" i="14"/>
  <c r="C32" i="14"/>
  <c r="C31" i="14"/>
  <c r="C30" i="14"/>
  <c r="C29" i="14"/>
  <c r="C28" i="14"/>
  <c r="C27" i="14"/>
  <c r="C55" i="13"/>
  <c r="C54" i="13"/>
  <c r="C53" i="13"/>
  <c r="C52" i="13"/>
  <c r="C46" i="13"/>
  <c r="C45" i="13"/>
  <c r="C44" i="13"/>
  <c r="C43" i="13"/>
  <c r="C42" i="13"/>
  <c r="C41" i="13"/>
  <c r="C40" i="13"/>
  <c r="C39" i="13"/>
  <c r="C38" i="13"/>
  <c r="C37" i="13"/>
  <c r="C36" i="13"/>
  <c r="C35" i="13"/>
  <c r="C34" i="13"/>
  <c r="C33" i="13"/>
  <c r="C32" i="13"/>
  <c r="C31" i="13"/>
  <c r="C30" i="13"/>
  <c r="C29" i="13"/>
  <c r="C28" i="13"/>
  <c r="C27" i="13"/>
  <c r="C55" i="12"/>
  <c r="C54" i="12"/>
  <c r="C53" i="12"/>
  <c r="C52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55" i="11"/>
  <c r="C54" i="11"/>
  <c r="C53" i="11"/>
  <c r="C52" i="11"/>
  <c r="C46" i="11"/>
  <c r="C45" i="11"/>
  <c r="C44" i="11"/>
  <c r="C43" i="11"/>
  <c r="C42" i="11"/>
  <c r="C41" i="11"/>
  <c r="C40" i="11"/>
  <c r="C39" i="11"/>
  <c r="C38" i="11"/>
  <c r="C37" i="11"/>
  <c r="C36" i="11"/>
  <c r="C35" i="11"/>
  <c r="C34" i="11"/>
  <c r="C33" i="11"/>
  <c r="C32" i="11"/>
  <c r="C31" i="11"/>
  <c r="C30" i="11"/>
  <c r="C29" i="11"/>
  <c r="C28" i="11"/>
  <c r="C27" i="11"/>
  <c r="C55" i="10"/>
  <c r="C54" i="10"/>
  <c r="C53" i="10"/>
  <c r="C52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55" i="9"/>
  <c r="C54" i="9"/>
  <c r="C53" i="9"/>
  <c r="C52" i="9"/>
  <c r="W6" i="21" a="1"/>
  <c r="X6" i="21" a="1"/>
  <c r="AC8" i="3" l="1"/>
  <c r="AC11" i="3"/>
  <c r="X6" i="21"/>
  <c r="X26" i="21" s="1"/>
  <c r="W6" i="21"/>
  <c r="Z6" i="21" a="1"/>
  <c r="Z6" i="21" l="1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AB11" i="21" s="1"/>
  <c r="C31" i="9"/>
  <c r="AB10" i="21" s="1"/>
  <c r="C30" i="9"/>
  <c r="AB9" i="21" s="1"/>
  <c r="C29" i="9"/>
  <c r="AB8" i="21" s="1"/>
  <c r="C28" i="9"/>
  <c r="C27" i="9"/>
  <c r="AB6" i="3" s="1"/>
  <c r="AC6" i="3" s="1"/>
  <c r="AC2" i="21"/>
  <c r="AA6" i="21" a="1"/>
  <c r="AB12" i="21" l="1"/>
  <c r="AC12" i="21" s="1"/>
  <c r="AB12" i="3"/>
  <c r="AC12" i="3" s="1"/>
  <c r="AB13" i="21"/>
  <c r="AC13" i="21" s="1"/>
  <c r="AB13" i="3"/>
  <c r="AC13" i="3" s="1"/>
  <c r="AB14" i="21"/>
  <c r="AC14" i="21" s="1"/>
  <c r="AB14" i="3"/>
  <c r="AC14" i="3" s="1"/>
  <c r="AB15" i="21"/>
  <c r="AC15" i="21" s="1"/>
  <c r="AB15" i="3"/>
  <c r="AC15" i="3" s="1"/>
  <c r="AB16" i="21"/>
  <c r="AC16" i="21" s="1"/>
  <c r="AB16" i="3"/>
  <c r="AC16" i="3" s="1"/>
  <c r="AB17" i="21"/>
  <c r="AC17" i="21" s="1"/>
  <c r="AB17" i="3"/>
  <c r="AC17" i="3" s="1"/>
  <c r="AB18" i="21"/>
  <c r="AC18" i="21" s="1"/>
  <c r="AB18" i="3"/>
  <c r="AC18" i="3" s="1"/>
  <c r="AB7" i="21"/>
  <c r="AC7" i="21" s="1"/>
  <c r="AB7" i="3"/>
  <c r="AC7" i="3" s="1"/>
  <c r="AB19" i="21"/>
  <c r="AC19" i="21" s="1"/>
  <c r="AB19" i="3"/>
  <c r="AC19" i="3" s="1"/>
  <c r="AB20" i="21"/>
  <c r="AC20" i="21" s="1"/>
  <c r="AB20" i="3"/>
  <c r="AC20" i="3" s="1"/>
  <c r="AB21" i="21"/>
  <c r="AC21" i="21" s="1"/>
  <c r="AB21" i="3"/>
  <c r="AC21" i="3" s="1"/>
  <c r="AB22" i="21"/>
  <c r="AC22" i="21" s="1"/>
  <c r="AB22" i="3"/>
  <c r="AC22" i="3" s="1"/>
  <c r="AB23" i="21"/>
  <c r="AC23" i="21" s="1"/>
  <c r="AB23" i="3"/>
  <c r="AC23" i="3" s="1"/>
  <c r="AB24" i="21"/>
  <c r="AC24" i="21" s="1"/>
  <c r="AB24" i="3"/>
  <c r="AC24" i="3" s="1"/>
  <c r="AB25" i="21"/>
  <c r="AC25" i="21" s="1"/>
  <c r="AB25" i="3"/>
  <c r="AC25" i="3" s="1"/>
  <c r="AC8" i="21"/>
  <c r="AC9" i="21"/>
  <c r="AC10" i="21"/>
  <c r="AC11" i="21"/>
  <c r="AA6" i="21"/>
  <c r="AB6" i="21"/>
  <c r="Y89" i="20"/>
  <c r="V89" i="20"/>
  <c r="S89" i="20"/>
  <c r="Y89" i="19"/>
  <c r="V89" i="19"/>
  <c r="S89" i="19"/>
  <c r="Y89" i="18"/>
  <c r="V89" i="18"/>
  <c r="S89" i="18"/>
  <c r="Y89" i="17"/>
  <c r="V89" i="17"/>
  <c r="S89" i="17"/>
  <c r="Y89" i="16"/>
  <c r="V89" i="16"/>
  <c r="S89" i="16"/>
  <c r="Y89" i="15"/>
  <c r="V89" i="15"/>
  <c r="S89" i="15"/>
  <c r="O89" i="14"/>
  <c r="L89" i="14"/>
  <c r="I89" i="14"/>
  <c r="Y89" i="14"/>
  <c r="V89" i="14"/>
  <c r="S89" i="14"/>
  <c r="Y89" i="13"/>
  <c r="V89" i="13"/>
  <c r="S89" i="13"/>
  <c r="Y89" i="12"/>
  <c r="V89" i="12"/>
  <c r="S89" i="12"/>
  <c r="Y89" i="11"/>
  <c r="V89" i="11"/>
  <c r="S89" i="11"/>
  <c r="Y89" i="9"/>
  <c r="V89" i="9"/>
  <c r="S89" i="9"/>
  <c r="Y89" i="10"/>
  <c r="V89" i="10"/>
  <c r="S89" i="10"/>
  <c r="O89" i="20"/>
  <c r="L89" i="20"/>
  <c r="C48" i="20" s="1"/>
  <c r="I89" i="20"/>
  <c r="C57" i="20" s="1"/>
  <c r="O89" i="19"/>
  <c r="L89" i="19"/>
  <c r="C48" i="19" s="1"/>
  <c r="I89" i="19"/>
  <c r="O89" i="18"/>
  <c r="L89" i="18"/>
  <c r="I89" i="18"/>
  <c r="O89" i="17"/>
  <c r="L89" i="17"/>
  <c r="I89" i="17"/>
  <c r="O89" i="15"/>
  <c r="L89" i="15"/>
  <c r="I89" i="15"/>
  <c r="C57" i="15" s="1"/>
  <c r="O89" i="13"/>
  <c r="L89" i="13"/>
  <c r="I89" i="13"/>
  <c r="O89" i="12"/>
  <c r="L89" i="12"/>
  <c r="C48" i="12" s="1"/>
  <c r="I89" i="12"/>
  <c r="O89" i="11"/>
  <c r="L89" i="11"/>
  <c r="I89" i="11"/>
  <c r="O89" i="10"/>
  <c r="L89" i="10"/>
  <c r="I89" i="10"/>
  <c r="O89" i="9"/>
  <c r="L89" i="9"/>
  <c r="I89" i="9"/>
  <c r="O89" i="16"/>
  <c r="I89" i="16"/>
  <c r="L89" i="16"/>
  <c r="Q4" i="20"/>
  <c r="G4" i="20"/>
  <c r="Q4" i="19"/>
  <c r="G4" i="19"/>
  <c r="Q4" i="18"/>
  <c r="G4" i="18"/>
  <c r="Q4" i="17"/>
  <c r="G4" i="17"/>
  <c r="Q4" i="16"/>
  <c r="G4" i="16"/>
  <c r="Q4" i="15"/>
  <c r="G4" i="15"/>
  <c r="Q4" i="14"/>
  <c r="G4" i="14"/>
  <c r="Q4" i="13"/>
  <c r="G4" i="13"/>
  <c r="Q4" i="10"/>
  <c r="G4" i="10"/>
  <c r="B47" i="8"/>
  <c r="B11" i="8"/>
  <c r="C23" i="21" a="1"/>
  <c r="C24" i="21" a="1"/>
  <c r="C57" i="19" l="1"/>
  <c r="C48" i="18"/>
  <c r="C57" i="18"/>
  <c r="C48" i="15"/>
  <c r="C48" i="14"/>
  <c r="C48" i="13"/>
  <c r="C57" i="13"/>
  <c r="C57" i="12"/>
  <c r="C57" i="11"/>
  <c r="C48" i="11"/>
  <c r="L17" i="21"/>
  <c r="AC6" i="21"/>
  <c r="C48" i="17"/>
  <c r="C57" i="17"/>
  <c r="C48" i="16"/>
  <c r="C57" i="16"/>
  <c r="C57" i="14"/>
  <c r="C57" i="10"/>
  <c r="C48" i="10"/>
  <c r="L7" i="21"/>
  <c r="L11" i="21"/>
  <c r="AA26" i="21"/>
  <c r="L9" i="21"/>
  <c r="L13" i="21"/>
  <c r="L15" i="21"/>
  <c r="C57" i="9"/>
  <c r="C24" i="21"/>
  <c r="D24" i="21"/>
  <c r="C23" i="21"/>
  <c r="C48" i="9"/>
  <c r="D23" i="21"/>
  <c r="N15" i="21"/>
  <c r="N17" i="21"/>
  <c r="N11" i="21"/>
  <c r="N13" i="21"/>
  <c r="N7" i="21"/>
  <c r="N9" i="21"/>
  <c r="M15" i="21"/>
  <c r="M17" i="21"/>
  <c r="M11" i="21"/>
  <c r="M13" i="21"/>
  <c r="M7" i="21"/>
  <c r="M9" i="21"/>
  <c r="S90" i="20"/>
  <c r="I90" i="20"/>
  <c r="S90" i="19"/>
  <c r="I90" i="19"/>
  <c r="S90" i="18"/>
  <c r="I90" i="18"/>
  <c r="S90" i="17"/>
  <c r="I90" i="17"/>
  <c r="S90" i="16"/>
  <c r="S90" i="15"/>
  <c r="I90" i="15"/>
  <c r="S90" i="14"/>
  <c r="I90" i="14"/>
  <c r="S90" i="13"/>
  <c r="I90" i="13"/>
  <c r="S90" i="12"/>
  <c r="I90" i="12"/>
  <c r="S90" i="11"/>
  <c r="I90" i="11"/>
  <c r="S90" i="10"/>
  <c r="I90" i="10"/>
  <c r="S90" i="9"/>
  <c r="I90" i="9"/>
  <c r="I90" i="16"/>
  <c r="O13" i="21" l="1"/>
  <c r="T15" i="21"/>
  <c r="T17" i="21"/>
  <c r="T11" i="21"/>
  <c r="T13" i="21"/>
  <c r="R17" i="21"/>
  <c r="T9" i="21"/>
  <c r="S17" i="21"/>
  <c r="S15" i="21"/>
  <c r="S13" i="21"/>
  <c r="S11" i="21"/>
  <c r="S9" i="21"/>
  <c r="R15" i="21"/>
  <c r="R11" i="21"/>
  <c r="R13" i="21"/>
  <c r="S7" i="21"/>
  <c r="R9" i="21"/>
  <c r="O9" i="21"/>
  <c r="O7" i="21"/>
  <c r="R7" i="21"/>
  <c r="T7" i="21"/>
  <c r="O15" i="21"/>
  <c r="O17" i="21"/>
  <c r="O11" i="21"/>
  <c r="C5" i="19"/>
  <c r="C5" i="15"/>
  <c r="C7" i="15" s="1"/>
  <c r="C5" i="14"/>
  <c r="C5" i="10"/>
  <c r="C5" i="20"/>
  <c r="C5" i="18"/>
  <c r="C5" i="17"/>
  <c r="C5" i="16"/>
  <c r="C5" i="13"/>
  <c r="C5" i="12"/>
  <c r="C5" i="11"/>
  <c r="C5" i="9"/>
  <c r="C7" i="20" l="1"/>
  <c r="X16" i="3"/>
  <c r="C7" i="19"/>
  <c r="V16" i="3"/>
  <c r="C6" i="18"/>
  <c r="T16" i="3"/>
  <c r="C7" i="17"/>
  <c r="R16" i="3"/>
  <c r="C7" i="16"/>
  <c r="P16" i="3"/>
  <c r="C6" i="15"/>
  <c r="N16" i="3"/>
  <c r="C7" i="9"/>
  <c r="B16" i="3"/>
  <c r="C7" i="10"/>
  <c r="D16" i="3"/>
  <c r="C7" i="14"/>
  <c r="L16" i="3"/>
  <c r="C6" i="14"/>
  <c r="C7" i="13"/>
  <c r="J16" i="3"/>
  <c r="C6" i="12"/>
  <c r="H16" i="3"/>
  <c r="C7" i="11"/>
  <c r="F16" i="3"/>
  <c r="U17" i="21"/>
  <c r="U11" i="21"/>
  <c r="U13" i="21"/>
  <c r="U15" i="21"/>
  <c r="U9" i="21"/>
  <c r="U7" i="21"/>
  <c r="C6" i="20"/>
  <c r="C6" i="19"/>
  <c r="C7" i="18"/>
  <c r="C6" i="17"/>
  <c r="C6" i="16"/>
  <c r="C6" i="13"/>
  <c r="C7" i="12"/>
  <c r="C6" i="11"/>
  <c r="C6" i="10"/>
  <c r="C6" i="9"/>
  <c r="Q4" i="9"/>
  <c r="G4" i="9"/>
  <c r="X83" i="8" l="1"/>
  <c r="W10" i="3" s="1"/>
  <c r="V83" i="8"/>
  <c r="U10" i="3" s="1"/>
  <c r="S10" i="3"/>
  <c r="R83" i="8"/>
  <c r="Q10" i="3" s="1"/>
  <c r="P83" i="8"/>
  <c r="O10" i="3" s="1"/>
  <c r="N83" i="8"/>
  <c r="M10" i="3" s="1"/>
  <c r="L83" i="8"/>
  <c r="K10" i="3" s="1"/>
  <c r="J83" i="8"/>
  <c r="I10" i="3" s="1"/>
  <c r="H83" i="8"/>
  <c r="G10" i="3" s="1"/>
  <c r="F83" i="8"/>
  <c r="E10" i="3" s="1"/>
  <c r="D83" i="8"/>
  <c r="C10" i="3" s="1"/>
  <c r="AC19" i="8"/>
  <c r="AB10" i="3" s="1"/>
  <c r="AA19" i="8"/>
  <c r="Z10" i="3" s="1"/>
  <c r="S11" i="3" l="1"/>
  <c r="Z11" i="3"/>
  <c r="C5" i="3" s="1"/>
  <c r="C11" i="3"/>
  <c r="T84" i="8"/>
  <c r="AA20" i="8"/>
  <c r="D84" i="8"/>
  <c r="C12" i="3" l="1"/>
  <c r="C4" i="3" s="1"/>
  <c r="D85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<sst xmlns="http://schemas.openxmlformats.org/spreadsheetml/2006/main" count="3838" uniqueCount="661">
  <si>
    <t>Setting</t>
    <phoneticPr fontId="1" type="noConversion"/>
  </si>
  <si>
    <t>파일 경로</t>
    <phoneticPr fontId="1" type="noConversion"/>
  </si>
  <si>
    <t>사용자1 :</t>
    <phoneticPr fontId="1" type="noConversion"/>
  </si>
  <si>
    <t>천세원</t>
    <phoneticPr fontId="1" type="noConversion"/>
  </si>
  <si>
    <t>사용자2 :</t>
    <phoneticPr fontId="1" type="noConversion"/>
  </si>
  <si>
    <t>하유진</t>
    <phoneticPr fontId="1" type="noConversion"/>
  </si>
  <si>
    <t>저축</t>
    <phoneticPr fontId="1" type="noConversion"/>
  </si>
  <si>
    <t>투자</t>
    <phoneticPr fontId="1" type="noConversion"/>
  </si>
  <si>
    <t>부채</t>
    <phoneticPr fontId="1" type="noConversion"/>
  </si>
  <si>
    <t>자유입출금</t>
    <phoneticPr fontId="1" type="noConversion"/>
  </si>
  <si>
    <t>신탁</t>
    <phoneticPr fontId="1" type="noConversion"/>
  </si>
  <si>
    <t>현금</t>
    <phoneticPr fontId="1" type="noConversion"/>
  </si>
  <si>
    <t>저축성</t>
    <phoneticPr fontId="1" type="noConversion"/>
  </si>
  <si>
    <t>전자금융</t>
    <phoneticPr fontId="1" type="noConversion"/>
  </si>
  <si>
    <t>기타 실물</t>
    <phoneticPr fontId="1" type="noConversion"/>
  </si>
  <si>
    <t>보험</t>
    <phoneticPr fontId="1" type="noConversion"/>
  </si>
  <si>
    <t>연금</t>
    <phoneticPr fontId="1" type="noConversion"/>
  </si>
  <si>
    <t>주식</t>
    <phoneticPr fontId="1" type="noConversion"/>
  </si>
  <si>
    <t>부동산</t>
    <phoneticPr fontId="1" type="noConversion"/>
  </si>
  <si>
    <t>동산</t>
    <phoneticPr fontId="1" type="noConversion"/>
  </si>
  <si>
    <t>장기대출</t>
    <phoneticPr fontId="1" type="noConversion"/>
  </si>
  <si>
    <t>단기대출</t>
    <phoneticPr fontId="1" type="noConversion"/>
  </si>
  <si>
    <t>소계</t>
    <phoneticPr fontId="1" type="noConversion"/>
  </si>
  <si>
    <t>총계</t>
    <phoneticPr fontId="1" type="noConversion"/>
  </si>
  <si>
    <t>합계</t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</si>
  <si>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_Jan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</si>
  <si>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_May.</t>
    </r>
    <phoneticPr fontId="1" type="noConversion"/>
  </si>
  <si>
    <t>수입</t>
    <phoneticPr fontId="1" type="noConversion"/>
  </si>
  <si>
    <t>분류</t>
    <phoneticPr fontId="1" type="noConversion"/>
  </si>
  <si>
    <t>내용</t>
    <phoneticPr fontId="1" type="noConversion"/>
  </si>
  <si>
    <t>금액</t>
    <phoneticPr fontId="1" type="noConversion"/>
  </si>
  <si>
    <t>지출</t>
    <phoneticPr fontId="1" type="noConversion"/>
  </si>
  <si>
    <t>이체</t>
    <phoneticPr fontId="1" type="noConversion"/>
  </si>
  <si>
    <t>구분</t>
    <phoneticPr fontId="1" type="noConversion"/>
  </si>
  <si>
    <t>-</t>
    <phoneticPr fontId="1" type="noConversion"/>
  </si>
  <si>
    <t>목표 이익 :</t>
    <phoneticPr fontId="1" type="noConversion"/>
  </si>
  <si>
    <t>순 이 익 :</t>
    <phoneticPr fontId="1" type="noConversion"/>
  </si>
  <si>
    <t>달 성 률 :</t>
    <phoneticPr fontId="1" type="noConversion"/>
  </si>
  <si>
    <t xml:space="preserve">차익 이익 : </t>
    <phoneticPr fontId="1" type="noConversion"/>
  </si>
  <si>
    <t>위탁</t>
  </si>
  <si>
    <t>종합매매</t>
  </si>
  <si>
    <t>종합위탁</t>
  </si>
  <si>
    <t>집합투자증권</t>
  </si>
  <si>
    <t>KB마이핏통장</t>
  </si>
  <si>
    <t>MY 입출금통장</t>
  </si>
  <si>
    <t>자립예탁금</t>
  </si>
  <si>
    <t>저축예금</t>
  </si>
  <si>
    <t>토스뱅크 통장</t>
  </si>
  <si>
    <t>NH1934우대통장(저축예금)</t>
  </si>
  <si>
    <t>딴주머니</t>
  </si>
  <si>
    <t>세이프박스</t>
  </si>
  <si>
    <t>신한 주거래 S20통장</t>
  </si>
  <si>
    <t>입출금통장</t>
  </si>
  <si>
    <t>잇(it)딴주머니통장</t>
  </si>
  <si>
    <t>행복knowhow 주거래 우대통장</t>
  </si>
  <si>
    <t>소계</t>
    <phoneticPr fontId="1" type="noConversion"/>
  </si>
  <si>
    <t>개인형IRP</t>
  </si>
  <si>
    <t>현금</t>
  </si>
  <si>
    <t>네이버페이 머니 - saew****</t>
  </si>
  <si>
    <t>카카오페이 머니 - 010*****550</t>
  </si>
  <si>
    <t>토스머니</t>
  </si>
  <si>
    <t>페이코포인트 - sa******@naver.com</t>
  </si>
  <si>
    <t>엔비디아</t>
  </si>
  <si>
    <t>종합계좌</t>
  </si>
  <si>
    <t>단계별로더받는암보험1404</t>
  </si>
  <si>
    <t>DC</t>
  </si>
  <si>
    <t>마이홈플랜 주택청약 종합저축</t>
  </si>
  <si>
    <t>유니온정기예탁금</t>
  </si>
  <si>
    <t>카카오페이 머니 - 010*****317</t>
  </si>
  <si>
    <t>페이코포인트 - ep*****@naver.com</t>
  </si>
  <si>
    <t>무배당 한화실손의료보험(갱신형)1501</t>
  </si>
  <si>
    <t>무배당 마이라이프 한아름종합보험1504</t>
  </si>
  <si>
    <t>無퓨처30+어린이CI3종</t>
  </si>
  <si>
    <t>신용카드 대금</t>
  </si>
  <si>
    <t>현대 아반떼AD</t>
  </si>
  <si>
    <r>
      <t>Month</t>
    </r>
    <r>
      <rPr>
        <sz val="15"/>
        <color theme="0"/>
        <rFont val="맑은 고딕"/>
        <family val="3"/>
        <charset val="129"/>
        <scheme val="minor"/>
      </rPr>
      <t>_Feb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</si>
  <si>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_Mar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</si>
  <si>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_Jun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</si>
  <si>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_Jul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</si>
  <si>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_Aug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</si>
  <si>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_Sep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</si>
  <si>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_Nov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</si>
  <si>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_Dec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</si>
  <si>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_Apr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</si>
  <si>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_Oct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</si>
  <si>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t>사용 년도 :</t>
    <phoneticPr fontId="1" type="noConversion"/>
  </si>
  <si>
    <t>금융수입</t>
  </si>
  <si>
    <t>예금이자원가</t>
  </si>
  <si>
    <t>저축</t>
  </si>
  <si>
    <t>금융</t>
  </si>
  <si>
    <t>생활</t>
  </si>
  <si>
    <t>문화/여가</t>
  </si>
  <si>
    <t>주거/통신</t>
  </si>
  <si>
    <t>자동차</t>
  </si>
  <si>
    <t>식비</t>
  </si>
  <si>
    <t>주식회사 우아한형제들</t>
  </si>
  <si>
    <t>온라인쇼핑</t>
  </si>
  <si>
    <t>주식회사 카카오</t>
  </si>
  <si>
    <t>세종전자담배마켓</t>
  </si>
  <si>
    <t>카페/간식</t>
  </si>
  <si>
    <t>술/유흥</t>
  </si>
  <si>
    <t>이체</t>
  </si>
  <si>
    <t>의료/건강</t>
  </si>
  <si>
    <t>교통</t>
  </si>
  <si>
    <t>SKB구_티브로드)</t>
  </si>
  <si>
    <t>송금 내역</t>
  </si>
  <si>
    <t>국민하유진</t>
  </si>
  <si>
    <t>카드대금</t>
  </si>
  <si>
    <t>뷰티/미용</t>
  </si>
  <si>
    <t>천세원</t>
  </si>
  <si>
    <t>신한카드</t>
  </si>
  <si>
    <t>식사</t>
  </si>
  <si>
    <t>의복/미용</t>
  </si>
  <si>
    <t>아워홈콘티넨탈세종점</t>
  </si>
  <si>
    <t>DB손해보험</t>
  </si>
  <si>
    <t>현대카드대금</t>
  </si>
  <si>
    <t>미분류</t>
  </si>
  <si>
    <t>투자</t>
  </si>
  <si>
    <t>패션/쇼핑</t>
  </si>
  <si>
    <t>KICC_ARS결제</t>
  </si>
  <si>
    <t>여행/숙박</t>
  </si>
  <si>
    <t>세종중합농협 하</t>
  </si>
  <si>
    <t>지에스(GS)2</t>
  </si>
  <si>
    <t>교육</t>
  </si>
  <si>
    <t>하이패스3191</t>
  </si>
  <si>
    <t>주식회사 동인청</t>
  </si>
  <si>
    <t>경조사</t>
  </si>
  <si>
    <t>마켓세종</t>
  </si>
  <si>
    <t>버스타고</t>
  </si>
  <si>
    <t>교육/학습</t>
  </si>
  <si>
    <t>(주)신성전자</t>
  </si>
  <si>
    <t>네이버페이충전</t>
  </si>
  <si>
    <t>LG전자 베스트샵_다날</t>
  </si>
  <si>
    <t>한샘</t>
  </si>
  <si>
    <t>소나무집</t>
  </si>
  <si>
    <t>노브랜드버거 세</t>
  </si>
  <si>
    <t>메리츠화재</t>
  </si>
  <si>
    <t>하유진_IRP</t>
  </si>
  <si>
    <t>현대 더 뉴아반떼MD</t>
  </si>
  <si>
    <t>오류체크</t>
    <phoneticPr fontId="1" type="noConversion"/>
  </si>
  <si>
    <t>Income statements</t>
    <phoneticPr fontId="1" type="noConversion"/>
  </si>
  <si>
    <t>Month :</t>
    <phoneticPr fontId="1" type="noConversion"/>
  </si>
  <si>
    <t>Years :</t>
    <phoneticPr fontId="1" type="noConversion"/>
  </si>
  <si>
    <t>지출 비용</t>
    <phoneticPr fontId="1" type="noConversion"/>
  </si>
  <si>
    <t>분류별 분석</t>
    <phoneticPr fontId="1" type="noConversion"/>
  </si>
  <si>
    <t>라봄헤어</t>
  </si>
  <si>
    <t>금융수입</t>
    <phoneticPr fontId="1" type="noConversion"/>
  </si>
  <si>
    <t>급여</t>
    <phoneticPr fontId="1" type="noConversion"/>
  </si>
  <si>
    <t>용돈</t>
    <phoneticPr fontId="1" type="noConversion"/>
  </si>
  <si>
    <t>기타수입</t>
    <phoneticPr fontId="1" type="noConversion"/>
  </si>
  <si>
    <t>수입 비용</t>
    <phoneticPr fontId="1" type="noConversion"/>
  </si>
  <si>
    <t>사용자별 분석</t>
    <phoneticPr fontId="1" type="noConversion"/>
  </si>
  <si>
    <t>수익</t>
    <phoneticPr fontId="1" type="noConversion"/>
  </si>
  <si>
    <t>사용자</t>
    <phoneticPr fontId="1" type="noConversion"/>
  </si>
  <si>
    <t>지출 금액</t>
    <phoneticPr fontId="1" type="noConversion"/>
  </si>
  <si>
    <t>지출 비용 상위</t>
    <phoneticPr fontId="1" type="noConversion"/>
  </si>
  <si>
    <t>이번 달</t>
    <phoneticPr fontId="1" type="noConversion"/>
  </si>
  <si>
    <t>평균</t>
    <phoneticPr fontId="1" type="noConversion"/>
  </si>
  <si>
    <t>비율</t>
    <phoneticPr fontId="1" type="noConversion"/>
  </si>
  <si>
    <t>오잉코인노래연습</t>
  </si>
  <si>
    <t>(주)호반호텔앤</t>
  </si>
  <si>
    <t>선사시대 꺼먹돼</t>
  </si>
  <si>
    <t>씨유(CU) 덕</t>
  </si>
  <si>
    <t>선봉국수</t>
  </si>
  <si>
    <t>아리랑고개닭꼬치</t>
  </si>
  <si>
    <t>(유한책임회사)</t>
  </si>
  <si>
    <t>수림방앗간</t>
  </si>
  <si>
    <t>지*경</t>
  </si>
  <si>
    <t>교통-버스4건</t>
  </si>
  <si>
    <t>효모로만든찬 새</t>
  </si>
  <si>
    <t>망향주유소</t>
  </si>
  <si>
    <t>온라인한우장터</t>
  </si>
  <si>
    <t>DB손보5403</t>
  </si>
  <si>
    <t>롯데카드2501</t>
  </si>
  <si>
    <t>신대구막창나성점</t>
  </si>
  <si>
    <t>홍성농협하나로마트</t>
  </si>
  <si>
    <t>당근 팜캉스</t>
  </si>
  <si>
    <t>애플양과점</t>
  </si>
  <si>
    <t>최지영</t>
  </si>
  <si>
    <t>원조꼬막시장</t>
  </si>
  <si>
    <t>전유정</t>
  </si>
  <si>
    <t>김경희기차</t>
  </si>
  <si>
    <t>NICE_통신판매</t>
  </si>
  <si>
    <t>비교</t>
    <phoneticPr fontId="1" type="noConversion"/>
  </si>
  <si>
    <t>평균 대비 지출 비용 상위</t>
    <phoneticPr fontId="1" type="noConversion"/>
  </si>
  <si>
    <t>Financial Statements</t>
    <phoneticPr fontId="1" type="noConversion"/>
  </si>
  <si>
    <t>자산 :</t>
    <phoneticPr fontId="1" type="noConversion"/>
  </si>
  <si>
    <t>부채 :</t>
    <phoneticPr fontId="1" type="noConversion"/>
  </si>
  <si>
    <t>현금 흐름 현황</t>
    <phoneticPr fontId="1" type="noConversion"/>
  </si>
  <si>
    <t>1월</t>
    <phoneticPr fontId="1" type="noConversion"/>
  </si>
  <si>
    <t>2월</t>
    <phoneticPr fontId="1" type="noConversion"/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</si>
  <si>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</si>
  <si>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</si>
  <si>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</si>
  <si>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</si>
  <si>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</si>
  <si>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</si>
  <si>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</si>
  <si>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</si>
  <si>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</si>
  <si>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</si>
  <si>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애플</t>
  </si>
  <si>
    <t>DB손12701</t>
  </si>
  <si>
    <t>국민은행LiivM</t>
  </si>
  <si>
    <t>세종부강농업협동</t>
  </si>
  <si>
    <t>서울삼성이비인후</t>
  </si>
  <si>
    <t>노브랜드세종나성</t>
  </si>
  <si>
    <t>스타벅스 코리아</t>
  </si>
  <si>
    <t>급여</t>
  </si>
  <si>
    <t>급여 콘티넨탈</t>
  </si>
  <si>
    <t>상여 콘티넨탈</t>
  </si>
  <si>
    <t>삼성305</t>
  </si>
  <si>
    <t>CONTINENTA</t>
  </si>
  <si>
    <t>내계좌이체</t>
  </si>
  <si>
    <t>삼성천세원</t>
  </si>
  <si>
    <t>주식회사 아성다</t>
  </si>
  <si>
    <t>지방세입금1건</t>
  </si>
  <si>
    <t>이자</t>
  </si>
  <si>
    <t>(주)케이비손해</t>
  </si>
  <si>
    <t>(주)부자송산휴</t>
  </si>
  <si>
    <t>터미널W PHO</t>
  </si>
  <si>
    <t>트래블월렛</t>
  </si>
  <si>
    <t>우리카드결제대금</t>
  </si>
  <si>
    <t>메리츠001건</t>
  </si>
  <si>
    <t>2회-천세원</t>
  </si>
  <si>
    <t>입금 내역</t>
  </si>
  <si>
    <t>천세원청약82</t>
  </si>
  <si>
    <t>퇴직연금-천세원</t>
  </si>
  <si>
    <t>하유진</t>
  </si>
  <si>
    <t>용돈</t>
  </si>
  <si>
    <t>김경희비행기</t>
  </si>
  <si>
    <t>정기이자 입금</t>
  </si>
  <si>
    <t>입출금통장 이자</t>
  </si>
  <si>
    <t>COCO SPRMRKET UBUD MBL\PT.BALI PAWIWAHAN</t>
  </si>
  <si>
    <t>APPROPRIATE\NI LUH SUR     JL.MONKEY\GIA</t>
  </si>
  <si>
    <t>UBUD VILLAGE HOTEL\VIYASA KAR     JL.MON</t>
  </si>
  <si>
    <t>한화손02건</t>
  </si>
  <si>
    <t>HONZEN SUMIZEN\CIPTA PRIM     AYANA RESO</t>
  </si>
  <si>
    <t>오늘은타이어</t>
  </si>
  <si>
    <t>주식회사마켓세종</t>
  </si>
  <si>
    <t>(주)아워홈 콘티넨탈 세종점</t>
  </si>
  <si>
    <t>HATIKU JIMBARAN MBL\HATIKU JIMBARAN</t>
  </si>
  <si>
    <t>김경희여행경비</t>
  </si>
  <si>
    <t>김경희하봉수</t>
  </si>
  <si>
    <t>대출</t>
  </si>
  <si>
    <t>천세원_생활비</t>
  </si>
  <si>
    <t>AMAZON.COM LLC                        \\</t>
  </si>
  <si>
    <t>AMAZON MARKEPLACE NA  PA              \\</t>
  </si>
  <si>
    <t>주식회사 놀유니버스</t>
  </si>
  <si>
    <t>모바일입출금계좌해지</t>
  </si>
  <si>
    <t>오넌커피로스터스</t>
  </si>
  <si>
    <t>회싸게파는집 활</t>
  </si>
  <si>
    <t>지에스25 대화</t>
  </si>
  <si>
    <t>국민천세원</t>
  </si>
  <si>
    <t>에스엠하이플러스</t>
  </si>
  <si>
    <t>DB손12802</t>
  </si>
  <si>
    <t>메리츠천세원</t>
  </si>
  <si>
    <t>3회-천세원</t>
  </si>
  <si>
    <t>하나카드</t>
  </si>
  <si>
    <t>천세원청약83</t>
  </si>
  <si>
    <t>한*화</t>
  </si>
  <si>
    <t>박*용</t>
  </si>
  <si>
    <t>김*수</t>
  </si>
  <si>
    <t>김*영</t>
  </si>
  <si>
    <t>신*수</t>
  </si>
  <si>
    <t>정*영</t>
  </si>
  <si>
    <t>농협송보경</t>
  </si>
  <si>
    <t>323계좌개설</t>
  </si>
  <si>
    <t>BC바로카드</t>
  </si>
  <si>
    <t>Invesco QQQ Trust ETF</t>
  </si>
  <si>
    <t>테슬라</t>
  </si>
  <si>
    <t>퓨어 스토리지</t>
  </si>
  <si>
    <t>존슨앤드존슨</t>
  </si>
  <si>
    <t>KB 특★한 적금</t>
  </si>
  <si>
    <t>네이버페이 머니 - epik****</t>
  </si>
  <si>
    <t>네이버페이 머니 - huj1****</t>
  </si>
  <si>
    <t>메리츠다이렉트(인터넷)개인용자동차보험</t>
  </si>
  <si>
    <t>콘티넨탈오토모티브일렉트로닉스 유한책임회사</t>
  </si>
  <si>
    <t>네이버플러스멤버십</t>
  </si>
  <si>
    <t>(주)우아한형제들</t>
  </si>
  <si>
    <t>충전 내역</t>
  </si>
  <si>
    <t>한국철도공사</t>
  </si>
  <si>
    <t>현대카드주식회사</t>
  </si>
  <si>
    <t>세종권약국</t>
  </si>
  <si>
    <t>케이비손해보험</t>
  </si>
  <si>
    <t>부자송산휴게소</t>
  </si>
  <si>
    <t>Grab* A-7ESWBP3WWIVQ   JAKARTA PUSAT IDN</t>
  </si>
  <si>
    <t>Grab* A-7ES7E2GWWJ6H   JAKARTA PUSAT IDN</t>
  </si>
  <si>
    <t>Grab* A-7FWDUWFWWIOB   JAKARTA PUSAT IDN</t>
  </si>
  <si>
    <t>Grab* A-7F8BI7CWWJCR   JAKARTA PUSAT IDN</t>
  </si>
  <si>
    <t>Grab* A-7F8QRB3GWJCR   JAKARTA PUSAT IDN</t>
  </si>
  <si>
    <t>Grab* A-7FCQ48OGWIWM   JAKARTA PUSAT IDN</t>
  </si>
  <si>
    <t>백채김치찌개 세종나성점</t>
  </si>
  <si>
    <t>샤브마니아</t>
  </si>
  <si>
    <t>참치정육점 세종점</t>
  </si>
  <si>
    <t>코스트코_온라인</t>
  </si>
  <si>
    <t>신협온뱅크신규</t>
  </si>
  <si>
    <t>복도리 협동조합</t>
  </si>
  <si>
    <t>세븐일레븐케이트리호텔점</t>
  </si>
  <si>
    <t>아파트관리비</t>
  </si>
  <si>
    <t>컴포즈커피세종새롬점</t>
  </si>
  <si>
    <t>씨유CU아산권곡주공점</t>
  </si>
  <si>
    <t>여민전</t>
  </si>
  <si>
    <t>하*진</t>
  </si>
  <si>
    <t>한승화</t>
  </si>
  <si>
    <t>갓 튀긴 후라이드</t>
  </si>
  <si>
    <t>예금결산이자</t>
  </si>
  <si>
    <t>GS25세종캐슬</t>
  </si>
  <si>
    <t>SKB6522025232</t>
  </si>
  <si>
    <t>DB손12903</t>
  </si>
  <si>
    <t>4회-천세원</t>
  </si>
  <si>
    <t>천세원청약84</t>
  </si>
  <si>
    <t>삼성히어링</t>
  </si>
  <si>
    <t>80350300100418  , 2회차</t>
  </si>
  <si>
    <t>하*헌</t>
  </si>
  <si>
    <t>롯데카드2503</t>
  </si>
  <si>
    <t>테크런 대전점</t>
  </si>
  <si>
    <t>센스프레임</t>
  </si>
  <si>
    <t>현대카드</t>
  </si>
  <si>
    <t>현대자동차 블루핸즈 세종서부점</t>
  </si>
  <si>
    <t>비즈플레이</t>
  </si>
  <si>
    <t>카페하노이</t>
  </si>
  <si>
    <t>롯데슈퍼세종캐슬점</t>
  </si>
  <si>
    <t>감성먹거리</t>
  </si>
  <si>
    <t>다이소아성산업</t>
  </si>
  <si>
    <t>복도리카페</t>
  </si>
  <si>
    <t>Steam Purchase</t>
  </si>
  <si>
    <t>*****</t>
  </si>
  <si>
    <t>결산이자</t>
  </si>
  <si>
    <t>출금 내역</t>
  </si>
  <si>
    <t>세종중앙농협새뜸지점</t>
  </si>
  <si>
    <t>롯데리아세종새롬점</t>
  </si>
  <si>
    <t>송기원진주냉면 세종부강점</t>
  </si>
  <si>
    <t>통장 개설</t>
  </si>
  <si>
    <t>모로칸오일 공식스토어</t>
  </si>
  <si>
    <t>코스트코코리아</t>
  </si>
  <si>
    <t>차이니스루</t>
  </si>
  <si>
    <t>곽*경</t>
  </si>
  <si>
    <t>천*원</t>
  </si>
  <si>
    <t>동방에프앤비부강옥세종지점</t>
  </si>
  <si>
    <t>행복주유소</t>
  </si>
  <si>
    <t>3월 사내의료비</t>
  </si>
  <si>
    <t>국민하유진_생활비</t>
  </si>
  <si>
    <t>롯데월드어드벤처부산</t>
  </si>
  <si>
    <t>한국전자금융</t>
  </si>
  <si>
    <t>주식회사 티머니</t>
  </si>
  <si>
    <t>쿠팡 주식회사</t>
  </si>
  <si>
    <t>용포호랑이 칼국수</t>
  </si>
  <si>
    <t>군산조개천국</t>
  </si>
  <si>
    <t>DB손13004</t>
  </si>
  <si>
    <t>노브랜드버거  세종새롬점</t>
  </si>
  <si>
    <t>서해영</t>
  </si>
  <si>
    <t>정훈카전문정비</t>
  </si>
  <si>
    <t>엔에이치엔케이씨피 주식회사</t>
  </si>
  <si>
    <t>5회-천세원</t>
  </si>
  <si>
    <t>농협권영진</t>
  </si>
  <si>
    <t>천세원청약85</t>
  </si>
  <si>
    <t>복도리 카페</t>
  </si>
  <si>
    <t>80350300100418  , 3회차</t>
  </si>
  <si>
    <t>ALIPAY CONNECT PTE. LTD</t>
  </si>
  <si>
    <t>롯데카드2504</t>
  </si>
  <si>
    <t>캡스톤 공식몰</t>
  </si>
  <si>
    <t>온누리충전</t>
  </si>
  <si>
    <t>김국자</t>
  </si>
  <si>
    <t>주식회사 카카오스타일</t>
  </si>
  <si>
    <t>마이리얼트립</t>
  </si>
  <si>
    <t>주식회사케이엠디에</t>
  </si>
  <si>
    <t>구주나성</t>
  </si>
  <si>
    <t>박가네돼지국밥</t>
  </si>
  <si>
    <t>명작자동차공업사</t>
  </si>
  <si>
    <t>피앙세포토</t>
  </si>
  <si>
    <t>GS THE FRESH 세종가온마을점</t>
  </si>
  <si>
    <t>쿠프마케팅</t>
  </si>
  <si>
    <t>일본직구 엔핍</t>
  </si>
  <si>
    <t>정두영</t>
  </si>
  <si>
    <t>곽진경</t>
  </si>
  <si>
    <t>61610304323291  , 2회차</t>
  </si>
  <si>
    <t>노브랜드세종나성점</t>
  </si>
  <si>
    <t>롯데프레시세종나성점</t>
  </si>
  <si>
    <t>도블레</t>
  </si>
  <si>
    <t>돌솥순두부</t>
  </si>
  <si>
    <t>좋은느낌 스토어</t>
  </si>
  <si>
    <t>(의재)인화재단</t>
  </si>
  <si>
    <t>마이신한포인트</t>
  </si>
  <si>
    <t>(주)베이콜로지</t>
  </si>
  <si>
    <t>(주)커피빈코리</t>
  </si>
  <si>
    <t>티웨이항공(마이리얼트립)</t>
  </si>
  <si>
    <t>(주) 제주항공</t>
  </si>
  <si>
    <t>(주)제주항공</t>
  </si>
  <si>
    <t>교통-버스2건</t>
  </si>
  <si>
    <t>연와종</t>
  </si>
  <si>
    <t>코오롱글로벌(주)스</t>
  </si>
  <si>
    <t>카카오페이</t>
  </si>
  <si>
    <t>인생아구찜 세종</t>
  </si>
  <si>
    <t>DB손해보험(주</t>
  </si>
  <si>
    <t>티머니GO</t>
  </si>
  <si>
    <t>DB손13105</t>
  </si>
  <si>
    <t>국시트멍</t>
  </si>
  <si>
    <t>중문회어시장</t>
  </si>
  <si>
    <t>지에스 25 중</t>
  </si>
  <si>
    <t>노란열매농업회사</t>
  </si>
  <si>
    <t>고깃집돈누리</t>
  </si>
  <si>
    <t>6회-천세원</t>
  </si>
  <si>
    <t>천세원청약86</t>
  </si>
  <si>
    <t>80350300100418  , 4회차</t>
  </si>
  <si>
    <t>모밀엔카츠</t>
  </si>
  <si>
    <t>인화재단한국병원</t>
  </si>
  <si>
    <t>아이디헤어 세종나성점</t>
  </si>
  <si>
    <t>당근페이</t>
  </si>
  <si>
    <t>카카오326</t>
  </si>
  <si>
    <t>대한항공_온라인</t>
  </si>
  <si>
    <t>말리오션스파펜션</t>
  </si>
  <si>
    <t>월급쟁이부자들</t>
  </si>
  <si>
    <t>세종로주유소</t>
  </si>
  <si>
    <t>김훈</t>
  </si>
  <si>
    <t>소원하나로마트</t>
  </si>
  <si>
    <t>GS25태안만리포점</t>
  </si>
  <si>
    <t>씨유태안만리포점</t>
  </si>
  <si>
    <t>적립 내역</t>
  </si>
  <si>
    <t>박*현</t>
  </si>
  <si>
    <t>김*진</t>
  </si>
  <si>
    <t>십일번가 주식회사</t>
  </si>
  <si>
    <t>모슬여휘</t>
  </si>
  <si>
    <t>차수정</t>
  </si>
  <si>
    <t>주차장_나이스</t>
  </si>
  <si>
    <t>사업수입</t>
  </si>
  <si>
    <t>삼성카드</t>
  </si>
  <si>
    <t>이마트세종점</t>
  </si>
  <si>
    <t>주식회사 여기어때컴퍼니</t>
  </si>
  <si>
    <t>황남빵</t>
  </si>
  <si>
    <t>신지몰스토어</t>
  </si>
  <si>
    <t>김경희</t>
  </si>
  <si>
    <t>카카오454</t>
  </si>
  <si>
    <t>61610304323291  , 3회차</t>
  </si>
  <si>
    <t>카카오356</t>
  </si>
  <si>
    <t>Alipay Plus</t>
  </si>
  <si>
    <t>피제리아무로</t>
  </si>
  <si>
    <t>카카오533</t>
  </si>
  <si>
    <t>카카오350</t>
  </si>
  <si>
    <t>김*화</t>
  </si>
  <si>
    <t>이*원</t>
  </si>
  <si>
    <t>서울삼성이비인후과의원</t>
  </si>
  <si>
    <t>세종다온약국</t>
  </si>
  <si>
    <t>유쎈아이디</t>
  </si>
  <si>
    <t>체크535</t>
  </si>
  <si>
    <t>여민전__체크</t>
  </si>
  <si>
    <t>농업회사법인주식</t>
  </si>
  <si>
    <t>토스페이먼츠 주식회사</t>
  </si>
  <si>
    <t>금용 중화요리</t>
  </si>
  <si>
    <t>롯데슈퍼 세종캐</t>
  </si>
  <si>
    <t>지에스25 세종</t>
  </si>
  <si>
    <t>폴 바셋 파미에</t>
  </si>
  <si>
    <t>이마트24 서울</t>
  </si>
  <si>
    <t>포토 그레이(나</t>
  </si>
  <si>
    <t>교통-버스3건</t>
  </si>
  <si>
    <t>교통-지하철6건</t>
  </si>
  <si>
    <t>해피데이 파자마</t>
  </si>
  <si>
    <t>곤드레말(주)</t>
  </si>
  <si>
    <t>티머니 전국시외버스</t>
  </si>
  <si>
    <t>씨제이올리브영(</t>
  </si>
  <si>
    <t>롯데쇼핑(주)아</t>
  </si>
  <si>
    <t>장원갑칼국수 세종본점</t>
  </si>
  <si>
    <t>맛찬들왕소금구이 세종새롬점</t>
  </si>
  <si>
    <t>덴까이</t>
  </si>
  <si>
    <t>뚜레쥬르마두점</t>
  </si>
  <si>
    <t>주식회사 무신사페이먼츠</t>
  </si>
  <si>
    <t>DB손13206</t>
  </si>
  <si>
    <t>이케아코리아</t>
  </si>
  <si>
    <t>누비홈</t>
  </si>
  <si>
    <t>주식회사 무신사</t>
  </si>
  <si>
    <t>NHNKCP</t>
  </si>
  <si>
    <t>우리카드캐시백</t>
  </si>
  <si>
    <t>티머니 지하철</t>
  </si>
  <si>
    <t>필터포유공식몰</t>
  </si>
  <si>
    <t>유람</t>
  </si>
  <si>
    <t>땅스부대찌개새롬점</t>
  </si>
  <si>
    <t>고속버스 티머니</t>
  </si>
  <si>
    <t>딤딤섬센트럴시티점</t>
  </si>
  <si>
    <t>Agoda</t>
  </si>
  <si>
    <t>하봉수</t>
  </si>
  <si>
    <t>순한양꼬치</t>
  </si>
  <si>
    <t>트립일레븐</t>
  </si>
  <si>
    <t>카페24</t>
  </si>
  <si>
    <t>박지현</t>
  </si>
  <si>
    <t>롯데쇼핑아울렛청주점</t>
  </si>
  <si>
    <t>김경희이자</t>
  </si>
  <si>
    <t>민팃</t>
  </si>
  <si>
    <t>메가엠지씨커피세종첫마을점</t>
  </si>
  <si>
    <t>신세계인터넷면세점</t>
  </si>
  <si>
    <t>SK네트웍스워커힐인천공항</t>
  </si>
  <si>
    <t>61610304323291  , 4회차</t>
  </si>
  <si>
    <t>GS25세종캐슬점</t>
  </si>
  <si>
    <t>경기시내버스</t>
  </si>
  <si>
    <t>경기마을</t>
  </si>
  <si>
    <t>티머니지하철</t>
  </si>
  <si>
    <t>화해</t>
  </si>
  <si>
    <t>(주)아성다이소</t>
  </si>
  <si>
    <t>(주)동방에프앤비 부강옥(세종지점</t>
  </si>
  <si>
    <t>(주)아워홈 콘</t>
  </si>
  <si>
    <t>주식회사 베스트</t>
  </si>
  <si>
    <t>aladdin 코인노래</t>
  </si>
  <si>
    <t>포담</t>
  </si>
  <si>
    <t>굿윌스토어 밀알</t>
  </si>
  <si>
    <t>쿠팡(쿠페이)</t>
  </si>
  <si>
    <t>리틀스토리</t>
  </si>
  <si>
    <t>633업비트</t>
  </si>
  <si>
    <t>코지하우스 세종점</t>
  </si>
  <si>
    <t>서초김밥</t>
  </si>
  <si>
    <t>보경주유소</t>
  </si>
  <si>
    <t>장*윤</t>
  </si>
  <si>
    <t>제주맥주 양조장</t>
  </si>
  <si>
    <t>세종이안과의원</t>
  </si>
  <si>
    <t>새롬정약국</t>
  </si>
  <si>
    <t>맛KET세종새롬점</t>
  </si>
  <si>
    <t>카카오T일반택시_</t>
  </si>
  <si>
    <t>GS25세종하늘채점</t>
  </si>
  <si>
    <t>DB손13307</t>
  </si>
  <si>
    <t>카페녹녹</t>
  </si>
  <si>
    <t>마담아네뜨풀빌라</t>
  </si>
  <si>
    <t>필립스</t>
  </si>
  <si>
    <t>롯데카드2507</t>
  </si>
  <si>
    <t>신대구막창 나성점</t>
  </si>
  <si>
    <t>호텔 시크릿몰</t>
  </si>
  <si>
    <t>네이버페이</t>
  </si>
  <si>
    <t>김다송</t>
  </si>
  <si>
    <t>김경희하봉수 축하해</t>
  </si>
  <si>
    <t>자매푸드</t>
  </si>
  <si>
    <t>초로초로</t>
  </si>
  <si>
    <t>알라딘코인노래연습장</t>
  </si>
  <si>
    <t>AGE20S 에이지투웨니스</t>
  </si>
  <si>
    <t>동영</t>
  </si>
  <si>
    <t>굿윌스토어밀알전주점</t>
  </si>
  <si>
    <t>변산농협격포하나로마트</t>
  </si>
  <si>
    <t>이재훈</t>
  </si>
  <si>
    <t>박수혁</t>
  </si>
  <si>
    <t>포토이즘박스세종나성점</t>
  </si>
  <si>
    <t>야키(yaki)</t>
  </si>
  <si>
    <t>김*형</t>
  </si>
  <si>
    <t>STEAMGAMES.COM 4259522985</t>
  </si>
  <si>
    <t>현대식자재</t>
  </si>
  <si>
    <t>서원축산</t>
  </si>
  <si>
    <t>피지오겔 공식몰</t>
  </si>
  <si>
    <t>복누룽지삼계탕</t>
  </si>
  <si>
    <t>베베데코</t>
  </si>
  <si>
    <t>초목한의원</t>
  </si>
  <si>
    <t>도시시월</t>
  </si>
  <si>
    <t xml:space="preserve"> </t>
  </si>
  <si>
    <t>기타수입</t>
  </si>
  <si>
    <t>해인유통(곰 먹이)</t>
  </si>
  <si>
    <t>메타</t>
  </si>
  <si>
    <t>JPMorgan S&amp;P 500 커버드콜 월배당 ETF</t>
  </si>
  <si>
    <t>하이트진로</t>
  </si>
  <si>
    <t>Schwab 미국 배당주 ETF</t>
  </si>
  <si>
    <t>리비안</t>
  </si>
  <si>
    <t>카카오</t>
  </si>
  <si>
    <t>LG디스플레이</t>
  </si>
  <si>
    <t>현대로템</t>
  </si>
  <si>
    <t>삼성전자</t>
  </si>
  <si>
    <t>현대글로비스</t>
  </si>
  <si>
    <t>젬백스</t>
  </si>
  <si>
    <t>SK이노베이션</t>
  </si>
  <si>
    <t>현대차</t>
  </si>
  <si>
    <t>대한항공</t>
  </si>
  <si>
    <t>이노션</t>
  </si>
  <si>
    <t>HMM</t>
  </si>
  <si>
    <t>대덕</t>
  </si>
  <si>
    <t>TIGER 미국배당다우존스</t>
  </si>
  <si>
    <t>TIGER 미국나스닥100</t>
  </si>
  <si>
    <t>우리금융지주</t>
  </si>
  <si>
    <t>포스코DX</t>
  </si>
  <si>
    <t>ISA(중개형)</t>
  </si>
  <si>
    <t>MYW통장(미지정)</t>
  </si>
  <si>
    <t>QV종합매매</t>
  </si>
  <si>
    <t>위탁종합</t>
  </si>
  <si>
    <t>D:\git\csw\account_book\지출내역\세원_2025-07-10~2026-07-10.xlsx</t>
    <phoneticPr fontId="1" type="noConversion"/>
  </si>
  <si>
    <t>CM개인용</t>
  </si>
  <si>
    <t>넷플릭스</t>
  </si>
  <si>
    <t>SPDR Gold MiniShares ETF</t>
  </si>
  <si>
    <t>포티넷</t>
  </si>
  <si>
    <t>크라우드 스트라이크 홀딩스</t>
  </si>
  <si>
    <t>코카콜라</t>
  </si>
  <si>
    <t>기본계좌</t>
  </si>
  <si>
    <t>메가엠지씨커피 제주하귀농협하나로점</t>
  </si>
  <si>
    <t>한림수산업협동조</t>
  </si>
  <si>
    <t>GS25다인리조</t>
  </si>
  <si>
    <t>카카오T택시_가승인</t>
  </si>
  <si>
    <t>카카오T일반택시(법인)_3</t>
  </si>
  <si>
    <t>청미관</t>
  </si>
  <si>
    <t>카카오T일반택시_0</t>
  </si>
  <si>
    <t>교통-버스1건</t>
  </si>
  <si>
    <t>땡겨요(여민전)_신한은행</t>
  </si>
  <si>
    <t>새봄헤어</t>
  </si>
  <si>
    <t>4186 신한카드</t>
  </si>
  <si>
    <t>화진화장품</t>
  </si>
  <si>
    <t>원조강경토굴젓갈</t>
  </si>
  <si>
    <t>감푸디 일화당</t>
  </si>
  <si>
    <t>대보유통(주)화성(상)주유소</t>
  </si>
  <si>
    <t>카카오787</t>
  </si>
  <si>
    <t>카카오125</t>
  </si>
  <si>
    <t>카카오889</t>
  </si>
  <si>
    <t>농협이맹순</t>
  </si>
  <si>
    <t>우리카드선결제</t>
  </si>
  <si>
    <t>땡겨요(구)_신한은행</t>
  </si>
  <si>
    <t>한국교통안전공단 세종자동차검사소</t>
  </si>
  <si>
    <t>DB손13408</t>
  </si>
  <si>
    <t>서울세외천세원</t>
  </si>
  <si>
    <t>트래블월렛환불</t>
  </si>
  <si>
    <t>TW567</t>
  </si>
  <si>
    <t>9회-천세원</t>
  </si>
  <si>
    <t>신한카드캐시백</t>
  </si>
  <si>
    <t>천세원청약89</t>
  </si>
  <si>
    <t>80350300100418  , 7회차</t>
  </si>
  <si>
    <t>우리카드연회비</t>
  </si>
  <si>
    <t>동동칼국수</t>
  </si>
  <si>
    <t>D:\git\csw\account_book\지출내역\유진_2024-07-21~2025-07-21.xlsx</t>
    <phoneticPr fontId="1" type="noConversion"/>
  </si>
  <si>
    <t>092U335103393</t>
  </si>
  <si>
    <t>세종수선</t>
  </si>
  <si>
    <t>지코바숯불양념치킨새롬점</t>
  </si>
  <si>
    <t>신한카드_충전</t>
  </si>
  <si>
    <t>세종스마일꽈배기</t>
  </si>
  <si>
    <t>DB손13509</t>
  </si>
  <si>
    <t>ABLY</t>
  </si>
  <si>
    <t>10회-천세원</t>
  </si>
  <si>
    <t>천세원청약90</t>
  </si>
  <si>
    <t>80350300100418  , 8회차</t>
  </si>
  <si>
    <t>농협정두영</t>
  </si>
  <si>
    <t>주식회사 놀유니버스 레저</t>
  </si>
  <si>
    <t>천*지</t>
  </si>
  <si>
    <t>천*용</t>
  </si>
  <si>
    <t>출국납부금환급</t>
  </si>
  <si>
    <t>네이버7053</t>
  </si>
  <si>
    <t>(주)마켓세종</t>
  </si>
  <si>
    <t>주식회사 에스알</t>
  </si>
  <si>
    <t>DB손13610</t>
  </si>
  <si>
    <t>급여 아우모비오</t>
  </si>
  <si>
    <t>천세원청약91</t>
  </si>
  <si>
    <t>11회-천세원</t>
  </si>
  <si>
    <t>80350300100418  , 9회차</t>
  </si>
  <si>
    <t>국민하유진_생일선물</t>
  </si>
  <si>
    <t>마드모아젤</t>
  </si>
  <si>
    <t>메가커피세종새롬점</t>
  </si>
  <si>
    <t>이*석</t>
  </si>
  <si>
    <t>금고송은자</t>
  </si>
  <si>
    <t>DB손13711</t>
  </si>
  <si>
    <t>베트남쌀국수 퍼짱</t>
  </si>
  <si>
    <t>12회-천세원</t>
  </si>
  <si>
    <t>브라더꽈배기 새롬점</t>
  </si>
  <si>
    <t>천세원청약92</t>
  </si>
  <si>
    <t>80350300100418  ,10회차</t>
  </si>
  <si>
    <t>미소야 새롬점</t>
  </si>
  <si>
    <t>망향휴게소(하)주</t>
  </si>
  <si>
    <t>복도리협동조합</t>
  </si>
  <si>
    <t>AUMOVIO EL</t>
  </si>
  <si>
    <t>LH천세원</t>
  </si>
  <si>
    <t>DB손13812</t>
  </si>
  <si>
    <t>기업주식회사 제이와</t>
  </si>
  <si>
    <t>대출금입금</t>
  </si>
  <si>
    <t>80350300100418  ,11회차</t>
  </si>
  <si>
    <t>농협최임규(아라익스</t>
  </si>
  <si>
    <t>로반프린트카페나성</t>
  </si>
  <si>
    <t>하나주식회사우드스토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</si>
</sst>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₩&quot;#,##0;[Red]\-&quot;₩&quot;#,##0"/>
    <numFmt numFmtId="176" formatCode="&quot;₩&quot;#,##0"/>
    <numFmt numFmtId="177" formatCode="0_);[Red]\(0\)"/>
    <numFmt numFmtId="178" formatCode="&quot;₩&quot;#,##0_);[Red]\(&quot;₩&quot;#,##0\)"/>
    <numFmt numFmtId="179" formatCode="&quot;₩&quot;#,##0_);\(&quot;₩&quot;#,##0\)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rgb="FF3F3F76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5"/>
      <color theme="0"/>
      <name val="맑은 고딕"/>
      <family val="3"/>
      <charset val="129"/>
      <scheme val="minor"/>
    </font>
    <font>
      <sz val="15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3DAF7"/>
        <bgColor indexed="64"/>
      </patternFill>
    </fill>
    <fill>
      <patternFill patternType="solid">
        <fgColor rgb="FF7BD2F5"/>
        <bgColor indexed="64"/>
      </patternFill>
    </fill>
    <fill>
      <patternFill patternType="solid">
        <fgColor rgb="FF67CBF3"/>
        <bgColor indexed="64"/>
      </patternFill>
    </fill>
    <fill>
      <patternFill patternType="solid">
        <fgColor rgb="FF58C6F2"/>
        <bgColor indexed="64"/>
      </patternFill>
    </fill>
    <fill>
      <patternFill patternType="solid">
        <fgColor rgb="FF46BFF0"/>
        <bgColor indexed="64"/>
      </patternFill>
    </fill>
    <fill>
      <patternFill patternType="solid">
        <fgColor rgb="FF35BAEF"/>
        <bgColor indexed="64"/>
      </patternFill>
    </fill>
    <fill>
      <patternFill patternType="solid">
        <fgColor rgb="FF22B4EE"/>
        <bgColor indexed="64"/>
      </patternFill>
    </fill>
    <fill>
      <patternFill patternType="solid">
        <fgColor rgb="FFF2CEEF"/>
        <bgColor indexed="64"/>
      </patternFill>
    </fill>
    <fill>
      <patternFill patternType="solid">
        <fgColor rgb="FFE9ADE3"/>
        <bgColor indexed="64"/>
      </patternFill>
    </fill>
    <fill>
      <patternFill patternType="solid">
        <fgColor rgb="FFDF89D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12AFEE"/>
        <bgColor indexed="64"/>
      </patternFill>
    </fill>
    <fill>
      <patternFill patternType="solid">
        <fgColor rgb="FFB531A5"/>
        <bgColor indexed="64"/>
      </patternFill>
    </fill>
    <fill>
      <patternFill patternType="solid">
        <fgColor theme="4" tint="0.79998168889431442"/>
        <bgColor indexed="65"/>
      </patternFill>
    </fill>
    <fill>
      <gradientFill degree="180">
        <stop position="0">
          <color theme="1" tint="0.49803155613879818"/>
        </stop>
        <stop position="1">
          <color theme="1"/>
        </stop>
      </gradientFill>
    </fill>
    <fill>
      <patternFill patternType="solid">
        <fgColor rgb="FFDEBFF7"/>
        <bgColor indexed="64"/>
      </patternFill>
    </fill>
    <fill>
      <patternFill patternType="solid">
        <fgColor rgb="FFF8BEE7"/>
        <bgColor indexed="64"/>
      </patternFill>
    </fill>
    <fill>
      <patternFill patternType="solid">
        <fgColor rgb="FF63A8F3"/>
        <bgColor indexed="64"/>
      </patternFill>
    </fill>
    <fill>
      <patternFill patternType="solid">
        <fgColor rgb="FFD76BCA"/>
        <bgColor indexed="64"/>
      </patternFill>
    </fill>
    <fill>
      <patternFill patternType="solid">
        <fgColor rgb="FF3DADDF"/>
        <bgColor indexed="64"/>
      </patternFill>
    </fill>
    <fill>
      <patternFill patternType="solid">
        <fgColor rgb="FFD0D0D0"/>
        <bgColor indexed="64"/>
      </patternFill>
    </fill>
    <fill>
      <patternFill patternType="solid">
        <fgColor theme="2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theme="7"/>
      </bottom>
      <diagonal/>
    </border>
    <border>
      <left/>
      <right/>
      <top/>
      <bottom style="thick">
        <color theme="7" tint="0.39997558519241921"/>
      </bottom>
      <diagonal/>
    </border>
    <border>
      <left/>
      <right/>
      <top/>
      <bottom style="thick">
        <color theme="7" tint="0.79998168889431442"/>
      </bottom>
      <diagonal/>
    </border>
    <border>
      <left/>
      <right style="thin">
        <color indexed="64"/>
      </right>
      <top/>
      <bottom style="thick">
        <color theme="7"/>
      </bottom>
      <diagonal/>
    </border>
    <border>
      <left style="thin">
        <color indexed="64"/>
      </left>
      <right/>
      <top style="thick">
        <color theme="7"/>
      </top>
      <bottom/>
      <diagonal/>
    </border>
    <border>
      <left style="thin">
        <color indexed="64"/>
      </left>
      <right/>
      <top/>
      <bottom style="thick">
        <color theme="7" tint="0.39997558519241921"/>
      </bottom>
      <diagonal/>
    </border>
    <border>
      <left/>
      <right style="thin">
        <color indexed="64"/>
      </right>
      <top/>
      <bottom style="thick">
        <color theme="7" tint="0.39997558519241921"/>
      </bottom>
      <diagonal/>
    </border>
    <border>
      <left style="thin">
        <color indexed="64"/>
      </left>
      <right/>
      <top/>
      <bottom style="thick">
        <color theme="7" tint="0.79998168889431442"/>
      </bottom>
      <diagonal/>
    </border>
    <border>
      <left/>
      <right style="thin">
        <color indexed="64"/>
      </right>
      <top/>
      <bottom style="thick">
        <color theme="7" tint="0.79998168889431442"/>
      </bottom>
      <diagonal/>
    </border>
    <border>
      <left/>
      <right/>
      <top style="thick">
        <color theme="7" tint="0.39997558519241921"/>
      </top>
      <bottom/>
      <diagonal/>
    </border>
    <border>
      <left/>
      <right/>
      <top style="thick">
        <color theme="7"/>
      </top>
      <bottom/>
      <diagonal/>
    </border>
    <border>
      <left/>
      <right/>
      <top style="thick">
        <color theme="7" tint="0.79998168889431442"/>
      </top>
      <bottom/>
      <diagonal/>
    </border>
  </borders>
  <cellStyleXfs count="9">
    <xf numFmtId="0" fontId="0" fillId="0" borderId="0">
      <alignment vertical="center"/>
    </xf>
    <xf numFmtId="0" fontId="3" fillId="0" borderId="1" applyNumberFormat="0" applyFill="0" applyAlignment="0" applyProtection="0">
      <alignment vertical="center"/>
    </xf>
    <xf numFmtId="0" fontId="4" fillId="2" borderId="2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</cellStyleXfs>
  <cellXfs count="185">
    <xf numFmtId="0" fontId="0" fillId="0" borderId="0" xfId="0">
      <alignment vertical="center"/>
    </xf>
    <xf numFmtId="0" fontId="6" fillId="2" borderId="3" xfId="2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10" xfId="0" applyBorder="1">
      <alignment vertical="center"/>
    </xf>
    <xf numFmtId="0" fontId="0" fillId="21" borderId="13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1" borderId="16" xfId="0" applyFill="1" applyBorder="1" applyAlignment="1">
      <alignment horizontal="center" vertical="center"/>
    </xf>
    <xf numFmtId="0" fontId="7" fillId="21" borderId="12" xfId="0" applyFont="1" applyFill="1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0" fontId="0" fillId="21" borderId="11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7" fillId="21" borderId="17" xfId="0" applyFont="1" applyFill="1" applyBorder="1" applyAlignment="1">
      <alignment horizontal="center" vertical="center"/>
    </xf>
    <xf numFmtId="0" fontId="0" fillId="0" borderId="15" xfId="0" applyBorder="1">
      <alignment vertical="center"/>
    </xf>
    <xf numFmtId="0" fontId="0" fillId="0" borderId="10" xfId="0" applyBorder="1" applyAlignment="1">
      <alignment horizontal="center" vertical="center"/>
    </xf>
    <xf numFmtId="0" fontId="0" fillId="0" borderId="16" xfId="0" applyBorder="1">
      <alignment vertical="center"/>
    </xf>
    <xf numFmtId="0" fontId="0" fillId="0" borderId="19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76" fontId="0" fillId="0" borderId="5" xfId="0" applyNumberFormat="1" applyBorder="1" applyAlignment="1">
      <alignment horizontal="left" vertical="center"/>
    </xf>
    <xf numFmtId="176" fontId="0" fillId="0" borderId="12" xfId="0" applyNumberFormat="1" applyBorder="1" applyAlignment="1">
      <alignment horizontal="left" vertical="center"/>
    </xf>
    <xf numFmtId="0" fontId="7" fillId="21" borderId="19" xfId="0" applyFont="1" applyFill="1" applyBorder="1" applyAlignment="1">
      <alignment horizontal="center" vertical="center"/>
    </xf>
    <xf numFmtId="176" fontId="0" fillId="0" borderId="6" xfId="0" applyNumberFormat="1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27" xfId="0" applyBorder="1">
      <alignment vertical="center"/>
    </xf>
    <xf numFmtId="0" fontId="7" fillId="0" borderId="20" xfId="0" applyFont="1" applyBorder="1" applyAlignment="1">
      <alignment horizontal="center" vertical="center"/>
    </xf>
    <xf numFmtId="176" fontId="0" fillId="0" borderId="15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176" fontId="0" fillId="0" borderId="16" xfId="0" applyNumberFormat="1" applyBorder="1" applyAlignment="1">
      <alignment horizontal="center" vertical="center"/>
    </xf>
    <xf numFmtId="176" fontId="0" fillId="0" borderId="11" xfId="0" applyNumberFormat="1" applyBorder="1" applyAlignment="1">
      <alignment horizontal="center" vertical="center"/>
    </xf>
    <xf numFmtId="0" fontId="0" fillId="0" borderId="7" xfId="0" applyBorder="1">
      <alignment vertical="center"/>
    </xf>
    <xf numFmtId="0" fontId="0" fillId="0" borderId="9" xfId="0" applyBorder="1">
      <alignment vertical="center"/>
    </xf>
    <xf numFmtId="0" fontId="7" fillId="0" borderId="26" xfId="0" applyFont="1" applyBorder="1" applyAlignment="1">
      <alignment horizontal="center" vertical="center"/>
    </xf>
    <xf numFmtId="0" fontId="0" fillId="0" borderId="8" xfId="0" applyBorder="1">
      <alignment vertical="center"/>
    </xf>
    <xf numFmtId="176" fontId="0" fillId="0" borderId="25" xfId="0" applyNumberFormat="1" applyBorder="1" applyAlignment="1">
      <alignment horizontal="left" vertical="center"/>
    </xf>
    <xf numFmtId="176" fontId="0" fillId="0" borderId="24" xfId="0" applyNumberFormat="1" applyBorder="1" applyAlignment="1">
      <alignment horizontal="left" vertical="center"/>
    </xf>
    <xf numFmtId="176" fontId="0" fillId="0" borderId="18" xfId="0" applyNumberFormat="1" applyBorder="1" applyAlignment="1">
      <alignment horizontal="left" vertical="center"/>
    </xf>
    <xf numFmtId="177" fontId="0" fillId="0" borderId="0" xfId="0" applyNumberFormat="1" applyAlignment="1">
      <alignment horizontal="center" vertical="center"/>
    </xf>
    <xf numFmtId="176" fontId="0" fillId="0" borderId="14" xfId="0" applyNumberFormat="1" applyBorder="1" applyAlignment="1">
      <alignment horizontal="center" vertical="center"/>
    </xf>
    <xf numFmtId="0" fontId="8" fillId="30" borderId="13" xfId="0" applyFont="1" applyFill="1" applyBorder="1" applyAlignment="1">
      <alignment horizontal="center" vertical="center"/>
    </xf>
    <xf numFmtId="0" fontId="8" fillId="29" borderId="11" xfId="0" applyFont="1" applyFill="1" applyBorder="1" applyAlignment="1">
      <alignment horizontal="center" vertical="center"/>
    </xf>
    <xf numFmtId="6" fontId="0" fillId="0" borderId="0" xfId="0" applyNumberFormat="1">
      <alignment vertical="center"/>
    </xf>
    <xf numFmtId="0" fontId="0" fillId="31" borderId="16" xfId="0" applyFill="1" applyBorder="1" applyAlignment="1">
      <alignment horizontal="center" vertical="center"/>
    </xf>
    <xf numFmtId="0" fontId="7" fillId="31" borderId="12" xfId="0" applyFont="1" applyFill="1" applyBorder="1" applyAlignment="1">
      <alignment horizontal="center" vertical="center"/>
    </xf>
    <xf numFmtId="0" fontId="7" fillId="31" borderId="4" xfId="0" applyFont="1" applyFill="1" applyBorder="1" applyAlignment="1">
      <alignment horizontal="center" vertical="center"/>
    </xf>
    <xf numFmtId="0" fontId="7" fillId="31" borderId="6" xfId="0" applyFont="1" applyFill="1" applyBorder="1" applyAlignment="1">
      <alignment horizontal="center" vertical="center"/>
    </xf>
    <xf numFmtId="0" fontId="7" fillId="31" borderId="13" xfId="0" applyFont="1" applyFill="1" applyBorder="1" applyAlignment="1">
      <alignment horizontal="center" vertical="center"/>
    </xf>
    <xf numFmtId="0" fontId="7" fillId="31" borderId="16" xfId="0" applyFont="1" applyFill="1" applyBorder="1" applyAlignment="1">
      <alignment horizontal="center" vertical="center"/>
    </xf>
    <xf numFmtId="0" fontId="7" fillId="31" borderId="11" xfId="0" applyFont="1" applyFill="1" applyBorder="1" applyAlignment="1">
      <alignment horizontal="center" vertical="center"/>
    </xf>
    <xf numFmtId="176" fontId="0" fillId="0" borderId="0" xfId="0" applyNumberFormat="1">
      <alignment vertical="center"/>
    </xf>
    <xf numFmtId="0" fontId="7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0" fillId="0" borderId="11" xfId="0" applyBorder="1">
      <alignment vertical="center"/>
    </xf>
    <xf numFmtId="0" fontId="7" fillId="31" borderId="27" xfId="0" applyFont="1" applyFill="1" applyBorder="1" applyAlignment="1">
      <alignment horizontal="center" vertical="center"/>
    </xf>
    <xf numFmtId="0" fontId="7" fillId="31" borderId="7" xfId="0" applyFont="1" applyFill="1" applyBorder="1" applyAlignment="1">
      <alignment horizontal="center" vertical="center"/>
    </xf>
    <xf numFmtId="178" fontId="0" fillId="0" borderId="16" xfId="0" applyNumberFormat="1" applyBorder="1" applyAlignment="1">
      <alignment horizontal="center" vertical="center"/>
    </xf>
    <xf numFmtId="178" fontId="0" fillId="0" borderId="11" xfId="0" applyNumberFormat="1" applyBorder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178" fontId="0" fillId="0" borderId="12" xfId="0" applyNumberFormat="1" applyBorder="1">
      <alignment vertical="center"/>
    </xf>
    <xf numFmtId="178" fontId="0" fillId="0" borderId="6" xfId="0" applyNumberFormat="1" applyBorder="1">
      <alignment vertical="center"/>
    </xf>
    <xf numFmtId="178" fontId="0" fillId="0" borderId="13" xfId="0" applyNumberFormat="1" applyBorder="1" applyAlignment="1">
      <alignment horizontal="center" vertical="center"/>
    </xf>
    <xf numFmtId="10" fontId="0" fillId="0" borderId="0" xfId="0" applyNumberFormat="1">
      <alignment vertical="center"/>
    </xf>
    <xf numFmtId="178" fontId="7" fillId="32" borderId="28" xfId="0" applyNumberFormat="1" applyFont="1" applyFill="1" applyBorder="1" applyAlignment="1">
      <alignment horizontal="center" vertical="center"/>
    </xf>
    <xf numFmtId="0" fontId="7" fillId="32" borderId="28" xfId="0" applyFont="1" applyFill="1" applyBorder="1" applyAlignment="1">
      <alignment horizontal="center" vertical="center"/>
    </xf>
    <xf numFmtId="176" fontId="7" fillId="32" borderId="29" xfId="0" applyNumberFormat="1" applyFont="1" applyFill="1" applyBorder="1" applyAlignment="1">
      <alignment horizontal="center" vertical="center"/>
    </xf>
    <xf numFmtId="176" fontId="7" fillId="32" borderId="30" xfId="0" applyNumberFormat="1" applyFont="1" applyFill="1" applyBorder="1" applyAlignment="1">
      <alignment horizontal="center" vertical="center"/>
    </xf>
    <xf numFmtId="0" fontId="7" fillId="32" borderId="29" xfId="0" applyFont="1" applyFill="1" applyBorder="1" applyAlignment="1">
      <alignment horizontal="center" vertical="center"/>
    </xf>
    <xf numFmtId="0" fontId="7" fillId="32" borderId="30" xfId="0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32" borderId="27" xfId="0" applyFont="1" applyFill="1" applyBorder="1" applyAlignment="1">
      <alignment horizontal="center" vertical="center"/>
    </xf>
    <xf numFmtId="0" fontId="7" fillId="0" borderId="32" xfId="0" applyFont="1" applyBorder="1" applyAlignment="1">
      <alignment horizontal="center" vertical="center"/>
    </xf>
    <xf numFmtId="0" fontId="7" fillId="32" borderId="33" xfId="0" applyFont="1" applyFill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7" fillId="32" borderId="35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176" fontId="7" fillId="32" borderId="28" xfId="0" applyNumberFormat="1" applyFont="1" applyFill="1" applyBorder="1" applyAlignment="1">
      <alignment horizontal="center" vertical="center"/>
    </xf>
    <xf numFmtId="0" fontId="11" fillId="0" borderId="38" xfId="0" applyFont="1" applyBorder="1" applyAlignment="1">
      <alignment horizontal="center" vertical="center"/>
    </xf>
    <xf numFmtId="0" fontId="11" fillId="0" borderId="37" xfId="0" applyFont="1" applyBorder="1" applyAlignment="1">
      <alignment horizontal="center" vertical="center"/>
    </xf>
    <xf numFmtId="0" fontId="11" fillId="0" borderId="39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0" fontId="7" fillId="32" borderId="31" xfId="0" applyNumberFormat="1" applyFont="1" applyFill="1" applyBorder="1" applyAlignment="1">
      <alignment horizontal="center" vertical="center"/>
    </xf>
    <xf numFmtId="10" fontId="7" fillId="32" borderId="34" xfId="0" applyNumberFormat="1" applyFont="1" applyFill="1" applyBorder="1" applyAlignment="1">
      <alignment horizontal="center" vertical="center"/>
    </xf>
    <xf numFmtId="10" fontId="7" fillId="32" borderId="36" xfId="0" applyNumberFormat="1" applyFont="1" applyFill="1" applyBorder="1" applyAlignment="1">
      <alignment horizontal="center" vertical="center"/>
    </xf>
    <xf numFmtId="10" fontId="0" fillId="0" borderId="15" xfId="0" applyNumberFormat="1" applyBorder="1" applyAlignment="1">
      <alignment horizontal="center" vertical="center"/>
    </xf>
    <xf numFmtId="10" fontId="0" fillId="0" borderId="9" xfId="0" applyNumberFormat="1" applyBorder="1" applyAlignment="1">
      <alignment horizontal="center" vertical="center"/>
    </xf>
    <xf numFmtId="178" fontId="0" fillId="0" borderId="0" xfId="0" applyNumberFormat="1">
      <alignment vertical="center"/>
    </xf>
    <xf numFmtId="178" fontId="7" fillId="32" borderId="31" xfId="0" applyNumberFormat="1" applyFont="1" applyFill="1" applyBorder="1" applyAlignment="1">
      <alignment horizontal="center" vertical="center"/>
    </xf>
    <xf numFmtId="178" fontId="7" fillId="32" borderId="34" xfId="0" applyNumberFormat="1" applyFont="1" applyFill="1" applyBorder="1" applyAlignment="1">
      <alignment horizontal="center" vertical="center"/>
    </xf>
    <xf numFmtId="176" fontId="7" fillId="32" borderId="36" xfId="0" applyNumberFormat="1" applyFont="1" applyFill="1" applyBorder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176" fontId="5" fillId="0" borderId="10" xfId="0" applyNumberFormat="1" applyFont="1" applyBorder="1" applyAlignment="1">
      <alignment horizontal="center" vertical="center"/>
    </xf>
    <xf numFmtId="0" fontId="0" fillId="21" borderId="17" xfId="0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" fillId="13" borderId="12" xfId="0" applyFont="1" applyFill="1" applyBorder="1" applyAlignment="1">
      <alignment horizontal="center" vertical="center"/>
    </xf>
    <xf numFmtId="178" fontId="7" fillId="0" borderId="0" xfId="0" applyNumberFormat="1" applyFont="1" applyAlignment="1">
      <alignment horizontal="right" vertical="center"/>
    </xf>
    <xf numFmtId="0" fontId="9" fillId="25" borderId="1" xfId="1" applyFont="1" applyFill="1" applyAlignment="1">
      <alignment horizontal="left" vertical="center"/>
    </xf>
    <xf numFmtId="0" fontId="8" fillId="22" borderId="7" xfId="4" applyFont="1" applyFill="1" applyBorder="1" applyAlignment="1">
      <alignment horizontal="center" vertical="center"/>
    </xf>
    <xf numFmtId="0" fontId="8" fillId="22" borderId="8" xfId="4" applyFont="1" applyFill="1" applyBorder="1" applyAlignment="1">
      <alignment horizontal="center" vertical="center"/>
    </xf>
    <xf numFmtId="0" fontId="8" fillId="22" borderId="9" xfId="4" applyFont="1" applyFill="1" applyBorder="1" applyAlignment="1">
      <alignment horizontal="center" vertical="center"/>
    </xf>
    <xf numFmtId="0" fontId="7" fillId="12" borderId="12" xfId="0" applyFont="1" applyFill="1" applyBorder="1" applyAlignment="1">
      <alignment horizontal="center" vertical="center"/>
    </xf>
    <xf numFmtId="0" fontId="8" fillId="23" borderId="11" xfId="6" applyFont="1" applyFill="1" applyBorder="1" applyAlignment="1">
      <alignment horizontal="center" vertical="center"/>
    </xf>
    <xf numFmtId="176" fontId="0" fillId="0" borderId="4" xfId="0" applyNumberFormat="1" applyBorder="1" applyAlignment="1">
      <alignment horizontal="left" vertical="center"/>
    </xf>
    <xf numFmtId="176" fontId="0" fillId="0" borderId="5" xfId="0" applyNumberFormat="1" applyBorder="1" applyAlignment="1">
      <alignment horizontal="left" vertical="center"/>
    </xf>
    <xf numFmtId="176" fontId="0" fillId="0" borderId="6" xfId="0" applyNumberFormat="1" applyBorder="1" applyAlignment="1">
      <alignment horizontal="left" vertical="center"/>
    </xf>
    <xf numFmtId="176" fontId="0" fillId="0" borderId="25" xfId="0" applyNumberFormat="1" applyBorder="1" applyAlignment="1">
      <alignment horizontal="left" vertical="center"/>
    </xf>
    <xf numFmtId="176" fontId="0" fillId="0" borderId="24" xfId="0" applyNumberFormat="1" applyBorder="1" applyAlignment="1">
      <alignment horizontal="left" vertical="center"/>
    </xf>
    <xf numFmtId="176" fontId="0" fillId="0" borderId="18" xfId="0" applyNumberFormat="1" applyBorder="1" applyAlignment="1">
      <alignment horizontal="left" vertical="center"/>
    </xf>
    <xf numFmtId="0" fontId="8" fillId="3" borderId="7" xfId="3" applyFont="1" applyBorder="1" applyAlignment="1">
      <alignment horizontal="center" vertical="center"/>
    </xf>
    <xf numFmtId="0" fontId="8" fillId="3" borderId="8" xfId="3" applyFont="1" applyBorder="1" applyAlignment="1">
      <alignment horizontal="center" vertical="center"/>
    </xf>
    <xf numFmtId="0" fontId="8" fillId="3" borderId="9" xfId="3" applyFont="1" applyBorder="1" applyAlignment="1">
      <alignment horizontal="center" vertical="center"/>
    </xf>
    <xf numFmtId="0" fontId="7" fillId="19" borderId="4" xfId="0" applyFont="1" applyFill="1" applyBorder="1" applyAlignment="1">
      <alignment horizontal="center" vertical="center"/>
    </xf>
    <xf numFmtId="0" fontId="7" fillId="19" borderId="6" xfId="0" applyFont="1" applyFill="1" applyBorder="1" applyAlignment="1">
      <alignment horizontal="center" vertical="center"/>
    </xf>
    <xf numFmtId="0" fontId="7" fillId="20" borderId="5" xfId="0" applyFont="1" applyFill="1" applyBorder="1" applyAlignment="1">
      <alignment horizontal="center" vertical="center"/>
    </xf>
    <xf numFmtId="0" fontId="7" fillId="20" borderId="6" xfId="0" applyFont="1" applyFill="1" applyBorder="1" applyAlignment="1">
      <alignment horizontal="center" vertical="center"/>
    </xf>
    <xf numFmtId="0" fontId="7" fillId="14" borderId="12" xfId="0" applyFont="1" applyFill="1" applyBorder="1" applyAlignment="1">
      <alignment horizontal="center" vertical="center"/>
    </xf>
    <xf numFmtId="0" fontId="7" fillId="15" borderId="12" xfId="0" applyFont="1" applyFill="1" applyBorder="1" applyAlignment="1">
      <alignment horizontal="center" vertical="center"/>
    </xf>
    <xf numFmtId="0" fontId="7" fillId="16" borderId="12" xfId="7" applyFont="1" applyFill="1" applyBorder="1" applyAlignment="1">
      <alignment horizontal="center" vertical="center"/>
    </xf>
    <xf numFmtId="0" fontId="7" fillId="17" borderId="12" xfId="0" applyFont="1" applyFill="1" applyBorder="1" applyAlignment="1">
      <alignment horizontal="center" vertical="center"/>
    </xf>
    <xf numFmtId="0" fontId="7" fillId="18" borderId="12" xfId="0" applyFont="1" applyFill="1" applyBorder="1" applyAlignment="1">
      <alignment horizontal="center" vertical="center"/>
    </xf>
    <xf numFmtId="0" fontId="7" fillId="8" borderId="4" xfId="5" applyFont="1" applyFill="1" applyBorder="1" applyAlignment="1">
      <alignment horizontal="center" vertical="center"/>
    </xf>
    <xf numFmtId="0" fontId="7" fillId="8" borderId="6" xfId="5" applyFont="1" applyFill="1" applyBorder="1" applyAlignment="1">
      <alignment horizontal="center" vertical="center"/>
    </xf>
    <xf numFmtId="0" fontId="7" fillId="9" borderId="12" xfId="5" applyFont="1" applyFill="1" applyBorder="1" applyAlignment="1">
      <alignment horizontal="center" vertical="center"/>
    </xf>
    <xf numFmtId="0" fontId="7" fillId="10" borderId="12" xfId="0" applyFont="1" applyFill="1" applyBorder="1" applyAlignment="1">
      <alignment horizontal="center" vertical="center"/>
    </xf>
    <xf numFmtId="0" fontId="7" fillId="11" borderId="12" xfId="0" applyFont="1" applyFill="1" applyBorder="1" applyAlignment="1">
      <alignment horizontal="center" vertical="center"/>
    </xf>
    <xf numFmtId="0" fontId="7" fillId="21" borderId="12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176" fontId="0" fillId="0" borderId="12" xfId="0" applyNumberFormat="1" applyBorder="1" applyAlignment="1">
      <alignment horizontal="center" vertical="center"/>
    </xf>
    <xf numFmtId="0" fontId="7" fillId="0" borderId="8" xfId="0" applyFont="1" applyBorder="1" applyAlignment="1">
      <alignment horizontal="left" vertical="center"/>
    </xf>
    <xf numFmtId="0" fontId="7" fillId="26" borderId="4" xfId="8" applyFont="1" applyFill="1" applyBorder="1" applyAlignment="1">
      <alignment horizontal="center" vertical="center"/>
    </xf>
    <xf numFmtId="0" fontId="7" fillId="26" borderId="6" xfId="8" applyFont="1" applyFill="1" applyBorder="1" applyAlignment="1">
      <alignment horizontal="center" vertical="center"/>
    </xf>
    <xf numFmtId="0" fontId="7" fillId="24" borderId="4" xfId="8" applyFont="1" applyBorder="1" applyAlignment="1">
      <alignment horizontal="center" vertical="center"/>
    </xf>
    <xf numFmtId="0" fontId="7" fillId="24" borderId="6" xfId="8" applyFont="1" applyBorder="1" applyAlignment="1">
      <alignment horizontal="center" vertical="center"/>
    </xf>
    <xf numFmtId="0" fontId="8" fillId="3" borderId="4" xfId="3" applyFont="1" applyBorder="1" applyAlignment="1">
      <alignment horizontal="center" vertical="center"/>
    </xf>
    <xf numFmtId="0" fontId="8" fillId="3" borderId="5" xfId="3" applyFont="1" applyBorder="1" applyAlignment="1">
      <alignment horizontal="center" vertical="center"/>
    </xf>
    <xf numFmtId="0" fontId="8" fillId="3" borderId="6" xfId="3" applyFont="1" applyBorder="1" applyAlignment="1">
      <alignment horizontal="center" vertical="center"/>
    </xf>
    <xf numFmtId="0" fontId="8" fillId="22" borderId="21" xfId="4" applyFont="1" applyFill="1" applyBorder="1" applyAlignment="1">
      <alignment horizontal="center" vertical="center"/>
    </xf>
    <xf numFmtId="0" fontId="8" fillId="22" borderId="22" xfId="4" applyFont="1" applyFill="1" applyBorder="1" applyAlignment="1">
      <alignment horizontal="center" vertical="center"/>
    </xf>
    <xf numFmtId="0" fontId="8" fillId="22" borderId="23" xfId="4" applyFont="1" applyFill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28" borderId="16" xfId="0" applyFont="1" applyFill="1" applyBorder="1" applyAlignment="1">
      <alignment horizontal="center" vertical="center"/>
    </xf>
    <xf numFmtId="0" fontId="7" fillId="28" borderId="11" xfId="0" applyFont="1" applyFill="1" applyBorder="1" applyAlignment="1">
      <alignment horizontal="center" vertical="center"/>
    </xf>
    <xf numFmtId="0" fontId="8" fillId="30" borderId="13" xfId="0" applyFont="1" applyFill="1" applyBorder="1" applyAlignment="1">
      <alignment horizontal="center" vertical="center"/>
    </xf>
    <xf numFmtId="0" fontId="8" fillId="30" borderId="16" xfId="0" applyFont="1" applyFill="1" applyBorder="1" applyAlignment="1">
      <alignment horizontal="center" vertical="center"/>
    </xf>
    <xf numFmtId="0" fontId="8" fillId="30" borderId="11" xfId="0" applyFont="1" applyFill="1" applyBorder="1" applyAlignment="1">
      <alignment horizontal="center" vertical="center"/>
    </xf>
    <xf numFmtId="0" fontId="8" fillId="29" borderId="16" xfId="0" applyFont="1" applyFill="1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176" fontId="11" fillId="0" borderId="4" xfId="0" applyNumberFormat="1" applyFont="1" applyBorder="1" applyAlignment="1">
      <alignment horizontal="center" vertical="center"/>
    </xf>
    <xf numFmtId="176" fontId="11" fillId="0" borderId="5" xfId="0" applyNumberFormat="1" applyFont="1" applyBorder="1" applyAlignment="1">
      <alignment horizontal="center" vertical="center"/>
    </xf>
    <xf numFmtId="176" fontId="11" fillId="0" borderId="6" xfId="0" applyNumberFormat="1" applyFont="1" applyBorder="1" applyAlignment="1">
      <alignment horizontal="center" vertical="center"/>
    </xf>
    <xf numFmtId="176" fontId="7" fillId="0" borderId="4" xfId="0" applyNumberFormat="1" applyFont="1" applyBorder="1" applyAlignment="1">
      <alignment horizontal="center" vertical="center"/>
    </xf>
    <xf numFmtId="176" fontId="7" fillId="0" borderId="5" xfId="0" applyNumberFormat="1" applyFont="1" applyBorder="1" applyAlignment="1">
      <alignment horizontal="center" vertical="center"/>
    </xf>
    <xf numFmtId="176" fontId="7" fillId="0" borderId="6" xfId="0" applyNumberFormat="1" applyFont="1" applyBorder="1" applyAlignment="1">
      <alignment horizontal="center" vertical="center"/>
    </xf>
    <xf numFmtId="0" fontId="7" fillId="31" borderId="4" xfId="0" applyFont="1" applyFill="1" applyBorder="1" applyAlignment="1">
      <alignment horizontal="center" vertical="center"/>
    </xf>
    <xf numFmtId="0" fontId="7" fillId="31" borderId="5" xfId="0" applyFont="1" applyFill="1" applyBorder="1" applyAlignment="1">
      <alignment horizontal="center" vertical="center"/>
    </xf>
    <xf numFmtId="0" fontId="7" fillId="31" borderId="6" xfId="0" applyFont="1" applyFill="1" applyBorder="1" applyAlignment="1">
      <alignment horizontal="center" vertical="center"/>
    </xf>
    <xf numFmtId="0" fontId="7" fillId="24" borderId="5" xfId="8" applyFont="1" applyBorder="1" applyAlignment="1">
      <alignment horizontal="center" vertical="center"/>
    </xf>
    <xf numFmtId="0" fontId="9" fillId="25" borderId="1" xfId="1" applyFont="1" applyFill="1" applyAlignment="1">
      <alignment horizontal="center" vertical="center"/>
    </xf>
    <xf numFmtId="0" fontId="7" fillId="26" borderId="5" xfId="8" applyFont="1" applyFill="1" applyBorder="1" applyAlignment="1">
      <alignment horizontal="center" vertical="center"/>
    </xf>
    <xf numFmtId="0" fontId="7" fillId="27" borderId="4" xfId="0" applyFont="1" applyFill="1" applyBorder="1" applyAlignment="1">
      <alignment horizontal="center" vertical="center"/>
    </xf>
    <xf numFmtId="0" fontId="7" fillId="27" borderId="5" xfId="0" applyFont="1" applyFill="1" applyBorder="1" applyAlignment="1">
      <alignment horizontal="center" vertical="center"/>
    </xf>
    <xf numFmtId="0" fontId="7" fillId="27" borderId="6" xfId="0" applyFont="1" applyFill="1" applyBorder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0" fontId="0" fillId="0" borderId="0" xfId="0" applyNumberFormat="1" applyAlignment="1">
      <alignment horizontal="right" vertical="center"/>
    </xf>
    <xf numFmtId="0" fontId="8" fillId="30" borderId="21" xfId="0" applyFont="1" applyFill="1" applyBorder="1" applyAlignment="1">
      <alignment horizontal="center" vertical="center"/>
    </xf>
    <xf numFmtId="0" fontId="8" fillId="30" borderId="22" xfId="0" applyFont="1" applyFill="1" applyBorder="1" applyAlignment="1">
      <alignment horizontal="center" vertical="center"/>
    </xf>
    <xf numFmtId="0" fontId="8" fillId="30" borderId="23" xfId="0" applyFont="1" applyFill="1" applyBorder="1" applyAlignment="1">
      <alignment horizontal="center" vertical="center"/>
    </xf>
    <xf numFmtId="0" fontId="8" fillId="29" borderId="7" xfId="0" applyFont="1" applyFill="1" applyBorder="1" applyAlignment="1">
      <alignment horizontal="center" vertical="center"/>
    </xf>
    <xf numFmtId="0" fontId="8" fillId="29" borderId="8" xfId="0" applyFont="1" applyFill="1" applyBorder="1" applyAlignment="1">
      <alignment horizontal="center" vertical="center"/>
    </xf>
    <xf numFmtId="0" fontId="8" fillId="29" borderId="9" xfId="0" applyFont="1" applyFill="1" applyBorder="1" applyAlignment="1">
      <alignment horizontal="center" vertical="center"/>
    </xf>
    <xf numFmtId="0" fontId="8" fillId="30" borderId="7" xfId="0" applyFont="1" applyFill="1" applyBorder="1" applyAlignment="1">
      <alignment horizontal="center" vertical="center"/>
    </xf>
    <xf numFmtId="0" fontId="8" fillId="30" borderId="8" xfId="0" applyFont="1" applyFill="1" applyBorder="1" applyAlignment="1">
      <alignment horizontal="center" vertical="center"/>
    </xf>
    <xf numFmtId="0" fontId="8" fillId="30" borderId="9" xfId="0" applyFont="1" applyFill="1" applyBorder="1" applyAlignment="1">
      <alignment horizontal="center" vertical="center"/>
    </xf>
  </cellXfs>
  <cellStyles count="9">
    <cellStyle name="20% - 강조색1" xfId="8" builtinId="30"/>
    <cellStyle name="20% - 강조색4" xfId="5" builtinId="42"/>
    <cellStyle name="20% - 강조색5" xfId="7" builtinId="46"/>
    <cellStyle name="강조색2" xfId="3" builtinId="33"/>
    <cellStyle name="강조색4" xfId="4" builtinId="41"/>
    <cellStyle name="강조색5" xfId="6" builtinId="45"/>
    <cellStyle name="입력" xfId="2" builtinId="20"/>
    <cellStyle name="제목 1" xfId="1" builtinId="16"/>
    <cellStyle name="표준" xfId="0" builtinId="0"/>
  </cellStyles>
  <dxfs count="0"/>
  <tableStyles count="0" defaultTableStyle="TableStyleMedium2" defaultPivotStyle="PivotStyleLight16"/>
  <colors>
    <mruColors>
      <color rgb="FF71FFD0"/>
      <color rgb="FF81FFD5"/>
      <color rgb="FFABFFE3"/>
      <color rgb="FFCDFFEE"/>
      <color rgb="FFDAE9F8"/>
      <color rgb="FF63A8F3"/>
      <color rgb="FFD0D0D0"/>
      <color rgb="FFDEBFF7"/>
      <color rgb="FFD3F5D7"/>
      <color rgb="FF64DA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b="1"/>
              <a:t>현금 흐름 현황</a:t>
            </a:r>
            <a:endParaRPr lang="ko-KR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4.0203406081089181E-2"/>
          <c:y val="0.15474838935562091"/>
          <c:w val="0.95309948585193971"/>
          <c:h val="0.78369405557366933"/>
        </c:manualLayout>
      </c:layout>
      <c:barChart>
        <c:barDir val="col"/>
        <c:grouping val="clustered"/>
        <c:varyColors val="0"/>
        <c:ser>
          <c:idx val="0"/>
          <c:order val="0"/>
          <c:tx>
            <c:v>순 수익</c:v>
          </c:tx>
          <c:spPr>
            <a:solidFill>
              <a:schemeClr val="accent5">
                <a:lumMod val="40000"/>
                <a:lumOff val="60000"/>
              </a:schemeClr>
            </a:solidFill>
            <a:ln>
              <a:solidFill>
                <a:schemeClr val="accent5">
                  <a:lumMod val="7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재무상태표!$B$15:$Y$15</c15:sqref>
                  </c15:fullRef>
                </c:ext>
              </c:extLst>
              <c:f>(재무상태표!$B$15,재무상태표!$D$15,재무상태표!$F$15,재무상태표!$H$15,재무상태표!$J$15,재무상태표!$L$15,재무상태표!$N$15,재무상태표!$P$15,재무상태표!$R$15,재무상태표!$T$15,재무상태표!$V$15,재무상태표!$X$15)</c:f>
              <c:strCache>
                <c:ptCount val="12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재무상태표!$B$16:$Y$16</c15:sqref>
                  </c15:fullRef>
                </c:ext>
              </c:extLst>
              <c:f>(재무상태표!$B$16,재무상태표!$D$16,재무상태표!$F$16,재무상태표!$H$16,재무상태표!$J$16,재무상태표!$L$16,재무상태표!$N$16,재무상태표!$P$16,재무상태표!$R$16,재무상태표!$T$16,재무상태표!$V$16,재무상태표!$X$16)</c:f>
              <c:numCache>
                <c:formatCode>"₩"#,##0</c:formatCode>
                <c:ptCount val="12"/>
                <c:pt idx="0">
                  <c:v>-15637165</c:v>
                </c:pt>
                <c:pt idx="1">
                  <c:v>26240885</c:v>
                </c:pt>
                <c:pt idx="2">
                  <c:v>-12174686</c:v>
                </c:pt>
                <c:pt idx="3">
                  <c:v>11578440</c:v>
                </c:pt>
                <c:pt idx="4">
                  <c:v>835455</c:v>
                </c:pt>
                <c:pt idx="5">
                  <c:v>4114359</c:v>
                </c:pt>
                <c:pt idx="6">
                  <c:v>-9999537</c:v>
                </c:pt>
                <c:pt idx="7">
                  <c:v>-2277281</c:v>
                </c:pt>
                <c:pt idx="8">
                  <c:v>971088</c:v>
                </c:pt>
                <c:pt idx="9">
                  <c:v>-1623498</c:v>
                </c:pt>
                <c:pt idx="10">
                  <c:v>-369139</c:v>
                </c:pt>
                <c:pt idx="11">
                  <c:v>14717156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4D-45F6-ADD6-6C85A9AEFB7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89"/>
        <c:overlap val="-25"/>
        <c:axId val="148248736"/>
        <c:axId val="148249216"/>
      </c:barChart>
      <c:catAx>
        <c:axId val="148248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8249216"/>
        <c:crosses val="autoZero"/>
        <c:auto val="1"/>
        <c:lblAlgn val="ctr"/>
        <c:lblOffset val="100"/>
        <c:noMultiLvlLbl val="0"/>
      </c:catAx>
      <c:valAx>
        <c:axId val="148249216"/>
        <c:scaling>
          <c:orientation val="minMax"/>
        </c:scaling>
        <c:delete val="0"/>
        <c:axPos val="l"/>
        <c:majorGridlines>
          <c:spPr>
            <a:ln w="9525" cap="rnd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&quot;₩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8248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b="1"/>
              <a:t>지출 비용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3.452787338287E-2"/>
          <c:y val="8.8601604537994844E-2"/>
          <c:w val="0.96049287372200809"/>
          <c:h val="0.75781174412022034"/>
        </c:manualLayout>
      </c:layout>
      <c:barChart>
        <c:barDir val="col"/>
        <c:grouping val="clustered"/>
        <c:varyColors val="0"/>
        <c:ser>
          <c:idx val="0"/>
          <c:order val="0"/>
          <c:tx>
            <c:v>이번 달</c:v>
          </c:tx>
          <c:spPr>
            <a:solidFill>
              <a:srgbClr val="63A8F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손익계산서!$Z$6:$Z$25</c:f>
              <c:strCache>
                <c:ptCount val="20"/>
                <c:pt idx="0">
                  <c:v>금융</c:v>
                </c:pt>
                <c:pt idx="1">
                  <c:v>생활</c:v>
                </c:pt>
                <c:pt idx="2">
                  <c:v>식비</c:v>
                </c:pt>
                <c:pt idx="3">
                  <c:v>주거/통신</c:v>
                </c:pt>
                <c:pt idx="4">
                  <c:v>온라인쇼핑</c:v>
                </c:pt>
                <c:pt idx="5">
                  <c:v>자동차</c:v>
                </c:pt>
                <c:pt idx="6">
                  <c:v>교통</c:v>
                </c:pt>
                <c:pt idx="7">
                  <c:v>카페/간식</c:v>
                </c:pt>
                <c:pt idx="8">
                  <c:v>여행/숙박</c:v>
                </c:pt>
                <c:pt idx="9">
                  <c:v>문화/여가</c:v>
                </c:pt>
                <c:pt idx="10">
                  <c:v>의료/건강</c:v>
                </c:pt>
                <c:pt idx="11">
                  <c:v>패션/쇼핑</c:v>
                </c:pt>
                <c:pt idx="12">
                  <c:v>뷰티/미용</c:v>
                </c:pt>
                <c:pt idx="13">
                  <c:v>교육/학습</c:v>
                </c:pt>
                <c:pt idx="14">
                  <c:v>술/유흥</c:v>
                </c:pt>
                <c:pt idx="15">
                  <c:v>교육</c:v>
                </c:pt>
                <c:pt idx="16">
                  <c:v>식사</c:v>
                </c:pt>
                <c:pt idx="17">
                  <c:v>미분류</c:v>
                </c:pt>
                <c:pt idx="18">
                  <c:v>의복/미용</c:v>
                </c:pt>
                <c:pt idx="19">
                  <c:v>경조사</c:v>
                </c:pt>
              </c:strCache>
            </c:strRef>
          </c:cat>
          <c:val>
            <c:numRef>
              <c:f>손익계산서!$AA$6:$AA$25</c:f>
              <c:numCache>
                <c:formatCode>"₩"#,##0_);[Red]\("₩"#,##0\)</c:formatCode>
                <c:ptCount val="20"/>
                <c:pt idx="0">
                  <c:v>94300</c:v>
                </c:pt>
                <c:pt idx="1">
                  <c:v>766623</c:v>
                </c:pt>
                <c:pt idx="2">
                  <c:v>427200</c:v>
                </c:pt>
                <c:pt idx="3">
                  <c:v>316830</c:v>
                </c:pt>
                <c:pt idx="4">
                  <c:v>27400</c:v>
                </c:pt>
                <c:pt idx="5">
                  <c:v>322232</c:v>
                </c:pt>
                <c:pt idx="6">
                  <c:v>189500</c:v>
                </c:pt>
                <c:pt idx="7">
                  <c:v>124240</c:v>
                </c:pt>
                <c:pt idx="8">
                  <c:v>1000334</c:v>
                </c:pt>
                <c:pt idx="9">
                  <c:v>32400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400000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894595</c:v>
                </c:pt>
                <c:pt idx="19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C67-4E06-B0A3-7C4AD5B994F3}"/>
            </c:ext>
          </c:extLst>
        </c:ser>
        <c:ser>
          <c:idx val="1"/>
          <c:order val="1"/>
          <c:tx>
            <c:v>평균</c:v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손익계산서!$Z$6:$Z$25</c:f>
              <c:strCache>
                <c:ptCount val="20"/>
                <c:pt idx="0">
                  <c:v>금융</c:v>
                </c:pt>
                <c:pt idx="1">
                  <c:v>생활</c:v>
                </c:pt>
                <c:pt idx="2">
                  <c:v>식비</c:v>
                </c:pt>
                <c:pt idx="3">
                  <c:v>주거/통신</c:v>
                </c:pt>
                <c:pt idx="4">
                  <c:v>온라인쇼핑</c:v>
                </c:pt>
                <c:pt idx="5">
                  <c:v>자동차</c:v>
                </c:pt>
                <c:pt idx="6">
                  <c:v>교통</c:v>
                </c:pt>
                <c:pt idx="7">
                  <c:v>카페/간식</c:v>
                </c:pt>
                <c:pt idx="8">
                  <c:v>여행/숙박</c:v>
                </c:pt>
                <c:pt idx="9">
                  <c:v>문화/여가</c:v>
                </c:pt>
                <c:pt idx="10">
                  <c:v>의료/건강</c:v>
                </c:pt>
                <c:pt idx="11">
                  <c:v>패션/쇼핑</c:v>
                </c:pt>
                <c:pt idx="12">
                  <c:v>뷰티/미용</c:v>
                </c:pt>
                <c:pt idx="13">
                  <c:v>교육/학습</c:v>
                </c:pt>
                <c:pt idx="14">
                  <c:v>술/유흥</c:v>
                </c:pt>
                <c:pt idx="15">
                  <c:v>교육</c:v>
                </c:pt>
                <c:pt idx="16">
                  <c:v>식사</c:v>
                </c:pt>
                <c:pt idx="17">
                  <c:v>미분류</c:v>
                </c:pt>
                <c:pt idx="18">
                  <c:v>의복/미용</c:v>
                </c:pt>
                <c:pt idx="19">
                  <c:v>경조사</c:v>
                </c:pt>
              </c:strCache>
            </c:strRef>
          </c:cat>
          <c:val>
            <c:numRef>
              <c:f>손익계산서!$AB$6:$AB$25</c:f>
              <c:numCache>
                <c:formatCode>"₩"#,##0</c:formatCode>
                <c:ptCount val="20"/>
                <c:pt idx="0">
                  <c:v>3242746.75</c:v>
                </c:pt>
                <c:pt idx="1">
                  <c:v>1182046.5</c:v>
                </c:pt>
                <c:pt idx="2">
                  <c:v>214469.33333333334</c:v>
                </c:pt>
                <c:pt idx="3">
                  <c:v>965092.66666666663</c:v>
                </c:pt>
                <c:pt idx="4">
                  <c:v>276230.83333333331</c:v>
                </c:pt>
                <c:pt idx="5">
                  <c:v>218569.33333333334</c:v>
                </c:pt>
                <c:pt idx="6">
                  <c:v>73028.833333333328</c:v>
                </c:pt>
                <c:pt idx="7">
                  <c:v>60236.666666666664</c:v>
                </c:pt>
                <c:pt idx="8">
                  <c:v>251876.75</c:v>
                </c:pt>
                <c:pt idx="9">
                  <c:v>55367.75</c:v>
                </c:pt>
                <c:pt idx="10">
                  <c:v>115025</c:v>
                </c:pt>
                <c:pt idx="11">
                  <c:v>0</c:v>
                </c:pt>
                <c:pt idx="12">
                  <c:v>7666.666666666667</c:v>
                </c:pt>
                <c:pt idx="13">
                  <c:v>0</c:v>
                </c:pt>
                <c:pt idx="14">
                  <c:v>44083.333333333336</c:v>
                </c:pt>
                <c:pt idx="15">
                  <c:v>33166.666666666664</c:v>
                </c:pt>
                <c:pt idx="16">
                  <c:v>209845.16666666666</c:v>
                </c:pt>
                <c:pt idx="17">
                  <c:v>39813.083333333336</c:v>
                </c:pt>
                <c:pt idx="18">
                  <c:v>94787.916666666672</c:v>
                </c:pt>
                <c:pt idx="19">
                  <c:v>6950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C67-4E06-B0A3-7C4AD5B994F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00"/>
        <c:overlap val="-49"/>
        <c:axId val="1711715776"/>
        <c:axId val="1711699456"/>
      </c:barChart>
      <c:catAx>
        <c:axId val="171171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11699456"/>
        <c:crosses val="autoZero"/>
        <c:auto val="1"/>
        <c:lblAlgn val="ctr"/>
        <c:lblOffset val="100"/>
        <c:noMultiLvlLbl val="0"/>
      </c:catAx>
      <c:valAx>
        <c:axId val="1711699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₩&quot;#,##0_);[Red]\(&quot;₩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11715776"/>
        <c:crosses val="autoZero"/>
        <c:crossBetween val="between"/>
      </c:valAx>
      <c:spPr>
        <a:noFill/>
        <a:ln w="28575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사용자별 지출 비용</a:t>
            </a:r>
            <a:endParaRPr lang="en-US" altLang="ko-KR" sz="14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 altLang="ko-KR"/>
        </a:p>
      </c:txPr>
    </c:title>
    <c:autoTitleDeleted val="0"/>
    <c:plotArea>
      <c:layout/>
      <c:barChart>
        <c:barDir val="bar"/>
        <c:grouping val="clustered"/>
        <c:varyColors val="0"/>
        <c:ser>
          <c:idx val="1"/>
          <c:order val="0"/>
          <c:tx>
            <c:v>평균</c:v>
          </c:tx>
          <c:spPr>
            <a:solidFill>
              <a:srgbClr val="D0D0D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손익계산서!$B$23:$B$24</c:f>
              <c:strCache>
                <c:ptCount val="2"/>
                <c:pt idx="0">
                  <c:v>천세원</c:v>
                </c:pt>
                <c:pt idx="1">
                  <c:v>하유진</c:v>
                </c:pt>
              </c:strCache>
            </c:strRef>
          </c:cat>
          <c:val>
            <c:numRef>
              <c:f>손익계산서!$D$23:$D$24</c:f>
              <c:numCache>
                <c:formatCode>"₩"#,##0</c:formatCode>
                <c:ptCount val="2"/>
                <c:pt idx="0">
                  <c:v>5809636</c:v>
                </c:pt>
                <c:pt idx="1">
                  <c:v>1281367.25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03-4B97-A684-340A8469D3BC}"/>
            </c:ext>
          </c:extLst>
        </c:ser>
        <c:ser>
          <c:idx val="0"/>
          <c:order val="1"/>
          <c:tx>
            <c:v>이번 달</c:v>
          </c:tx>
          <c:spPr>
            <a:solidFill>
              <a:srgbClr val="63A8F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손익계산서!$B$23:$B$24</c:f>
              <c:strCache>
                <c:ptCount val="2"/>
                <c:pt idx="0">
                  <c:v>천세원</c:v>
                </c:pt>
                <c:pt idx="1">
                  <c:v>하유진</c:v>
                </c:pt>
              </c:strCache>
            </c:strRef>
          </c:cat>
          <c:val>
            <c:numRef>
              <c:f>손익계산서!$C$23:$C$24</c:f>
              <c:numCache>
                <c:formatCode>"₩"#,##0</c:formatCode>
                <c:ptCount val="2"/>
                <c:pt idx="0">
                  <c:v>2218495</c:v>
                </c:pt>
                <c:pt idx="1">
                  <c:v>2427159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03-4B97-A684-340A8469D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00"/>
        <c:axId val="1928768848"/>
        <c:axId val="1928759248"/>
      </c:barChart>
      <c:catAx>
        <c:axId val="192876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28759248"/>
        <c:crosses val="autoZero"/>
        <c:auto val="1"/>
        <c:lblAlgn val="ctr"/>
        <c:lblOffset val="100"/>
        <c:noMultiLvlLbl val="0"/>
      </c:catAx>
      <c:valAx>
        <c:axId val="1928759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₩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2876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38A-4075-A377-111F7ED6F64E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038A-4075-A377-111F7ED6F64E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8A-4075-A377-111F7ED6F64E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8A-4075-A377-111F7ED6F64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'1월'!$D$5:$D$7</c:f>
              <c:numCache>
                <c:formatCode>"₩"#,##0</c:formatCode>
                <c:ptCount val="3"/>
              </c:numCache>
            </c:numRef>
          </c:cat>
          <c:val>
            <c:numRef>
              <c:f>('1월'!$C$5:$C$5,'1월'!$C$6:$C$6)</c:f>
              <c:numCache>
                <c:formatCode>"₩"#,##0</c:formatCode>
                <c:ptCount val="2"/>
                <c:pt idx="0">
                  <c:v>-15637165</c:v>
                </c:pt>
                <c:pt idx="1">
                  <c:v>25637165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8A-4075-A377-111F7ED6F64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842-4423-81E4-DA764CC50F62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842-4423-81E4-DA764CC50F62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842-4423-81E4-DA764CC50F62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842-4423-81E4-DA764CC50F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'2월'!$D$5:$D$7</c:f>
              <c:numCache>
                <c:formatCode>"₩"#,##0</c:formatCode>
                <c:ptCount val="3"/>
              </c:numCache>
            </c:numRef>
          </c:cat>
          <c:val>
            <c:numRef>
              <c:f>('2월'!$C$5,'2월'!$C$6)</c:f>
              <c:numCache>
                <c:formatCode>"₩"#,##0</c:formatCode>
                <c:ptCount val="2"/>
                <c:pt idx="0">
                  <c:v>26240885</c:v>
                </c:pt>
                <c:pt idx="1">
                  <c:v>-16240885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42-4423-81E4-DA764CC50F62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ECD-4E0A-8A50-96C02F238D09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ECD-4E0A-8A50-96C02F238D09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ECD-4E0A-8A50-96C02F238D09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ECD-4E0A-8A50-96C02F238D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'3월'!$D$5:$D$7</c:f>
              <c:numCache>
                <c:formatCode>"₩"#,##0</c:formatCode>
                <c:ptCount val="3"/>
              </c:numCache>
            </c:numRef>
          </c:cat>
          <c:val>
            <c:numRef>
              <c:f>('3월'!$C$5,'3월'!$C$6)</c:f>
              <c:numCache>
                <c:formatCode>"₩"#,##0</c:formatCode>
                <c:ptCount val="2"/>
                <c:pt idx="0">
                  <c:v>-12174686</c:v>
                </c:pt>
                <c:pt idx="1">
                  <c:v>22174686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ECD-4E0A-8A50-96C02F238D0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DE3-4B89-BE9D-3D7AF6C6026A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DE3-4B89-BE9D-3D7AF6C6026A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DE3-4B89-BE9D-3D7AF6C6026A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DE3-4B89-BE9D-3D7AF6C6026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'4월'!$D$5:$D$7</c:f>
              <c:numCache>
                <c:formatCode>"₩"#,##0</c:formatCode>
                <c:ptCount val="3"/>
              </c:numCache>
            </c:numRef>
          </c:cat>
          <c:val>
            <c:numRef>
              <c:f>('4월'!$C$5,'4월'!$C$6)</c:f>
              <c:numCache>
                <c:formatCode>"₩"#,##0</c:formatCode>
                <c:ptCount val="2"/>
                <c:pt idx="0">
                  <c:v>11578440</c:v>
                </c:pt>
                <c:pt idx="1">
                  <c:v>-1578440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E3-4B89-BE9D-3D7AF6C6026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F8B-42C9-A5E4-9974A7FF2DBE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F8B-42C9-A5E4-9974A7FF2DBE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F8B-42C9-A5E4-9974A7FF2DBE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8B-42C9-A5E4-9974A7FF2D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'5월'!$D$5:$D$7</c:f>
              <c:numCache>
                <c:formatCode>"₩"#,##0</c:formatCode>
                <c:ptCount val="3"/>
              </c:numCache>
            </c:numRef>
          </c:cat>
          <c:val>
            <c:numRef>
              <c:f>('5월'!$C$5,'5월'!$C$6)</c:f>
              <c:numCache>
                <c:formatCode>"₩"#,##0</c:formatCode>
                <c:ptCount val="2"/>
                <c:pt idx="0">
                  <c:v>835455</c:v>
                </c:pt>
                <c:pt idx="1">
                  <c:v>9164545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F8B-42C9-A5E4-9974A7FF2DB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BAB-4FBC-ADB6-D338E70AF0A9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BAB-4FBC-ADB6-D338E70AF0A9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BAB-4FBC-ADB6-D338E70AF0A9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AB-4FBC-ADB6-D338E70AF0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'6월'!$D$5:$D$7</c:f>
              <c:numCache>
                <c:formatCode>"₩"#,##0</c:formatCode>
                <c:ptCount val="3"/>
              </c:numCache>
            </c:numRef>
          </c:cat>
          <c:val>
            <c:numRef>
              <c:f>('6월'!$C$5,'6월'!$C$6)</c:f>
              <c:numCache>
                <c:formatCode>"₩"#,##0</c:formatCode>
                <c:ptCount val="2"/>
                <c:pt idx="0">
                  <c:v>4114359</c:v>
                </c:pt>
                <c:pt idx="1">
                  <c:v>5885641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BAB-4FBC-ADB6-D338E70AF0A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5F4-4310-B269-3C2061FDF6D7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5F4-4310-B269-3C2061FDF6D7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5F4-4310-B269-3C2061FDF6D7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5F4-4310-B269-3C2061FDF6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'7월'!$D$5:$D$7</c:f>
              <c:numCache>
                <c:formatCode>"₩"#,##0</c:formatCode>
                <c:ptCount val="3"/>
              </c:numCache>
            </c:numRef>
          </c:cat>
          <c:val>
            <c:numRef>
              <c:f>('7월'!$C$5,'7월'!$C$6)</c:f>
              <c:numCache>
                <c:formatCode>"₩"#,##0</c:formatCode>
                <c:ptCount val="2"/>
                <c:pt idx="0">
                  <c:v>-9999537</c:v>
                </c:pt>
                <c:pt idx="1">
                  <c:v>19999537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F4-4310-B269-3C2061FDF6D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80E-4E4F-B625-1AFCDA8E4E31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80E-4E4F-B625-1AFCDA8E4E31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0E-4E4F-B625-1AFCDA8E4E31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80E-4E4F-B625-1AFCDA8E4E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'8월'!$D$5:$D$7</c:f>
              <c:numCache>
                <c:formatCode>"₩"#,##0</c:formatCode>
                <c:ptCount val="3"/>
              </c:numCache>
            </c:numRef>
          </c:cat>
          <c:val>
            <c:numRef>
              <c:f>('8월'!$C$5,'8월'!$C$6)</c:f>
              <c:numCache>
                <c:formatCode>"₩"#,##0</c:formatCode>
                <c:ptCount val="2"/>
                <c:pt idx="0">
                  <c:v>-2277281</c:v>
                </c:pt>
                <c:pt idx="1">
                  <c:v>12277281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0E-4E4F-B625-1AFCDA8E4E3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07D-4DE2-A44A-FC3BC0E02968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07D-4DE2-A44A-FC3BC0E02968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07D-4DE2-A44A-FC3BC0E02968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07D-4DE2-A44A-FC3BC0E0296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'9월'!$D$5:$D$7</c:f>
              <c:numCache>
                <c:formatCode>"₩"#,##0</c:formatCode>
                <c:ptCount val="3"/>
              </c:numCache>
            </c:numRef>
          </c:cat>
          <c:val>
            <c:numRef>
              <c:f>('9월'!$C$5,'9월'!$C$6)</c:f>
              <c:numCache>
                <c:formatCode>"₩"#,##0</c:formatCode>
                <c:ptCount val="2"/>
                <c:pt idx="0">
                  <c:v>971088</c:v>
                </c:pt>
                <c:pt idx="1">
                  <c:v>9028912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07D-4DE2-A44A-FC3BC0E0296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0DE-40B6-BA4A-EC77CB646FDA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0DE-40B6-BA4A-EC77CB646FDA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0DE-40B6-BA4A-EC77CB646FDA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0DE-40B6-BA4A-EC77CB646F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'10월'!$D$5:$D$7</c:f>
              <c:numCache>
                <c:formatCode>"₩"#,##0</c:formatCode>
                <c:ptCount val="3"/>
              </c:numCache>
            </c:numRef>
          </c:cat>
          <c:val>
            <c:numRef>
              <c:f>('10월'!$C$5,'10월'!$C$6)</c:f>
              <c:numCache>
                <c:formatCode>"₩"#,##0</c:formatCode>
                <c:ptCount val="2"/>
                <c:pt idx="0">
                  <c:v>-1623498</c:v>
                </c:pt>
                <c:pt idx="1">
                  <c:v>11623498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DE-40B6-BA4A-EC77CB646FD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6F9-4EC5-B2BF-20A275EE7081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6F9-4EC5-B2BF-20A275EE7081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6F9-4EC5-B2BF-20A275EE7081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6F9-4EC5-B2BF-20A275EE70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'11월'!$D$5:$D$7</c:f>
              <c:numCache>
                <c:formatCode>"₩"#,##0</c:formatCode>
                <c:ptCount val="3"/>
              </c:numCache>
            </c:numRef>
          </c:cat>
          <c:val>
            <c:numRef>
              <c:f>('11월'!$C$5,'11월'!$C$6)</c:f>
              <c:numCache>
                <c:formatCode>"₩"#,##0</c:formatCode>
                <c:ptCount val="2"/>
                <c:pt idx="0">
                  <c:v>-369139</c:v>
                </c:pt>
                <c:pt idx="1">
                  <c:v>10369139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F9-4EC5-B2BF-20A275EE708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368-45D5-9F6D-70AD2F11CB17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368-45D5-9F6D-70AD2F11CB17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368-45D5-9F6D-70AD2F11CB17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368-45D5-9F6D-70AD2F11CB1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'12월'!$D$5:$D$7</c:f>
              <c:numCache>
                <c:formatCode>"₩"#,##0</c:formatCode>
                <c:ptCount val="3"/>
              </c:numCache>
            </c:numRef>
          </c:cat>
          <c:val>
            <c:numRef>
              <c:f>('12월'!$C$5,'12월'!$C$6)</c:f>
              <c:numCache>
                <c:formatCode>"₩"#,##0</c:formatCode>
                <c:ptCount val="2"/>
                <c:pt idx="0">
                  <c:v>14717156</c:v>
                </c:pt>
                <c:pt idx="1">
                  <c:v>-4717156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368-45D5-9F6D-70AD2F11CB1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5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6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7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8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9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0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4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5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9523</xdr:rowOff>
    </xdr:from>
    <xdr:to>
      <xdr:col>25</xdr:col>
      <xdr:colOff>28575</xdr:colOff>
      <xdr:row>37</xdr:row>
      <xdr:rowOff>142874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E619876B-1E61-16DF-7931-68791EBD2D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190499</xdr:colOff>
      <xdr:row>26</xdr:row>
      <xdr:rowOff>9525</xdr:rowOff>
    </xdr:from>
    <xdr:to>
      <xdr:col>31</xdr:col>
      <xdr:colOff>9525</xdr:colOff>
      <xdr:row>46</xdr:row>
      <xdr:rowOff>190500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625247E4-7C90-BE96-6545-2B8D1F544F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4</xdr:row>
      <xdr:rowOff>19049</xdr:rowOff>
    </xdr:from>
    <xdr:to>
      <xdr:col>9</xdr:col>
      <xdr:colOff>9525</xdr:colOff>
      <xdr:row>19</xdr:row>
      <xdr:rowOff>200025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A545A043-5630-07CC-11FD-DF4E29FCFE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4</xdr:row>
          <xdr:rowOff>190500</xdr:rowOff>
        </xdr:from>
        <xdr:to>
          <xdr:col>17</xdr:col>
          <xdr:colOff>47625</xdr:colOff>
          <xdr:row>6</xdr:row>
          <xdr:rowOff>38100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5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2</xdr:row>
          <xdr:rowOff>190500</xdr:rowOff>
        </xdr:from>
        <xdr:to>
          <xdr:col>17</xdr:col>
          <xdr:colOff>28575</xdr:colOff>
          <xdr:row>4</xdr:row>
          <xdr:rowOff>28575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5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10" name="그룹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5" name="차트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8" name="직사각형 7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/>
        </xdr:nvSpPr>
        <xdr:spPr>
          <a:xfrm>
            <a:off x="898328" y="3742765"/>
            <a:ext cx="1980837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-156.37%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dule3.Move_to_Feb" textlink="">
      <xdr:nvSpPr>
        <xdr:cNvPr id="7" name="이등변 삼각형 6">
          <a:extLst>
            <a:ext uri="{FF2B5EF4-FFF2-40B4-BE49-F238E27FC236}">
              <a16:creationId xmlns:a16="http://schemas.microsoft.com/office/drawing/2014/main" id="{6C76429E-69D9-D91E-156D-49F1A0B9B968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Dec" textlink="">
      <xdr:nvSpPr>
        <xdr:cNvPr id="12" name="이등변 삼각형 11">
          <a:extLst>
            <a:ext uri="{FF2B5EF4-FFF2-40B4-BE49-F238E27FC236}">
              <a16:creationId xmlns:a16="http://schemas.microsoft.com/office/drawing/2014/main" id="{8A5F3AA7-17B5-7ECB-F5A5-4630D55D3901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6</xdr:row>
      <xdr:rowOff>0</xdr:rowOff>
    </xdr:from>
    <xdr:to>
      <xdr:col>5</xdr:col>
      <xdr:colOff>22411</xdr:colOff>
      <xdr:row>18</xdr:row>
      <xdr:rowOff>20076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960E3633-08D6-4C59-9F55-909EE31468BA}"/>
            </a:ext>
          </a:extLst>
        </xdr:cNvPr>
        <xdr:cNvGrpSpPr/>
      </xdr:nvGrpSpPr>
      <xdr:grpSpPr>
        <a:xfrm>
          <a:off x="222435" y="1381125"/>
          <a:ext cx="3181351" cy="2534676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C25D0C39-A294-0EDA-B88E-DE623C4EF131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013A011A-21AC-D74B-DEE9-A5D396A82B86}"/>
              </a:ext>
            </a:extLst>
          </xdr:cNvPr>
          <xdr:cNvSpPr/>
        </xdr:nvSpPr>
        <xdr:spPr>
          <a:xfrm>
            <a:off x="943943" y="3742768"/>
            <a:ext cx="2001921" cy="95350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262.41%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Mar" textlink="">
      <xdr:nvSpPr>
        <xdr:cNvPr id="13" name="이등변 삼각형 12">
          <a:extLst>
            <a:ext uri="{FF2B5EF4-FFF2-40B4-BE49-F238E27FC236}">
              <a16:creationId xmlns:a16="http://schemas.microsoft.com/office/drawing/2014/main" id="{42FE2FE6-4342-4982-8F92-AF24E34EB821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Jan" textlink="">
      <xdr:nvSpPr>
        <xdr:cNvPr id="14" name="이등변 삼각형 13">
          <a:extLst>
            <a:ext uri="{FF2B5EF4-FFF2-40B4-BE49-F238E27FC236}">
              <a16:creationId xmlns:a16="http://schemas.microsoft.com/office/drawing/2014/main" id="{CD1141D4-F5A5-46C5-B09D-FF14D4EC8A6F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3075" name="CommandButton1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7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DF549750-5AD0-48F4-AE78-F99C909BD594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6" name="차트 5">
            <a:extLst>
              <a:ext uri="{FF2B5EF4-FFF2-40B4-BE49-F238E27FC236}">
                <a16:creationId xmlns:a16="http://schemas.microsoft.com/office/drawing/2014/main" id="{B68EA9F7-2989-CEF7-F011-CBFDB306C1D7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7" name="직사각형 6">
            <a:extLst>
              <a:ext uri="{FF2B5EF4-FFF2-40B4-BE49-F238E27FC236}">
                <a16:creationId xmlns:a16="http://schemas.microsoft.com/office/drawing/2014/main" id="{5AFD8DB0-0264-1C97-5F00-60F82AFE0817}"/>
              </a:ext>
            </a:extLst>
          </xdr:cNvPr>
          <xdr:cNvSpPr/>
        </xdr:nvSpPr>
        <xdr:spPr>
          <a:xfrm>
            <a:off x="965027" y="3742765"/>
            <a:ext cx="184744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-121.75%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Apr" textlink="">
      <xdr:nvSpPr>
        <xdr:cNvPr id="10" name="이등변 삼각형 9">
          <a:extLst>
            <a:ext uri="{FF2B5EF4-FFF2-40B4-BE49-F238E27FC236}">
              <a16:creationId xmlns:a16="http://schemas.microsoft.com/office/drawing/2014/main" id="{A5276149-7B96-4A1E-9FFD-102A526EAABC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Feb" textlink="">
      <xdr:nvSpPr>
        <xdr:cNvPr id="11" name="이등변 삼각형 10">
          <a:extLst>
            <a:ext uri="{FF2B5EF4-FFF2-40B4-BE49-F238E27FC236}">
              <a16:creationId xmlns:a16="http://schemas.microsoft.com/office/drawing/2014/main" id="{FBF2A2D2-34DE-4446-8300-CC7AC7DBABD0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D4EEDDBC-C407-4F3B-BE9E-37C382D9F174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4DF19B6B-0D37-118F-77A3-78B816FFD82A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3F8E4B0F-F2FD-E672-60E6-4C226BB5D512}"/>
              </a:ext>
            </a:extLst>
          </xdr:cNvPr>
          <xdr:cNvSpPr/>
        </xdr:nvSpPr>
        <xdr:spPr>
          <a:xfrm>
            <a:off x="974555" y="3742765"/>
            <a:ext cx="1828383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115.78%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May" textlink="">
      <xdr:nvSpPr>
        <xdr:cNvPr id="7" name="이등변 삼각형 6">
          <a:extLst>
            <a:ext uri="{FF2B5EF4-FFF2-40B4-BE49-F238E27FC236}">
              <a16:creationId xmlns:a16="http://schemas.microsoft.com/office/drawing/2014/main" id="{B82C9688-820A-4CF3-B248-72CC087CF88D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Mar" textlink="">
      <xdr:nvSpPr>
        <xdr:cNvPr id="8" name="이등변 삼각형 7">
          <a:extLst>
            <a:ext uri="{FF2B5EF4-FFF2-40B4-BE49-F238E27FC236}">
              <a16:creationId xmlns:a16="http://schemas.microsoft.com/office/drawing/2014/main" id="{E09E8ECA-B9A7-448A-B54C-84D3CB2D9705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9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FB096D1A-1BDE-46FC-AD2C-AAD2C604B9F6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CA042DFC-743C-3D70-00FE-B8D06B82C5D2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303AA31D-D1D0-75F5-B3B8-425F2C3A3A81}"/>
              </a:ext>
            </a:extLst>
          </xdr:cNvPr>
          <xdr:cNvSpPr/>
        </xdr:nvSpPr>
        <xdr:spPr>
          <a:xfrm>
            <a:off x="822101" y="3742765"/>
            <a:ext cx="2133291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8.35%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Jun" textlink="">
      <xdr:nvSpPr>
        <xdr:cNvPr id="7" name="이등변 삼각형 6">
          <a:extLst>
            <a:ext uri="{FF2B5EF4-FFF2-40B4-BE49-F238E27FC236}">
              <a16:creationId xmlns:a16="http://schemas.microsoft.com/office/drawing/2014/main" id="{664E04D4-5E2E-4FB5-9038-1321E136E595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Apr" textlink="">
      <xdr:nvSpPr>
        <xdr:cNvPr id="8" name="이등변 삼각형 7">
          <a:extLst>
            <a:ext uri="{FF2B5EF4-FFF2-40B4-BE49-F238E27FC236}">
              <a16:creationId xmlns:a16="http://schemas.microsoft.com/office/drawing/2014/main" id="{8A1A938F-D1CA-437D-BE9E-9ECCD1255B2F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A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EDCC915C-5631-4CB7-8219-09583B284CC6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5C68CD89-C98E-3390-7AF9-FB1C7ABB2B23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C91B88ED-5A40-19FF-D123-F3F3A51B65A6}"/>
              </a:ext>
            </a:extLst>
          </xdr:cNvPr>
          <xdr:cNvSpPr/>
        </xdr:nvSpPr>
        <xdr:spPr>
          <a:xfrm>
            <a:off x="879272" y="3742765"/>
            <a:ext cx="2018951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41.14%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Jul" textlink="">
      <xdr:nvSpPr>
        <xdr:cNvPr id="7" name="이등변 삼각형 6">
          <a:extLst>
            <a:ext uri="{FF2B5EF4-FFF2-40B4-BE49-F238E27FC236}">
              <a16:creationId xmlns:a16="http://schemas.microsoft.com/office/drawing/2014/main" id="{7EF055AA-4E35-47E7-9606-BEADC9BB8A6E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May" textlink="">
      <xdr:nvSpPr>
        <xdr:cNvPr id="8" name="이등변 삼각형 7">
          <a:extLst>
            <a:ext uri="{FF2B5EF4-FFF2-40B4-BE49-F238E27FC236}">
              <a16:creationId xmlns:a16="http://schemas.microsoft.com/office/drawing/2014/main" id="{C397C39C-55F3-4281-9BE8-B63FB711B70E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B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DD81CC79-A4C5-40D2-9D59-35EA98556674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349E2341-B7B2-A40B-37D9-19DC8C4D0339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976EF5F4-6215-D1CD-2E5B-1A6CA5F9909F}"/>
              </a:ext>
            </a:extLst>
          </xdr:cNvPr>
          <xdr:cNvSpPr/>
        </xdr:nvSpPr>
        <xdr:spPr>
          <a:xfrm>
            <a:off x="898328" y="3742765"/>
            <a:ext cx="1980837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-100.00%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Aug" textlink="">
      <xdr:nvSpPr>
        <xdr:cNvPr id="7" name="이등변 삼각형 6">
          <a:extLst>
            <a:ext uri="{FF2B5EF4-FFF2-40B4-BE49-F238E27FC236}">
              <a16:creationId xmlns:a16="http://schemas.microsoft.com/office/drawing/2014/main" id="{2050632B-7A90-4114-B8A1-91039FF1ACC7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Jun" textlink="">
      <xdr:nvSpPr>
        <xdr:cNvPr id="8" name="이등변 삼각형 7">
          <a:extLst>
            <a:ext uri="{FF2B5EF4-FFF2-40B4-BE49-F238E27FC236}">
              <a16:creationId xmlns:a16="http://schemas.microsoft.com/office/drawing/2014/main" id="{79367D22-6FBC-42DE-AAD8-7BCC8D2DE6BD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C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9A3CD7D2-BED8-49F2-A914-AEE0FEBC51AC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7A16D72B-6CC3-1E3D-1CB4-B3FC1DC16511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5F11280B-10E9-9B14-6942-94D956943165}"/>
              </a:ext>
            </a:extLst>
          </xdr:cNvPr>
          <xdr:cNvSpPr/>
        </xdr:nvSpPr>
        <xdr:spPr>
          <a:xfrm>
            <a:off x="879272" y="3742765"/>
            <a:ext cx="2018951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-22.77%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Sep" textlink="">
      <xdr:nvSpPr>
        <xdr:cNvPr id="7" name="이등변 삼각형 6">
          <a:extLst>
            <a:ext uri="{FF2B5EF4-FFF2-40B4-BE49-F238E27FC236}">
              <a16:creationId xmlns:a16="http://schemas.microsoft.com/office/drawing/2014/main" id="{881C1D53-24AC-4C42-A88B-C3B8FC312A56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Jul" textlink="">
      <xdr:nvSpPr>
        <xdr:cNvPr id="8" name="이등변 삼각형 7">
          <a:extLst>
            <a:ext uri="{FF2B5EF4-FFF2-40B4-BE49-F238E27FC236}">
              <a16:creationId xmlns:a16="http://schemas.microsoft.com/office/drawing/2014/main" id="{583E4399-CDF9-401E-A0CC-F6873D0EF683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D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A8D0D06C-DE68-4D2B-AD7E-2C7F8C79C77A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FCD69097-3446-6F0F-AA1A-F6740EE4C024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A5AD68A3-BF99-D95D-DE88-B71E23CB7655}"/>
              </a:ext>
            </a:extLst>
          </xdr:cNvPr>
          <xdr:cNvSpPr/>
        </xdr:nvSpPr>
        <xdr:spPr>
          <a:xfrm>
            <a:off x="945970" y="3742765"/>
            <a:ext cx="1885554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9.71%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Oct" textlink="">
      <xdr:nvSpPr>
        <xdr:cNvPr id="7" name="이등변 삼각형 6">
          <a:extLst>
            <a:ext uri="{FF2B5EF4-FFF2-40B4-BE49-F238E27FC236}">
              <a16:creationId xmlns:a16="http://schemas.microsoft.com/office/drawing/2014/main" id="{1188277E-415D-4487-AA47-4114AB86FB27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Aug" textlink="">
      <xdr:nvSpPr>
        <xdr:cNvPr id="8" name="이등변 삼각형 7">
          <a:extLst>
            <a:ext uri="{FF2B5EF4-FFF2-40B4-BE49-F238E27FC236}">
              <a16:creationId xmlns:a16="http://schemas.microsoft.com/office/drawing/2014/main" id="{5D2701B6-EA62-45DD-81FE-95D423656976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E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B2E59083-EBB9-427A-BA13-5EF4866BD10B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3614A83A-3D8A-22FC-7838-BF6AEAE88A9E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6FEDAF8A-6B62-0C76-CFBF-50E1D62C665C}"/>
              </a:ext>
            </a:extLst>
          </xdr:cNvPr>
          <xdr:cNvSpPr/>
        </xdr:nvSpPr>
        <xdr:spPr>
          <a:xfrm>
            <a:off x="917385" y="3742765"/>
            <a:ext cx="1942724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-16.23%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Nov" textlink="">
      <xdr:nvSpPr>
        <xdr:cNvPr id="7" name="이등변 삼각형 6">
          <a:extLst>
            <a:ext uri="{FF2B5EF4-FFF2-40B4-BE49-F238E27FC236}">
              <a16:creationId xmlns:a16="http://schemas.microsoft.com/office/drawing/2014/main" id="{6E0EFFBF-0F12-46EC-A6FC-C81A2C428016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Sep" textlink="">
      <xdr:nvSpPr>
        <xdr:cNvPr id="8" name="이등변 삼각형 7">
          <a:extLst>
            <a:ext uri="{FF2B5EF4-FFF2-40B4-BE49-F238E27FC236}">
              <a16:creationId xmlns:a16="http://schemas.microsoft.com/office/drawing/2014/main" id="{6B3D0C8B-9913-4A38-BE1B-BC7C82F29F9E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F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40470E56-D370-48C4-9DA2-CA3BD25CC916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B7C2A4C2-0816-239C-5DED-AACCBD9BF972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2ED4E767-75ED-758A-D181-EA3D775C7028}"/>
              </a:ext>
            </a:extLst>
          </xdr:cNvPr>
          <xdr:cNvSpPr/>
        </xdr:nvSpPr>
        <xdr:spPr>
          <a:xfrm>
            <a:off x="945970" y="3742765"/>
            <a:ext cx="1885554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-3.69%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Dec" textlink="">
      <xdr:nvSpPr>
        <xdr:cNvPr id="7" name="이등변 삼각형 6">
          <a:extLst>
            <a:ext uri="{FF2B5EF4-FFF2-40B4-BE49-F238E27FC236}">
              <a16:creationId xmlns:a16="http://schemas.microsoft.com/office/drawing/2014/main" id="{5986ABD1-EE70-4513-8D40-59B510F095E7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Oct" textlink="">
      <xdr:nvSpPr>
        <xdr:cNvPr id="8" name="이등변 삼각형 7">
          <a:extLst>
            <a:ext uri="{FF2B5EF4-FFF2-40B4-BE49-F238E27FC236}">
              <a16:creationId xmlns:a16="http://schemas.microsoft.com/office/drawing/2014/main" id="{6BB58614-FD68-48C7-96B9-4AABA821A025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958148B3-26E5-4F6C-9758-594BFD9330A3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3BF601FE-E6CA-C6C5-4C2C-3EE722803273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9689EF50-33F2-91BE-01D1-B18BC779F2B9}"/>
              </a:ext>
            </a:extLst>
          </xdr:cNvPr>
          <xdr:cNvSpPr/>
        </xdr:nvSpPr>
        <xdr:spPr>
          <a:xfrm>
            <a:off x="850687" y="3742765"/>
            <a:ext cx="2076121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147.17%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Jan" textlink="">
      <xdr:nvSpPr>
        <xdr:cNvPr id="7" name="이등변 삼각형 6">
          <a:extLst>
            <a:ext uri="{FF2B5EF4-FFF2-40B4-BE49-F238E27FC236}">
              <a16:creationId xmlns:a16="http://schemas.microsoft.com/office/drawing/2014/main" id="{AE227584-C22E-428F-9F71-048C19E8DB19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Nov" textlink="">
      <xdr:nvSpPr>
        <xdr:cNvPr id="8" name="이등변 삼각형 7">
          <a:extLst>
            <a:ext uri="{FF2B5EF4-FFF2-40B4-BE49-F238E27FC236}">
              <a16:creationId xmlns:a16="http://schemas.microsoft.com/office/drawing/2014/main" id="{44C4D676-5F61-4FFB-87CF-45F88E7F9A26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1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Relationship Id="rId4" Type="http://schemas.openxmlformats.org/officeDocument/2006/relationships/image" Target="../media/image4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5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4" Type="http://schemas.openxmlformats.org/officeDocument/2006/relationships/image" Target="../media/image6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4" Type="http://schemas.openxmlformats.org/officeDocument/2006/relationships/image" Target="../media/image7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Relationship Id="rId4" Type="http://schemas.openxmlformats.org/officeDocument/2006/relationships/image" Target="../media/image8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0.xml"/><Relationship Id="rId4" Type="http://schemas.openxmlformats.org/officeDocument/2006/relationships/image" Target="../media/image9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1.xml"/><Relationship Id="rId4" Type="http://schemas.openxmlformats.org/officeDocument/2006/relationships/image" Target="../media/image10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2.xml"/><Relationship Id="rId4" Type="http://schemas.openxmlformats.org/officeDocument/2006/relationships/image" Target="../media/image11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3.xml"/><Relationship Id="rId4" Type="http://schemas.openxmlformats.org/officeDocument/2006/relationships/image" Target="../media/image12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4.xml"/><Relationship Id="rId4" Type="http://schemas.openxmlformats.org/officeDocument/2006/relationships/image" Target="../media/image13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5.xml"/><Relationship Id="rId4" Type="http://schemas.openxmlformats.org/officeDocument/2006/relationships/image" Target="../media/image14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39CD7-B798-470C-A4DB-F490562AF362}">
  <sheetPr codeName="Sheet2">
    <tabColor rgb="FFE9B1E4"/>
  </sheetPr>
  <dimension ref="A1"/>
  <sheetViews>
    <sheetView workbookViewId="0">
      <selection activeCell="E45" sqref="E45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FE121-E329-4FAC-82C6-24AD9C00D8D1}">
  <sheetPr codeName="Sheet3">
    <tabColor rgb="FFCDFFEE"/>
  </sheetPr>
  <dimension ref="B2:AC26"/>
  <sheetViews>
    <sheetView workbookViewId="0">
      <selection activeCell="B16" sqref="B16:C16"/>
    </sheetView>
  </sheetViews>
  <sheetFormatPr defaultRowHeight="16.5" x14ac:dyDescent="0.3"/>
  <cols>
    <col min="1" max="1" width="2.625" customWidth="1"/>
    <col min="2" max="8" width="11.5" customWidth="1"/>
    <col min="9" max="9" width="12.875" bestFit="1" customWidth="1"/>
    <col min="10" max="17" width="11.5" customWidth="1"/>
    <col min="18" max="18" width="10.75" customWidth="1"/>
    <col min="19" max="19" width="14.375" customWidth="1"/>
    <col min="20" max="22" width="10.75" customWidth="1"/>
    <col min="23" max="23" width="15.875" customWidth="1"/>
    <col min="24" max="25" width="7.375" customWidth="1"/>
    <col min="26" max="26" width="11.75" customWidth="1"/>
    <col min="27" max="27" width="7.375" customWidth="1"/>
    <col min="28" max="28" width="11.75" customWidth="1"/>
    <col min="29" max="29" width="5.5" bestFit="1" customWidth="1"/>
    <col min="30" max="30" width="8.75" bestFit="1" customWidth="1"/>
    <col min="31" max="31" width="4.375" bestFit="1" customWidth="1"/>
    <col min="32" max="32" width="9.25" bestFit="1" customWidth="1"/>
  </cols>
  <sheetData>
    <row r="2" spans="2:29" ht="24.75" thickBot="1" x14ac:dyDescent="0.35">
      <c r="B2" s="101" t="s">
        <v>185</v>
      </c>
      <c r="C2" s="101"/>
      <c r="D2" s="101"/>
    </row>
    <row r="3" spans="2:29" ht="17.25" thickTop="1" x14ac:dyDescent="0.3"/>
    <row r="4" spans="2:29" x14ac:dyDescent="0.3">
      <c r="B4" s="2" t="s">
        <v>186</v>
      </c>
      <c r="C4" s="100">
        <f>C12</f>
        <v>289294827</v>
      </c>
      <c r="D4" s="100"/>
    </row>
    <row r="5" spans="2:29" x14ac:dyDescent="0.3">
      <c r="B5" s="2" t="s">
        <v>187</v>
      </c>
      <c r="C5" s="100">
        <f>Z11</f>
        <v>0</v>
      </c>
      <c r="D5" s="100"/>
    </row>
    <row r="6" spans="2:29" x14ac:dyDescent="0.3">
      <c r="AB6" s="59">
        <f>AVERAGE('1월:12월'!C27)</f>
        <v>3242746.75</v>
      </c>
      <c r="AC6" s="95">
        <f>AA6-AB6</f>
        <v>-3242746.75</v>
      </c>
    </row>
    <row r="7" spans="2:29" ht="17.25" thickBot="1" x14ac:dyDescent="0.35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Y7" s="3"/>
      <c r="Z7" s="3"/>
      <c r="AA7" s="3"/>
      <c r="AB7" s="96">
        <f>AVERAGE('1월:12월'!C28)</f>
        <v>1182046.5</v>
      </c>
      <c r="AC7" s="95">
        <f t="shared" ref="AC7:AC25" si="0">AA7-AB7</f>
        <v>-1182046.5</v>
      </c>
    </row>
    <row r="8" spans="2:29" x14ac:dyDescent="0.3">
      <c r="B8" s="102" t="s">
        <v>6</v>
      </c>
      <c r="C8" s="103"/>
      <c r="D8" s="103"/>
      <c r="E8" s="103"/>
      <c r="F8" s="103"/>
      <c r="G8" s="103"/>
      <c r="H8" s="103"/>
      <c r="I8" s="103"/>
      <c r="J8" s="103"/>
      <c r="K8" s="103"/>
      <c r="L8" s="103"/>
      <c r="M8" s="103"/>
      <c r="N8" s="103"/>
      <c r="O8" s="103"/>
      <c r="P8" s="103"/>
      <c r="Q8" s="104"/>
      <c r="R8" s="106" t="s">
        <v>7</v>
      </c>
      <c r="S8" s="106"/>
      <c r="T8" s="106"/>
      <c r="U8" s="106"/>
      <c r="V8" s="106"/>
      <c r="W8" s="106"/>
      <c r="Y8" s="113" t="s">
        <v>8</v>
      </c>
      <c r="Z8" s="114"/>
      <c r="AA8" s="114"/>
      <c r="AB8" s="115"/>
      <c r="AC8" s="95">
        <f t="shared" si="0"/>
        <v>0</v>
      </c>
    </row>
    <row r="9" spans="2:29" x14ac:dyDescent="0.3">
      <c r="B9" s="125" t="s">
        <v>9</v>
      </c>
      <c r="C9" s="126"/>
      <c r="D9" s="127" t="s">
        <v>10</v>
      </c>
      <c r="E9" s="127"/>
      <c r="F9" s="128" t="s">
        <v>11</v>
      </c>
      <c r="G9" s="128"/>
      <c r="H9" s="129" t="s">
        <v>12</v>
      </c>
      <c r="I9" s="129"/>
      <c r="J9" s="105" t="s">
        <v>13</v>
      </c>
      <c r="K9" s="105"/>
      <c r="L9" s="99" t="s">
        <v>14</v>
      </c>
      <c r="M9" s="99"/>
      <c r="N9" s="120" t="s">
        <v>15</v>
      </c>
      <c r="O9" s="120"/>
      <c r="P9" s="121" t="s">
        <v>16</v>
      </c>
      <c r="Q9" s="121"/>
      <c r="R9" s="122" t="s">
        <v>17</v>
      </c>
      <c r="S9" s="122"/>
      <c r="T9" s="123" t="s">
        <v>18</v>
      </c>
      <c r="U9" s="123"/>
      <c r="V9" s="124" t="s">
        <v>19</v>
      </c>
      <c r="W9" s="124"/>
      <c r="Y9" s="116" t="s">
        <v>20</v>
      </c>
      <c r="Z9" s="117"/>
      <c r="AA9" s="118" t="s">
        <v>21</v>
      </c>
      <c r="AB9" s="119"/>
      <c r="AC9" s="95"/>
    </row>
    <row r="10" spans="2:29" x14ac:dyDescent="0.3">
      <c r="B10" s="7" t="s">
        <v>22</v>
      </c>
      <c r="C10" s="18">
        <f>설정!D83</f>
        <v>33266027</v>
      </c>
      <c r="D10" s="7" t="s">
        <v>22</v>
      </c>
      <c r="E10" s="18">
        <f>설정!F83</f>
        <v>0</v>
      </c>
      <c r="F10" s="7" t="s">
        <v>22</v>
      </c>
      <c r="G10" s="18">
        <f>설정!H83</f>
        <v>0</v>
      </c>
      <c r="H10" s="7" t="s">
        <v>22</v>
      </c>
      <c r="I10" s="18">
        <f>설정!J83</f>
        <v>135302094</v>
      </c>
      <c r="J10" s="7" t="s">
        <v>22</v>
      </c>
      <c r="K10" s="18">
        <f>설정!L83</f>
        <v>550123</v>
      </c>
      <c r="L10" s="7" t="s">
        <v>22</v>
      </c>
      <c r="M10" s="18">
        <f>설정!N83</f>
        <v>0</v>
      </c>
      <c r="N10" s="7" t="s">
        <v>22</v>
      </c>
      <c r="O10" s="18">
        <f>설정!P83</f>
        <v>0</v>
      </c>
      <c r="P10" s="7" t="s">
        <v>22</v>
      </c>
      <c r="Q10" s="18">
        <f>설정!R83</f>
        <v>103826543</v>
      </c>
      <c r="R10" s="7" t="s">
        <v>22</v>
      </c>
      <c r="S10" s="18">
        <f>설정!T83</f>
        <v>40</v>
      </c>
      <c r="T10" s="7" t="s">
        <v>22</v>
      </c>
      <c r="U10" s="18">
        <f>설정!V83</f>
        <v>0</v>
      </c>
      <c r="V10" s="7" t="s">
        <v>22</v>
      </c>
      <c r="W10" s="19">
        <f>설정!X83</f>
        <v>16350000</v>
      </c>
      <c r="Y10" s="7" t="s">
        <v>22</v>
      </c>
      <c r="Z10" s="21">
        <f>설정!AA19</f>
        <v>0</v>
      </c>
      <c r="AA10" s="7" t="s">
        <v>22</v>
      </c>
      <c r="AB10" s="21">
        <f>설정!AC19</f>
        <v>0</v>
      </c>
      <c r="AC10" s="95"/>
    </row>
    <row r="11" spans="2:29" ht="17.25" thickBot="1" x14ac:dyDescent="0.35">
      <c r="B11" s="7" t="s">
        <v>24</v>
      </c>
      <c r="C11" s="107">
        <f>SUM(C10,E10,G10,I10,K10,M10,O10,Q10)</f>
        <v>272944787</v>
      </c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9"/>
      <c r="R11" s="7" t="s">
        <v>24</v>
      </c>
      <c r="S11" s="107">
        <f>SUM(S10,U10,W10)</f>
        <v>16350040</v>
      </c>
      <c r="T11" s="108"/>
      <c r="U11" s="108"/>
      <c r="V11" s="108"/>
      <c r="W11" s="109"/>
      <c r="Y11" s="12" t="s">
        <v>23</v>
      </c>
      <c r="Z11" s="38">
        <f>SUM(Z10,AB10)</f>
        <v>0</v>
      </c>
      <c r="AA11" s="97"/>
      <c r="AB11" s="98"/>
      <c r="AC11" s="95">
        <f t="shared" si="0"/>
        <v>0</v>
      </c>
    </row>
    <row r="12" spans="2:29" ht="17.25" thickBot="1" x14ac:dyDescent="0.35">
      <c r="B12" s="12" t="s">
        <v>23</v>
      </c>
      <c r="C12" s="110">
        <f>SUM(C11,S11)</f>
        <v>289294827</v>
      </c>
      <c r="D12" s="111"/>
      <c r="E12" s="111"/>
      <c r="F12" s="111"/>
      <c r="G12" s="111"/>
      <c r="H12" s="111"/>
      <c r="I12" s="111"/>
      <c r="J12" s="111"/>
      <c r="K12" s="111"/>
      <c r="L12" s="111"/>
      <c r="M12" s="111"/>
      <c r="N12" s="111"/>
      <c r="O12" s="111"/>
      <c r="P12" s="111"/>
      <c r="Q12" s="111"/>
      <c r="R12" s="111"/>
      <c r="S12" s="111"/>
      <c r="T12" s="111"/>
      <c r="U12" s="111"/>
      <c r="V12" s="111"/>
      <c r="W12" s="112"/>
      <c r="AB12" s="59">
        <f>AVERAGE('1월:12월'!C33)</f>
        <v>73028.833333333328</v>
      </c>
      <c r="AC12" s="95">
        <f t="shared" si="0"/>
        <v>-73028.833333333328</v>
      </c>
    </row>
    <row r="13" spans="2:29" x14ac:dyDescent="0.3">
      <c r="AB13" s="59">
        <f>AVERAGE('1월:12월'!C34)</f>
        <v>60236.666666666664</v>
      </c>
      <c r="AC13" s="95">
        <f t="shared" si="0"/>
        <v>-60236.666666666664</v>
      </c>
    </row>
    <row r="14" spans="2:29" x14ac:dyDescent="0.3">
      <c r="B14" s="131" t="s">
        <v>188</v>
      </c>
      <c r="C14" s="131"/>
      <c r="AB14" s="59">
        <f>AVERAGE('1월:12월'!C35)</f>
        <v>251876.75</v>
      </c>
      <c r="AC14" s="95">
        <f t="shared" si="0"/>
        <v>-251876.75</v>
      </c>
    </row>
    <row r="15" spans="2:29" x14ac:dyDescent="0.3">
      <c r="B15" s="130" t="s">
        <v>189</v>
      </c>
      <c r="C15" s="130"/>
      <c r="D15" s="130" t="s">
        <v>190</v>
      </c>
      <c r="E15" s="130"/>
      <c r="F15" s="130" t="s">
        <v>191</v>
      </c>
      <c r="G15" s="130"/>
      <c r="H15" s="130" t="s">
        <v>192</v>
      </c>
      <c r="I15" s="130"/>
      <c r="J15" s="130" t="s">
        <v>193</v>
      </c>
      <c r="K15" s="130"/>
      <c r="L15" s="130" t="s">
        <v>194</v>
      </c>
      <c r="M15" s="130"/>
      <c r="N15" s="130" t="s">
        <v>195</v>
      </c>
      <c r="O15" s="130"/>
      <c r="P15" s="130" t="s">
        <v>196</v>
      </c>
      <c r="Q15" s="130"/>
      <c r="R15" s="130" t="s">
        <v>197</v>
      </c>
      <c r="S15" s="130"/>
      <c r="T15" s="130" t="s">
        <v>198</v>
      </c>
      <c r="U15" s="130"/>
      <c r="V15" s="130" t="s">
        <v>199</v>
      </c>
      <c r="W15" s="130"/>
      <c r="X15" s="130" t="s">
        <v>200</v>
      </c>
      <c r="Y15" s="130"/>
      <c r="AB15" s="59">
        <f>AVERAGE('1월:12월'!C36)</f>
        <v>55367.75</v>
      </c>
      <c r="AC15" s="95">
        <f t="shared" si="0"/>
        <v>-55367.75</v>
      </c>
    </row>
    <row r="16" spans="2:29" x14ac:dyDescent="0.3">
      <c r="B16" s="132">
        <f>'1월'!C5</f>
        <v>-15637165</v>
      </c>
      <c r="C16" s="132"/>
      <c r="D16" s="132">
        <f>'2월'!C5</f>
        <v>26240885</v>
      </c>
      <c r="E16" s="132"/>
      <c r="F16" s="132">
        <f>'3월'!C5</f>
        <v>-12174686</v>
      </c>
      <c r="G16" s="132"/>
      <c r="H16" s="132">
        <f>'4월'!C5</f>
        <v>11578440</v>
      </c>
      <c r="I16" s="132"/>
      <c r="J16" s="132">
        <f>'5월'!C5</f>
        <v>835455</v>
      </c>
      <c r="K16" s="132"/>
      <c r="L16" s="132">
        <f>'6월'!C5</f>
        <v>4114359</v>
      </c>
      <c r="M16" s="132"/>
      <c r="N16" s="132">
        <f>'7월'!C5</f>
        <v>-9999537</v>
      </c>
      <c r="O16" s="132"/>
      <c r="P16" s="132">
        <f>'8월'!C5</f>
        <v>-2277281</v>
      </c>
      <c r="Q16" s="132"/>
      <c r="R16" s="132">
        <f>'9월'!C5</f>
        <v>971088</v>
      </c>
      <c r="S16" s="132"/>
      <c r="T16" s="132">
        <f>'10월'!C5</f>
        <v>-1623498</v>
      </c>
      <c r="U16" s="132"/>
      <c r="V16" s="132">
        <f>'11월'!C5</f>
        <v>-369139</v>
      </c>
      <c r="W16" s="132"/>
      <c r="X16" s="132">
        <f>'12월'!C5</f>
        <v>14717156</v>
      </c>
      <c r="Y16" s="132"/>
      <c r="AB16" s="59">
        <f>AVERAGE('1월:12월'!C37)</f>
        <v>115025</v>
      </c>
      <c r="AC16" s="95">
        <f t="shared" si="0"/>
        <v>-115025</v>
      </c>
    </row>
    <row r="17" spans="28:29" x14ac:dyDescent="0.3">
      <c r="AB17" s="59">
        <f>AVERAGE('1월:12월'!C38)</f>
        <v>0</v>
      </c>
      <c r="AC17" s="95">
        <f t="shared" si="0"/>
        <v>0</v>
      </c>
    </row>
    <row r="18" spans="28:29" x14ac:dyDescent="0.3">
      <c r="AB18" s="59">
        <f>AVERAGE('1월:12월'!C39)</f>
        <v>7666.666666666667</v>
      </c>
      <c r="AC18" s="95">
        <f t="shared" si="0"/>
        <v>-7666.666666666667</v>
      </c>
    </row>
    <row r="19" spans="28:29" x14ac:dyDescent="0.3">
      <c r="AB19" s="59">
        <f>AVERAGE('1월:12월'!C40)</f>
        <v>0</v>
      </c>
      <c r="AC19" s="95">
        <f t="shared" si="0"/>
        <v>0</v>
      </c>
    </row>
    <row r="20" spans="28:29" x14ac:dyDescent="0.3">
      <c r="AB20" s="59">
        <f>AVERAGE('1월:12월'!C41)</f>
        <v>44083.333333333336</v>
      </c>
      <c r="AC20" s="95">
        <f t="shared" si="0"/>
        <v>-44083.333333333336</v>
      </c>
    </row>
    <row r="21" spans="28:29" x14ac:dyDescent="0.3">
      <c r="AB21" s="59">
        <f>AVERAGE('1월:12월'!C42)</f>
        <v>33166.666666666664</v>
      </c>
      <c r="AC21" s="95">
        <f t="shared" si="0"/>
        <v>-33166.666666666664</v>
      </c>
    </row>
    <row r="22" spans="28:29" x14ac:dyDescent="0.3">
      <c r="AB22" s="59">
        <f>AVERAGE('1월:12월'!C43)</f>
        <v>209845.16666666666</v>
      </c>
      <c r="AC22" s="95">
        <f t="shared" si="0"/>
        <v>-209845.16666666666</v>
      </c>
    </row>
    <row r="23" spans="28:29" x14ac:dyDescent="0.3">
      <c r="AB23" s="59">
        <f>AVERAGE('1월:12월'!C44)</f>
        <v>39813.083333333336</v>
      </c>
      <c r="AC23" s="95">
        <f t="shared" si="0"/>
        <v>-39813.083333333336</v>
      </c>
    </row>
    <row r="24" spans="28:29" x14ac:dyDescent="0.3">
      <c r="AB24" s="59">
        <f>AVERAGE('1월:12월'!C45)</f>
        <v>94787.916666666672</v>
      </c>
      <c r="AC24" s="95">
        <f t="shared" si="0"/>
        <v>-94787.916666666672</v>
      </c>
    </row>
    <row r="25" spans="28:29" x14ac:dyDescent="0.3">
      <c r="AB25" s="59">
        <f>AVERAGE('1월:12월'!C46)</f>
        <v>6950</v>
      </c>
      <c r="AC25" s="95">
        <f t="shared" si="0"/>
        <v>-6950</v>
      </c>
    </row>
    <row r="26" spans="28:29" x14ac:dyDescent="0.3">
      <c r="AC26" s="91"/>
    </row>
  </sheetData>
  <mergeCells count="47">
    <mergeCell ref="T16:U16"/>
    <mergeCell ref="V16:W16"/>
    <mergeCell ref="X16:Y16"/>
    <mergeCell ref="X15:Y15"/>
    <mergeCell ref="B16:C16"/>
    <mergeCell ref="D16:E16"/>
    <mergeCell ref="F16:G16"/>
    <mergeCell ref="H16:I16"/>
    <mergeCell ref="J16:K16"/>
    <mergeCell ref="L16:M16"/>
    <mergeCell ref="N16:O16"/>
    <mergeCell ref="P16:Q16"/>
    <mergeCell ref="R16:S16"/>
    <mergeCell ref="L15:M15"/>
    <mergeCell ref="N15:O15"/>
    <mergeCell ref="P15:Q15"/>
    <mergeCell ref="R15:S15"/>
    <mergeCell ref="T15:U15"/>
    <mergeCell ref="V15:W15"/>
    <mergeCell ref="B14:C14"/>
    <mergeCell ref="B15:C15"/>
    <mergeCell ref="D15:E15"/>
    <mergeCell ref="F15:G15"/>
    <mergeCell ref="H15:I15"/>
    <mergeCell ref="J15:K15"/>
    <mergeCell ref="R8:W8"/>
    <mergeCell ref="C11:Q11"/>
    <mergeCell ref="S11:W11"/>
    <mergeCell ref="C12:W12"/>
    <mergeCell ref="Y8:AB8"/>
    <mergeCell ref="Y9:Z9"/>
    <mergeCell ref="AA9:AB9"/>
    <mergeCell ref="N9:O9"/>
    <mergeCell ref="P9:Q9"/>
    <mergeCell ref="R9:S9"/>
    <mergeCell ref="T9:U9"/>
    <mergeCell ref="V9:W9"/>
    <mergeCell ref="B9:C9"/>
    <mergeCell ref="D9:E9"/>
    <mergeCell ref="F9:G9"/>
    <mergeCell ref="H9:I9"/>
    <mergeCell ref="L9:M9"/>
    <mergeCell ref="C4:D4"/>
    <mergeCell ref="C5:D5"/>
    <mergeCell ref="B2:D2"/>
    <mergeCell ref="B8:Q8"/>
    <mergeCell ref="J9:K9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18983-1384-4DDD-9DB4-9F488C4276EA}">
  <sheetPr codeName="Sheet4">
    <tabColor theme="3" tint="0.89999084444715716"/>
  </sheetPr>
  <dimension ref="A1"/>
  <sheetViews>
    <sheetView workbookViewId="0">
      <selection activeCell="J37" sqref="J37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CC670-8681-46B7-8C7D-CC31A3936D7B}">
  <sheetPr codeName="Sheet5">
    <tabColor rgb="FFDAE9F8"/>
  </sheetPr>
  <dimension ref="A1"/>
  <sheetViews>
    <sheetView workbookViewId="0">
      <selection activeCell="J37" sqref="J37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8947-A151-4667-8864-27392E7F9585}">
  <sheetPr codeName="Sheet20">
    <tabColor rgb="FFDAE9F8"/>
  </sheetPr>
  <dimension ref="B2:AE26"/>
  <sheetViews>
    <sheetView zoomScaleNormal="100" workbookViewId="0">
      <selection activeCell="A22" sqref="A22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4" max="4" width="9" customWidth="1"/>
    <col min="10" max="10" width="2.25" customWidth="1"/>
    <col min="11" max="11" width="5.125" customWidth="1"/>
    <col min="12" max="12" width="17.5" customWidth="1"/>
    <col min="13" max="13" width="15.875" customWidth="1"/>
    <col min="14" max="14" width="15.125" customWidth="1"/>
    <col min="15" max="15" width="11" customWidth="1"/>
    <col min="16" max="16" width="2.25" customWidth="1"/>
    <col min="17" max="17" width="5.125" customWidth="1"/>
    <col min="18" max="18" width="17.5" customWidth="1"/>
    <col min="19" max="19" width="15.875" customWidth="1"/>
    <col min="20" max="20" width="15.125" customWidth="1"/>
    <col min="21" max="21" width="14.625" customWidth="1"/>
    <col min="22" max="22" width="2.25" customWidth="1"/>
    <col min="23" max="23" width="11.375" bestFit="1" customWidth="1"/>
    <col min="24" max="24" width="17.5" customWidth="1"/>
    <col min="25" max="25" width="2.25" customWidth="1"/>
    <col min="26" max="26" width="9.25" bestFit="1" customWidth="1"/>
    <col min="27" max="27" width="17.5" customWidth="1"/>
    <col min="28" max="28" width="7.625" bestFit="1" customWidth="1"/>
    <col min="29" max="29" width="5.5" bestFit="1" customWidth="1"/>
    <col min="30" max="30" width="8.75" bestFit="1" customWidth="1"/>
    <col min="31" max="31" width="4.375" bestFit="1" customWidth="1"/>
    <col min="32" max="32" width="9.25" bestFit="1" customWidth="1"/>
  </cols>
  <sheetData>
    <row r="2" spans="2:31" ht="24.75" thickBot="1" x14ac:dyDescent="0.35">
      <c r="B2" s="101" t="s">
        <v>140</v>
      </c>
      <c r="C2" s="101"/>
      <c r="D2" s="101"/>
      <c r="AB2" s="52" t="s">
        <v>142</v>
      </c>
      <c r="AC2" s="5">
        <f>설정!H4</f>
        <v>2025</v>
      </c>
      <c r="AD2" s="52" t="s">
        <v>141</v>
      </c>
      <c r="AE2" s="5" t="s">
        <v>194</v>
      </c>
    </row>
    <row r="3" spans="2:31" ht="17.25" thickTop="1" x14ac:dyDescent="0.3"/>
    <row r="4" spans="2:31" x14ac:dyDescent="0.3">
      <c r="B4" s="131" t="s">
        <v>151</v>
      </c>
      <c r="C4" s="131"/>
      <c r="K4" s="133" t="s">
        <v>155</v>
      </c>
      <c r="L4" s="133"/>
      <c r="Q4" s="133" t="s">
        <v>184</v>
      </c>
      <c r="R4" s="133"/>
      <c r="S4" s="133"/>
      <c r="W4" s="136" t="s">
        <v>152</v>
      </c>
      <c r="X4" s="137"/>
      <c r="Z4" s="134" t="s">
        <v>143</v>
      </c>
      <c r="AA4" s="135"/>
    </row>
    <row r="5" spans="2:31" x14ac:dyDescent="0.3">
      <c r="B5" s="2"/>
      <c r="C5" s="51"/>
      <c r="K5" s="83"/>
      <c r="L5" s="25" t="s">
        <v>33</v>
      </c>
      <c r="M5" s="25" t="s">
        <v>156</v>
      </c>
      <c r="N5" s="25" t="s">
        <v>157</v>
      </c>
      <c r="O5" s="71" t="s">
        <v>158</v>
      </c>
      <c r="Q5" s="83"/>
      <c r="R5" s="25" t="s">
        <v>33</v>
      </c>
      <c r="S5" s="25" t="s">
        <v>156</v>
      </c>
      <c r="T5" s="25" t="s">
        <v>157</v>
      </c>
      <c r="U5" s="71" t="s">
        <v>183</v>
      </c>
      <c r="W5" s="45" t="s">
        <v>28</v>
      </c>
      <c r="X5" s="47" t="s">
        <v>30</v>
      </c>
      <c r="Z5" s="46" t="s">
        <v>28</v>
      </c>
      <c r="AA5" s="45" t="s">
        <v>30</v>
      </c>
    </row>
    <row r="6" spans="2:31" x14ac:dyDescent="0.3">
      <c r="B6" s="2"/>
      <c r="C6" s="51"/>
      <c r="K6" s="84"/>
      <c r="L6" s="2"/>
      <c r="M6" s="28"/>
      <c r="N6" s="5"/>
      <c r="O6" s="85"/>
      <c r="Q6" s="84"/>
      <c r="R6" s="2"/>
      <c r="S6" s="28"/>
      <c r="T6" s="5"/>
      <c r="U6" s="85"/>
      <c r="W6" s="48" t="str" cm="1">
        <f t="array" aca="1" ref="W6:W9" ca="1">INDIRECT("'" &amp; $AE$2 &amp; "'!$B$52:$B$55")</f>
        <v>금융수입</v>
      </c>
      <c r="X6" s="62" cm="1">
        <f t="array" aca="1" ref="X6:X9" ca="1">INDIRECT("'" &amp; $AE$2 &amp; "'!$C$52:$C$55")</f>
        <v>31599</v>
      </c>
      <c r="Z6" s="55" t="str" cm="1">
        <f t="array" aca="1" ref="Z6:Z25" ca="1">INDIRECT("'" &amp; $AE$2 &amp; "'!$B$27:$B$46")</f>
        <v>금융</v>
      </c>
      <c r="AA6" s="57" cm="1">
        <f t="array" aca="1" ref="AA6:AA25" ca="1">INDIRECT("'" &amp; $AE$2 &amp; "'!$C$27:$C$46")</f>
        <v>94300</v>
      </c>
      <c r="AB6" s="59">
        <f>AVERAGE('1월:12월'!C27)</f>
        <v>3242746.75</v>
      </c>
      <c r="AC6" s="95">
        <f ca="1">AA6-AB6</f>
        <v>-3148446.75</v>
      </c>
    </row>
    <row r="7" spans="2:31" ht="17.25" thickBot="1" x14ac:dyDescent="0.35">
      <c r="B7" s="2"/>
      <c r="C7" s="63"/>
      <c r="K7" s="72">
        <v>1</v>
      </c>
      <c r="L7" s="65" t="str">
        <f ca="1">INDEX(_xlfn.ANCHORARRAY(Z6), MATCH(LARGE(_xlfn.ANCHORARRAY(AA6), 1),_xlfn.ANCHORARRAY( AA6), 0))</f>
        <v>여행/숙박</v>
      </c>
      <c r="M7" s="64">
        <f ca="1">LARGE(_xlfn.ANCHORARRAY(AA6),1)</f>
        <v>1000334</v>
      </c>
      <c r="N7" s="79">
        <f ca="1">INDEX(AB6:AB25, MATCH(LARGE(_xlfn.ANCHORARRAY(AA6), 1),_xlfn.ANCHORARRAY( AA6), 0))</f>
        <v>251876.75</v>
      </c>
      <c r="O7" s="86">
        <f ca="1">M7/$AA$26</f>
        <v>0.21532684095716126</v>
      </c>
      <c r="Q7" s="72">
        <v>1</v>
      </c>
      <c r="R7" s="65" t="str">
        <f ca="1">INDEX(_xlfn.ANCHORARRAY(Z6), MATCH(LARGE($AC$6:$AC$25, 1), $AC$6:$AC$25, 0))</f>
        <v>의복/미용</v>
      </c>
      <c r="S7" s="64">
        <f ca="1">INDEX(_xlfn.ANCHORARRAY(AA6), MATCH(LARGE($AC$6:$AC$25, 1), $AC$6:$AC$25, 0))</f>
        <v>894595</v>
      </c>
      <c r="T7" s="79">
        <f ca="1">INDEX(AB6:AB25, MATCH(LARGE($AC$6:$AC$25, 1), $AC$6:$AC$25, 0))</f>
        <v>94787.916666666672</v>
      </c>
      <c r="U7" s="92">
        <f ca="1">S7-T7</f>
        <v>799807.08333333337</v>
      </c>
      <c r="W7" s="49" t="str">
        <f ca="1"/>
        <v>급여</v>
      </c>
      <c r="X7" s="30">
        <f ca="1"/>
        <v>8256126</v>
      </c>
      <c r="Z7" s="55" t="str">
        <f ca="1"/>
        <v>생활</v>
      </c>
      <c r="AA7" s="57">
        <f ca="1"/>
        <v>766623</v>
      </c>
      <c r="AB7" s="59">
        <f>AVERAGE('1월:12월'!C28)</f>
        <v>1182046.5</v>
      </c>
      <c r="AC7" s="95">
        <f t="shared" ref="AC7:AC25" ca="1" si="0">AA7-AB7</f>
        <v>-415423.5</v>
      </c>
    </row>
    <row r="8" spans="2:31" ht="17.25" thickTop="1" x14ac:dyDescent="0.3">
      <c r="K8" s="73"/>
      <c r="L8" s="80"/>
      <c r="M8" s="28"/>
      <c r="N8" s="5"/>
      <c r="O8" s="85"/>
      <c r="Q8" s="73"/>
      <c r="R8" s="80"/>
      <c r="S8" s="28"/>
      <c r="T8" s="5"/>
      <c r="U8" s="85"/>
      <c r="W8" s="49" t="str">
        <f ca="1"/>
        <v>용돈</v>
      </c>
      <c r="X8" s="30">
        <f ca="1"/>
        <v>0</v>
      </c>
      <c r="Z8" s="55" t="str">
        <f ca="1"/>
        <v>식비</v>
      </c>
      <c r="AA8" s="57">
        <f ca="1"/>
        <v>427200</v>
      </c>
      <c r="AB8" s="59">
        <f>AVERAGE('1월:12월'!C29)</f>
        <v>214469.33333333334</v>
      </c>
      <c r="AC8" s="95">
        <f t="shared" ca="1" si="0"/>
        <v>212730.66666666666</v>
      </c>
    </row>
    <row r="9" spans="2:31" ht="17.25" thickBot="1" x14ac:dyDescent="0.35">
      <c r="K9" s="74">
        <v>2</v>
      </c>
      <c r="L9" s="68" t="str">
        <f ca="1">INDEX(_xlfn.ANCHORARRAY(Z6), MATCH(LARGE(_xlfn.ANCHORARRAY(AA6), 2),_xlfn.ANCHORARRAY( AA6), 0))</f>
        <v>의복/미용</v>
      </c>
      <c r="M9" s="66">
        <f ca="1">LARGE(_xlfn.ANCHORARRAY(AA6),2)</f>
        <v>894595</v>
      </c>
      <c r="N9" s="66">
        <f ca="1">INDEX(AB6:AB25, MATCH(LARGE(_xlfn.ANCHORARRAY(AA6), 2),_xlfn.ANCHORARRAY( AA6), 0))</f>
        <v>94787.916666666672</v>
      </c>
      <c r="O9" s="87">
        <f ca="1">M9/$AA$26</f>
        <v>0.19256599824265863</v>
      </c>
      <c r="Q9" s="74">
        <v>2</v>
      </c>
      <c r="R9" s="68" t="str">
        <f ca="1">INDEX(_xlfn.ANCHORARRAY(Z6), MATCH(LARGE($AC$6:$AC$25, 2), $AC$6:$AC$25, 0))</f>
        <v>여행/숙박</v>
      </c>
      <c r="S9" s="66">
        <f ca="1">INDEX(_xlfn.ANCHORARRAY(AA6), MATCH(LARGE($AC$6:$AC$25, 2), $AC$6:$AC$25, 0))</f>
        <v>1000334</v>
      </c>
      <c r="T9" s="66">
        <f ca="1">INDEX(AB6:AB25, MATCH(LARGE($AC$6:$AC$25, 2), $AC$6:$AC$25, 0))</f>
        <v>251876.75</v>
      </c>
      <c r="U9" s="93">
        <f ca="1">S9-T9</f>
        <v>748457.25</v>
      </c>
      <c r="W9" s="49" t="str">
        <f ca="1"/>
        <v>기타수입</v>
      </c>
      <c r="X9" s="30">
        <f ca="1"/>
        <v>404480</v>
      </c>
      <c r="Z9" s="55" t="str">
        <f ca="1"/>
        <v>주거/통신</v>
      </c>
      <c r="AA9" s="57">
        <f ca="1"/>
        <v>316830</v>
      </c>
      <c r="AB9" s="59">
        <f>AVERAGE('1월:12월'!C30)</f>
        <v>965092.66666666663</v>
      </c>
      <c r="AC9" s="95">
        <f t="shared" ca="1" si="0"/>
        <v>-648262.66666666663</v>
      </c>
    </row>
    <row r="10" spans="2:31" ht="17.25" thickTop="1" x14ac:dyDescent="0.3">
      <c r="K10" s="75"/>
      <c r="L10" s="81"/>
      <c r="M10" s="28"/>
      <c r="N10" s="5"/>
      <c r="O10" s="85"/>
      <c r="Q10" s="75"/>
      <c r="R10" s="81"/>
      <c r="S10" s="28"/>
      <c r="T10" s="5"/>
      <c r="U10" s="85"/>
      <c r="W10" s="49"/>
      <c r="X10" s="15"/>
      <c r="Z10" s="55" t="str">
        <f ca="1"/>
        <v>온라인쇼핑</v>
      </c>
      <c r="AA10" s="57">
        <f ca="1"/>
        <v>27400</v>
      </c>
      <c r="AB10" s="59">
        <f>AVERAGE('1월:12월'!C31)</f>
        <v>276230.83333333331</v>
      </c>
      <c r="AC10" s="95">
        <f t="shared" ca="1" si="0"/>
        <v>-248830.83333333331</v>
      </c>
    </row>
    <row r="11" spans="2:31" ht="17.25" thickBot="1" x14ac:dyDescent="0.35">
      <c r="K11" s="76">
        <v>3</v>
      </c>
      <c r="L11" s="69" t="str">
        <f ca="1">INDEX(_xlfn.ANCHORARRAY(Z6), MATCH(LARGE(_xlfn.ANCHORARRAY(AA6), 3),_xlfn.ANCHORARRAY( AA6), 0))</f>
        <v>생활</v>
      </c>
      <c r="M11" s="67">
        <f ca="1">LARGE(_xlfn.ANCHORARRAY(AA6),3)</f>
        <v>766623</v>
      </c>
      <c r="N11" s="67">
        <f ca="1">INDEX(AB6:AB25, MATCH(LARGE(_xlfn.ANCHORARRAY(AA6), 3),_xlfn.ANCHORARRAY( AA6), 0))</f>
        <v>1182046.5</v>
      </c>
      <c r="O11" s="88">
        <f ca="1">M11/$AA$26</f>
        <v>0.16501939231806759</v>
      </c>
      <c r="Q11" s="76">
        <v>3</v>
      </c>
      <c r="R11" s="69" t="str">
        <f ca="1">INDEX(_xlfn.ANCHORARRAY(Z6), MATCH(LARGE($AC$6:$AC$25, 3), $AC$6:$AC$25, 0))</f>
        <v>술/유흥</v>
      </c>
      <c r="S11" s="67">
        <f ca="1">INDEX(_xlfn.ANCHORARRAY(AA6), MATCH(LARGE($AC$6:$AC$25, 3), $AC$6:$AC$25, 0))</f>
        <v>400000</v>
      </c>
      <c r="T11" s="67">
        <f ca="1">INDEX(AB6:AB25, MATCH(LARGE($AC$6:$AC$25, 3), $AC$6:$AC$25, 0))</f>
        <v>44083.333333333336</v>
      </c>
      <c r="U11" s="94">
        <f ca="1">S11-T11</f>
        <v>355916.66666666669</v>
      </c>
      <c r="W11" s="49"/>
      <c r="X11" s="15"/>
      <c r="Z11" s="55" t="str">
        <f ca="1"/>
        <v>자동차</v>
      </c>
      <c r="AA11" s="57">
        <f ca="1"/>
        <v>322232</v>
      </c>
      <c r="AB11" s="59">
        <f>AVERAGE('1월:12월'!C32)</f>
        <v>218569.33333333334</v>
      </c>
      <c r="AC11" s="95">
        <f t="shared" ca="1" si="0"/>
        <v>103662.66666666666</v>
      </c>
    </row>
    <row r="12" spans="2:31" ht="17.25" thickTop="1" x14ac:dyDescent="0.3">
      <c r="K12" s="75"/>
      <c r="L12" s="82"/>
      <c r="M12" s="28"/>
      <c r="N12" s="5"/>
      <c r="O12" s="85"/>
      <c r="Q12" s="75"/>
      <c r="R12" s="82"/>
      <c r="S12" s="28"/>
      <c r="T12" s="5"/>
      <c r="U12" s="85"/>
      <c r="W12" s="49"/>
      <c r="X12" s="15"/>
      <c r="Z12" s="55" t="str">
        <f ca="1"/>
        <v>교통</v>
      </c>
      <c r="AA12" s="57">
        <f ca="1"/>
        <v>189500</v>
      </c>
      <c r="AB12" s="59">
        <f>AVERAGE('1월:12월'!C33)</f>
        <v>73028.833333333328</v>
      </c>
      <c r="AC12" s="95">
        <f t="shared" ca="1" si="0"/>
        <v>116471.16666666667</v>
      </c>
    </row>
    <row r="13" spans="2:31" x14ac:dyDescent="0.3">
      <c r="K13" s="75">
        <v>4</v>
      </c>
      <c r="L13" s="77" t="str">
        <f ca="1">INDEX(_xlfn.ANCHORARRAY(Z6), MATCH(LARGE(_xlfn.ANCHORARRAY(AA6), 4),_xlfn.ANCHORARRAY( AA6), 0))</f>
        <v>식비</v>
      </c>
      <c r="M13" s="28">
        <f ca="1">LARGE(_xlfn.ANCHORARRAY(AA6),4)</f>
        <v>427200</v>
      </c>
      <c r="N13" s="28">
        <f ca="1">INDEX(AB6:AB25, MATCH(LARGE(_xlfn.ANCHORARRAY(AA6), 4),_xlfn.ANCHORARRAY( AA6), 0))</f>
        <v>214469.33333333334</v>
      </c>
      <c r="O13" s="89">
        <f ca="1">M13/$AA$26</f>
        <v>9.1956912848008054E-2</v>
      </c>
      <c r="Q13" s="75">
        <v>4</v>
      </c>
      <c r="R13" s="77" t="str">
        <f ca="1">INDEX(_xlfn.ANCHORARRAY(Z6), MATCH(LARGE($AC$6:$AC$25, 4), $AC$6:$AC$25, 0))</f>
        <v>식비</v>
      </c>
      <c r="S13" s="28">
        <f ca="1">INDEX(_xlfn.ANCHORARRAY(AA6), MATCH(LARGE($AC$6:$AC$25, 4), $AC$6:$AC$25, 0))</f>
        <v>427200</v>
      </c>
      <c r="T13" s="28">
        <f ca="1">INDEX(AB6:AB25, MATCH(LARGE($AC$6:$AC$25, 4), $AC$6:$AC$25, 0))</f>
        <v>214469.33333333334</v>
      </c>
      <c r="U13" s="26">
        <f ca="1">S13-T13</f>
        <v>212730.66666666666</v>
      </c>
      <c r="W13" s="49"/>
      <c r="X13" s="15"/>
      <c r="Z13" s="55" t="str">
        <f ca="1"/>
        <v>카페/간식</v>
      </c>
      <c r="AA13" s="57">
        <f ca="1"/>
        <v>124240</v>
      </c>
      <c r="AB13" s="59">
        <f>AVERAGE('1월:12월'!C34)</f>
        <v>60236.666666666664</v>
      </c>
      <c r="AC13" s="95">
        <f t="shared" ca="1" si="0"/>
        <v>64003.333333333336</v>
      </c>
    </row>
    <row r="14" spans="2:31" x14ac:dyDescent="0.3">
      <c r="K14" s="75"/>
      <c r="L14" s="77"/>
      <c r="M14" s="28"/>
      <c r="N14" s="5"/>
      <c r="O14" s="85"/>
      <c r="Q14" s="75"/>
      <c r="R14" s="77"/>
      <c r="S14" s="28"/>
      <c r="T14" s="5"/>
      <c r="U14" s="85"/>
      <c r="W14" s="49"/>
      <c r="X14" s="15"/>
      <c r="Z14" s="55" t="str">
        <f ca="1"/>
        <v>여행/숙박</v>
      </c>
      <c r="AA14" s="57">
        <f ca="1"/>
        <v>1000334</v>
      </c>
      <c r="AB14" s="59">
        <f>AVERAGE('1월:12월'!C35)</f>
        <v>251876.75</v>
      </c>
      <c r="AC14" s="95">
        <f t="shared" ca="1" si="0"/>
        <v>748457.25</v>
      </c>
    </row>
    <row r="15" spans="2:31" x14ac:dyDescent="0.3">
      <c r="K15" s="75">
        <v>5</v>
      </c>
      <c r="L15" s="77" t="str">
        <f ca="1">INDEX(_xlfn.ANCHORARRAY(Z6), MATCH(LARGE(_xlfn.ANCHORARRAY(AA6), 5),_xlfn.ANCHORARRAY( AA6), 0))</f>
        <v>술/유흥</v>
      </c>
      <c r="M15" s="28">
        <f ca="1">LARGE(_xlfn.ANCHORARRAY(AA6),5)</f>
        <v>400000</v>
      </c>
      <c r="N15" s="28">
        <f ca="1">INDEX(AB6:AB25, MATCH(LARGE(_xlfn.ANCHORARRAY(AA6), 5),_xlfn.ANCHORARRAY( AA6), 0))</f>
        <v>44083.333333333336</v>
      </c>
      <c r="O15" s="89">
        <f ca="1">M15/$AA$26</f>
        <v>8.6101978322104922E-2</v>
      </c>
      <c r="Q15" s="75">
        <v>5</v>
      </c>
      <c r="R15" s="77" t="str">
        <f ca="1">INDEX(_xlfn.ANCHORARRAY(Z6), MATCH(LARGE($AC$6:$AC$25, 5), $AC$6:$AC$25, 0))</f>
        <v>교통</v>
      </c>
      <c r="S15" s="28">
        <f ca="1">INDEX(_xlfn.ANCHORARRAY(AA6), MATCH(LARGE($AC$6:$AC$25, 5), $AC$6:$AC$25, 0))</f>
        <v>189500</v>
      </c>
      <c r="T15" s="28">
        <f ca="1">INDEX(AB6:AB25, MATCH(LARGE($AC$6:$AC$25, 5), $AC$6:$AC$25, 0))</f>
        <v>73028.833333333328</v>
      </c>
      <c r="U15" s="26">
        <f ca="1">S15-T15</f>
        <v>116471.16666666667</v>
      </c>
      <c r="W15" s="49"/>
      <c r="X15" s="15"/>
      <c r="Z15" s="55" t="str">
        <f ca="1"/>
        <v>문화/여가</v>
      </c>
      <c r="AA15" s="57">
        <f ca="1"/>
        <v>32400</v>
      </c>
      <c r="AB15" s="59">
        <f>AVERAGE('1월:12월'!C36)</f>
        <v>55367.75</v>
      </c>
      <c r="AC15" s="95">
        <f t="shared" ca="1" si="0"/>
        <v>-22967.75</v>
      </c>
    </row>
    <row r="16" spans="2:31" x14ac:dyDescent="0.3">
      <c r="K16" s="75"/>
      <c r="L16" s="77"/>
      <c r="M16" s="28"/>
      <c r="N16" s="5"/>
      <c r="O16" s="85"/>
      <c r="Q16" s="75"/>
      <c r="R16" s="77"/>
      <c r="S16" s="28"/>
      <c r="T16" s="5"/>
      <c r="U16" s="85"/>
      <c r="W16" s="49"/>
      <c r="X16" s="15"/>
      <c r="Z16" s="55" t="str">
        <f ca="1"/>
        <v>의료/건강</v>
      </c>
      <c r="AA16" s="57">
        <f ca="1"/>
        <v>0</v>
      </c>
      <c r="AB16" s="59">
        <f>AVERAGE('1월:12월'!C37)</f>
        <v>115025</v>
      </c>
      <c r="AC16" s="95">
        <f t="shared" ca="1" si="0"/>
        <v>-115025</v>
      </c>
    </row>
    <row r="17" spans="2:29" x14ac:dyDescent="0.3">
      <c r="K17" s="70">
        <v>6</v>
      </c>
      <c r="L17" s="78" t="str">
        <f ca="1">INDEX(_xlfn.ANCHORARRAY(Z6), MATCH(LARGE(_xlfn.ANCHORARRAY(AA6), 6),_xlfn.ANCHORARRAY( AA6), 0))</f>
        <v>자동차</v>
      </c>
      <c r="M17" s="27">
        <f ca="1">LARGE(_xlfn.ANCHORARRAY(AA6),6)</f>
        <v>322232</v>
      </c>
      <c r="N17" s="27">
        <f ca="1">INDEX(AB6:AB25, MATCH(LARGE(_xlfn.ANCHORARRAY(AA6), 6),_xlfn.ANCHORARRAY( AA6), 0))</f>
        <v>218569.33333333334</v>
      </c>
      <c r="O17" s="90">
        <f ca="1">M17/$AA$26</f>
        <v>6.9362031696721282E-2</v>
      </c>
      <c r="Q17" s="70">
        <v>6</v>
      </c>
      <c r="R17" s="78" t="str">
        <f ca="1">INDEX(_xlfn.ANCHORARRAY(Z6), MATCH(LARGE($AC$6:$AC$25, 6), $AC$6:$AC$25, 0))</f>
        <v>자동차</v>
      </c>
      <c r="S17" s="27">
        <f ca="1">INDEX(_xlfn.ANCHORARRAY(AA6), MATCH(LARGE($AC$6:$AC$25, 6), $AC$6:$AC$25, 0))</f>
        <v>322232</v>
      </c>
      <c r="T17" s="27">
        <f ca="1">INDEX(AB6:AB25, MATCH(LARGE($AC$6:$AC$25, 6), $AC$6:$AC$25, 0))</f>
        <v>218569.33333333334</v>
      </c>
      <c r="U17" s="9">
        <f ca="1">S17-T17</f>
        <v>103662.66666666666</v>
      </c>
      <c r="W17" s="49"/>
      <c r="X17" s="15"/>
      <c r="Z17" s="55" t="str">
        <f ca="1"/>
        <v>패션/쇼핑</v>
      </c>
      <c r="AA17" s="57">
        <f ca="1"/>
        <v>0</v>
      </c>
      <c r="AB17" s="59">
        <f>AVERAGE('1월:12월'!C38)</f>
        <v>0</v>
      </c>
      <c r="AC17" s="95">
        <f t="shared" ca="1" si="0"/>
        <v>0</v>
      </c>
    </row>
    <row r="18" spans="2:29" x14ac:dyDescent="0.3">
      <c r="W18" s="49"/>
      <c r="X18" s="15"/>
      <c r="Z18" s="55" t="str">
        <f ca="1"/>
        <v>뷰티/미용</v>
      </c>
      <c r="AA18" s="57">
        <f ca="1"/>
        <v>0</v>
      </c>
      <c r="AB18" s="59">
        <f>AVERAGE('1월:12월'!C39)</f>
        <v>7666.666666666667</v>
      </c>
      <c r="AC18" s="95">
        <f t="shared" ca="1" si="0"/>
        <v>-7666.666666666667</v>
      </c>
    </row>
    <row r="19" spans="2:29" x14ac:dyDescent="0.3">
      <c r="W19" s="49"/>
      <c r="X19" s="15"/>
      <c r="Z19" s="55" t="str">
        <f ca="1"/>
        <v>교육/학습</v>
      </c>
      <c r="AA19" s="57">
        <f ca="1"/>
        <v>0</v>
      </c>
      <c r="AB19" s="59">
        <f>AVERAGE('1월:12월'!C40)</f>
        <v>0</v>
      </c>
      <c r="AC19" s="95">
        <f t="shared" ca="1" si="0"/>
        <v>0</v>
      </c>
    </row>
    <row r="20" spans="2:29" x14ac:dyDescent="0.3">
      <c r="W20" s="49"/>
      <c r="X20" s="15"/>
      <c r="Z20" s="55" t="str">
        <f ca="1"/>
        <v>술/유흥</v>
      </c>
      <c r="AA20" s="57">
        <f ca="1"/>
        <v>400000</v>
      </c>
      <c r="AB20" s="59">
        <f>AVERAGE('1월:12월'!C41)</f>
        <v>44083.333333333336</v>
      </c>
      <c r="AC20" s="95">
        <f t="shared" ca="1" si="0"/>
        <v>355916.66666666669</v>
      </c>
    </row>
    <row r="21" spans="2:29" x14ac:dyDescent="0.3">
      <c r="W21" s="49"/>
      <c r="X21" s="15"/>
      <c r="Z21" s="55" t="str">
        <f ca="1"/>
        <v>교육</v>
      </c>
      <c r="AA21" s="57">
        <f ca="1"/>
        <v>0</v>
      </c>
      <c r="AB21" s="59">
        <f>AVERAGE('1월:12월'!C42)</f>
        <v>33166.666666666664</v>
      </c>
      <c r="AC21" s="95">
        <f t="shared" ca="1" si="0"/>
        <v>-33166.666666666664</v>
      </c>
    </row>
    <row r="22" spans="2:29" x14ac:dyDescent="0.3">
      <c r="B22" s="48" t="s">
        <v>153</v>
      </c>
      <c r="C22" s="45" t="s">
        <v>154</v>
      </c>
      <c r="W22" s="49"/>
      <c r="X22" s="15"/>
      <c r="Z22" s="55" t="str">
        <f ca="1"/>
        <v>식사</v>
      </c>
      <c r="AA22" s="57">
        <f ca="1"/>
        <v>0</v>
      </c>
      <c r="AB22" s="59">
        <f>AVERAGE('1월:12월'!C43)</f>
        <v>209845.16666666666</v>
      </c>
      <c r="AC22" s="95">
        <f t="shared" ca="1" si="0"/>
        <v>-209845.16666666666</v>
      </c>
    </row>
    <row r="23" spans="2:29" x14ac:dyDescent="0.3">
      <c r="B23" s="41" t="str">
        <f>설정!D4</f>
        <v>천세원</v>
      </c>
      <c r="C23" s="26" cm="1">
        <f t="array" aca="1" ref="C23" ca="1">-INDIRECT("'" &amp; $AE$2 &amp; "'!$L$89")</f>
        <v>2218495</v>
      </c>
      <c r="D23" s="59">
        <f>-AVERAGE('1월:12월'!L89)</f>
        <v>5809636</v>
      </c>
      <c r="W23" s="49"/>
      <c r="X23" s="15"/>
      <c r="Z23" s="55" t="str">
        <f ca="1"/>
        <v>미분류</v>
      </c>
      <c r="AA23" s="57">
        <f ca="1"/>
        <v>0</v>
      </c>
      <c r="AB23" s="59">
        <f>AVERAGE('1월:12월'!C44)</f>
        <v>39813.083333333336</v>
      </c>
      <c r="AC23" s="95">
        <f t="shared" ca="1" si="0"/>
        <v>-39813.083333333336</v>
      </c>
    </row>
    <row r="24" spans="2:29" x14ac:dyDescent="0.3">
      <c r="B24" s="42" t="str">
        <f>설정!D6</f>
        <v>하유진</v>
      </c>
      <c r="C24" s="9" cm="1">
        <f t="array" aca="1" ref="C24" ca="1">-INDIRECT("'" &amp; $AE$2 &amp; "'!$V$89")</f>
        <v>2427159</v>
      </c>
      <c r="D24" s="59">
        <f>-AVERAGE('1월:12월'!V89)</f>
        <v>1281367.25</v>
      </c>
      <c r="W24" s="49"/>
      <c r="X24" s="15"/>
      <c r="Z24" s="55" t="str">
        <f ca="1"/>
        <v>의복/미용</v>
      </c>
      <c r="AA24" s="57">
        <f ca="1"/>
        <v>894595</v>
      </c>
      <c r="AB24" s="59">
        <f>AVERAGE('1월:12월'!C45)</f>
        <v>94787.916666666672</v>
      </c>
      <c r="AC24" s="95">
        <f t="shared" ca="1" si="0"/>
        <v>799807.08333333337</v>
      </c>
    </row>
    <row r="25" spans="2:29" x14ac:dyDescent="0.3">
      <c r="W25" s="49"/>
      <c r="X25" s="54"/>
      <c r="Z25" s="56" t="str">
        <f ca="1"/>
        <v>경조사</v>
      </c>
      <c r="AA25" s="58">
        <f ca="1"/>
        <v>50000</v>
      </c>
      <c r="AB25" s="59">
        <f>AVERAGE('1월:12월'!C46)</f>
        <v>6950</v>
      </c>
      <c r="AC25" s="95">
        <f t="shared" ca="1" si="0"/>
        <v>43050</v>
      </c>
    </row>
    <row r="26" spans="2:29" x14ac:dyDescent="0.3">
      <c r="B26" s="131" t="s">
        <v>144</v>
      </c>
      <c r="C26" s="131"/>
      <c r="W26" s="45" t="s">
        <v>24</v>
      </c>
      <c r="X26" s="61">
        <f ca="1">SUM(_xlfn.ANCHORARRAY(X6))</f>
        <v>8692205</v>
      </c>
      <c r="Z26" s="45" t="s">
        <v>24</v>
      </c>
      <c r="AA26" s="60">
        <f ca="1">SUM(_xlfn.ANCHORARRAY(AA6))</f>
        <v>4645654</v>
      </c>
      <c r="AC26" s="91"/>
    </row>
  </sheetData>
  <mergeCells count="7">
    <mergeCell ref="B2:D2"/>
    <mergeCell ref="Q4:S4"/>
    <mergeCell ref="Z4:AA4"/>
    <mergeCell ref="B26:C26"/>
    <mergeCell ref="W4:X4"/>
    <mergeCell ref="B4:C4"/>
    <mergeCell ref="K4:L4"/>
  </mergeCells>
  <phoneticPr fontId="1" type="noConversion"/>
  <dataValidations count="1">
    <dataValidation type="list" allowBlank="1" showInputMessage="1" showErrorMessage="1" sqref="AE2" xr:uid="{EFF1151A-9E0C-4F7F-A7B0-E6023E01F077}">
      <formula1>"1월,2월,3월,4월,5월,6월,7월,8월,9월,10월,11월,12월"</formula1>
    </dataValidation>
  </dataValidations>
  <pageMargins left="0.7" right="0.7" top="0.75" bottom="0.75" header="0.3" footer="0.3"/>
  <headerFooter>
    <oddFooter>&amp;C_x000D_&amp;1#&amp;"Arial"&amp;8&amp;K000000 Internal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8CA3C-10B5-4605-B297-2BF749822809}">
  <sheetPr codeName="Sheet1">
    <tabColor rgb="FFFFCD2F"/>
  </sheetPr>
  <dimension ref="B2:AC85"/>
  <sheetViews>
    <sheetView tabSelected="1" zoomScale="85" zoomScaleNormal="85" workbookViewId="0">
      <selection activeCell="H21" sqref="H21"/>
    </sheetView>
  </sheetViews>
  <sheetFormatPr defaultRowHeight="16.5" x14ac:dyDescent="0.3"/>
  <cols>
    <col min="1" max="1" width="2.625" customWidth="1"/>
    <col min="2" max="2" width="7.5" bestFit="1" customWidth="1"/>
    <col min="3" max="3" width="10" customWidth="1"/>
    <col min="4" max="4" width="13.75" customWidth="1"/>
    <col min="5" max="5" width="10" customWidth="1"/>
    <col min="6" max="6" width="13.75" customWidth="1"/>
    <col min="7" max="7" width="10" customWidth="1"/>
    <col min="8" max="8" width="13.75" customWidth="1"/>
    <col min="9" max="9" width="10" customWidth="1"/>
    <col min="10" max="10" width="13.75" customWidth="1"/>
    <col min="11" max="11" width="10" customWidth="1"/>
    <col min="12" max="12" width="13.75" customWidth="1"/>
    <col min="13" max="13" width="10" customWidth="1"/>
    <col min="14" max="14" width="13.75" customWidth="1"/>
    <col min="15" max="15" width="10" customWidth="1"/>
    <col min="16" max="16" width="13.75" customWidth="1"/>
    <col min="17" max="17" width="10" customWidth="1"/>
    <col min="18" max="18" width="13.75" customWidth="1"/>
    <col min="19" max="19" width="10" customWidth="1"/>
    <col min="20" max="20" width="13.75" customWidth="1"/>
    <col min="21" max="21" width="10" customWidth="1"/>
    <col min="22" max="22" width="13.75" customWidth="1"/>
    <col min="23" max="23" width="10" customWidth="1"/>
    <col min="24" max="24" width="13.75" customWidth="1"/>
    <col min="25" max="25" width="2.75" customWidth="1"/>
    <col min="27" max="27" width="12.375" customWidth="1"/>
    <col min="29" max="29" width="12.375" customWidth="1"/>
  </cols>
  <sheetData>
    <row r="2" spans="2:29" ht="24.75" thickBot="1" x14ac:dyDescent="0.35">
      <c r="B2" s="101" t="s">
        <v>0</v>
      </c>
      <c r="C2" s="101"/>
      <c r="D2" s="101"/>
    </row>
    <row r="3" spans="2:29" ht="17.25" thickTop="1" x14ac:dyDescent="0.3">
      <c r="K3" s="1" t="s">
        <v>1</v>
      </c>
    </row>
    <row r="4" spans="2:29" x14ac:dyDescent="0.3">
      <c r="B4" s="144" t="s">
        <v>2</v>
      </c>
      <c r="C4" s="145"/>
      <c r="D4" s="145" t="s">
        <v>3</v>
      </c>
      <c r="E4" s="148"/>
      <c r="G4" s="34" t="s">
        <v>85</v>
      </c>
      <c r="H4" s="145">
        <v>2025</v>
      </c>
      <c r="I4" s="148"/>
      <c r="K4" s="156" t="s">
        <v>574</v>
      </c>
      <c r="L4" s="157"/>
      <c r="M4" s="157"/>
      <c r="N4" s="157"/>
      <c r="O4" s="157"/>
      <c r="P4" s="158"/>
    </row>
    <row r="5" spans="2:29" x14ac:dyDescent="0.3">
      <c r="B5" s="24"/>
      <c r="E5" s="13"/>
      <c r="G5" s="24"/>
      <c r="I5" s="13"/>
    </row>
    <row r="6" spans="2:29" x14ac:dyDescent="0.3">
      <c r="B6" s="146" t="s">
        <v>4</v>
      </c>
      <c r="C6" s="147"/>
      <c r="D6" s="147" t="s">
        <v>5</v>
      </c>
      <c r="E6" s="149"/>
      <c r="G6" s="32"/>
      <c r="H6" s="35"/>
      <c r="I6" s="33"/>
      <c r="K6" s="156" t="s">
        <v>614</v>
      </c>
      <c r="L6" s="157"/>
      <c r="M6" s="157"/>
      <c r="N6" s="157"/>
      <c r="O6" s="157"/>
      <c r="P6" s="158"/>
    </row>
    <row r="7" spans="2:29" x14ac:dyDescent="0.3">
      <c r="B7" s="2"/>
      <c r="C7" s="2"/>
      <c r="D7" s="2"/>
      <c r="E7" s="25"/>
      <c r="G7" s="23"/>
      <c r="H7" s="23"/>
      <c r="I7" s="23"/>
      <c r="J7" s="23"/>
      <c r="K7" s="23"/>
      <c r="L7" s="23"/>
    </row>
    <row r="8" spans="2:29" ht="17.25" thickBot="1" x14ac:dyDescent="0.35"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</row>
    <row r="9" spans="2:29" x14ac:dyDescent="0.3">
      <c r="B9" s="150" t="s">
        <v>33</v>
      </c>
      <c r="C9" s="141" t="s">
        <v>6</v>
      </c>
      <c r="D9" s="142"/>
      <c r="E9" s="142"/>
      <c r="F9" s="142"/>
      <c r="G9" s="142"/>
      <c r="H9" s="142"/>
      <c r="I9" s="142"/>
      <c r="J9" s="142"/>
      <c r="K9" s="142"/>
      <c r="L9" s="142"/>
      <c r="M9" s="142"/>
      <c r="N9" s="142"/>
      <c r="O9" s="142"/>
      <c r="P9" s="142"/>
      <c r="Q9" s="142"/>
      <c r="R9" s="143"/>
      <c r="S9" s="106" t="s">
        <v>7</v>
      </c>
      <c r="T9" s="106"/>
      <c r="U9" s="106"/>
      <c r="V9" s="106"/>
      <c r="W9" s="106"/>
      <c r="X9" s="106"/>
      <c r="Z9" s="138" t="s">
        <v>8</v>
      </c>
      <c r="AA9" s="139"/>
      <c r="AB9" s="139"/>
      <c r="AC9" s="140"/>
    </row>
    <row r="10" spans="2:29" x14ac:dyDescent="0.3">
      <c r="B10" s="151"/>
      <c r="C10" s="125" t="s">
        <v>9</v>
      </c>
      <c r="D10" s="126"/>
      <c r="E10" s="127" t="s">
        <v>10</v>
      </c>
      <c r="F10" s="127"/>
      <c r="G10" s="128" t="s">
        <v>11</v>
      </c>
      <c r="H10" s="128"/>
      <c r="I10" s="129" t="s">
        <v>12</v>
      </c>
      <c r="J10" s="129"/>
      <c r="K10" s="105" t="s">
        <v>13</v>
      </c>
      <c r="L10" s="105"/>
      <c r="M10" s="99" t="s">
        <v>14</v>
      </c>
      <c r="N10" s="99"/>
      <c r="O10" s="120" t="s">
        <v>15</v>
      </c>
      <c r="P10" s="120"/>
      <c r="Q10" s="121" t="s">
        <v>16</v>
      </c>
      <c r="R10" s="121"/>
      <c r="S10" s="122" t="s">
        <v>17</v>
      </c>
      <c r="T10" s="122"/>
      <c r="U10" s="123" t="s">
        <v>18</v>
      </c>
      <c r="V10" s="123"/>
      <c r="W10" s="124" t="s">
        <v>19</v>
      </c>
      <c r="X10" s="124"/>
      <c r="Z10" s="116" t="s">
        <v>20</v>
      </c>
      <c r="AA10" s="117"/>
      <c r="AB10" s="118" t="s">
        <v>21</v>
      </c>
      <c r="AC10" s="119"/>
    </row>
    <row r="11" spans="2:29" x14ac:dyDescent="0.3">
      <c r="B11" s="152" t="str">
        <f>D4</f>
        <v>천세원</v>
      </c>
      <c r="C11" s="4" t="s">
        <v>43</v>
      </c>
      <c r="D11" s="40">
        <v>872531</v>
      </c>
      <c r="E11" s="4"/>
      <c r="F11" s="40"/>
      <c r="G11" s="4" t="s">
        <v>57</v>
      </c>
      <c r="H11" s="40">
        <v>0</v>
      </c>
      <c r="I11" s="4"/>
      <c r="J11" s="40"/>
      <c r="K11" s="4" t="s">
        <v>58</v>
      </c>
      <c r="L11" s="40">
        <v>36200</v>
      </c>
      <c r="M11" s="4"/>
      <c r="N11" s="40"/>
      <c r="O11" s="4" t="s">
        <v>64</v>
      </c>
      <c r="P11" s="40">
        <v>0</v>
      </c>
      <c r="Q11" s="4" t="s">
        <v>65</v>
      </c>
      <c r="R11" s="40">
        <v>56729125</v>
      </c>
      <c r="S11" s="4" t="s">
        <v>549</v>
      </c>
      <c r="T11" s="40">
        <v>5714729.8152000001</v>
      </c>
      <c r="U11" s="4"/>
      <c r="V11" s="40"/>
      <c r="W11" s="4" t="s">
        <v>74</v>
      </c>
      <c r="X11" s="29">
        <v>9050000</v>
      </c>
      <c r="Z11" s="4"/>
      <c r="AA11" s="26"/>
      <c r="AB11" s="4" t="s">
        <v>73</v>
      </c>
      <c r="AC11" s="26">
        <v>0</v>
      </c>
    </row>
    <row r="12" spans="2:29" x14ac:dyDescent="0.3">
      <c r="B12" s="153"/>
      <c r="C12" s="6" t="s">
        <v>44</v>
      </c>
      <c r="D12" s="26">
        <v>1</v>
      </c>
      <c r="E12" s="6"/>
      <c r="F12" s="26"/>
      <c r="G12" s="6"/>
      <c r="H12" s="26"/>
      <c r="I12" s="6"/>
      <c r="J12" s="26"/>
      <c r="K12" s="6" t="s">
        <v>59</v>
      </c>
      <c r="L12" s="26">
        <v>0</v>
      </c>
      <c r="M12" s="6"/>
      <c r="N12" s="26"/>
      <c r="O12" s="6" t="s">
        <v>575</v>
      </c>
      <c r="P12" s="26">
        <v>0</v>
      </c>
      <c r="Q12" s="6" t="s">
        <v>56</v>
      </c>
      <c r="R12" s="26">
        <v>6900000</v>
      </c>
      <c r="S12" s="6" t="s">
        <v>576</v>
      </c>
      <c r="T12" s="26">
        <v>3414919.389</v>
      </c>
      <c r="U12" s="6"/>
      <c r="V12" s="26"/>
      <c r="W12" s="6"/>
      <c r="X12" s="30"/>
      <c r="Z12" s="6"/>
      <c r="AA12" s="26"/>
      <c r="AB12" s="6"/>
      <c r="AC12" s="26"/>
    </row>
    <row r="13" spans="2:29" x14ac:dyDescent="0.3">
      <c r="B13" s="153"/>
      <c r="C13" s="6" t="s">
        <v>45</v>
      </c>
      <c r="D13" s="26">
        <v>93</v>
      </c>
      <c r="E13" s="6"/>
      <c r="F13" s="26"/>
      <c r="G13" s="6"/>
      <c r="H13" s="26"/>
      <c r="I13" s="6"/>
      <c r="J13" s="26"/>
      <c r="K13" s="6" t="s">
        <v>60</v>
      </c>
      <c r="L13" s="26">
        <v>0</v>
      </c>
      <c r="M13" s="6"/>
      <c r="N13" s="26"/>
      <c r="O13" s="6"/>
      <c r="P13" s="26"/>
      <c r="Q13" s="6"/>
      <c r="R13" s="26"/>
      <c r="S13" s="6" t="s">
        <v>269</v>
      </c>
      <c r="T13" s="26">
        <v>4363663.9648000002</v>
      </c>
      <c r="U13" s="6"/>
      <c r="V13" s="26"/>
      <c r="W13" s="6"/>
      <c r="X13" s="30"/>
      <c r="Z13" s="6"/>
      <c r="AA13" s="26"/>
      <c r="AB13" s="6"/>
      <c r="AC13" s="26"/>
    </row>
    <row r="14" spans="2:29" x14ac:dyDescent="0.3">
      <c r="B14" s="153"/>
      <c r="C14" s="6" t="s">
        <v>46</v>
      </c>
      <c r="D14" s="26">
        <v>104047</v>
      </c>
      <c r="E14" s="6"/>
      <c r="F14" s="26"/>
      <c r="G14" s="6"/>
      <c r="H14" s="26"/>
      <c r="I14" s="6"/>
      <c r="J14" s="26"/>
      <c r="K14" s="6" t="s">
        <v>61</v>
      </c>
      <c r="L14" s="26">
        <v>0</v>
      </c>
      <c r="M14" s="6"/>
      <c r="N14" s="26"/>
      <c r="O14" s="6"/>
      <c r="P14" s="26"/>
      <c r="Q14" s="6"/>
      <c r="R14" s="26"/>
      <c r="S14" s="6" t="s">
        <v>577</v>
      </c>
      <c r="T14" s="26">
        <v>3427903</v>
      </c>
      <c r="U14" s="6"/>
      <c r="V14" s="26"/>
      <c r="W14" s="6"/>
      <c r="X14" s="30"/>
      <c r="Z14" s="10"/>
      <c r="AA14" s="9"/>
      <c r="AB14" s="10"/>
      <c r="AC14" s="9"/>
    </row>
    <row r="15" spans="2:29" x14ac:dyDescent="0.3">
      <c r="B15" s="153"/>
      <c r="C15" s="6" t="s">
        <v>46</v>
      </c>
      <c r="D15" s="26">
        <v>1059</v>
      </c>
      <c r="E15" s="6"/>
      <c r="F15" s="26"/>
      <c r="G15" s="6"/>
      <c r="H15" s="26"/>
      <c r="I15" s="6"/>
      <c r="J15" s="26"/>
      <c r="K15" s="6"/>
      <c r="L15" s="26"/>
      <c r="M15" s="6"/>
      <c r="N15" s="26"/>
      <c r="O15" s="6"/>
      <c r="P15" s="26"/>
      <c r="Q15" s="6"/>
      <c r="R15" s="26"/>
      <c r="S15" s="6" t="s">
        <v>270</v>
      </c>
      <c r="T15" s="26">
        <v>3065976.4975000001</v>
      </c>
      <c r="U15" s="6"/>
      <c r="V15" s="26"/>
      <c r="W15" s="6"/>
      <c r="X15" s="30"/>
      <c r="Z15" s="6"/>
      <c r="AA15" s="26"/>
      <c r="AB15" s="6" t="s">
        <v>73</v>
      </c>
      <c r="AC15" s="26">
        <v>0</v>
      </c>
    </row>
    <row r="16" spans="2:29" x14ac:dyDescent="0.3">
      <c r="B16" s="153"/>
      <c r="C16" s="6" t="s">
        <v>47</v>
      </c>
      <c r="D16" s="26">
        <v>0</v>
      </c>
      <c r="E16" s="6"/>
      <c r="F16" s="26"/>
      <c r="G16" s="6"/>
      <c r="H16" s="26"/>
      <c r="I16" s="6"/>
      <c r="J16" s="26"/>
      <c r="K16" s="6"/>
      <c r="L16" s="26"/>
      <c r="M16" s="6"/>
      <c r="N16" s="26"/>
      <c r="O16" s="6"/>
      <c r="P16" s="26"/>
      <c r="Q16" s="6"/>
      <c r="R16" s="26"/>
      <c r="S16" s="6" t="s">
        <v>201</v>
      </c>
      <c r="T16" s="26">
        <v>3815611.7104000002</v>
      </c>
      <c r="U16" s="6"/>
      <c r="V16" s="26"/>
      <c r="W16" s="6"/>
      <c r="X16" s="30"/>
      <c r="Z16" s="6"/>
      <c r="AA16" s="26"/>
      <c r="AB16" s="6"/>
      <c r="AC16" s="26"/>
    </row>
    <row r="17" spans="2:29" x14ac:dyDescent="0.3">
      <c r="B17" s="153"/>
      <c r="C17" s="6"/>
      <c r="D17" s="26"/>
      <c r="E17" s="6"/>
      <c r="F17" s="26"/>
      <c r="G17" s="6"/>
      <c r="H17" s="26"/>
      <c r="I17" s="6"/>
      <c r="J17" s="26"/>
      <c r="K17" s="6"/>
      <c r="L17" s="26"/>
      <c r="M17" s="6"/>
      <c r="N17" s="26"/>
      <c r="O17" s="6"/>
      <c r="P17" s="26"/>
      <c r="Q17" s="6"/>
      <c r="R17" s="26"/>
      <c r="S17" s="6" t="s">
        <v>62</v>
      </c>
      <c r="T17" s="26">
        <v>3670212.5543999998</v>
      </c>
      <c r="U17" s="6"/>
      <c r="V17" s="26"/>
      <c r="W17" s="6"/>
      <c r="X17" s="30"/>
      <c r="Z17" s="6"/>
      <c r="AA17" s="26"/>
      <c r="AB17" s="6"/>
      <c r="AC17" s="26"/>
    </row>
    <row r="18" spans="2:29" x14ac:dyDescent="0.3">
      <c r="B18" s="153"/>
      <c r="C18" s="6"/>
      <c r="D18" s="26"/>
      <c r="E18" s="6"/>
      <c r="F18" s="26"/>
      <c r="G18" s="6"/>
      <c r="H18" s="26"/>
      <c r="I18" s="6"/>
      <c r="J18" s="26"/>
      <c r="K18" s="6"/>
      <c r="L18" s="26"/>
      <c r="M18" s="6"/>
      <c r="N18" s="26"/>
      <c r="O18" s="6"/>
      <c r="P18" s="26"/>
      <c r="Q18" s="6"/>
      <c r="R18" s="26"/>
      <c r="S18" s="6" t="s">
        <v>578</v>
      </c>
      <c r="T18" s="26">
        <v>4445141.7905999999</v>
      </c>
      <c r="U18" s="6"/>
      <c r="V18" s="26"/>
      <c r="W18" s="6"/>
      <c r="X18" s="30"/>
      <c r="Z18" s="6"/>
      <c r="AA18" s="26"/>
      <c r="AB18" s="6"/>
      <c r="AC18" s="26"/>
    </row>
    <row r="19" spans="2:29" x14ac:dyDescent="0.3">
      <c r="B19" s="153"/>
      <c r="C19" s="6"/>
      <c r="D19" s="26"/>
      <c r="E19" s="6"/>
      <c r="F19" s="26"/>
      <c r="G19" s="6"/>
      <c r="H19" s="26"/>
      <c r="I19" s="6"/>
      <c r="J19" s="26"/>
      <c r="K19" s="6"/>
      <c r="L19" s="26"/>
      <c r="M19" s="6"/>
      <c r="N19" s="26"/>
      <c r="O19" s="6"/>
      <c r="P19" s="26"/>
      <c r="Q19" s="6"/>
      <c r="R19" s="26"/>
      <c r="S19" s="6" t="s">
        <v>579</v>
      </c>
      <c r="T19" s="26">
        <v>897734.20799999998</v>
      </c>
      <c r="U19" s="6"/>
      <c r="V19" s="26"/>
      <c r="W19" s="6"/>
      <c r="X19" s="30"/>
      <c r="Z19" s="7" t="s">
        <v>22</v>
      </c>
      <c r="AA19" s="8">
        <f>SUM(AA11:AA18)</f>
        <v>0</v>
      </c>
      <c r="AB19" s="7" t="s">
        <v>22</v>
      </c>
      <c r="AC19" s="8">
        <f>SUM(AC11:AC18)</f>
        <v>0</v>
      </c>
    </row>
    <row r="20" spans="2:29" x14ac:dyDescent="0.3">
      <c r="B20" s="153"/>
      <c r="C20" s="6"/>
      <c r="D20" s="26"/>
      <c r="E20" s="6"/>
      <c r="F20" s="26"/>
      <c r="G20" s="6"/>
      <c r="H20" s="26"/>
      <c r="I20" s="6"/>
      <c r="J20" s="26"/>
      <c r="K20" s="6"/>
      <c r="L20" s="26"/>
      <c r="M20" s="6"/>
      <c r="N20" s="26"/>
      <c r="O20" s="6"/>
      <c r="P20" s="26"/>
      <c r="Q20" s="6"/>
      <c r="R20" s="26"/>
      <c r="S20" s="6" t="s">
        <v>580</v>
      </c>
      <c r="T20" s="26">
        <v>1994080.0432</v>
      </c>
      <c r="U20" s="6"/>
      <c r="V20" s="26"/>
      <c r="W20" s="6"/>
      <c r="X20" s="30"/>
      <c r="Z20" s="7" t="s">
        <v>23</v>
      </c>
      <c r="AA20" s="9">
        <f>SUM(AA19,AC19)</f>
        <v>0</v>
      </c>
      <c r="AB20" s="10"/>
      <c r="AC20" s="11"/>
    </row>
    <row r="21" spans="2:29" x14ac:dyDescent="0.3">
      <c r="B21" s="153"/>
      <c r="C21" s="6"/>
      <c r="D21" s="26"/>
      <c r="E21" s="6"/>
      <c r="F21" s="26"/>
      <c r="G21" s="6"/>
      <c r="H21" s="26"/>
      <c r="I21" s="6"/>
      <c r="J21" s="26"/>
      <c r="K21" s="6"/>
      <c r="L21" s="26"/>
      <c r="M21" s="6"/>
      <c r="N21" s="26"/>
      <c r="O21" s="6"/>
      <c r="P21" s="26"/>
      <c r="Q21" s="6"/>
      <c r="R21" s="26"/>
      <c r="S21" s="6" t="s">
        <v>271</v>
      </c>
      <c r="T21" s="26">
        <v>1578274.656</v>
      </c>
      <c r="U21" s="6"/>
      <c r="V21" s="26"/>
      <c r="W21" s="6"/>
      <c r="X21" s="30"/>
      <c r="Z21" s="5"/>
      <c r="AA21" s="5"/>
      <c r="AB21" s="5"/>
      <c r="AC21" s="5"/>
    </row>
    <row r="22" spans="2:29" x14ac:dyDescent="0.3">
      <c r="B22" s="153"/>
      <c r="C22" s="6"/>
      <c r="D22" s="26"/>
      <c r="E22" s="6"/>
      <c r="F22" s="26"/>
      <c r="G22" s="6"/>
      <c r="H22" s="26"/>
      <c r="I22" s="6"/>
      <c r="J22" s="26"/>
      <c r="K22" s="6"/>
      <c r="L22" s="26"/>
      <c r="M22" s="6"/>
      <c r="N22" s="26"/>
      <c r="O22" s="6"/>
      <c r="P22" s="26"/>
      <c r="Q22" s="6"/>
      <c r="R22" s="26"/>
      <c r="S22" s="6" t="s">
        <v>272</v>
      </c>
      <c r="T22" s="26">
        <v>390797.93900000001</v>
      </c>
      <c r="U22" s="6"/>
      <c r="V22" s="26"/>
      <c r="W22" s="6"/>
      <c r="X22" s="30"/>
      <c r="Z22" s="5"/>
      <c r="AA22" s="5"/>
      <c r="AB22" s="5"/>
      <c r="AC22" s="5"/>
    </row>
    <row r="23" spans="2:29" x14ac:dyDescent="0.3">
      <c r="B23" s="153"/>
      <c r="C23" s="6"/>
      <c r="D23" s="26"/>
      <c r="E23" s="6"/>
      <c r="F23" s="26"/>
      <c r="G23" s="6"/>
      <c r="H23" s="26"/>
      <c r="I23" s="6"/>
      <c r="J23" s="26"/>
      <c r="K23" s="6"/>
      <c r="L23" s="26"/>
      <c r="M23" s="6"/>
      <c r="N23" s="26"/>
      <c r="O23" s="6"/>
      <c r="P23" s="26"/>
      <c r="Q23" s="6"/>
      <c r="R23" s="26"/>
      <c r="S23" s="6" t="s">
        <v>581</v>
      </c>
      <c r="T23" s="26">
        <v>0</v>
      </c>
      <c r="U23" s="6"/>
      <c r="V23" s="26"/>
      <c r="W23" s="6"/>
      <c r="X23" s="30"/>
      <c r="Z23" s="5"/>
      <c r="AA23" s="5"/>
      <c r="AB23" s="5"/>
      <c r="AC23" s="5"/>
    </row>
    <row r="24" spans="2:29" x14ac:dyDescent="0.3">
      <c r="B24" s="153"/>
      <c r="C24" s="6"/>
      <c r="D24" s="26"/>
      <c r="E24" s="6"/>
      <c r="F24" s="26"/>
      <c r="G24" s="6"/>
      <c r="H24" s="26"/>
      <c r="I24" s="6"/>
      <c r="J24" s="26"/>
      <c r="K24" s="6"/>
      <c r="L24" s="26"/>
      <c r="M24" s="6"/>
      <c r="N24" s="26"/>
      <c r="O24" s="6"/>
      <c r="P24" s="26"/>
      <c r="Q24" s="6"/>
      <c r="R24" s="26"/>
      <c r="S24" s="6" t="s">
        <v>63</v>
      </c>
      <c r="T24" s="26">
        <v>31990</v>
      </c>
      <c r="U24" s="6"/>
      <c r="V24" s="26"/>
      <c r="W24" s="6"/>
      <c r="X24" s="30"/>
      <c r="Z24" s="5"/>
      <c r="AA24" s="5"/>
      <c r="AB24" s="5"/>
      <c r="AC24" s="5"/>
    </row>
    <row r="25" spans="2:29" x14ac:dyDescent="0.3">
      <c r="B25" s="153"/>
      <c r="C25" s="6"/>
      <c r="D25" s="26"/>
      <c r="E25" s="6"/>
      <c r="F25" s="26"/>
      <c r="G25" s="6"/>
      <c r="H25" s="26"/>
      <c r="I25" s="6"/>
      <c r="J25" s="26"/>
      <c r="K25" s="6"/>
      <c r="L25" s="26"/>
      <c r="M25" s="6"/>
      <c r="N25" s="26"/>
      <c r="O25" s="6"/>
      <c r="P25" s="26"/>
      <c r="Q25" s="6"/>
      <c r="R25" s="26"/>
      <c r="S25" s="6" t="s">
        <v>40</v>
      </c>
      <c r="T25" s="26">
        <v>29121.996999999999</v>
      </c>
      <c r="U25" s="6"/>
      <c r="V25" s="26"/>
      <c r="W25" s="6"/>
      <c r="X25" s="30"/>
      <c r="Z25" s="5"/>
      <c r="AA25" s="5"/>
      <c r="AB25" s="5"/>
      <c r="AC25" s="5"/>
    </row>
    <row r="26" spans="2:29" x14ac:dyDescent="0.3">
      <c r="B26" s="153"/>
      <c r="C26" s="6"/>
      <c r="D26" s="26"/>
      <c r="E26" s="6"/>
      <c r="F26" s="26"/>
      <c r="G26" s="6"/>
      <c r="H26" s="26"/>
      <c r="I26" s="6"/>
      <c r="J26" s="26"/>
      <c r="K26" s="6"/>
      <c r="L26" s="26"/>
      <c r="M26" s="6"/>
      <c r="N26" s="26"/>
      <c r="O26" s="6"/>
      <c r="P26" s="26"/>
      <c r="Q26" s="6"/>
      <c r="R26" s="26"/>
      <c r="S26" s="6" t="s">
        <v>40</v>
      </c>
      <c r="T26" s="26">
        <v>0</v>
      </c>
      <c r="U26" s="6"/>
      <c r="V26" s="26"/>
      <c r="W26" s="6"/>
      <c r="X26" s="30"/>
      <c r="Z26" s="5"/>
      <c r="AA26" s="5"/>
      <c r="AB26" s="5"/>
      <c r="AC26" s="5"/>
    </row>
    <row r="27" spans="2:29" x14ac:dyDescent="0.3">
      <c r="B27" s="153"/>
      <c r="C27" s="6"/>
      <c r="D27" s="26"/>
      <c r="E27" s="6"/>
      <c r="F27" s="26"/>
      <c r="G27" s="6"/>
      <c r="H27" s="26"/>
      <c r="I27" s="6"/>
      <c r="J27" s="26"/>
      <c r="K27" s="6"/>
      <c r="L27" s="26"/>
      <c r="M27" s="6"/>
      <c r="N27" s="26"/>
      <c r="O27" s="6"/>
      <c r="P27" s="26"/>
      <c r="Q27" s="6"/>
      <c r="R27" s="26"/>
      <c r="S27" s="6" t="s">
        <v>41</v>
      </c>
      <c r="T27" s="26">
        <v>10</v>
      </c>
      <c r="U27" s="6"/>
      <c r="V27" s="26"/>
      <c r="W27" s="6"/>
      <c r="X27" s="30"/>
      <c r="Z27" s="5"/>
      <c r="AA27" s="5"/>
      <c r="AB27" s="5"/>
      <c r="AC27" s="5"/>
    </row>
    <row r="28" spans="2:29" x14ac:dyDescent="0.3">
      <c r="B28" s="153"/>
      <c r="C28" s="6"/>
      <c r="D28" s="26"/>
      <c r="E28" s="6"/>
      <c r="F28" s="26"/>
      <c r="G28" s="6"/>
      <c r="H28" s="26"/>
      <c r="I28" s="6"/>
      <c r="J28" s="26"/>
      <c r="K28" s="6"/>
      <c r="L28" s="26"/>
      <c r="M28" s="6"/>
      <c r="N28" s="26"/>
      <c r="O28" s="6"/>
      <c r="P28" s="26"/>
      <c r="Q28" s="6"/>
      <c r="R28" s="26"/>
      <c r="S28" s="6" t="s">
        <v>42</v>
      </c>
      <c r="T28" s="26">
        <v>0</v>
      </c>
      <c r="U28" s="6"/>
      <c r="V28" s="26"/>
      <c r="W28" s="6"/>
      <c r="X28" s="30"/>
      <c r="Z28" s="5"/>
      <c r="AA28" s="5"/>
      <c r="AB28" s="5"/>
      <c r="AC28" s="5"/>
    </row>
    <row r="29" spans="2:29" x14ac:dyDescent="0.3">
      <c r="B29" s="153"/>
      <c r="C29" s="6"/>
      <c r="D29" s="26"/>
      <c r="E29" s="6"/>
      <c r="F29" s="26"/>
      <c r="G29" s="6"/>
      <c r="H29" s="26"/>
      <c r="I29" s="6"/>
      <c r="J29" s="26"/>
      <c r="K29" s="6"/>
      <c r="L29" s="26"/>
      <c r="M29" s="6"/>
      <c r="N29" s="26"/>
      <c r="O29" s="6"/>
      <c r="P29" s="26"/>
      <c r="Q29" s="6"/>
      <c r="R29" s="26"/>
      <c r="S29" s="6" t="s">
        <v>42</v>
      </c>
      <c r="T29" s="26">
        <v>0</v>
      </c>
      <c r="U29" s="6"/>
      <c r="V29" s="26"/>
      <c r="W29" s="6"/>
      <c r="X29" s="30"/>
      <c r="Z29" s="5"/>
      <c r="AA29" s="5"/>
      <c r="AB29" s="5"/>
      <c r="AC29" s="5"/>
    </row>
    <row r="30" spans="2:29" x14ac:dyDescent="0.3">
      <c r="B30" s="153"/>
      <c r="C30" s="6"/>
      <c r="D30" s="26"/>
      <c r="E30" s="6"/>
      <c r="F30" s="26"/>
      <c r="G30" s="6"/>
      <c r="H30" s="26"/>
      <c r="I30" s="6"/>
      <c r="J30" s="26"/>
      <c r="K30" s="6"/>
      <c r="L30" s="26"/>
      <c r="M30" s="6"/>
      <c r="N30" s="26"/>
      <c r="O30" s="6"/>
      <c r="P30" s="26"/>
      <c r="Q30" s="6"/>
      <c r="R30" s="26"/>
      <c r="S30" s="6"/>
      <c r="T30" s="26"/>
      <c r="U30" s="6"/>
      <c r="V30" s="26"/>
      <c r="W30" s="6"/>
      <c r="X30" s="30"/>
      <c r="Z30" s="5"/>
      <c r="AA30" s="5"/>
      <c r="AB30" s="5"/>
      <c r="AC30" s="5"/>
    </row>
    <row r="31" spans="2:29" x14ac:dyDescent="0.3">
      <c r="B31" s="153"/>
      <c r="C31" s="6"/>
      <c r="D31" s="26"/>
      <c r="E31" s="6"/>
      <c r="F31" s="26"/>
      <c r="G31" s="6"/>
      <c r="H31" s="26"/>
      <c r="I31" s="6"/>
      <c r="J31" s="26"/>
      <c r="K31" s="6"/>
      <c r="L31" s="26"/>
      <c r="M31" s="6"/>
      <c r="N31" s="26"/>
      <c r="O31" s="6"/>
      <c r="P31" s="26"/>
      <c r="Q31" s="6"/>
      <c r="R31" s="26"/>
      <c r="S31" s="6"/>
      <c r="T31" s="26"/>
      <c r="U31" s="6"/>
      <c r="V31" s="26"/>
      <c r="W31" s="6"/>
      <c r="X31" s="30"/>
      <c r="Z31" s="5"/>
      <c r="AA31" s="5"/>
      <c r="AB31" s="5"/>
      <c r="AC31" s="5"/>
    </row>
    <row r="32" spans="2:29" x14ac:dyDescent="0.3">
      <c r="B32" s="153"/>
      <c r="C32" s="6"/>
      <c r="D32" s="26"/>
      <c r="E32" s="6"/>
      <c r="F32" s="26"/>
      <c r="G32" s="6"/>
      <c r="H32" s="26"/>
      <c r="I32" s="6"/>
      <c r="J32" s="26"/>
      <c r="K32" s="6"/>
      <c r="L32" s="26"/>
      <c r="M32" s="6"/>
      <c r="N32" s="26"/>
      <c r="O32" s="6"/>
      <c r="P32" s="26"/>
      <c r="Q32" s="6"/>
      <c r="R32" s="26"/>
      <c r="S32" s="6"/>
      <c r="T32" s="26"/>
      <c r="U32" s="6"/>
      <c r="V32" s="26"/>
      <c r="W32" s="6"/>
      <c r="X32" s="30"/>
      <c r="Z32" s="5"/>
      <c r="AA32" s="5"/>
      <c r="AB32" s="5"/>
      <c r="AC32" s="5"/>
    </row>
    <row r="33" spans="2:29" x14ac:dyDescent="0.3">
      <c r="B33" s="153"/>
      <c r="C33" s="6"/>
      <c r="D33" s="26"/>
      <c r="E33" s="6"/>
      <c r="F33" s="26"/>
      <c r="G33" s="6"/>
      <c r="H33" s="26"/>
      <c r="I33" s="6"/>
      <c r="J33" s="26"/>
      <c r="K33" s="6"/>
      <c r="L33" s="26"/>
      <c r="M33" s="6"/>
      <c r="N33" s="26"/>
      <c r="O33" s="6"/>
      <c r="P33" s="26"/>
      <c r="Q33" s="6"/>
      <c r="R33" s="26"/>
      <c r="S33" s="6"/>
      <c r="T33" s="26"/>
      <c r="U33" s="6"/>
      <c r="V33" s="26"/>
      <c r="W33" s="6"/>
      <c r="X33" s="30"/>
    </row>
    <row r="34" spans="2:29" x14ac:dyDescent="0.3">
      <c r="B34" s="153"/>
      <c r="C34" s="6"/>
      <c r="D34" s="26"/>
      <c r="E34" s="6"/>
      <c r="F34" s="26"/>
      <c r="G34" s="6"/>
      <c r="H34" s="26"/>
      <c r="I34" s="6"/>
      <c r="J34" s="26"/>
      <c r="K34" s="6"/>
      <c r="L34" s="26"/>
      <c r="M34" s="6"/>
      <c r="N34" s="26"/>
      <c r="O34" s="6"/>
      <c r="P34" s="26"/>
      <c r="Q34" s="6"/>
      <c r="R34" s="26"/>
      <c r="S34" s="6"/>
      <c r="T34" s="26"/>
      <c r="U34" s="6"/>
      <c r="V34" s="26"/>
      <c r="W34" s="6"/>
      <c r="X34" s="30"/>
    </row>
    <row r="35" spans="2:29" x14ac:dyDescent="0.3">
      <c r="B35" s="153"/>
      <c r="C35" s="6"/>
      <c r="D35" s="26"/>
      <c r="E35" s="6"/>
      <c r="F35" s="26"/>
      <c r="G35" s="6"/>
      <c r="H35" s="26"/>
      <c r="I35" s="6"/>
      <c r="J35" s="26"/>
      <c r="K35" s="6"/>
      <c r="L35" s="26"/>
      <c r="M35" s="6"/>
      <c r="N35" s="26"/>
      <c r="O35" s="6"/>
      <c r="P35" s="26"/>
      <c r="Q35" s="6"/>
      <c r="R35" s="26"/>
      <c r="S35" s="6"/>
      <c r="T35" s="26"/>
      <c r="U35" s="6"/>
      <c r="V35" s="26"/>
      <c r="W35" s="6"/>
      <c r="X35" s="30"/>
    </row>
    <row r="36" spans="2:29" x14ac:dyDescent="0.3">
      <c r="B36" s="153"/>
      <c r="C36" s="6"/>
      <c r="D36" s="26"/>
      <c r="E36" s="6"/>
      <c r="F36" s="26"/>
      <c r="G36" s="6"/>
      <c r="H36" s="26"/>
      <c r="I36" s="6"/>
      <c r="J36" s="26"/>
      <c r="K36" s="6"/>
      <c r="L36" s="26"/>
      <c r="M36" s="6"/>
      <c r="N36" s="26"/>
      <c r="O36" s="6"/>
      <c r="P36" s="26"/>
      <c r="Q36" s="6"/>
      <c r="R36" s="26"/>
      <c r="S36" s="6"/>
      <c r="T36" s="26"/>
      <c r="U36" s="6"/>
      <c r="V36" s="26"/>
      <c r="W36" s="6"/>
      <c r="X36" s="30"/>
    </row>
    <row r="37" spans="2:29" x14ac:dyDescent="0.3">
      <c r="B37" s="153"/>
      <c r="C37" s="6"/>
      <c r="D37" s="26"/>
      <c r="E37" s="6"/>
      <c r="F37" s="26"/>
      <c r="G37" s="6"/>
      <c r="H37" s="26"/>
      <c r="I37" s="6"/>
      <c r="J37" s="26"/>
      <c r="K37" s="6"/>
      <c r="L37" s="26"/>
      <c r="M37" s="6"/>
      <c r="N37" s="26"/>
      <c r="O37" s="6"/>
      <c r="P37" s="26"/>
      <c r="Q37" s="6"/>
      <c r="R37" s="26"/>
      <c r="S37" s="6"/>
      <c r="T37" s="26"/>
      <c r="U37" s="6"/>
      <c r="V37" s="26"/>
      <c r="W37" s="6"/>
      <c r="X37" s="30"/>
    </row>
    <row r="38" spans="2:29" x14ac:dyDescent="0.3">
      <c r="B38" s="153"/>
      <c r="C38" s="6"/>
      <c r="D38" s="26"/>
      <c r="E38" s="6"/>
      <c r="F38" s="26"/>
      <c r="G38" s="6"/>
      <c r="H38" s="26"/>
      <c r="I38" s="6"/>
      <c r="J38" s="26"/>
      <c r="K38" s="6"/>
      <c r="L38" s="26"/>
      <c r="M38" s="6"/>
      <c r="N38" s="26"/>
      <c r="O38" s="6"/>
      <c r="P38" s="26"/>
      <c r="Q38" s="6"/>
      <c r="R38" s="26"/>
      <c r="S38" s="6"/>
      <c r="T38" s="26"/>
      <c r="U38" s="6"/>
      <c r="V38" s="26"/>
      <c r="W38" s="6"/>
      <c r="X38" s="30"/>
      <c r="Z38" s="5"/>
      <c r="AA38" s="5"/>
      <c r="AB38" s="5"/>
      <c r="AC38" s="5"/>
    </row>
    <row r="39" spans="2:29" x14ac:dyDescent="0.3">
      <c r="B39" s="153"/>
      <c r="C39" s="6"/>
      <c r="D39" s="26"/>
      <c r="E39" s="6"/>
      <c r="F39" s="26"/>
      <c r="G39" s="6"/>
      <c r="H39" s="26"/>
      <c r="I39" s="6"/>
      <c r="J39" s="26"/>
      <c r="K39" s="6"/>
      <c r="L39" s="26"/>
      <c r="M39" s="6"/>
      <c r="N39" s="26"/>
      <c r="O39" s="6"/>
      <c r="P39" s="26"/>
      <c r="Q39" s="6"/>
      <c r="R39" s="26"/>
      <c r="S39" s="6"/>
      <c r="T39" s="26"/>
      <c r="U39" s="6"/>
      <c r="V39" s="26"/>
      <c r="W39" s="6"/>
      <c r="X39" s="30"/>
      <c r="Z39" s="5"/>
      <c r="AA39" s="5"/>
      <c r="AB39" s="5"/>
      <c r="AC39" s="5"/>
    </row>
    <row r="40" spans="2:29" x14ac:dyDescent="0.3">
      <c r="B40" s="153"/>
      <c r="C40" s="6"/>
      <c r="D40" s="26"/>
      <c r="E40" s="6"/>
      <c r="F40" s="26"/>
      <c r="G40" s="6"/>
      <c r="H40" s="26"/>
      <c r="I40" s="6"/>
      <c r="J40" s="26"/>
      <c r="K40" s="6"/>
      <c r="L40" s="26"/>
      <c r="M40" s="6"/>
      <c r="N40" s="26"/>
      <c r="O40" s="6"/>
      <c r="P40" s="26"/>
      <c r="Q40" s="6"/>
      <c r="R40" s="26"/>
      <c r="S40" s="6"/>
      <c r="T40" s="26"/>
      <c r="U40" s="6"/>
      <c r="V40" s="26"/>
      <c r="W40" s="6"/>
      <c r="X40" s="30"/>
      <c r="Z40" s="5"/>
      <c r="AA40" s="5"/>
      <c r="AB40" s="5"/>
      <c r="AC40" s="5"/>
    </row>
    <row r="41" spans="2:29" x14ac:dyDescent="0.3">
      <c r="B41" s="153"/>
      <c r="C41" s="6"/>
      <c r="D41" s="26"/>
      <c r="E41" s="6"/>
      <c r="F41" s="26"/>
      <c r="G41" s="6"/>
      <c r="H41" s="26"/>
      <c r="I41" s="6"/>
      <c r="J41" s="26"/>
      <c r="K41" s="6"/>
      <c r="L41" s="26"/>
      <c r="M41" s="6"/>
      <c r="N41" s="26"/>
      <c r="O41" s="6"/>
      <c r="P41" s="26"/>
      <c r="Q41" s="6"/>
      <c r="R41" s="26"/>
      <c r="S41" s="6"/>
      <c r="T41" s="26"/>
      <c r="U41" s="6"/>
      <c r="V41" s="26"/>
      <c r="W41" s="6"/>
      <c r="X41" s="30"/>
    </row>
    <row r="42" spans="2:29" x14ac:dyDescent="0.3">
      <c r="B42" s="153"/>
      <c r="C42" s="6"/>
      <c r="D42" s="26"/>
      <c r="E42" s="6"/>
      <c r="F42" s="26"/>
      <c r="G42" s="6"/>
      <c r="H42" s="26"/>
      <c r="I42" s="6"/>
      <c r="J42" s="26"/>
      <c r="K42" s="6"/>
      <c r="L42" s="26"/>
      <c r="M42" s="6"/>
      <c r="N42" s="26"/>
      <c r="O42" s="6"/>
      <c r="P42" s="26"/>
      <c r="Q42" s="6"/>
      <c r="R42" s="26"/>
      <c r="S42" s="6"/>
      <c r="T42" s="26"/>
      <c r="U42" s="6"/>
      <c r="V42" s="26"/>
      <c r="W42" s="6"/>
      <c r="X42" s="30"/>
    </row>
    <row r="43" spans="2:29" x14ac:dyDescent="0.3">
      <c r="B43" s="153"/>
      <c r="C43" s="6"/>
      <c r="D43" s="26"/>
      <c r="E43" s="6"/>
      <c r="F43" s="26"/>
      <c r="G43" s="6"/>
      <c r="H43" s="26"/>
      <c r="I43" s="6"/>
      <c r="J43" s="26"/>
      <c r="K43" s="6"/>
      <c r="L43" s="26"/>
      <c r="M43" s="6"/>
      <c r="N43" s="26"/>
      <c r="O43" s="6"/>
      <c r="P43" s="26"/>
      <c r="Q43" s="6"/>
      <c r="R43" s="26"/>
      <c r="S43" s="6"/>
      <c r="T43" s="26"/>
      <c r="U43" s="6"/>
      <c r="V43" s="26"/>
      <c r="W43" s="6"/>
      <c r="X43" s="30"/>
    </row>
    <row r="44" spans="2:29" x14ac:dyDescent="0.3">
      <c r="B44" s="153"/>
      <c r="C44" s="6"/>
      <c r="D44" s="26"/>
      <c r="E44" s="6"/>
      <c r="F44" s="26"/>
      <c r="G44" s="6"/>
      <c r="H44" s="26"/>
      <c r="I44" s="6"/>
      <c r="J44" s="26"/>
      <c r="K44" s="6"/>
      <c r="L44" s="26"/>
      <c r="M44" s="6"/>
      <c r="N44" s="26"/>
      <c r="O44" s="6"/>
      <c r="P44" s="26"/>
      <c r="Q44" s="6"/>
      <c r="R44" s="26"/>
      <c r="S44" s="6"/>
      <c r="T44" s="26"/>
      <c r="U44" s="6"/>
      <c r="V44" s="26"/>
      <c r="W44" s="6"/>
      <c r="X44" s="30"/>
    </row>
    <row r="45" spans="2:29" x14ac:dyDescent="0.3">
      <c r="B45" s="153"/>
      <c r="C45" s="6"/>
      <c r="D45" s="26"/>
      <c r="E45" s="6"/>
      <c r="F45" s="26"/>
      <c r="G45" s="6"/>
      <c r="H45" s="26"/>
      <c r="I45" s="6"/>
      <c r="J45" s="26"/>
      <c r="K45" s="6"/>
      <c r="L45" s="26"/>
      <c r="M45" s="6"/>
      <c r="N45" s="26"/>
      <c r="O45" s="6"/>
      <c r="P45" s="26"/>
      <c r="Q45" s="6"/>
      <c r="R45" s="26"/>
      <c r="S45" s="6"/>
      <c r="T45" s="26"/>
      <c r="U45" s="6"/>
      <c r="V45" s="26"/>
      <c r="W45" s="6"/>
      <c r="X45" s="30"/>
    </row>
    <row r="46" spans="2:29" x14ac:dyDescent="0.3">
      <c r="B46" s="154"/>
      <c r="C46" s="10"/>
      <c r="D46" s="9"/>
      <c r="E46" s="10"/>
      <c r="F46" s="9"/>
      <c r="G46" s="10"/>
      <c r="H46" s="9"/>
      <c r="I46" s="10"/>
      <c r="J46" s="9"/>
      <c r="K46" s="10"/>
      <c r="L46" s="9"/>
      <c r="M46" s="10"/>
      <c r="N46" s="9"/>
      <c r="O46" s="10"/>
      <c r="P46" s="9"/>
      <c r="Q46" s="10"/>
      <c r="R46" s="9"/>
      <c r="S46" s="10"/>
      <c r="T46" s="9"/>
      <c r="U46" s="10"/>
      <c r="V46" s="9"/>
      <c r="W46" s="10"/>
      <c r="X46" s="31"/>
    </row>
    <row r="47" spans="2:29" x14ac:dyDescent="0.3">
      <c r="B47" s="155" t="str">
        <f>D6</f>
        <v>하유진</v>
      </c>
      <c r="C47" s="6" t="s">
        <v>43</v>
      </c>
      <c r="D47" s="28">
        <v>32137710</v>
      </c>
      <c r="E47" s="6"/>
      <c r="F47" s="28"/>
      <c r="G47" s="6" t="s">
        <v>57</v>
      </c>
      <c r="H47" s="28">
        <v>0</v>
      </c>
      <c r="I47" s="6" t="s">
        <v>273</v>
      </c>
      <c r="J47" s="28">
        <v>1200000</v>
      </c>
      <c r="K47" s="6" t="s">
        <v>274</v>
      </c>
      <c r="L47" s="28">
        <v>0</v>
      </c>
      <c r="M47" s="6"/>
      <c r="N47" s="28"/>
      <c r="O47" s="6" t="s">
        <v>70</v>
      </c>
      <c r="P47" s="28">
        <v>0</v>
      </c>
      <c r="Q47" s="6" t="s">
        <v>277</v>
      </c>
      <c r="R47" s="28">
        <v>40197418</v>
      </c>
      <c r="S47" s="6" t="s">
        <v>269</v>
      </c>
      <c r="T47" s="28">
        <v>3931188.5584999998</v>
      </c>
      <c r="U47" s="6"/>
      <c r="V47" s="28"/>
      <c r="W47" s="6" t="s">
        <v>138</v>
      </c>
      <c r="X47" s="30">
        <v>7300000</v>
      </c>
    </row>
    <row r="48" spans="2:29" x14ac:dyDescent="0.3">
      <c r="B48" s="155"/>
      <c r="C48" s="6" t="s">
        <v>44</v>
      </c>
      <c r="D48" s="28">
        <v>1</v>
      </c>
      <c r="E48" s="6"/>
      <c r="F48" s="28"/>
      <c r="G48" s="6"/>
      <c r="H48" s="28"/>
      <c r="I48" s="6" t="s">
        <v>66</v>
      </c>
      <c r="J48" s="28">
        <v>4000000</v>
      </c>
      <c r="K48" s="6" t="s">
        <v>275</v>
      </c>
      <c r="L48" s="28">
        <v>0</v>
      </c>
      <c r="M48" s="6"/>
      <c r="N48" s="28"/>
      <c r="O48" s="6" t="s">
        <v>71</v>
      </c>
      <c r="P48" s="28">
        <v>0</v>
      </c>
      <c r="Q48" s="6" t="s">
        <v>137</v>
      </c>
      <c r="R48" s="28">
        <v>0</v>
      </c>
      <c r="S48" s="6" t="s">
        <v>549</v>
      </c>
      <c r="T48" s="28">
        <v>1989376.4284000001</v>
      </c>
      <c r="U48" s="6"/>
      <c r="V48" s="28"/>
      <c r="W48" s="6"/>
      <c r="X48" s="30"/>
    </row>
    <row r="49" spans="2:24" x14ac:dyDescent="0.3">
      <c r="B49" s="155"/>
      <c r="C49" s="6" t="s">
        <v>48</v>
      </c>
      <c r="D49" s="28">
        <v>4417</v>
      </c>
      <c r="E49" s="6"/>
      <c r="F49" s="28"/>
      <c r="G49" s="6"/>
      <c r="H49" s="28"/>
      <c r="I49" s="6" t="s">
        <v>67</v>
      </c>
      <c r="J49" s="28">
        <v>45000000</v>
      </c>
      <c r="K49" s="6" t="s">
        <v>68</v>
      </c>
      <c r="L49" s="28">
        <v>513923</v>
      </c>
      <c r="M49" s="6"/>
      <c r="N49" s="28"/>
      <c r="O49" s="6" t="s">
        <v>72</v>
      </c>
      <c r="P49" s="28">
        <v>0</v>
      </c>
      <c r="Q49" s="6"/>
      <c r="R49" s="28"/>
      <c r="S49" s="6" t="s">
        <v>550</v>
      </c>
      <c r="T49" s="28">
        <v>1744024.2709999999</v>
      </c>
      <c r="U49" s="6"/>
      <c r="V49" s="28"/>
      <c r="W49" s="6"/>
      <c r="X49" s="30"/>
    </row>
    <row r="50" spans="2:24" x14ac:dyDescent="0.3">
      <c r="B50" s="155"/>
      <c r="C50" s="6" t="s">
        <v>49</v>
      </c>
      <c r="D50" s="28">
        <v>0</v>
      </c>
      <c r="E50" s="6"/>
      <c r="F50" s="28"/>
      <c r="G50" s="6"/>
      <c r="H50" s="28"/>
      <c r="I50" s="6" t="s">
        <v>67</v>
      </c>
      <c r="J50" s="28">
        <v>30000000</v>
      </c>
      <c r="K50" s="6" t="s">
        <v>60</v>
      </c>
      <c r="L50" s="28">
        <v>0</v>
      </c>
      <c r="M50" s="6"/>
      <c r="N50" s="28"/>
      <c r="O50" s="6" t="s">
        <v>276</v>
      </c>
      <c r="P50" s="28">
        <v>0</v>
      </c>
      <c r="Q50" s="6"/>
      <c r="R50" s="28"/>
      <c r="S50" s="6" t="s">
        <v>551</v>
      </c>
      <c r="T50" s="28">
        <v>422000</v>
      </c>
      <c r="U50" s="6"/>
      <c r="V50" s="28"/>
      <c r="W50" s="6"/>
      <c r="X50" s="30"/>
    </row>
    <row r="51" spans="2:24" x14ac:dyDescent="0.3">
      <c r="B51" s="155"/>
      <c r="C51" s="6" t="s">
        <v>50</v>
      </c>
      <c r="D51" s="28">
        <v>815</v>
      </c>
      <c r="E51" s="6"/>
      <c r="F51" s="28"/>
      <c r="G51" s="6"/>
      <c r="H51" s="28"/>
      <c r="I51" s="6" t="s">
        <v>67</v>
      </c>
      <c r="J51" s="28">
        <v>5102094</v>
      </c>
      <c r="K51" s="6" t="s">
        <v>69</v>
      </c>
      <c r="L51" s="28">
        <v>0</v>
      </c>
      <c r="M51" s="6"/>
      <c r="N51" s="28"/>
      <c r="O51" s="6"/>
      <c r="P51" s="28"/>
      <c r="Q51" s="6"/>
      <c r="R51" s="28"/>
      <c r="S51" s="6" t="s">
        <v>552</v>
      </c>
      <c r="T51" s="28">
        <v>113127.0273</v>
      </c>
      <c r="U51" s="6"/>
      <c r="V51" s="28"/>
      <c r="W51" s="6"/>
      <c r="X51" s="30"/>
    </row>
    <row r="52" spans="2:24" x14ac:dyDescent="0.3">
      <c r="B52" s="155"/>
      <c r="C52" s="6" t="s">
        <v>51</v>
      </c>
      <c r="D52" s="28">
        <v>4254</v>
      </c>
      <c r="E52" s="6"/>
      <c r="F52" s="28"/>
      <c r="G52" s="6"/>
      <c r="H52" s="28"/>
      <c r="I52" s="6" t="s">
        <v>67</v>
      </c>
      <c r="J52" s="28">
        <v>50000000</v>
      </c>
      <c r="K52" s="6"/>
      <c r="L52" s="28"/>
      <c r="M52" s="6"/>
      <c r="N52" s="28"/>
      <c r="O52" s="6"/>
      <c r="P52" s="28"/>
      <c r="Q52" s="6"/>
      <c r="R52" s="28"/>
      <c r="S52" s="6" t="s">
        <v>553</v>
      </c>
      <c r="T52" s="28">
        <v>77171.925600000002</v>
      </c>
      <c r="U52" s="6"/>
      <c r="V52" s="28"/>
      <c r="W52" s="6"/>
      <c r="X52" s="30"/>
    </row>
    <row r="53" spans="2:24" x14ac:dyDescent="0.3">
      <c r="B53" s="155"/>
      <c r="C53" s="6" t="s">
        <v>52</v>
      </c>
      <c r="D53" s="28">
        <v>121095</v>
      </c>
      <c r="E53" s="6"/>
      <c r="F53" s="28"/>
      <c r="G53" s="6"/>
      <c r="H53" s="28"/>
      <c r="I53" s="6" t="s">
        <v>137</v>
      </c>
      <c r="J53" s="28">
        <v>0</v>
      </c>
      <c r="K53" s="6"/>
      <c r="L53" s="28"/>
      <c r="M53" s="6"/>
      <c r="N53" s="28"/>
      <c r="O53" s="6"/>
      <c r="P53" s="28"/>
      <c r="Q53" s="6"/>
      <c r="R53" s="28"/>
      <c r="S53" s="6" t="s">
        <v>554</v>
      </c>
      <c r="T53" s="28">
        <v>56900</v>
      </c>
      <c r="U53" s="6"/>
      <c r="V53" s="28"/>
      <c r="W53" s="6"/>
      <c r="X53" s="30"/>
    </row>
    <row r="54" spans="2:24" x14ac:dyDescent="0.3">
      <c r="B54" s="155"/>
      <c r="C54" s="6" t="s">
        <v>53</v>
      </c>
      <c r="D54" s="28">
        <v>0</v>
      </c>
      <c r="E54" s="6"/>
      <c r="F54" s="28"/>
      <c r="G54" s="6"/>
      <c r="H54" s="28"/>
      <c r="I54" s="6"/>
      <c r="J54" s="28"/>
      <c r="K54" s="6"/>
      <c r="L54" s="28"/>
      <c r="M54" s="6"/>
      <c r="N54" s="28"/>
      <c r="O54" s="6"/>
      <c r="P54" s="28"/>
      <c r="Q54" s="6"/>
      <c r="R54" s="28"/>
      <c r="S54" s="6" t="s">
        <v>555</v>
      </c>
      <c r="T54" s="28">
        <v>9170</v>
      </c>
      <c r="U54" s="6"/>
      <c r="V54" s="28"/>
      <c r="W54" s="6"/>
      <c r="X54" s="30"/>
    </row>
    <row r="55" spans="2:24" x14ac:dyDescent="0.3">
      <c r="B55" s="155"/>
      <c r="C55" s="6" t="s">
        <v>45</v>
      </c>
      <c r="D55" s="28">
        <v>461</v>
      </c>
      <c r="E55" s="6"/>
      <c r="F55" s="28"/>
      <c r="G55" s="6"/>
      <c r="H55" s="28"/>
      <c r="I55" s="6"/>
      <c r="J55" s="28"/>
      <c r="K55" s="6"/>
      <c r="L55" s="28"/>
      <c r="M55" s="6"/>
      <c r="N55" s="28"/>
      <c r="O55" s="6"/>
      <c r="P55" s="28"/>
      <c r="Q55" s="6"/>
      <c r="R55" s="28"/>
      <c r="S55" s="6" t="s">
        <v>556</v>
      </c>
      <c r="T55" s="28">
        <v>997500</v>
      </c>
      <c r="U55" s="6"/>
      <c r="V55" s="28"/>
      <c r="W55" s="6"/>
      <c r="X55" s="30"/>
    </row>
    <row r="56" spans="2:24" x14ac:dyDescent="0.3">
      <c r="B56" s="155"/>
      <c r="C56" s="6" t="s">
        <v>45</v>
      </c>
      <c r="D56" s="28">
        <v>0</v>
      </c>
      <c r="E56" s="6"/>
      <c r="F56" s="28"/>
      <c r="G56" s="6"/>
      <c r="H56" s="28"/>
      <c r="I56" s="6"/>
      <c r="J56" s="28"/>
      <c r="K56" s="6"/>
      <c r="L56" s="28"/>
      <c r="M56" s="6"/>
      <c r="N56" s="28"/>
      <c r="O56" s="6"/>
      <c r="P56" s="28"/>
      <c r="Q56" s="6"/>
      <c r="R56" s="28"/>
      <c r="S56" s="6" t="s">
        <v>557</v>
      </c>
      <c r="T56" s="28">
        <v>813600</v>
      </c>
      <c r="U56" s="6"/>
      <c r="V56" s="28"/>
      <c r="W56" s="6"/>
      <c r="X56" s="30"/>
    </row>
    <row r="57" spans="2:24" x14ac:dyDescent="0.3">
      <c r="B57" s="155"/>
      <c r="C57" s="6" t="s">
        <v>46</v>
      </c>
      <c r="D57" s="28">
        <v>15</v>
      </c>
      <c r="E57" s="6"/>
      <c r="F57" s="28"/>
      <c r="G57" s="6"/>
      <c r="H57" s="28"/>
      <c r="I57" s="6"/>
      <c r="J57" s="28"/>
      <c r="K57" s="6"/>
      <c r="L57" s="28"/>
      <c r="M57" s="6"/>
      <c r="N57" s="28"/>
      <c r="O57" s="6"/>
      <c r="P57" s="28"/>
      <c r="Q57" s="6"/>
      <c r="R57" s="28"/>
      <c r="S57" s="6" t="s">
        <v>558</v>
      </c>
      <c r="T57" s="28">
        <v>564000</v>
      </c>
      <c r="U57" s="6"/>
      <c r="V57" s="28"/>
      <c r="W57" s="6"/>
      <c r="X57" s="30"/>
    </row>
    <row r="58" spans="2:24" x14ac:dyDescent="0.3">
      <c r="B58" s="155"/>
      <c r="C58" s="6" t="s">
        <v>54</v>
      </c>
      <c r="D58" s="28">
        <v>19528</v>
      </c>
      <c r="E58" s="6"/>
      <c r="F58" s="28"/>
      <c r="G58" s="6"/>
      <c r="H58" s="28"/>
      <c r="I58" s="6"/>
      <c r="J58" s="28"/>
      <c r="K58" s="6"/>
      <c r="L58" s="28"/>
      <c r="M58" s="6"/>
      <c r="N58" s="28"/>
      <c r="O58" s="6"/>
      <c r="P58" s="28"/>
      <c r="Q58" s="6"/>
      <c r="R58" s="28"/>
      <c r="S58" s="6" t="s">
        <v>559</v>
      </c>
      <c r="T58" s="28">
        <v>466400</v>
      </c>
      <c r="U58" s="6"/>
      <c r="V58" s="28"/>
      <c r="W58" s="6"/>
      <c r="X58" s="30"/>
    </row>
    <row r="59" spans="2:24" x14ac:dyDescent="0.3">
      <c r="B59" s="155"/>
      <c r="C59" s="6"/>
      <c r="D59" s="28"/>
      <c r="E59" s="6"/>
      <c r="F59" s="28"/>
      <c r="G59" s="6"/>
      <c r="H59" s="28"/>
      <c r="I59" s="6"/>
      <c r="J59" s="28"/>
      <c r="K59" s="6"/>
      <c r="L59" s="28"/>
      <c r="M59" s="6"/>
      <c r="N59" s="28"/>
      <c r="O59" s="6"/>
      <c r="P59" s="28"/>
      <c r="Q59" s="6"/>
      <c r="R59" s="28"/>
      <c r="S59" s="6" t="s">
        <v>560</v>
      </c>
      <c r="T59" s="28">
        <v>344700</v>
      </c>
      <c r="U59" s="6"/>
      <c r="V59" s="28"/>
      <c r="W59" s="6"/>
      <c r="X59" s="30"/>
    </row>
    <row r="60" spans="2:24" x14ac:dyDescent="0.3">
      <c r="B60" s="155"/>
      <c r="C60" s="6"/>
      <c r="D60" s="28"/>
      <c r="E60" s="6"/>
      <c r="F60" s="28"/>
      <c r="G60" s="6"/>
      <c r="H60" s="28"/>
      <c r="I60" s="6"/>
      <c r="J60" s="28"/>
      <c r="K60" s="6"/>
      <c r="L60" s="28"/>
      <c r="M60" s="6"/>
      <c r="N60" s="28"/>
      <c r="O60" s="6"/>
      <c r="P60" s="28"/>
      <c r="Q60" s="6"/>
      <c r="R60" s="28"/>
      <c r="S60" s="6" t="s">
        <v>561</v>
      </c>
      <c r="T60" s="28">
        <v>209000</v>
      </c>
      <c r="U60" s="6"/>
      <c r="V60" s="28"/>
      <c r="W60" s="6"/>
      <c r="X60" s="30"/>
    </row>
    <row r="61" spans="2:24" x14ac:dyDescent="0.3">
      <c r="B61" s="155"/>
      <c r="C61" s="6"/>
      <c r="D61" s="28"/>
      <c r="E61" s="6"/>
      <c r="F61" s="28"/>
      <c r="G61" s="6"/>
      <c r="H61" s="28"/>
      <c r="I61" s="6"/>
      <c r="J61" s="28"/>
      <c r="K61" s="6"/>
      <c r="L61" s="28"/>
      <c r="M61" s="6"/>
      <c r="N61" s="28"/>
      <c r="O61" s="6"/>
      <c r="P61" s="28"/>
      <c r="Q61" s="6"/>
      <c r="R61" s="28"/>
      <c r="S61" s="6" t="s">
        <v>562</v>
      </c>
      <c r="T61" s="28">
        <v>127500</v>
      </c>
      <c r="U61" s="6"/>
      <c r="V61" s="28"/>
      <c r="W61" s="6"/>
      <c r="X61" s="30"/>
    </row>
    <row r="62" spans="2:24" x14ac:dyDescent="0.3">
      <c r="B62" s="155"/>
      <c r="C62" s="6"/>
      <c r="D62" s="28"/>
      <c r="E62" s="6"/>
      <c r="F62" s="28"/>
      <c r="G62" s="6"/>
      <c r="H62" s="28"/>
      <c r="I62" s="6"/>
      <c r="J62" s="28"/>
      <c r="K62" s="6"/>
      <c r="L62" s="28"/>
      <c r="M62" s="6"/>
      <c r="N62" s="28"/>
      <c r="O62" s="6"/>
      <c r="P62" s="28"/>
      <c r="Q62" s="6"/>
      <c r="R62" s="28"/>
      <c r="S62" s="6" t="s">
        <v>563</v>
      </c>
      <c r="T62" s="28">
        <v>82600</v>
      </c>
      <c r="U62" s="6"/>
      <c r="V62" s="28"/>
      <c r="W62" s="6"/>
      <c r="X62" s="30"/>
    </row>
    <row r="63" spans="2:24" x14ac:dyDescent="0.3">
      <c r="B63" s="155"/>
      <c r="C63" s="6"/>
      <c r="D63" s="28"/>
      <c r="E63" s="6"/>
      <c r="F63" s="28"/>
      <c r="G63" s="6"/>
      <c r="H63" s="28"/>
      <c r="I63" s="6"/>
      <c r="J63" s="28"/>
      <c r="K63" s="6"/>
      <c r="L63" s="28"/>
      <c r="M63" s="6"/>
      <c r="N63" s="28"/>
      <c r="O63" s="6"/>
      <c r="P63" s="28"/>
      <c r="Q63" s="6"/>
      <c r="R63" s="28"/>
      <c r="S63" s="6" t="s">
        <v>564</v>
      </c>
      <c r="T63" s="28">
        <v>48800</v>
      </c>
      <c r="U63" s="6"/>
      <c r="V63" s="28"/>
      <c r="W63" s="6"/>
      <c r="X63" s="30"/>
    </row>
    <row r="64" spans="2:24" x14ac:dyDescent="0.3">
      <c r="B64" s="155"/>
      <c r="C64" s="6"/>
      <c r="D64" s="28"/>
      <c r="E64" s="6"/>
      <c r="F64" s="28"/>
      <c r="G64" s="6"/>
      <c r="H64" s="28"/>
      <c r="I64" s="6"/>
      <c r="J64" s="28"/>
      <c r="K64" s="6"/>
      <c r="L64" s="28"/>
      <c r="M64" s="6"/>
      <c r="N64" s="28"/>
      <c r="O64" s="6"/>
      <c r="P64" s="28"/>
      <c r="Q64" s="6"/>
      <c r="R64" s="28"/>
      <c r="S64" s="6" t="s">
        <v>565</v>
      </c>
      <c r="T64" s="28">
        <v>8390</v>
      </c>
      <c r="U64" s="6"/>
      <c r="V64" s="28"/>
      <c r="W64" s="6"/>
      <c r="X64" s="30"/>
    </row>
    <row r="65" spans="2:24" x14ac:dyDescent="0.3">
      <c r="B65" s="155"/>
      <c r="C65" s="6"/>
      <c r="D65" s="28"/>
      <c r="E65" s="6"/>
      <c r="F65" s="28"/>
      <c r="G65" s="6"/>
      <c r="H65" s="28"/>
      <c r="I65" s="6"/>
      <c r="J65" s="28"/>
      <c r="K65" s="6"/>
      <c r="L65" s="28"/>
      <c r="M65" s="6"/>
      <c r="N65" s="28"/>
      <c r="O65" s="6"/>
      <c r="P65" s="28"/>
      <c r="Q65" s="6"/>
      <c r="R65" s="28"/>
      <c r="S65" s="6" t="s">
        <v>566</v>
      </c>
      <c r="T65" s="28">
        <v>1201000</v>
      </c>
      <c r="U65" s="6"/>
      <c r="V65" s="28"/>
      <c r="W65" s="6"/>
      <c r="X65" s="30"/>
    </row>
    <row r="66" spans="2:24" x14ac:dyDescent="0.3">
      <c r="B66" s="155"/>
      <c r="C66" s="6"/>
      <c r="D66" s="28"/>
      <c r="E66" s="6"/>
      <c r="F66" s="28"/>
      <c r="G66" s="6"/>
      <c r="H66" s="28"/>
      <c r="I66" s="6"/>
      <c r="J66" s="28"/>
      <c r="K66" s="6"/>
      <c r="L66" s="28"/>
      <c r="M66" s="6"/>
      <c r="N66" s="28"/>
      <c r="O66" s="6"/>
      <c r="P66" s="28"/>
      <c r="Q66" s="6"/>
      <c r="R66" s="28"/>
      <c r="S66" s="6" t="s">
        <v>567</v>
      </c>
      <c r="T66" s="28">
        <v>1141400</v>
      </c>
      <c r="U66" s="6"/>
      <c r="V66" s="28"/>
      <c r="W66" s="6"/>
      <c r="X66" s="30"/>
    </row>
    <row r="67" spans="2:24" x14ac:dyDescent="0.3">
      <c r="B67" s="155"/>
      <c r="C67" s="6"/>
      <c r="D67" s="28"/>
      <c r="E67" s="6"/>
      <c r="F67" s="28"/>
      <c r="G67" s="6"/>
      <c r="H67" s="28"/>
      <c r="I67" s="6"/>
      <c r="J67" s="28"/>
      <c r="K67" s="6"/>
      <c r="L67" s="28"/>
      <c r="M67" s="6"/>
      <c r="N67" s="28"/>
      <c r="O67" s="6"/>
      <c r="P67" s="28"/>
      <c r="Q67" s="6"/>
      <c r="R67" s="28"/>
      <c r="S67" s="6" t="s">
        <v>568</v>
      </c>
      <c r="T67" s="28">
        <v>49900</v>
      </c>
      <c r="U67" s="6"/>
      <c r="V67" s="28"/>
      <c r="W67" s="6"/>
      <c r="X67" s="30"/>
    </row>
    <row r="68" spans="2:24" x14ac:dyDescent="0.3">
      <c r="B68" s="155"/>
      <c r="C68" s="6"/>
      <c r="D68" s="28"/>
      <c r="E68" s="6"/>
      <c r="F68" s="28"/>
      <c r="G68" s="6"/>
      <c r="H68" s="28"/>
      <c r="I68" s="6"/>
      <c r="J68" s="28"/>
      <c r="K68" s="6"/>
      <c r="L68" s="28"/>
      <c r="M68" s="6"/>
      <c r="N68" s="28"/>
      <c r="O68" s="6"/>
      <c r="P68" s="28"/>
      <c r="Q68" s="6"/>
      <c r="R68" s="28"/>
      <c r="S68" s="6" t="s">
        <v>569</v>
      </c>
      <c r="T68" s="28">
        <v>25750</v>
      </c>
      <c r="U68" s="6"/>
      <c r="V68" s="28"/>
      <c r="W68" s="6"/>
      <c r="X68" s="30"/>
    </row>
    <row r="69" spans="2:24" x14ac:dyDescent="0.3">
      <c r="B69" s="155"/>
      <c r="C69" s="6"/>
      <c r="D69" s="28"/>
      <c r="E69" s="6"/>
      <c r="F69" s="28"/>
      <c r="G69" s="6"/>
      <c r="H69" s="28"/>
      <c r="I69" s="6"/>
      <c r="J69" s="28"/>
      <c r="K69" s="6"/>
      <c r="L69" s="28"/>
      <c r="M69" s="6"/>
      <c r="N69" s="28"/>
      <c r="O69" s="6"/>
      <c r="P69" s="28"/>
      <c r="Q69" s="6"/>
      <c r="R69" s="28"/>
      <c r="S69" s="6" t="s">
        <v>570</v>
      </c>
      <c r="T69" s="28">
        <v>7630445</v>
      </c>
      <c r="U69" s="6"/>
      <c r="V69" s="28"/>
      <c r="W69" s="6"/>
      <c r="X69" s="30"/>
    </row>
    <row r="70" spans="2:24" x14ac:dyDescent="0.3">
      <c r="B70" s="155"/>
      <c r="C70" s="6"/>
      <c r="D70" s="28"/>
      <c r="E70" s="6"/>
      <c r="F70" s="28"/>
      <c r="G70" s="6"/>
      <c r="H70" s="28"/>
      <c r="I70" s="6"/>
      <c r="J70" s="28"/>
      <c r="K70" s="6"/>
      <c r="L70" s="28"/>
      <c r="M70" s="6"/>
      <c r="N70" s="28"/>
      <c r="O70" s="6"/>
      <c r="P70" s="28"/>
      <c r="Q70" s="6"/>
      <c r="R70" s="28"/>
      <c r="S70" s="6" t="s">
        <v>571</v>
      </c>
      <c r="T70" s="28">
        <v>339</v>
      </c>
      <c r="U70" s="6"/>
      <c r="V70" s="28"/>
      <c r="W70" s="6"/>
      <c r="X70" s="30"/>
    </row>
    <row r="71" spans="2:24" x14ac:dyDescent="0.3">
      <c r="B71" s="155"/>
      <c r="C71" s="6"/>
      <c r="D71" s="28"/>
      <c r="E71" s="6"/>
      <c r="F71" s="28"/>
      <c r="G71" s="6"/>
      <c r="H71" s="28"/>
      <c r="I71" s="6"/>
      <c r="J71" s="28"/>
      <c r="K71" s="6"/>
      <c r="L71" s="28"/>
      <c r="M71" s="6"/>
      <c r="N71" s="28"/>
      <c r="O71" s="6"/>
      <c r="P71" s="28"/>
      <c r="Q71" s="6"/>
      <c r="R71" s="28"/>
      <c r="S71" s="6" t="s">
        <v>572</v>
      </c>
      <c r="T71" s="28">
        <v>420529</v>
      </c>
      <c r="U71" s="6"/>
      <c r="V71" s="28"/>
      <c r="W71" s="6"/>
      <c r="X71" s="30"/>
    </row>
    <row r="72" spans="2:24" x14ac:dyDescent="0.3">
      <c r="B72" s="155"/>
      <c r="C72" s="6"/>
      <c r="D72" s="28"/>
      <c r="E72" s="6"/>
      <c r="F72" s="28"/>
      <c r="G72" s="6"/>
      <c r="H72" s="28"/>
      <c r="I72" s="6"/>
      <c r="J72" s="28"/>
      <c r="K72" s="6"/>
      <c r="L72" s="28"/>
      <c r="M72" s="6"/>
      <c r="N72" s="28"/>
      <c r="O72" s="6"/>
      <c r="P72" s="28"/>
      <c r="Q72" s="6"/>
      <c r="R72" s="28"/>
      <c r="S72" s="6" t="s">
        <v>39</v>
      </c>
      <c r="T72" s="28">
        <v>350</v>
      </c>
      <c r="U72" s="6"/>
      <c r="V72" s="28"/>
      <c r="W72" s="6"/>
      <c r="X72" s="30"/>
    </row>
    <row r="73" spans="2:24" x14ac:dyDescent="0.3">
      <c r="B73" s="155"/>
      <c r="C73" s="6"/>
      <c r="D73" s="28"/>
      <c r="E73" s="6"/>
      <c r="F73" s="28"/>
      <c r="G73" s="6"/>
      <c r="H73" s="28"/>
      <c r="I73" s="6"/>
      <c r="J73" s="28"/>
      <c r="K73" s="6"/>
      <c r="L73" s="28"/>
      <c r="M73" s="6"/>
      <c r="N73" s="28"/>
      <c r="O73" s="6"/>
      <c r="P73" s="28"/>
      <c r="Q73" s="6"/>
      <c r="R73" s="28"/>
      <c r="S73" s="6" t="s">
        <v>573</v>
      </c>
      <c r="T73" s="28">
        <v>425094</v>
      </c>
      <c r="U73" s="6"/>
      <c r="V73" s="28"/>
      <c r="W73" s="6"/>
      <c r="X73" s="30"/>
    </row>
    <row r="74" spans="2:24" x14ac:dyDescent="0.3">
      <c r="B74" s="155"/>
      <c r="C74" s="6"/>
      <c r="D74" s="28"/>
      <c r="E74" s="6"/>
      <c r="F74" s="28"/>
      <c r="G74" s="6"/>
      <c r="H74" s="28"/>
      <c r="I74" s="6"/>
      <c r="J74" s="28"/>
      <c r="K74" s="6"/>
      <c r="L74" s="28"/>
      <c r="M74" s="6"/>
      <c r="N74" s="28"/>
      <c r="O74" s="6"/>
      <c r="P74" s="28"/>
      <c r="Q74" s="6"/>
      <c r="R74" s="28"/>
      <c r="S74" s="6" t="s">
        <v>40</v>
      </c>
      <c r="T74" s="28">
        <v>4471208.2540999996</v>
      </c>
      <c r="U74" s="6"/>
      <c r="V74" s="28"/>
      <c r="W74" s="6"/>
      <c r="X74" s="30"/>
    </row>
    <row r="75" spans="2:24" x14ac:dyDescent="0.3">
      <c r="B75" s="155"/>
      <c r="C75" s="6"/>
      <c r="D75" s="28"/>
      <c r="E75" s="6"/>
      <c r="F75" s="28"/>
      <c r="G75" s="6"/>
      <c r="H75" s="28"/>
      <c r="I75" s="6"/>
      <c r="J75" s="28"/>
      <c r="K75" s="6"/>
      <c r="L75" s="28"/>
      <c r="M75" s="6"/>
      <c r="N75" s="28"/>
      <c r="O75" s="6"/>
      <c r="P75" s="28"/>
      <c r="Q75" s="6"/>
      <c r="R75" s="28"/>
      <c r="S75" s="6" t="s">
        <v>41</v>
      </c>
      <c r="T75" s="28">
        <v>40</v>
      </c>
      <c r="U75" s="6"/>
      <c r="V75" s="28"/>
      <c r="W75" s="6"/>
      <c r="X75" s="30"/>
    </row>
    <row r="76" spans="2:24" x14ac:dyDescent="0.3">
      <c r="B76" s="155"/>
      <c r="C76" s="6"/>
      <c r="D76" s="28"/>
      <c r="E76" s="6"/>
      <c r="F76" s="28"/>
      <c r="G76" s="6"/>
      <c r="H76" s="28"/>
      <c r="I76" s="6"/>
      <c r="J76" s="28"/>
      <c r="K76" s="6"/>
      <c r="L76" s="28"/>
      <c r="M76" s="6"/>
      <c r="N76" s="28"/>
      <c r="O76" s="6"/>
      <c r="P76" s="28"/>
      <c r="Q76" s="6"/>
      <c r="R76" s="28"/>
      <c r="S76" s="6"/>
      <c r="T76" s="28"/>
      <c r="U76" s="6"/>
      <c r="V76" s="28"/>
      <c r="W76" s="6"/>
      <c r="X76" s="30"/>
    </row>
    <row r="77" spans="2:24" x14ac:dyDescent="0.3">
      <c r="B77" s="155"/>
      <c r="C77" s="6"/>
      <c r="D77" s="28"/>
      <c r="E77" s="6"/>
      <c r="F77" s="28"/>
      <c r="G77" s="6"/>
      <c r="H77" s="28"/>
      <c r="I77" s="6"/>
      <c r="J77" s="28"/>
      <c r="K77" s="6"/>
      <c r="L77" s="28"/>
      <c r="M77" s="6"/>
      <c r="N77" s="28"/>
      <c r="O77" s="6"/>
      <c r="P77" s="28"/>
      <c r="Q77" s="6"/>
      <c r="R77" s="28"/>
      <c r="S77" s="6"/>
      <c r="T77" s="28"/>
      <c r="U77" s="6"/>
      <c r="V77" s="28"/>
      <c r="W77" s="6"/>
      <c r="X77" s="30"/>
    </row>
    <row r="78" spans="2:24" x14ac:dyDescent="0.3">
      <c r="B78" s="155"/>
      <c r="C78" s="6"/>
      <c r="D78" s="28"/>
      <c r="E78" s="6"/>
      <c r="F78" s="28"/>
      <c r="G78" s="6"/>
      <c r="H78" s="28"/>
      <c r="I78" s="6"/>
      <c r="J78" s="28"/>
      <c r="K78" s="6"/>
      <c r="L78" s="28"/>
      <c r="M78" s="6"/>
      <c r="N78" s="28"/>
      <c r="O78" s="6"/>
      <c r="P78" s="28"/>
      <c r="Q78" s="6"/>
      <c r="R78" s="28"/>
      <c r="S78" s="6"/>
      <c r="T78" s="28"/>
      <c r="U78" s="6"/>
      <c r="V78" s="28"/>
      <c r="W78" s="6"/>
      <c r="X78" s="30"/>
    </row>
    <row r="79" spans="2:24" x14ac:dyDescent="0.3">
      <c r="B79" s="155"/>
      <c r="C79" s="6"/>
      <c r="D79" s="28"/>
      <c r="E79" s="6"/>
      <c r="F79" s="28"/>
      <c r="G79" s="6"/>
      <c r="H79" s="28"/>
      <c r="I79" s="6"/>
      <c r="J79" s="28"/>
      <c r="K79" s="6"/>
      <c r="L79" s="28"/>
      <c r="M79" s="6"/>
      <c r="N79" s="28"/>
      <c r="O79" s="6"/>
      <c r="P79" s="28"/>
      <c r="Q79" s="6"/>
      <c r="R79" s="28"/>
      <c r="S79" s="6"/>
      <c r="T79" s="28"/>
      <c r="U79" s="6"/>
      <c r="V79" s="28"/>
      <c r="W79" s="6"/>
      <c r="X79" s="30"/>
    </row>
    <row r="80" spans="2:24" x14ac:dyDescent="0.3">
      <c r="B80" s="155"/>
      <c r="C80" s="6"/>
      <c r="D80" s="28"/>
      <c r="E80" s="6"/>
      <c r="F80" s="28"/>
      <c r="G80" s="6"/>
      <c r="H80" s="28"/>
      <c r="I80" s="6"/>
      <c r="J80" s="28"/>
      <c r="K80" s="6"/>
      <c r="L80" s="28"/>
      <c r="M80" s="6"/>
      <c r="N80" s="28"/>
      <c r="O80" s="6"/>
      <c r="P80" s="28"/>
      <c r="Q80" s="6"/>
      <c r="R80" s="28"/>
      <c r="S80" s="6"/>
      <c r="T80" s="28"/>
      <c r="U80" s="6"/>
      <c r="V80" s="28"/>
      <c r="W80" s="6"/>
      <c r="X80" s="30"/>
    </row>
    <row r="81" spans="2:24" x14ac:dyDescent="0.3">
      <c r="B81" s="155"/>
      <c r="C81" s="6"/>
      <c r="D81" s="28"/>
      <c r="E81" s="6"/>
      <c r="F81" s="28"/>
      <c r="G81" s="6"/>
      <c r="H81" s="28"/>
      <c r="I81" s="6"/>
      <c r="J81" s="28"/>
      <c r="K81" s="6"/>
      <c r="L81" s="28"/>
      <c r="M81" s="6"/>
      <c r="N81" s="28"/>
      <c r="O81" s="6"/>
      <c r="P81" s="28"/>
      <c r="Q81" s="6"/>
      <c r="R81" s="28"/>
      <c r="S81" s="6"/>
      <c r="T81" s="28"/>
      <c r="U81" s="6"/>
      <c r="V81" s="28"/>
      <c r="W81" s="6"/>
      <c r="X81" s="30"/>
    </row>
    <row r="82" spans="2:24" x14ac:dyDescent="0.3">
      <c r="B82" s="155"/>
      <c r="C82" s="6"/>
      <c r="D82" s="26"/>
      <c r="E82" s="6"/>
      <c r="F82" s="26"/>
      <c r="G82" s="6"/>
      <c r="H82" s="26"/>
      <c r="I82" s="6"/>
      <c r="J82" s="26"/>
      <c r="K82" s="6"/>
      <c r="L82" s="26"/>
      <c r="M82" s="6"/>
      <c r="N82" s="26"/>
      <c r="O82" s="6"/>
      <c r="P82" s="26"/>
      <c r="Q82" s="6"/>
      <c r="R82" s="26"/>
      <c r="S82" s="6"/>
      <c r="T82" s="26"/>
      <c r="U82" s="6"/>
      <c r="V82" s="26"/>
      <c r="W82" s="6"/>
      <c r="X82" s="30"/>
    </row>
    <row r="83" spans="2:24" x14ac:dyDescent="0.3">
      <c r="B83" s="15"/>
      <c r="C83" s="7" t="s">
        <v>55</v>
      </c>
      <c r="D83" s="18">
        <f>SUM(D11:D82)</f>
        <v>33266027</v>
      </c>
      <c r="E83" s="7" t="s">
        <v>22</v>
      </c>
      <c r="F83" s="18">
        <f>SUM(F11:F82)</f>
        <v>0</v>
      </c>
      <c r="G83" s="7" t="s">
        <v>22</v>
      </c>
      <c r="H83" s="18">
        <f>SUM(H11:H82)</f>
        <v>0</v>
      </c>
      <c r="I83" s="7" t="s">
        <v>22</v>
      </c>
      <c r="J83" s="18">
        <f>SUM(J11:J82)</f>
        <v>135302094</v>
      </c>
      <c r="K83" s="7" t="s">
        <v>22</v>
      </c>
      <c r="L83" s="18">
        <f>SUM(L11:L82)</f>
        <v>550123</v>
      </c>
      <c r="M83" s="7" t="s">
        <v>22</v>
      </c>
      <c r="N83" s="18">
        <f>SUM(N11:N82)</f>
        <v>0</v>
      </c>
      <c r="O83" s="7" t="s">
        <v>22</v>
      </c>
      <c r="P83" s="18">
        <f>SUM(P11:P82)</f>
        <v>0</v>
      </c>
      <c r="Q83" s="7" t="s">
        <v>22</v>
      </c>
      <c r="R83" s="18">
        <f>SUM(R11:R82)</f>
        <v>103826543</v>
      </c>
      <c r="S83" s="7" t="s">
        <v>41</v>
      </c>
      <c r="T83" s="18">
        <v>40</v>
      </c>
      <c r="U83" s="7" t="s">
        <v>22</v>
      </c>
      <c r="V83" s="18">
        <f>SUM(V11:V82)</f>
        <v>0</v>
      </c>
      <c r="W83" s="7" t="s">
        <v>22</v>
      </c>
      <c r="X83" s="19">
        <f>SUM(X11:X82)</f>
        <v>16350000</v>
      </c>
    </row>
    <row r="84" spans="2:24" x14ac:dyDescent="0.3">
      <c r="B84" s="15"/>
      <c r="C84" s="7" t="s">
        <v>24</v>
      </c>
      <c r="D84" s="107">
        <f>SUM(D83,F83,H83,J83,L83,N83,P83,R83)</f>
        <v>272944787</v>
      </c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9"/>
      <c r="S84" s="7" t="s">
        <v>24</v>
      </c>
      <c r="T84" s="107">
        <f>SUM(T83,V83,X83)</f>
        <v>16350040</v>
      </c>
      <c r="U84" s="108"/>
      <c r="V84" s="108"/>
      <c r="W84" s="108"/>
      <c r="X84" s="109"/>
    </row>
    <row r="85" spans="2:24" ht="17.25" thickBot="1" x14ac:dyDescent="0.35">
      <c r="B85" s="16"/>
      <c r="C85" s="12" t="s">
        <v>23</v>
      </c>
      <c r="D85" s="110">
        <f>SUM(D84,T84)</f>
        <v>289294827</v>
      </c>
      <c r="E85" s="111"/>
      <c r="F85" s="111"/>
      <c r="G85" s="111"/>
      <c r="H85" s="111"/>
      <c r="I85" s="111"/>
      <c r="J85" s="111"/>
      <c r="K85" s="111"/>
      <c r="L85" s="111"/>
      <c r="M85" s="111"/>
      <c r="N85" s="111"/>
      <c r="O85" s="111"/>
      <c r="P85" s="111"/>
      <c r="Q85" s="111"/>
      <c r="R85" s="111"/>
      <c r="S85" s="111"/>
      <c r="T85" s="111"/>
      <c r="U85" s="111"/>
      <c r="V85" s="111"/>
      <c r="W85" s="111"/>
      <c r="X85" s="112"/>
    </row>
  </sheetData>
  <mergeCells count="30">
    <mergeCell ref="K4:P4"/>
    <mergeCell ref="K6:P6"/>
    <mergeCell ref="H4:I4"/>
    <mergeCell ref="D84:R84"/>
    <mergeCell ref="T84:X84"/>
    <mergeCell ref="D85:X85"/>
    <mergeCell ref="B9:B10"/>
    <mergeCell ref="B11:B46"/>
    <mergeCell ref="B47:B82"/>
    <mergeCell ref="S9:X9"/>
    <mergeCell ref="B4:C4"/>
    <mergeCell ref="B6:C6"/>
    <mergeCell ref="B2:D2"/>
    <mergeCell ref="D4:E4"/>
    <mergeCell ref="D6:E6"/>
    <mergeCell ref="Z9:AC9"/>
    <mergeCell ref="E10:F10"/>
    <mergeCell ref="G10:H10"/>
    <mergeCell ref="I10:J10"/>
    <mergeCell ref="K10:L10"/>
    <mergeCell ref="M10:N10"/>
    <mergeCell ref="O10:P10"/>
    <mergeCell ref="Q10:R10"/>
    <mergeCell ref="C9:R9"/>
    <mergeCell ref="C10:D10"/>
    <mergeCell ref="S10:T10"/>
    <mergeCell ref="U10:V10"/>
    <mergeCell ref="W10:X10"/>
    <mergeCell ref="Z10:AA10"/>
    <mergeCell ref="AB10:AC10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027" r:id="rId3" name="CommandButton2">
          <controlPr defaultSize="0" autoLine="0" r:id="rId4">
            <anchor moveWithCells="1">
              <from>
                <xdr:col>16</xdr:col>
                <xdr:colOff>28575</xdr:colOff>
                <xdr:row>4</xdr:row>
                <xdr:rowOff>190500</xdr:rowOff>
              </from>
              <to>
                <xdr:col>17</xdr:col>
                <xdr:colOff>47625</xdr:colOff>
                <xdr:row>6</xdr:row>
                <xdr:rowOff>38100</xdr:rowOff>
              </to>
            </anchor>
          </controlPr>
        </control>
      </mc:Choice>
      <mc:Fallback>
        <control shapeId="1027" r:id="rId3" name="CommandButton2"/>
      </mc:Fallback>
    </mc:AlternateContent>
    <mc:AlternateContent xmlns:mc="http://schemas.openxmlformats.org/markup-compatibility/2006">
      <mc:Choice Requires="x14">
        <control shapeId="1028" r:id="rId5" name="CommandButton1">
          <controlPr defaultSize="0" autoLine="0" r:id="rId6">
            <anchor moveWithCells="1">
              <from>
                <xdr:col>16</xdr:col>
                <xdr:colOff>19050</xdr:colOff>
                <xdr:row>2</xdr:row>
                <xdr:rowOff>190500</xdr:rowOff>
              </from>
              <to>
                <xdr:col>17</xdr:col>
                <xdr:colOff>28575</xdr:colOff>
                <xdr:row>4</xdr:row>
                <xdr:rowOff>28575</xdr:rowOff>
              </to>
            </anchor>
          </controlPr>
        </control>
      </mc:Choice>
      <mc:Fallback>
        <control shapeId="1028" r:id="rId5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663E6-218E-404A-BF8E-33380CD1F5FC}">
  <sheetPr codeName="Sheet8">
    <tabColor rgb="FFFFF3F9"/>
  </sheetPr>
  <dimension ref="B2:Y101"/>
  <sheetViews>
    <sheetView zoomScaleNormal="100"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25.5" bestFit="1" customWidth="1"/>
    <col min="12" max="12" width="12.625" bestFit="1" customWidth="1"/>
    <col min="13" max="13" width="11" bestFit="1" customWidth="1"/>
    <col min="14" max="14" width="17.25" bestFit="1" customWidth="1"/>
    <col min="15" max="15" width="11.75" bestFit="1" customWidth="1"/>
    <col min="16" max="16" width="2.375" customWidth="1"/>
    <col min="18" max="18" width="15.875" bestFit="1" customWidth="1"/>
    <col min="19" max="19" width="10.625" bestFit="1" customWidth="1"/>
    <col min="20" max="20" width="9.75" bestFit="1" customWidth="1"/>
    <col min="21" max="21" width="26.5" bestFit="1" customWidth="1"/>
    <col min="22" max="22" width="11.5" bestFit="1" customWidth="1"/>
    <col min="24" max="24" width="21.375" bestFit="1" customWidth="1"/>
    <col min="25" max="25" width="11.5" bestFit="1" customWidth="1"/>
  </cols>
  <sheetData>
    <row r="2" spans="2:25" ht="24.75" thickBot="1" x14ac:dyDescent="0.35">
      <c r="B2" s="169" t="s">
        <v>25</v>
      </c>
      <c r="C2" s="169"/>
      <c r="D2" s="53"/>
      <c r="G2" s="52"/>
      <c r="H2" s="5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74">
        <v>10000000</v>
      </c>
      <c r="D4" s="174"/>
      <c r="G4" s="176" t="str">
        <f>설정!D4</f>
        <v>천세원</v>
      </c>
      <c r="H4" s="177"/>
      <c r="I4" s="177"/>
      <c r="J4" s="177"/>
      <c r="K4" s="177"/>
      <c r="L4" s="177"/>
      <c r="M4" s="177"/>
      <c r="N4" s="177"/>
      <c r="O4" s="178"/>
      <c r="Q4" s="179" t="str">
        <f>설정!D6</f>
        <v>하유진</v>
      </c>
      <c r="R4" s="180"/>
      <c r="S4" s="180"/>
      <c r="T4" s="180"/>
      <c r="U4" s="180"/>
      <c r="V4" s="180"/>
      <c r="W4" s="180"/>
      <c r="X4" s="180"/>
      <c r="Y4" s="181"/>
    </row>
    <row r="5" spans="2:25" x14ac:dyDescent="0.3">
      <c r="B5" s="2" t="s">
        <v>36</v>
      </c>
      <c r="C5" s="174">
        <f>I90+S90</f>
        <v>-15637165</v>
      </c>
      <c r="D5" s="174"/>
      <c r="G5" s="136" t="s">
        <v>27</v>
      </c>
      <c r="H5" s="168"/>
      <c r="I5" s="137"/>
      <c r="J5" s="134" t="s">
        <v>31</v>
      </c>
      <c r="K5" s="170"/>
      <c r="L5" s="135"/>
      <c r="M5" s="171" t="s">
        <v>32</v>
      </c>
      <c r="N5" s="172"/>
      <c r="O5" s="173"/>
      <c r="Q5" s="136" t="s">
        <v>27</v>
      </c>
      <c r="R5" s="168"/>
      <c r="S5" s="137"/>
      <c r="T5" s="134" t="s">
        <v>31</v>
      </c>
      <c r="U5" s="170"/>
      <c r="V5" s="135"/>
      <c r="W5" s="171" t="s">
        <v>32</v>
      </c>
      <c r="X5" s="172"/>
      <c r="Y5" s="173"/>
    </row>
    <row r="6" spans="2:25" x14ac:dyDescent="0.3">
      <c r="B6" s="2" t="s">
        <v>38</v>
      </c>
      <c r="C6" s="174">
        <f>C4-C5</f>
        <v>25637165</v>
      </c>
      <c r="D6" s="174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5">
        <f>(C5)/(C4)</f>
        <v>-1.5637165</v>
      </c>
      <c r="D7" s="175"/>
      <c r="G7" s="6" t="s">
        <v>208</v>
      </c>
      <c r="H7" s="39" t="s">
        <v>209</v>
      </c>
      <c r="I7" s="28">
        <v>4798740</v>
      </c>
      <c r="J7" s="6" t="s">
        <v>94</v>
      </c>
      <c r="K7" s="39" t="s">
        <v>95</v>
      </c>
      <c r="L7" s="28">
        <v>-28800</v>
      </c>
      <c r="M7" s="6" t="s">
        <v>101</v>
      </c>
      <c r="N7" s="39" t="s">
        <v>167</v>
      </c>
      <c r="O7" s="40">
        <v>100000</v>
      </c>
      <c r="P7" s="5"/>
      <c r="Q7" s="6" t="s">
        <v>86</v>
      </c>
      <c r="R7" s="39" t="s">
        <v>87</v>
      </c>
      <c r="S7" s="28">
        <v>0</v>
      </c>
      <c r="T7" s="6" t="s">
        <v>111</v>
      </c>
      <c r="U7" s="39" t="s">
        <v>105</v>
      </c>
      <c r="V7" s="28">
        <v>-40000</v>
      </c>
      <c r="W7" s="6" t="s">
        <v>117</v>
      </c>
      <c r="X7" s="39" t="s">
        <v>172</v>
      </c>
      <c r="Y7" s="40">
        <v>39856</v>
      </c>
    </row>
    <row r="8" spans="2:25" x14ac:dyDescent="0.3">
      <c r="G8" s="6" t="s">
        <v>208</v>
      </c>
      <c r="H8" s="39" t="s">
        <v>210</v>
      </c>
      <c r="I8" s="28">
        <v>1967714</v>
      </c>
      <c r="J8" s="6" t="s">
        <v>103</v>
      </c>
      <c r="K8" s="39" t="s">
        <v>128</v>
      </c>
      <c r="L8" s="28">
        <v>-49000</v>
      </c>
      <c r="M8" s="6" t="s">
        <v>101</v>
      </c>
      <c r="N8" s="39" t="s">
        <v>211</v>
      </c>
      <c r="O8" s="26">
        <v>1</v>
      </c>
      <c r="P8" s="5"/>
      <c r="Q8" s="6" t="s">
        <v>229</v>
      </c>
      <c r="R8" s="39" t="s">
        <v>230</v>
      </c>
      <c r="S8" s="28">
        <v>3400000</v>
      </c>
      <c r="T8" s="6" t="s">
        <v>111</v>
      </c>
      <c r="U8" s="39" t="s">
        <v>174</v>
      </c>
      <c r="V8" s="28">
        <v>-56600</v>
      </c>
      <c r="W8" s="6" t="s">
        <v>107</v>
      </c>
      <c r="X8" s="39" t="s">
        <v>173</v>
      </c>
      <c r="Y8" s="26">
        <v>-374782</v>
      </c>
    </row>
    <row r="9" spans="2:25" x14ac:dyDescent="0.3">
      <c r="G9" s="6" t="s">
        <v>86</v>
      </c>
      <c r="H9" s="39" t="s">
        <v>217</v>
      </c>
      <c r="I9" s="28">
        <v>0</v>
      </c>
      <c r="J9" s="6" t="s">
        <v>93</v>
      </c>
      <c r="K9" s="39" t="s">
        <v>125</v>
      </c>
      <c r="L9" s="28">
        <v>-60000</v>
      </c>
      <c r="M9" s="6" t="s">
        <v>88</v>
      </c>
      <c r="N9" s="39" t="s">
        <v>212</v>
      </c>
      <c r="O9" s="26">
        <v>88820</v>
      </c>
      <c r="P9" s="5"/>
      <c r="Q9" s="6" t="s">
        <v>208</v>
      </c>
      <c r="R9" s="39" t="s">
        <v>209</v>
      </c>
      <c r="S9" s="28">
        <v>4458575</v>
      </c>
      <c r="T9" s="6" t="s">
        <v>90</v>
      </c>
      <c r="U9" s="39" t="s">
        <v>133</v>
      </c>
      <c r="V9" s="28">
        <v>-2153333</v>
      </c>
      <c r="W9" s="6" t="s">
        <v>107</v>
      </c>
      <c r="X9" s="39" t="s">
        <v>110</v>
      </c>
      <c r="Y9" s="26">
        <v>-81190</v>
      </c>
    </row>
    <row r="10" spans="2:25" x14ac:dyDescent="0.3">
      <c r="G10" s="6"/>
      <c r="H10" s="39"/>
      <c r="I10" s="28"/>
      <c r="J10" s="6" t="s">
        <v>90</v>
      </c>
      <c r="K10" s="39" t="s">
        <v>122</v>
      </c>
      <c r="L10" s="28">
        <v>-700</v>
      </c>
      <c r="M10" s="6" t="s">
        <v>213</v>
      </c>
      <c r="N10" s="39" t="s">
        <v>214</v>
      </c>
      <c r="O10" s="26">
        <v>-6000000</v>
      </c>
      <c r="P10" s="5"/>
      <c r="Q10" s="6" t="s">
        <v>208</v>
      </c>
      <c r="R10" s="39" t="s">
        <v>210</v>
      </c>
      <c r="S10" s="28">
        <v>1835517</v>
      </c>
      <c r="T10" s="6" t="s">
        <v>90</v>
      </c>
      <c r="U10" s="39" t="s">
        <v>175</v>
      </c>
      <c r="V10" s="28">
        <v>-12180</v>
      </c>
      <c r="W10" s="6" t="s">
        <v>88</v>
      </c>
      <c r="X10" s="39" t="s">
        <v>176</v>
      </c>
      <c r="Y10" s="26">
        <v>5000</v>
      </c>
    </row>
    <row r="11" spans="2:25" x14ac:dyDescent="0.3">
      <c r="G11" s="6"/>
      <c r="H11" s="39"/>
      <c r="I11" s="28"/>
      <c r="J11" s="6" t="s">
        <v>91</v>
      </c>
      <c r="K11" s="39" t="s">
        <v>159</v>
      </c>
      <c r="L11" s="28">
        <v>-5000</v>
      </c>
      <c r="M11" s="6" t="s">
        <v>107</v>
      </c>
      <c r="N11" s="39" t="s">
        <v>222</v>
      </c>
      <c r="O11" s="26">
        <v>-4150</v>
      </c>
      <c r="P11" s="5"/>
      <c r="Q11" s="6" t="s">
        <v>86</v>
      </c>
      <c r="R11" s="39" t="s">
        <v>232</v>
      </c>
      <c r="S11" s="28">
        <v>9</v>
      </c>
      <c r="T11" s="6" t="s">
        <v>99</v>
      </c>
      <c r="U11" s="39" t="s">
        <v>177</v>
      </c>
      <c r="V11" s="28">
        <v>-14500</v>
      </c>
      <c r="W11" s="6" t="s">
        <v>101</v>
      </c>
      <c r="X11" s="39" t="s">
        <v>178</v>
      </c>
      <c r="Y11" s="26">
        <v>-38000</v>
      </c>
    </row>
    <row r="12" spans="2:25" x14ac:dyDescent="0.3">
      <c r="G12" s="6"/>
      <c r="H12" s="39"/>
      <c r="I12" s="28"/>
      <c r="J12" s="6" t="s">
        <v>96</v>
      </c>
      <c r="K12" s="39" t="s">
        <v>97</v>
      </c>
      <c r="L12" s="28">
        <v>-12000</v>
      </c>
      <c r="M12" s="6" t="s">
        <v>213</v>
      </c>
      <c r="N12" s="39" t="s">
        <v>224</v>
      </c>
      <c r="O12" s="26">
        <v>-500000</v>
      </c>
      <c r="P12" s="5"/>
      <c r="Q12" s="6" t="s">
        <v>86</v>
      </c>
      <c r="R12" s="39" t="s">
        <v>217</v>
      </c>
      <c r="S12" s="28">
        <v>0</v>
      </c>
      <c r="T12" s="6" t="s">
        <v>111</v>
      </c>
      <c r="U12" s="39" t="s">
        <v>105</v>
      </c>
      <c r="V12" s="28">
        <v>-2500</v>
      </c>
      <c r="W12" s="6" t="s">
        <v>116</v>
      </c>
      <c r="X12" s="39" t="s">
        <v>131</v>
      </c>
      <c r="Y12" s="26">
        <v>-90000</v>
      </c>
    </row>
    <row r="13" spans="2:25" x14ac:dyDescent="0.3">
      <c r="G13" s="44"/>
      <c r="H13" s="39"/>
      <c r="I13" s="28"/>
      <c r="J13" s="6" t="s">
        <v>120</v>
      </c>
      <c r="K13" s="39" t="s">
        <v>160</v>
      </c>
      <c r="L13" s="28">
        <v>-22500</v>
      </c>
      <c r="M13" s="6" t="s">
        <v>213</v>
      </c>
      <c r="N13" s="39" t="s">
        <v>225</v>
      </c>
      <c r="O13" s="26">
        <v>500000</v>
      </c>
      <c r="P13" s="5"/>
      <c r="Q13" s="6"/>
      <c r="R13" s="39"/>
      <c r="S13" s="28"/>
      <c r="T13" s="6" t="s">
        <v>91</v>
      </c>
      <c r="U13" s="39" t="s">
        <v>278</v>
      </c>
      <c r="V13" s="28">
        <v>-4129</v>
      </c>
      <c r="W13" s="6" t="s">
        <v>116</v>
      </c>
      <c r="X13" s="39" t="s">
        <v>280</v>
      </c>
      <c r="Y13" s="26">
        <v>90000</v>
      </c>
    </row>
    <row r="14" spans="2:25" x14ac:dyDescent="0.3">
      <c r="G14" s="6"/>
      <c r="H14" s="39"/>
      <c r="I14" s="28"/>
      <c r="J14" s="6" t="s">
        <v>94</v>
      </c>
      <c r="K14" s="39" t="s">
        <v>161</v>
      </c>
      <c r="L14" s="28">
        <v>-71000</v>
      </c>
      <c r="M14" s="6" t="s">
        <v>213</v>
      </c>
      <c r="N14" s="39" t="s">
        <v>225</v>
      </c>
      <c r="O14" s="26">
        <v>100000</v>
      </c>
      <c r="P14" s="5"/>
      <c r="Q14" s="6"/>
      <c r="R14" s="39"/>
      <c r="S14" s="28"/>
      <c r="T14" s="6" t="s">
        <v>111</v>
      </c>
      <c r="U14" s="39" t="s">
        <v>105</v>
      </c>
      <c r="V14" s="28">
        <v>-16642</v>
      </c>
      <c r="W14" s="6" t="s">
        <v>101</v>
      </c>
      <c r="X14" s="39" t="s">
        <v>180</v>
      </c>
      <c r="Y14" s="26">
        <v>-8000</v>
      </c>
    </row>
    <row r="15" spans="2:25" x14ac:dyDescent="0.3">
      <c r="G15" s="6"/>
      <c r="H15" s="39"/>
      <c r="I15" s="28"/>
      <c r="J15" s="6" t="s">
        <v>99</v>
      </c>
      <c r="K15" s="39" t="s">
        <v>162</v>
      </c>
      <c r="L15" s="28">
        <v>-2200</v>
      </c>
      <c r="M15" s="6" t="s">
        <v>213</v>
      </c>
      <c r="N15" s="39" t="s">
        <v>226</v>
      </c>
      <c r="O15" s="26">
        <v>-100000</v>
      </c>
      <c r="P15" s="5"/>
      <c r="Q15" s="6"/>
      <c r="R15" s="39"/>
      <c r="S15" s="28"/>
      <c r="T15" s="6" t="s">
        <v>111</v>
      </c>
      <c r="U15" s="39" t="s">
        <v>279</v>
      </c>
      <c r="V15" s="28">
        <v>-2527</v>
      </c>
      <c r="W15" s="6" t="s">
        <v>116</v>
      </c>
      <c r="X15" s="39" t="s">
        <v>131</v>
      </c>
      <c r="Y15" s="26">
        <v>-40000</v>
      </c>
    </row>
    <row r="16" spans="2:25" x14ac:dyDescent="0.3">
      <c r="G16" s="6"/>
      <c r="H16" s="39"/>
      <c r="I16" s="28"/>
      <c r="J16" s="6" t="s">
        <v>94</v>
      </c>
      <c r="K16" s="39" t="s">
        <v>163</v>
      </c>
      <c r="L16" s="28">
        <v>-7500</v>
      </c>
      <c r="M16" s="6" t="s">
        <v>213</v>
      </c>
      <c r="N16" s="39" t="s">
        <v>227</v>
      </c>
      <c r="O16" s="26">
        <v>-100000</v>
      </c>
      <c r="P16" s="5"/>
      <c r="Q16" s="6"/>
      <c r="R16" s="39"/>
      <c r="S16" s="28"/>
      <c r="T16" s="6" t="s">
        <v>111</v>
      </c>
      <c r="U16" s="39" t="s">
        <v>279</v>
      </c>
      <c r="V16" s="28">
        <v>-23473</v>
      </c>
      <c r="W16" s="6" t="s">
        <v>116</v>
      </c>
      <c r="X16" s="39" t="s">
        <v>280</v>
      </c>
      <c r="Y16" s="26">
        <v>40000</v>
      </c>
    </row>
    <row r="17" spans="2:25" x14ac:dyDescent="0.3">
      <c r="G17" s="6"/>
      <c r="H17" s="39"/>
      <c r="I17" s="28"/>
      <c r="J17" s="6" t="s">
        <v>94</v>
      </c>
      <c r="K17" s="39" t="s">
        <v>164</v>
      </c>
      <c r="L17" s="28">
        <v>-7000</v>
      </c>
      <c r="M17" s="6" t="s">
        <v>107</v>
      </c>
      <c r="N17" s="39" t="s">
        <v>110</v>
      </c>
      <c r="O17" s="26">
        <v>-2410000</v>
      </c>
      <c r="P17" s="5"/>
      <c r="Q17" s="6"/>
      <c r="R17" s="39"/>
      <c r="S17" s="28"/>
      <c r="T17" s="6" t="s">
        <v>111</v>
      </c>
      <c r="U17" s="39" t="s">
        <v>279</v>
      </c>
      <c r="V17" s="28">
        <v>-6000</v>
      </c>
      <c r="W17" s="6" t="s">
        <v>117</v>
      </c>
      <c r="X17" s="39" t="s">
        <v>181</v>
      </c>
      <c r="Y17" s="26">
        <v>86600</v>
      </c>
    </row>
    <row r="18" spans="2:25" x14ac:dyDescent="0.3">
      <c r="G18" s="6"/>
      <c r="H18" s="39"/>
      <c r="I18" s="28"/>
      <c r="J18" s="6" t="s">
        <v>89</v>
      </c>
      <c r="K18" s="39" t="s">
        <v>165</v>
      </c>
      <c r="L18" s="28">
        <v>-4000</v>
      </c>
      <c r="M18" s="6"/>
      <c r="N18" s="39"/>
      <c r="O18" s="26"/>
      <c r="P18" s="5"/>
      <c r="Q18" s="6"/>
      <c r="R18" s="39"/>
      <c r="S18" s="28"/>
      <c r="T18" s="6" t="s">
        <v>103</v>
      </c>
      <c r="U18" s="39" t="s">
        <v>281</v>
      </c>
      <c r="V18" s="28">
        <v>-86600</v>
      </c>
      <c r="W18" s="6" t="s">
        <v>101</v>
      </c>
      <c r="X18" s="39" t="s">
        <v>136</v>
      </c>
      <c r="Y18" s="26">
        <v>396290</v>
      </c>
    </row>
    <row r="19" spans="2:25" x14ac:dyDescent="0.3">
      <c r="G19" s="6"/>
      <c r="H19" s="39"/>
      <c r="I19" s="28"/>
      <c r="J19" s="6" t="s">
        <v>99</v>
      </c>
      <c r="K19" s="39" t="s">
        <v>166</v>
      </c>
      <c r="L19" s="28">
        <v>-5600</v>
      </c>
      <c r="M19" s="6"/>
      <c r="N19" s="39"/>
      <c r="O19" s="26"/>
      <c r="P19" s="5"/>
      <c r="Q19" s="6"/>
      <c r="R19" s="39"/>
      <c r="S19" s="28"/>
      <c r="T19" s="6" t="s">
        <v>111</v>
      </c>
      <c r="U19" s="39" t="s">
        <v>179</v>
      </c>
      <c r="V19" s="28">
        <v>-28000</v>
      </c>
      <c r="W19" s="6" t="s">
        <v>107</v>
      </c>
      <c r="X19" s="39" t="s">
        <v>115</v>
      </c>
      <c r="Y19" s="26">
        <v>-5242006</v>
      </c>
    </row>
    <row r="20" spans="2:25" x14ac:dyDescent="0.3">
      <c r="G20" s="6"/>
      <c r="H20" s="39"/>
      <c r="I20" s="28"/>
      <c r="J20" s="6" t="s">
        <v>94</v>
      </c>
      <c r="K20" s="39" t="s">
        <v>105</v>
      </c>
      <c r="L20" s="28">
        <v>-2500</v>
      </c>
      <c r="M20" s="6"/>
      <c r="N20" s="39"/>
      <c r="O20" s="26"/>
      <c r="P20" s="5"/>
      <c r="Q20" s="6"/>
      <c r="R20" s="39"/>
      <c r="S20" s="28"/>
      <c r="T20" s="6" t="s">
        <v>111</v>
      </c>
      <c r="U20" s="39" t="s">
        <v>179</v>
      </c>
      <c r="V20" s="28">
        <v>28000</v>
      </c>
      <c r="W20" s="6" t="s">
        <v>101</v>
      </c>
      <c r="X20" s="39" t="s">
        <v>109</v>
      </c>
      <c r="Y20" s="26">
        <v>3000000</v>
      </c>
    </row>
    <row r="21" spans="2:25" x14ac:dyDescent="0.3">
      <c r="G21" s="6"/>
      <c r="H21" s="39"/>
      <c r="I21" s="28"/>
      <c r="J21" s="6" t="s">
        <v>94</v>
      </c>
      <c r="K21" s="39" t="s">
        <v>105</v>
      </c>
      <c r="L21" s="28">
        <v>-16642</v>
      </c>
      <c r="M21" s="6"/>
      <c r="N21" s="39"/>
      <c r="O21" s="26"/>
      <c r="P21" s="5"/>
      <c r="Q21" s="6"/>
      <c r="R21" s="39"/>
      <c r="S21" s="28"/>
      <c r="T21" s="6" t="s">
        <v>90</v>
      </c>
      <c r="U21" s="39" t="s">
        <v>127</v>
      </c>
      <c r="V21" s="28">
        <v>-34510</v>
      </c>
      <c r="W21" s="6" t="s">
        <v>116</v>
      </c>
      <c r="X21" s="39" t="s">
        <v>228</v>
      </c>
      <c r="Y21" s="26">
        <v>-10000000</v>
      </c>
    </row>
    <row r="22" spans="2:25" x14ac:dyDescent="0.3">
      <c r="G22" s="6"/>
      <c r="H22" s="39"/>
      <c r="I22" s="28"/>
      <c r="J22" s="6" t="s">
        <v>103</v>
      </c>
      <c r="K22" s="39" t="s">
        <v>168</v>
      </c>
      <c r="L22" s="28">
        <v>-4150</v>
      </c>
      <c r="M22" s="6"/>
      <c r="N22" s="39"/>
      <c r="O22" s="26"/>
      <c r="P22" s="5"/>
      <c r="Q22" s="6"/>
      <c r="R22" s="39"/>
      <c r="S22" s="28"/>
      <c r="T22" s="6" t="s">
        <v>90</v>
      </c>
      <c r="U22" s="39" t="s">
        <v>127</v>
      </c>
      <c r="V22" s="28">
        <v>-11340</v>
      </c>
      <c r="W22" s="6" t="s">
        <v>88</v>
      </c>
      <c r="X22" s="39" t="s">
        <v>212</v>
      </c>
      <c r="Y22" s="26">
        <v>96720</v>
      </c>
    </row>
    <row r="23" spans="2:25" x14ac:dyDescent="0.3">
      <c r="G23" s="6"/>
      <c r="H23" s="39"/>
      <c r="I23" s="28"/>
      <c r="J23" s="6" t="s">
        <v>94</v>
      </c>
      <c r="K23" s="39" t="s">
        <v>169</v>
      </c>
      <c r="L23" s="28">
        <v>-11000</v>
      </c>
      <c r="M23" s="6"/>
      <c r="N23" s="39"/>
      <c r="O23" s="26"/>
      <c r="P23" s="5"/>
      <c r="Q23" s="6"/>
      <c r="R23" s="39"/>
      <c r="S23" s="28"/>
      <c r="T23" s="6" t="s">
        <v>111</v>
      </c>
      <c r="U23" s="39" t="s">
        <v>279</v>
      </c>
      <c r="V23" s="28">
        <v>-35000</v>
      </c>
      <c r="W23" s="6" t="s">
        <v>88</v>
      </c>
      <c r="X23" s="39" t="s">
        <v>231</v>
      </c>
      <c r="Y23" s="26">
        <v>1</v>
      </c>
    </row>
    <row r="24" spans="2:25" x14ac:dyDescent="0.3">
      <c r="G24" s="6"/>
      <c r="H24" s="39"/>
      <c r="I24" s="28"/>
      <c r="J24" s="6" t="s">
        <v>93</v>
      </c>
      <c r="K24" s="39" t="s">
        <v>170</v>
      </c>
      <c r="L24" s="28">
        <v>-60000</v>
      </c>
      <c r="M24" s="6"/>
      <c r="N24" s="39"/>
      <c r="O24" s="26"/>
      <c r="P24" s="5"/>
      <c r="Q24" s="6"/>
      <c r="R24" s="39"/>
      <c r="S24" s="28"/>
      <c r="T24" s="6" t="s">
        <v>123</v>
      </c>
      <c r="U24" s="39" t="s">
        <v>182</v>
      </c>
      <c r="V24" s="28">
        <v>-229000</v>
      </c>
      <c r="W24" s="6"/>
      <c r="X24" s="39"/>
      <c r="Y24" s="26"/>
    </row>
    <row r="25" spans="2:25" x14ac:dyDescent="0.3">
      <c r="B25" s="134" t="s">
        <v>143</v>
      </c>
      <c r="C25" s="170"/>
      <c r="D25" s="170"/>
      <c r="E25" s="135"/>
      <c r="G25" s="6"/>
      <c r="H25" s="39"/>
      <c r="I25" s="28"/>
      <c r="J25" s="6" t="s">
        <v>90</v>
      </c>
      <c r="K25" s="39" t="s">
        <v>98</v>
      </c>
      <c r="L25" s="28">
        <v>-160000</v>
      </c>
      <c r="M25" s="6"/>
      <c r="N25" s="39"/>
      <c r="O25" s="26"/>
      <c r="P25" s="5"/>
      <c r="Q25" s="6"/>
      <c r="R25" s="39"/>
      <c r="S25" s="28"/>
      <c r="T25" s="6" t="s">
        <v>93</v>
      </c>
      <c r="U25" s="39" t="s">
        <v>114</v>
      </c>
      <c r="V25" s="28">
        <v>-13260</v>
      </c>
      <c r="W25" s="6"/>
      <c r="X25" s="39"/>
      <c r="Y25" s="26"/>
    </row>
    <row r="26" spans="2:25" x14ac:dyDescent="0.3">
      <c r="B26" s="48" t="s">
        <v>28</v>
      </c>
      <c r="C26" s="165" t="s">
        <v>30</v>
      </c>
      <c r="D26" s="166"/>
      <c r="E26" s="167"/>
      <c r="G26" s="6"/>
      <c r="H26" s="39"/>
      <c r="I26" s="28"/>
      <c r="J26" s="6" t="s">
        <v>94</v>
      </c>
      <c r="K26" s="39" t="s">
        <v>135</v>
      </c>
      <c r="L26" s="28">
        <v>-6600</v>
      </c>
      <c r="M26" s="6"/>
      <c r="N26" s="39"/>
      <c r="O26" s="26"/>
      <c r="P26" s="5"/>
      <c r="Q26" s="6"/>
      <c r="R26" s="39"/>
      <c r="S26" s="28"/>
      <c r="T26" s="6" t="s">
        <v>111</v>
      </c>
      <c r="U26" s="39" t="s">
        <v>134</v>
      </c>
      <c r="V26" s="28">
        <v>-9000</v>
      </c>
      <c r="W26" s="6"/>
      <c r="X26" s="39"/>
      <c r="Y26" s="26"/>
    </row>
    <row r="27" spans="2:25" x14ac:dyDescent="0.3">
      <c r="B27" s="48" t="s">
        <v>89</v>
      </c>
      <c r="C27" s="159">
        <f t="shared" ref="C27:C46" si="0">-(SUMIF($J$7:$J$88,B27,$L$7:$L$88)+SUMIF($T$7:$T$88,B27,$V$7:$V$88))</f>
        <v>3295220</v>
      </c>
      <c r="D27" s="160"/>
      <c r="E27" s="161"/>
      <c r="G27" s="6"/>
      <c r="H27" s="39"/>
      <c r="I27" s="28"/>
      <c r="J27" s="6" t="s">
        <v>90</v>
      </c>
      <c r="K27" s="39" t="s">
        <v>130</v>
      </c>
      <c r="L27" s="28">
        <v>-500000</v>
      </c>
      <c r="M27" s="6"/>
      <c r="N27" s="39"/>
      <c r="O27" s="26"/>
      <c r="P27" s="5"/>
      <c r="Q27" s="6"/>
      <c r="R27" s="39"/>
      <c r="S27" s="28"/>
      <c r="T27" s="6" t="s">
        <v>90</v>
      </c>
      <c r="U27" s="39" t="s">
        <v>127</v>
      </c>
      <c r="V27" s="28">
        <v>-14800</v>
      </c>
      <c r="W27" s="6"/>
      <c r="X27" s="39"/>
      <c r="Y27" s="26"/>
    </row>
    <row r="28" spans="2:25" x14ac:dyDescent="0.3">
      <c r="B28" s="49" t="s">
        <v>90</v>
      </c>
      <c r="C28" s="159">
        <f t="shared" si="0"/>
        <v>4691748</v>
      </c>
      <c r="D28" s="160"/>
      <c r="E28" s="161"/>
      <c r="G28" s="6"/>
      <c r="H28" s="39"/>
      <c r="I28" s="28"/>
      <c r="J28" s="6" t="s">
        <v>90</v>
      </c>
      <c r="K28" s="39" t="s">
        <v>130</v>
      </c>
      <c r="L28" s="28">
        <v>-1500000</v>
      </c>
      <c r="M28" s="6"/>
      <c r="N28" s="39"/>
      <c r="O28" s="26"/>
      <c r="P28" s="5"/>
      <c r="Q28" s="6"/>
      <c r="R28" s="39"/>
      <c r="S28" s="28"/>
      <c r="T28" s="6" t="s">
        <v>93</v>
      </c>
      <c r="U28" s="39" t="s">
        <v>124</v>
      </c>
      <c r="V28" s="28">
        <v>-50000</v>
      </c>
      <c r="W28" s="6"/>
      <c r="X28" s="39"/>
      <c r="Y28" s="26"/>
    </row>
    <row r="29" spans="2:25" x14ac:dyDescent="0.3">
      <c r="B29" s="49" t="s">
        <v>94</v>
      </c>
      <c r="C29" s="159">
        <f t="shared" si="0"/>
        <v>315922</v>
      </c>
      <c r="D29" s="160"/>
      <c r="E29" s="161"/>
      <c r="G29" s="6"/>
      <c r="H29" s="39"/>
      <c r="I29" s="28"/>
      <c r="J29" s="6" t="s">
        <v>96</v>
      </c>
      <c r="K29" s="39" t="s">
        <v>132</v>
      </c>
      <c r="L29" s="28">
        <v>-500000</v>
      </c>
      <c r="M29" s="6"/>
      <c r="N29" s="39"/>
      <c r="O29" s="26"/>
      <c r="P29" s="5"/>
      <c r="Q29" s="6"/>
      <c r="R29" s="39"/>
      <c r="S29" s="28"/>
      <c r="T29" s="6" t="s">
        <v>91</v>
      </c>
      <c r="U29" s="39" t="s">
        <v>119</v>
      </c>
      <c r="V29" s="28">
        <v>-120000</v>
      </c>
      <c r="W29" s="6"/>
      <c r="X29" s="39"/>
      <c r="Y29" s="26"/>
    </row>
    <row r="30" spans="2:25" x14ac:dyDescent="0.3">
      <c r="B30" s="49" t="s">
        <v>92</v>
      </c>
      <c r="C30" s="159">
        <f t="shared" si="0"/>
        <v>85490</v>
      </c>
      <c r="D30" s="160"/>
      <c r="E30" s="161"/>
      <c r="G30" s="6"/>
      <c r="H30" s="39"/>
      <c r="I30" s="28"/>
      <c r="J30" s="6" t="s">
        <v>92</v>
      </c>
      <c r="K30" s="39" t="s">
        <v>104</v>
      </c>
      <c r="L30" s="28">
        <v>-16500</v>
      </c>
      <c r="M30" s="6"/>
      <c r="N30" s="39"/>
      <c r="O30" s="26"/>
      <c r="P30" s="5"/>
      <c r="Q30" s="6"/>
      <c r="R30" s="39"/>
      <c r="S30" s="28"/>
      <c r="T30" s="6" t="s">
        <v>111</v>
      </c>
      <c r="U30" s="39" t="s">
        <v>113</v>
      </c>
      <c r="V30" s="28">
        <v>-1200</v>
      </c>
      <c r="W30" s="6"/>
      <c r="X30" s="39"/>
      <c r="Y30" s="26"/>
    </row>
    <row r="31" spans="2:25" x14ac:dyDescent="0.3">
      <c r="B31" s="49" t="s">
        <v>96</v>
      </c>
      <c r="C31" s="159">
        <f t="shared" si="0"/>
        <v>512000</v>
      </c>
      <c r="D31" s="160"/>
      <c r="E31" s="161"/>
      <c r="G31" s="6"/>
      <c r="H31" s="39"/>
      <c r="I31" s="28"/>
      <c r="J31" s="6" t="s">
        <v>94</v>
      </c>
      <c r="K31" s="39" t="s">
        <v>171</v>
      </c>
      <c r="L31" s="28">
        <v>-65440</v>
      </c>
      <c r="M31" s="6"/>
      <c r="N31" s="39"/>
      <c r="O31" s="26"/>
      <c r="P31" s="5"/>
      <c r="Q31" s="6"/>
      <c r="R31" s="39"/>
      <c r="S31" s="28"/>
      <c r="T31" s="6" t="s">
        <v>111</v>
      </c>
      <c r="U31" s="39" t="s">
        <v>113</v>
      </c>
      <c r="V31" s="28">
        <v>-2600</v>
      </c>
      <c r="W31" s="6"/>
      <c r="X31" s="39"/>
      <c r="Y31" s="26"/>
    </row>
    <row r="32" spans="2:25" x14ac:dyDescent="0.3">
      <c r="B32" s="49" t="s">
        <v>93</v>
      </c>
      <c r="C32" s="159">
        <f t="shared" si="0"/>
        <v>219210</v>
      </c>
      <c r="D32" s="160"/>
      <c r="E32" s="161"/>
      <c r="G32" s="6"/>
      <c r="H32" s="39"/>
      <c r="I32" s="28"/>
      <c r="J32" s="6" t="s">
        <v>94</v>
      </c>
      <c r="K32" s="39" t="s">
        <v>171</v>
      </c>
      <c r="L32" s="28">
        <v>-58755</v>
      </c>
      <c r="M32" s="6"/>
      <c r="N32" s="39"/>
      <c r="O32" s="26"/>
      <c r="P32" s="5"/>
      <c r="Q32" s="6"/>
      <c r="R32" s="39"/>
      <c r="S32" s="28"/>
      <c r="T32" s="6" t="s">
        <v>111</v>
      </c>
      <c r="U32" s="39" t="s">
        <v>113</v>
      </c>
      <c r="V32" s="28">
        <v>-1700</v>
      </c>
      <c r="W32" s="6"/>
      <c r="X32" s="39"/>
      <c r="Y32" s="26"/>
    </row>
    <row r="33" spans="2:25" x14ac:dyDescent="0.3">
      <c r="B33" s="49" t="s">
        <v>103</v>
      </c>
      <c r="C33" s="159">
        <f t="shared" si="0"/>
        <v>139750</v>
      </c>
      <c r="D33" s="160"/>
      <c r="E33" s="161"/>
      <c r="G33" s="6"/>
      <c r="H33" s="39"/>
      <c r="I33" s="28"/>
      <c r="J33" s="6" t="s">
        <v>94</v>
      </c>
      <c r="K33" s="39" t="s">
        <v>171</v>
      </c>
      <c r="L33" s="28">
        <v>-6685</v>
      </c>
      <c r="M33" s="6"/>
      <c r="N33" s="39"/>
      <c r="O33" s="26"/>
      <c r="P33" s="5"/>
      <c r="Q33" s="6"/>
      <c r="R33" s="39"/>
      <c r="S33" s="28"/>
      <c r="T33" s="6" t="s">
        <v>111</v>
      </c>
      <c r="U33" s="39" t="s">
        <v>113</v>
      </c>
      <c r="V33" s="28">
        <v>-1200</v>
      </c>
      <c r="W33" s="6"/>
      <c r="X33" s="39"/>
      <c r="Y33" s="26"/>
    </row>
    <row r="34" spans="2:25" x14ac:dyDescent="0.3">
      <c r="B34" s="49" t="s">
        <v>99</v>
      </c>
      <c r="C34" s="159">
        <f t="shared" si="0"/>
        <v>23200</v>
      </c>
      <c r="D34" s="160"/>
      <c r="E34" s="161"/>
      <c r="G34" s="6"/>
      <c r="H34" s="39"/>
      <c r="I34" s="28"/>
      <c r="J34" s="6" t="s">
        <v>94</v>
      </c>
      <c r="K34" s="39" t="s">
        <v>105</v>
      </c>
      <c r="L34" s="28">
        <v>-2500</v>
      </c>
      <c r="M34" s="6"/>
      <c r="N34" s="39"/>
      <c r="O34" s="26"/>
      <c r="P34" s="5"/>
      <c r="Q34" s="6"/>
      <c r="R34" s="39"/>
      <c r="S34" s="28"/>
      <c r="T34" s="6" t="s">
        <v>116</v>
      </c>
      <c r="U34" s="39" t="s">
        <v>282</v>
      </c>
      <c r="V34" s="28">
        <v>-66160</v>
      </c>
      <c r="W34" s="6"/>
      <c r="X34" s="39"/>
      <c r="Y34" s="26"/>
    </row>
    <row r="35" spans="2:25" x14ac:dyDescent="0.3">
      <c r="B35" s="49" t="s">
        <v>120</v>
      </c>
      <c r="C35" s="159">
        <f t="shared" si="0"/>
        <v>1317833</v>
      </c>
      <c r="D35" s="160"/>
      <c r="E35" s="161"/>
      <c r="G35" s="6"/>
      <c r="H35" s="39"/>
      <c r="I35" s="28"/>
      <c r="J35" s="6" t="s">
        <v>90</v>
      </c>
      <c r="K35" s="39" t="s">
        <v>121</v>
      </c>
      <c r="L35" s="28">
        <v>-37820</v>
      </c>
      <c r="M35" s="6"/>
      <c r="N35" s="39"/>
      <c r="O35" s="26"/>
      <c r="P35" s="5"/>
      <c r="Q35" s="6"/>
      <c r="R35" s="39"/>
      <c r="S35" s="28"/>
      <c r="T35" s="6" t="s">
        <v>116</v>
      </c>
      <c r="U35" s="39" t="s">
        <v>282</v>
      </c>
      <c r="V35" s="28">
        <v>66160</v>
      </c>
      <c r="W35" s="6"/>
      <c r="X35" s="39"/>
      <c r="Y35" s="26"/>
    </row>
    <row r="36" spans="2:25" x14ac:dyDescent="0.3">
      <c r="B36" s="49" t="s">
        <v>91</v>
      </c>
      <c r="C36" s="159">
        <f t="shared" si="0"/>
        <v>205287</v>
      </c>
      <c r="D36" s="160"/>
      <c r="E36" s="161"/>
      <c r="G36" s="6"/>
      <c r="H36" s="39"/>
      <c r="I36" s="28"/>
      <c r="J36" s="6" t="s">
        <v>89</v>
      </c>
      <c r="K36" s="39" t="s">
        <v>106</v>
      </c>
      <c r="L36" s="28">
        <v>-3000000</v>
      </c>
      <c r="M36" s="6"/>
      <c r="N36" s="39"/>
      <c r="O36" s="26"/>
      <c r="P36" s="5"/>
      <c r="Q36" s="6"/>
      <c r="R36" s="39"/>
      <c r="S36" s="28"/>
      <c r="T36" s="6" t="s">
        <v>116</v>
      </c>
      <c r="U36" s="39" t="s">
        <v>282</v>
      </c>
      <c r="V36" s="28">
        <v>-66160</v>
      </c>
      <c r="W36" s="6"/>
      <c r="X36" s="39"/>
      <c r="Y36" s="26"/>
    </row>
    <row r="37" spans="2:25" x14ac:dyDescent="0.3">
      <c r="B37" s="49" t="s">
        <v>102</v>
      </c>
      <c r="C37" s="159">
        <f t="shared" si="0"/>
        <v>14700</v>
      </c>
      <c r="D37" s="160"/>
      <c r="E37" s="161"/>
      <c r="G37" s="6"/>
      <c r="H37" s="39"/>
      <c r="I37" s="28"/>
      <c r="J37" s="6" t="s">
        <v>108</v>
      </c>
      <c r="K37" s="39" t="s">
        <v>145</v>
      </c>
      <c r="L37" s="28">
        <v>-18000</v>
      </c>
      <c r="M37" s="6"/>
      <c r="N37" s="39"/>
      <c r="O37" s="26"/>
      <c r="P37" s="5"/>
      <c r="Q37" s="6"/>
      <c r="R37" s="39"/>
      <c r="S37" s="28"/>
      <c r="T37" s="6" t="s">
        <v>116</v>
      </c>
      <c r="U37" s="39" t="s">
        <v>282</v>
      </c>
      <c r="V37" s="28">
        <v>-66160</v>
      </c>
      <c r="W37" s="6"/>
      <c r="X37" s="39"/>
      <c r="Y37" s="26"/>
    </row>
    <row r="38" spans="2:25" x14ac:dyDescent="0.3">
      <c r="B38" s="49" t="s">
        <v>118</v>
      </c>
      <c r="C38" s="159">
        <f t="shared" si="0"/>
        <v>0</v>
      </c>
      <c r="D38" s="160"/>
      <c r="E38" s="161"/>
      <c r="G38" s="6"/>
      <c r="H38" s="39"/>
      <c r="I38" s="28"/>
      <c r="J38" s="6" t="s">
        <v>94</v>
      </c>
      <c r="K38" s="39" t="s">
        <v>105</v>
      </c>
      <c r="L38" s="28">
        <v>-2500</v>
      </c>
      <c r="M38" s="6"/>
      <c r="N38" s="39"/>
      <c r="O38" s="26"/>
      <c r="P38" s="5"/>
      <c r="Q38" s="6"/>
      <c r="R38" s="39"/>
      <c r="S38" s="28"/>
      <c r="T38" s="6" t="s">
        <v>111</v>
      </c>
      <c r="U38" s="39" t="s">
        <v>105</v>
      </c>
      <c r="V38" s="28">
        <v>-2500</v>
      </c>
      <c r="W38" s="6"/>
      <c r="X38" s="39"/>
      <c r="Y38" s="26"/>
    </row>
    <row r="39" spans="2:25" x14ac:dyDescent="0.3">
      <c r="B39" s="49" t="s">
        <v>108</v>
      </c>
      <c r="C39" s="159">
        <f t="shared" si="0"/>
        <v>18000</v>
      </c>
      <c r="D39" s="160"/>
      <c r="E39" s="161"/>
      <c r="G39" s="6"/>
      <c r="H39" s="39"/>
      <c r="I39" s="28"/>
      <c r="J39" s="6" t="s">
        <v>93</v>
      </c>
      <c r="K39" s="39" t="s">
        <v>202</v>
      </c>
      <c r="L39" s="28">
        <v>-35950</v>
      </c>
      <c r="M39" s="6"/>
      <c r="N39" s="39"/>
      <c r="O39" s="26"/>
      <c r="P39" s="5"/>
      <c r="Q39" s="6"/>
      <c r="R39" s="39"/>
      <c r="S39" s="28"/>
      <c r="T39" s="6" t="s">
        <v>92</v>
      </c>
      <c r="U39" s="39" t="s">
        <v>203</v>
      </c>
      <c r="V39" s="28">
        <v>-28500</v>
      </c>
      <c r="W39" s="6"/>
      <c r="X39" s="39"/>
      <c r="Y39" s="26"/>
    </row>
    <row r="40" spans="2:25" x14ac:dyDescent="0.3">
      <c r="B40" s="49" t="s">
        <v>129</v>
      </c>
      <c r="C40" s="159">
        <f t="shared" si="0"/>
        <v>0</v>
      </c>
      <c r="D40" s="160"/>
      <c r="E40" s="161"/>
      <c r="G40" s="6"/>
      <c r="H40" s="39"/>
      <c r="I40" s="28"/>
      <c r="J40" s="6" t="s">
        <v>92</v>
      </c>
      <c r="K40" s="39" t="s">
        <v>203</v>
      </c>
      <c r="L40" s="28">
        <v>-40490</v>
      </c>
      <c r="M40" s="6"/>
      <c r="N40" s="39"/>
      <c r="O40" s="26"/>
      <c r="P40" s="5"/>
      <c r="Q40" s="6"/>
      <c r="R40" s="39"/>
      <c r="S40" s="28"/>
      <c r="T40" s="6" t="s">
        <v>111</v>
      </c>
      <c r="U40" s="39" t="s">
        <v>105</v>
      </c>
      <c r="V40" s="28">
        <v>-2500</v>
      </c>
      <c r="W40" s="6"/>
      <c r="X40" s="39"/>
      <c r="Y40" s="26"/>
    </row>
    <row r="41" spans="2:25" x14ac:dyDescent="0.3">
      <c r="B41" s="49" t="s">
        <v>100</v>
      </c>
      <c r="C41" s="159">
        <f t="shared" si="0"/>
        <v>0</v>
      </c>
      <c r="D41" s="160"/>
      <c r="E41" s="161"/>
      <c r="G41" s="6"/>
      <c r="H41" s="39"/>
      <c r="I41" s="28"/>
      <c r="J41" s="6" t="s">
        <v>90</v>
      </c>
      <c r="K41" s="39" t="s">
        <v>204</v>
      </c>
      <c r="L41" s="28">
        <v>-60000</v>
      </c>
      <c r="M41" s="6"/>
      <c r="N41" s="39"/>
      <c r="O41" s="26"/>
      <c r="P41" s="5"/>
      <c r="Q41" s="6"/>
      <c r="R41" s="39"/>
      <c r="S41" s="28"/>
      <c r="T41" s="6" t="s">
        <v>91</v>
      </c>
      <c r="U41" s="39" t="s">
        <v>278</v>
      </c>
      <c r="V41" s="28">
        <v>-8000</v>
      </c>
      <c r="W41" s="6"/>
      <c r="X41" s="39"/>
      <c r="Y41" s="26"/>
    </row>
    <row r="42" spans="2:25" x14ac:dyDescent="0.3">
      <c r="B42" s="49" t="s">
        <v>123</v>
      </c>
      <c r="C42" s="159">
        <f t="shared" si="0"/>
        <v>229000</v>
      </c>
      <c r="D42" s="160"/>
      <c r="E42" s="161"/>
      <c r="G42" s="6"/>
      <c r="H42" s="39"/>
      <c r="I42" s="28"/>
      <c r="J42" s="6" t="s">
        <v>94</v>
      </c>
      <c r="K42" s="39" t="s">
        <v>105</v>
      </c>
      <c r="L42" s="28">
        <v>-2500</v>
      </c>
      <c r="M42" s="6"/>
      <c r="N42" s="39"/>
      <c r="O42" s="26"/>
      <c r="P42" s="5"/>
      <c r="Q42" s="6"/>
      <c r="R42" s="39"/>
      <c r="S42" s="28"/>
      <c r="T42" s="6" t="s">
        <v>91</v>
      </c>
      <c r="U42" s="39" t="s">
        <v>97</v>
      </c>
      <c r="V42" s="28">
        <v>-990</v>
      </c>
      <c r="W42" s="6"/>
      <c r="X42" s="39"/>
      <c r="Y42" s="26"/>
    </row>
    <row r="43" spans="2:25" x14ac:dyDescent="0.3">
      <c r="B43" s="49" t="s">
        <v>111</v>
      </c>
      <c r="C43" s="159">
        <f t="shared" si="0"/>
        <v>208642</v>
      </c>
      <c r="D43" s="160"/>
      <c r="E43" s="161"/>
      <c r="G43" s="6"/>
      <c r="H43" s="39"/>
      <c r="I43" s="28"/>
      <c r="J43" s="6" t="s">
        <v>102</v>
      </c>
      <c r="K43" s="39" t="s">
        <v>205</v>
      </c>
      <c r="L43" s="28">
        <v>-3900</v>
      </c>
      <c r="M43" s="6"/>
      <c r="N43" s="39"/>
      <c r="O43" s="26"/>
      <c r="P43" s="5"/>
      <c r="Q43" s="6"/>
      <c r="R43" s="39"/>
      <c r="S43" s="28"/>
      <c r="T43" s="6" t="s">
        <v>111</v>
      </c>
      <c r="U43" s="39" t="s">
        <v>113</v>
      </c>
      <c r="V43" s="28">
        <v>-1200</v>
      </c>
      <c r="W43" s="6"/>
      <c r="X43" s="39"/>
      <c r="Y43" s="26"/>
    </row>
    <row r="44" spans="2:25" x14ac:dyDescent="0.3">
      <c r="B44" s="49" t="s">
        <v>116</v>
      </c>
      <c r="C44" s="159">
        <f t="shared" si="0"/>
        <v>140380</v>
      </c>
      <c r="D44" s="160"/>
      <c r="E44" s="161"/>
      <c r="G44" s="6"/>
      <c r="H44" s="39"/>
      <c r="I44" s="28"/>
      <c r="J44" s="6" t="s">
        <v>90</v>
      </c>
      <c r="K44" s="39" t="s">
        <v>206</v>
      </c>
      <c r="L44" s="28">
        <v>-17860</v>
      </c>
      <c r="M44" s="6"/>
      <c r="N44" s="39"/>
      <c r="O44" s="26"/>
      <c r="P44" s="5"/>
      <c r="Q44" s="6"/>
      <c r="R44" s="39"/>
      <c r="S44" s="28"/>
      <c r="T44" s="6" t="s">
        <v>90</v>
      </c>
      <c r="U44" s="39" t="s">
        <v>127</v>
      </c>
      <c r="V44" s="28">
        <v>-5100</v>
      </c>
      <c r="W44" s="6"/>
      <c r="X44" s="39"/>
      <c r="Y44" s="26"/>
    </row>
    <row r="45" spans="2:25" x14ac:dyDescent="0.3">
      <c r="B45" s="49" t="s">
        <v>112</v>
      </c>
      <c r="C45" s="159">
        <f t="shared" si="0"/>
        <v>236498</v>
      </c>
      <c r="D45" s="160"/>
      <c r="E45" s="161"/>
      <c r="G45" s="6"/>
      <c r="H45" s="39"/>
      <c r="I45" s="28"/>
      <c r="J45" s="6" t="s">
        <v>99</v>
      </c>
      <c r="K45" s="39" t="s">
        <v>207</v>
      </c>
      <c r="L45" s="28">
        <v>-900</v>
      </c>
      <c r="M45" s="6"/>
      <c r="N45" s="39"/>
      <c r="O45" s="26"/>
      <c r="P45" s="5"/>
      <c r="Q45" s="6"/>
      <c r="R45" s="39"/>
      <c r="S45" s="28"/>
      <c r="T45" s="6" t="s">
        <v>102</v>
      </c>
      <c r="U45" s="39" t="s">
        <v>283</v>
      </c>
      <c r="V45" s="28">
        <v>-10800</v>
      </c>
      <c r="W45" s="6"/>
      <c r="X45" s="39"/>
      <c r="Y45" s="26"/>
    </row>
    <row r="46" spans="2:25" x14ac:dyDescent="0.3">
      <c r="B46" s="50" t="s">
        <v>126</v>
      </c>
      <c r="C46" s="159">
        <f t="shared" si="0"/>
        <v>0</v>
      </c>
      <c r="D46" s="160"/>
      <c r="E46" s="161"/>
      <c r="G46" s="6"/>
      <c r="H46" s="39"/>
      <c r="I46" s="28"/>
      <c r="J46" s="6" t="s">
        <v>90</v>
      </c>
      <c r="K46" s="39" t="s">
        <v>98</v>
      </c>
      <c r="L46" s="28">
        <v>-80000</v>
      </c>
      <c r="M46" s="6"/>
      <c r="N46" s="39"/>
      <c r="O46" s="26"/>
      <c r="P46" s="5"/>
      <c r="Q46" s="6"/>
      <c r="R46" s="39"/>
      <c r="S46" s="28"/>
      <c r="T46" s="6" t="s">
        <v>116</v>
      </c>
      <c r="U46" s="39" t="s">
        <v>284</v>
      </c>
      <c r="V46" s="28">
        <v>-8060</v>
      </c>
      <c r="W46" s="6"/>
      <c r="X46" s="39"/>
      <c r="Y46" s="26"/>
    </row>
    <row r="47" spans="2:25" x14ac:dyDescent="0.3">
      <c r="G47" s="6"/>
      <c r="H47" s="39"/>
      <c r="I47" s="28"/>
      <c r="J47" s="6" t="s">
        <v>90</v>
      </c>
      <c r="K47" s="39" t="s">
        <v>215</v>
      </c>
      <c r="L47" s="28">
        <v>-2000</v>
      </c>
      <c r="M47" s="6"/>
      <c r="N47" s="39"/>
      <c r="O47" s="26"/>
      <c r="P47" s="5"/>
      <c r="Q47" s="6"/>
      <c r="R47" s="39"/>
      <c r="S47" s="28"/>
      <c r="T47" s="6" t="s">
        <v>111</v>
      </c>
      <c r="U47" s="39" t="s">
        <v>285</v>
      </c>
      <c r="V47" s="28">
        <v>-4000</v>
      </c>
      <c r="W47" s="6"/>
      <c r="X47" s="39"/>
      <c r="Y47" s="26"/>
    </row>
    <row r="48" spans="2:25" x14ac:dyDescent="0.3">
      <c r="B48" s="45" t="s">
        <v>139</v>
      </c>
      <c r="C48" s="162" t="str">
        <f>IF(ABS(SUM(C27:E46))&lt;&gt;ABS(SUM(L89,V89)),"항목 추가해주세요","-")</f>
        <v>-</v>
      </c>
      <c r="D48" s="163"/>
      <c r="E48" s="164"/>
      <c r="G48" s="6"/>
      <c r="H48" s="39"/>
      <c r="I48" s="28"/>
      <c r="J48" s="6" t="s">
        <v>89</v>
      </c>
      <c r="K48" s="39" t="s">
        <v>216</v>
      </c>
      <c r="L48" s="28">
        <v>-89460</v>
      </c>
      <c r="M48" s="6"/>
      <c r="N48" s="39"/>
      <c r="O48" s="26"/>
      <c r="P48" s="5"/>
      <c r="Q48" s="6"/>
      <c r="R48" s="39"/>
      <c r="S48" s="28"/>
      <c r="T48" s="6" t="s">
        <v>112</v>
      </c>
      <c r="U48" s="39" t="s">
        <v>286</v>
      </c>
      <c r="V48" s="28">
        <v>-1677</v>
      </c>
      <c r="W48" s="6"/>
      <c r="X48" s="39"/>
      <c r="Y48" s="26"/>
    </row>
    <row r="49" spans="2:25" x14ac:dyDescent="0.3">
      <c r="C49" s="51"/>
      <c r="G49" s="6"/>
      <c r="H49" s="39"/>
      <c r="I49" s="28"/>
      <c r="J49" s="6" t="s">
        <v>89</v>
      </c>
      <c r="K49" s="39" t="s">
        <v>216</v>
      </c>
      <c r="L49" s="28">
        <v>-158870</v>
      </c>
      <c r="M49" s="6"/>
      <c r="N49" s="39"/>
      <c r="O49" s="26"/>
      <c r="P49" s="5"/>
      <c r="Q49" s="6"/>
      <c r="R49" s="39"/>
      <c r="S49" s="28"/>
      <c r="T49" s="6" t="s">
        <v>112</v>
      </c>
      <c r="U49" s="39" t="s">
        <v>287</v>
      </c>
      <c r="V49" s="28">
        <v>-18908</v>
      </c>
      <c r="W49" s="6"/>
      <c r="X49" s="39"/>
      <c r="Y49" s="26"/>
    </row>
    <row r="50" spans="2:25" x14ac:dyDescent="0.3">
      <c r="B50" s="136" t="s">
        <v>150</v>
      </c>
      <c r="C50" s="168"/>
      <c r="D50" s="168"/>
      <c r="E50" s="137"/>
      <c r="G50" s="6"/>
      <c r="H50" s="39"/>
      <c r="I50" s="28"/>
      <c r="J50" s="6" t="s">
        <v>89</v>
      </c>
      <c r="K50" s="39" t="s">
        <v>218</v>
      </c>
      <c r="L50" s="28">
        <v>-6770</v>
      </c>
      <c r="M50" s="6"/>
      <c r="N50" s="39"/>
      <c r="O50" s="26"/>
      <c r="P50" s="5"/>
      <c r="Q50" s="6"/>
      <c r="R50" s="39"/>
      <c r="S50" s="28"/>
      <c r="T50" s="6" t="s">
        <v>112</v>
      </c>
      <c r="U50" s="39" t="s">
        <v>233</v>
      </c>
      <c r="V50" s="28">
        <v>-98003</v>
      </c>
      <c r="W50" s="6"/>
      <c r="X50" s="39"/>
      <c r="Y50" s="26"/>
    </row>
    <row r="51" spans="2:25" x14ac:dyDescent="0.3">
      <c r="B51" s="48" t="s">
        <v>28</v>
      </c>
      <c r="C51" s="165" t="s">
        <v>30</v>
      </c>
      <c r="D51" s="166"/>
      <c r="E51" s="167"/>
      <c r="G51" s="6"/>
      <c r="H51" s="39"/>
      <c r="I51" s="28"/>
      <c r="J51" s="6" t="s">
        <v>94</v>
      </c>
      <c r="K51" s="39" t="s">
        <v>219</v>
      </c>
      <c r="L51" s="28">
        <v>-1000</v>
      </c>
      <c r="M51" s="6"/>
      <c r="N51" s="39"/>
      <c r="O51" s="26"/>
      <c r="P51" s="5"/>
      <c r="Q51" s="6"/>
      <c r="R51" s="39"/>
      <c r="S51" s="28"/>
      <c r="T51" s="6" t="s">
        <v>112</v>
      </c>
      <c r="U51" s="39" t="s">
        <v>288</v>
      </c>
      <c r="V51" s="28">
        <v>-3719</v>
      </c>
      <c r="W51" s="6"/>
      <c r="X51" s="39"/>
      <c r="Y51" s="26"/>
    </row>
    <row r="52" spans="2:25" x14ac:dyDescent="0.3">
      <c r="B52" s="48" t="s">
        <v>146</v>
      </c>
      <c r="C52" s="159">
        <f>(SUMIF($G$7:$G$88,B52,$I$7:$I$88)+SUMIF($Q$7:$Q$88,B52,$S$7:$S$88))</f>
        <v>9</v>
      </c>
      <c r="D52" s="160"/>
      <c r="E52" s="161"/>
      <c r="G52" s="6"/>
      <c r="H52" s="39"/>
      <c r="I52" s="28"/>
      <c r="J52" s="6" t="s">
        <v>94</v>
      </c>
      <c r="K52" s="39" t="s">
        <v>220</v>
      </c>
      <c r="L52" s="28">
        <v>-25500</v>
      </c>
      <c r="M52" s="6"/>
      <c r="N52" s="39"/>
      <c r="O52" s="26"/>
      <c r="P52" s="5"/>
      <c r="Q52" s="6"/>
      <c r="R52" s="39"/>
      <c r="S52" s="28"/>
      <c r="T52" s="6" t="s">
        <v>91</v>
      </c>
      <c r="U52" s="39" t="s">
        <v>234</v>
      </c>
      <c r="V52" s="28">
        <v>-67168</v>
      </c>
      <c r="W52" s="6"/>
      <c r="X52" s="39"/>
      <c r="Y52" s="26"/>
    </row>
    <row r="53" spans="2:25" x14ac:dyDescent="0.3">
      <c r="B53" s="49" t="s">
        <v>147</v>
      </c>
      <c r="C53" s="159">
        <f>(SUMIF($G$7:$G$88,B53,$I$7:$I$88)+SUMIF($Q$7:$Q$88,B53,$S$7:$S$88))</f>
        <v>13060546</v>
      </c>
      <c r="D53" s="160"/>
      <c r="E53" s="161"/>
      <c r="G53" s="6"/>
      <c r="H53" s="39"/>
      <c r="I53" s="28"/>
      <c r="J53" s="6" t="s">
        <v>120</v>
      </c>
      <c r="K53" s="39" t="s">
        <v>221</v>
      </c>
      <c r="L53" s="28">
        <v>-268500</v>
      </c>
      <c r="M53" s="6"/>
      <c r="N53" s="39"/>
      <c r="O53" s="26"/>
      <c r="P53" s="5"/>
      <c r="Q53" s="6"/>
      <c r="R53" s="39"/>
      <c r="S53" s="28"/>
      <c r="T53" s="6" t="s">
        <v>120</v>
      </c>
      <c r="U53" s="39" t="s">
        <v>235</v>
      </c>
      <c r="V53" s="28">
        <v>-134105</v>
      </c>
      <c r="W53" s="6"/>
      <c r="X53" s="39"/>
      <c r="Y53" s="26"/>
    </row>
    <row r="54" spans="2:25" x14ac:dyDescent="0.3">
      <c r="B54" s="49" t="s">
        <v>148</v>
      </c>
      <c r="C54" s="159">
        <f>(SUMIF($G$7:$G$88,B54,$I$7:$I$88)+SUMIF($Q$7:$Q$88,B54,$S$7:$S$88))</f>
        <v>3400000</v>
      </c>
      <c r="D54" s="160"/>
      <c r="E54" s="161"/>
      <c r="G54" s="6"/>
      <c r="H54" s="39"/>
      <c r="I54" s="28"/>
      <c r="J54" s="6" t="s">
        <v>120</v>
      </c>
      <c r="K54" s="39" t="s">
        <v>221</v>
      </c>
      <c r="L54" s="28">
        <v>-179000</v>
      </c>
      <c r="M54" s="6"/>
      <c r="N54" s="39"/>
      <c r="O54" s="26"/>
      <c r="P54" s="5"/>
      <c r="Q54" s="6"/>
      <c r="R54" s="39"/>
      <c r="S54" s="28"/>
      <c r="T54" s="6" t="s">
        <v>90</v>
      </c>
      <c r="U54" s="39" t="s">
        <v>236</v>
      </c>
      <c r="V54" s="28">
        <v>-102105</v>
      </c>
      <c r="W54" s="6"/>
      <c r="X54" s="39"/>
      <c r="Y54" s="26"/>
    </row>
    <row r="55" spans="2:25" x14ac:dyDescent="0.3">
      <c r="B55" s="50" t="s">
        <v>149</v>
      </c>
      <c r="C55" s="159">
        <f>(SUMIF($G$7:$G$88,B55,$I$7:$I$88)+SUMIF($Q$7:$Q$88,B55,$S$7:$S$88))</f>
        <v>0</v>
      </c>
      <c r="D55" s="160"/>
      <c r="E55" s="161"/>
      <c r="G55" s="6"/>
      <c r="H55" s="39"/>
      <c r="I55" s="28"/>
      <c r="J55" s="6" t="s">
        <v>120</v>
      </c>
      <c r="K55" s="39" t="s">
        <v>221</v>
      </c>
      <c r="L55" s="28">
        <v>-271200</v>
      </c>
      <c r="M55" s="6"/>
      <c r="N55" s="39"/>
      <c r="O55" s="26"/>
      <c r="P55" s="5"/>
      <c r="Q55" s="6"/>
      <c r="R55" s="39"/>
      <c r="S55" s="28"/>
      <c r="T55" s="6" t="s">
        <v>112</v>
      </c>
      <c r="U55" s="39" t="s">
        <v>237</v>
      </c>
      <c r="V55" s="28">
        <v>-114191</v>
      </c>
      <c r="W55" s="6"/>
      <c r="X55" s="39"/>
      <c r="Y55" s="26"/>
    </row>
    <row r="56" spans="2:25" x14ac:dyDescent="0.3">
      <c r="G56" s="6"/>
      <c r="H56" s="39"/>
      <c r="I56" s="28"/>
      <c r="J56" s="6" t="s">
        <v>120</v>
      </c>
      <c r="K56" s="39" t="s">
        <v>221</v>
      </c>
      <c r="L56" s="28">
        <v>-90400</v>
      </c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139</v>
      </c>
      <c r="C57" s="162" t="str">
        <f>IF(ABS(SUM(C52:E55))&lt;&gt;ABS(SUM(I89,S89)),"항목 추가해주세요","-")</f>
        <v>-</v>
      </c>
      <c r="D57" s="163"/>
      <c r="E57" s="164"/>
      <c r="G57" s="6"/>
      <c r="H57" s="39"/>
      <c r="I57" s="28"/>
      <c r="J57" s="6" t="s">
        <v>120</v>
      </c>
      <c r="K57" s="39" t="s">
        <v>221</v>
      </c>
      <c r="L57" s="28">
        <v>-295680</v>
      </c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 t="s">
        <v>120</v>
      </c>
      <c r="K58" s="39" t="s">
        <v>221</v>
      </c>
      <c r="L58" s="28">
        <v>-56448</v>
      </c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 t="s">
        <v>89</v>
      </c>
      <c r="K59" s="39" t="s">
        <v>223</v>
      </c>
      <c r="L59" s="28">
        <v>-36120</v>
      </c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6766454</v>
      </c>
      <c r="J89" s="7" t="s">
        <v>24</v>
      </c>
      <c r="K89" s="22" t="s">
        <v>34</v>
      </c>
      <c r="L89" s="21">
        <f>SUM(L7:L88)</f>
        <v>-7966940</v>
      </c>
      <c r="M89" s="7" t="s">
        <v>24</v>
      </c>
      <c r="N89" s="22" t="s">
        <v>34</v>
      </c>
      <c r="O89" s="21">
        <f>SUM(O7:O88)</f>
        <v>-8325329</v>
      </c>
      <c r="Q89" s="7" t="s">
        <v>24</v>
      </c>
      <c r="R89" s="17" t="s">
        <v>34</v>
      </c>
      <c r="S89" s="19">
        <f>SUM(S7:S88)</f>
        <v>9694101</v>
      </c>
      <c r="T89" s="7" t="s">
        <v>24</v>
      </c>
      <c r="U89" s="22" t="s">
        <v>34</v>
      </c>
      <c r="V89" s="21">
        <f>SUM(V7:V88)</f>
        <v>-3685940</v>
      </c>
      <c r="W89" s="7" t="s">
        <v>24</v>
      </c>
      <c r="X89" s="22" t="s">
        <v>34</v>
      </c>
      <c r="Y89" s="21">
        <f>SUM(Y7:Y88)</f>
        <v>-12119511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-9525815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-6111350</v>
      </c>
      <c r="T90" s="37"/>
      <c r="U90" s="37"/>
      <c r="V90" s="37"/>
      <c r="W90" s="37"/>
      <c r="X90" s="37"/>
      <c r="Y90" s="38"/>
    </row>
    <row r="97" spans="7:7" x14ac:dyDescent="0.3">
      <c r="G97" s="43"/>
    </row>
    <row r="98" spans="7:7" x14ac:dyDescent="0.3">
      <c r="G98" s="43"/>
    </row>
    <row r="99" spans="7:7" x14ac:dyDescent="0.3">
      <c r="G99" s="43"/>
    </row>
    <row r="100" spans="7:7" x14ac:dyDescent="0.3">
      <c r="G100" s="43"/>
    </row>
    <row r="101" spans="7:7" x14ac:dyDescent="0.3">
      <c r="G101" s="43"/>
    </row>
  </sheetData>
  <mergeCells count="43">
    <mergeCell ref="C45:E45"/>
    <mergeCell ref="C46:E46"/>
    <mergeCell ref="C48:E48"/>
    <mergeCell ref="C40:E40"/>
    <mergeCell ref="C41:E41"/>
    <mergeCell ref="C42:E42"/>
    <mergeCell ref="C43:E43"/>
    <mergeCell ref="C44:E44"/>
    <mergeCell ref="B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6:D6"/>
    <mergeCell ref="C7:D7"/>
    <mergeCell ref="T5:V5"/>
    <mergeCell ref="W5:Y5"/>
    <mergeCell ref="G4:O4"/>
    <mergeCell ref="Q4:Y4"/>
    <mergeCell ref="B2:C2"/>
    <mergeCell ref="G5:I5"/>
    <mergeCell ref="J5:L5"/>
    <mergeCell ref="M5:O5"/>
    <mergeCell ref="Q5:S5"/>
    <mergeCell ref="C4:D4"/>
    <mergeCell ref="C5:D5"/>
    <mergeCell ref="C54:E54"/>
    <mergeCell ref="C55:E55"/>
    <mergeCell ref="C57:E57"/>
    <mergeCell ref="C51:E51"/>
    <mergeCell ref="B50:E50"/>
    <mergeCell ref="C52:E52"/>
    <mergeCell ref="C53:E53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EF69A-A684-47A9-A5C8-06F90E01165D}">
  <sheetPr codeName="Sheet9">
    <tabColor rgb="FFFFEBF5"/>
  </sheetPr>
  <dimension ref="B2:Y90"/>
  <sheetViews>
    <sheetView workbookViewId="0">
      <selection activeCell="A2" sqref="A2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33.125" bestFit="1" customWidth="1"/>
    <col min="12" max="12" width="11.5" bestFit="1" customWidth="1"/>
    <col min="13" max="13" width="11" bestFit="1" customWidth="1"/>
    <col min="14" max="14" width="30.25" bestFit="1" customWidth="1"/>
    <col min="15" max="15" width="10.625" bestFit="1" customWidth="1"/>
    <col min="16" max="16" width="2.375" customWidth="1"/>
    <col min="18" max="18" width="18.625" bestFit="1" customWidth="1"/>
    <col min="19" max="19" width="11.75" bestFit="1" customWidth="1"/>
    <col min="20" max="20" width="9.75" bestFit="1" customWidth="1"/>
    <col min="21" max="21" width="31.5" bestFit="1" customWidth="1"/>
    <col min="22" max="22" width="11.5" bestFit="1" customWidth="1"/>
    <col min="23" max="23" width="11" bestFit="1" customWidth="1"/>
    <col min="24" max="24" width="21.375" bestFit="1" customWidth="1"/>
    <col min="25" max="25" width="11.5" bestFit="1" customWidth="1"/>
  </cols>
  <sheetData>
    <row r="2" spans="2:25" ht="24.75" thickBot="1" x14ac:dyDescent="0.35">
      <c r="B2" s="169" t="s">
        <v>75</v>
      </c>
      <c r="C2" s="169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74">
        <v>10000000</v>
      </c>
      <c r="D4" s="174"/>
      <c r="G4" s="182" t="str">
        <f>설정!D4</f>
        <v>천세원</v>
      </c>
      <c r="H4" s="183"/>
      <c r="I4" s="183"/>
      <c r="J4" s="183"/>
      <c r="K4" s="183"/>
      <c r="L4" s="183"/>
      <c r="M4" s="183"/>
      <c r="N4" s="183"/>
      <c r="O4" s="184"/>
      <c r="Q4" s="179" t="str">
        <f>설정!D6</f>
        <v>하유진</v>
      </c>
      <c r="R4" s="180"/>
      <c r="S4" s="180"/>
      <c r="T4" s="180"/>
      <c r="U4" s="180"/>
      <c r="V4" s="180"/>
      <c r="W4" s="180"/>
      <c r="X4" s="180"/>
      <c r="Y4" s="181"/>
    </row>
    <row r="5" spans="2:25" x14ac:dyDescent="0.3">
      <c r="B5" s="2" t="s">
        <v>36</v>
      </c>
      <c r="C5" s="174">
        <f>I90+S90</f>
        <v>26240885</v>
      </c>
      <c r="D5" s="174"/>
      <c r="G5" s="136" t="s">
        <v>27</v>
      </c>
      <c r="H5" s="168"/>
      <c r="I5" s="137"/>
      <c r="J5" s="134" t="s">
        <v>31</v>
      </c>
      <c r="K5" s="170"/>
      <c r="L5" s="135"/>
      <c r="M5" s="171" t="s">
        <v>32</v>
      </c>
      <c r="N5" s="172"/>
      <c r="O5" s="173"/>
      <c r="Q5" s="136" t="s">
        <v>27</v>
      </c>
      <c r="R5" s="168"/>
      <c r="S5" s="137"/>
      <c r="T5" s="134" t="s">
        <v>31</v>
      </c>
      <c r="U5" s="170"/>
      <c r="V5" s="135"/>
      <c r="W5" s="171" t="s">
        <v>32</v>
      </c>
      <c r="X5" s="172"/>
      <c r="Y5" s="173"/>
    </row>
    <row r="6" spans="2:25" x14ac:dyDescent="0.3">
      <c r="B6" s="2" t="s">
        <v>38</v>
      </c>
      <c r="C6" s="174">
        <f>C4-C5</f>
        <v>-16240885</v>
      </c>
      <c r="D6" s="174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5">
        <f>(C5)/(C4)</f>
        <v>2.6240885</v>
      </c>
      <c r="D7" s="175"/>
      <c r="G7" s="6" t="s">
        <v>86</v>
      </c>
      <c r="H7" s="39" t="s">
        <v>217</v>
      </c>
      <c r="I7" s="28">
        <v>0</v>
      </c>
      <c r="J7" s="6" t="s">
        <v>120</v>
      </c>
      <c r="K7" s="39" t="s">
        <v>221</v>
      </c>
      <c r="L7" s="28">
        <v>-16954</v>
      </c>
      <c r="M7" s="6" t="s">
        <v>116</v>
      </c>
      <c r="N7" s="39" t="s">
        <v>225</v>
      </c>
      <c r="O7" s="40">
        <v>797</v>
      </c>
      <c r="P7" s="5"/>
      <c r="Q7" s="6" t="s">
        <v>208</v>
      </c>
      <c r="R7" s="39" t="s">
        <v>242</v>
      </c>
      <c r="S7" s="28">
        <v>750000</v>
      </c>
      <c r="T7" s="6" t="s">
        <v>112</v>
      </c>
      <c r="U7" s="39" t="s">
        <v>289</v>
      </c>
      <c r="V7" s="28">
        <v>-2606</v>
      </c>
      <c r="W7" s="6" t="s">
        <v>244</v>
      </c>
      <c r="X7" s="39" t="s">
        <v>245</v>
      </c>
      <c r="Y7" s="40">
        <v>2000000</v>
      </c>
    </row>
    <row r="8" spans="2:25" x14ac:dyDescent="0.3">
      <c r="G8" s="6" t="s">
        <v>208</v>
      </c>
      <c r="H8" s="39" t="s">
        <v>209</v>
      </c>
      <c r="I8" s="28">
        <v>4296609</v>
      </c>
      <c r="J8" s="6" t="s">
        <v>103</v>
      </c>
      <c r="K8" s="39" t="s">
        <v>128</v>
      </c>
      <c r="L8" s="28">
        <v>-24500</v>
      </c>
      <c r="M8" s="6" t="s">
        <v>213</v>
      </c>
      <c r="N8" s="39" t="s">
        <v>109</v>
      </c>
      <c r="O8" s="26">
        <v>3000000</v>
      </c>
      <c r="P8" s="5"/>
      <c r="Q8" s="6" t="s">
        <v>208</v>
      </c>
      <c r="R8" s="39" t="s">
        <v>243</v>
      </c>
      <c r="S8" s="28">
        <v>250000</v>
      </c>
      <c r="T8" s="6" t="s">
        <v>112</v>
      </c>
      <c r="U8" s="39" t="s">
        <v>241</v>
      </c>
      <c r="V8" s="28">
        <v>-120094</v>
      </c>
      <c r="W8" s="6" t="s">
        <v>101</v>
      </c>
      <c r="X8" s="39" t="s">
        <v>109</v>
      </c>
      <c r="Y8" s="26">
        <v>400000</v>
      </c>
    </row>
    <row r="9" spans="2:25" x14ac:dyDescent="0.3">
      <c r="G9" s="6"/>
      <c r="H9" s="39"/>
      <c r="I9" s="28"/>
      <c r="J9" s="6" t="s">
        <v>103</v>
      </c>
      <c r="K9" s="39" t="s">
        <v>128</v>
      </c>
      <c r="L9" s="28">
        <v>-23800</v>
      </c>
      <c r="M9" s="6" t="s">
        <v>213</v>
      </c>
      <c r="N9" s="39" t="s">
        <v>253</v>
      </c>
      <c r="O9" s="26">
        <v>-3000000</v>
      </c>
      <c r="P9" s="5"/>
      <c r="Q9" s="6" t="s">
        <v>86</v>
      </c>
      <c r="R9" s="39" t="s">
        <v>217</v>
      </c>
      <c r="S9" s="28">
        <v>0</v>
      </c>
      <c r="T9" s="6" t="s">
        <v>112</v>
      </c>
      <c r="U9" s="39" t="s">
        <v>290</v>
      </c>
      <c r="V9" s="28">
        <v>-3445</v>
      </c>
      <c r="W9" s="6" t="s">
        <v>116</v>
      </c>
      <c r="X9" s="39" t="s">
        <v>228</v>
      </c>
      <c r="Y9" s="26">
        <v>-3924310</v>
      </c>
    </row>
    <row r="10" spans="2:25" x14ac:dyDescent="0.3">
      <c r="G10" s="6"/>
      <c r="H10" s="39"/>
      <c r="I10" s="28"/>
      <c r="J10" s="6" t="s">
        <v>103</v>
      </c>
      <c r="K10" s="39" t="s">
        <v>128</v>
      </c>
      <c r="L10" s="28">
        <v>23800</v>
      </c>
      <c r="M10" s="6" t="s">
        <v>213</v>
      </c>
      <c r="N10" s="39" t="s">
        <v>256</v>
      </c>
      <c r="O10" s="26">
        <v>262540</v>
      </c>
      <c r="P10" s="5"/>
      <c r="Q10" s="6" t="s">
        <v>208</v>
      </c>
      <c r="R10" s="39" t="s">
        <v>209</v>
      </c>
      <c r="S10" s="28">
        <v>4395308</v>
      </c>
      <c r="T10" s="6" t="s">
        <v>112</v>
      </c>
      <c r="U10" s="39" t="s">
        <v>291</v>
      </c>
      <c r="V10" s="28">
        <v>-8673</v>
      </c>
      <c r="W10" s="6" t="s">
        <v>101</v>
      </c>
      <c r="X10" s="39" t="s">
        <v>249</v>
      </c>
      <c r="Y10" s="26">
        <v>35100209</v>
      </c>
    </row>
    <row r="11" spans="2:25" x14ac:dyDescent="0.3">
      <c r="G11" s="6"/>
      <c r="H11" s="39"/>
      <c r="I11" s="28"/>
      <c r="J11" s="6" t="s">
        <v>103</v>
      </c>
      <c r="K11" s="39" t="s">
        <v>128</v>
      </c>
      <c r="L11" s="28">
        <v>24500</v>
      </c>
      <c r="M11" s="6" t="s">
        <v>213</v>
      </c>
      <c r="N11" s="39" t="s">
        <v>257</v>
      </c>
      <c r="O11" s="26">
        <v>-500000</v>
      </c>
      <c r="P11" s="5"/>
      <c r="Q11" s="6"/>
      <c r="R11" s="39"/>
      <c r="S11" s="28"/>
      <c r="T11" s="6" t="s">
        <v>112</v>
      </c>
      <c r="U11" s="39" t="s">
        <v>291</v>
      </c>
      <c r="V11" s="28">
        <v>-1119</v>
      </c>
      <c r="W11" s="6" t="s">
        <v>107</v>
      </c>
      <c r="X11" s="39" t="s">
        <v>115</v>
      </c>
      <c r="Y11" s="26">
        <v>-3255013</v>
      </c>
    </row>
    <row r="12" spans="2:25" x14ac:dyDescent="0.3">
      <c r="G12" s="6"/>
      <c r="H12" s="39"/>
      <c r="I12" s="28"/>
      <c r="J12" s="6" t="s">
        <v>94</v>
      </c>
      <c r="K12" s="39" t="s">
        <v>95</v>
      </c>
      <c r="L12" s="28">
        <v>-16900</v>
      </c>
      <c r="M12" s="6" t="s">
        <v>213</v>
      </c>
      <c r="N12" s="39" t="s">
        <v>225</v>
      </c>
      <c r="O12" s="26">
        <v>500000</v>
      </c>
      <c r="P12" s="5"/>
      <c r="Q12" s="6"/>
      <c r="R12" s="39"/>
      <c r="S12" s="28"/>
      <c r="T12" s="6" t="s">
        <v>103</v>
      </c>
      <c r="U12" s="39" t="s">
        <v>128</v>
      </c>
      <c r="V12" s="28">
        <v>-23800</v>
      </c>
      <c r="W12" s="6" t="s">
        <v>116</v>
      </c>
      <c r="X12" s="39" t="s">
        <v>228</v>
      </c>
      <c r="Y12" s="26">
        <v>-10000000</v>
      </c>
    </row>
    <row r="13" spans="2:25" x14ac:dyDescent="0.3">
      <c r="G13" s="6"/>
      <c r="H13" s="39"/>
      <c r="I13" s="28"/>
      <c r="J13" s="6" t="s">
        <v>94</v>
      </c>
      <c r="K13" s="39" t="s">
        <v>105</v>
      </c>
      <c r="L13" s="28">
        <v>-2500</v>
      </c>
      <c r="M13" s="6" t="s">
        <v>107</v>
      </c>
      <c r="N13" s="39" t="s">
        <v>258</v>
      </c>
      <c r="O13" s="26">
        <v>-1492</v>
      </c>
      <c r="P13" s="5"/>
      <c r="Q13" s="6"/>
      <c r="R13" s="39"/>
      <c r="S13" s="28"/>
      <c r="T13" s="6" t="s">
        <v>103</v>
      </c>
      <c r="U13" s="39" t="s">
        <v>128</v>
      </c>
      <c r="V13" s="28">
        <v>-25500</v>
      </c>
      <c r="W13" s="6" t="s">
        <v>116</v>
      </c>
      <c r="X13" s="39" t="s">
        <v>228</v>
      </c>
      <c r="Y13" s="26">
        <v>10000000</v>
      </c>
    </row>
    <row r="14" spans="2:25" x14ac:dyDescent="0.3">
      <c r="G14" s="6"/>
      <c r="H14" s="39"/>
      <c r="I14" s="28"/>
      <c r="J14" s="6" t="s">
        <v>94</v>
      </c>
      <c r="K14" s="39" t="s">
        <v>105</v>
      </c>
      <c r="L14" s="28">
        <v>-2500</v>
      </c>
      <c r="M14" s="6" t="s">
        <v>107</v>
      </c>
      <c r="N14" s="39" t="s">
        <v>110</v>
      </c>
      <c r="O14" s="26">
        <v>-2410000</v>
      </c>
      <c r="P14" s="5"/>
      <c r="Q14" s="6"/>
      <c r="R14" s="39"/>
      <c r="S14" s="28"/>
      <c r="T14" s="6" t="s">
        <v>103</v>
      </c>
      <c r="U14" s="39" t="s">
        <v>128</v>
      </c>
      <c r="V14" s="28">
        <v>23800</v>
      </c>
      <c r="W14" s="6" t="s">
        <v>116</v>
      </c>
      <c r="X14" s="39" t="s">
        <v>228</v>
      </c>
      <c r="Y14" s="26">
        <v>-10000000</v>
      </c>
    </row>
    <row r="15" spans="2:25" x14ac:dyDescent="0.3">
      <c r="G15" s="6"/>
      <c r="H15" s="39"/>
      <c r="I15" s="28"/>
      <c r="J15" s="6" t="s">
        <v>93</v>
      </c>
      <c r="K15" s="39" t="s">
        <v>238</v>
      </c>
      <c r="L15" s="28">
        <v>-314400</v>
      </c>
      <c r="M15" s="6" t="s">
        <v>213</v>
      </c>
      <c r="N15" s="39" t="s">
        <v>225</v>
      </c>
      <c r="O15" s="26">
        <v>100000</v>
      </c>
      <c r="P15" s="5"/>
      <c r="Q15" s="6"/>
      <c r="R15" s="39"/>
      <c r="S15" s="28"/>
      <c r="T15" s="6" t="s">
        <v>103</v>
      </c>
      <c r="U15" s="39" t="s">
        <v>128</v>
      </c>
      <c r="V15" s="28">
        <v>-51000</v>
      </c>
      <c r="W15" s="6" t="s">
        <v>116</v>
      </c>
      <c r="X15" s="39" t="s">
        <v>228</v>
      </c>
      <c r="Y15" s="26">
        <v>10000000</v>
      </c>
    </row>
    <row r="16" spans="2:25" x14ac:dyDescent="0.3">
      <c r="G16" s="6"/>
      <c r="H16" s="39"/>
      <c r="I16" s="28"/>
      <c r="J16" s="6" t="s">
        <v>93</v>
      </c>
      <c r="K16" s="39" t="s">
        <v>238</v>
      </c>
      <c r="L16" s="28">
        <v>314400</v>
      </c>
      <c r="M16" s="6" t="s">
        <v>213</v>
      </c>
      <c r="N16" s="39" t="s">
        <v>259</v>
      </c>
      <c r="O16" s="26">
        <v>-100000</v>
      </c>
      <c r="P16" s="5"/>
      <c r="Q16" s="6"/>
      <c r="R16" s="39"/>
      <c r="S16" s="28"/>
      <c r="T16" s="6" t="s">
        <v>103</v>
      </c>
      <c r="U16" s="39" t="s">
        <v>128</v>
      </c>
      <c r="V16" s="28">
        <v>25500</v>
      </c>
      <c r="W16" s="6" t="s">
        <v>116</v>
      </c>
      <c r="X16" s="39" t="s">
        <v>228</v>
      </c>
      <c r="Y16" s="26">
        <v>-10000000</v>
      </c>
    </row>
    <row r="17" spans="2:25" x14ac:dyDescent="0.3">
      <c r="G17" s="6"/>
      <c r="H17" s="39"/>
      <c r="I17" s="28"/>
      <c r="J17" s="6" t="s">
        <v>89</v>
      </c>
      <c r="K17" s="39" t="s">
        <v>106</v>
      </c>
      <c r="L17" s="28">
        <v>-2000000</v>
      </c>
      <c r="M17" s="6" t="s">
        <v>213</v>
      </c>
      <c r="N17" s="39" t="s">
        <v>227</v>
      </c>
      <c r="O17" s="26">
        <v>-100000</v>
      </c>
      <c r="P17" s="5"/>
      <c r="Q17" s="6"/>
      <c r="R17" s="39"/>
      <c r="S17" s="28"/>
      <c r="T17" s="6" t="s">
        <v>111</v>
      </c>
      <c r="U17" s="39" t="s">
        <v>292</v>
      </c>
      <c r="V17" s="28">
        <v>-19000</v>
      </c>
      <c r="W17" s="6" t="s">
        <v>116</v>
      </c>
      <c r="X17" s="39" t="s">
        <v>228</v>
      </c>
      <c r="Y17" s="26">
        <v>-10000000</v>
      </c>
    </row>
    <row r="18" spans="2:25" x14ac:dyDescent="0.3">
      <c r="G18" s="6"/>
      <c r="H18" s="39"/>
      <c r="I18" s="28"/>
      <c r="J18" s="6" t="s">
        <v>102</v>
      </c>
      <c r="K18" s="39" t="s">
        <v>205</v>
      </c>
      <c r="L18" s="28">
        <v>-133800</v>
      </c>
      <c r="M18" s="6" t="s">
        <v>101</v>
      </c>
      <c r="N18" s="39" t="s">
        <v>260</v>
      </c>
      <c r="O18" s="26">
        <v>68500</v>
      </c>
      <c r="P18" s="5"/>
      <c r="Q18" s="6"/>
      <c r="R18" s="39"/>
      <c r="S18" s="28"/>
      <c r="T18" s="6" t="s">
        <v>111</v>
      </c>
      <c r="U18" s="39" t="s">
        <v>105</v>
      </c>
      <c r="V18" s="28">
        <v>-4500</v>
      </c>
      <c r="W18" s="6" t="s">
        <v>116</v>
      </c>
      <c r="X18" s="39" t="s">
        <v>228</v>
      </c>
      <c r="Y18" s="26">
        <v>-10000000</v>
      </c>
    </row>
    <row r="19" spans="2:25" x14ac:dyDescent="0.3">
      <c r="G19" s="6"/>
      <c r="H19" s="39"/>
      <c r="I19" s="28"/>
      <c r="J19" s="6" t="s">
        <v>89</v>
      </c>
      <c r="K19" s="39" t="s">
        <v>106</v>
      </c>
      <c r="L19" s="28">
        <v>-400000</v>
      </c>
      <c r="M19" s="6" t="s">
        <v>101</v>
      </c>
      <c r="N19" s="39" t="s">
        <v>261</v>
      </c>
      <c r="O19" s="26">
        <v>68500</v>
      </c>
      <c r="P19" s="5"/>
      <c r="Q19" s="6"/>
      <c r="R19" s="39"/>
      <c r="S19" s="28"/>
      <c r="T19" s="6" t="s">
        <v>111</v>
      </c>
      <c r="U19" s="39" t="s">
        <v>113</v>
      </c>
      <c r="V19" s="28">
        <v>-1200</v>
      </c>
      <c r="W19" s="6" t="s">
        <v>88</v>
      </c>
      <c r="X19" s="39" t="s">
        <v>296</v>
      </c>
      <c r="Y19" s="26">
        <v>30000000</v>
      </c>
    </row>
    <row r="20" spans="2:25" x14ac:dyDescent="0.3">
      <c r="G20" s="6"/>
      <c r="H20" s="39"/>
      <c r="I20" s="28"/>
      <c r="J20" s="6" t="s">
        <v>90</v>
      </c>
      <c r="K20" s="39" t="s">
        <v>239</v>
      </c>
      <c r="L20" s="28">
        <v>-8850</v>
      </c>
      <c r="M20" s="6" t="s">
        <v>101</v>
      </c>
      <c r="N20" s="39" t="s">
        <v>262</v>
      </c>
      <c r="O20" s="26">
        <v>68500</v>
      </c>
      <c r="P20" s="5"/>
      <c r="Q20" s="6"/>
      <c r="R20" s="39"/>
      <c r="S20" s="28"/>
      <c r="T20" s="6" t="s">
        <v>111</v>
      </c>
      <c r="U20" s="39" t="s">
        <v>293</v>
      </c>
      <c r="V20" s="28">
        <v>-31800</v>
      </c>
      <c r="W20" s="6" t="s">
        <v>116</v>
      </c>
      <c r="X20" s="39" t="s">
        <v>228</v>
      </c>
      <c r="Y20" s="26">
        <v>10000000</v>
      </c>
    </row>
    <row r="21" spans="2:25" x14ac:dyDescent="0.3">
      <c r="G21" s="6"/>
      <c r="H21" s="39"/>
      <c r="I21" s="28"/>
      <c r="J21" s="6" t="s">
        <v>94</v>
      </c>
      <c r="K21" s="39" t="s">
        <v>240</v>
      </c>
      <c r="L21" s="28">
        <v>-4650</v>
      </c>
      <c r="M21" s="6" t="s">
        <v>101</v>
      </c>
      <c r="N21" s="39" t="s">
        <v>263</v>
      </c>
      <c r="O21" s="26">
        <v>68500</v>
      </c>
      <c r="P21" s="5"/>
      <c r="Q21" s="6"/>
      <c r="R21" s="39"/>
      <c r="S21" s="28"/>
      <c r="T21" s="6" t="s">
        <v>111</v>
      </c>
      <c r="U21" s="39" t="s">
        <v>294</v>
      </c>
      <c r="V21" s="28">
        <v>-49000</v>
      </c>
      <c r="W21" s="6" t="s">
        <v>116</v>
      </c>
      <c r="X21" s="39" t="s">
        <v>228</v>
      </c>
      <c r="Y21" s="26">
        <v>-10000000</v>
      </c>
    </row>
    <row r="22" spans="2:25" x14ac:dyDescent="0.3">
      <c r="G22" s="6"/>
      <c r="H22" s="39"/>
      <c r="I22" s="28"/>
      <c r="J22" s="6" t="s">
        <v>90</v>
      </c>
      <c r="K22" s="39" t="s">
        <v>204</v>
      </c>
      <c r="L22" s="28">
        <v>-50000</v>
      </c>
      <c r="M22" s="6" t="s">
        <v>101</v>
      </c>
      <c r="N22" s="39" t="s">
        <v>264</v>
      </c>
      <c r="O22" s="26">
        <v>68500</v>
      </c>
      <c r="P22" s="5"/>
      <c r="Q22" s="6"/>
      <c r="R22" s="39"/>
      <c r="S22" s="28"/>
      <c r="T22" s="6" t="s">
        <v>90</v>
      </c>
      <c r="U22" s="39" t="s">
        <v>295</v>
      </c>
      <c r="V22" s="28">
        <v>-357600</v>
      </c>
      <c r="W22" s="6" t="s">
        <v>116</v>
      </c>
      <c r="X22" s="39" t="s">
        <v>228</v>
      </c>
      <c r="Y22" s="26">
        <v>-10000000</v>
      </c>
    </row>
    <row r="23" spans="2:25" x14ac:dyDescent="0.3">
      <c r="G23" s="6"/>
      <c r="H23" s="39"/>
      <c r="I23" s="28"/>
      <c r="J23" s="6" t="s">
        <v>94</v>
      </c>
      <c r="K23" s="39" t="s">
        <v>105</v>
      </c>
      <c r="L23" s="28">
        <v>-2500</v>
      </c>
      <c r="M23" s="6" t="s">
        <v>101</v>
      </c>
      <c r="N23" s="39" t="s">
        <v>265</v>
      </c>
      <c r="O23" s="26">
        <v>68500</v>
      </c>
      <c r="P23" s="5"/>
      <c r="Q23" s="6"/>
      <c r="R23" s="39"/>
      <c r="S23" s="28"/>
      <c r="T23" s="6" t="s">
        <v>90</v>
      </c>
      <c r="U23" s="39" t="s">
        <v>246</v>
      </c>
      <c r="V23" s="28">
        <v>-147</v>
      </c>
      <c r="W23" s="6" t="s">
        <v>116</v>
      </c>
      <c r="X23" s="39" t="s">
        <v>228</v>
      </c>
      <c r="Y23" s="26">
        <v>10000000</v>
      </c>
    </row>
    <row r="24" spans="2:25" x14ac:dyDescent="0.3">
      <c r="G24" s="6"/>
      <c r="H24" s="39"/>
      <c r="I24" s="28"/>
      <c r="J24" s="6" t="s">
        <v>94</v>
      </c>
      <c r="K24" s="39" t="s">
        <v>105</v>
      </c>
      <c r="L24" s="28">
        <v>-38500</v>
      </c>
      <c r="M24" s="6" t="s">
        <v>101</v>
      </c>
      <c r="N24" s="39" t="s">
        <v>266</v>
      </c>
      <c r="O24" s="26">
        <v>-150000</v>
      </c>
      <c r="P24" s="5"/>
      <c r="Q24" s="6"/>
      <c r="R24" s="39"/>
      <c r="S24" s="28"/>
      <c r="T24" s="6" t="s">
        <v>90</v>
      </c>
      <c r="U24" s="39" t="s">
        <v>247</v>
      </c>
      <c r="V24" s="28">
        <v>-77774</v>
      </c>
      <c r="W24" s="6" t="s">
        <v>116</v>
      </c>
      <c r="X24" s="39" t="s">
        <v>228</v>
      </c>
      <c r="Y24" s="26">
        <v>10000000</v>
      </c>
    </row>
    <row r="25" spans="2:25" x14ac:dyDescent="0.3">
      <c r="B25" s="134" t="s">
        <v>143</v>
      </c>
      <c r="C25" s="170"/>
      <c r="D25" s="170"/>
      <c r="E25" s="135"/>
      <c r="G25" s="6"/>
      <c r="H25" s="39"/>
      <c r="I25" s="28"/>
      <c r="J25" s="6" t="s">
        <v>90</v>
      </c>
      <c r="K25" s="39" t="s">
        <v>130</v>
      </c>
      <c r="L25" s="28">
        <v>-500000</v>
      </c>
      <c r="M25" s="6"/>
      <c r="N25" s="39"/>
      <c r="O25" s="26"/>
      <c r="P25" s="5"/>
      <c r="Q25" s="6"/>
      <c r="R25" s="39"/>
      <c r="S25" s="28"/>
      <c r="T25" s="6" t="s">
        <v>91</v>
      </c>
      <c r="U25" s="39" t="s">
        <v>248</v>
      </c>
      <c r="V25" s="28">
        <v>-106435</v>
      </c>
      <c r="W25" s="6" t="s">
        <v>116</v>
      </c>
      <c r="X25" s="39" t="s">
        <v>228</v>
      </c>
      <c r="Y25" s="26">
        <v>-10000000</v>
      </c>
    </row>
    <row r="26" spans="2:25" x14ac:dyDescent="0.3">
      <c r="B26" s="48" t="s">
        <v>28</v>
      </c>
      <c r="C26" s="165" t="s">
        <v>30</v>
      </c>
      <c r="D26" s="166"/>
      <c r="E26" s="167"/>
      <c r="G26" s="6"/>
      <c r="H26" s="39"/>
      <c r="I26" s="28"/>
      <c r="J26" s="6" t="s">
        <v>90</v>
      </c>
      <c r="K26" s="39" t="s">
        <v>130</v>
      </c>
      <c r="L26" s="28">
        <v>-1500000</v>
      </c>
      <c r="M26" s="6"/>
      <c r="N26" s="39"/>
      <c r="O26" s="26"/>
      <c r="P26" s="5"/>
      <c r="Q26" s="6"/>
      <c r="R26" s="39"/>
      <c r="S26" s="28"/>
      <c r="T26" s="6" t="s">
        <v>111</v>
      </c>
      <c r="U26" s="39" t="s">
        <v>113</v>
      </c>
      <c r="V26" s="28">
        <v>-1200</v>
      </c>
      <c r="W26" s="6" t="s">
        <v>116</v>
      </c>
      <c r="X26" s="39" t="s">
        <v>228</v>
      </c>
      <c r="Y26" s="26">
        <v>10000000</v>
      </c>
    </row>
    <row r="27" spans="2:25" x14ac:dyDescent="0.3">
      <c r="B27" s="48" t="s">
        <v>89</v>
      </c>
      <c r="C27" s="159">
        <f t="shared" ref="C27:C46" si="0">-(SUMIF($J$7:$J$88,B27,$L$7:$L$88)+SUMIF($T$7:$T$88,B27,$V$7:$V$88))</f>
        <v>2436120</v>
      </c>
      <c r="D27" s="160"/>
      <c r="E27" s="161"/>
      <c r="G27" s="6"/>
      <c r="H27" s="39"/>
      <c r="I27" s="28"/>
      <c r="J27" s="6" t="s">
        <v>96</v>
      </c>
      <c r="K27" s="39" t="s">
        <v>132</v>
      </c>
      <c r="L27" s="28">
        <v>-500000</v>
      </c>
      <c r="M27" s="6"/>
      <c r="N27" s="39"/>
      <c r="O27" s="26"/>
      <c r="P27" s="5"/>
      <c r="Q27" s="6"/>
      <c r="R27" s="39"/>
      <c r="S27" s="28"/>
      <c r="T27" s="6" t="s">
        <v>99</v>
      </c>
      <c r="U27" s="39" t="s">
        <v>297</v>
      </c>
      <c r="V27" s="28">
        <v>-13500</v>
      </c>
      <c r="W27" s="6" t="s">
        <v>116</v>
      </c>
      <c r="X27" s="39" t="s">
        <v>228</v>
      </c>
      <c r="Y27" s="26">
        <v>-10000000</v>
      </c>
    </row>
    <row r="28" spans="2:25" x14ac:dyDescent="0.3">
      <c r="B28" s="49" t="s">
        <v>90</v>
      </c>
      <c r="C28" s="159">
        <f t="shared" si="0"/>
        <v>2785166</v>
      </c>
      <c r="D28" s="160"/>
      <c r="E28" s="161"/>
      <c r="G28" s="6"/>
      <c r="H28" s="39"/>
      <c r="I28" s="28"/>
      <c r="J28" s="6" t="s">
        <v>102</v>
      </c>
      <c r="K28" s="39" t="s">
        <v>205</v>
      </c>
      <c r="L28" s="28">
        <v>164790</v>
      </c>
      <c r="M28" s="6"/>
      <c r="N28" s="39"/>
      <c r="O28" s="26"/>
      <c r="P28" s="5"/>
      <c r="Q28" s="6"/>
      <c r="R28" s="39"/>
      <c r="S28" s="28"/>
      <c r="T28" s="6" t="s">
        <v>90</v>
      </c>
      <c r="U28" s="39" t="s">
        <v>98</v>
      </c>
      <c r="V28" s="28">
        <v>-160000</v>
      </c>
      <c r="W28" s="6" t="s">
        <v>116</v>
      </c>
      <c r="X28" s="39" t="s">
        <v>228</v>
      </c>
      <c r="Y28" s="26">
        <v>1315114</v>
      </c>
    </row>
    <row r="29" spans="2:25" x14ac:dyDescent="0.3">
      <c r="B29" s="49" t="s">
        <v>94</v>
      </c>
      <c r="C29" s="159">
        <f t="shared" si="0"/>
        <v>349950</v>
      </c>
      <c r="D29" s="160"/>
      <c r="E29" s="161"/>
      <c r="G29" s="6"/>
      <c r="H29" s="39"/>
      <c r="I29" s="28"/>
      <c r="J29" s="6" t="s">
        <v>102</v>
      </c>
      <c r="K29" s="39" t="s">
        <v>205</v>
      </c>
      <c r="L29" s="28">
        <v>-164790</v>
      </c>
      <c r="M29" s="6"/>
      <c r="N29" s="39"/>
      <c r="O29" s="26"/>
      <c r="P29" s="5"/>
      <c r="Q29" s="6"/>
      <c r="R29" s="39"/>
      <c r="S29" s="28"/>
      <c r="T29" s="6" t="s">
        <v>90</v>
      </c>
      <c r="U29" s="39" t="s">
        <v>298</v>
      </c>
      <c r="V29" s="28">
        <v>-4800</v>
      </c>
      <c r="W29" s="6" t="s">
        <v>116</v>
      </c>
      <c r="X29" s="39" t="s">
        <v>228</v>
      </c>
      <c r="Y29" s="26">
        <v>-1315114</v>
      </c>
    </row>
    <row r="30" spans="2:25" x14ac:dyDescent="0.3">
      <c r="B30" s="49" t="s">
        <v>92</v>
      </c>
      <c r="C30" s="159">
        <f t="shared" si="0"/>
        <v>399380</v>
      </c>
      <c r="D30" s="160"/>
      <c r="E30" s="161"/>
      <c r="G30" s="6"/>
      <c r="H30" s="39"/>
      <c r="I30" s="28"/>
      <c r="J30" s="6" t="s">
        <v>99</v>
      </c>
      <c r="K30" s="39" t="s">
        <v>250</v>
      </c>
      <c r="L30" s="28">
        <v>-19700</v>
      </c>
      <c r="M30" s="6"/>
      <c r="N30" s="39"/>
      <c r="O30" s="26"/>
      <c r="P30" s="5"/>
      <c r="Q30" s="6"/>
      <c r="R30" s="39"/>
      <c r="S30" s="28"/>
      <c r="T30" s="6" t="s">
        <v>111</v>
      </c>
      <c r="U30" s="39" t="s">
        <v>105</v>
      </c>
      <c r="V30" s="28">
        <v>-200000</v>
      </c>
      <c r="W30" s="6" t="s">
        <v>116</v>
      </c>
      <c r="X30" s="39" t="s">
        <v>225</v>
      </c>
      <c r="Y30" s="26">
        <v>7634</v>
      </c>
    </row>
    <row r="31" spans="2:25" x14ac:dyDescent="0.3">
      <c r="B31" s="49" t="s">
        <v>96</v>
      </c>
      <c r="C31" s="159">
        <f t="shared" si="0"/>
        <v>500000</v>
      </c>
      <c r="D31" s="160"/>
      <c r="E31" s="161"/>
      <c r="G31" s="6"/>
      <c r="H31" s="39"/>
      <c r="I31" s="28"/>
      <c r="J31" s="6" t="s">
        <v>94</v>
      </c>
      <c r="K31" s="39" t="s">
        <v>251</v>
      </c>
      <c r="L31" s="28">
        <v>-31000</v>
      </c>
      <c r="M31" s="6"/>
      <c r="N31" s="39"/>
      <c r="O31" s="26"/>
      <c r="P31" s="5"/>
      <c r="Q31" s="6"/>
      <c r="R31" s="39"/>
      <c r="S31" s="28"/>
      <c r="T31" s="6" t="s">
        <v>92</v>
      </c>
      <c r="U31" s="39" t="s">
        <v>203</v>
      </c>
      <c r="V31" s="28">
        <v>-28500</v>
      </c>
      <c r="W31" s="6" t="s">
        <v>101</v>
      </c>
      <c r="X31" s="39" t="s">
        <v>109</v>
      </c>
      <c r="Y31" s="26">
        <v>-4000000</v>
      </c>
    </row>
    <row r="32" spans="2:25" x14ac:dyDescent="0.3">
      <c r="B32" s="49" t="s">
        <v>93</v>
      </c>
      <c r="C32" s="159">
        <f t="shared" si="0"/>
        <v>85950</v>
      </c>
      <c r="D32" s="160"/>
      <c r="E32" s="161"/>
      <c r="G32" s="6"/>
      <c r="H32" s="39"/>
      <c r="I32" s="28"/>
      <c r="J32" s="6" t="s">
        <v>90</v>
      </c>
      <c r="K32" s="39" t="s">
        <v>252</v>
      </c>
      <c r="L32" s="28">
        <v>-8100</v>
      </c>
      <c r="M32" s="6"/>
      <c r="N32" s="39"/>
      <c r="O32" s="26"/>
      <c r="P32" s="5"/>
      <c r="Q32" s="6"/>
      <c r="R32" s="39"/>
      <c r="S32" s="28"/>
      <c r="T32" s="6" t="s">
        <v>111</v>
      </c>
      <c r="U32" s="39" t="s">
        <v>105</v>
      </c>
      <c r="V32" s="28">
        <v>-4000</v>
      </c>
      <c r="W32" s="6" t="s">
        <v>117</v>
      </c>
      <c r="X32" s="39" t="s">
        <v>267</v>
      </c>
      <c r="Y32" s="26">
        <v>1</v>
      </c>
    </row>
    <row r="33" spans="2:25" x14ac:dyDescent="0.3">
      <c r="B33" s="49" t="s">
        <v>103</v>
      </c>
      <c r="C33" s="159">
        <f t="shared" si="0"/>
        <v>109816</v>
      </c>
      <c r="D33" s="160"/>
      <c r="E33" s="161"/>
      <c r="G33" s="6"/>
      <c r="H33" s="39"/>
      <c r="I33" s="28"/>
      <c r="J33" s="6" t="s">
        <v>94</v>
      </c>
      <c r="K33" s="39" t="s">
        <v>105</v>
      </c>
      <c r="L33" s="28">
        <v>-200000</v>
      </c>
      <c r="M33" s="6"/>
      <c r="N33" s="39"/>
      <c r="O33" s="26"/>
      <c r="P33" s="5"/>
      <c r="Q33" s="6"/>
      <c r="R33" s="39"/>
      <c r="S33" s="28"/>
      <c r="T33" s="6" t="s">
        <v>90</v>
      </c>
      <c r="U33" s="39" t="s">
        <v>127</v>
      </c>
      <c r="V33" s="28">
        <v>-12190</v>
      </c>
      <c r="W33" s="6"/>
      <c r="X33" s="39"/>
      <c r="Y33" s="26"/>
    </row>
    <row r="34" spans="2:25" x14ac:dyDescent="0.3">
      <c r="B34" s="49" t="s">
        <v>99</v>
      </c>
      <c r="C34" s="159">
        <f t="shared" si="0"/>
        <v>39800</v>
      </c>
      <c r="D34" s="160"/>
      <c r="E34" s="161"/>
      <c r="G34" s="6"/>
      <c r="H34" s="39"/>
      <c r="I34" s="28"/>
      <c r="J34" s="6" t="s">
        <v>94</v>
      </c>
      <c r="K34" s="39" t="s">
        <v>95</v>
      </c>
      <c r="L34" s="28">
        <v>-22900</v>
      </c>
      <c r="M34" s="6"/>
      <c r="N34" s="39"/>
      <c r="O34" s="26"/>
      <c r="P34" s="5"/>
      <c r="Q34" s="6"/>
      <c r="R34" s="39"/>
      <c r="S34" s="28"/>
      <c r="T34" s="6" t="s">
        <v>91</v>
      </c>
      <c r="U34" s="39" t="s">
        <v>278</v>
      </c>
      <c r="V34" s="28">
        <v>-8000</v>
      </c>
      <c r="W34" s="6"/>
      <c r="X34" s="39"/>
      <c r="Y34" s="26"/>
    </row>
    <row r="35" spans="2:25" x14ac:dyDescent="0.3">
      <c r="B35" s="49" t="s">
        <v>120</v>
      </c>
      <c r="C35" s="159">
        <f t="shared" si="0"/>
        <v>16954</v>
      </c>
      <c r="D35" s="160"/>
      <c r="E35" s="161"/>
      <c r="G35" s="6"/>
      <c r="H35" s="39"/>
      <c r="I35" s="28"/>
      <c r="J35" s="6" t="s">
        <v>102</v>
      </c>
      <c r="K35" s="39">
        <v>80350300100418</v>
      </c>
      <c r="L35" s="28">
        <v>-300000</v>
      </c>
      <c r="M35" s="6"/>
      <c r="N35" s="39"/>
      <c r="O35" s="26"/>
      <c r="P35" s="5"/>
      <c r="Q35" s="6"/>
      <c r="R35" s="39"/>
      <c r="S35" s="28"/>
      <c r="T35" s="6" t="s">
        <v>91</v>
      </c>
      <c r="U35" s="39" t="s">
        <v>97</v>
      </c>
      <c r="V35" s="28">
        <v>-990</v>
      </c>
      <c r="W35" s="6"/>
      <c r="X35" s="39"/>
      <c r="Y35" s="26"/>
    </row>
    <row r="36" spans="2:25" x14ac:dyDescent="0.3">
      <c r="B36" s="49" t="s">
        <v>91</v>
      </c>
      <c r="C36" s="159">
        <f t="shared" si="0"/>
        <v>115425</v>
      </c>
      <c r="D36" s="160"/>
      <c r="E36" s="161"/>
      <c r="G36" s="6"/>
      <c r="H36" s="39"/>
      <c r="I36" s="28"/>
      <c r="J36" s="6" t="s">
        <v>93</v>
      </c>
      <c r="K36" s="39" t="s">
        <v>254</v>
      </c>
      <c r="L36" s="28">
        <v>-50000</v>
      </c>
      <c r="M36" s="6"/>
      <c r="N36" s="39"/>
      <c r="O36" s="26"/>
      <c r="P36" s="5"/>
      <c r="Q36" s="6"/>
      <c r="R36" s="39"/>
      <c r="S36" s="28"/>
      <c r="T36" s="6" t="s">
        <v>111</v>
      </c>
      <c r="U36" s="39" t="s">
        <v>105</v>
      </c>
      <c r="V36" s="28">
        <v>-2500</v>
      </c>
      <c r="W36" s="6"/>
      <c r="X36" s="39"/>
      <c r="Y36" s="26"/>
    </row>
    <row r="37" spans="2:25" x14ac:dyDescent="0.3">
      <c r="B37" s="49" t="s">
        <v>102</v>
      </c>
      <c r="C37" s="159">
        <f t="shared" si="0"/>
        <v>433800</v>
      </c>
      <c r="D37" s="160"/>
      <c r="E37" s="161"/>
      <c r="G37" s="6"/>
      <c r="H37" s="39"/>
      <c r="I37" s="28"/>
      <c r="J37" s="6" t="s">
        <v>92</v>
      </c>
      <c r="K37" s="39" t="s">
        <v>104</v>
      </c>
      <c r="L37" s="28">
        <v>-16500</v>
      </c>
      <c r="M37" s="6"/>
      <c r="N37" s="39"/>
      <c r="O37" s="26"/>
      <c r="P37" s="5"/>
      <c r="Q37" s="6"/>
      <c r="R37" s="39"/>
      <c r="S37" s="28"/>
      <c r="T37" s="6" t="s">
        <v>92</v>
      </c>
      <c r="U37" s="39" t="s">
        <v>299</v>
      </c>
      <c r="V37" s="28">
        <v>-310490</v>
      </c>
      <c r="W37" s="6"/>
      <c r="X37" s="39"/>
      <c r="Y37" s="26"/>
    </row>
    <row r="38" spans="2:25" x14ac:dyDescent="0.3">
      <c r="B38" s="49" t="s">
        <v>118</v>
      </c>
      <c r="C38" s="159">
        <f t="shared" si="0"/>
        <v>0</v>
      </c>
      <c r="D38" s="160"/>
      <c r="E38" s="161"/>
      <c r="G38" s="6"/>
      <c r="H38" s="39"/>
      <c r="I38" s="28"/>
      <c r="J38" s="6" t="s">
        <v>94</v>
      </c>
      <c r="K38" s="39" t="s">
        <v>105</v>
      </c>
      <c r="L38" s="28">
        <v>-2500</v>
      </c>
      <c r="M38" s="6"/>
      <c r="N38" s="39"/>
      <c r="O38" s="26"/>
      <c r="P38" s="5"/>
      <c r="Q38" s="6"/>
      <c r="R38" s="39"/>
      <c r="S38" s="28"/>
      <c r="T38" s="6" t="s">
        <v>111</v>
      </c>
      <c r="U38" s="39" t="s">
        <v>113</v>
      </c>
      <c r="V38" s="28">
        <v>-1200</v>
      </c>
      <c r="W38" s="6"/>
      <c r="X38" s="39"/>
      <c r="Y38" s="26"/>
    </row>
    <row r="39" spans="2:25" x14ac:dyDescent="0.3">
      <c r="B39" s="49" t="s">
        <v>108</v>
      </c>
      <c r="C39" s="159">
        <f t="shared" si="0"/>
        <v>0</v>
      </c>
      <c r="D39" s="160"/>
      <c r="E39" s="161"/>
      <c r="G39" s="6"/>
      <c r="H39" s="39"/>
      <c r="I39" s="28"/>
      <c r="J39" s="6" t="s">
        <v>93</v>
      </c>
      <c r="K39" s="39" t="s">
        <v>255</v>
      </c>
      <c r="L39" s="28">
        <v>-35950</v>
      </c>
      <c r="M39" s="6"/>
      <c r="N39" s="39"/>
      <c r="O39" s="26"/>
      <c r="P39" s="5"/>
      <c r="Q39" s="6"/>
      <c r="R39" s="39"/>
      <c r="S39" s="28"/>
      <c r="T39" s="6" t="s">
        <v>90</v>
      </c>
      <c r="U39" s="39" t="s">
        <v>236</v>
      </c>
      <c r="V39" s="28">
        <v>-102105</v>
      </c>
      <c r="W39" s="6"/>
      <c r="X39" s="39"/>
      <c r="Y39" s="26"/>
    </row>
    <row r="40" spans="2:25" x14ac:dyDescent="0.3">
      <c r="B40" s="49" t="s">
        <v>129</v>
      </c>
      <c r="C40" s="159">
        <f t="shared" si="0"/>
        <v>0</v>
      </c>
      <c r="D40" s="160"/>
      <c r="E40" s="161"/>
      <c r="G40" s="6"/>
      <c r="H40" s="39"/>
      <c r="I40" s="28"/>
      <c r="J40" s="6" t="s">
        <v>92</v>
      </c>
      <c r="K40" s="39" t="s">
        <v>203</v>
      </c>
      <c r="L40" s="28">
        <v>-43890</v>
      </c>
      <c r="M40" s="6"/>
      <c r="N40" s="39"/>
      <c r="O40" s="26"/>
      <c r="P40" s="5"/>
      <c r="Q40" s="6"/>
      <c r="R40" s="39"/>
      <c r="S40" s="28"/>
      <c r="T40" s="6" t="s">
        <v>111</v>
      </c>
      <c r="U40" s="39" t="s">
        <v>113</v>
      </c>
      <c r="V40" s="28">
        <v>-1200</v>
      </c>
      <c r="W40" s="6"/>
      <c r="X40" s="39"/>
      <c r="Y40" s="26"/>
    </row>
    <row r="41" spans="2:25" x14ac:dyDescent="0.3">
      <c r="B41" s="49" t="s">
        <v>100</v>
      </c>
      <c r="C41" s="159">
        <f t="shared" si="0"/>
        <v>0</v>
      </c>
      <c r="D41" s="160"/>
      <c r="E41" s="161"/>
      <c r="G41" s="6"/>
      <c r="H41" s="39"/>
      <c r="I41" s="28"/>
      <c r="J41" s="6" t="s">
        <v>94</v>
      </c>
      <c r="K41" s="39" t="s">
        <v>105</v>
      </c>
      <c r="L41" s="28">
        <v>-4000</v>
      </c>
      <c r="M41" s="6"/>
      <c r="N41" s="39"/>
      <c r="O41" s="26"/>
      <c r="P41" s="5"/>
      <c r="Q41" s="6"/>
      <c r="R41" s="39"/>
      <c r="S41" s="28"/>
      <c r="T41" s="6" t="s">
        <v>103</v>
      </c>
      <c r="U41" s="39" t="s">
        <v>268</v>
      </c>
      <c r="V41" s="28">
        <v>-58816</v>
      </c>
      <c r="W41" s="6"/>
      <c r="X41" s="39"/>
      <c r="Y41" s="26"/>
    </row>
    <row r="42" spans="2:25" x14ac:dyDescent="0.3">
      <c r="B42" s="49" t="s">
        <v>123</v>
      </c>
      <c r="C42" s="159">
        <f t="shared" si="0"/>
        <v>0</v>
      </c>
      <c r="D42" s="160"/>
      <c r="E42" s="161"/>
      <c r="G42" s="6"/>
      <c r="H42" s="39"/>
      <c r="I42" s="28"/>
      <c r="J42" s="6" t="s">
        <v>94</v>
      </c>
      <c r="K42" s="39" t="s">
        <v>95</v>
      </c>
      <c r="L42" s="28">
        <v>-19500</v>
      </c>
      <c r="M42" s="6"/>
      <c r="N42" s="39"/>
      <c r="O42" s="26"/>
      <c r="P42" s="5"/>
      <c r="Q42" s="6"/>
      <c r="R42" s="39"/>
      <c r="S42" s="28"/>
      <c r="T42" s="6" t="s">
        <v>111</v>
      </c>
      <c r="U42" s="39" t="s">
        <v>105</v>
      </c>
      <c r="V42" s="28">
        <v>-68500</v>
      </c>
      <c r="W42" s="6"/>
      <c r="X42" s="39"/>
      <c r="Y42" s="26"/>
    </row>
    <row r="43" spans="2:25" x14ac:dyDescent="0.3">
      <c r="B43" s="49" t="s">
        <v>111</v>
      </c>
      <c r="C43" s="159">
        <f t="shared" si="0"/>
        <v>384100</v>
      </c>
      <c r="D43" s="160"/>
      <c r="E43" s="161"/>
      <c r="G43" s="6"/>
      <c r="H43" s="39"/>
      <c r="I43" s="28"/>
      <c r="J43" s="6" t="s">
        <v>94</v>
      </c>
      <c r="K43" s="39" t="s">
        <v>105</v>
      </c>
      <c r="L43" s="28">
        <v>-2500</v>
      </c>
      <c r="M43" s="6"/>
      <c r="N43" s="39"/>
      <c r="O43" s="26"/>
      <c r="P43" s="5"/>
      <c r="Q43" s="6"/>
      <c r="R43" s="39"/>
      <c r="S43" s="28"/>
      <c r="T43" s="6" t="s">
        <v>99</v>
      </c>
      <c r="U43" s="39" t="s">
        <v>300</v>
      </c>
      <c r="V43" s="28">
        <v>-6600</v>
      </c>
      <c r="W43" s="6"/>
      <c r="X43" s="39"/>
      <c r="Y43" s="26"/>
    </row>
    <row r="44" spans="2:25" x14ac:dyDescent="0.3">
      <c r="B44" s="49" t="s">
        <v>116</v>
      </c>
      <c r="C44" s="159">
        <f t="shared" si="0"/>
        <v>0</v>
      </c>
      <c r="D44" s="160"/>
      <c r="E44" s="161"/>
      <c r="G44" s="6"/>
      <c r="H44" s="39"/>
      <c r="I44" s="28"/>
      <c r="J44" s="6" t="s">
        <v>89</v>
      </c>
      <c r="K44" s="39" t="s">
        <v>223</v>
      </c>
      <c r="L44" s="28">
        <v>-36120</v>
      </c>
      <c r="M44" s="6"/>
      <c r="N44" s="39"/>
      <c r="O44" s="26"/>
      <c r="P44" s="5"/>
      <c r="Q44" s="6"/>
      <c r="R44" s="39"/>
      <c r="S44" s="28"/>
      <c r="T44" s="6" t="s">
        <v>90</v>
      </c>
      <c r="U44" s="39" t="s">
        <v>301</v>
      </c>
      <c r="V44" s="28">
        <v>-3600</v>
      </c>
      <c r="W44" s="6"/>
      <c r="X44" s="39"/>
      <c r="Y44" s="26"/>
    </row>
    <row r="45" spans="2:25" x14ac:dyDescent="0.3">
      <c r="B45" s="49" t="s">
        <v>112</v>
      </c>
      <c r="C45" s="159">
        <f t="shared" si="0"/>
        <v>135937</v>
      </c>
      <c r="D45" s="160"/>
      <c r="E45" s="161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126</v>
      </c>
      <c r="C46" s="159">
        <f t="shared" si="0"/>
        <v>0</v>
      </c>
      <c r="D46" s="160"/>
      <c r="E46" s="161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139</v>
      </c>
      <c r="C48" s="162" t="str">
        <f>IF(ABS(SUM(C27:E46))&lt;&gt;ABS(SUM(L89,V89)),"항목 추가해주세요","-")</f>
        <v>-</v>
      </c>
      <c r="D48" s="163"/>
      <c r="E48" s="164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136" t="s">
        <v>150</v>
      </c>
      <c r="C50" s="168"/>
      <c r="D50" s="168"/>
      <c r="E50" s="137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65" t="s">
        <v>30</v>
      </c>
      <c r="D51" s="166"/>
      <c r="E51" s="167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146</v>
      </c>
      <c r="C52" s="159">
        <f>(SUMIF($G$7:$G$88,B52,$I$7:$I$88)+SUMIF($Q$7:$Q$88,B52,$S$7:$S$88))</f>
        <v>0</v>
      </c>
      <c r="D52" s="160"/>
      <c r="E52" s="161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147</v>
      </c>
      <c r="C53" s="159">
        <f>(SUMIF($G$7:$G$88,B53,$I$7:$I$88)+SUMIF($Q$7:$Q$88,B53,$S$7:$S$88))</f>
        <v>9691917</v>
      </c>
      <c r="D53" s="160"/>
      <c r="E53" s="161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148</v>
      </c>
      <c r="C54" s="159">
        <f>(SUMIF($G$7:$G$88,B54,$I$7:$I$88)+SUMIF($Q$7:$Q$88,B54,$S$7:$S$88))</f>
        <v>0</v>
      </c>
      <c r="D54" s="160"/>
      <c r="E54" s="161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149</v>
      </c>
      <c r="C55" s="159">
        <f>(SUMIF($G$7:$G$88,B55,$I$7:$I$88)+SUMIF($Q$7:$Q$88,B55,$S$7:$S$88))</f>
        <v>0</v>
      </c>
      <c r="D55" s="160"/>
      <c r="E55" s="161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139</v>
      </c>
      <c r="C57" s="162" t="str">
        <f>IF(ABS(SUM(C52:E55))&lt;&gt;ABS(SUM(I89,S89)),"항목 추가해주세요","-")</f>
        <v>-</v>
      </c>
      <c r="D57" s="163"/>
      <c r="E57" s="164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4296609</v>
      </c>
      <c r="J89" s="7" t="s">
        <v>24</v>
      </c>
      <c r="K89" s="22" t="s">
        <v>34</v>
      </c>
      <c r="L89" s="21">
        <f>SUM(L7:L88)</f>
        <v>-5969814</v>
      </c>
      <c r="M89" s="7" t="s">
        <v>24</v>
      </c>
      <c r="N89" s="22" t="s">
        <v>34</v>
      </c>
      <c r="O89" s="21">
        <f>SUM(O7:O88)</f>
        <v>-1987155</v>
      </c>
      <c r="Q89" s="7" t="s">
        <v>24</v>
      </c>
      <c r="R89" s="17" t="s">
        <v>34</v>
      </c>
      <c r="S89" s="19">
        <f>SUM(S7:S88)</f>
        <v>5395308</v>
      </c>
      <c r="T89" s="7" t="s">
        <v>24</v>
      </c>
      <c r="U89" s="22" t="s">
        <v>34</v>
      </c>
      <c r="V89" s="21">
        <f>SUM(V7:V88)</f>
        <v>-1822584</v>
      </c>
      <c r="W89" s="7" t="s">
        <v>24</v>
      </c>
      <c r="X89" s="22" t="s">
        <v>34</v>
      </c>
      <c r="Y89" s="21">
        <f>SUM(Y7:Y88)</f>
        <v>26328521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-3660360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29901245</v>
      </c>
      <c r="T90" s="37"/>
      <c r="U90" s="37"/>
      <c r="V90" s="37"/>
      <c r="W90" s="37"/>
      <c r="X90" s="37"/>
      <c r="Y90" s="38"/>
    </row>
  </sheetData>
  <autoFilter ref="G6:Y44" xr:uid="{302EF69A-A684-47A9-A5C8-06F90E01165D}"/>
  <mergeCells count="43">
    <mergeCell ref="C44:E44"/>
    <mergeCell ref="C45:E45"/>
    <mergeCell ref="C46:E46"/>
    <mergeCell ref="C48:E48"/>
    <mergeCell ref="C39:E39"/>
    <mergeCell ref="C40:E40"/>
    <mergeCell ref="C41:E41"/>
    <mergeCell ref="C42:E42"/>
    <mergeCell ref="C43:E43"/>
    <mergeCell ref="C26:E26"/>
    <mergeCell ref="C27:E27"/>
    <mergeCell ref="C28:E28"/>
    <mergeCell ref="C29:E29"/>
    <mergeCell ref="C30:E30"/>
    <mergeCell ref="Q4:Y4"/>
    <mergeCell ref="C5:D5"/>
    <mergeCell ref="G5:I5"/>
    <mergeCell ref="J5:L5"/>
    <mergeCell ref="M5:O5"/>
    <mergeCell ref="Q5:S5"/>
    <mergeCell ref="T5:V5"/>
    <mergeCell ref="W5:Y5"/>
    <mergeCell ref="B2:C2"/>
    <mergeCell ref="C4:D4"/>
    <mergeCell ref="G4:O4"/>
    <mergeCell ref="B50:E50"/>
    <mergeCell ref="C51:E51"/>
    <mergeCell ref="C36:E36"/>
    <mergeCell ref="C37:E37"/>
    <mergeCell ref="C38:E38"/>
    <mergeCell ref="B25:E25"/>
    <mergeCell ref="C6:D6"/>
    <mergeCell ref="C7:D7"/>
    <mergeCell ref="C31:E31"/>
    <mergeCell ref="C32:E32"/>
    <mergeCell ref="C33:E33"/>
    <mergeCell ref="C34:E34"/>
    <mergeCell ref="C35:E35"/>
    <mergeCell ref="C52:E52"/>
    <mergeCell ref="C53:E53"/>
    <mergeCell ref="C54:E54"/>
    <mergeCell ref="C55:E55"/>
    <mergeCell ref="C57:E57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3075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3075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3F50D-F76E-4C27-B1A7-E071E6C63218}">
  <sheetPr codeName="Sheet10">
    <tabColor rgb="FFFFDDEE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1.5" bestFit="1" customWidth="1"/>
    <col min="10" max="10" width="11" bestFit="1" customWidth="1"/>
    <col min="11" max="11" width="29.625" bestFit="1" customWidth="1"/>
    <col min="12" max="12" width="11.5" bestFit="1" customWidth="1"/>
    <col min="13" max="13" width="11" bestFit="1" customWidth="1"/>
    <col min="14" max="14" width="17.25" bestFit="1" customWidth="1"/>
    <col min="15" max="15" width="11.5" bestFit="1" customWidth="1"/>
    <col min="16" max="16" width="2.375" customWidth="1"/>
    <col min="18" max="18" width="15.875" bestFit="1" customWidth="1"/>
    <col min="19" max="19" width="10.625" bestFit="1" customWidth="1"/>
    <col min="20" max="20" width="9.75" bestFit="1" customWidth="1"/>
    <col min="21" max="21" width="26.875" bestFit="1" customWidth="1"/>
    <col min="22" max="22" width="11.5" bestFit="1" customWidth="1"/>
    <col min="24" max="24" width="17.25" bestFit="1" customWidth="1"/>
    <col min="25" max="25" width="11.5" bestFit="1" customWidth="1"/>
  </cols>
  <sheetData>
    <row r="2" spans="2:25" ht="24.75" thickBot="1" x14ac:dyDescent="0.35">
      <c r="B2" s="169" t="s">
        <v>76</v>
      </c>
      <c r="C2" s="169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74">
        <v>10000000</v>
      </c>
      <c r="D4" s="174"/>
      <c r="G4" s="182" t="str">
        <f>설정!D4</f>
        <v>천세원</v>
      </c>
      <c r="H4" s="183"/>
      <c r="I4" s="183"/>
      <c r="J4" s="183"/>
      <c r="K4" s="183"/>
      <c r="L4" s="183"/>
      <c r="M4" s="183"/>
      <c r="N4" s="183"/>
      <c r="O4" s="184"/>
      <c r="Q4" s="179" t="str">
        <f>설정!D6</f>
        <v>하유진</v>
      </c>
      <c r="R4" s="180"/>
      <c r="S4" s="180"/>
      <c r="T4" s="180"/>
      <c r="U4" s="180"/>
      <c r="V4" s="180"/>
      <c r="W4" s="180"/>
      <c r="X4" s="180"/>
      <c r="Y4" s="181"/>
    </row>
    <row r="5" spans="2:25" x14ac:dyDescent="0.3">
      <c r="B5" s="2" t="s">
        <v>36</v>
      </c>
      <c r="C5" s="174">
        <f>I90+S90</f>
        <v>-12174686</v>
      </c>
      <c r="D5" s="174"/>
      <c r="G5" s="136" t="s">
        <v>27</v>
      </c>
      <c r="H5" s="168"/>
      <c r="I5" s="137"/>
      <c r="J5" s="134" t="s">
        <v>31</v>
      </c>
      <c r="K5" s="170"/>
      <c r="L5" s="135"/>
      <c r="M5" s="171" t="s">
        <v>32</v>
      </c>
      <c r="N5" s="172"/>
      <c r="O5" s="173"/>
      <c r="Q5" s="136" t="s">
        <v>27</v>
      </c>
      <c r="R5" s="168"/>
      <c r="S5" s="137"/>
      <c r="T5" s="134" t="s">
        <v>31</v>
      </c>
      <c r="U5" s="170"/>
      <c r="V5" s="135"/>
      <c r="W5" s="171" t="s">
        <v>32</v>
      </c>
      <c r="X5" s="172"/>
      <c r="Y5" s="173"/>
    </row>
    <row r="6" spans="2:25" x14ac:dyDescent="0.3">
      <c r="B6" s="2" t="s">
        <v>38</v>
      </c>
      <c r="C6" s="174">
        <f>C4-C5</f>
        <v>22174686</v>
      </c>
      <c r="D6" s="174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5">
        <f>(C5)/(C4)</f>
        <v>-1.2174685999999999</v>
      </c>
      <c r="D7" s="175"/>
      <c r="G7" s="6" t="s">
        <v>86</v>
      </c>
      <c r="H7" s="39" t="s">
        <v>306</v>
      </c>
      <c r="I7" s="28">
        <v>2755</v>
      </c>
      <c r="J7" s="6" t="s">
        <v>90</v>
      </c>
      <c r="K7" s="39" t="s">
        <v>98</v>
      </c>
      <c r="L7" s="28">
        <v>-160000</v>
      </c>
      <c r="M7" s="6" t="s">
        <v>101</v>
      </c>
      <c r="N7" s="39" t="s">
        <v>302</v>
      </c>
      <c r="O7" s="40">
        <v>-300000</v>
      </c>
      <c r="P7" s="5"/>
      <c r="Q7" s="6" t="s">
        <v>86</v>
      </c>
      <c r="R7" s="39" t="s">
        <v>232</v>
      </c>
      <c r="S7" s="28">
        <v>11</v>
      </c>
      <c r="T7" s="6" t="s">
        <v>103</v>
      </c>
      <c r="U7" s="39" t="s">
        <v>281</v>
      </c>
      <c r="V7" s="28">
        <v>-40500</v>
      </c>
      <c r="W7" s="6" t="s">
        <v>88</v>
      </c>
      <c r="X7" s="39" t="s">
        <v>231</v>
      </c>
      <c r="Y7" s="40">
        <v>1</v>
      </c>
    </row>
    <row r="8" spans="2:25" x14ac:dyDescent="0.3">
      <c r="G8" s="6" t="s">
        <v>86</v>
      </c>
      <c r="H8" s="39" t="s">
        <v>217</v>
      </c>
      <c r="I8" s="28">
        <v>0</v>
      </c>
      <c r="J8" s="6" t="s">
        <v>99</v>
      </c>
      <c r="K8" s="39" t="s">
        <v>297</v>
      </c>
      <c r="L8" s="28">
        <v>-12500</v>
      </c>
      <c r="M8" s="6" t="s">
        <v>101</v>
      </c>
      <c r="N8" s="39" t="s">
        <v>303</v>
      </c>
      <c r="O8" s="26">
        <v>68500</v>
      </c>
      <c r="P8" s="5"/>
      <c r="Q8" s="6" t="s">
        <v>86</v>
      </c>
      <c r="R8" s="39" t="s">
        <v>217</v>
      </c>
      <c r="S8" s="28">
        <v>0</v>
      </c>
      <c r="T8" s="6" t="s">
        <v>103</v>
      </c>
      <c r="U8" s="39" t="s">
        <v>281</v>
      </c>
      <c r="V8" s="28">
        <v>-39900</v>
      </c>
      <c r="W8" s="6" t="s">
        <v>101</v>
      </c>
      <c r="X8" s="39" t="s">
        <v>302</v>
      </c>
      <c r="Y8" s="26">
        <v>-300000</v>
      </c>
    </row>
    <row r="9" spans="2:25" x14ac:dyDescent="0.3">
      <c r="G9" s="6" t="s">
        <v>208</v>
      </c>
      <c r="H9" s="39" t="s">
        <v>209</v>
      </c>
      <c r="I9" s="28">
        <v>4233652</v>
      </c>
      <c r="J9" s="6" t="s">
        <v>99</v>
      </c>
      <c r="K9" s="39" t="s">
        <v>297</v>
      </c>
      <c r="L9" s="28">
        <v>-10000</v>
      </c>
      <c r="M9" s="6" t="s">
        <v>101</v>
      </c>
      <c r="N9" s="39" t="s">
        <v>304</v>
      </c>
      <c r="O9" s="26">
        <v>-70000</v>
      </c>
      <c r="P9" s="5"/>
      <c r="Q9" s="6" t="s">
        <v>86</v>
      </c>
      <c r="R9" s="39" t="s">
        <v>328</v>
      </c>
      <c r="S9" s="28">
        <v>1885</v>
      </c>
      <c r="T9" s="6" t="s">
        <v>103</v>
      </c>
      <c r="U9" s="39" t="s">
        <v>281</v>
      </c>
      <c r="V9" s="28">
        <v>40500</v>
      </c>
      <c r="W9" s="6" t="s">
        <v>116</v>
      </c>
      <c r="X9" s="39" t="s">
        <v>131</v>
      </c>
      <c r="Y9" s="26">
        <v>-40000</v>
      </c>
    </row>
    <row r="10" spans="2:25" x14ac:dyDescent="0.3">
      <c r="G10" s="6"/>
      <c r="H10" s="39"/>
      <c r="I10" s="28"/>
      <c r="J10" s="6" t="s">
        <v>94</v>
      </c>
      <c r="K10" s="39" t="s">
        <v>105</v>
      </c>
      <c r="L10" s="28">
        <v>-2500</v>
      </c>
      <c r="M10" s="6" t="s">
        <v>101</v>
      </c>
      <c r="N10" s="39" t="s">
        <v>261</v>
      </c>
      <c r="O10" s="26">
        <v>2500</v>
      </c>
      <c r="P10" s="5"/>
      <c r="Q10" s="6" t="s">
        <v>86</v>
      </c>
      <c r="R10" s="39" t="s">
        <v>328</v>
      </c>
      <c r="S10" s="28">
        <v>0</v>
      </c>
      <c r="T10" s="6" t="s">
        <v>111</v>
      </c>
      <c r="U10" s="39" t="s">
        <v>105</v>
      </c>
      <c r="V10" s="28">
        <v>-40000</v>
      </c>
      <c r="W10" s="6" t="s">
        <v>116</v>
      </c>
      <c r="X10" s="39" t="s">
        <v>280</v>
      </c>
      <c r="Y10" s="26">
        <v>40000</v>
      </c>
    </row>
    <row r="11" spans="2:25" x14ac:dyDescent="0.3">
      <c r="G11" s="6"/>
      <c r="H11" s="39"/>
      <c r="I11" s="28"/>
      <c r="J11" s="6" t="s">
        <v>93</v>
      </c>
      <c r="K11" s="39" t="s">
        <v>254</v>
      </c>
      <c r="L11" s="28">
        <v>-50000</v>
      </c>
      <c r="M11" s="6" t="s">
        <v>101</v>
      </c>
      <c r="N11" s="39" t="s">
        <v>264</v>
      </c>
      <c r="O11" s="26">
        <v>2500</v>
      </c>
      <c r="P11" s="5"/>
      <c r="Q11" s="6" t="s">
        <v>208</v>
      </c>
      <c r="R11" s="39" t="s">
        <v>209</v>
      </c>
      <c r="S11" s="28">
        <v>4058796</v>
      </c>
      <c r="T11" s="6" t="s">
        <v>103</v>
      </c>
      <c r="U11" s="39" t="s">
        <v>281</v>
      </c>
      <c r="V11" s="28">
        <v>39900</v>
      </c>
      <c r="W11" s="6" t="s">
        <v>116</v>
      </c>
      <c r="X11" s="39" t="s">
        <v>131</v>
      </c>
      <c r="Y11" s="26">
        <v>-40000</v>
      </c>
    </row>
    <row r="12" spans="2:25" x14ac:dyDescent="0.3">
      <c r="G12" s="6"/>
      <c r="H12" s="39"/>
      <c r="I12" s="28"/>
      <c r="J12" s="6" t="s">
        <v>94</v>
      </c>
      <c r="K12" s="39" t="s">
        <v>105</v>
      </c>
      <c r="L12" s="28">
        <v>-5000</v>
      </c>
      <c r="M12" s="6" t="s">
        <v>101</v>
      </c>
      <c r="N12" s="39" t="s">
        <v>265</v>
      </c>
      <c r="O12" s="26">
        <v>2500</v>
      </c>
      <c r="P12" s="5"/>
      <c r="Q12" s="6" t="s">
        <v>86</v>
      </c>
      <c r="R12" s="39" t="s">
        <v>232</v>
      </c>
      <c r="S12" s="28">
        <v>9</v>
      </c>
      <c r="T12" s="6" t="s">
        <v>91</v>
      </c>
      <c r="U12" s="39" t="s">
        <v>316</v>
      </c>
      <c r="V12" s="28">
        <v>-10000</v>
      </c>
      <c r="W12" s="6" t="s">
        <v>116</v>
      </c>
      <c r="X12" s="39" t="s">
        <v>280</v>
      </c>
      <c r="Y12" s="26">
        <v>40000</v>
      </c>
    </row>
    <row r="13" spans="2:25" x14ac:dyDescent="0.3">
      <c r="G13" s="6"/>
      <c r="H13" s="39"/>
      <c r="I13" s="28"/>
      <c r="J13" s="6" t="s">
        <v>94</v>
      </c>
      <c r="K13" s="39" t="s">
        <v>305</v>
      </c>
      <c r="L13" s="28">
        <v>-13500</v>
      </c>
      <c r="M13" s="6" t="s">
        <v>101</v>
      </c>
      <c r="N13" s="39" t="s">
        <v>263</v>
      </c>
      <c r="O13" s="26">
        <v>2500</v>
      </c>
      <c r="P13" s="5"/>
      <c r="Q13" s="6"/>
      <c r="R13" s="39"/>
      <c r="S13" s="28"/>
      <c r="T13" s="6" t="s">
        <v>91</v>
      </c>
      <c r="U13" s="39" t="s">
        <v>316</v>
      </c>
      <c r="V13" s="28">
        <v>-10000</v>
      </c>
      <c r="W13" s="6" t="s">
        <v>101</v>
      </c>
      <c r="X13" s="39" t="s">
        <v>314</v>
      </c>
      <c r="Y13" s="26">
        <v>40000</v>
      </c>
    </row>
    <row r="14" spans="2:25" x14ac:dyDescent="0.3">
      <c r="G14" s="6"/>
      <c r="H14" s="39"/>
      <c r="I14" s="28"/>
      <c r="J14" s="6" t="s">
        <v>90</v>
      </c>
      <c r="K14" s="39" t="s">
        <v>130</v>
      </c>
      <c r="L14" s="28">
        <v>-500000</v>
      </c>
      <c r="M14" s="6" t="s">
        <v>101</v>
      </c>
      <c r="N14" s="39" t="s">
        <v>263</v>
      </c>
      <c r="O14" s="26">
        <v>2500</v>
      </c>
      <c r="P14" s="5"/>
      <c r="Q14" s="6"/>
      <c r="R14" s="39"/>
      <c r="S14" s="28"/>
      <c r="T14" s="6" t="s">
        <v>91</v>
      </c>
      <c r="U14" s="39" t="s">
        <v>316</v>
      </c>
      <c r="V14" s="28">
        <v>10000</v>
      </c>
      <c r="W14" s="6" t="s">
        <v>116</v>
      </c>
      <c r="X14" s="39" t="s">
        <v>228</v>
      </c>
      <c r="Y14" s="26">
        <v>-10000000</v>
      </c>
    </row>
    <row r="15" spans="2:25" x14ac:dyDescent="0.3">
      <c r="G15" s="6"/>
      <c r="H15" s="39"/>
      <c r="I15" s="28"/>
      <c r="J15" s="6" t="s">
        <v>90</v>
      </c>
      <c r="K15" s="39" t="s">
        <v>130</v>
      </c>
      <c r="L15" s="28">
        <v>-1500000</v>
      </c>
      <c r="M15" s="6" t="s">
        <v>101</v>
      </c>
      <c r="N15" s="39" t="s">
        <v>261</v>
      </c>
      <c r="O15" s="26">
        <v>2500</v>
      </c>
      <c r="P15" s="5"/>
      <c r="Q15" s="6"/>
      <c r="R15" s="39"/>
      <c r="S15" s="28"/>
      <c r="T15" s="6" t="s">
        <v>111</v>
      </c>
      <c r="U15" s="39" t="s">
        <v>105</v>
      </c>
      <c r="V15" s="28">
        <v>-2500</v>
      </c>
      <c r="W15" s="6" t="s">
        <v>107</v>
      </c>
      <c r="X15" s="39" t="s">
        <v>315</v>
      </c>
      <c r="Y15" s="26">
        <v>-524572</v>
      </c>
    </row>
    <row r="16" spans="2:25" x14ac:dyDescent="0.3">
      <c r="G16" s="6"/>
      <c r="H16" s="39"/>
      <c r="I16" s="28"/>
      <c r="J16" s="6" t="s">
        <v>96</v>
      </c>
      <c r="K16" s="39" t="s">
        <v>132</v>
      </c>
      <c r="L16" s="28">
        <v>-500000</v>
      </c>
      <c r="M16" s="6" t="s">
        <v>88</v>
      </c>
      <c r="N16" s="39" t="s">
        <v>212</v>
      </c>
      <c r="O16" s="26">
        <v>267000</v>
      </c>
      <c r="P16" s="5"/>
      <c r="Q16" s="6"/>
      <c r="R16" s="39"/>
      <c r="S16" s="28"/>
      <c r="T16" s="6" t="s">
        <v>111</v>
      </c>
      <c r="U16" s="39" t="s">
        <v>279</v>
      </c>
      <c r="V16" s="28">
        <v>-13400</v>
      </c>
      <c r="W16" s="6" t="s">
        <v>107</v>
      </c>
      <c r="X16" s="39" t="s">
        <v>115</v>
      </c>
      <c r="Y16" s="26">
        <v>-747480</v>
      </c>
    </row>
    <row r="17" spans="2:25" x14ac:dyDescent="0.3">
      <c r="G17" s="6"/>
      <c r="H17" s="39"/>
      <c r="I17" s="28"/>
      <c r="J17" s="6" t="s">
        <v>90</v>
      </c>
      <c r="K17" s="39" t="s">
        <v>307</v>
      </c>
      <c r="L17" s="28">
        <v>-30900</v>
      </c>
      <c r="M17" s="6" t="s">
        <v>116</v>
      </c>
      <c r="N17" s="39" t="s">
        <v>225</v>
      </c>
      <c r="O17" s="26">
        <v>0</v>
      </c>
      <c r="P17" s="5"/>
      <c r="Q17" s="6"/>
      <c r="R17" s="39"/>
      <c r="S17" s="28"/>
      <c r="T17" s="6" t="s">
        <v>99</v>
      </c>
      <c r="U17" s="39" t="s">
        <v>317</v>
      </c>
      <c r="V17" s="28">
        <v>61000</v>
      </c>
      <c r="W17" s="6" t="s">
        <v>57</v>
      </c>
      <c r="X17" s="39" t="s">
        <v>318</v>
      </c>
      <c r="Y17" s="26">
        <v>61000</v>
      </c>
    </row>
    <row r="18" spans="2:25" x14ac:dyDescent="0.3">
      <c r="G18" s="6"/>
      <c r="H18" s="39"/>
      <c r="I18" s="28"/>
      <c r="J18" s="6" t="s">
        <v>94</v>
      </c>
      <c r="K18" s="39" t="s">
        <v>105</v>
      </c>
      <c r="L18" s="28">
        <v>-2500</v>
      </c>
      <c r="M18" s="6" t="s">
        <v>116</v>
      </c>
      <c r="N18" s="39" t="s">
        <v>225</v>
      </c>
      <c r="O18" s="26">
        <v>0</v>
      </c>
      <c r="P18" s="5"/>
      <c r="Q18" s="6"/>
      <c r="R18" s="39"/>
      <c r="S18" s="28"/>
      <c r="T18" s="6" t="s">
        <v>111</v>
      </c>
      <c r="U18" s="39" t="s">
        <v>105</v>
      </c>
      <c r="V18" s="28">
        <v>-5000</v>
      </c>
      <c r="W18" s="6" t="s">
        <v>116</v>
      </c>
      <c r="X18" s="39" t="s">
        <v>320</v>
      </c>
      <c r="Y18" s="26">
        <v>-50000</v>
      </c>
    </row>
    <row r="19" spans="2:25" x14ac:dyDescent="0.3">
      <c r="G19" s="6"/>
      <c r="H19" s="39"/>
      <c r="I19" s="28"/>
      <c r="J19" s="6" t="s">
        <v>90</v>
      </c>
      <c r="K19" s="39" t="s">
        <v>98</v>
      </c>
      <c r="L19" s="28">
        <v>-80000</v>
      </c>
      <c r="M19" s="6" t="s">
        <v>213</v>
      </c>
      <c r="N19" s="39" t="s">
        <v>310</v>
      </c>
      <c r="O19" s="26">
        <v>-500000</v>
      </c>
      <c r="P19" s="5"/>
      <c r="Q19" s="6"/>
      <c r="R19" s="39"/>
      <c r="S19" s="28"/>
      <c r="T19" s="6" t="s">
        <v>93</v>
      </c>
      <c r="U19" s="39" t="s">
        <v>319</v>
      </c>
      <c r="V19" s="28">
        <v>-82390</v>
      </c>
      <c r="W19" s="6" t="s">
        <v>116</v>
      </c>
      <c r="X19" s="39" t="s">
        <v>225</v>
      </c>
      <c r="Y19" s="26">
        <v>4</v>
      </c>
    </row>
    <row r="20" spans="2:25" x14ac:dyDescent="0.3">
      <c r="G20" s="6"/>
      <c r="H20" s="39"/>
      <c r="I20" s="28"/>
      <c r="J20" s="6" t="s">
        <v>94</v>
      </c>
      <c r="K20" s="39" t="s">
        <v>105</v>
      </c>
      <c r="L20" s="28">
        <v>-2500</v>
      </c>
      <c r="M20" s="6" t="s">
        <v>213</v>
      </c>
      <c r="N20" s="39" t="s">
        <v>225</v>
      </c>
      <c r="O20" s="26">
        <v>500000</v>
      </c>
      <c r="P20" s="5"/>
      <c r="Q20" s="6"/>
      <c r="R20" s="39"/>
      <c r="S20" s="28"/>
      <c r="T20" s="6" t="s">
        <v>111</v>
      </c>
      <c r="U20" s="39" t="s">
        <v>279</v>
      </c>
      <c r="V20" s="28">
        <v>-35000</v>
      </c>
      <c r="W20" s="6" t="s">
        <v>88</v>
      </c>
      <c r="X20" s="39" t="s">
        <v>306</v>
      </c>
      <c r="Y20" s="26">
        <v>0</v>
      </c>
    </row>
    <row r="21" spans="2:25" x14ac:dyDescent="0.3">
      <c r="G21" s="6"/>
      <c r="H21" s="39"/>
      <c r="I21" s="28"/>
      <c r="J21" s="6" t="s">
        <v>89</v>
      </c>
      <c r="K21" s="39" t="s">
        <v>308</v>
      </c>
      <c r="L21" s="28">
        <v>-16500</v>
      </c>
      <c r="M21" s="6" t="s">
        <v>107</v>
      </c>
      <c r="N21" s="39" t="s">
        <v>110</v>
      </c>
      <c r="O21" s="26">
        <v>-2410000</v>
      </c>
      <c r="P21" s="5"/>
      <c r="Q21" s="6"/>
      <c r="R21" s="39"/>
      <c r="S21" s="28"/>
      <c r="T21" s="6" t="s">
        <v>99</v>
      </c>
      <c r="U21" s="39" t="s">
        <v>321</v>
      </c>
      <c r="V21" s="28">
        <v>-17000</v>
      </c>
      <c r="W21" s="6" t="s">
        <v>101</v>
      </c>
      <c r="X21" s="39" t="s">
        <v>327</v>
      </c>
      <c r="Y21" s="26">
        <v>1</v>
      </c>
    </row>
    <row r="22" spans="2:25" x14ac:dyDescent="0.3">
      <c r="G22" s="6"/>
      <c r="H22" s="39"/>
      <c r="I22" s="28"/>
      <c r="J22" s="6" t="s">
        <v>94</v>
      </c>
      <c r="K22" s="39" t="s">
        <v>105</v>
      </c>
      <c r="L22" s="28">
        <v>-2500</v>
      </c>
      <c r="M22" s="6" t="s">
        <v>213</v>
      </c>
      <c r="N22" s="39" t="s">
        <v>311</v>
      </c>
      <c r="O22" s="26">
        <v>-100000</v>
      </c>
      <c r="P22" s="5"/>
      <c r="Q22" s="6"/>
      <c r="R22" s="39"/>
      <c r="S22" s="28"/>
      <c r="T22" s="6" t="s">
        <v>111</v>
      </c>
      <c r="U22" s="39" t="s">
        <v>279</v>
      </c>
      <c r="V22" s="28">
        <v>-12892</v>
      </c>
      <c r="W22" s="6" t="s">
        <v>116</v>
      </c>
      <c r="X22" s="39" t="s">
        <v>329</v>
      </c>
      <c r="Y22" s="26">
        <v>-720</v>
      </c>
    </row>
    <row r="23" spans="2:25" x14ac:dyDescent="0.3">
      <c r="G23" s="6"/>
      <c r="H23" s="39"/>
      <c r="I23" s="28"/>
      <c r="J23" s="6" t="s">
        <v>93</v>
      </c>
      <c r="K23" s="39" t="s">
        <v>309</v>
      </c>
      <c r="L23" s="28">
        <v>-35950</v>
      </c>
      <c r="M23" s="6" t="s">
        <v>213</v>
      </c>
      <c r="N23" s="39" t="s">
        <v>225</v>
      </c>
      <c r="O23" s="26">
        <v>100000</v>
      </c>
      <c r="P23" s="5"/>
      <c r="Q23" s="6"/>
      <c r="R23" s="39"/>
      <c r="S23" s="28"/>
      <c r="T23" s="6" t="s">
        <v>111</v>
      </c>
      <c r="U23" s="39" t="s">
        <v>279</v>
      </c>
      <c r="V23" s="28">
        <v>-49108</v>
      </c>
      <c r="W23" s="6" t="s">
        <v>116</v>
      </c>
      <c r="X23" s="39" t="s">
        <v>225</v>
      </c>
      <c r="Y23" s="26">
        <v>5206</v>
      </c>
    </row>
    <row r="24" spans="2:25" x14ac:dyDescent="0.3">
      <c r="G24" s="6"/>
      <c r="H24" s="39"/>
      <c r="I24" s="28"/>
      <c r="J24" s="6" t="s">
        <v>92</v>
      </c>
      <c r="K24" s="39" t="s">
        <v>203</v>
      </c>
      <c r="L24" s="28">
        <v>-40490</v>
      </c>
      <c r="M24" s="6" t="s">
        <v>213</v>
      </c>
      <c r="N24" s="39" t="s">
        <v>214</v>
      </c>
      <c r="O24" s="26">
        <v>-1500000</v>
      </c>
      <c r="P24" s="5"/>
      <c r="Q24" s="6"/>
      <c r="R24" s="39"/>
      <c r="S24" s="28"/>
      <c r="T24" s="6" t="s">
        <v>111</v>
      </c>
      <c r="U24" s="39" t="s">
        <v>279</v>
      </c>
      <c r="V24" s="28">
        <v>-31400</v>
      </c>
      <c r="W24" s="6" t="s">
        <v>116</v>
      </c>
      <c r="X24" s="39" t="s">
        <v>329</v>
      </c>
      <c r="Y24" s="26">
        <v>-70</v>
      </c>
    </row>
    <row r="25" spans="2:25" x14ac:dyDescent="0.3">
      <c r="B25" s="134" t="s">
        <v>143</v>
      </c>
      <c r="C25" s="170"/>
      <c r="D25" s="170"/>
      <c r="E25" s="135"/>
      <c r="G25" s="6"/>
      <c r="H25" s="39"/>
      <c r="I25" s="28"/>
      <c r="J25" s="6" t="s">
        <v>94</v>
      </c>
      <c r="K25" s="39" t="s">
        <v>105</v>
      </c>
      <c r="L25" s="28">
        <v>-14500</v>
      </c>
      <c r="M25" s="6" t="s">
        <v>101</v>
      </c>
      <c r="N25" s="39" t="s">
        <v>312</v>
      </c>
      <c r="O25" s="26">
        <v>-63500</v>
      </c>
      <c r="P25" s="5"/>
      <c r="Q25" s="6"/>
      <c r="R25" s="39"/>
      <c r="S25" s="28"/>
      <c r="T25" s="6" t="s">
        <v>111</v>
      </c>
      <c r="U25" s="39" t="s">
        <v>105</v>
      </c>
      <c r="V25" s="28">
        <v>-24600</v>
      </c>
      <c r="W25" s="6" t="s">
        <v>116</v>
      </c>
      <c r="X25" s="39" t="s">
        <v>333</v>
      </c>
      <c r="Y25" s="26">
        <v>300000</v>
      </c>
    </row>
    <row r="26" spans="2:25" x14ac:dyDescent="0.3">
      <c r="B26" s="48" t="s">
        <v>28</v>
      </c>
      <c r="C26" s="165" t="s">
        <v>30</v>
      </c>
      <c r="D26" s="166"/>
      <c r="E26" s="167"/>
      <c r="G26" s="6"/>
      <c r="H26" s="39"/>
      <c r="I26" s="28"/>
      <c r="J26" s="6" t="s">
        <v>99</v>
      </c>
      <c r="K26" s="39" t="s">
        <v>297</v>
      </c>
      <c r="L26" s="28">
        <v>-5000</v>
      </c>
      <c r="M26" s="6" t="s">
        <v>213</v>
      </c>
      <c r="N26" s="39" t="s">
        <v>227</v>
      </c>
      <c r="O26" s="26">
        <v>-100000</v>
      </c>
      <c r="P26" s="5"/>
      <c r="Q26" s="6"/>
      <c r="R26" s="39"/>
      <c r="S26" s="28"/>
      <c r="T26" s="6" t="s">
        <v>111</v>
      </c>
      <c r="U26" s="39" t="s">
        <v>105</v>
      </c>
      <c r="V26" s="28">
        <v>-2500</v>
      </c>
      <c r="W26" s="6" t="s">
        <v>101</v>
      </c>
      <c r="X26" s="39" t="s">
        <v>337</v>
      </c>
      <c r="Y26" s="26">
        <v>14750</v>
      </c>
    </row>
    <row r="27" spans="2:25" x14ac:dyDescent="0.3">
      <c r="B27" s="48" t="s">
        <v>89</v>
      </c>
      <c r="C27" s="159">
        <f t="shared" ref="C27:C46" si="0">-(SUMIF($J$7:$J$88,B27,$L$7:$L$88)+SUMIF($T$7:$T$88,B27,$V$7:$V$88))</f>
        <v>52620</v>
      </c>
      <c r="D27" s="160"/>
      <c r="E27" s="161"/>
      <c r="G27" s="6"/>
      <c r="H27" s="39"/>
      <c r="I27" s="28"/>
      <c r="J27" s="6" t="s">
        <v>89</v>
      </c>
      <c r="K27" s="39" t="s">
        <v>223</v>
      </c>
      <c r="L27" s="28">
        <v>-36120</v>
      </c>
      <c r="M27" s="6"/>
      <c r="N27" s="39"/>
      <c r="O27" s="26"/>
      <c r="P27" s="5"/>
      <c r="Q27" s="6"/>
      <c r="R27" s="39"/>
      <c r="S27" s="28"/>
      <c r="T27" s="6" t="s">
        <v>90</v>
      </c>
      <c r="U27" s="39" t="s">
        <v>322</v>
      </c>
      <c r="V27" s="28">
        <v>-4880</v>
      </c>
      <c r="W27" s="6" t="s">
        <v>101</v>
      </c>
      <c r="X27" s="39" t="s">
        <v>264</v>
      </c>
      <c r="Y27" s="26">
        <v>14750</v>
      </c>
    </row>
    <row r="28" spans="2:25" x14ac:dyDescent="0.3">
      <c r="B28" s="49" t="s">
        <v>90</v>
      </c>
      <c r="C28" s="159">
        <f t="shared" si="0"/>
        <v>2913825</v>
      </c>
      <c r="D28" s="160"/>
      <c r="E28" s="161"/>
      <c r="G28" s="6"/>
      <c r="H28" s="39"/>
      <c r="I28" s="28"/>
      <c r="J28" s="6" t="s">
        <v>94</v>
      </c>
      <c r="K28" s="39" t="s">
        <v>105</v>
      </c>
      <c r="L28" s="28">
        <v>-1200</v>
      </c>
      <c r="M28" s="6"/>
      <c r="N28" s="39"/>
      <c r="O28" s="26"/>
      <c r="P28" s="5"/>
      <c r="Q28" s="6"/>
      <c r="R28" s="39"/>
      <c r="S28" s="28"/>
      <c r="T28" s="6" t="s">
        <v>91</v>
      </c>
      <c r="U28" s="39" t="s">
        <v>119</v>
      </c>
      <c r="V28" s="28">
        <v>-120000</v>
      </c>
      <c r="W28" s="6" t="s">
        <v>101</v>
      </c>
      <c r="X28" s="39" t="s">
        <v>338</v>
      </c>
      <c r="Y28" s="26">
        <v>14750</v>
      </c>
    </row>
    <row r="29" spans="2:25" x14ac:dyDescent="0.3">
      <c r="B29" s="49" t="s">
        <v>94</v>
      </c>
      <c r="C29" s="159">
        <f t="shared" si="0"/>
        <v>163950</v>
      </c>
      <c r="D29" s="160"/>
      <c r="E29" s="161"/>
      <c r="G29" s="6"/>
      <c r="H29" s="39"/>
      <c r="I29" s="28"/>
      <c r="J29" s="6" t="s">
        <v>90</v>
      </c>
      <c r="K29" s="39" t="s">
        <v>313</v>
      </c>
      <c r="L29" s="28">
        <v>-300000</v>
      </c>
      <c r="M29" s="6"/>
      <c r="N29" s="39"/>
      <c r="O29" s="26"/>
      <c r="P29" s="5"/>
      <c r="Q29" s="6"/>
      <c r="R29" s="39"/>
      <c r="S29" s="28"/>
      <c r="T29" s="6" t="s">
        <v>102</v>
      </c>
      <c r="U29" s="39" t="s">
        <v>323</v>
      </c>
      <c r="V29" s="28">
        <v>-805</v>
      </c>
      <c r="W29" s="6" t="s">
        <v>88</v>
      </c>
      <c r="X29" s="39" t="s">
        <v>231</v>
      </c>
      <c r="Y29" s="26">
        <v>1</v>
      </c>
    </row>
    <row r="30" spans="2:25" x14ac:dyDescent="0.3">
      <c r="B30" s="49" t="s">
        <v>92</v>
      </c>
      <c r="C30" s="159">
        <f t="shared" si="0"/>
        <v>387740</v>
      </c>
      <c r="D30" s="160"/>
      <c r="E30" s="161"/>
      <c r="G30" s="6"/>
      <c r="H30" s="39"/>
      <c r="I30" s="28"/>
      <c r="J30" s="6" t="s">
        <v>94</v>
      </c>
      <c r="K30" s="39" t="s">
        <v>105</v>
      </c>
      <c r="L30" s="28">
        <v>-2500</v>
      </c>
      <c r="M30" s="6"/>
      <c r="N30" s="39"/>
      <c r="O30" s="26"/>
      <c r="P30" s="5"/>
      <c r="Q30" s="6"/>
      <c r="R30" s="39"/>
      <c r="S30" s="28"/>
      <c r="T30" s="6" t="s">
        <v>102</v>
      </c>
      <c r="U30" s="39" t="s">
        <v>323</v>
      </c>
      <c r="V30" s="28">
        <v>-2203</v>
      </c>
      <c r="W30" s="6" t="s">
        <v>101</v>
      </c>
      <c r="X30" s="39" t="s">
        <v>338</v>
      </c>
      <c r="Y30" s="26">
        <v>100000</v>
      </c>
    </row>
    <row r="31" spans="2:25" x14ac:dyDescent="0.3">
      <c r="B31" s="49" t="s">
        <v>96</v>
      </c>
      <c r="C31" s="159">
        <f t="shared" si="0"/>
        <v>500000</v>
      </c>
      <c r="D31" s="160"/>
      <c r="E31" s="161"/>
      <c r="G31" s="6"/>
      <c r="H31" s="39"/>
      <c r="I31" s="28"/>
      <c r="J31" s="6" t="s">
        <v>94</v>
      </c>
      <c r="K31" s="39" t="s">
        <v>105</v>
      </c>
      <c r="L31" s="28">
        <v>-14750</v>
      </c>
      <c r="M31" s="6"/>
      <c r="N31" s="39"/>
      <c r="O31" s="26"/>
      <c r="P31" s="5"/>
      <c r="Q31" s="6"/>
      <c r="R31" s="39"/>
      <c r="S31" s="28"/>
      <c r="T31" s="6" t="s">
        <v>102</v>
      </c>
      <c r="U31" s="39" t="s">
        <v>323</v>
      </c>
      <c r="V31" s="28">
        <v>-7892</v>
      </c>
      <c r="W31" s="6"/>
      <c r="X31" s="39"/>
      <c r="Y31" s="26"/>
    </row>
    <row r="32" spans="2:25" x14ac:dyDescent="0.3">
      <c r="B32" s="49" t="s">
        <v>93</v>
      </c>
      <c r="C32" s="159">
        <f t="shared" si="0"/>
        <v>168340</v>
      </c>
      <c r="D32" s="160"/>
      <c r="E32" s="161"/>
      <c r="G32" s="6"/>
      <c r="H32" s="39"/>
      <c r="I32" s="28"/>
      <c r="J32" s="6" t="s">
        <v>94</v>
      </c>
      <c r="K32" s="39" t="s">
        <v>105</v>
      </c>
      <c r="L32" s="28">
        <v>-100000</v>
      </c>
      <c r="M32" s="6"/>
      <c r="N32" s="39"/>
      <c r="O32" s="26"/>
      <c r="P32" s="5"/>
      <c r="Q32" s="6"/>
      <c r="R32" s="39"/>
      <c r="S32" s="28"/>
      <c r="T32" s="6" t="s">
        <v>90</v>
      </c>
      <c r="U32" s="39" t="s">
        <v>324</v>
      </c>
      <c r="V32" s="28">
        <v>-30000</v>
      </c>
      <c r="W32" s="6"/>
      <c r="X32" s="39"/>
      <c r="Y32" s="26"/>
    </row>
    <row r="33" spans="2:25" x14ac:dyDescent="0.3">
      <c r="B33" s="49" t="s">
        <v>103</v>
      </c>
      <c r="C33" s="159">
        <f t="shared" si="0"/>
        <v>12000</v>
      </c>
      <c r="D33" s="160"/>
      <c r="E33" s="161"/>
      <c r="G33" s="6"/>
      <c r="H33" s="39"/>
      <c r="I33" s="28"/>
      <c r="J33" s="6" t="s">
        <v>94</v>
      </c>
      <c r="K33" s="39" t="s">
        <v>105</v>
      </c>
      <c r="L33" s="28">
        <v>-2500</v>
      </c>
      <c r="M33" s="6"/>
      <c r="N33" s="39"/>
      <c r="O33" s="26"/>
      <c r="P33" s="5"/>
      <c r="Q33" s="6"/>
      <c r="R33" s="39"/>
      <c r="S33" s="28"/>
      <c r="T33" s="6" t="s">
        <v>99</v>
      </c>
      <c r="U33" s="39" t="s">
        <v>325</v>
      </c>
      <c r="V33" s="28">
        <v>-2500</v>
      </c>
      <c r="W33" s="6"/>
      <c r="X33" s="39"/>
      <c r="Y33" s="26"/>
    </row>
    <row r="34" spans="2:25" x14ac:dyDescent="0.3">
      <c r="B34" s="49" t="s">
        <v>99</v>
      </c>
      <c r="C34" s="159">
        <f t="shared" si="0"/>
        <v>-4000</v>
      </c>
      <c r="D34" s="160"/>
      <c r="E34" s="161"/>
      <c r="G34" s="6"/>
      <c r="H34" s="39"/>
      <c r="I34" s="28"/>
      <c r="J34" s="6"/>
      <c r="K34" s="39"/>
      <c r="L34" s="28"/>
      <c r="M34" s="6"/>
      <c r="N34" s="39"/>
      <c r="O34" s="26"/>
      <c r="P34" s="5"/>
      <c r="Q34" s="6"/>
      <c r="R34" s="39"/>
      <c r="S34" s="28"/>
      <c r="T34" s="6" t="s">
        <v>91</v>
      </c>
      <c r="U34" s="39" t="s">
        <v>326</v>
      </c>
      <c r="V34" s="28">
        <v>-16157</v>
      </c>
      <c r="W34" s="6"/>
      <c r="X34" s="39"/>
      <c r="Y34" s="26"/>
    </row>
    <row r="35" spans="2:25" x14ac:dyDescent="0.3">
      <c r="B35" s="49" t="s">
        <v>120</v>
      </c>
      <c r="C35" s="159">
        <f t="shared" si="0"/>
        <v>0</v>
      </c>
      <c r="D35" s="160"/>
      <c r="E35" s="161"/>
      <c r="G35" s="6"/>
      <c r="H35" s="39"/>
      <c r="I35" s="28"/>
      <c r="J35" s="6"/>
      <c r="K35" s="39"/>
      <c r="L35" s="28"/>
      <c r="M35" s="6"/>
      <c r="N35" s="39"/>
      <c r="O35" s="26"/>
      <c r="P35" s="5"/>
      <c r="Q35" s="6"/>
      <c r="R35" s="39"/>
      <c r="S35" s="28"/>
      <c r="T35" s="6" t="s">
        <v>92</v>
      </c>
      <c r="U35" s="39" t="s">
        <v>203</v>
      </c>
      <c r="V35" s="28">
        <v>-28500</v>
      </c>
      <c r="W35" s="6"/>
      <c r="X35" s="39"/>
      <c r="Y35" s="26"/>
    </row>
    <row r="36" spans="2:25" x14ac:dyDescent="0.3">
      <c r="B36" s="49" t="s">
        <v>91</v>
      </c>
      <c r="C36" s="159">
        <f t="shared" si="0"/>
        <v>154630</v>
      </c>
      <c r="D36" s="160"/>
      <c r="E36" s="161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 t="s">
        <v>111</v>
      </c>
      <c r="U36" s="39" t="s">
        <v>105</v>
      </c>
      <c r="V36" s="28">
        <v>-14500</v>
      </c>
      <c r="W36" s="6"/>
      <c r="X36" s="39"/>
      <c r="Y36" s="26"/>
    </row>
    <row r="37" spans="2:25" x14ac:dyDescent="0.3">
      <c r="B37" s="49" t="s">
        <v>102</v>
      </c>
      <c r="C37" s="159">
        <f t="shared" si="0"/>
        <v>305900</v>
      </c>
      <c r="D37" s="160"/>
      <c r="E37" s="161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 t="s">
        <v>90</v>
      </c>
      <c r="U37" s="39" t="s">
        <v>330</v>
      </c>
      <c r="V37" s="28">
        <v>-45940</v>
      </c>
      <c r="W37" s="6"/>
      <c r="X37" s="39"/>
      <c r="Y37" s="26"/>
    </row>
    <row r="38" spans="2:25" x14ac:dyDescent="0.3">
      <c r="B38" s="49" t="s">
        <v>118</v>
      </c>
      <c r="C38" s="159">
        <f t="shared" si="0"/>
        <v>0</v>
      </c>
      <c r="D38" s="160"/>
      <c r="E38" s="161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 t="s">
        <v>111</v>
      </c>
      <c r="U38" s="39" t="s">
        <v>331</v>
      </c>
      <c r="V38" s="28">
        <v>-3400</v>
      </c>
      <c r="W38" s="6"/>
      <c r="X38" s="39"/>
      <c r="Y38" s="26"/>
    </row>
    <row r="39" spans="2:25" x14ac:dyDescent="0.3">
      <c r="B39" s="49" t="s">
        <v>108</v>
      </c>
      <c r="C39" s="159">
        <f t="shared" si="0"/>
        <v>0</v>
      </c>
      <c r="D39" s="160"/>
      <c r="E39" s="161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 t="s">
        <v>91</v>
      </c>
      <c r="U39" s="39" t="s">
        <v>97</v>
      </c>
      <c r="V39" s="28">
        <v>-990</v>
      </c>
      <c r="W39" s="6"/>
      <c r="X39" s="39"/>
      <c r="Y39" s="26"/>
    </row>
    <row r="40" spans="2:25" x14ac:dyDescent="0.3">
      <c r="B40" s="49" t="s">
        <v>129</v>
      </c>
      <c r="C40" s="159">
        <f t="shared" si="0"/>
        <v>0</v>
      </c>
      <c r="D40" s="160"/>
      <c r="E40" s="161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 t="s">
        <v>111</v>
      </c>
      <c r="U40" s="39" t="s">
        <v>113</v>
      </c>
      <c r="V40" s="28">
        <v>-1800</v>
      </c>
      <c r="W40" s="6"/>
      <c r="X40" s="39"/>
      <c r="Y40" s="26"/>
    </row>
    <row r="41" spans="2:25" x14ac:dyDescent="0.3">
      <c r="B41" s="49" t="s">
        <v>100</v>
      </c>
      <c r="C41" s="159">
        <f t="shared" si="0"/>
        <v>0</v>
      </c>
      <c r="D41" s="160"/>
      <c r="E41" s="161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 t="s">
        <v>111</v>
      </c>
      <c r="U41" s="39" t="s">
        <v>332</v>
      </c>
      <c r="V41" s="28">
        <v>-24000</v>
      </c>
      <c r="W41" s="6"/>
      <c r="X41" s="39"/>
      <c r="Y41" s="26"/>
    </row>
    <row r="42" spans="2:25" x14ac:dyDescent="0.3">
      <c r="B42" s="49" t="s">
        <v>123</v>
      </c>
      <c r="C42" s="159">
        <f t="shared" si="0"/>
        <v>0</v>
      </c>
      <c r="D42" s="160"/>
      <c r="E42" s="161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 t="s">
        <v>92</v>
      </c>
      <c r="U42" s="39" t="s">
        <v>299</v>
      </c>
      <c r="V42" s="28">
        <v>-318750</v>
      </c>
      <c r="W42" s="6"/>
      <c r="X42" s="39"/>
      <c r="Y42" s="26"/>
    </row>
    <row r="43" spans="2:25" x14ac:dyDescent="0.3">
      <c r="B43" s="49" t="s">
        <v>111</v>
      </c>
      <c r="C43" s="159">
        <f t="shared" si="0"/>
        <v>602110</v>
      </c>
      <c r="D43" s="160"/>
      <c r="E43" s="161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 t="s">
        <v>102</v>
      </c>
      <c r="U43" s="39">
        <v>61610304323291</v>
      </c>
      <c r="V43" s="28">
        <v>-295000</v>
      </c>
      <c r="W43" s="6"/>
      <c r="X43" s="39"/>
      <c r="Y43" s="26"/>
    </row>
    <row r="44" spans="2:25" x14ac:dyDescent="0.3">
      <c r="B44" s="49" t="s">
        <v>116</v>
      </c>
      <c r="C44" s="159">
        <f t="shared" si="0"/>
        <v>0</v>
      </c>
      <c r="D44" s="160"/>
      <c r="E44" s="161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 t="s">
        <v>90</v>
      </c>
      <c r="U44" s="39" t="s">
        <v>236</v>
      </c>
      <c r="V44" s="28">
        <v>-102105</v>
      </c>
      <c r="W44" s="6"/>
      <c r="X44" s="39"/>
      <c r="Y44" s="26"/>
    </row>
    <row r="45" spans="2:25" x14ac:dyDescent="0.3">
      <c r="B45" s="49" t="s">
        <v>112</v>
      </c>
      <c r="C45" s="159">
        <f t="shared" si="0"/>
        <v>49300</v>
      </c>
      <c r="D45" s="160"/>
      <c r="E45" s="161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 t="s">
        <v>112</v>
      </c>
      <c r="U45" s="39" t="s">
        <v>334</v>
      </c>
      <c r="V45" s="28">
        <v>-3002</v>
      </c>
      <c r="W45" s="6"/>
      <c r="X45" s="39"/>
      <c r="Y45" s="26"/>
    </row>
    <row r="46" spans="2:25" x14ac:dyDescent="0.3">
      <c r="B46" s="50" t="s">
        <v>126</v>
      </c>
      <c r="C46" s="159">
        <f t="shared" si="0"/>
        <v>0</v>
      </c>
      <c r="D46" s="160"/>
      <c r="E46" s="161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 t="s">
        <v>112</v>
      </c>
      <c r="U46" s="39" t="s">
        <v>334</v>
      </c>
      <c r="V46" s="28">
        <v>-46298</v>
      </c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 t="s">
        <v>111</v>
      </c>
      <c r="U47" s="39" t="s">
        <v>335</v>
      </c>
      <c r="V47" s="28">
        <v>-234510</v>
      </c>
      <c r="W47" s="6"/>
      <c r="X47" s="39"/>
      <c r="Y47" s="26"/>
    </row>
    <row r="48" spans="2:25" x14ac:dyDescent="0.3">
      <c r="B48" s="45" t="s">
        <v>139</v>
      </c>
      <c r="C48" s="162" t="str">
        <f>IF(ABS(SUM(C27:E46))&lt;&gt;ABS(SUM(L89,V89)),"항목 추가해주세요","-")</f>
        <v>-</v>
      </c>
      <c r="D48" s="163"/>
      <c r="E48" s="164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 t="s">
        <v>91</v>
      </c>
      <c r="U48" s="39" t="s">
        <v>278</v>
      </c>
      <c r="V48" s="28">
        <v>-7483</v>
      </c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 t="s">
        <v>103</v>
      </c>
      <c r="U49" s="39" t="s">
        <v>268</v>
      </c>
      <c r="V49" s="28">
        <v>-12000</v>
      </c>
      <c r="W49" s="6"/>
      <c r="X49" s="39"/>
      <c r="Y49" s="26"/>
    </row>
    <row r="50" spans="2:25" x14ac:dyDescent="0.3">
      <c r="B50" s="136" t="s">
        <v>150</v>
      </c>
      <c r="C50" s="168"/>
      <c r="D50" s="168"/>
      <c r="E50" s="137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 t="s">
        <v>111</v>
      </c>
      <c r="U50" s="39" t="s">
        <v>336</v>
      </c>
      <c r="V50" s="28">
        <v>-49000</v>
      </c>
      <c r="W50" s="6"/>
      <c r="X50" s="39"/>
      <c r="Y50" s="26"/>
    </row>
    <row r="51" spans="2:25" x14ac:dyDescent="0.3">
      <c r="B51" s="48" t="s">
        <v>28</v>
      </c>
      <c r="C51" s="165" t="s">
        <v>30</v>
      </c>
      <c r="D51" s="166"/>
      <c r="E51" s="167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 t="s">
        <v>99</v>
      </c>
      <c r="U51" s="39" t="s">
        <v>297</v>
      </c>
      <c r="V51" s="28">
        <v>-10000</v>
      </c>
      <c r="W51" s="6"/>
      <c r="X51" s="39"/>
      <c r="Y51" s="26"/>
    </row>
    <row r="52" spans="2:25" x14ac:dyDescent="0.3">
      <c r="B52" s="48" t="s">
        <v>146</v>
      </c>
      <c r="C52" s="159">
        <f>(SUMIF($G$7:$G$88,B52,$I$7:$I$88)+SUMIF($Q$7:$Q$88,B52,$S$7:$S$88))</f>
        <v>4660</v>
      </c>
      <c r="D52" s="160"/>
      <c r="E52" s="161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 t="s">
        <v>111</v>
      </c>
      <c r="U52" s="39" t="s">
        <v>279</v>
      </c>
      <c r="V52" s="28">
        <v>-20000</v>
      </c>
      <c r="W52" s="6"/>
      <c r="X52" s="39"/>
      <c r="Y52" s="26"/>
    </row>
    <row r="53" spans="2:25" x14ac:dyDescent="0.3">
      <c r="B53" s="49" t="s">
        <v>147</v>
      </c>
      <c r="C53" s="159">
        <f>(SUMIF($G$7:$G$88,B53,$I$7:$I$88)+SUMIF($Q$7:$Q$88,B53,$S$7:$S$88))</f>
        <v>8292448</v>
      </c>
      <c r="D53" s="160"/>
      <c r="E53" s="161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 t="s">
        <v>111</v>
      </c>
      <c r="U53" s="39" t="s">
        <v>339</v>
      </c>
      <c r="V53" s="28">
        <v>-36000</v>
      </c>
      <c r="W53" s="6"/>
      <c r="X53" s="39"/>
      <c r="Y53" s="26"/>
    </row>
    <row r="54" spans="2:25" x14ac:dyDescent="0.3">
      <c r="B54" s="49" t="s">
        <v>148</v>
      </c>
      <c r="C54" s="159">
        <f>(SUMIF($G$7:$G$88,B54,$I$7:$I$88)+SUMIF($Q$7:$Q$88,B54,$S$7:$S$88))</f>
        <v>0</v>
      </c>
      <c r="D54" s="160"/>
      <c r="E54" s="161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 t="s">
        <v>90</v>
      </c>
      <c r="U54" s="39" t="s">
        <v>98</v>
      </c>
      <c r="V54" s="28">
        <v>-160000</v>
      </c>
      <c r="W54" s="6"/>
      <c r="X54" s="39"/>
      <c r="Y54" s="26"/>
    </row>
    <row r="55" spans="2:25" x14ac:dyDescent="0.3">
      <c r="B55" s="50" t="s">
        <v>149</v>
      </c>
      <c r="C55" s="159">
        <f>(SUMIF($G$7:$G$88,B55,$I$7:$I$88)+SUMIF($Q$7:$Q$88,B55,$S$7:$S$88))</f>
        <v>0</v>
      </c>
      <c r="D55" s="160"/>
      <c r="E55" s="161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 t="s">
        <v>111</v>
      </c>
      <c r="U55" s="39" t="s">
        <v>105</v>
      </c>
      <c r="V55" s="28">
        <v>-2500</v>
      </c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139</v>
      </c>
      <c r="C57" s="162" t="str">
        <f>IF(ABS(SUM(C52:E55))&lt;&gt;ABS(SUM(I89,S89)),"항목 추가해주세요","-")</f>
        <v>-</v>
      </c>
      <c r="D57" s="163"/>
      <c r="E57" s="164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4236407</v>
      </c>
      <c r="J89" s="7" t="s">
        <v>24</v>
      </c>
      <c r="K89" s="22" t="s">
        <v>34</v>
      </c>
      <c r="L89" s="21">
        <f>SUM(L7:L88)</f>
        <v>-3441410</v>
      </c>
      <c r="M89" s="7" t="s">
        <v>24</v>
      </c>
      <c r="N89" s="22" t="s">
        <v>34</v>
      </c>
      <c r="O89" s="21">
        <f>SUM(O7:O88)</f>
        <v>-4093000</v>
      </c>
      <c r="Q89" s="7" t="s">
        <v>24</v>
      </c>
      <c r="R89" s="17" t="s">
        <v>34</v>
      </c>
      <c r="S89" s="19">
        <f>SUM(S7:S88)</f>
        <v>4060701</v>
      </c>
      <c r="T89" s="7" t="s">
        <v>24</v>
      </c>
      <c r="U89" s="22" t="s">
        <v>34</v>
      </c>
      <c r="V89" s="21">
        <f>SUM(V7:V88)</f>
        <v>-1865005</v>
      </c>
      <c r="W89" s="7" t="s">
        <v>24</v>
      </c>
      <c r="X89" s="22" t="s">
        <v>34</v>
      </c>
      <c r="Y89" s="21">
        <f>SUM(Y7:Y88)</f>
        <v>-11072379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-3298003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-8876683</v>
      </c>
      <c r="T90" s="37"/>
      <c r="U90" s="37"/>
      <c r="V90" s="37"/>
      <c r="W90" s="37"/>
      <c r="X90" s="37"/>
      <c r="Y90" s="38"/>
    </row>
  </sheetData>
  <mergeCells count="43">
    <mergeCell ref="C45:E45"/>
    <mergeCell ref="C46:E46"/>
    <mergeCell ref="C48:E48"/>
    <mergeCell ref="C40:E40"/>
    <mergeCell ref="C41:E41"/>
    <mergeCell ref="C42:E42"/>
    <mergeCell ref="C43:E43"/>
    <mergeCell ref="C44:E4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G4:O4"/>
    <mergeCell ref="Q4:Y4"/>
    <mergeCell ref="G5:I5"/>
    <mergeCell ref="J5:L5"/>
    <mergeCell ref="M5:O5"/>
    <mergeCell ref="Q5:S5"/>
    <mergeCell ref="T5:V5"/>
    <mergeCell ref="W5:Y5"/>
    <mergeCell ref="B2:C2"/>
    <mergeCell ref="C5:D5"/>
    <mergeCell ref="C6:D6"/>
    <mergeCell ref="C7:D7"/>
    <mergeCell ref="C4:D4"/>
    <mergeCell ref="C55:E55"/>
    <mergeCell ref="C57:E57"/>
    <mergeCell ref="B50:E50"/>
    <mergeCell ref="C51:E51"/>
    <mergeCell ref="C52:E52"/>
    <mergeCell ref="C53:E53"/>
    <mergeCell ref="C54:E5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FC088-60EA-4D59-96B3-3395978F91D7}">
  <sheetPr codeName="Sheet11">
    <tabColor rgb="FFFFD1E8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1.75" bestFit="1" customWidth="1"/>
    <col min="10" max="10" width="11" bestFit="1" customWidth="1"/>
    <col min="11" max="11" width="33.125" bestFit="1" customWidth="1"/>
    <col min="12" max="12" width="11.5" bestFit="1" customWidth="1"/>
    <col min="13" max="13" width="11" bestFit="1" customWidth="1"/>
    <col min="14" max="14" width="16" bestFit="1" customWidth="1"/>
    <col min="15" max="15" width="11.5" bestFit="1" customWidth="1"/>
    <col min="16" max="16" width="2.375" customWidth="1"/>
    <col min="18" max="18" width="15.875" bestFit="1" customWidth="1"/>
    <col min="19" max="19" width="11.75" bestFit="1" customWidth="1"/>
    <col min="20" max="20" width="9.75" bestFit="1" customWidth="1"/>
    <col min="21" max="21" width="31.75" bestFit="1" customWidth="1"/>
    <col min="22" max="22" width="11.5" bestFit="1" customWidth="1"/>
    <col min="24" max="24" width="21.375" bestFit="1" customWidth="1"/>
    <col min="25" max="25" width="11.5" bestFit="1" customWidth="1"/>
  </cols>
  <sheetData>
    <row r="2" spans="2:25" ht="24.75" thickBot="1" x14ac:dyDescent="0.35">
      <c r="B2" s="169" t="s">
        <v>83</v>
      </c>
      <c r="C2" s="169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74">
        <v>10000000</v>
      </c>
      <c r="D4" s="174"/>
      <c r="G4" s="182" t="str">
        <f>설정!D4</f>
        <v>천세원</v>
      </c>
      <c r="H4" s="183"/>
      <c r="I4" s="183"/>
      <c r="J4" s="183"/>
      <c r="K4" s="183"/>
      <c r="L4" s="183"/>
      <c r="M4" s="183"/>
      <c r="N4" s="183"/>
      <c r="O4" s="184"/>
      <c r="Q4" s="179" t="str">
        <f>설정!D6</f>
        <v>하유진</v>
      </c>
      <c r="R4" s="180"/>
      <c r="S4" s="180"/>
      <c r="T4" s="180"/>
      <c r="U4" s="180"/>
      <c r="V4" s="180"/>
      <c r="W4" s="180"/>
      <c r="X4" s="180"/>
      <c r="Y4" s="181"/>
    </row>
    <row r="5" spans="2:25" x14ac:dyDescent="0.3">
      <c r="B5" s="2" t="s">
        <v>36</v>
      </c>
      <c r="C5" s="174">
        <f>I90+S90</f>
        <v>11578440</v>
      </c>
      <c r="D5" s="174"/>
      <c r="G5" s="136" t="s">
        <v>27</v>
      </c>
      <c r="H5" s="168"/>
      <c r="I5" s="137"/>
      <c r="J5" s="134" t="s">
        <v>31</v>
      </c>
      <c r="K5" s="170"/>
      <c r="L5" s="135"/>
      <c r="M5" s="171" t="s">
        <v>32</v>
      </c>
      <c r="N5" s="172"/>
      <c r="O5" s="173"/>
      <c r="Q5" s="136" t="s">
        <v>27</v>
      </c>
      <c r="R5" s="168"/>
      <c r="S5" s="137"/>
      <c r="T5" s="134" t="s">
        <v>31</v>
      </c>
      <c r="U5" s="170"/>
      <c r="V5" s="135"/>
      <c r="W5" s="171" t="s">
        <v>32</v>
      </c>
      <c r="X5" s="172"/>
      <c r="Y5" s="173"/>
    </row>
    <row r="6" spans="2:25" x14ac:dyDescent="0.3">
      <c r="B6" s="2" t="s">
        <v>38</v>
      </c>
      <c r="C6" s="174">
        <f>C4-C5</f>
        <v>-1578440</v>
      </c>
      <c r="D6" s="174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5">
        <f>(C5)/(C4)</f>
        <v>1.1578440000000001</v>
      </c>
      <c r="D7" s="175"/>
      <c r="G7" s="6" t="s">
        <v>208</v>
      </c>
      <c r="H7" s="39" t="s">
        <v>209</v>
      </c>
      <c r="I7" s="28">
        <v>11226589</v>
      </c>
      <c r="J7" s="6" t="s">
        <v>94</v>
      </c>
      <c r="K7" s="39" t="s">
        <v>105</v>
      </c>
      <c r="L7" s="28">
        <v>-2500</v>
      </c>
      <c r="M7" s="6" t="s">
        <v>101</v>
      </c>
      <c r="N7" s="39" t="s">
        <v>302</v>
      </c>
      <c r="O7" s="40">
        <v>-300000</v>
      </c>
      <c r="P7" s="5"/>
      <c r="Q7" s="6" t="s">
        <v>208</v>
      </c>
      <c r="R7" s="39" t="s">
        <v>209</v>
      </c>
      <c r="S7" s="28">
        <v>9035415</v>
      </c>
      <c r="T7" s="6" t="s">
        <v>91</v>
      </c>
      <c r="U7" s="39" t="s">
        <v>97</v>
      </c>
      <c r="V7" s="28">
        <v>-33300</v>
      </c>
      <c r="W7" s="6" t="s">
        <v>101</v>
      </c>
      <c r="X7" s="39" t="s">
        <v>302</v>
      </c>
      <c r="Y7" s="40">
        <v>-300000</v>
      </c>
    </row>
    <row r="8" spans="2:25" x14ac:dyDescent="0.3">
      <c r="G8" s="6" t="s">
        <v>86</v>
      </c>
      <c r="H8" s="39" t="s">
        <v>217</v>
      </c>
      <c r="I8" s="28">
        <v>0</v>
      </c>
      <c r="J8" s="6" t="s">
        <v>93</v>
      </c>
      <c r="K8" s="39" t="s">
        <v>340</v>
      </c>
      <c r="L8" s="28">
        <v>-50000</v>
      </c>
      <c r="M8" s="6" t="s">
        <v>88</v>
      </c>
      <c r="N8" s="39" t="s">
        <v>341</v>
      </c>
      <c r="O8" s="26">
        <v>19247</v>
      </c>
      <c r="P8" s="5"/>
      <c r="Q8" s="6" t="s">
        <v>86</v>
      </c>
      <c r="R8" s="39" t="s">
        <v>232</v>
      </c>
      <c r="S8" s="28">
        <v>9</v>
      </c>
      <c r="T8" s="6" t="s">
        <v>111</v>
      </c>
      <c r="U8" s="39" t="s">
        <v>113</v>
      </c>
      <c r="V8" s="28">
        <v>-1200</v>
      </c>
      <c r="W8" s="6" t="s">
        <v>107</v>
      </c>
      <c r="X8" s="39" t="s">
        <v>360</v>
      </c>
      <c r="Y8" s="26">
        <v>-75034</v>
      </c>
    </row>
    <row r="9" spans="2:25" x14ac:dyDescent="0.3">
      <c r="G9" s="6"/>
      <c r="H9" s="39"/>
      <c r="I9" s="28"/>
      <c r="J9" s="6" t="s">
        <v>89</v>
      </c>
      <c r="K9" s="39" t="s">
        <v>342</v>
      </c>
      <c r="L9" s="28">
        <v>-3000000</v>
      </c>
      <c r="M9" s="6" t="s">
        <v>88</v>
      </c>
      <c r="N9" s="39" t="s">
        <v>341</v>
      </c>
      <c r="O9" s="26">
        <v>19247</v>
      </c>
      <c r="P9" s="5"/>
      <c r="Q9" s="6" t="s">
        <v>86</v>
      </c>
      <c r="R9" s="39" t="s">
        <v>217</v>
      </c>
      <c r="S9" s="28">
        <v>0</v>
      </c>
      <c r="T9" s="6" t="s">
        <v>111</v>
      </c>
      <c r="U9" s="39" t="s">
        <v>113</v>
      </c>
      <c r="V9" s="28">
        <v>-1200</v>
      </c>
      <c r="W9" s="6" t="s">
        <v>101</v>
      </c>
      <c r="X9" s="39" t="s">
        <v>362</v>
      </c>
      <c r="Y9" s="26">
        <v>-11700</v>
      </c>
    </row>
    <row r="10" spans="2:25" x14ac:dyDescent="0.3">
      <c r="G10" s="6"/>
      <c r="H10" s="39"/>
      <c r="I10" s="28"/>
      <c r="J10" s="6" t="s">
        <v>94</v>
      </c>
      <c r="K10" s="39" t="s">
        <v>105</v>
      </c>
      <c r="L10" s="28">
        <v>-2500</v>
      </c>
      <c r="M10" s="6" t="s">
        <v>116</v>
      </c>
      <c r="N10" s="39" t="s">
        <v>329</v>
      </c>
      <c r="O10" s="26">
        <v>-15000</v>
      </c>
      <c r="P10" s="5"/>
      <c r="Q10" s="6"/>
      <c r="R10" s="39"/>
      <c r="S10" s="28"/>
      <c r="T10" s="6" t="s">
        <v>111</v>
      </c>
      <c r="U10" s="39" t="s">
        <v>105</v>
      </c>
      <c r="V10" s="28">
        <v>-2500</v>
      </c>
      <c r="W10" s="6" t="s">
        <v>101</v>
      </c>
      <c r="X10" s="39" t="s">
        <v>362</v>
      </c>
      <c r="Y10" s="26">
        <v>-1800</v>
      </c>
    </row>
    <row r="11" spans="2:25" x14ac:dyDescent="0.3">
      <c r="G11" s="6"/>
      <c r="H11" s="39"/>
      <c r="I11" s="28"/>
      <c r="J11" s="6" t="s">
        <v>94</v>
      </c>
      <c r="K11" s="39" t="s">
        <v>105</v>
      </c>
      <c r="L11" s="28">
        <v>-14110</v>
      </c>
      <c r="M11" s="6" t="s">
        <v>88</v>
      </c>
      <c r="N11" s="39" t="s">
        <v>212</v>
      </c>
      <c r="O11" s="26">
        <v>152100</v>
      </c>
      <c r="P11" s="5"/>
      <c r="Q11" s="6"/>
      <c r="R11" s="39"/>
      <c r="S11" s="28"/>
      <c r="T11" s="6" t="s">
        <v>90</v>
      </c>
      <c r="U11" s="39" t="s">
        <v>361</v>
      </c>
      <c r="V11" s="28">
        <v>-5933</v>
      </c>
      <c r="W11" s="6" t="s">
        <v>101</v>
      </c>
      <c r="X11" s="39" t="s">
        <v>363</v>
      </c>
      <c r="Y11" s="26">
        <v>-8000</v>
      </c>
    </row>
    <row r="12" spans="2:25" x14ac:dyDescent="0.3">
      <c r="G12" s="6"/>
      <c r="H12" s="39"/>
      <c r="I12" s="28"/>
      <c r="J12" s="6" t="s">
        <v>94</v>
      </c>
      <c r="K12" s="39" t="s">
        <v>105</v>
      </c>
      <c r="L12" s="28">
        <v>-2500</v>
      </c>
      <c r="M12" s="6" t="s">
        <v>101</v>
      </c>
      <c r="N12" s="39" t="s">
        <v>264</v>
      </c>
      <c r="O12" s="26">
        <v>5000</v>
      </c>
      <c r="P12" s="5"/>
      <c r="Q12" s="6"/>
      <c r="R12" s="39"/>
      <c r="S12" s="28"/>
      <c r="T12" s="6" t="s">
        <v>90</v>
      </c>
      <c r="U12" s="39" t="s">
        <v>361</v>
      </c>
      <c r="V12" s="28">
        <v>-15577</v>
      </c>
      <c r="W12" s="6" t="s">
        <v>244</v>
      </c>
      <c r="X12" s="39" t="s">
        <v>245</v>
      </c>
      <c r="Y12" s="26">
        <v>3000000</v>
      </c>
    </row>
    <row r="13" spans="2:25" x14ac:dyDescent="0.3">
      <c r="G13" s="6"/>
      <c r="H13" s="39"/>
      <c r="I13" s="28"/>
      <c r="J13" s="6" t="s">
        <v>91</v>
      </c>
      <c r="K13" s="39" t="s">
        <v>343</v>
      </c>
      <c r="L13" s="28">
        <v>-4605</v>
      </c>
      <c r="M13" s="6" t="s">
        <v>101</v>
      </c>
      <c r="N13" s="39" t="s">
        <v>261</v>
      </c>
      <c r="O13" s="26">
        <v>2500</v>
      </c>
      <c r="P13" s="5"/>
      <c r="Q13" s="6"/>
      <c r="R13" s="39"/>
      <c r="S13" s="28"/>
      <c r="T13" s="6" t="s">
        <v>90</v>
      </c>
      <c r="U13" s="39" t="s">
        <v>127</v>
      </c>
      <c r="V13" s="28">
        <v>-10360</v>
      </c>
      <c r="W13" s="6" t="s">
        <v>116</v>
      </c>
      <c r="X13" s="39" t="s">
        <v>228</v>
      </c>
      <c r="Y13" s="26">
        <v>-5102094</v>
      </c>
    </row>
    <row r="14" spans="2:25" x14ac:dyDescent="0.3">
      <c r="G14" s="6"/>
      <c r="H14" s="39"/>
      <c r="I14" s="28"/>
      <c r="J14" s="6" t="s">
        <v>91</v>
      </c>
      <c r="K14" s="39" t="s">
        <v>343</v>
      </c>
      <c r="L14" s="28">
        <v>-18795</v>
      </c>
      <c r="M14" s="6" t="s">
        <v>101</v>
      </c>
      <c r="N14" s="39" t="s">
        <v>265</v>
      </c>
      <c r="O14" s="26">
        <v>2500</v>
      </c>
      <c r="P14" s="5"/>
      <c r="Q14" s="6"/>
      <c r="R14" s="39"/>
      <c r="S14" s="28"/>
      <c r="T14" s="6" t="s">
        <v>93</v>
      </c>
      <c r="U14" s="39" t="s">
        <v>340</v>
      </c>
      <c r="V14" s="28">
        <v>-60000</v>
      </c>
      <c r="W14" s="6" t="s">
        <v>116</v>
      </c>
      <c r="X14" s="39" t="s">
        <v>228</v>
      </c>
      <c r="Y14" s="26">
        <v>5102094</v>
      </c>
    </row>
    <row r="15" spans="2:25" x14ac:dyDescent="0.3">
      <c r="G15" s="6"/>
      <c r="H15" s="39"/>
      <c r="I15" s="28"/>
      <c r="J15" s="6" t="s">
        <v>93</v>
      </c>
      <c r="K15" s="39" t="s">
        <v>344</v>
      </c>
      <c r="L15" s="28">
        <v>-3500</v>
      </c>
      <c r="M15" s="6" t="s">
        <v>101</v>
      </c>
      <c r="N15" s="39" t="s">
        <v>263</v>
      </c>
      <c r="O15" s="26">
        <v>2500</v>
      </c>
      <c r="P15" s="5"/>
      <c r="Q15" s="6"/>
      <c r="R15" s="39"/>
      <c r="S15" s="28"/>
      <c r="T15" s="6" t="s">
        <v>111</v>
      </c>
      <c r="U15" s="39" t="s">
        <v>105</v>
      </c>
      <c r="V15" s="28">
        <v>-2500</v>
      </c>
      <c r="W15" s="6" t="s">
        <v>116</v>
      </c>
      <c r="X15" s="39">
        <v>158059015472</v>
      </c>
      <c r="Y15" s="26">
        <v>-5102094</v>
      </c>
    </row>
    <row r="16" spans="2:25" x14ac:dyDescent="0.3">
      <c r="G16" s="6"/>
      <c r="H16" s="39"/>
      <c r="I16" s="28"/>
      <c r="J16" s="6" t="s">
        <v>103</v>
      </c>
      <c r="K16" s="39" t="s">
        <v>345</v>
      </c>
      <c r="L16" s="28">
        <v>-6600</v>
      </c>
      <c r="M16" s="6" t="s">
        <v>101</v>
      </c>
      <c r="N16" s="39" t="s">
        <v>303</v>
      </c>
      <c r="O16" s="26">
        <v>2500</v>
      </c>
      <c r="P16" s="5"/>
      <c r="Q16" s="6"/>
      <c r="R16" s="39"/>
      <c r="S16" s="28"/>
      <c r="T16" s="6" t="s">
        <v>126</v>
      </c>
      <c r="U16" s="39" t="s">
        <v>364</v>
      </c>
      <c r="V16" s="28">
        <v>-33400</v>
      </c>
      <c r="W16" s="6" t="s">
        <v>116</v>
      </c>
      <c r="X16" s="39" t="s">
        <v>296</v>
      </c>
      <c r="Y16" s="26">
        <v>5102094</v>
      </c>
    </row>
    <row r="17" spans="2:25" x14ac:dyDescent="0.3">
      <c r="G17" s="6"/>
      <c r="H17" s="39"/>
      <c r="I17" s="28"/>
      <c r="J17" s="6" t="s">
        <v>103</v>
      </c>
      <c r="K17" s="39" t="s">
        <v>345</v>
      </c>
      <c r="L17" s="28">
        <v>6600</v>
      </c>
      <c r="M17" s="6" t="s">
        <v>101</v>
      </c>
      <c r="N17" s="39" t="s">
        <v>263</v>
      </c>
      <c r="O17" s="26">
        <v>2500</v>
      </c>
      <c r="P17" s="5"/>
      <c r="Q17" s="6"/>
      <c r="R17" s="39"/>
      <c r="S17" s="28"/>
      <c r="T17" s="6" t="s">
        <v>111</v>
      </c>
      <c r="U17" s="39" t="s">
        <v>105</v>
      </c>
      <c r="V17" s="28">
        <v>-14110</v>
      </c>
      <c r="W17" s="6" t="s">
        <v>107</v>
      </c>
      <c r="X17" s="39" t="s">
        <v>115</v>
      </c>
      <c r="Y17" s="26">
        <v>-910890</v>
      </c>
    </row>
    <row r="18" spans="2:25" x14ac:dyDescent="0.3">
      <c r="G18" s="6"/>
      <c r="H18" s="39"/>
      <c r="I18" s="28"/>
      <c r="J18" s="6" t="s">
        <v>103</v>
      </c>
      <c r="K18" s="39" t="s">
        <v>345</v>
      </c>
      <c r="L18" s="28">
        <v>-6100</v>
      </c>
      <c r="M18" s="6" t="s">
        <v>101</v>
      </c>
      <c r="N18" s="39" t="s">
        <v>351</v>
      </c>
      <c r="O18" s="26">
        <v>15000</v>
      </c>
      <c r="P18" s="5"/>
      <c r="Q18" s="6"/>
      <c r="R18" s="39"/>
      <c r="S18" s="28"/>
      <c r="T18" s="6" t="s">
        <v>111</v>
      </c>
      <c r="U18" s="39" t="s">
        <v>105</v>
      </c>
      <c r="V18" s="28">
        <v>-2500</v>
      </c>
      <c r="W18" s="6" t="s">
        <v>57</v>
      </c>
      <c r="X18" s="39" t="s">
        <v>366</v>
      </c>
      <c r="Y18" s="26">
        <v>-48000</v>
      </c>
    </row>
    <row r="19" spans="2:25" x14ac:dyDescent="0.3">
      <c r="G19" s="6"/>
      <c r="H19" s="39"/>
      <c r="I19" s="28"/>
      <c r="J19" s="6" t="s">
        <v>96</v>
      </c>
      <c r="K19" s="39" t="s">
        <v>346</v>
      </c>
      <c r="L19" s="28">
        <v>-8960</v>
      </c>
      <c r="M19" s="6" t="s">
        <v>101</v>
      </c>
      <c r="N19" s="39" t="s">
        <v>263</v>
      </c>
      <c r="O19" s="26">
        <v>2500</v>
      </c>
      <c r="P19" s="5"/>
      <c r="Q19" s="6"/>
      <c r="R19" s="39"/>
      <c r="S19" s="28"/>
      <c r="T19" s="6" t="s">
        <v>116</v>
      </c>
      <c r="U19" s="39" t="s">
        <v>282</v>
      </c>
      <c r="V19" s="28">
        <v>-37000</v>
      </c>
      <c r="W19" s="6" t="s">
        <v>57</v>
      </c>
      <c r="X19" s="39" t="s">
        <v>366</v>
      </c>
      <c r="Y19" s="26">
        <v>-10000</v>
      </c>
    </row>
    <row r="20" spans="2:25" x14ac:dyDescent="0.3">
      <c r="G20" s="6"/>
      <c r="H20" s="39"/>
      <c r="I20" s="28"/>
      <c r="J20" s="6" t="s">
        <v>89</v>
      </c>
      <c r="K20" s="39" t="s">
        <v>308</v>
      </c>
      <c r="L20" s="28">
        <v>-16500</v>
      </c>
      <c r="M20" s="6" t="s">
        <v>101</v>
      </c>
      <c r="N20" s="39" t="s">
        <v>261</v>
      </c>
      <c r="O20" s="26">
        <v>2500</v>
      </c>
      <c r="P20" s="5"/>
      <c r="Q20" s="6"/>
      <c r="R20" s="39"/>
      <c r="S20" s="28"/>
      <c r="T20" s="6" t="s">
        <v>120</v>
      </c>
      <c r="U20" s="39" t="s">
        <v>365</v>
      </c>
      <c r="V20" s="28">
        <v>37000</v>
      </c>
      <c r="W20" s="6" t="s">
        <v>101</v>
      </c>
      <c r="X20" s="39" t="s">
        <v>338</v>
      </c>
      <c r="Y20" s="26">
        <v>100000</v>
      </c>
    </row>
    <row r="21" spans="2:25" x14ac:dyDescent="0.3">
      <c r="G21" s="6"/>
      <c r="H21" s="39"/>
      <c r="I21" s="28"/>
      <c r="J21" s="6" t="s">
        <v>99</v>
      </c>
      <c r="K21" s="39" t="s">
        <v>297</v>
      </c>
      <c r="L21" s="28">
        <v>-15000</v>
      </c>
      <c r="M21" s="6" t="s">
        <v>101</v>
      </c>
      <c r="N21" s="39" t="s">
        <v>303</v>
      </c>
      <c r="O21" s="26">
        <v>2500</v>
      </c>
      <c r="P21" s="5"/>
      <c r="Q21" s="6"/>
      <c r="R21" s="39"/>
      <c r="S21" s="28"/>
      <c r="T21" s="6" t="s">
        <v>91</v>
      </c>
      <c r="U21" s="39" t="s">
        <v>359</v>
      </c>
      <c r="V21" s="28">
        <v>-2400</v>
      </c>
      <c r="W21" s="6" t="s">
        <v>101</v>
      </c>
      <c r="X21" s="39" t="s">
        <v>374</v>
      </c>
      <c r="Y21" s="26">
        <v>-1959201</v>
      </c>
    </row>
    <row r="22" spans="2:25" x14ac:dyDescent="0.3">
      <c r="G22" s="6"/>
      <c r="H22" s="39"/>
      <c r="I22" s="28"/>
      <c r="J22" s="6" t="s">
        <v>93</v>
      </c>
      <c r="K22" s="39" t="s">
        <v>254</v>
      </c>
      <c r="L22" s="28">
        <v>-50000</v>
      </c>
      <c r="M22" s="6" t="s">
        <v>213</v>
      </c>
      <c r="N22" s="39" t="s">
        <v>354</v>
      </c>
      <c r="O22" s="26">
        <v>-500000</v>
      </c>
      <c r="P22" s="5"/>
      <c r="Q22" s="6"/>
      <c r="R22" s="39"/>
      <c r="S22" s="28"/>
      <c r="T22" s="6" t="s">
        <v>111</v>
      </c>
      <c r="U22" s="39" t="s">
        <v>279</v>
      </c>
      <c r="V22" s="28">
        <v>-2313</v>
      </c>
      <c r="W22" s="6" t="s">
        <v>101</v>
      </c>
      <c r="X22" s="39" t="s">
        <v>362</v>
      </c>
      <c r="Y22" s="26">
        <v>-900</v>
      </c>
    </row>
    <row r="23" spans="2:25" x14ac:dyDescent="0.3">
      <c r="G23" s="6"/>
      <c r="H23" s="39"/>
      <c r="I23" s="28"/>
      <c r="J23" s="6" t="s">
        <v>99</v>
      </c>
      <c r="K23" s="39" t="s">
        <v>297</v>
      </c>
      <c r="L23" s="28">
        <v>-10000</v>
      </c>
      <c r="M23" s="6" t="s">
        <v>213</v>
      </c>
      <c r="N23" s="39" t="s">
        <v>225</v>
      </c>
      <c r="O23" s="26">
        <v>500000</v>
      </c>
      <c r="P23" s="5"/>
      <c r="Q23" s="6"/>
      <c r="R23" s="39"/>
      <c r="S23" s="28"/>
      <c r="T23" s="6" t="s">
        <v>111</v>
      </c>
      <c r="U23" s="39" t="s">
        <v>279</v>
      </c>
      <c r="V23" s="28">
        <v>-48687</v>
      </c>
      <c r="W23" s="6" t="s">
        <v>101</v>
      </c>
      <c r="X23" s="39" t="s">
        <v>362</v>
      </c>
      <c r="Y23" s="26">
        <v>-900</v>
      </c>
    </row>
    <row r="24" spans="2:25" x14ac:dyDescent="0.3">
      <c r="G24" s="6"/>
      <c r="H24" s="39"/>
      <c r="I24" s="28"/>
      <c r="J24" s="6" t="s">
        <v>94</v>
      </c>
      <c r="K24" s="39" t="s">
        <v>347</v>
      </c>
      <c r="L24" s="28">
        <v>-32000</v>
      </c>
      <c r="M24" s="6" t="s">
        <v>107</v>
      </c>
      <c r="N24" s="39" t="s">
        <v>110</v>
      </c>
      <c r="O24" s="26">
        <v>-2410000</v>
      </c>
      <c r="P24" s="5"/>
      <c r="Q24" s="6"/>
      <c r="R24" s="39"/>
      <c r="S24" s="28"/>
      <c r="T24" s="6" t="s">
        <v>111</v>
      </c>
      <c r="U24" s="39" t="s">
        <v>279</v>
      </c>
      <c r="V24" s="28">
        <v>2313</v>
      </c>
      <c r="W24" s="6" t="s">
        <v>101</v>
      </c>
      <c r="X24" s="39" t="s">
        <v>375</v>
      </c>
      <c r="Y24" s="26">
        <v>-42700</v>
      </c>
    </row>
    <row r="25" spans="2:25" x14ac:dyDescent="0.3">
      <c r="B25" s="134" t="s">
        <v>143</v>
      </c>
      <c r="C25" s="170"/>
      <c r="D25" s="170"/>
      <c r="E25" s="135"/>
      <c r="G25" s="6"/>
      <c r="H25" s="39"/>
      <c r="I25" s="28"/>
      <c r="J25" s="6" t="s">
        <v>94</v>
      </c>
      <c r="K25" s="39" t="s">
        <v>348</v>
      </c>
      <c r="L25" s="28">
        <v>-110000</v>
      </c>
      <c r="M25" s="6" t="s">
        <v>107</v>
      </c>
      <c r="N25" s="39" t="s">
        <v>258</v>
      </c>
      <c r="O25" s="26">
        <v>-290000</v>
      </c>
      <c r="P25" s="5"/>
      <c r="Q25" s="6"/>
      <c r="R25" s="39"/>
      <c r="S25" s="28"/>
      <c r="T25" s="6" t="s">
        <v>111</v>
      </c>
      <c r="U25" s="39" t="s">
        <v>279</v>
      </c>
      <c r="V25" s="28">
        <v>48687</v>
      </c>
      <c r="W25" s="6" t="s">
        <v>244</v>
      </c>
      <c r="X25" s="39" t="s">
        <v>245</v>
      </c>
      <c r="Y25" s="26">
        <v>3000000</v>
      </c>
    </row>
    <row r="26" spans="2:25" x14ac:dyDescent="0.3">
      <c r="B26" s="48" t="s">
        <v>28</v>
      </c>
      <c r="C26" s="165" t="s">
        <v>30</v>
      </c>
      <c r="D26" s="166"/>
      <c r="E26" s="167"/>
      <c r="G26" s="6"/>
      <c r="H26" s="39"/>
      <c r="I26" s="28"/>
      <c r="J26" s="6" t="s">
        <v>94</v>
      </c>
      <c r="K26" s="39" t="s">
        <v>348</v>
      </c>
      <c r="L26" s="28">
        <v>-5000</v>
      </c>
      <c r="M26" s="6" t="s">
        <v>213</v>
      </c>
      <c r="N26" s="39" t="s">
        <v>225</v>
      </c>
      <c r="O26" s="26">
        <v>100000</v>
      </c>
      <c r="P26" s="5"/>
      <c r="Q26" s="6"/>
      <c r="R26" s="39"/>
      <c r="S26" s="28"/>
      <c r="T26" s="6" t="s">
        <v>111</v>
      </c>
      <c r="U26" s="39" t="s">
        <v>279</v>
      </c>
      <c r="V26" s="28">
        <v>-2313</v>
      </c>
      <c r="W26" s="6" t="s">
        <v>116</v>
      </c>
      <c r="X26" s="39" t="s">
        <v>376</v>
      </c>
      <c r="Y26" s="26">
        <v>-300000</v>
      </c>
    </row>
    <row r="27" spans="2:25" x14ac:dyDescent="0.3">
      <c r="B27" s="48" t="s">
        <v>89</v>
      </c>
      <c r="C27" s="159">
        <f t="shared" ref="C27:C46" si="0">-(SUMIF($J$7:$J$88,B27,$L$7:$L$88)+SUMIF($T$7:$T$88,B27,$V$7:$V$88))</f>
        <v>6120570</v>
      </c>
      <c r="D27" s="160"/>
      <c r="E27" s="161"/>
      <c r="G27" s="6"/>
      <c r="H27" s="39"/>
      <c r="I27" s="28"/>
      <c r="J27" s="6" t="s">
        <v>93</v>
      </c>
      <c r="K27" s="39" t="s">
        <v>349</v>
      </c>
      <c r="L27" s="28">
        <v>-35950</v>
      </c>
      <c r="M27" s="6" t="s">
        <v>213</v>
      </c>
      <c r="N27" s="39" t="s">
        <v>356</v>
      </c>
      <c r="O27" s="26">
        <v>-100000</v>
      </c>
      <c r="P27" s="5"/>
      <c r="Q27" s="6"/>
      <c r="R27" s="39"/>
      <c r="S27" s="28"/>
      <c r="T27" s="6" t="s">
        <v>111</v>
      </c>
      <c r="U27" s="39" t="s">
        <v>279</v>
      </c>
      <c r="V27" s="28">
        <v>-43287</v>
      </c>
      <c r="W27" s="6" t="s">
        <v>116</v>
      </c>
      <c r="X27" s="39" t="s">
        <v>225</v>
      </c>
      <c r="Y27" s="26">
        <v>300000</v>
      </c>
    </row>
    <row r="28" spans="2:25" x14ac:dyDescent="0.3">
      <c r="B28" s="49" t="s">
        <v>90</v>
      </c>
      <c r="C28" s="159">
        <f t="shared" si="0"/>
        <v>716663</v>
      </c>
      <c r="D28" s="160"/>
      <c r="E28" s="161"/>
      <c r="G28" s="6"/>
      <c r="H28" s="39"/>
      <c r="I28" s="28"/>
      <c r="J28" s="6" t="s">
        <v>92</v>
      </c>
      <c r="K28" s="39" t="s">
        <v>203</v>
      </c>
      <c r="L28" s="28">
        <v>-40490</v>
      </c>
      <c r="M28" s="6" t="s">
        <v>213</v>
      </c>
      <c r="N28" s="39" t="s">
        <v>227</v>
      </c>
      <c r="O28" s="26">
        <v>-100000</v>
      </c>
      <c r="P28" s="5"/>
      <c r="Q28" s="6"/>
      <c r="R28" s="39"/>
      <c r="S28" s="28"/>
      <c r="T28" s="6" t="s">
        <v>111</v>
      </c>
      <c r="U28" s="39" t="s">
        <v>105</v>
      </c>
      <c r="V28" s="28">
        <v>-2500</v>
      </c>
      <c r="W28" s="6" t="s">
        <v>88</v>
      </c>
      <c r="X28" s="39" t="s">
        <v>231</v>
      </c>
      <c r="Y28" s="26">
        <v>1</v>
      </c>
    </row>
    <row r="29" spans="2:25" x14ac:dyDescent="0.3">
      <c r="B29" s="49" t="s">
        <v>94</v>
      </c>
      <c r="C29" s="159">
        <f t="shared" si="0"/>
        <v>277910</v>
      </c>
      <c r="D29" s="160"/>
      <c r="E29" s="161"/>
      <c r="G29" s="6"/>
      <c r="H29" s="39"/>
      <c r="I29" s="28"/>
      <c r="J29" s="6" t="s">
        <v>94</v>
      </c>
      <c r="K29" s="39" t="s">
        <v>350</v>
      </c>
      <c r="L29" s="28">
        <v>-6800</v>
      </c>
      <c r="M29" s="6" t="s">
        <v>101</v>
      </c>
      <c r="N29" s="39" t="s">
        <v>312</v>
      </c>
      <c r="O29" s="26">
        <v>-17800</v>
      </c>
      <c r="P29" s="5"/>
      <c r="Q29" s="6"/>
      <c r="R29" s="39"/>
      <c r="S29" s="28"/>
      <c r="T29" s="6" t="s">
        <v>111</v>
      </c>
      <c r="U29" s="39" t="s">
        <v>367</v>
      </c>
      <c r="V29" s="28">
        <v>-45900</v>
      </c>
      <c r="W29" s="6" t="s">
        <v>101</v>
      </c>
      <c r="X29" s="39" t="s">
        <v>105</v>
      </c>
      <c r="Y29" s="26">
        <v>-2500</v>
      </c>
    </row>
    <row r="30" spans="2:25" x14ac:dyDescent="0.3">
      <c r="B30" s="49" t="s">
        <v>92</v>
      </c>
      <c r="C30" s="159">
        <f t="shared" si="0"/>
        <v>311950</v>
      </c>
      <c r="D30" s="160"/>
      <c r="E30" s="161"/>
      <c r="G30" s="6"/>
      <c r="H30" s="39"/>
      <c r="I30" s="28"/>
      <c r="J30" s="6" t="s">
        <v>94</v>
      </c>
      <c r="K30" s="39" t="s">
        <v>105</v>
      </c>
      <c r="L30" s="28">
        <v>-2500</v>
      </c>
      <c r="M30" s="6" t="s">
        <v>101</v>
      </c>
      <c r="N30" s="39" t="s">
        <v>265</v>
      </c>
      <c r="O30" s="26">
        <v>2500</v>
      </c>
      <c r="P30" s="5"/>
      <c r="Q30" s="6"/>
      <c r="R30" s="39"/>
      <c r="S30" s="28"/>
      <c r="T30" s="6" t="s">
        <v>111</v>
      </c>
      <c r="U30" s="39" t="s">
        <v>368</v>
      </c>
      <c r="V30" s="28">
        <v>-19000</v>
      </c>
      <c r="W30" s="6" t="s">
        <v>101</v>
      </c>
      <c r="X30" s="39" t="s">
        <v>105</v>
      </c>
      <c r="Y30" s="26">
        <v>-2500</v>
      </c>
    </row>
    <row r="31" spans="2:25" x14ac:dyDescent="0.3">
      <c r="B31" s="49" t="s">
        <v>96</v>
      </c>
      <c r="C31" s="159">
        <f t="shared" si="0"/>
        <v>28060</v>
      </c>
      <c r="D31" s="160"/>
      <c r="E31" s="161"/>
      <c r="G31" s="6"/>
      <c r="H31" s="39"/>
      <c r="I31" s="28"/>
      <c r="J31" s="6" t="s">
        <v>94</v>
      </c>
      <c r="K31" s="39" t="s">
        <v>105</v>
      </c>
      <c r="L31" s="28">
        <v>-100000</v>
      </c>
      <c r="M31" s="6" t="s">
        <v>101</v>
      </c>
      <c r="N31" s="39" t="s">
        <v>303</v>
      </c>
      <c r="O31" s="26">
        <v>2500</v>
      </c>
      <c r="P31" s="5"/>
      <c r="Q31" s="6"/>
      <c r="R31" s="39"/>
      <c r="S31" s="28"/>
      <c r="T31" s="6" t="s">
        <v>93</v>
      </c>
      <c r="U31" s="39" t="s">
        <v>369</v>
      </c>
      <c r="V31" s="28">
        <v>-10000</v>
      </c>
      <c r="W31" s="6" t="s">
        <v>101</v>
      </c>
      <c r="X31" s="39" t="s">
        <v>105</v>
      </c>
      <c r="Y31" s="26">
        <v>-191990</v>
      </c>
    </row>
    <row r="32" spans="2:25" x14ac:dyDescent="0.3">
      <c r="B32" s="49" t="s">
        <v>93</v>
      </c>
      <c r="C32" s="159">
        <f t="shared" si="0"/>
        <v>729450</v>
      </c>
      <c r="D32" s="160"/>
      <c r="E32" s="161"/>
      <c r="G32" s="6"/>
      <c r="H32" s="39"/>
      <c r="I32" s="28"/>
      <c r="J32" s="6" t="s">
        <v>99</v>
      </c>
      <c r="K32" s="39" t="s">
        <v>297</v>
      </c>
      <c r="L32" s="28">
        <v>-10000</v>
      </c>
      <c r="M32" s="6" t="s">
        <v>88</v>
      </c>
      <c r="N32" s="39" t="s">
        <v>212</v>
      </c>
      <c r="O32" s="26">
        <v>290000</v>
      </c>
      <c r="P32" s="5"/>
      <c r="Q32" s="6"/>
      <c r="R32" s="39"/>
      <c r="S32" s="28"/>
      <c r="T32" s="6" t="s">
        <v>111</v>
      </c>
      <c r="U32" s="39" t="s">
        <v>105</v>
      </c>
      <c r="V32" s="28">
        <v>-2500</v>
      </c>
      <c r="W32" s="6"/>
      <c r="X32" s="39"/>
      <c r="Y32" s="26"/>
    </row>
    <row r="33" spans="2:25" x14ac:dyDescent="0.3">
      <c r="B33" s="49" t="s">
        <v>103</v>
      </c>
      <c r="C33" s="159">
        <f t="shared" si="0"/>
        <v>6100</v>
      </c>
      <c r="D33" s="160"/>
      <c r="E33" s="161"/>
      <c r="G33" s="6"/>
      <c r="H33" s="39"/>
      <c r="I33" s="28"/>
      <c r="J33" s="6" t="s">
        <v>93</v>
      </c>
      <c r="K33" s="39" t="s">
        <v>352</v>
      </c>
      <c r="L33" s="28">
        <v>-110000</v>
      </c>
      <c r="M33" s="6"/>
      <c r="N33" s="39"/>
      <c r="O33" s="26"/>
      <c r="P33" s="5"/>
      <c r="Q33" s="6"/>
      <c r="R33" s="39"/>
      <c r="S33" s="28"/>
      <c r="T33" s="6" t="s">
        <v>99</v>
      </c>
      <c r="U33" s="39" t="s">
        <v>370</v>
      </c>
      <c r="V33" s="28">
        <v>-5651</v>
      </c>
      <c r="W33" s="6"/>
      <c r="X33" s="39"/>
      <c r="Y33" s="26"/>
    </row>
    <row r="34" spans="2:25" x14ac:dyDescent="0.3">
      <c r="B34" s="49" t="s">
        <v>99</v>
      </c>
      <c r="C34" s="159">
        <f t="shared" si="0"/>
        <v>90200</v>
      </c>
      <c r="D34" s="160"/>
      <c r="E34" s="161"/>
      <c r="G34" s="6"/>
      <c r="H34" s="39"/>
      <c r="I34" s="28"/>
      <c r="J34" s="6" t="s">
        <v>93</v>
      </c>
      <c r="K34" s="39" t="s">
        <v>352</v>
      </c>
      <c r="L34" s="28">
        <v>-120000</v>
      </c>
      <c r="M34" s="6"/>
      <c r="N34" s="39"/>
      <c r="O34" s="26"/>
      <c r="P34" s="5"/>
      <c r="Q34" s="6"/>
      <c r="R34" s="39"/>
      <c r="S34" s="28"/>
      <c r="T34" s="6" t="s">
        <v>99</v>
      </c>
      <c r="U34" s="39" t="s">
        <v>370</v>
      </c>
      <c r="V34" s="28">
        <v>-37849</v>
      </c>
      <c r="W34" s="6"/>
      <c r="X34" s="39"/>
      <c r="Y34" s="26"/>
    </row>
    <row r="35" spans="2:25" x14ac:dyDescent="0.3">
      <c r="B35" s="49" t="s">
        <v>120</v>
      </c>
      <c r="C35" s="159">
        <f t="shared" si="0"/>
        <v>-37000</v>
      </c>
      <c r="D35" s="160"/>
      <c r="E35" s="161"/>
      <c r="G35" s="6"/>
      <c r="H35" s="39"/>
      <c r="I35" s="28"/>
      <c r="J35" s="6" t="s">
        <v>96</v>
      </c>
      <c r="K35" s="39" t="s">
        <v>353</v>
      </c>
      <c r="L35" s="28">
        <v>-1000</v>
      </c>
      <c r="M35" s="6"/>
      <c r="N35" s="39"/>
      <c r="O35" s="26"/>
      <c r="P35" s="5"/>
      <c r="Q35" s="6"/>
      <c r="R35" s="39"/>
      <c r="S35" s="28"/>
      <c r="T35" s="6" t="s">
        <v>90</v>
      </c>
      <c r="U35" s="39" t="s">
        <v>371</v>
      </c>
      <c r="V35" s="28">
        <v>-4370</v>
      </c>
      <c r="W35" s="6"/>
      <c r="X35" s="39"/>
      <c r="Y35" s="26"/>
    </row>
    <row r="36" spans="2:25" x14ac:dyDescent="0.3">
      <c r="B36" s="49" t="s">
        <v>91</v>
      </c>
      <c r="C36" s="159">
        <f t="shared" si="0"/>
        <v>68090</v>
      </c>
      <c r="D36" s="160"/>
      <c r="E36" s="161"/>
      <c r="G36" s="6"/>
      <c r="H36" s="39"/>
      <c r="I36" s="28"/>
      <c r="J36" s="6" t="s">
        <v>89</v>
      </c>
      <c r="K36" s="39" t="s">
        <v>223</v>
      </c>
      <c r="L36" s="28">
        <v>-36120</v>
      </c>
      <c r="M36" s="6"/>
      <c r="N36" s="39"/>
      <c r="O36" s="26"/>
      <c r="P36" s="5"/>
      <c r="Q36" s="6"/>
      <c r="R36" s="39"/>
      <c r="S36" s="28"/>
      <c r="T36" s="6" t="s">
        <v>99</v>
      </c>
      <c r="U36" s="39" t="s">
        <v>372</v>
      </c>
      <c r="V36" s="28">
        <v>-4200</v>
      </c>
      <c r="W36" s="6"/>
      <c r="X36" s="39"/>
      <c r="Y36" s="26"/>
    </row>
    <row r="37" spans="2:25" x14ac:dyDescent="0.3">
      <c r="B37" s="49" t="s">
        <v>102</v>
      </c>
      <c r="C37" s="159">
        <f t="shared" si="0"/>
        <v>0</v>
      </c>
      <c r="D37" s="160"/>
      <c r="E37" s="161"/>
      <c r="G37" s="6"/>
      <c r="H37" s="39"/>
      <c r="I37" s="28"/>
      <c r="J37" s="6" t="s">
        <v>89</v>
      </c>
      <c r="K37" s="39" t="s">
        <v>342</v>
      </c>
      <c r="L37" s="28">
        <v>-3000000</v>
      </c>
      <c r="M37" s="6"/>
      <c r="N37" s="39"/>
      <c r="O37" s="26"/>
      <c r="P37" s="5"/>
      <c r="Q37" s="6"/>
      <c r="R37" s="39"/>
      <c r="S37" s="28"/>
      <c r="T37" s="6" t="s">
        <v>92</v>
      </c>
      <c r="U37" s="39" t="s">
        <v>203</v>
      </c>
      <c r="V37" s="28">
        <v>-28500</v>
      </c>
      <c r="W37" s="6"/>
      <c r="X37" s="39"/>
      <c r="Y37" s="26"/>
    </row>
    <row r="38" spans="2:25" x14ac:dyDescent="0.3">
      <c r="B38" s="49" t="s">
        <v>118</v>
      </c>
      <c r="C38" s="159">
        <f t="shared" si="0"/>
        <v>0</v>
      </c>
      <c r="D38" s="160"/>
      <c r="E38" s="161"/>
      <c r="G38" s="6"/>
      <c r="H38" s="39"/>
      <c r="I38" s="28"/>
      <c r="J38" s="6" t="s">
        <v>89</v>
      </c>
      <c r="K38" s="39" t="s">
        <v>355</v>
      </c>
      <c r="L38" s="28">
        <v>-10000</v>
      </c>
      <c r="M38" s="6"/>
      <c r="N38" s="39"/>
      <c r="O38" s="26"/>
      <c r="P38" s="5"/>
      <c r="Q38" s="6"/>
      <c r="R38" s="39"/>
      <c r="S38" s="28"/>
      <c r="T38" s="6" t="s">
        <v>111</v>
      </c>
      <c r="U38" s="39" t="s">
        <v>373</v>
      </c>
      <c r="V38" s="28">
        <v>-13350</v>
      </c>
      <c r="W38" s="6"/>
      <c r="X38" s="39"/>
      <c r="Y38" s="26"/>
    </row>
    <row r="39" spans="2:25" x14ac:dyDescent="0.3">
      <c r="B39" s="49" t="s">
        <v>108</v>
      </c>
      <c r="C39" s="159">
        <f t="shared" si="0"/>
        <v>0</v>
      </c>
      <c r="D39" s="160"/>
      <c r="E39" s="161"/>
      <c r="G39" s="6"/>
      <c r="H39" s="39"/>
      <c r="I39" s="28"/>
      <c r="J39" s="6" t="s">
        <v>89</v>
      </c>
      <c r="K39" s="39" t="s">
        <v>105</v>
      </c>
      <c r="L39" s="28">
        <v>-55450</v>
      </c>
      <c r="M39" s="6"/>
      <c r="N39" s="39"/>
      <c r="O39" s="26"/>
      <c r="P39" s="5"/>
      <c r="Q39" s="6"/>
      <c r="R39" s="39"/>
      <c r="S39" s="28"/>
      <c r="T39" s="6" t="s">
        <v>111</v>
      </c>
      <c r="U39" s="39" t="s">
        <v>105</v>
      </c>
      <c r="V39" s="28">
        <v>-2500</v>
      </c>
      <c r="W39" s="6"/>
      <c r="X39" s="39"/>
      <c r="Y39" s="26"/>
    </row>
    <row r="40" spans="2:25" x14ac:dyDescent="0.3">
      <c r="B40" s="49" t="s">
        <v>129</v>
      </c>
      <c r="C40" s="159">
        <f t="shared" si="0"/>
        <v>0</v>
      </c>
      <c r="D40" s="160"/>
      <c r="E40" s="161"/>
      <c r="G40" s="6"/>
      <c r="H40" s="39"/>
      <c r="I40" s="28"/>
      <c r="J40" s="6" t="s">
        <v>89</v>
      </c>
      <c r="K40" s="39" t="s">
        <v>105</v>
      </c>
      <c r="L40" s="28">
        <v>-2500</v>
      </c>
      <c r="M40" s="6"/>
      <c r="N40" s="39"/>
      <c r="O40" s="26"/>
      <c r="P40" s="5"/>
      <c r="Q40" s="6"/>
      <c r="R40" s="39"/>
      <c r="S40" s="28"/>
      <c r="T40" s="6" t="s">
        <v>90</v>
      </c>
      <c r="U40" s="39" t="s">
        <v>98</v>
      </c>
      <c r="V40" s="28">
        <v>-160000</v>
      </c>
      <c r="W40" s="6"/>
      <c r="X40" s="39"/>
      <c r="Y40" s="26"/>
    </row>
    <row r="41" spans="2:25" x14ac:dyDescent="0.3">
      <c r="B41" s="49" t="s">
        <v>100</v>
      </c>
      <c r="C41" s="159">
        <f t="shared" si="0"/>
        <v>0</v>
      </c>
      <c r="D41" s="160"/>
      <c r="E41" s="161"/>
      <c r="G41" s="6"/>
      <c r="H41" s="39"/>
      <c r="I41" s="28"/>
      <c r="J41" s="6" t="s">
        <v>99</v>
      </c>
      <c r="K41" s="39" t="s">
        <v>357</v>
      </c>
      <c r="L41" s="28">
        <v>-7500</v>
      </c>
      <c r="M41" s="6"/>
      <c r="N41" s="39"/>
      <c r="O41" s="26"/>
      <c r="P41" s="5"/>
      <c r="Q41" s="6"/>
      <c r="R41" s="39"/>
      <c r="S41" s="28"/>
      <c r="T41" s="6" t="s">
        <v>90</v>
      </c>
      <c r="U41" s="39" t="s">
        <v>127</v>
      </c>
      <c r="V41" s="28">
        <v>-8050</v>
      </c>
      <c r="W41" s="6"/>
      <c r="X41" s="39"/>
      <c r="Y41" s="26"/>
    </row>
    <row r="42" spans="2:25" x14ac:dyDescent="0.3">
      <c r="B42" s="49" t="s">
        <v>123</v>
      </c>
      <c r="C42" s="159">
        <f t="shared" si="0"/>
        <v>0</v>
      </c>
      <c r="D42" s="160"/>
      <c r="E42" s="161"/>
      <c r="G42" s="6"/>
      <c r="H42" s="39"/>
      <c r="I42" s="28"/>
      <c r="J42" s="6" t="s">
        <v>90</v>
      </c>
      <c r="K42" s="39" t="s">
        <v>307</v>
      </c>
      <c r="L42" s="28">
        <v>-1200</v>
      </c>
      <c r="M42" s="6"/>
      <c r="N42" s="39"/>
      <c r="O42" s="26"/>
      <c r="P42" s="5"/>
      <c r="Q42" s="6"/>
      <c r="R42" s="39"/>
      <c r="S42" s="28"/>
      <c r="T42" s="6" t="s">
        <v>91</v>
      </c>
      <c r="U42" s="39" t="s">
        <v>278</v>
      </c>
      <c r="V42" s="28">
        <v>-8000</v>
      </c>
      <c r="W42" s="6"/>
      <c r="X42" s="39"/>
      <c r="Y42" s="26"/>
    </row>
    <row r="43" spans="2:25" x14ac:dyDescent="0.3">
      <c r="B43" s="49" t="s">
        <v>111</v>
      </c>
      <c r="C43" s="159">
        <f t="shared" si="0"/>
        <v>227860</v>
      </c>
      <c r="D43" s="160"/>
      <c r="E43" s="161"/>
      <c r="G43" s="6"/>
      <c r="H43" s="39"/>
      <c r="I43" s="28"/>
      <c r="J43" s="6" t="s">
        <v>90</v>
      </c>
      <c r="K43" s="39" t="s">
        <v>358</v>
      </c>
      <c r="L43" s="28">
        <v>-300000</v>
      </c>
      <c r="M43" s="6"/>
      <c r="N43" s="39"/>
      <c r="O43" s="26"/>
      <c r="P43" s="5"/>
      <c r="Q43" s="6"/>
      <c r="R43" s="39"/>
      <c r="S43" s="28"/>
      <c r="T43" s="6" t="s">
        <v>111</v>
      </c>
      <c r="U43" s="39" t="s">
        <v>105</v>
      </c>
      <c r="V43" s="28">
        <v>-2500</v>
      </c>
      <c r="W43" s="6"/>
      <c r="X43" s="39"/>
      <c r="Y43" s="26"/>
    </row>
    <row r="44" spans="2:25" x14ac:dyDescent="0.3">
      <c r="B44" s="49" t="s">
        <v>116</v>
      </c>
      <c r="C44" s="159">
        <f t="shared" si="0"/>
        <v>37000</v>
      </c>
      <c r="D44" s="160"/>
      <c r="E44" s="161"/>
      <c r="G44" s="6"/>
      <c r="H44" s="39"/>
      <c r="I44" s="28"/>
      <c r="J44" s="6" t="s">
        <v>96</v>
      </c>
      <c r="K44" s="39" t="s">
        <v>359</v>
      </c>
      <c r="L44" s="28">
        <v>-18100</v>
      </c>
      <c r="M44" s="6"/>
      <c r="N44" s="39"/>
      <c r="O44" s="26"/>
      <c r="P44" s="5"/>
      <c r="Q44" s="6"/>
      <c r="R44" s="39"/>
      <c r="S44" s="28"/>
      <c r="T44" s="6" t="s">
        <v>93</v>
      </c>
      <c r="U44" s="39" t="s">
        <v>352</v>
      </c>
      <c r="V44" s="28">
        <v>-220000</v>
      </c>
      <c r="W44" s="6"/>
      <c r="X44" s="39"/>
      <c r="Y44" s="26"/>
    </row>
    <row r="45" spans="2:25" x14ac:dyDescent="0.3">
      <c r="B45" s="49" t="s">
        <v>112</v>
      </c>
      <c r="C45" s="159">
        <f t="shared" si="0"/>
        <v>0</v>
      </c>
      <c r="D45" s="160"/>
      <c r="E45" s="161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 t="s">
        <v>91</v>
      </c>
      <c r="U45" s="39" t="s">
        <v>97</v>
      </c>
      <c r="V45" s="28">
        <v>-990</v>
      </c>
      <c r="W45" s="6"/>
      <c r="X45" s="39"/>
      <c r="Y45" s="26"/>
    </row>
    <row r="46" spans="2:25" x14ac:dyDescent="0.3">
      <c r="B46" s="50" t="s">
        <v>126</v>
      </c>
      <c r="C46" s="159">
        <f t="shared" si="0"/>
        <v>33400</v>
      </c>
      <c r="D46" s="160"/>
      <c r="E46" s="161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 t="s">
        <v>92</v>
      </c>
      <c r="U46" s="39" t="s">
        <v>299</v>
      </c>
      <c r="V46" s="28">
        <v>-242960</v>
      </c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 t="s">
        <v>111</v>
      </c>
      <c r="U47" s="39" t="s">
        <v>113</v>
      </c>
      <c r="V47" s="28">
        <v>-1500</v>
      </c>
      <c r="W47" s="6"/>
      <c r="X47" s="39"/>
      <c r="Y47" s="26"/>
    </row>
    <row r="48" spans="2:25" x14ac:dyDescent="0.3">
      <c r="B48" s="45" t="s">
        <v>139</v>
      </c>
      <c r="C48" s="162" t="str">
        <f>IF(ABS(SUM(C27:E46))&lt;&gt;ABS(SUM(L89,V89)),"항목 추가해주세요","-")</f>
        <v>-</v>
      </c>
      <c r="D48" s="163"/>
      <c r="E48" s="164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 t="s">
        <v>90</v>
      </c>
      <c r="U48" s="39" t="s">
        <v>236</v>
      </c>
      <c r="V48" s="28">
        <v>-108663</v>
      </c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 t="s">
        <v>90</v>
      </c>
      <c r="U49" s="39" t="s">
        <v>377</v>
      </c>
      <c r="V49" s="28">
        <v>-2980</v>
      </c>
      <c r="W49" s="6"/>
      <c r="X49" s="39"/>
      <c r="Y49" s="26"/>
    </row>
    <row r="50" spans="2:25" x14ac:dyDescent="0.3">
      <c r="B50" s="136" t="s">
        <v>150</v>
      </c>
      <c r="C50" s="168"/>
      <c r="D50" s="168"/>
      <c r="E50" s="137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 t="s">
        <v>90</v>
      </c>
      <c r="U50" s="39" t="s">
        <v>330</v>
      </c>
      <c r="V50" s="28">
        <v>-1500</v>
      </c>
      <c r="W50" s="6"/>
      <c r="X50" s="39"/>
      <c r="Y50" s="26"/>
    </row>
    <row r="51" spans="2:25" x14ac:dyDescent="0.3">
      <c r="B51" s="48" t="s">
        <v>28</v>
      </c>
      <c r="C51" s="165" t="s">
        <v>30</v>
      </c>
      <c r="D51" s="166"/>
      <c r="E51" s="167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 t="s">
        <v>90</v>
      </c>
      <c r="U51" s="39" t="s">
        <v>330</v>
      </c>
      <c r="V51" s="28">
        <v>-9700</v>
      </c>
      <c r="W51" s="6"/>
      <c r="X51" s="39"/>
      <c r="Y51" s="26"/>
    </row>
    <row r="52" spans="2:25" x14ac:dyDescent="0.3">
      <c r="B52" s="48" t="s">
        <v>146</v>
      </c>
      <c r="C52" s="159">
        <f>(SUMIF($G$7:$G$88,B52,$I$7:$I$88)+SUMIF($Q$7:$Q$88,B52,$S$7:$S$88))</f>
        <v>9</v>
      </c>
      <c r="D52" s="160"/>
      <c r="E52" s="161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 t="s">
        <v>90</v>
      </c>
      <c r="U52" s="39" t="s">
        <v>378</v>
      </c>
      <c r="V52" s="28">
        <v>-2880</v>
      </c>
      <c r="W52" s="6"/>
      <c r="X52" s="39"/>
      <c r="Y52" s="26"/>
    </row>
    <row r="53" spans="2:25" x14ac:dyDescent="0.3">
      <c r="B53" s="49" t="s">
        <v>147</v>
      </c>
      <c r="C53" s="159">
        <f>(SUMIF($G$7:$G$88,B53,$I$7:$I$88)+SUMIF($Q$7:$Q$88,B53,$S$7:$S$88))</f>
        <v>20262004</v>
      </c>
      <c r="D53" s="160"/>
      <c r="E53" s="161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 t="s">
        <v>90</v>
      </c>
      <c r="U53" s="39" t="s">
        <v>379</v>
      </c>
      <c r="V53" s="28">
        <v>-47900</v>
      </c>
      <c r="W53" s="6"/>
      <c r="X53" s="39"/>
      <c r="Y53" s="26"/>
    </row>
    <row r="54" spans="2:25" x14ac:dyDescent="0.3">
      <c r="B54" s="49" t="s">
        <v>148</v>
      </c>
      <c r="C54" s="159">
        <f>(SUMIF($G$7:$G$88,B54,$I$7:$I$88)+SUMIF($Q$7:$Q$88,B54,$S$7:$S$88))</f>
        <v>0</v>
      </c>
      <c r="D54" s="160"/>
      <c r="E54" s="161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 t="s">
        <v>111</v>
      </c>
      <c r="U54" s="39" t="s">
        <v>380</v>
      </c>
      <c r="V54" s="28">
        <v>-68500</v>
      </c>
      <c r="W54" s="6"/>
      <c r="X54" s="39"/>
      <c r="Y54" s="26"/>
    </row>
    <row r="55" spans="2:25" x14ac:dyDescent="0.3">
      <c r="B55" s="50" t="s">
        <v>149</v>
      </c>
      <c r="C55" s="159">
        <f>(SUMIF($G$7:$G$88,B55,$I$7:$I$88)+SUMIF($Q$7:$Q$88,B55,$S$7:$S$88))</f>
        <v>0</v>
      </c>
      <c r="D55" s="160"/>
      <c r="E55" s="161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 t="s">
        <v>90</v>
      </c>
      <c r="U55" s="39" t="s">
        <v>381</v>
      </c>
      <c r="V55" s="28">
        <v>-102</v>
      </c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 t="s">
        <v>90</v>
      </c>
      <c r="U56" s="39" t="s">
        <v>381</v>
      </c>
      <c r="V56" s="28">
        <v>-37448</v>
      </c>
      <c r="W56" s="6"/>
      <c r="X56" s="39"/>
      <c r="Y56" s="26"/>
    </row>
    <row r="57" spans="2:25" x14ac:dyDescent="0.3">
      <c r="B57" s="45" t="s">
        <v>139</v>
      </c>
      <c r="C57" s="162" t="str">
        <f>IF(ABS(SUM(C52:E55))&lt;&gt;ABS(SUM(I89,S89)),"항목 추가해주세요","-")</f>
        <v>-</v>
      </c>
      <c r="D57" s="163"/>
      <c r="E57" s="164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 t="s">
        <v>93</v>
      </c>
      <c r="U57" s="39" t="s">
        <v>340</v>
      </c>
      <c r="V57" s="28">
        <v>-70000</v>
      </c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11226589</v>
      </c>
      <c r="J89" s="7" t="s">
        <v>24</v>
      </c>
      <c r="K89" s="22" t="s">
        <v>34</v>
      </c>
      <c r="L89" s="21">
        <f>SUM(L7:L88)</f>
        <v>-7209680</v>
      </c>
      <c r="M89" s="7" t="s">
        <v>24</v>
      </c>
      <c r="N89" s="22" t="s">
        <v>34</v>
      </c>
      <c r="O89" s="21">
        <f>SUM(O7:O88)</f>
        <v>-2607206</v>
      </c>
      <c r="Q89" s="7" t="s">
        <v>24</v>
      </c>
      <c r="R89" s="17" t="s">
        <v>34</v>
      </c>
      <c r="S89" s="19">
        <f>SUM(S7:S88)</f>
        <v>9035424</v>
      </c>
      <c r="T89" s="7" t="s">
        <v>24</v>
      </c>
      <c r="U89" s="22" t="s">
        <v>34</v>
      </c>
      <c r="V89" s="21">
        <f>SUM(V7:V88)</f>
        <v>-1400573</v>
      </c>
      <c r="W89" s="7" t="s">
        <v>24</v>
      </c>
      <c r="X89" s="22" t="s">
        <v>34</v>
      </c>
      <c r="Y89" s="21">
        <f>SUM(Y7:Y88)</f>
        <v>2533886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1409703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10168737</v>
      </c>
      <c r="T90" s="37"/>
      <c r="U90" s="37"/>
      <c r="V90" s="37"/>
      <c r="W90" s="37"/>
      <c r="X90" s="37"/>
      <c r="Y90" s="38"/>
    </row>
  </sheetData>
  <mergeCells count="43">
    <mergeCell ref="C45:E45"/>
    <mergeCell ref="C46:E46"/>
    <mergeCell ref="C48:E48"/>
    <mergeCell ref="C40:E40"/>
    <mergeCell ref="C41:E41"/>
    <mergeCell ref="C42:E42"/>
    <mergeCell ref="C43:E43"/>
    <mergeCell ref="C44:E4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  <mergeCell ref="C55:E55"/>
    <mergeCell ref="C57:E57"/>
    <mergeCell ref="B50:E50"/>
    <mergeCell ref="C51:E51"/>
    <mergeCell ref="C52:E52"/>
    <mergeCell ref="C53:E53"/>
    <mergeCell ref="C54:E5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16629-AEE6-4077-A308-ED58B3D86502}">
  <sheetPr codeName="Sheet12">
    <tabColor rgb="FFFFC1E0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5.625" bestFit="1" customWidth="1"/>
    <col min="9" max="9" width="11.75" bestFit="1" customWidth="1"/>
    <col min="10" max="10" width="11" bestFit="1" customWidth="1"/>
    <col min="11" max="11" width="33.125" bestFit="1" customWidth="1"/>
    <col min="12" max="12" width="11.5" bestFit="1" customWidth="1"/>
    <col min="13" max="13" width="11" bestFit="1" customWidth="1"/>
    <col min="14" max="14" width="20" bestFit="1" customWidth="1"/>
    <col min="15" max="15" width="10.625" bestFit="1" customWidth="1"/>
    <col min="16" max="16" width="2.375" customWidth="1"/>
    <col min="18" max="18" width="17.25" bestFit="1" customWidth="1"/>
    <col min="19" max="19" width="11.5" bestFit="1" customWidth="1"/>
    <col min="20" max="20" width="9.75" bestFit="1" customWidth="1"/>
    <col min="21" max="21" width="31.75" bestFit="1" customWidth="1"/>
    <col min="22" max="22" width="11.5" bestFit="1" customWidth="1"/>
    <col min="24" max="24" width="19.25" bestFit="1" customWidth="1"/>
    <col min="25" max="25" width="11.5" bestFit="1" customWidth="1"/>
  </cols>
  <sheetData>
    <row r="2" spans="2:25" ht="24.75" thickBot="1" x14ac:dyDescent="0.35">
      <c r="B2" s="169" t="s">
        <v>26</v>
      </c>
      <c r="C2" s="169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74">
        <v>10000000</v>
      </c>
      <c r="D4" s="174"/>
      <c r="G4" s="182" t="str">
        <f>설정!D4</f>
        <v>천세원</v>
      </c>
      <c r="H4" s="183"/>
      <c r="I4" s="183"/>
      <c r="J4" s="183"/>
      <c r="K4" s="183"/>
      <c r="L4" s="183"/>
      <c r="M4" s="183"/>
      <c r="N4" s="183"/>
      <c r="O4" s="184"/>
      <c r="Q4" s="179" t="str">
        <f>설정!D6</f>
        <v>하유진</v>
      </c>
      <c r="R4" s="180"/>
      <c r="S4" s="180"/>
      <c r="T4" s="180"/>
      <c r="U4" s="180"/>
      <c r="V4" s="180"/>
      <c r="W4" s="180"/>
      <c r="X4" s="180"/>
      <c r="Y4" s="181"/>
    </row>
    <row r="5" spans="2:25" x14ac:dyDescent="0.3">
      <c r="B5" s="2" t="s">
        <v>36</v>
      </c>
      <c r="C5" s="174">
        <f>I90+S90</f>
        <v>835455</v>
      </c>
      <c r="D5" s="174"/>
      <c r="G5" s="136" t="s">
        <v>27</v>
      </c>
      <c r="H5" s="168"/>
      <c r="I5" s="137"/>
      <c r="J5" s="134" t="s">
        <v>31</v>
      </c>
      <c r="K5" s="170"/>
      <c r="L5" s="135"/>
      <c r="M5" s="171" t="s">
        <v>32</v>
      </c>
      <c r="N5" s="172"/>
      <c r="O5" s="173"/>
      <c r="Q5" s="136" t="s">
        <v>27</v>
      </c>
      <c r="R5" s="168"/>
      <c r="S5" s="137"/>
      <c r="T5" s="134" t="s">
        <v>31</v>
      </c>
      <c r="U5" s="170"/>
      <c r="V5" s="135"/>
      <c r="W5" s="171" t="s">
        <v>32</v>
      </c>
      <c r="X5" s="172"/>
      <c r="Y5" s="173"/>
    </row>
    <row r="6" spans="2:25" x14ac:dyDescent="0.3">
      <c r="B6" s="2" t="s">
        <v>38</v>
      </c>
      <c r="C6" s="174">
        <f>C4-C5</f>
        <v>9164545</v>
      </c>
      <c r="D6" s="174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5">
        <f>(C5)/(C4)</f>
        <v>8.3545499999999995E-2</v>
      </c>
      <c r="D7" s="175"/>
      <c r="G7" s="6" t="s">
        <v>208</v>
      </c>
      <c r="H7" s="39" t="s">
        <v>209</v>
      </c>
      <c r="I7" s="28">
        <v>4209949</v>
      </c>
      <c r="J7" s="6" t="s">
        <v>102</v>
      </c>
      <c r="K7" s="39" t="s">
        <v>382</v>
      </c>
      <c r="L7" s="28">
        <v>-290000</v>
      </c>
      <c r="M7" s="6" t="s">
        <v>88</v>
      </c>
      <c r="N7" s="39" t="s">
        <v>383</v>
      </c>
      <c r="O7" s="40">
        <v>455109</v>
      </c>
      <c r="P7" s="5"/>
      <c r="Q7" s="6" t="s">
        <v>86</v>
      </c>
      <c r="R7" s="39" t="s">
        <v>409</v>
      </c>
      <c r="S7" s="28">
        <v>1</v>
      </c>
      <c r="T7" s="6" t="s">
        <v>102</v>
      </c>
      <c r="U7" s="39" t="s">
        <v>406</v>
      </c>
      <c r="V7" s="28">
        <v>-250000</v>
      </c>
      <c r="W7" s="6" t="s">
        <v>116</v>
      </c>
      <c r="X7" s="39" t="s">
        <v>408</v>
      </c>
      <c r="Y7" s="40">
        <v>-27500</v>
      </c>
    </row>
    <row r="8" spans="2:25" x14ac:dyDescent="0.3">
      <c r="G8" s="6" t="s">
        <v>86</v>
      </c>
      <c r="H8" s="39" t="s">
        <v>217</v>
      </c>
      <c r="I8" s="28">
        <v>0</v>
      </c>
      <c r="J8" s="6" t="s">
        <v>94</v>
      </c>
      <c r="K8" s="39" t="s">
        <v>293</v>
      </c>
      <c r="L8" s="28">
        <v>-33800</v>
      </c>
      <c r="M8" s="6" t="s">
        <v>107</v>
      </c>
      <c r="N8" s="39" t="s">
        <v>110</v>
      </c>
      <c r="O8" s="26">
        <v>-471633</v>
      </c>
      <c r="P8" s="5"/>
      <c r="Q8" s="6" t="s">
        <v>116</v>
      </c>
      <c r="R8" s="39" t="s">
        <v>418</v>
      </c>
      <c r="S8" s="28">
        <v>2</v>
      </c>
      <c r="T8" s="6" t="s">
        <v>111</v>
      </c>
      <c r="U8" s="39" t="s">
        <v>335</v>
      </c>
      <c r="V8" s="28">
        <v>-159090</v>
      </c>
      <c r="W8" s="6" t="s">
        <v>101</v>
      </c>
      <c r="X8" s="39" t="s">
        <v>338</v>
      </c>
      <c r="Y8" s="26">
        <v>50000</v>
      </c>
    </row>
    <row r="9" spans="2:25" x14ac:dyDescent="0.3">
      <c r="G9" s="6"/>
      <c r="H9" s="39"/>
      <c r="I9" s="28"/>
      <c r="J9" s="6" t="s">
        <v>108</v>
      </c>
      <c r="K9" s="39" t="s">
        <v>145</v>
      </c>
      <c r="L9" s="28">
        <v>-18000</v>
      </c>
      <c r="M9" s="6" t="s">
        <v>116</v>
      </c>
      <c r="N9" s="39" t="s">
        <v>329</v>
      </c>
      <c r="O9" s="26">
        <v>-200000</v>
      </c>
      <c r="P9" s="5"/>
      <c r="Q9" s="6" t="s">
        <v>425</v>
      </c>
      <c r="R9" s="39" t="s">
        <v>426</v>
      </c>
      <c r="S9" s="28">
        <v>333227</v>
      </c>
      <c r="T9" s="6" t="s">
        <v>112</v>
      </c>
      <c r="U9" s="39" t="s">
        <v>407</v>
      </c>
      <c r="V9" s="28">
        <v>-8126</v>
      </c>
      <c r="W9" s="6" t="s">
        <v>116</v>
      </c>
      <c r="X9" s="39" t="s">
        <v>225</v>
      </c>
      <c r="Y9" s="26">
        <v>13548</v>
      </c>
    </row>
    <row r="10" spans="2:25" x14ac:dyDescent="0.3">
      <c r="G10" s="6"/>
      <c r="H10" s="39"/>
      <c r="I10" s="28"/>
      <c r="J10" s="6" t="s">
        <v>99</v>
      </c>
      <c r="K10" s="39" t="s">
        <v>384</v>
      </c>
      <c r="L10" s="28">
        <v>-18000</v>
      </c>
      <c r="M10" s="6" t="s">
        <v>213</v>
      </c>
      <c r="N10" s="39" t="s">
        <v>214</v>
      </c>
      <c r="O10" s="26">
        <v>-1000000</v>
      </c>
      <c r="P10" s="5"/>
      <c r="Q10" s="6" t="s">
        <v>208</v>
      </c>
      <c r="R10" s="39" t="s">
        <v>209</v>
      </c>
      <c r="S10" s="28">
        <v>4052794</v>
      </c>
      <c r="T10" s="6" t="s">
        <v>112</v>
      </c>
      <c r="U10" s="39" t="s">
        <v>407</v>
      </c>
      <c r="V10" s="28">
        <v>-183874</v>
      </c>
      <c r="W10" s="6" t="s">
        <v>101</v>
      </c>
      <c r="X10" s="39" t="s">
        <v>414</v>
      </c>
      <c r="Y10" s="26">
        <v>-20000</v>
      </c>
    </row>
    <row r="11" spans="2:25" x14ac:dyDescent="0.3">
      <c r="G11" s="6"/>
      <c r="H11" s="39"/>
      <c r="I11" s="28"/>
      <c r="J11" s="6" t="s">
        <v>89</v>
      </c>
      <c r="K11" s="39" t="s">
        <v>105</v>
      </c>
      <c r="L11" s="28">
        <v>-50000</v>
      </c>
      <c r="M11" s="6" t="s">
        <v>213</v>
      </c>
      <c r="N11" s="39" t="s">
        <v>214</v>
      </c>
      <c r="O11" s="26">
        <v>-1000000</v>
      </c>
      <c r="P11" s="5"/>
      <c r="Q11" s="6" t="s">
        <v>86</v>
      </c>
      <c r="R11" s="39" t="s">
        <v>232</v>
      </c>
      <c r="S11" s="28">
        <v>9</v>
      </c>
      <c r="T11" s="6" t="s">
        <v>111</v>
      </c>
      <c r="U11" s="39" t="s">
        <v>279</v>
      </c>
      <c r="V11" s="28">
        <v>-4227</v>
      </c>
      <c r="W11" s="6" t="s">
        <v>101</v>
      </c>
      <c r="X11" s="39" t="s">
        <v>414</v>
      </c>
      <c r="Y11" s="26">
        <v>-20000</v>
      </c>
    </row>
    <row r="12" spans="2:25" x14ac:dyDescent="0.3">
      <c r="G12" s="6"/>
      <c r="H12" s="39"/>
      <c r="I12" s="28"/>
      <c r="J12" s="6" t="s">
        <v>99</v>
      </c>
      <c r="K12" s="39" t="s">
        <v>385</v>
      </c>
      <c r="L12" s="28">
        <v>-33000</v>
      </c>
      <c r="M12" s="6" t="s">
        <v>213</v>
      </c>
      <c r="N12" s="39" t="s">
        <v>214</v>
      </c>
      <c r="O12" s="26">
        <v>-1000000</v>
      </c>
      <c r="P12" s="5"/>
      <c r="Q12" s="6" t="s">
        <v>86</v>
      </c>
      <c r="R12" s="39" t="s">
        <v>217</v>
      </c>
      <c r="S12" s="28">
        <v>0</v>
      </c>
      <c r="T12" s="6" t="s">
        <v>111</v>
      </c>
      <c r="U12" s="39" t="s">
        <v>279</v>
      </c>
      <c r="V12" s="28">
        <v>-16273</v>
      </c>
      <c r="W12" s="6" t="s">
        <v>101</v>
      </c>
      <c r="X12" s="39" t="s">
        <v>419</v>
      </c>
      <c r="Y12" s="26">
        <v>99116</v>
      </c>
    </row>
    <row r="13" spans="2:25" x14ac:dyDescent="0.3">
      <c r="G13" s="6"/>
      <c r="H13" s="39"/>
      <c r="I13" s="28"/>
      <c r="J13" s="6" t="s">
        <v>89</v>
      </c>
      <c r="K13" s="39" t="s">
        <v>105</v>
      </c>
      <c r="L13" s="28">
        <v>-86000</v>
      </c>
      <c r="M13" s="6" t="s">
        <v>116</v>
      </c>
      <c r="N13" s="39" t="s">
        <v>225</v>
      </c>
      <c r="O13" s="26">
        <v>1129</v>
      </c>
      <c r="P13" s="5"/>
      <c r="Q13" s="6" t="s">
        <v>86</v>
      </c>
      <c r="R13" s="39" t="s">
        <v>438</v>
      </c>
      <c r="S13" s="28">
        <v>1</v>
      </c>
      <c r="T13" s="6" t="s">
        <v>120</v>
      </c>
      <c r="U13" s="39" t="s">
        <v>410</v>
      </c>
      <c r="V13" s="28">
        <v>-11700</v>
      </c>
      <c r="W13" s="6" t="s">
        <v>101</v>
      </c>
      <c r="X13" s="39" t="s">
        <v>419</v>
      </c>
      <c r="Y13" s="26">
        <v>11350</v>
      </c>
    </row>
    <row r="14" spans="2:25" x14ac:dyDescent="0.3">
      <c r="G14" s="6"/>
      <c r="H14" s="39"/>
      <c r="I14" s="28"/>
      <c r="J14" s="6" t="s">
        <v>120</v>
      </c>
      <c r="K14" s="39" t="s">
        <v>386</v>
      </c>
      <c r="L14" s="28">
        <v>-108700</v>
      </c>
      <c r="M14" s="6" t="s">
        <v>88</v>
      </c>
      <c r="N14" s="39" t="s">
        <v>212</v>
      </c>
      <c r="O14" s="26">
        <v>159200</v>
      </c>
      <c r="P14" s="5"/>
      <c r="Q14" s="6" t="s">
        <v>116</v>
      </c>
      <c r="R14" s="39" t="s">
        <v>418</v>
      </c>
      <c r="S14" s="28">
        <v>1</v>
      </c>
      <c r="T14" s="6" t="s">
        <v>120</v>
      </c>
      <c r="U14" s="39" t="s">
        <v>388</v>
      </c>
      <c r="V14" s="28">
        <v>-11700</v>
      </c>
      <c r="W14" s="6" t="s">
        <v>101</v>
      </c>
      <c r="X14" s="39" t="s">
        <v>420</v>
      </c>
      <c r="Y14" s="26">
        <v>99116</v>
      </c>
    </row>
    <row r="15" spans="2:25" x14ac:dyDescent="0.3">
      <c r="G15" s="6"/>
      <c r="H15" s="39"/>
      <c r="I15" s="28"/>
      <c r="J15" s="6" t="s">
        <v>89</v>
      </c>
      <c r="K15" s="39" t="s">
        <v>105</v>
      </c>
      <c r="L15" s="28">
        <v>-2500</v>
      </c>
      <c r="M15" s="6" t="s">
        <v>213</v>
      </c>
      <c r="N15" s="39" t="s">
        <v>338</v>
      </c>
      <c r="O15" s="26">
        <v>35487</v>
      </c>
      <c r="P15" s="5"/>
      <c r="Q15" s="6"/>
      <c r="R15" s="39"/>
      <c r="S15" s="28"/>
      <c r="T15" s="6" t="s">
        <v>120</v>
      </c>
      <c r="U15" s="39" t="s">
        <v>411</v>
      </c>
      <c r="V15" s="28">
        <v>-171000</v>
      </c>
      <c r="W15" s="6" t="s">
        <v>107</v>
      </c>
      <c r="X15" s="39" t="s">
        <v>115</v>
      </c>
      <c r="Y15" s="26">
        <v>-655931</v>
      </c>
    </row>
    <row r="16" spans="2:25" x14ac:dyDescent="0.3">
      <c r="G16" s="6"/>
      <c r="H16" s="39"/>
      <c r="I16" s="28"/>
      <c r="J16" s="6" t="s">
        <v>120</v>
      </c>
      <c r="K16" s="39" t="s">
        <v>387</v>
      </c>
      <c r="L16" s="28">
        <v>-50000</v>
      </c>
      <c r="M16" s="6" t="s">
        <v>213</v>
      </c>
      <c r="N16" s="39" t="s">
        <v>392</v>
      </c>
      <c r="O16" s="26">
        <v>-35487</v>
      </c>
      <c r="P16" s="5"/>
      <c r="Q16" s="6"/>
      <c r="R16" s="39"/>
      <c r="S16" s="28"/>
      <c r="T16" s="6" t="s">
        <v>123</v>
      </c>
      <c r="U16" s="39" t="s">
        <v>412</v>
      </c>
      <c r="V16" s="28">
        <v>-309</v>
      </c>
      <c r="W16" s="6" t="s">
        <v>101</v>
      </c>
      <c r="X16" s="39" t="s">
        <v>423</v>
      </c>
      <c r="Y16" s="26">
        <v>400000</v>
      </c>
    </row>
    <row r="17" spans="2:25" x14ac:dyDescent="0.3">
      <c r="G17" s="6"/>
      <c r="H17" s="39"/>
      <c r="I17" s="28"/>
      <c r="J17" s="6" t="s">
        <v>120</v>
      </c>
      <c r="K17" s="39" t="s">
        <v>388</v>
      </c>
      <c r="L17" s="28">
        <v>-11700</v>
      </c>
      <c r="M17" s="6" t="s">
        <v>213</v>
      </c>
      <c r="N17" s="39" t="s">
        <v>392</v>
      </c>
      <c r="O17" s="26">
        <v>-10000</v>
      </c>
      <c r="P17" s="5"/>
      <c r="Q17" s="6"/>
      <c r="R17" s="39"/>
      <c r="S17" s="28"/>
      <c r="T17" s="6" t="s">
        <v>123</v>
      </c>
      <c r="U17" s="39" t="s">
        <v>412</v>
      </c>
      <c r="V17" s="28">
        <v>-168691</v>
      </c>
      <c r="W17" s="6" t="s">
        <v>101</v>
      </c>
      <c r="X17" s="39" t="s">
        <v>423</v>
      </c>
      <c r="Y17" s="26">
        <v>400000</v>
      </c>
    </row>
    <row r="18" spans="2:25" x14ac:dyDescent="0.3">
      <c r="G18" s="6"/>
      <c r="H18" s="39"/>
      <c r="I18" s="28"/>
      <c r="J18" s="6" t="s">
        <v>103</v>
      </c>
      <c r="K18" s="39" t="s">
        <v>389</v>
      </c>
      <c r="L18" s="28">
        <v>-4200</v>
      </c>
      <c r="M18" s="6" t="s">
        <v>213</v>
      </c>
      <c r="N18" s="39" t="s">
        <v>338</v>
      </c>
      <c r="O18" s="26">
        <v>10000</v>
      </c>
      <c r="P18" s="5"/>
      <c r="Q18" s="6"/>
      <c r="R18" s="39"/>
      <c r="S18" s="28"/>
      <c r="T18" s="6" t="s">
        <v>93</v>
      </c>
      <c r="U18" s="39" t="s">
        <v>413</v>
      </c>
      <c r="V18" s="28">
        <v>-50000</v>
      </c>
      <c r="W18" s="6" t="s">
        <v>101</v>
      </c>
      <c r="X18" s="39" t="s">
        <v>105</v>
      </c>
      <c r="Y18" s="26">
        <v>-43000</v>
      </c>
    </row>
    <row r="19" spans="2:25" x14ac:dyDescent="0.3">
      <c r="G19" s="6"/>
      <c r="H19" s="39"/>
      <c r="I19" s="28"/>
      <c r="J19" s="6" t="s">
        <v>94</v>
      </c>
      <c r="K19" s="39" t="s">
        <v>390</v>
      </c>
      <c r="L19" s="28">
        <v>-25500</v>
      </c>
      <c r="M19" s="6" t="s">
        <v>213</v>
      </c>
      <c r="N19" s="39" t="s">
        <v>338</v>
      </c>
      <c r="O19" s="26">
        <v>10000</v>
      </c>
      <c r="P19" s="5"/>
      <c r="Q19" s="6"/>
      <c r="R19" s="39"/>
      <c r="S19" s="28"/>
      <c r="T19" s="6" t="s">
        <v>90</v>
      </c>
      <c r="U19" s="39" t="s">
        <v>415</v>
      </c>
      <c r="V19" s="28">
        <v>-78500</v>
      </c>
      <c r="W19" s="6" t="s">
        <v>116</v>
      </c>
      <c r="X19" s="39" t="s">
        <v>228</v>
      </c>
      <c r="Y19" s="26">
        <v>-50000000</v>
      </c>
    </row>
    <row r="20" spans="2:25" x14ac:dyDescent="0.3">
      <c r="G20" s="6"/>
      <c r="H20" s="39"/>
      <c r="I20" s="28"/>
      <c r="J20" s="6" t="s">
        <v>90</v>
      </c>
      <c r="K20" s="39" t="s">
        <v>98</v>
      </c>
      <c r="L20" s="28">
        <v>-160000</v>
      </c>
      <c r="M20" s="6" t="s">
        <v>213</v>
      </c>
      <c r="N20" s="39" t="s">
        <v>392</v>
      </c>
      <c r="O20" s="26">
        <v>-10000</v>
      </c>
      <c r="P20" s="5"/>
      <c r="Q20" s="6"/>
      <c r="R20" s="39"/>
      <c r="S20" s="28"/>
      <c r="T20" s="6" t="s">
        <v>90</v>
      </c>
      <c r="U20" s="39" t="s">
        <v>416</v>
      </c>
      <c r="V20" s="28">
        <v>-7850</v>
      </c>
      <c r="W20" s="6" t="s">
        <v>88</v>
      </c>
      <c r="X20" s="39" t="s">
        <v>296</v>
      </c>
      <c r="Y20" s="26">
        <v>50000000</v>
      </c>
    </row>
    <row r="21" spans="2:25" x14ac:dyDescent="0.3">
      <c r="G21" s="6"/>
      <c r="H21" s="39"/>
      <c r="I21" s="28"/>
      <c r="J21" s="6" t="s">
        <v>94</v>
      </c>
      <c r="K21" s="39" t="s">
        <v>95</v>
      </c>
      <c r="L21" s="28">
        <v>-17000</v>
      </c>
      <c r="M21" s="6" t="s">
        <v>101</v>
      </c>
      <c r="N21" s="39" t="s">
        <v>265</v>
      </c>
      <c r="O21" s="26">
        <v>18650</v>
      </c>
      <c r="P21" s="5"/>
      <c r="Q21" s="6"/>
      <c r="R21" s="39"/>
      <c r="S21" s="28"/>
      <c r="T21" s="6" t="s">
        <v>90</v>
      </c>
      <c r="U21" s="39" t="s">
        <v>415</v>
      </c>
      <c r="V21" s="28">
        <v>-10000</v>
      </c>
      <c r="W21" s="6" t="s">
        <v>101</v>
      </c>
      <c r="X21" s="39" t="s">
        <v>431</v>
      </c>
      <c r="Y21" s="26">
        <v>100000</v>
      </c>
    </row>
    <row r="22" spans="2:25" x14ac:dyDescent="0.3">
      <c r="G22" s="6"/>
      <c r="H22" s="39"/>
      <c r="I22" s="28"/>
      <c r="J22" s="6" t="s">
        <v>90</v>
      </c>
      <c r="K22" s="39" t="s">
        <v>204</v>
      </c>
      <c r="L22" s="28">
        <v>-60000</v>
      </c>
      <c r="M22" s="6" t="s">
        <v>107</v>
      </c>
      <c r="N22" s="39" t="s">
        <v>222</v>
      </c>
      <c r="O22" s="26">
        <v>-4200</v>
      </c>
      <c r="P22" s="5"/>
      <c r="Q22" s="6"/>
      <c r="R22" s="39"/>
      <c r="S22" s="28"/>
      <c r="T22" s="6" t="s">
        <v>90</v>
      </c>
      <c r="U22" s="39" t="s">
        <v>416</v>
      </c>
      <c r="V22" s="28">
        <v>-4700</v>
      </c>
      <c r="W22" s="6" t="s">
        <v>88</v>
      </c>
      <c r="X22" s="39" t="s">
        <v>432</v>
      </c>
      <c r="Y22" s="26">
        <v>1</v>
      </c>
    </row>
    <row r="23" spans="2:25" x14ac:dyDescent="0.3">
      <c r="G23" s="6"/>
      <c r="H23" s="39"/>
      <c r="I23" s="28"/>
      <c r="J23" s="6" t="s">
        <v>89</v>
      </c>
      <c r="K23" s="39" t="s">
        <v>105</v>
      </c>
      <c r="L23" s="28">
        <v>-2500</v>
      </c>
      <c r="M23" s="6" t="s">
        <v>213</v>
      </c>
      <c r="N23" s="39" t="s">
        <v>225</v>
      </c>
      <c r="O23" s="26">
        <v>500000</v>
      </c>
      <c r="P23" s="5"/>
      <c r="Q23" s="6"/>
      <c r="R23" s="39"/>
      <c r="S23" s="28"/>
      <c r="T23" s="6" t="s">
        <v>90</v>
      </c>
      <c r="U23" s="39" t="s">
        <v>417</v>
      </c>
      <c r="V23" s="28">
        <v>-22700</v>
      </c>
      <c r="W23" s="6" t="s">
        <v>88</v>
      </c>
      <c r="X23" s="39" t="s">
        <v>231</v>
      </c>
      <c r="Y23" s="26">
        <v>1</v>
      </c>
    </row>
    <row r="24" spans="2:25" x14ac:dyDescent="0.3">
      <c r="G24" s="6"/>
      <c r="H24" s="39"/>
      <c r="I24" s="28"/>
      <c r="J24" s="6" t="s">
        <v>90</v>
      </c>
      <c r="K24" s="39" t="s">
        <v>391</v>
      </c>
      <c r="L24" s="28">
        <v>-3000</v>
      </c>
      <c r="M24" s="6" t="s">
        <v>213</v>
      </c>
      <c r="N24" s="39" t="s">
        <v>402</v>
      </c>
      <c r="O24" s="26">
        <v>-500000</v>
      </c>
      <c r="P24" s="5"/>
      <c r="Q24" s="6"/>
      <c r="R24" s="39"/>
      <c r="S24" s="28"/>
      <c r="T24" s="6" t="s">
        <v>90</v>
      </c>
      <c r="U24" s="39" t="s">
        <v>416</v>
      </c>
      <c r="V24" s="28">
        <v>-1800</v>
      </c>
      <c r="W24" s="6" t="s">
        <v>101</v>
      </c>
      <c r="X24" s="39" t="s">
        <v>109</v>
      </c>
      <c r="Y24" s="26">
        <v>3000000</v>
      </c>
    </row>
    <row r="25" spans="2:25" x14ac:dyDescent="0.3">
      <c r="B25" s="134" t="s">
        <v>143</v>
      </c>
      <c r="C25" s="170"/>
      <c r="D25" s="170"/>
      <c r="E25" s="135"/>
      <c r="G25" s="6"/>
      <c r="H25" s="39"/>
      <c r="I25" s="28"/>
      <c r="J25" s="6" t="s">
        <v>89</v>
      </c>
      <c r="K25" s="39" t="s">
        <v>105</v>
      </c>
      <c r="L25" s="28">
        <v>-2500</v>
      </c>
      <c r="M25" s="6" t="s">
        <v>213</v>
      </c>
      <c r="N25" s="39" t="s">
        <v>403</v>
      </c>
      <c r="O25" s="26">
        <v>-100000</v>
      </c>
      <c r="P25" s="5"/>
      <c r="Q25" s="6"/>
      <c r="R25" s="39"/>
      <c r="S25" s="28"/>
      <c r="T25" s="6" t="s">
        <v>111</v>
      </c>
      <c r="U25" s="39" t="s">
        <v>279</v>
      </c>
      <c r="V25" s="28">
        <v>-27700</v>
      </c>
      <c r="W25" s="6" t="s">
        <v>116</v>
      </c>
      <c r="X25" s="39" t="s">
        <v>433</v>
      </c>
      <c r="Y25" s="26">
        <v>-300000</v>
      </c>
    </row>
    <row r="26" spans="2:25" x14ac:dyDescent="0.3">
      <c r="B26" s="48" t="s">
        <v>28</v>
      </c>
      <c r="C26" s="165" t="s">
        <v>30</v>
      </c>
      <c r="D26" s="166"/>
      <c r="E26" s="167"/>
      <c r="G26" s="6"/>
      <c r="H26" s="39"/>
      <c r="I26" s="28"/>
      <c r="J26" s="6" t="s">
        <v>89</v>
      </c>
      <c r="K26" s="39" t="s">
        <v>105</v>
      </c>
      <c r="L26" s="28">
        <v>-2500</v>
      </c>
      <c r="M26" s="6" t="s">
        <v>213</v>
      </c>
      <c r="N26" s="39" t="s">
        <v>225</v>
      </c>
      <c r="O26" s="26">
        <v>100000</v>
      </c>
      <c r="P26" s="5"/>
      <c r="Q26" s="6"/>
      <c r="R26" s="39"/>
      <c r="S26" s="28"/>
      <c r="T26" s="6" t="s">
        <v>112</v>
      </c>
      <c r="U26" s="39" t="s">
        <v>421</v>
      </c>
      <c r="V26" s="28">
        <v>-63220</v>
      </c>
      <c r="W26" s="6" t="s">
        <v>116</v>
      </c>
      <c r="X26" s="39" t="s">
        <v>225</v>
      </c>
      <c r="Y26" s="26">
        <v>300000</v>
      </c>
    </row>
    <row r="27" spans="2:25" x14ac:dyDescent="0.3">
      <c r="B27" s="48" t="s">
        <v>89</v>
      </c>
      <c r="C27" s="159">
        <f t="shared" ref="C27:C46" si="0">-(SUMIF($J$7:$J$88,B27,$L$7:$L$88)+SUMIF($T$7:$T$88,B27,$V$7:$V$88))</f>
        <v>3847910</v>
      </c>
      <c r="D27" s="160"/>
      <c r="E27" s="161"/>
      <c r="G27" s="6"/>
      <c r="H27" s="39"/>
      <c r="I27" s="28"/>
      <c r="J27" s="6" t="s">
        <v>89</v>
      </c>
      <c r="K27" s="39" t="s">
        <v>308</v>
      </c>
      <c r="L27" s="28">
        <v>-16500</v>
      </c>
      <c r="M27" s="6" t="s">
        <v>101</v>
      </c>
      <c r="N27" s="39" t="s">
        <v>312</v>
      </c>
      <c r="O27" s="26">
        <v>-17800</v>
      </c>
      <c r="P27" s="5"/>
      <c r="Q27" s="6"/>
      <c r="R27" s="39"/>
      <c r="S27" s="28"/>
      <c r="T27" s="6" t="s">
        <v>111</v>
      </c>
      <c r="U27" s="39" t="s">
        <v>113</v>
      </c>
      <c r="V27" s="28">
        <v>-1200</v>
      </c>
      <c r="W27" s="6" t="s">
        <v>101</v>
      </c>
      <c r="X27" s="39" t="s">
        <v>434</v>
      </c>
      <c r="Y27" s="26">
        <v>1</v>
      </c>
    </row>
    <row r="28" spans="2:25" x14ac:dyDescent="0.3">
      <c r="B28" s="49" t="s">
        <v>90</v>
      </c>
      <c r="C28" s="159">
        <f t="shared" si="0"/>
        <v>1029783</v>
      </c>
      <c r="D28" s="160"/>
      <c r="E28" s="161"/>
      <c r="G28" s="6"/>
      <c r="H28" s="39"/>
      <c r="I28" s="28"/>
      <c r="J28" s="6" t="s">
        <v>89</v>
      </c>
      <c r="K28" s="39" t="s">
        <v>105</v>
      </c>
      <c r="L28" s="28">
        <v>-43000</v>
      </c>
      <c r="M28" s="6" t="s">
        <v>107</v>
      </c>
      <c r="N28" s="39" t="s">
        <v>258</v>
      </c>
      <c r="O28" s="26">
        <v>-159200</v>
      </c>
      <c r="P28" s="5"/>
      <c r="Q28" s="6"/>
      <c r="R28" s="39"/>
      <c r="S28" s="28"/>
      <c r="T28" s="6" t="s">
        <v>111</v>
      </c>
      <c r="U28" s="39" t="s">
        <v>113</v>
      </c>
      <c r="V28" s="28">
        <v>-1500</v>
      </c>
      <c r="W28" s="6" t="s">
        <v>116</v>
      </c>
      <c r="X28" s="39" t="s">
        <v>131</v>
      </c>
      <c r="Y28" s="26">
        <v>-20000</v>
      </c>
    </row>
    <row r="29" spans="2:25" x14ac:dyDescent="0.3">
      <c r="B29" s="49" t="s">
        <v>94</v>
      </c>
      <c r="C29" s="159">
        <f t="shared" si="0"/>
        <v>405050</v>
      </c>
      <c r="D29" s="160"/>
      <c r="E29" s="161"/>
      <c r="G29" s="6"/>
      <c r="H29" s="39"/>
      <c r="I29" s="28"/>
      <c r="J29" s="6" t="s">
        <v>89</v>
      </c>
      <c r="K29" s="39" t="s">
        <v>105</v>
      </c>
      <c r="L29" s="28">
        <v>-2500</v>
      </c>
      <c r="M29" s="6" t="s">
        <v>213</v>
      </c>
      <c r="N29" s="39" t="s">
        <v>227</v>
      </c>
      <c r="O29" s="26">
        <v>-100000</v>
      </c>
      <c r="P29" s="5"/>
      <c r="Q29" s="6"/>
      <c r="R29" s="39"/>
      <c r="S29" s="28"/>
      <c r="T29" s="6" t="s">
        <v>120</v>
      </c>
      <c r="U29" s="39" t="s">
        <v>422</v>
      </c>
      <c r="V29" s="28">
        <v>-3420</v>
      </c>
      <c r="W29" s="6" t="s">
        <v>116</v>
      </c>
      <c r="X29" s="39" t="s">
        <v>280</v>
      </c>
      <c r="Y29" s="26">
        <v>20000</v>
      </c>
    </row>
    <row r="30" spans="2:25" x14ac:dyDescent="0.3">
      <c r="B30" s="49" t="s">
        <v>92</v>
      </c>
      <c r="C30" s="159">
        <f t="shared" si="0"/>
        <v>305820</v>
      </c>
      <c r="D30" s="160"/>
      <c r="E30" s="161"/>
      <c r="G30" s="6"/>
      <c r="H30" s="39"/>
      <c r="I30" s="28"/>
      <c r="J30" s="6" t="s">
        <v>89</v>
      </c>
      <c r="K30" s="39" t="s">
        <v>105</v>
      </c>
      <c r="L30" s="28">
        <v>-2500</v>
      </c>
      <c r="M30" s="6" t="s">
        <v>101</v>
      </c>
      <c r="N30" s="39" t="s">
        <v>265</v>
      </c>
      <c r="O30" s="26">
        <v>21500</v>
      </c>
      <c r="P30" s="5"/>
      <c r="Q30" s="6"/>
      <c r="R30" s="39"/>
      <c r="S30" s="28"/>
      <c r="T30" s="6" t="s">
        <v>120</v>
      </c>
      <c r="U30" s="39" t="s">
        <v>422</v>
      </c>
      <c r="V30" s="28">
        <v>-246580</v>
      </c>
      <c r="W30" s="6" t="s">
        <v>101</v>
      </c>
      <c r="X30" s="39" t="s">
        <v>437</v>
      </c>
      <c r="Y30" s="26">
        <v>1</v>
      </c>
    </row>
    <row r="31" spans="2:25" x14ac:dyDescent="0.3">
      <c r="B31" s="49" t="s">
        <v>96</v>
      </c>
      <c r="C31" s="159">
        <f t="shared" si="0"/>
        <v>0</v>
      </c>
      <c r="D31" s="160"/>
      <c r="E31" s="161"/>
      <c r="G31" s="6"/>
      <c r="H31" s="39"/>
      <c r="I31" s="28"/>
      <c r="J31" s="6" t="s">
        <v>94</v>
      </c>
      <c r="K31" s="39" t="s">
        <v>393</v>
      </c>
      <c r="L31" s="28">
        <v>-36000</v>
      </c>
      <c r="M31" s="6" t="s">
        <v>88</v>
      </c>
      <c r="N31" s="39" t="s">
        <v>212</v>
      </c>
      <c r="O31" s="26">
        <v>286080</v>
      </c>
      <c r="P31" s="5"/>
      <c r="Q31" s="6"/>
      <c r="R31" s="39"/>
      <c r="S31" s="28"/>
      <c r="T31" s="6" t="s">
        <v>93</v>
      </c>
      <c r="U31" s="39" t="s">
        <v>424</v>
      </c>
      <c r="V31" s="28">
        <v>-2000</v>
      </c>
      <c r="W31" s="6" t="s">
        <v>101</v>
      </c>
      <c r="X31" s="39" t="s">
        <v>439</v>
      </c>
      <c r="Y31" s="26">
        <v>20333</v>
      </c>
    </row>
    <row r="32" spans="2:25" x14ac:dyDescent="0.3">
      <c r="B32" s="49" t="s">
        <v>93</v>
      </c>
      <c r="C32" s="159">
        <f t="shared" si="0"/>
        <v>257950</v>
      </c>
      <c r="D32" s="160"/>
      <c r="E32" s="161"/>
      <c r="G32" s="6"/>
      <c r="H32" s="39"/>
      <c r="I32" s="28"/>
      <c r="J32" s="6" t="s">
        <v>89</v>
      </c>
      <c r="K32" s="39" t="s">
        <v>394</v>
      </c>
      <c r="L32" s="28">
        <v>-588790</v>
      </c>
      <c r="M32" s="6" t="s">
        <v>101</v>
      </c>
      <c r="N32" s="39" t="s">
        <v>392</v>
      </c>
      <c r="O32" s="26">
        <v>-27691</v>
      </c>
      <c r="P32" s="5"/>
      <c r="Q32" s="6"/>
      <c r="R32" s="39"/>
      <c r="S32" s="28"/>
      <c r="T32" s="6" t="s">
        <v>90</v>
      </c>
      <c r="U32" s="39" t="s">
        <v>427</v>
      </c>
      <c r="V32" s="28">
        <v>-163600</v>
      </c>
      <c r="W32" s="6" t="s">
        <v>101</v>
      </c>
      <c r="X32" s="39" t="s">
        <v>440</v>
      </c>
      <c r="Y32" s="26">
        <v>20333</v>
      </c>
    </row>
    <row r="33" spans="2:25" x14ac:dyDescent="0.3">
      <c r="B33" s="49" t="s">
        <v>103</v>
      </c>
      <c r="C33" s="159">
        <f t="shared" si="0"/>
        <v>59800</v>
      </c>
      <c r="D33" s="160"/>
      <c r="E33" s="161"/>
      <c r="G33" s="6"/>
      <c r="H33" s="39"/>
      <c r="I33" s="28"/>
      <c r="J33" s="6" t="s">
        <v>89</v>
      </c>
      <c r="K33" s="39" t="s">
        <v>105</v>
      </c>
      <c r="L33" s="28">
        <v>-2500</v>
      </c>
      <c r="M33" s="6" t="s">
        <v>101</v>
      </c>
      <c r="N33" s="39" t="s">
        <v>392</v>
      </c>
      <c r="O33" s="26">
        <v>-150000</v>
      </c>
      <c r="P33" s="5"/>
      <c r="Q33" s="6"/>
      <c r="R33" s="39"/>
      <c r="S33" s="28"/>
      <c r="T33" s="6" t="s">
        <v>111</v>
      </c>
      <c r="U33" s="39" t="s">
        <v>294</v>
      </c>
      <c r="V33" s="28">
        <v>-49000</v>
      </c>
      <c r="W33" s="6" t="s">
        <v>116</v>
      </c>
      <c r="X33" s="39" t="s">
        <v>408</v>
      </c>
      <c r="Y33" s="26">
        <v>-58000</v>
      </c>
    </row>
    <row r="34" spans="2:25" x14ac:dyDescent="0.3">
      <c r="B34" s="49" t="s">
        <v>99</v>
      </c>
      <c r="C34" s="159">
        <f t="shared" si="0"/>
        <v>107600</v>
      </c>
      <c r="D34" s="160"/>
      <c r="E34" s="161"/>
      <c r="G34" s="6"/>
      <c r="H34" s="39"/>
      <c r="I34" s="28"/>
      <c r="J34" s="6" t="s">
        <v>89</v>
      </c>
      <c r="K34" s="39" t="s">
        <v>105</v>
      </c>
      <c r="L34" s="28">
        <v>-2500</v>
      </c>
      <c r="M34" s="6"/>
      <c r="N34" s="39"/>
      <c r="O34" s="26"/>
      <c r="P34" s="5"/>
      <c r="Q34" s="6"/>
      <c r="R34" s="39"/>
      <c r="S34" s="28"/>
      <c r="T34" s="6" t="s">
        <v>120</v>
      </c>
      <c r="U34" s="39" t="s">
        <v>428</v>
      </c>
      <c r="V34" s="28">
        <v>-109600</v>
      </c>
      <c r="W34" s="6" t="s">
        <v>101</v>
      </c>
      <c r="X34" s="39" t="s">
        <v>105</v>
      </c>
      <c r="Y34" s="26">
        <v>-5000</v>
      </c>
    </row>
    <row r="35" spans="2:25" x14ac:dyDescent="0.3">
      <c r="B35" s="49" t="s">
        <v>120</v>
      </c>
      <c r="C35" s="159">
        <f t="shared" si="0"/>
        <v>724400</v>
      </c>
      <c r="D35" s="160"/>
      <c r="E35" s="161"/>
      <c r="G35" s="6"/>
      <c r="H35" s="39"/>
      <c r="I35" s="28"/>
      <c r="J35" s="6" t="s">
        <v>103</v>
      </c>
      <c r="K35" s="39" t="s">
        <v>395</v>
      </c>
      <c r="L35" s="28">
        <v>-27800</v>
      </c>
      <c r="M35" s="6"/>
      <c r="N35" s="39"/>
      <c r="O35" s="26"/>
      <c r="P35" s="5"/>
      <c r="Q35" s="6"/>
      <c r="R35" s="39"/>
      <c r="S35" s="28"/>
      <c r="T35" s="6" t="s">
        <v>93</v>
      </c>
      <c r="U35" s="39" t="s">
        <v>340</v>
      </c>
      <c r="V35" s="28">
        <v>-60000</v>
      </c>
      <c r="W35" s="6" t="s">
        <v>101</v>
      </c>
      <c r="X35" s="39" t="s">
        <v>338</v>
      </c>
      <c r="Y35" s="26">
        <v>150000</v>
      </c>
    </row>
    <row r="36" spans="2:25" x14ac:dyDescent="0.3">
      <c r="B36" s="49" t="s">
        <v>91</v>
      </c>
      <c r="C36" s="159">
        <f t="shared" si="0"/>
        <v>21160</v>
      </c>
      <c r="D36" s="160"/>
      <c r="E36" s="161"/>
      <c r="G36" s="6"/>
      <c r="H36" s="39"/>
      <c r="I36" s="28"/>
      <c r="J36" s="6" t="s">
        <v>103</v>
      </c>
      <c r="K36" s="39" t="s">
        <v>395</v>
      </c>
      <c r="L36" s="28">
        <v>-27800</v>
      </c>
      <c r="M36" s="6"/>
      <c r="N36" s="39"/>
      <c r="O36" s="26"/>
      <c r="P36" s="5"/>
      <c r="Q36" s="6"/>
      <c r="R36" s="39"/>
      <c r="S36" s="28"/>
      <c r="T36" s="6" t="s">
        <v>99</v>
      </c>
      <c r="U36" s="39" t="s">
        <v>429</v>
      </c>
      <c r="V36" s="28">
        <v>-3600</v>
      </c>
      <c r="W36" s="6" t="s">
        <v>116</v>
      </c>
      <c r="X36" s="39" t="s">
        <v>444</v>
      </c>
      <c r="Y36" s="26">
        <v>1</v>
      </c>
    </row>
    <row r="37" spans="2:25" x14ac:dyDescent="0.3">
      <c r="B37" s="49" t="s">
        <v>102</v>
      </c>
      <c r="C37" s="159">
        <f t="shared" si="0"/>
        <v>556600</v>
      </c>
      <c r="D37" s="160"/>
      <c r="E37" s="161"/>
      <c r="G37" s="6"/>
      <c r="H37" s="39"/>
      <c r="I37" s="28"/>
      <c r="J37" s="6" t="s">
        <v>93</v>
      </c>
      <c r="K37" s="39" t="s">
        <v>396</v>
      </c>
      <c r="L37" s="28">
        <v>-35950</v>
      </c>
      <c r="M37" s="6"/>
      <c r="N37" s="39"/>
      <c r="O37" s="26"/>
      <c r="P37" s="5"/>
      <c r="Q37" s="6"/>
      <c r="R37" s="39"/>
      <c r="S37" s="28"/>
      <c r="T37" s="6" t="s">
        <v>92</v>
      </c>
      <c r="U37" s="39" t="s">
        <v>203</v>
      </c>
      <c r="V37" s="28">
        <v>-28500</v>
      </c>
      <c r="W37" s="6"/>
      <c r="X37" s="39"/>
      <c r="Y37" s="26"/>
    </row>
    <row r="38" spans="2:25" x14ac:dyDescent="0.3">
      <c r="B38" s="49" t="s">
        <v>118</v>
      </c>
      <c r="C38" s="159">
        <f t="shared" si="0"/>
        <v>0</v>
      </c>
      <c r="D38" s="160"/>
      <c r="E38" s="161"/>
      <c r="G38" s="6"/>
      <c r="H38" s="39"/>
      <c r="I38" s="28"/>
      <c r="J38" s="6" t="s">
        <v>92</v>
      </c>
      <c r="K38" s="39" t="s">
        <v>203</v>
      </c>
      <c r="L38" s="28">
        <v>-40490</v>
      </c>
      <c r="M38" s="6"/>
      <c r="N38" s="39"/>
      <c r="O38" s="26"/>
      <c r="P38" s="5"/>
      <c r="Q38" s="6"/>
      <c r="R38" s="39"/>
      <c r="S38" s="28"/>
      <c r="T38" s="6" t="s">
        <v>90</v>
      </c>
      <c r="U38" s="39" t="s">
        <v>430</v>
      </c>
      <c r="V38" s="28">
        <v>-9651</v>
      </c>
      <c r="W38" s="6"/>
      <c r="X38" s="39"/>
      <c r="Y38" s="26"/>
    </row>
    <row r="39" spans="2:25" x14ac:dyDescent="0.3">
      <c r="B39" s="49" t="s">
        <v>108</v>
      </c>
      <c r="C39" s="159">
        <f t="shared" si="0"/>
        <v>18000</v>
      </c>
      <c r="D39" s="160"/>
      <c r="E39" s="161"/>
      <c r="G39" s="6"/>
      <c r="H39" s="39"/>
      <c r="I39" s="28"/>
      <c r="J39" s="6" t="s">
        <v>89</v>
      </c>
      <c r="K39" s="39" t="s">
        <v>105</v>
      </c>
      <c r="L39" s="28">
        <v>-2500</v>
      </c>
      <c r="M39" s="6"/>
      <c r="N39" s="39"/>
      <c r="O39" s="26"/>
      <c r="P39" s="5"/>
      <c r="Q39" s="6"/>
      <c r="R39" s="39"/>
      <c r="S39" s="28"/>
      <c r="T39" s="6" t="s">
        <v>90</v>
      </c>
      <c r="U39" s="39" t="s">
        <v>430</v>
      </c>
      <c r="V39" s="28">
        <v>-9649</v>
      </c>
      <c r="W39" s="6"/>
      <c r="X39" s="39"/>
      <c r="Y39" s="26"/>
    </row>
    <row r="40" spans="2:25" x14ac:dyDescent="0.3">
      <c r="B40" s="49" t="s">
        <v>129</v>
      </c>
      <c r="C40" s="159">
        <f t="shared" si="0"/>
        <v>0</v>
      </c>
      <c r="D40" s="160"/>
      <c r="E40" s="161"/>
      <c r="G40" s="6"/>
      <c r="H40" s="39"/>
      <c r="I40" s="28"/>
      <c r="J40" s="6" t="s">
        <v>94</v>
      </c>
      <c r="K40" s="39" t="s">
        <v>397</v>
      </c>
      <c r="L40" s="28">
        <v>-22000</v>
      </c>
      <c r="M40" s="6"/>
      <c r="N40" s="39"/>
      <c r="O40" s="26"/>
      <c r="P40" s="5"/>
      <c r="Q40" s="6"/>
      <c r="R40" s="39"/>
      <c r="S40" s="28"/>
      <c r="T40" s="6" t="s">
        <v>99</v>
      </c>
      <c r="U40" s="39" t="s">
        <v>429</v>
      </c>
      <c r="V40" s="28">
        <v>-48000</v>
      </c>
      <c r="W40" s="6"/>
      <c r="X40" s="39"/>
      <c r="Y40" s="26"/>
    </row>
    <row r="41" spans="2:25" x14ac:dyDescent="0.3">
      <c r="B41" s="49" t="s">
        <v>100</v>
      </c>
      <c r="C41" s="159">
        <f t="shared" si="0"/>
        <v>0</v>
      </c>
      <c r="D41" s="160"/>
      <c r="E41" s="161"/>
      <c r="G41" s="6"/>
      <c r="H41" s="39"/>
      <c r="I41" s="28"/>
      <c r="J41" s="6" t="s">
        <v>94</v>
      </c>
      <c r="K41" s="39" t="s">
        <v>398</v>
      </c>
      <c r="L41" s="28">
        <v>-58000</v>
      </c>
      <c r="M41" s="6"/>
      <c r="N41" s="39"/>
      <c r="O41" s="26"/>
      <c r="P41" s="5"/>
      <c r="Q41" s="6"/>
      <c r="R41" s="39"/>
      <c r="S41" s="28"/>
      <c r="T41" s="6" t="s">
        <v>111</v>
      </c>
      <c r="U41" s="39" t="s">
        <v>113</v>
      </c>
      <c r="V41" s="28">
        <v>-1500</v>
      </c>
      <c r="W41" s="6"/>
      <c r="X41" s="39"/>
      <c r="Y41" s="26"/>
    </row>
    <row r="42" spans="2:25" x14ac:dyDescent="0.3">
      <c r="B42" s="49" t="s">
        <v>123</v>
      </c>
      <c r="C42" s="159">
        <f t="shared" si="0"/>
        <v>169000</v>
      </c>
      <c r="D42" s="160"/>
      <c r="E42" s="161"/>
      <c r="G42" s="6"/>
      <c r="H42" s="39"/>
      <c r="I42" s="28"/>
      <c r="J42" s="6" t="s">
        <v>90</v>
      </c>
      <c r="K42" s="39" t="s">
        <v>399</v>
      </c>
      <c r="L42" s="28">
        <v>-15300</v>
      </c>
      <c r="M42" s="6"/>
      <c r="N42" s="39"/>
      <c r="O42" s="26"/>
      <c r="P42" s="5"/>
      <c r="Q42" s="6"/>
      <c r="R42" s="39"/>
      <c r="S42" s="28"/>
      <c r="T42" s="6" t="s">
        <v>93</v>
      </c>
      <c r="U42" s="39" t="s">
        <v>340</v>
      </c>
      <c r="V42" s="28">
        <v>-60000</v>
      </c>
      <c r="W42" s="6"/>
      <c r="X42" s="39"/>
      <c r="Y42" s="26"/>
    </row>
    <row r="43" spans="2:25" x14ac:dyDescent="0.3">
      <c r="B43" s="49" t="s">
        <v>111</v>
      </c>
      <c r="C43" s="159">
        <f t="shared" si="0"/>
        <v>347750</v>
      </c>
      <c r="D43" s="160"/>
      <c r="E43" s="161"/>
      <c r="G43" s="6"/>
      <c r="H43" s="39"/>
      <c r="I43" s="28"/>
      <c r="J43" s="6" t="s">
        <v>94</v>
      </c>
      <c r="K43" s="39" t="s">
        <v>400</v>
      </c>
      <c r="L43" s="28">
        <v>-31000</v>
      </c>
      <c r="M43" s="6"/>
      <c r="N43" s="39"/>
      <c r="O43" s="26"/>
      <c r="P43" s="5"/>
      <c r="Q43" s="6"/>
      <c r="R43" s="39"/>
      <c r="S43" s="28"/>
      <c r="T43" s="6" t="s">
        <v>91</v>
      </c>
      <c r="U43" s="39" t="s">
        <v>278</v>
      </c>
      <c r="V43" s="28">
        <v>-3000</v>
      </c>
      <c r="W43" s="6"/>
      <c r="X43" s="39"/>
      <c r="Y43" s="26"/>
    </row>
    <row r="44" spans="2:25" x14ac:dyDescent="0.3">
      <c r="B44" s="49" t="s">
        <v>116</v>
      </c>
      <c r="C44" s="159">
        <f t="shared" si="0"/>
        <v>0</v>
      </c>
      <c r="D44" s="160"/>
      <c r="E44" s="161"/>
      <c r="G44" s="6"/>
      <c r="H44" s="39"/>
      <c r="I44" s="28"/>
      <c r="J44" s="6" t="s">
        <v>94</v>
      </c>
      <c r="K44" s="39" t="s">
        <v>400</v>
      </c>
      <c r="L44" s="28">
        <v>-31000</v>
      </c>
      <c r="M44" s="6"/>
      <c r="N44" s="39"/>
      <c r="O44" s="26"/>
      <c r="P44" s="5"/>
      <c r="Q44" s="6"/>
      <c r="R44" s="39"/>
      <c r="S44" s="28"/>
      <c r="T44" s="6" t="s">
        <v>91</v>
      </c>
      <c r="U44" s="39" t="s">
        <v>278</v>
      </c>
      <c r="V44" s="28">
        <v>-5000</v>
      </c>
      <c r="W44" s="6"/>
      <c r="X44" s="39"/>
      <c r="Y44" s="26"/>
    </row>
    <row r="45" spans="2:25" x14ac:dyDescent="0.3">
      <c r="B45" s="49" t="s">
        <v>112</v>
      </c>
      <c r="C45" s="159">
        <f t="shared" si="0"/>
        <v>255220</v>
      </c>
      <c r="D45" s="160"/>
      <c r="E45" s="161"/>
      <c r="G45" s="6"/>
      <c r="H45" s="39"/>
      <c r="I45" s="28"/>
      <c r="J45" s="6" t="s">
        <v>94</v>
      </c>
      <c r="K45" s="39" t="s">
        <v>400</v>
      </c>
      <c r="L45" s="28">
        <v>-15900</v>
      </c>
      <c r="M45" s="6"/>
      <c r="N45" s="39"/>
      <c r="O45" s="26"/>
      <c r="P45" s="5"/>
      <c r="Q45" s="6"/>
      <c r="R45" s="39"/>
      <c r="S45" s="28"/>
      <c r="T45" s="6" t="s">
        <v>93</v>
      </c>
      <c r="U45" s="39" t="s">
        <v>124</v>
      </c>
      <c r="V45" s="28">
        <v>-50000</v>
      </c>
      <c r="W45" s="6"/>
      <c r="X45" s="39"/>
      <c r="Y45" s="26"/>
    </row>
    <row r="46" spans="2:25" x14ac:dyDescent="0.3">
      <c r="B46" s="50" t="s">
        <v>126</v>
      </c>
      <c r="C46" s="159">
        <f t="shared" si="0"/>
        <v>0</v>
      </c>
      <c r="D46" s="160"/>
      <c r="E46" s="161"/>
      <c r="G46" s="6"/>
      <c r="H46" s="39"/>
      <c r="I46" s="28"/>
      <c r="J46" s="6" t="s">
        <v>94</v>
      </c>
      <c r="K46" s="39" t="s">
        <v>401</v>
      </c>
      <c r="L46" s="28">
        <v>-43000</v>
      </c>
      <c r="M46" s="6"/>
      <c r="N46" s="39"/>
      <c r="O46" s="26"/>
      <c r="P46" s="5"/>
      <c r="Q46" s="6"/>
      <c r="R46" s="39"/>
      <c r="S46" s="28"/>
      <c r="T46" s="6" t="s">
        <v>111</v>
      </c>
      <c r="U46" s="39" t="s">
        <v>279</v>
      </c>
      <c r="V46" s="28">
        <v>-17300</v>
      </c>
      <c r="W46" s="6"/>
      <c r="X46" s="39"/>
      <c r="Y46" s="26"/>
    </row>
    <row r="47" spans="2:25" x14ac:dyDescent="0.3">
      <c r="G47" s="6"/>
      <c r="H47" s="39"/>
      <c r="I47" s="28"/>
      <c r="J47" s="6" t="s">
        <v>90</v>
      </c>
      <c r="K47" s="39" t="s">
        <v>121</v>
      </c>
      <c r="L47" s="28">
        <v>-69370</v>
      </c>
      <c r="M47" s="6"/>
      <c r="N47" s="39"/>
      <c r="O47" s="26"/>
      <c r="P47" s="5"/>
      <c r="Q47" s="6"/>
      <c r="R47" s="39"/>
      <c r="S47" s="28"/>
      <c r="T47" s="6" t="s">
        <v>91</v>
      </c>
      <c r="U47" s="39" t="s">
        <v>97</v>
      </c>
      <c r="V47" s="28">
        <v>-990</v>
      </c>
      <c r="W47" s="6"/>
      <c r="X47" s="39"/>
      <c r="Y47" s="26"/>
    </row>
    <row r="48" spans="2:25" x14ac:dyDescent="0.3">
      <c r="B48" s="45" t="s">
        <v>139</v>
      </c>
      <c r="C48" s="162" t="str">
        <f>IF(ABS(SUM(C27:E46))&lt;&gt;ABS(SUM(L89,V89)),"항목 추가해주세요","-")</f>
        <v>-</v>
      </c>
      <c r="D48" s="163"/>
      <c r="E48" s="164"/>
      <c r="G48" s="6"/>
      <c r="H48" s="39"/>
      <c r="I48" s="28"/>
      <c r="J48" s="6" t="s">
        <v>89</v>
      </c>
      <c r="K48" s="39" t="s">
        <v>106</v>
      </c>
      <c r="L48" s="28">
        <v>-3000000</v>
      </c>
      <c r="M48" s="6"/>
      <c r="N48" s="39"/>
      <c r="O48" s="26"/>
      <c r="P48" s="5"/>
      <c r="Q48" s="6"/>
      <c r="R48" s="39"/>
      <c r="S48" s="28"/>
      <c r="T48" s="6" t="s">
        <v>111</v>
      </c>
      <c r="U48" s="39" t="s">
        <v>113</v>
      </c>
      <c r="V48" s="28">
        <v>-960</v>
      </c>
      <c r="W48" s="6"/>
      <c r="X48" s="39"/>
      <c r="Y48" s="26"/>
    </row>
    <row r="49" spans="2:25" x14ac:dyDescent="0.3">
      <c r="C49" s="51"/>
      <c r="G49" s="6"/>
      <c r="H49" s="39"/>
      <c r="I49" s="28"/>
      <c r="J49" s="6" t="s">
        <v>89</v>
      </c>
      <c r="K49" s="39" t="s">
        <v>223</v>
      </c>
      <c r="L49" s="28">
        <v>-36120</v>
      </c>
      <c r="M49" s="6"/>
      <c r="N49" s="39"/>
      <c r="O49" s="26"/>
      <c r="P49" s="5"/>
      <c r="Q49" s="6"/>
      <c r="R49" s="39"/>
      <c r="S49" s="28"/>
      <c r="T49" s="6" t="s">
        <v>90</v>
      </c>
      <c r="U49" s="39" t="s">
        <v>236</v>
      </c>
      <c r="V49" s="28">
        <v>-108663</v>
      </c>
      <c r="W49" s="6"/>
      <c r="X49" s="39"/>
      <c r="Y49" s="26"/>
    </row>
    <row r="50" spans="2:25" x14ac:dyDescent="0.3">
      <c r="B50" s="136" t="s">
        <v>150</v>
      </c>
      <c r="C50" s="168"/>
      <c r="D50" s="168"/>
      <c r="E50" s="137"/>
      <c r="G50" s="6"/>
      <c r="H50" s="39"/>
      <c r="I50" s="28"/>
      <c r="J50" s="6" t="s">
        <v>99</v>
      </c>
      <c r="K50" s="39" t="s">
        <v>357</v>
      </c>
      <c r="L50" s="28">
        <v>-5000</v>
      </c>
      <c r="M50" s="6"/>
      <c r="N50" s="39"/>
      <c r="O50" s="26"/>
      <c r="P50" s="5"/>
      <c r="Q50" s="6"/>
      <c r="R50" s="39"/>
      <c r="S50" s="28"/>
      <c r="T50" s="6" t="s">
        <v>92</v>
      </c>
      <c r="U50" s="39" t="s">
        <v>299</v>
      </c>
      <c r="V50" s="28">
        <v>-236830</v>
      </c>
      <c r="W50" s="6"/>
      <c r="X50" s="39"/>
      <c r="Y50" s="26"/>
    </row>
    <row r="51" spans="2:25" x14ac:dyDescent="0.3">
      <c r="B51" s="48" t="s">
        <v>28</v>
      </c>
      <c r="C51" s="165" t="s">
        <v>30</v>
      </c>
      <c r="D51" s="166"/>
      <c r="E51" s="167"/>
      <c r="G51" s="6"/>
      <c r="H51" s="39"/>
      <c r="I51" s="28"/>
      <c r="J51" s="6" t="s">
        <v>90</v>
      </c>
      <c r="K51" s="39" t="s">
        <v>404</v>
      </c>
      <c r="L51" s="28">
        <v>-300000</v>
      </c>
      <c r="M51" s="6"/>
      <c r="N51" s="39"/>
      <c r="O51" s="26"/>
      <c r="P51" s="5"/>
      <c r="Q51" s="6"/>
      <c r="R51" s="39"/>
      <c r="S51" s="28"/>
      <c r="T51" s="6" t="s">
        <v>111</v>
      </c>
      <c r="U51" s="39" t="s">
        <v>113</v>
      </c>
      <c r="V51" s="28">
        <v>-6700</v>
      </c>
      <c r="W51" s="6"/>
      <c r="X51" s="39"/>
      <c r="Y51" s="26"/>
    </row>
    <row r="52" spans="2:25" x14ac:dyDescent="0.3">
      <c r="B52" s="48" t="s">
        <v>146</v>
      </c>
      <c r="C52" s="159">
        <f>(SUMIF($G$7:$G$88,B52,$I$7:$I$88)+SUMIF($Q$7:$Q$88,B52,$S$7:$S$88))</f>
        <v>11</v>
      </c>
      <c r="D52" s="160"/>
      <c r="E52" s="161"/>
      <c r="G52" s="6"/>
      <c r="H52" s="39"/>
      <c r="I52" s="28"/>
      <c r="J52" s="6" t="s">
        <v>89</v>
      </c>
      <c r="K52" s="39" t="s">
        <v>105</v>
      </c>
      <c r="L52" s="28">
        <v>-2500</v>
      </c>
      <c r="M52" s="6"/>
      <c r="N52" s="39"/>
      <c r="O52" s="26"/>
      <c r="P52" s="5"/>
      <c r="Q52" s="6"/>
      <c r="R52" s="39"/>
      <c r="S52" s="28"/>
      <c r="T52" s="6" t="s">
        <v>111</v>
      </c>
      <c r="U52" s="39" t="s">
        <v>113</v>
      </c>
      <c r="V52" s="28">
        <v>-1300</v>
      </c>
      <c r="W52" s="6"/>
      <c r="X52" s="39"/>
      <c r="Y52" s="26"/>
    </row>
    <row r="53" spans="2:25" x14ac:dyDescent="0.3">
      <c r="B53" s="49" t="s">
        <v>147</v>
      </c>
      <c r="C53" s="159">
        <f>(SUMIF($G$7:$G$88,B53,$I$7:$I$88)+SUMIF($Q$7:$Q$88,B53,$S$7:$S$88))</f>
        <v>8262743</v>
      </c>
      <c r="D53" s="160"/>
      <c r="E53" s="161"/>
      <c r="G53" s="6"/>
      <c r="H53" s="39"/>
      <c r="I53" s="28"/>
      <c r="J53" s="6" t="s">
        <v>94</v>
      </c>
      <c r="K53" s="39" t="s">
        <v>95</v>
      </c>
      <c r="L53" s="28">
        <v>-42000</v>
      </c>
      <c r="M53" s="6"/>
      <c r="N53" s="39"/>
      <c r="O53" s="26"/>
      <c r="P53" s="5"/>
      <c r="Q53" s="6"/>
      <c r="R53" s="39"/>
      <c r="S53" s="28"/>
      <c r="T53" s="6" t="s">
        <v>91</v>
      </c>
      <c r="U53" s="39" t="s">
        <v>435</v>
      </c>
      <c r="V53" s="28">
        <v>-2</v>
      </c>
      <c r="W53" s="6"/>
      <c r="X53" s="39"/>
      <c r="Y53" s="26"/>
    </row>
    <row r="54" spans="2:25" x14ac:dyDescent="0.3">
      <c r="B54" s="49" t="s">
        <v>148</v>
      </c>
      <c r="C54" s="159">
        <f>(SUMIF($G$7:$G$88,B54,$I$7:$I$88)+SUMIF($Q$7:$Q$88,B54,$S$7:$S$88))</f>
        <v>0</v>
      </c>
      <c r="D54" s="160"/>
      <c r="E54" s="161"/>
      <c r="G54" s="6"/>
      <c r="H54" s="39"/>
      <c r="I54" s="28"/>
      <c r="J54" s="6" t="s">
        <v>89</v>
      </c>
      <c r="K54" s="39" t="s">
        <v>105</v>
      </c>
      <c r="L54" s="28">
        <v>-2500</v>
      </c>
      <c r="M54" s="6"/>
      <c r="N54" s="39"/>
      <c r="O54" s="26"/>
      <c r="P54" s="5"/>
      <c r="Q54" s="6"/>
      <c r="R54" s="39"/>
      <c r="S54" s="28"/>
      <c r="T54" s="6" t="s">
        <v>91</v>
      </c>
      <c r="U54" s="39" t="s">
        <v>435</v>
      </c>
      <c r="V54" s="28">
        <v>-12168</v>
      </c>
      <c r="W54" s="6"/>
      <c r="X54" s="39"/>
      <c r="Y54" s="26"/>
    </row>
    <row r="55" spans="2:25" x14ac:dyDescent="0.3">
      <c r="B55" s="50" t="s">
        <v>149</v>
      </c>
      <c r="C55" s="159">
        <f>(SUMIF($G$7:$G$88,B55,$I$7:$I$88)+SUMIF($Q$7:$Q$88,B55,$S$7:$S$88))</f>
        <v>0</v>
      </c>
      <c r="D55" s="160"/>
      <c r="E55" s="161"/>
      <c r="G55" s="6"/>
      <c r="H55" s="39"/>
      <c r="I55" s="28"/>
      <c r="J55" s="6" t="s">
        <v>94</v>
      </c>
      <c r="K55" s="39" t="s">
        <v>95</v>
      </c>
      <c r="L55" s="28">
        <v>-28350</v>
      </c>
      <c r="M55" s="6"/>
      <c r="N55" s="39"/>
      <c r="O55" s="26"/>
      <c r="P55" s="5"/>
      <c r="Q55" s="6"/>
      <c r="R55" s="39"/>
      <c r="S55" s="28"/>
      <c r="T55" s="6" t="s">
        <v>111</v>
      </c>
      <c r="U55" s="39" t="s">
        <v>436</v>
      </c>
      <c r="V55" s="28">
        <v>-61000</v>
      </c>
      <c r="W55" s="6"/>
      <c r="X55" s="39"/>
      <c r="Y55" s="26"/>
    </row>
    <row r="56" spans="2:25" x14ac:dyDescent="0.3">
      <c r="G56" s="6"/>
      <c r="H56" s="39"/>
      <c r="I56" s="28"/>
      <c r="J56" s="6" t="s">
        <v>94</v>
      </c>
      <c r="K56" s="39" t="s">
        <v>405</v>
      </c>
      <c r="L56" s="28">
        <v>-21500</v>
      </c>
      <c r="M56" s="6"/>
      <c r="N56" s="39"/>
      <c r="O56" s="26"/>
      <c r="P56" s="5"/>
      <c r="Q56" s="6"/>
      <c r="R56" s="39"/>
      <c r="S56" s="28"/>
      <c r="T56" s="6" t="s">
        <v>102</v>
      </c>
      <c r="U56" s="39" t="s">
        <v>441</v>
      </c>
      <c r="V56" s="28">
        <v>-8400</v>
      </c>
      <c r="W56" s="6"/>
      <c r="X56" s="39"/>
      <c r="Y56" s="26"/>
    </row>
    <row r="57" spans="2:25" x14ac:dyDescent="0.3">
      <c r="B57" s="45" t="s">
        <v>139</v>
      </c>
      <c r="C57" s="162" t="str">
        <f>IF(ABS(SUM(C52:E55))&lt;&gt;ABS(SUM(I89,S89)),"항목 추가해주세요","-")</f>
        <v>항목 추가해주세요</v>
      </c>
      <c r="D57" s="163"/>
      <c r="E57" s="164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 t="s">
        <v>102</v>
      </c>
      <c r="U57" s="39" t="s">
        <v>442</v>
      </c>
      <c r="V57" s="28">
        <v>-8200</v>
      </c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 t="s">
        <v>90</v>
      </c>
      <c r="U58" s="39" t="s">
        <v>443</v>
      </c>
      <c r="V58" s="28">
        <v>-5000</v>
      </c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4209949</v>
      </c>
      <c r="J89" s="7" t="s">
        <v>24</v>
      </c>
      <c r="K89" s="22" t="s">
        <v>34</v>
      </c>
      <c r="L89" s="21">
        <f>SUM(L7:L88)</f>
        <v>-5531270</v>
      </c>
      <c r="M89" s="7" t="s">
        <v>24</v>
      </c>
      <c r="N89" s="22" t="s">
        <v>34</v>
      </c>
      <c r="O89" s="21">
        <f>SUM(O7:O88)</f>
        <v>-3188856</v>
      </c>
      <c r="Q89" s="7" t="s">
        <v>24</v>
      </c>
      <c r="R89" s="17" t="s">
        <v>34</v>
      </c>
      <c r="S89" s="19">
        <f>SUM(S7:S88)</f>
        <v>4386035</v>
      </c>
      <c r="T89" s="7" t="s">
        <v>24</v>
      </c>
      <c r="U89" s="22" t="s">
        <v>34</v>
      </c>
      <c r="V89" s="21">
        <f>SUM(V7:V88)</f>
        <v>-2574773</v>
      </c>
      <c r="W89" s="7" t="s">
        <v>24</v>
      </c>
      <c r="X89" s="22" t="s">
        <v>34</v>
      </c>
      <c r="Y89" s="21">
        <f>SUM(Y7:Y88)</f>
        <v>3534370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-4510177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5345632</v>
      </c>
      <c r="T90" s="37"/>
      <c r="U90" s="37"/>
      <c r="V90" s="37"/>
      <c r="W90" s="37"/>
      <c r="X90" s="37"/>
      <c r="Y90" s="38"/>
    </row>
  </sheetData>
  <mergeCells count="43">
    <mergeCell ref="C45:E45"/>
    <mergeCell ref="C46:E46"/>
    <mergeCell ref="C48:E48"/>
    <mergeCell ref="C40:E40"/>
    <mergeCell ref="C41:E41"/>
    <mergeCell ref="C42:E42"/>
    <mergeCell ref="C43:E43"/>
    <mergeCell ref="C44:E4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  <mergeCell ref="C55:E55"/>
    <mergeCell ref="C57:E57"/>
    <mergeCell ref="B50:E50"/>
    <mergeCell ref="C51:E51"/>
    <mergeCell ref="C52:E52"/>
    <mergeCell ref="C53:E53"/>
    <mergeCell ref="C54:E5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656B3-14EC-436D-B0CD-7F295CF55560}">
  <sheetPr codeName="Sheet13">
    <tabColor rgb="FFFFB7DB"/>
  </sheetPr>
  <dimension ref="B2:Y90"/>
  <sheetViews>
    <sheetView topLeftCell="J6" workbookViewId="0">
      <selection activeCell="W16" sqref="W16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1.5" bestFit="1" customWidth="1"/>
    <col min="10" max="10" width="11" bestFit="1" customWidth="1"/>
    <col min="11" max="11" width="47.75" bestFit="1" customWidth="1"/>
    <col min="12" max="12" width="11.5" bestFit="1" customWidth="1"/>
    <col min="13" max="13" width="11" bestFit="1" customWidth="1"/>
    <col min="14" max="14" width="20" bestFit="1" customWidth="1"/>
    <col min="15" max="15" width="10" bestFit="1" customWidth="1"/>
    <col min="16" max="16" width="2.375" customWidth="1"/>
    <col min="18" max="18" width="17.25" bestFit="1" customWidth="1"/>
    <col min="19" max="19" width="11.5" bestFit="1" customWidth="1"/>
    <col min="20" max="20" width="9.75" bestFit="1" customWidth="1"/>
    <col min="21" max="21" width="42.5" bestFit="1" customWidth="1"/>
    <col min="22" max="22" width="11.5" bestFit="1" customWidth="1"/>
    <col min="24" max="24" width="21.375" bestFit="1" customWidth="1"/>
    <col min="25" max="25" width="11.5" bestFit="1" customWidth="1"/>
  </cols>
  <sheetData>
    <row r="2" spans="2:25" ht="24.75" thickBot="1" x14ac:dyDescent="0.35">
      <c r="B2" s="169" t="s">
        <v>77</v>
      </c>
      <c r="C2" s="169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74">
        <v>10000000</v>
      </c>
      <c r="D4" s="174"/>
      <c r="G4" s="182" t="str">
        <f>설정!D4</f>
        <v>천세원</v>
      </c>
      <c r="H4" s="183"/>
      <c r="I4" s="183"/>
      <c r="J4" s="183"/>
      <c r="K4" s="183"/>
      <c r="L4" s="183"/>
      <c r="M4" s="183"/>
      <c r="N4" s="183"/>
      <c r="O4" s="184"/>
      <c r="Q4" s="179" t="str">
        <f>설정!D6</f>
        <v>하유진</v>
      </c>
      <c r="R4" s="180"/>
      <c r="S4" s="180"/>
      <c r="T4" s="180"/>
      <c r="U4" s="180"/>
      <c r="V4" s="180"/>
      <c r="W4" s="180"/>
      <c r="X4" s="180"/>
      <c r="Y4" s="181"/>
    </row>
    <row r="5" spans="2:25" x14ac:dyDescent="0.3">
      <c r="B5" s="2" t="s">
        <v>36</v>
      </c>
      <c r="C5" s="174">
        <f>I90+S90</f>
        <v>4114359</v>
      </c>
      <c r="D5" s="174"/>
      <c r="G5" s="136" t="s">
        <v>27</v>
      </c>
      <c r="H5" s="168"/>
      <c r="I5" s="137"/>
      <c r="J5" s="134" t="s">
        <v>31</v>
      </c>
      <c r="K5" s="170"/>
      <c r="L5" s="135"/>
      <c r="M5" s="171" t="s">
        <v>32</v>
      </c>
      <c r="N5" s="172"/>
      <c r="O5" s="173"/>
      <c r="Q5" s="136" t="s">
        <v>27</v>
      </c>
      <c r="R5" s="168"/>
      <c r="S5" s="137"/>
      <c r="T5" s="134" t="s">
        <v>31</v>
      </c>
      <c r="U5" s="170"/>
      <c r="V5" s="135"/>
      <c r="W5" s="171" t="s">
        <v>32</v>
      </c>
      <c r="X5" s="172"/>
      <c r="Y5" s="173"/>
    </row>
    <row r="6" spans="2:25" x14ac:dyDescent="0.3">
      <c r="B6" s="2" t="s">
        <v>38</v>
      </c>
      <c r="C6" s="174">
        <f>C4-C5</f>
        <v>5885641</v>
      </c>
      <c r="D6" s="174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5">
        <f>(C5)/(C4)</f>
        <v>0.41143590000000002</v>
      </c>
      <c r="D7" s="175"/>
      <c r="G7" s="6" t="s">
        <v>86</v>
      </c>
      <c r="H7" s="39" t="s">
        <v>306</v>
      </c>
      <c r="I7" s="28">
        <v>1127</v>
      </c>
      <c r="J7" s="6" t="s">
        <v>99</v>
      </c>
      <c r="K7" s="39" t="s">
        <v>297</v>
      </c>
      <c r="L7" s="28">
        <v>-5000</v>
      </c>
      <c r="M7" s="6" t="s">
        <v>102</v>
      </c>
      <c r="N7" s="39" t="s">
        <v>312</v>
      </c>
      <c r="O7" s="26">
        <v>-17800</v>
      </c>
      <c r="P7" s="5"/>
      <c r="Q7" s="6" t="s">
        <v>208</v>
      </c>
      <c r="R7" s="39" t="s">
        <v>209</v>
      </c>
      <c r="S7" s="28">
        <v>4033588</v>
      </c>
      <c r="T7" s="6" t="s">
        <v>103</v>
      </c>
      <c r="U7" s="39" t="s">
        <v>472</v>
      </c>
      <c r="V7" s="28">
        <v>-1500</v>
      </c>
      <c r="W7" s="6" t="s">
        <v>101</v>
      </c>
      <c r="X7" s="39" t="s">
        <v>479</v>
      </c>
      <c r="Y7" s="26">
        <v>-30000000</v>
      </c>
    </row>
    <row r="8" spans="2:25" x14ac:dyDescent="0.3">
      <c r="G8" s="6" t="s">
        <v>208</v>
      </c>
      <c r="H8" s="39" t="s">
        <v>209</v>
      </c>
      <c r="I8" s="28">
        <v>4222538</v>
      </c>
      <c r="J8" s="6" t="s">
        <v>93</v>
      </c>
      <c r="K8" s="39" t="s">
        <v>125</v>
      </c>
      <c r="L8" s="28">
        <v>-60000</v>
      </c>
      <c r="M8" s="6" t="s">
        <v>88</v>
      </c>
      <c r="N8" s="39" t="s">
        <v>227</v>
      </c>
      <c r="O8" s="26">
        <v>-100000</v>
      </c>
      <c r="P8" s="5"/>
      <c r="Q8" s="6" t="s">
        <v>86</v>
      </c>
      <c r="R8" s="39" t="s">
        <v>232</v>
      </c>
      <c r="S8" s="28">
        <v>11</v>
      </c>
      <c r="T8" s="6" t="s">
        <v>103</v>
      </c>
      <c r="U8" s="39" t="s">
        <v>472</v>
      </c>
      <c r="V8" s="28">
        <v>-3500</v>
      </c>
      <c r="W8" s="6" t="s">
        <v>101</v>
      </c>
      <c r="X8" s="39" t="s">
        <v>362</v>
      </c>
      <c r="Y8" s="26">
        <v>-14400</v>
      </c>
    </row>
    <row r="9" spans="2:25" x14ac:dyDescent="0.3">
      <c r="G9" s="6" t="s">
        <v>86</v>
      </c>
      <c r="H9" s="39" t="s">
        <v>217</v>
      </c>
      <c r="I9" s="28">
        <v>0</v>
      </c>
      <c r="J9" s="6" t="s">
        <v>91</v>
      </c>
      <c r="K9" s="39" t="s">
        <v>446</v>
      </c>
      <c r="L9" s="28">
        <v>-26000</v>
      </c>
      <c r="M9" s="6" t="s">
        <v>88</v>
      </c>
      <c r="N9" s="39" t="s">
        <v>227</v>
      </c>
      <c r="O9" s="26">
        <v>100000</v>
      </c>
      <c r="P9" s="5"/>
      <c r="Q9" s="6" t="s">
        <v>86</v>
      </c>
      <c r="R9" s="39" t="s">
        <v>217</v>
      </c>
      <c r="S9" s="28">
        <v>0</v>
      </c>
      <c r="T9" s="6" t="s">
        <v>90</v>
      </c>
      <c r="U9" s="39" t="s">
        <v>473</v>
      </c>
      <c r="V9" s="28">
        <v>-166</v>
      </c>
      <c r="W9" s="6" t="s">
        <v>101</v>
      </c>
      <c r="X9" s="39" t="s">
        <v>431</v>
      </c>
      <c r="Y9" s="26">
        <v>10000000</v>
      </c>
    </row>
    <row r="10" spans="2:25" x14ac:dyDescent="0.3">
      <c r="G10" s="6" t="s">
        <v>86</v>
      </c>
      <c r="H10" s="39" t="s">
        <v>471</v>
      </c>
      <c r="I10" s="28">
        <v>30000</v>
      </c>
      <c r="J10" s="6" t="s">
        <v>94</v>
      </c>
      <c r="K10" s="39" t="s">
        <v>95</v>
      </c>
      <c r="L10" s="28">
        <v>-18000</v>
      </c>
      <c r="M10" s="6"/>
      <c r="N10" s="39"/>
      <c r="O10" s="26"/>
      <c r="P10" s="5"/>
      <c r="Q10" s="6" t="s">
        <v>86</v>
      </c>
      <c r="R10" s="39" t="s">
        <v>328</v>
      </c>
      <c r="S10" s="28">
        <v>461</v>
      </c>
      <c r="T10" s="6" t="s">
        <v>90</v>
      </c>
      <c r="U10" s="39" t="s">
        <v>473</v>
      </c>
      <c r="V10" s="28">
        <v>-37802</v>
      </c>
      <c r="W10" s="6" t="s">
        <v>101</v>
      </c>
      <c r="X10" s="39" t="s">
        <v>431</v>
      </c>
      <c r="Y10" s="26">
        <v>10000000</v>
      </c>
    </row>
    <row r="11" spans="2:25" x14ac:dyDescent="0.3">
      <c r="G11" s="6"/>
      <c r="H11" s="39"/>
      <c r="I11" s="28"/>
      <c r="J11" s="6" t="s">
        <v>120</v>
      </c>
      <c r="K11" s="39" t="s">
        <v>447</v>
      </c>
      <c r="L11" s="28">
        <v>-522290</v>
      </c>
      <c r="M11" s="6"/>
      <c r="N11" s="39"/>
      <c r="O11" s="26"/>
      <c r="P11" s="5"/>
      <c r="Q11" s="6" t="s">
        <v>86</v>
      </c>
      <c r="R11" s="39" t="s">
        <v>328</v>
      </c>
      <c r="S11" s="28">
        <v>0</v>
      </c>
      <c r="T11" s="6" t="s">
        <v>90</v>
      </c>
      <c r="U11" s="39" t="s">
        <v>473</v>
      </c>
      <c r="V11" s="28">
        <v>-7832</v>
      </c>
      <c r="W11" s="6" t="s">
        <v>101</v>
      </c>
      <c r="X11" s="39" t="s">
        <v>431</v>
      </c>
      <c r="Y11" s="26">
        <v>10000000</v>
      </c>
    </row>
    <row r="12" spans="2:25" x14ac:dyDescent="0.3">
      <c r="G12" s="6"/>
      <c r="H12" s="39"/>
      <c r="I12" s="28"/>
      <c r="J12" s="6" t="s">
        <v>94</v>
      </c>
      <c r="K12" s="39" t="s">
        <v>448</v>
      </c>
      <c r="L12" s="28">
        <v>-6500</v>
      </c>
      <c r="M12" s="6"/>
      <c r="N12" s="39"/>
      <c r="O12" s="26"/>
      <c r="P12" s="5"/>
      <c r="Q12" s="6" t="s">
        <v>547</v>
      </c>
      <c r="R12" s="39" t="s">
        <v>212</v>
      </c>
      <c r="S12" s="28">
        <v>404480</v>
      </c>
      <c r="T12" s="6" t="s">
        <v>103</v>
      </c>
      <c r="U12" s="39" t="s">
        <v>472</v>
      </c>
      <c r="V12" s="28">
        <v>-1600</v>
      </c>
      <c r="W12" s="6" t="s">
        <v>88</v>
      </c>
      <c r="X12" s="39" t="s">
        <v>485</v>
      </c>
      <c r="Y12" s="26">
        <v>100000</v>
      </c>
    </row>
    <row r="13" spans="2:25" x14ac:dyDescent="0.3">
      <c r="G13" s="6"/>
      <c r="H13" s="39"/>
      <c r="I13" s="28"/>
      <c r="J13" s="6" t="s">
        <v>99</v>
      </c>
      <c r="K13" s="39" t="s">
        <v>297</v>
      </c>
      <c r="L13" s="28">
        <v>-2500</v>
      </c>
      <c r="M13" s="6"/>
      <c r="N13" s="39"/>
      <c r="O13" s="26"/>
      <c r="P13" s="5"/>
      <c r="Q13" s="6"/>
      <c r="R13" s="39"/>
      <c r="S13" s="28"/>
      <c r="T13" s="6" t="s">
        <v>103</v>
      </c>
      <c r="U13" s="39" t="s">
        <v>472</v>
      </c>
      <c r="V13" s="28">
        <v>-1700</v>
      </c>
      <c r="W13" s="6" t="s">
        <v>88</v>
      </c>
      <c r="X13" s="39" t="s">
        <v>327</v>
      </c>
      <c r="Y13" s="26">
        <v>1</v>
      </c>
    </row>
    <row r="14" spans="2:25" x14ac:dyDescent="0.3">
      <c r="G14" s="6"/>
      <c r="H14" s="39"/>
      <c r="I14" s="28"/>
      <c r="J14" s="6" t="s">
        <v>99</v>
      </c>
      <c r="K14" s="39" t="s">
        <v>297</v>
      </c>
      <c r="L14" s="28">
        <v>-2500</v>
      </c>
      <c r="M14" s="6"/>
      <c r="N14" s="39"/>
      <c r="O14" s="26"/>
      <c r="P14" s="5"/>
      <c r="Q14" s="6"/>
      <c r="R14" s="39"/>
      <c r="S14" s="28"/>
      <c r="T14" s="6" t="s">
        <v>96</v>
      </c>
      <c r="U14" s="39" t="s">
        <v>359</v>
      </c>
      <c r="V14" s="28">
        <v>-8075</v>
      </c>
      <c r="W14" s="6" t="s">
        <v>88</v>
      </c>
      <c r="X14" s="39" t="s">
        <v>225</v>
      </c>
      <c r="Y14" s="26">
        <v>5</v>
      </c>
    </row>
    <row r="15" spans="2:25" x14ac:dyDescent="0.3">
      <c r="G15" s="6"/>
      <c r="H15" s="39"/>
      <c r="I15" s="28"/>
      <c r="J15" s="6" t="s">
        <v>99</v>
      </c>
      <c r="K15" s="39" t="s">
        <v>105</v>
      </c>
      <c r="L15" s="28">
        <v>-2500</v>
      </c>
      <c r="M15" s="6"/>
      <c r="N15" s="39"/>
      <c r="O15" s="26"/>
      <c r="P15" s="5"/>
      <c r="Q15" s="6"/>
      <c r="R15" s="39"/>
      <c r="S15" s="28"/>
      <c r="T15" s="6" t="s">
        <v>94</v>
      </c>
      <c r="U15" s="39" t="s">
        <v>474</v>
      </c>
      <c r="V15" s="28">
        <v>-40000</v>
      </c>
      <c r="W15" s="6" t="s">
        <v>88</v>
      </c>
      <c r="X15" s="39" t="s">
        <v>306</v>
      </c>
      <c r="Y15" s="26">
        <v>0</v>
      </c>
    </row>
    <row r="16" spans="2:25" x14ac:dyDescent="0.3">
      <c r="G16" s="6"/>
      <c r="H16" s="39"/>
      <c r="I16" s="28"/>
      <c r="J16" s="6" t="s">
        <v>94</v>
      </c>
      <c r="K16" s="39" t="s">
        <v>95</v>
      </c>
      <c r="L16" s="28">
        <v>-21000</v>
      </c>
      <c r="M16" s="6"/>
      <c r="N16" s="39"/>
      <c r="O16" s="26"/>
      <c r="P16" s="5"/>
      <c r="Q16" s="6"/>
      <c r="R16" s="39"/>
      <c r="S16" s="28"/>
      <c r="T16" s="6" t="s">
        <v>91</v>
      </c>
      <c r="U16" s="39" t="s">
        <v>548</v>
      </c>
      <c r="V16" s="28">
        <v>-1200</v>
      </c>
      <c r="W16" s="6" t="s">
        <v>88</v>
      </c>
      <c r="X16" s="39" t="s">
        <v>490</v>
      </c>
      <c r="Y16" s="26">
        <v>-300000</v>
      </c>
    </row>
    <row r="17" spans="2:25" x14ac:dyDescent="0.3">
      <c r="G17" s="6"/>
      <c r="H17" s="39"/>
      <c r="I17" s="28"/>
      <c r="J17" s="6" t="s">
        <v>90</v>
      </c>
      <c r="K17" s="39" t="s">
        <v>449</v>
      </c>
      <c r="L17" s="28">
        <v>-6120</v>
      </c>
      <c r="M17" s="6"/>
      <c r="N17" s="39"/>
      <c r="O17" s="26"/>
      <c r="P17" s="5"/>
      <c r="Q17" s="6"/>
      <c r="R17" s="39"/>
      <c r="S17" s="28"/>
      <c r="T17" s="6" t="s">
        <v>91</v>
      </c>
      <c r="U17" s="39" t="s">
        <v>548</v>
      </c>
      <c r="V17" s="28">
        <v>-1200</v>
      </c>
      <c r="W17" s="6" t="s">
        <v>88</v>
      </c>
      <c r="X17" s="39" t="s">
        <v>225</v>
      </c>
      <c r="Y17" s="26">
        <v>300000</v>
      </c>
    </row>
    <row r="18" spans="2:25" x14ac:dyDescent="0.3">
      <c r="G18" s="6"/>
      <c r="H18" s="39"/>
      <c r="I18" s="28"/>
      <c r="J18" s="6" t="s">
        <v>90</v>
      </c>
      <c r="K18" s="39" t="s">
        <v>450</v>
      </c>
      <c r="L18" s="28">
        <v>-5400</v>
      </c>
      <c r="M18" s="6"/>
      <c r="N18" s="39"/>
      <c r="O18" s="26"/>
      <c r="P18" s="5"/>
      <c r="Q18" s="6"/>
      <c r="R18" s="39"/>
      <c r="S18" s="28"/>
      <c r="T18" s="6" t="s">
        <v>100</v>
      </c>
      <c r="U18" s="39" t="s">
        <v>98</v>
      </c>
      <c r="V18" s="28">
        <v>-160000</v>
      </c>
      <c r="W18" s="6" t="s">
        <v>88</v>
      </c>
      <c r="X18" s="39" t="s">
        <v>231</v>
      </c>
      <c r="Y18" s="26">
        <v>1</v>
      </c>
    </row>
    <row r="19" spans="2:25" x14ac:dyDescent="0.3">
      <c r="G19" s="6"/>
      <c r="H19" s="39"/>
      <c r="I19" s="28"/>
      <c r="J19" s="6" t="s">
        <v>99</v>
      </c>
      <c r="K19" s="39" t="s">
        <v>451</v>
      </c>
      <c r="L19" s="28">
        <v>-9400</v>
      </c>
      <c r="M19" s="6"/>
      <c r="N19" s="39"/>
      <c r="O19" s="26"/>
      <c r="P19" s="5"/>
      <c r="Q19" s="6"/>
      <c r="R19" s="39"/>
      <c r="S19" s="28"/>
      <c r="T19" s="6" t="s">
        <v>94</v>
      </c>
      <c r="U19" s="39" t="s">
        <v>475</v>
      </c>
      <c r="V19" s="28">
        <v>-11900</v>
      </c>
      <c r="W19" s="6" t="s">
        <v>88</v>
      </c>
      <c r="X19" s="39" t="s">
        <v>225</v>
      </c>
      <c r="Y19" s="26">
        <v>1</v>
      </c>
    </row>
    <row r="20" spans="2:25" x14ac:dyDescent="0.3">
      <c r="G20" s="6"/>
      <c r="H20" s="39"/>
      <c r="I20" s="28"/>
      <c r="J20" s="6" t="s">
        <v>94</v>
      </c>
      <c r="K20" s="39" t="s">
        <v>452</v>
      </c>
      <c r="L20" s="28">
        <v>-10300</v>
      </c>
      <c r="M20" s="6"/>
      <c r="N20" s="39"/>
      <c r="O20" s="26"/>
      <c r="P20" s="5"/>
      <c r="Q20" s="6"/>
      <c r="R20" s="39"/>
      <c r="S20" s="28"/>
      <c r="T20" s="6" t="s">
        <v>99</v>
      </c>
      <c r="U20" s="39" t="s">
        <v>113</v>
      </c>
      <c r="V20" s="28">
        <v>-1200</v>
      </c>
      <c r="W20" s="6"/>
      <c r="X20" s="39"/>
      <c r="Y20" s="26"/>
    </row>
    <row r="21" spans="2:25" x14ac:dyDescent="0.3">
      <c r="G21" s="6"/>
      <c r="H21" s="39"/>
      <c r="I21" s="28"/>
      <c r="J21" s="6" t="s">
        <v>90</v>
      </c>
      <c r="K21" s="39" t="s">
        <v>215</v>
      </c>
      <c r="L21" s="28">
        <v>-18000</v>
      </c>
      <c r="M21" s="6"/>
      <c r="N21" s="39"/>
      <c r="O21" s="26"/>
      <c r="P21" s="5"/>
      <c r="Q21" s="6"/>
      <c r="R21" s="39"/>
      <c r="S21" s="28"/>
      <c r="T21" s="6" t="s">
        <v>99</v>
      </c>
      <c r="U21" s="39" t="s">
        <v>113</v>
      </c>
      <c r="V21" s="28">
        <v>-2940</v>
      </c>
      <c r="W21" s="6"/>
      <c r="X21" s="39"/>
      <c r="Y21" s="26"/>
    </row>
    <row r="22" spans="2:25" x14ac:dyDescent="0.3">
      <c r="G22" s="6"/>
      <c r="H22" s="39"/>
      <c r="I22" s="28"/>
      <c r="J22" s="6" t="s">
        <v>96</v>
      </c>
      <c r="K22" s="39" t="s">
        <v>435</v>
      </c>
      <c r="L22" s="28">
        <v>-19325</v>
      </c>
      <c r="M22" s="6"/>
      <c r="N22" s="39"/>
      <c r="O22" s="26"/>
      <c r="P22" s="5"/>
      <c r="Q22" s="6"/>
      <c r="R22" s="39"/>
      <c r="S22" s="28"/>
      <c r="T22" s="6" t="s">
        <v>90</v>
      </c>
      <c r="U22" s="39" t="s">
        <v>335</v>
      </c>
      <c r="V22" s="28">
        <v>-135410</v>
      </c>
      <c r="W22" s="6"/>
      <c r="X22" s="39"/>
      <c r="Y22" s="26"/>
    </row>
    <row r="23" spans="2:25" x14ac:dyDescent="0.3">
      <c r="G23" s="6"/>
      <c r="H23" s="39"/>
      <c r="I23" s="28"/>
      <c r="J23" s="6" t="s">
        <v>99</v>
      </c>
      <c r="K23" s="39" t="s">
        <v>297</v>
      </c>
      <c r="L23" s="28">
        <v>-2500</v>
      </c>
      <c r="M23" s="6"/>
      <c r="N23" s="39"/>
      <c r="O23" s="26"/>
      <c r="P23" s="5"/>
      <c r="Q23" s="6"/>
      <c r="R23" s="39"/>
      <c r="S23" s="28"/>
      <c r="T23" s="6" t="s">
        <v>103</v>
      </c>
      <c r="U23" s="39" t="s">
        <v>476</v>
      </c>
      <c r="V23" s="28">
        <v>-27800</v>
      </c>
      <c r="W23" s="6"/>
      <c r="X23" s="39"/>
      <c r="Y23" s="26"/>
    </row>
    <row r="24" spans="2:25" x14ac:dyDescent="0.3">
      <c r="G24" s="6"/>
      <c r="H24" s="39"/>
      <c r="I24" s="28"/>
      <c r="J24" s="6" t="s">
        <v>103</v>
      </c>
      <c r="K24" s="39" t="s">
        <v>395</v>
      </c>
      <c r="L24" s="28">
        <v>-26000</v>
      </c>
      <c r="M24" s="6"/>
      <c r="N24" s="39"/>
      <c r="O24" s="26"/>
      <c r="P24" s="5"/>
      <c r="Q24" s="6"/>
      <c r="R24" s="39"/>
      <c r="S24" s="28"/>
      <c r="T24" s="6" t="s">
        <v>103</v>
      </c>
      <c r="U24" s="39" t="s">
        <v>476</v>
      </c>
      <c r="V24" s="28">
        <v>-27800</v>
      </c>
      <c r="W24" s="6"/>
      <c r="X24" s="39"/>
      <c r="Y24" s="26"/>
    </row>
    <row r="25" spans="2:25" x14ac:dyDescent="0.3">
      <c r="B25" s="134" t="s">
        <v>143</v>
      </c>
      <c r="C25" s="170"/>
      <c r="D25" s="170"/>
      <c r="E25" s="135"/>
      <c r="G25" s="6"/>
      <c r="H25" s="39"/>
      <c r="I25" s="28"/>
      <c r="J25" s="6" t="s">
        <v>103</v>
      </c>
      <c r="K25" s="39" t="s">
        <v>395</v>
      </c>
      <c r="L25" s="28">
        <v>-26000</v>
      </c>
      <c r="M25" s="6"/>
      <c r="N25" s="39"/>
      <c r="O25" s="26"/>
      <c r="P25" s="5"/>
      <c r="Q25" s="6"/>
      <c r="R25" s="39"/>
      <c r="S25" s="28"/>
      <c r="T25" s="6" t="s">
        <v>94</v>
      </c>
      <c r="U25" s="39" t="s">
        <v>477</v>
      </c>
      <c r="V25" s="28">
        <v>-38500</v>
      </c>
      <c r="W25" s="6"/>
      <c r="X25" s="39"/>
      <c r="Y25" s="26"/>
    </row>
    <row r="26" spans="2:25" x14ac:dyDescent="0.3">
      <c r="B26" s="48" t="s">
        <v>28</v>
      </c>
      <c r="C26" s="165" t="s">
        <v>30</v>
      </c>
      <c r="D26" s="166"/>
      <c r="E26" s="167"/>
      <c r="G26" s="6"/>
      <c r="H26" s="39"/>
      <c r="I26" s="28"/>
      <c r="J26" s="6" t="s">
        <v>91</v>
      </c>
      <c r="K26" s="39" t="s">
        <v>453</v>
      </c>
      <c r="L26" s="28">
        <v>-4000</v>
      </c>
      <c r="M26" s="6"/>
      <c r="N26" s="39"/>
      <c r="O26" s="26"/>
      <c r="P26" s="5"/>
      <c r="Q26" s="6"/>
      <c r="R26" s="39"/>
      <c r="S26" s="28"/>
      <c r="T26" s="6" t="s">
        <v>90</v>
      </c>
      <c r="U26" s="39" t="s">
        <v>127</v>
      </c>
      <c r="V26" s="28">
        <v>-46070</v>
      </c>
      <c r="W26" s="6"/>
      <c r="X26" s="39"/>
      <c r="Y26" s="26"/>
    </row>
    <row r="27" spans="2:25" x14ac:dyDescent="0.3">
      <c r="B27" s="48" t="s">
        <v>89</v>
      </c>
      <c r="C27" s="159">
        <f t="shared" ref="C27:C46" si="0">-(SUMIF($J$7:$J$88,B27,$L$7:$L$88)+SUMIF($T$7:$T$88,B27,$V$7:$V$88))</f>
        <v>94300</v>
      </c>
      <c r="D27" s="160"/>
      <c r="E27" s="161"/>
      <c r="G27" s="6"/>
      <c r="H27" s="39"/>
      <c r="I27" s="28"/>
      <c r="J27" s="6" t="s">
        <v>103</v>
      </c>
      <c r="K27" s="39" t="s">
        <v>454</v>
      </c>
      <c r="L27" s="28">
        <v>-4250</v>
      </c>
      <c r="M27" s="6"/>
      <c r="N27" s="39"/>
      <c r="O27" s="26"/>
      <c r="P27" s="5"/>
      <c r="Q27" s="6"/>
      <c r="R27" s="39"/>
      <c r="S27" s="28"/>
      <c r="T27" s="6" t="s">
        <v>120</v>
      </c>
      <c r="U27" s="39" t="s">
        <v>478</v>
      </c>
      <c r="V27" s="28">
        <v>-337</v>
      </c>
      <c r="W27" s="6"/>
      <c r="X27" s="39"/>
      <c r="Y27" s="26"/>
    </row>
    <row r="28" spans="2:25" x14ac:dyDescent="0.3">
      <c r="B28" s="49" t="s">
        <v>90</v>
      </c>
      <c r="C28" s="159">
        <f t="shared" si="0"/>
        <v>766623</v>
      </c>
      <c r="D28" s="160"/>
      <c r="E28" s="161"/>
      <c r="G28" s="6"/>
      <c r="H28" s="39"/>
      <c r="I28" s="28"/>
      <c r="J28" s="6" t="s">
        <v>103</v>
      </c>
      <c r="K28" s="39" t="s">
        <v>455</v>
      </c>
      <c r="L28" s="28">
        <v>-12500</v>
      </c>
      <c r="M28" s="6"/>
      <c r="N28" s="39"/>
      <c r="O28" s="26"/>
      <c r="P28" s="5"/>
      <c r="Q28" s="6"/>
      <c r="R28" s="39"/>
      <c r="S28" s="28"/>
      <c r="T28" s="6" t="s">
        <v>120</v>
      </c>
      <c r="U28" s="39" t="s">
        <v>478</v>
      </c>
      <c r="V28" s="28">
        <v>-318707</v>
      </c>
      <c r="W28" s="6"/>
      <c r="X28" s="39"/>
      <c r="Y28" s="26"/>
    </row>
    <row r="29" spans="2:25" x14ac:dyDescent="0.3">
      <c r="B29" s="49" t="s">
        <v>94</v>
      </c>
      <c r="C29" s="159">
        <f t="shared" si="0"/>
        <v>427200</v>
      </c>
      <c r="D29" s="160"/>
      <c r="E29" s="161"/>
      <c r="G29" s="6"/>
      <c r="H29" s="39"/>
      <c r="I29" s="28"/>
      <c r="J29" s="6" t="s">
        <v>99</v>
      </c>
      <c r="K29" s="39" t="s">
        <v>297</v>
      </c>
      <c r="L29" s="28">
        <v>-2500</v>
      </c>
      <c r="M29" s="6"/>
      <c r="N29" s="39"/>
      <c r="O29" s="26"/>
      <c r="P29" s="5"/>
      <c r="Q29" s="6"/>
      <c r="R29" s="39"/>
      <c r="S29" s="28"/>
      <c r="T29" s="6" t="s">
        <v>103</v>
      </c>
      <c r="U29" s="39" t="s">
        <v>476</v>
      </c>
      <c r="V29" s="28">
        <v>-27800</v>
      </c>
      <c r="W29" s="6"/>
      <c r="X29" s="39"/>
      <c r="Y29" s="26"/>
    </row>
    <row r="30" spans="2:25" x14ac:dyDescent="0.3">
      <c r="B30" s="49" t="s">
        <v>92</v>
      </c>
      <c r="C30" s="159">
        <f t="shared" si="0"/>
        <v>316830</v>
      </c>
      <c r="D30" s="160"/>
      <c r="E30" s="161"/>
      <c r="G30" s="6"/>
      <c r="H30" s="39"/>
      <c r="I30" s="28"/>
      <c r="J30" s="6" t="s">
        <v>112</v>
      </c>
      <c r="K30" s="39" t="s">
        <v>456</v>
      </c>
      <c r="L30" s="28">
        <v>-52600</v>
      </c>
      <c r="M30" s="6"/>
      <c r="N30" s="39"/>
      <c r="O30" s="26"/>
      <c r="P30" s="5"/>
      <c r="Q30" s="6"/>
      <c r="R30" s="39"/>
      <c r="S30" s="28"/>
      <c r="T30" s="6" t="s">
        <v>103</v>
      </c>
      <c r="U30" s="39" t="s">
        <v>476</v>
      </c>
      <c r="V30" s="28">
        <v>27800</v>
      </c>
      <c r="W30" s="6"/>
      <c r="X30" s="39"/>
      <c r="Y30" s="26"/>
    </row>
    <row r="31" spans="2:25" x14ac:dyDescent="0.3">
      <c r="B31" s="49" t="s">
        <v>96</v>
      </c>
      <c r="C31" s="159">
        <f t="shared" si="0"/>
        <v>27400</v>
      </c>
      <c r="D31" s="160"/>
      <c r="E31" s="161"/>
      <c r="G31" s="6"/>
      <c r="H31" s="39"/>
      <c r="I31" s="28"/>
      <c r="J31" s="6" t="s">
        <v>94</v>
      </c>
      <c r="K31" s="39" t="s">
        <v>457</v>
      </c>
      <c r="L31" s="28">
        <v>-15000</v>
      </c>
      <c r="M31" s="6"/>
      <c r="N31" s="39"/>
      <c r="O31" s="26"/>
      <c r="P31" s="5"/>
      <c r="Q31" s="6"/>
      <c r="R31" s="39"/>
      <c r="S31" s="28"/>
      <c r="T31" s="6" t="s">
        <v>94</v>
      </c>
      <c r="U31" s="39" t="s">
        <v>480</v>
      </c>
      <c r="V31" s="28">
        <v>-68000</v>
      </c>
      <c r="W31" s="6"/>
      <c r="X31" s="39"/>
      <c r="Y31" s="26"/>
    </row>
    <row r="32" spans="2:25" x14ac:dyDescent="0.3">
      <c r="B32" s="49" t="s">
        <v>93</v>
      </c>
      <c r="C32" s="159">
        <f t="shared" si="0"/>
        <v>322232</v>
      </c>
      <c r="D32" s="160"/>
      <c r="E32" s="161"/>
      <c r="G32" s="6"/>
      <c r="H32" s="39"/>
      <c r="I32" s="28"/>
      <c r="J32" s="6" t="s">
        <v>99</v>
      </c>
      <c r="K32" s="39" t="s">
        <v>297</v>
      </c>
      <c r="L32" s="28">
        <v>-2500</v>
      </c>
      <c r="M32" s="6"/>
      <c r="N32" s="39"/>
      <c r="O32" s="26"/>
      <c r="P32" s="5"/>
      <c r="Q32" s="6"/>
      <c r="R32" s="39"/>
      <c r="S32" s="28"/>
      <c r="T32" s="6" t="s">
        <v>120</v>
      </c>
      <c r="U32" s="39" t="s">
        <v>481</v>
      </c>
      <c r="V32" s="28">
        <v>-159000</v>
      </c>
      <c r="W32" s="6"/>
      <c r="X32" s="39"/>
      <c r="Y32" s="26"/>
    </row>
    <row r="33" spans="2:25" x14ac:dyDescent="0.3">
      <c r="B33" s="49" t="s">
        <v>103</v>
      </c>
      <c r="C33" s="159">
        <f t="shared" si="0"/>
        <v>189500</v>
      </c>
      <c r="D33" s="160"/>
      <c r="E33" s="161"/>
      <c r="G33" s="6"/>
      <c r="H33" s="39"/>
      <c r="I33" s="28"/>
      <c r="J33" s="6" t="s">
        <v>103</v>
      </c>
      <c r="K33" s="39" t="s">
        <v>458</v>
      </c>
      <c r="L33" s="28">
        <v>-24200</v>
      </c>
      <c r="M33" s="6"/>
      <c r="N33" s="39"/>
      <c r="O33" s="26"/>
      <c r="P33" s="5"/>
      <c r="Q33" s="6"/>
      <c r="R33" s="39"/>
      <c r="S33" s="28"/>
      <c r="T33" s="6" t="s">
        <v>99</v>
      </c>
      <c r="U33" s="39" t="s">
        <v>113</v>
      </c>
      <c r="V33" s="28">
        <v>-1200</v>
      </c>
      <c r="W33" s="6"/>
      <c r="X33" s="39"/>
      <c r="Y33" s="26"/>
    </row>
    <row r="34" spans="2:25" x14ac:dyDescent="0.3">
      <c r="B34" s="49" t="s">
        <v>99</v>
      </c>
      <c r="C34" s="159">
        <f t="shared" si="0"/>
        <v>124240</v>
      </c>
      <c r="D34" s="160"/>
      <c r="E34" s="161"/>
      <c r="G34" s="6"/>
      <c r="H34" s="39"/>
      <c r="I34" s="28"/>
      <c r="J34" s="6" t="s">
        <v>103</v>
      </c>
      <c r="K34" s="39" t="s">
        <v>458</v>
      </c>
      <c r="L34" s="28">
        <v>-24200</v>
      </c>
      <c r="M34" s="6"/>
      <c r="N34" s="39"/>
      <c r="O34" s="26"/>
      <c r="P34" s="5"/>
      <c r="Q34" s="6"/>
      <c r="R34" s="39"/>
      <c r="S34" s="28"/>
      <c r="T34" s="6" t="s">
        <v>99</v>
      </c>
      <c r="U34" s="39" t="s">
        <v>482</v>
      </c>
      <c r="V34" s="28">
        <v>-20400</v>
      </c>
      <c r="W34" s="6"/>
      <c r="X34" s="39"/>
      <c r="Y34" s="26"/>
    </row>
    <row r="35" spans="2:25" x14ac:dyDescent="0.3">
      <c r="B35" s="49" t="s">
        <v>120</v>
      </c>
      <c r="C35" s="159">
        <f t="shared" si="0"/>
        <v>1000334</v>
      </c>
      <c r="D35" s="160"/>
      <c r="E35" s="161"/>
      <c r="G35" s="6"/>
      <c r="H35" s="39"/>
      <c r="I35" s="28"/>
      <c r="J35" s="6" t="s">
        <v>112</v>
      </c>
      <c r="K35" s="39" t="s">
        <v>145</v>
      </c>
      <c r="L35" s="28">
        <v>-18000</v>
      </c>
      <c r="M35" s="6"/>
      <c r="N35" s="39"/>
      <c r="O35" s="26"/>
      <c r="P35" s="5"/>
      <c r="Q35" s="6"/>
      <c r="R35" s="39"/>
      <c r="S35" s="28"/>
      <c r="T35" s="6" t="s">
        <v>93</v>
      </c>
      <c r="U35" s="39" t="s">
        <v>340</v>
      </c>
      <c r="V35" s="28">
        <v>-56282</v>
      </c>
      <c r="W35" s="6"/>
      <c r="X35" s="39"/>
      <c r="Y35" s="26"/>
    </row>
    <row r="36" spans="2:25" x14ac:dyDescent="0.3">
      <c r="B36" s="49" t="s">
        <v>91</v>
      </c>
      <c r="C36" s="159">
        <f t="shared" si="0"/>
        <v>32400</v>
      </c>
      <c r="D36" s="160"/>
      <c r="E36" s="161"/>
      <c r="G36" s="6"/>
      <c r="H36" s="39"/>
      <c r="I36" s="28"/>
      <c r="J36" s="6" t="s">
        <v>112</v>
      </c>
      <c r="K36" s="39" t="s">
        <v>459</v>
      </c>
      <c r="L36" s="28">
        <v>-27200</v>
      </c>
      <c r="M36" s="6"/>
      <c r="N36" s="39"/>
      <c r="O36" s="26"/>
      <c r="P36" s="5"/>
      <c r="Q36" s="6"/>
      <c r="R36" s="39"/>
      <c r="S36" s="28"/>
      <c r="T36" s="6" t="s">
        <v>90</v>
      </c>
      <c r="U36" s="39" t="s">
        <v>127</v>
      </c>
      <c r="V36" s="28">
        <v>-18770</v>
      </c>
      <c r="W36" s="6"/>
      <c r="X36" s="39"/>
      <c r="Y36" s="26"/>
    </row>
    <row r="37" spans="2:25" x14ac:dyDescent="0.3">
      <c r="B37" s="49" t="s">
        <v>102</v>
      </c>
      <c r="C37" s="159">
        <f t="shared" si="0"/>
        <v>0</v>
      </c>
      <c r="D37" s="160"/>
      <c r="E37" s="161"/>
      <c r="G37" s="6"/>
      <c r="H37" s="39"/>
      <c r="I37" s="28"/>
      <c r="J37" s="6" t="s">
        <v>112</v>
      </c>
      <c r="K37" s="39" t="s">
        <v>460</v>
      </c>
      <c r="L37" s="28">
        <v>-15700</v>
      </c>
      <c r="M37" s="6"/>
      <c r="N37" s="39"/>
      <c r="O37" s="26"/>
      <c r="P37" s="5"/>
      <c r="Q37" s="6"/>
      <c r="R37" s="39"/>
      <c r="S37" s="28"/>
      <c r="T37" s="6" t="s">
        <v>112</v>
      </c>
      <c r="U37" s="39" t="s">
        <v>484</v>
      </c>
      <c r="V37" s="28">
        <v>-44100</v>
      </c>
      <c r="W37" s="6"/>
      <c r="X37" s="39"/>
      <c r="Y37" s="26"/>
    </row>
    <row r="38" spans="2:25" x14ac:dyDescent="0.3">
      <c r="B38" s="49" t="s">
        <v>118</v>
      </c>
      <c r="C38" s="159">
        <f t="shared" si="0"/>
        <v>0</v>
      </c>
      <c r="D38" s="160"/>
      <c r="E38" s="161"/>
      <c r="G38" s="6"/>
      <c r="H38" s="39"/>
      <c r="I38" s="28"/>
      <c r="J38" s="6" t="s">
        <v>112</v>
      </c>
      <c r="K38" s="39" t="s">
        <v>460</v>
      </c>
      <c r="L38" s="28">
        <v>-69300</v>
      </c>
      <c r="M38" s="6"/>
      <c r="N38" s="39"/>
      <c r="O38" s="26"/>
      <c r="P38" s="5"/>
      <c r="Q38" s="6"/>
      <c r="R38" s="39"/>
      <c r="S38" s="28"/>
      <c r="T38" s="6" t="s">
        <v>112</v>
      </c>
      <c r="U38" s="39" t="s">
        <v>484</v>
      </c>
      <c r="V38" s="28">
        <v>-125300</v>
      </c>
      <c r="W38" s="6"/>
      <c r="X38" s="39"/>
      <c r="Y38" s="26"/>
    </row>
    <row r="39" spans="2:25" x14ac:dyDescent="0.3">
      <c r="B39" s="49" t="s">
        <v>108</v>
      </c>
      <c r="C39" s="159">
        <f t="shared" si="0"/>
        <v>0</v>
      </c>
      <c r="D39" s="160"/>
      <c r="E39" s="161"/>
      <c r="G39" s="6"/>
      <c r="H39" s="39"/>
      <c r="I39" s="28"/>
      <c r="J39" s="6" t="s">
        <v>112</v>
      </c>
      <c r="K39" s="39" t="s">
        <v>460</v>
      </c>
      <c r="L39" s="28">
        <v>-95200</v>
      </c>
      <c r="M39" s="6"/>
      <c r="N39" s="39"/>
      <c r="O39" s="26"/>
      <c r="P39" s="5"/>
      <c r="Q39" s="6"/>
      <c r="R39" s="39"/>
      <c r="S39" s="28"/>
      <c r="T39" s="6" t="s">
        <v>112</v>
      </c>
      <c r="U39" s="39" t="s">
        <v>484</v>
      </c>
      <c r="V39" s="28">
        <v>-99000</v>
      </c>
      <c r="W39" s="6"/>
      <c r="X39" s="39"/>
      <c r="Y39" s="26"/>
    </row>
    <row r="40" spans="2:25" x14ac:dyDescent="0.3">
      <c r="B40" s="49" t="s">
        <v>129</v>
      </c>
      <c r="C40" s="159">
        <f t="shared" si="0"/>
        <v>0</v>
      </c>
      <c r="D40" s="160"/>
      <c r="E40" s="161"/>
      <c r="G40" s="6"/>
      <c r="H40" s="39"/>
      <c r="I40" s="28"/>
      <c r="J40" s="6" t="s">
        <v>112</v>
      </c>
      <c r="K40" s="39" t="s">
        <v>460</v>
      </c>
      <c r="L40" s="28">
        <v>-89400</v>
      </c>
      <c r="M40" s="6"/>
      <c r="N40" s="39"/>
      <c r="O40" s="26"/>
      <c r="P40" s="5"/>
      <c r="Q40" s="6"/>
      <c r="R40" s="39"/>
      <c r="S40" s="28"/>
      <c r="T40" s="6" t="s">
        <v>112</v>
      </c>
      <c r="U40" s="39" t="s">
        <v>484</v>
      </c>
      <c r="V40" s="28">
        <v>-149100</v>
      </c>
      <c r="W40" s="6"/>
      <c r="X40" s="39"/>
      <c r="Y40" s="26"/>
    </row>
    <row r="41" spans="2:25" x14ac:dyDescent="0.3">
      <c r="B41" s="49" t="s">
        <v>100</v>
      </c>
      <c r="C41" s="159">
        <f t="shared" si="0"/>
        <v>400000</v>
      </c>
      <c r="D41" s="160"/>
      <c r="E41" s="161"/>
      <c r="G41" s="6"/>
      <c r="H41" s="39"/>
      <c r="I41" s="28"/>
      <c r="J41" s="6" t="s">
        <v>94</v>
      </c>
      <c r="K41" s="39" t="s">
        <v>461</v>
      </c>
      <c r="L41" s="28">
        <v>-22000</v>
      </c>
      <c r="M41" s="6"/>
      <c r="N41" s="39"/>
      <c r="O41" s="26"/>
      <c r="P41" s="5"/>
      <c r="Q41" s="6"/>
      <c r="R41" s="39"/>
      <c r="S41" s="28"/>
      <c r="T41" s="6" t="s">
        <v>99</v>
      </c>
      <c r="U41" s="39" t="s">
        <v>113</v>
      </c>
      <c r="V41" s="28">
        <v>-1500</v>
      </c>
      <c r="W41" s="6"/>
      <c r="X41" s="39"/>
      <c r="Y41" s="26"/>
    </row>
    <row r="42" spans="2:25" x14ac:dyDescent="0.3">
      <c r="B42" s="49" t="s">
        <v>123</v>
      </c>
      <c r="C42" s="159">
        <f t="shared" si="0"/>
        <v>0</v>
      </c>
      <c r="D42" s="160"/>
      <c r="E42" s="161"/>
      <c r="G42" s="6"/>
      <c r="H42" s="39"/>
      <c r="I42" s="28"/>
      <c r="J42" s="6" t="s">
        <v>92</v>
      </c>
      <c r="K42" s="39" t="s">
        <v>308</v>
      </c>
      <c r="L42" s="28">
        <v>-16500</v>
      </c>
      <c r="M42" s="6"/>
      <c r="N42" s="39"/>
      <c r="O42" s="26"/>
      <c r="P42" s="5"/>
      <c r="Q42" s="6"/>
      <c r="R42" s="39"/>
      <c r="S42" s="28"/>
      <c r="T42" s="6" t="s">
        <v>99</v>
      </c>
      <c r="U42" s="39" t="s">
        <v>113</v>
      </c>
      <c r="V42" s="28">
        <v>-3100</v>
      </c>
      <c r="W42" s="6"/>
      <c r="X42" s="39"/>
      <c r="Y42" s="26"/>
    </row>
    <row r="43" spans="2:25" x14ac:dyDescent="0.3">
      <c r="B43" s="49" t="s">
        <v>111</v>
      </c>
      <c r="C43" s="159">
        <f t="shared" si="0"/>
        <v>0</v>
      </c>
      <c r="D43" s="160"/>
      <c r="E43" s="161"/>
      <c r="G43" s="6"/>
      <c r="H43" s="39"/>
      <c r="I43" s="28"/>
      <c r="J43" s="6" t="s">
        <v>94</v>
      </c>
      <c r="K43" s="39" t="s">
        <v>462</v>
      </c>
      <c r="L43" s="28">
        <v>-70000</v>
      </c>
      <c r="M43" s="6"/>
      <c r="N43" s="39"/>
      <c r="O43" s="26"/>
      <c r="P43" s="5"/>
      <c r="Q43" s="6"/>
      <c r="R43" s="39"/>
      <c r="S43" s="28"/>
      <c r="T43" s="6" t="s">
        <v>90</v>
      </c>
      <c r="U43" s="39" t="s">
        <v>324</v>
      </c>
      <c r="V43" s="28">
        <v>-21000</v>
      </c>
      <c r="W43" s="6"/>
      <c r="X43" s="39"/>
      <c r="Y43" s="26"/>
    </row>
    <row r="44" spans="2:25" x14ac:dyDescent="0.3">
      <c r="B44" s="49" t="s">
        <v>116</v>
      </c>
      <c r="C44" s="159">
        <f t="shared" si="0"/>
        <v>0</v>
      </c>
      <c r="D44" s="160"/>
      <c r="E44" s="161"/>
      <c r="G44" s="6"/>
      <c r="H44" s="39"/>
      <c r="I44" s="28"/>
      <c r="J44" s="6" t="s">
        <v>94</v>
      </c>
      <c r="K44" s="39" t="s">
        <v>463</v>
      </c>
      <c r="L44" s="28">
        <v>-27000</v>
      </c>
      <c r="M44" s="6"/>
      <c r="N44" s="39"/>
      <c r="O44" s="26"/>
      <c r="P44" s="5"/>
      <c r="Q44" s="6"/>
      <c r="R44" s="39"/>
      <c r="S44" s="28"/>
      <c r="T44" s="6" t="s">
        <v>92</v>
      </c>
      <c r="U44" s="39" t="s">
        <v>486</v>
      </c>
      <c r="V44" s="28">
        <v>-5900</v>
      </c>
      <c r="W44" s="6"/>
      <c r="X44" s="39"/>
      <c r="Y44" s="26"/>
    </row>
    <row r="45" spans="2:25" x14ac:dyDescent="0.3">
      <c r="B45" s="49" t="s">
        <v>112</v>
      </c>
      <c r="C45" s="159">
        <f t="shared" si="0"/>
        <v>894595</v>
      </c>
      <c r="D45" s="160"/>
      <c r="E45" s="161"/>
      <c r="G45" s="6"/>
      <c r="H45" s="39"/>
      <c r="I45" s="28"/>
      <c r="J45" s="6" t="s">
        <v>100</v>
      </c>
      <c r="K45" s="39" t="s">
        <v>98</v>
      </c>
      <c r="L45" s="28">
        <v>-80000</v>
      </c>
      <c r="M45" s="6"/>
      <c r="N45" s="39"/>
      <c r="O45" s="26"/>
      <c r="P45" s="5"/>
      <c r="Q45" s="6"/>
      <c r="R45" s="39"/>
      <c r="S45" s="28"/>
      <c r="T45" s="6" t="s">
        <v>99</v>
      </c>
      <c r="U45" s="39" t="s">
        <v>487</v>
      </c>
      <c r="V45" s="28">
        <v>-2000</v>
      </c>
      <c r="W45" s="6"/>
      <c r="X45" s="39"/>
      <c r="Y45" s="26"/>
    </row>
    <row r="46" spans="2:25" x14ac:dyDescent="0.3">
      <c r="B46" s="50" t="s">
        <v>126</v>
      </c>
      <c r="C46" s="159">
        <f t="shared" si="0"/>
        <v>50000</v>
      </c>
      <c r="D46" s="160"/>
      <c r="E46" s="161"/>
      <c r="G46" s="6"/>
      <c r="H46" s="39"/>
      <c r="I46" s="28"/>
      <c r="J46" s="6" t="s">
        <v>99</v>
      </c>
      <c r="K46" s="39" t="s">
        <v>297</v>
      </c>
      <c r="L46" s="28">
        <v>-2500</v>
      </c>
      <c r="M46" s="6"/>
      <c r="N46" s="39"/>
      <c r="O46" s="26"/>
      <c r="P46" s="5"/>
      <c r="Q46" s="6"/>
      <c r="R46" s="39"/>
      <c r="S46" s="28"/>
      <c r="T46" s="6" t="s">
        <v>94</v>
      </c>
      <c r="U46" s="39" t="s">
        <v>489</v>
      </c>
      <c r="V46" s="28">
        <v>-10000</v>
      </c>
      <c r="W46" s="6"/>
      <c r="X46" s="39"/>
      <c r="Y46" s="26"/>
    </row>
    <row r="47" spans="2:25" x14ac:dyDescent="0.3">
      <c r="G47" s="6"/>
      <c r="H47" s="39"/>
      <c r="I47" s="28"/>
      <c r="J47" s="6" t="s">
        <v>93</v>
      </c>
      <c r="K47" s="39" t="s">
        <v>125</v>
      </c>
      <c r="L47" s="28">
        <v>-60000</v>
      </c>
      <c r="M47" s="6"/>
      <c r="N47" s="39"/>
      <c r="O47" s="26"/>
      <c r="P47" s="5"/>
      <c r="Q47" s="6"/>
      <c r="R47" s="39"/>
      <c r="S47" s="28"/>
      <c r="T47" s="6" t="s">
        <v>90</v>
      </c>
      <c r="U47" s="39" t="s">
        <v>427</v>
      </c>
      <c r="V47" s="28">
        <v>-163600</v>
      </c>
      <c r="W47" s="6"/>
      <c r="X47" s="39"/>
      <c r="Y47" s="26"/>
    </row>
    <row r="48" spans="2:25" x14ac:dyDescent="0.3">
      <c r="B48" s="45" t="s">
        <v>139</v>
      </c>
      <c r="C48" s="162" t="str">
        <f>IF(ABS(SUM(C27:E46))&lt;&gt;ABS(SUM(L89,V89)),"항목 추가해주세요","-")</f>
        <v>-</v>
      </c>
      <c r="D48" s="163"/>
      <c r="E48" s="164"/>
      <c r="G48" s="6"/>
      <c r="H48" s="39"/>
      <c r="I48" s="28"/>
      <c r="J48" s="6" t="s">
        <v>99</v>
      </c>
      <c r="K48" s="39" t="s">
        <v>297</v>
      </c>
      <c r="L48" s="28">
        <v>-2500</v>
      </c>
      <c r="M48" s="6"/>
      <c r="N48" s="39"/>
      <c r="O48" s="26"/>
      <c r="P48" s="5"/>
      <c r="Q48" s="6"/>
      <c r="R48" s="39"/>
      <c r="S48" s="28"/>
      <c r="T48" s="6" t="s">
        <v>99</v>
      </c>
      <c r="U48" s="39" t="s">
        <v>105</v>
      </c>
      <c r="V48" s="28">
        <v>-2500</v>
      </c>
      <c r="W48" s="6"/>
      <c r="X48" s="39"/>
      <c r="Y48" s="26"/>
    </row>
    <row r="49" spans="2:25" x14ac:dyDescent="0.3">
      <c r="C49" s="51"/>
      <c r="G49" s="6"/>
      <c r="H49" s="39"/>
      <c r="I49" s="28"/>
      <c r="J49" s="6" t="s">
        <v>99</v>
      </c>
      <c r="K49" s="39" t="s">
        <v>464</v>
      </c>
      <c r="L49" s="28">
        <v>-34000</v>
      </c>
      <c r="M49" s="6"/>
      <c r="N49" s="39"/>
      <c r="O49" s="26"/>
      <c r="P49" s="5"/>
      <c r="Q49" s="6"/>
      <c r="R49" s="39"/>
      <c r="S49" s="28"/>
      <c r="T49" s="6" t="s">
        <v>126</v>
      </c>
      <c r="U49" s="39" t="s">
        <v>483</v>
      </c>
      <c r="V49" s="28">
        <v>-50000</v>
      </c>
      <c r="W49" s="6"/>
      <c r="X49" s="39"/>
      <c r="Y49" s="26"/>
    </row>
    <row r="50" spans="2:25" x14ac:dyDescent="0.3">
      <c r="B50" s="136" t="s">
        <v>150</v>
      </c>
      <c r="C50" s="168"/>
      <c r="D50" s="168"/>
      <c r="E50" s="137"/>
      <c r="G50" s="6"/>
      <c r="H50" s="39"/>
      <c r="I50" s="28"/>
      <c r="J50" s="6" t="s">
        <v>112</v>
      </c>
      <c r="K50" s="39" t="s">
        <v>465</v>
      </c>
      <c r="L50" s="28">
        <v>-83610</v>
      </c>
      <c r="M50" s="6"/>
      <c r="N50" s="39"/>
      <c r="O50" s="26"/>
      <c r="P50" s="5"/>
      <c r="Q50" s="6"/>
      <c r="R50" s="39"/>
      <c r="S50" s="28"/>
      <c r="T50" s="6" t="s">
        <v>99</v>
      </c>
      <c r="U50" s="39" t="s">
        <v>105</v>
      </c>
      <c r="V50" s="28">
        <v>-2500</v>
      </c>
      <c r="W50" s="6"/>
      <c r="X50" s="39"/>
      <c r="Y50" s="26"/>
    </row>
    <row r="51" spans="2:25" x14ac:dyDescent="0.3">
      <c r="B51" s="48" t="s">
        <v>28</v>
      </c>
      <c r="C51" s="165" t="s">
        <v>30</v>
      </c>
      <c r="D51" s="166"/>
      <c r="E51" s="167"/>
      <c r="G51" s="6"/>
      <c r="H51" s="39"/>
      <c r="I51" s="28"/>
      <c r="J51" s="6" t="s">
        <v>93</v>
      </c>
      <c r="K51" s="39" t="s">
        <v>466</v>
      </c>
      <c r="L51" s="28">
        <v>-35950</v>
      </c>
      <c r="M51" s="6"/>
      <c r="N51" s="39"/>
      <c r="O51" s="26"/>
      <c r="P51" s="5"/>
      <c r="Q51" s="6"/>
      <c r="R51" s="39"/>
      <c r="S51" s="28"/>
      <c r="T51" s="6" t="s">
        <v>92</v>
      </c>
      <c r="U51" s="39" t="s">
        <v>203</v>
      </c>
      <c r="V51" s="28">
        <v>-28500</v>
      </c>
      <c r="W51" s="6"/>
      <c r="X51" s="39"/>
      <c r="Y51" s="26"/>
    </row>
    <row r="52" spans="2:25" x14ac:dyDescent="0.3">
      <c r="B52" s="48" t="s">
        <v>146</v>
      </c>
      <c r="C52" s="159">
        <f>(SUMIF($G$7:$G$88,B52,$I$7:$I$88)+SUMIF($Q$7:$Q$88,B52,$S$7:$S$88))</f>
        <v>31599</v>
      </c>
      <c r="D52" s="160"/>
      <c r="E52" s="161"/>
      <c r="G52" s="6"/>
      <c r="H52" s="39"/>
      <c r="I52" s="28"/>
      <c r="J52" s="6" t="s">
        <v>92</v>
      </c>
      <c r="K52" s="39" t="s">
        <v>203</v>
      </c>
      <c r="L52" s="28">
        <v>-40490</v>
      </c>
      <c r="M52" s="6"/>
      <c r="N52" s="39"/>
      <c r="O52" s="26"/>
      <c r="P52" s="5"/>
      <c r="Q52" s="6"/>
      <c r="R52" s="39"/>
      <c r="S52" s="28"/>
      <c r="T52" s="6" t="s">
        <v>90</v>
      </c>
      <c r="U52" s="39" t="s">
        <v>278</v>
      </c>
      <c r="V52" s="28">
        <v>-8000</v>
      </c>
      <c r="W52" s="6"/>
      <c r="X52" s="39"/>
      <c r="Y52" s="26"/>
    </row>
    <row r="53" spans="2:25" x14ac:dyDescent="0.3">
      <c r="B53" s="49" t="s">
        <v>147</v>
      </c>
      <c r="C53" s="159">
        <f>(SUMIF($G$7:$G$88,B53,$I$7:$I$88)+SUMIF($Q$7:$Q$88,B53,$S$7:$S$88))</f>
        <v>8256126</v>
      </c>
      <c r="D53" s="160"/>
      <c r="E53" s="161"/>
      <c r="G53" s="6"/>
      <c r="H53" s="39"/>
      <c r="I53" s="28"/>
      <c r="J53" s="6" t="s">
        <v>90</v>
      </c>
      <c r="K53" s="39" t="s">
        <v>467</v>
      </c>
      <c r="L53" s="28">
        <v>-42900</v>
      </c>
      <c r="M53" s="6"/>
      <c r="N53" s="39"/>
      <c r="O53" s="26"/>
      <c r="P53" s="5"/>
      <c r="Q53" s="6"/>
      <c r="R53" s="39"/>
      <c r="S53" s="28"/>
      <c r="T53" s="6" t="s">
        <v>92</v>
      </c>
      <c r="U53" s="39" t="s">
        <v>97</v>
      </c>
      <c r="V53" s="28">
        <v>-990</v>
      </c>
      <c r="W53" s="6"/>
      <c r="X53" s="39"/>
      <c r="Y53" s="26"/>
    </row>
    <row r="54" spans="2:25" x14ac:dyDescent="0.3">
      <c r="B54" s="49" t="s">
        <v>148</v>
      </c>
      <c r="C54" s="159">
        <f>(SUMIF($G$7:$G$88,B54,$I$7:$I$88)+SUMIF($Q$7:$Q$88,B54,$S$7:$S$88))</f>
        <v>0</v>
      </c>
      <c r="D54" s="160"/>
      <c r="E54" s="161"/>
      <c r="G54" s="6"/>
      <c r="H54" s="39"/>
      <c r="I54" s="28"/>
      <c r="J54" s="6" t="s">
        <v>99</v>
      </c>
      <c r="K54" s="39" t="s">
        <v>105</v>
      </c>
      <c r="L54" s="28">
        <v>-2500</v>
      </c>
      <c r="M54" s="6"/>
      <c r="N54" s="39"/>
      <c r="O54" s="26"/>
      <c r="P54" s="5"/>
      <c r="Q54" s="6"/>
      <c r="R54" s="39"/>
      <c r="S54" s="28"/>
      <c r="T54" s="6" t="s">
        <v>92</v>
      </c>
      <c r="U54" s="39" t="s">
        <v>299</v>
      </c>
      <c r="V54" s="28">
        <v>-224450</v>
      </c>
      <c r="W54" s="6"/>
      <c r="X54" s="39"/>
      <c r="Y54" s="26"/>
    </row>
    <row r="55" spans="2:25" x14ac:dyDescent="0.3">
      <c r="B55" s="50" t="s">
        <v>149</v>
      </c>
      <c r="C55" s="159">
        <f>(SUMIF($G$7:$G$88,B55,$I$7:$I$88)+SUMIF($Q$7:$Q$88,B55,$S$7:$S$88))</f>
        <v>404480</v>
      </c>
      <c r="D55" s="160"/>
      <c r="E55" s="161"/>
      <c r="G55" s="6"/>
      <c r="H55" s="39"/>
      <c r="I55" s="28"/>
      <c r="J55" s="6" t="s">
        <v>90</v>
      </c>
      <c r="K55" s="39" t="s">
        <v>468</v>
      </c>
      <c r="L55" s="28">
        <v>-2099</v>
      </c>
      <c r="M55" s="6"/>
      <c r="N55" s="39"/>
      <c r="O55" s="26"/>
      <c r="P55" s="5"/>
      <c r="Q55" s="6"/>
      <c r="R55" s="39"/>
      <c r="S55" s="28"/>
      <c r="T55" s="6" t="s">
        <v>90</v>
      </c>
      <c r="U55" s="39" t="s">
        <v>236</v>
      </c>
      <c r="V55" s="28">
        <v>-108663</v>
      </c>
      <c r="W55" s="6"/>
      <c r="X55" s="39"/>
      <c r="Y55" s="26"/>
    </row>
    <row r="56" spans="2:25" x14ac:dyDescent="0.3">
      <c r="G56" s="6"/>
      <c r="H56" s="39"/>
      <c r="I56" s="28"/>
      <c r="J56" s="6" t="s">
        <v>90</v>
      </c>
      <c r="K56" s="39" t="s">
        <v>468</v>
      </c>
      <c r="L56" s="28">
        <v>-7801</v>
      </c>
      <c r="M56" s="6"/>
      <c r="N56" s="39"/>
      <c r="O56" s="26"/>
      <c r="P56" s="5"/>
      <c r="Q56" s="6"/>
      <c r="R56" s="39"/>
      <c r="S56" s="28"/>
      <c r="T56" s="6" t="s">
        <v>94</v>
      </c>
      <c r="U56" s="39" t="s">
        <v>279</v>
      </c>
      <c r="V56" s="28">
        <v>-6977</v>
      </c>
      <c r="W56" s="6"/>
      <c r="X56" s="39"/>
      <c r="Y56" s="26"/>
    </row>
    <row r="57" spans="2:25" x14ac:dyDescent="0.3">
      <c r="B57" s="45" t="s">
        <v>139</v>
      </c>
      <c r="C57" s="162" t="str">
        <f>IF(ABS(SUM(C52:E55))&lt;&gt;ABS(SUM(I89,S89)),"항목 추가해주세요","-")</f>
        <v>-</v>
      </c>
      <c r="D57" s="163"/>
      <c r="E57" s="164"/>
      <c r="G57" s="6"/>
      <c r="H57" s="39"/>
      <c r="I57" s="28"/>
      <c r="J57" s="6" t="s">
        <v>99</v>
      </c>
      <c r="K57" s="39" t="s">
        <v>105</v>
      </c>
      <c r="L57" s="28">
        <v>-2500</v>
      </c>
      <c r="M57" s="6"/>
      <c r="N57" s="39"/>
      <c r="O57" s="26"/>
      <c r="P57" s="5"/>
      <c r="Q57" s="6"/>
      <c r="R57" s="39"/>
      <c r="S57" s="28"/>
      <c r="T57" s="6" t="s">
        <v>94</v>
      </c>
      <c r="U57" s="39" t="s">
        <v>279</v>
      </c>
      <c r="V57" s="28">
        <v>-29023</v>
      </c>
      <c r="W57" s="6"/>
      <c r="X57" s="39"/>
      <c r="Y57" s="26"/>
    </row>
    <row r="58" spans="2:25" x14ac:dyDescent="0.3">
      <c r="G58" s="6"/>
      <c r="H58" s="39"/>
      <c r="I58" s="28"/>
      <c r="J58" s="6" t="s">
        <v>112</v>
      </c>
      <c r="K58" s="39" t="s">
        <v>469</v>
      </c>
      <c r="L58" s="28">
        <v>-6000</v>
      </c>
      <c r="M58" s="6"/>
      <c r="N58" s="39"/>
      <c r="O58" s="26"/>
      <c r="P58" s="5"/>
      <c r="Q58" s="6"/>
      <c r="R58" s="39"/>
      <c r="S58" s="28"/>
      <c r="T58" s="6" t="s">
        <v>94</v>
      </c>
      <c r="U58" s="39" t="s">
        <v>279</v>
      </c>
      <c r="V58" s="28">
        <v>-16800</v>
      </c>
      <c r="W58" s="6"/>
      <c r="X58" s="39"/>
      <c r="Y58" s="26"/>
    </row>
    <row r="59" spans="2:25" x14ac:dyDescent="0.3">
      <c r="G59" s="6"/>
      <c r="H59" s="39"/>
      <c r="I59" s="28"/>
      <c r="J59" s="6" t="s">
        <v>90</v>
      </c>
      <c r="K59" s="39" t="s">
        <v>223</v>
      </c>
      <c r="L59" s="28">
        <v>-36120</v>
      </c>
      <c r="M59" s="6"/>
      <c r="N59" s="39"/>
      <c r="O59" s="26"/>
      <c r="P59" s="5"/>
      <c r="Q59" s="6"/>
      <c r="R59" s="39"/>
      <c r="S59" s="28"/>
      <c r="T59" s="6" t="s">
        <v>90</v>
      </c>
      <c r="U59" s="39" t="s">
        <v>491</v>
      </c>
      <c r="V59" s="28">
        <v>-2200</v>
      </c>
      <c r="W59" s="6"/>
      <c r="X59" s="39"/>
      <c r="Y59" s="26"/>
    </row>
    <row r="60" spans="2:25" x14ac:dyDescent="0.3">
      <c r="G60" s="6"/>
      <c r="H60" s="39"/>
      <c r="I60" s="28"/>
      <c r="J60" s="6" t="s">
        <v>94</v>
      </c>
      <c r="K60" s="39" t="s">
        <v>105</v>
      </c>
      <c r="L60" s="28">
        <v>-16200</v>
      </c>
      <c r="M60" s="6"/>
      <c r="N60" s="39"/>
      <c r="O60" s="26"/>
      <c r="P60" s="5"/>
      <c r="Q60" s="6"/>
      <c r="R60" s="39"/>
      <c r="S60" s="28"/>
      <c r="T60" s="6" t="s">
        <v>90</v>
      </c>
      <c r="U60" s="39" t="s">
        <v>127</v>
      </c>
      <c r="V60" s="28">
        <v>-91030</v>
      </c>
      <c r="W60" s="6"/>
      <c r="X60" s="39"/>
      <c r="Y60" s="26"/>
    </row>
    <row r="61" spans="2:25" x14ac:dyDescent="0.3">
      <c r="G61" s="6"/>
      <c r="H61" s="39"/>
      <c r="I61" s="28"/>
      <c r="J61" s="6" t="s">
        <v>93</v>
      </c>
      <c r="K61" s="39" t="s">
        <v>254</v>
      </c>
      <c r="L61" s="28">
        <v>-50000</v>
      </c>
      <c r="M61" s="6"/>
      <c r="N61" s="39"/>
      <c r="O61" s="26"/>
      <c r="P61" s="5"/>
      <c r="Q61" s="6"/>
      <c r="R61" s="39"/>
      <c r="S61" s="28"/>
      <c r="T61" s="6" t="s">
        <v>103</v>
      </c>
      <c r="U61" s="39" t="s">
        <v>492</v>
      </c>
      <c r="V61" s="28">
        <v>-2900</v>
      </c>
      <c r="W61" s="6"/>
      <c r="X61" s="39"/>
      <c r="Y61" s="26"/>
    </row>
    <row r="62" spans="2:25" x14ac:dyDescent="0.3">
      <c r="G62" s="6"/>
      <c r="H62" s="39"/>
      <c r="I62" s="28"/>
      <c r="J62" s="6" t="s">
        <v>99</v>
      </c>
      <c r="K62" s="39" t="s">
        <v>297</v>
      </c>
      <c r="L62" s="28">
        <v>-7500</v>
      </c>
      <c r="M62" s="6"/>
      <c r="N62" s="39"/>
      <c r="O62" s="26"/>
      <c r="P62" s="5"/>
      <c r="Q62" s="6"/>
      <c r="R62" s="39"/>
      <c r="S62" s="28"/>
      <c r="T62" s="6" t="s">
        <v>103</v>
      </c>
      <c r="U62" s="39" t="s">
        <v>493</v>
      </c>
      <c r="V62" s="28">
        <v>-1350</v>
      </c>
      <c r="W62" s="6"/>
      <c r="X62" s="39"/>
      <c r="Y62" s="26"/>
    </row>
    <row r="63" spans="2:25" x14ac:dyDescent="0.3">
      <c r="G63" s="6"/>
      <c r="H63" s="39"/>
      <c r="I63" s="28"/>
      <c r="J63" s="6" t="s">
        <v>90</v>
      </c>
      <c r="K63" s="39" t="s">
        <v>307</v>
      </c>
      <c r="L63" s="28">
        <v>-3840</v>
      </c>
      <c r="M63" s="6"/>
      <c r="N63" s="39"/>
      <c r="O63" s="26"/>
      <c r="P63" s="5"/>
      <c r="Q63" s="6"/>
      <c r="R63" s="39"/>
      <c r="S63" s="28"/>
      <c r="T63" s="6" t="s">
        <v>103</v>
      </c>
      <c r="U63" s="39" t="s">
        <v>494</v>
      </c>
      <c r="V63" s="28">
        <v>-4200</v>
      </c>
      <c r="W63" s="6"/>
      <c r="X63" s="39"/>
      <c r="Y63" s="26"/>
    </row>
    <row r="64" spans="2:25" x14ac:dyDescent="0.3">
      <c r="G64" s="6"/>
      <c r="H64" s="39"/>
      <c r="I64" s="28"/>
      <c r="J64" s="6" t="s">
        <v>90</v>
      </c>
      <c r="K64" s="39" t="s">
        <v>450</v>
      </c>
      <c r="L64" s="28">
        <v>-3800</v>
      </c>
      <c r="M64" s="6"/>
      <c r="N64" s="39"/>
      <c r="O64" s="26"/>
      <c r="P64" s="5"/>
      <c r="Q64" s="6"/>
      <c r="R64" s="39"/>
      <c r="S64" s="28"/>
      <c r="T64" s="6" t="s">
        <v>99</v>
      </c>
      <c r="U64" s="39" t="s">
        <v>113</v>
      </c>
      <c r="V64" s="28">
        <v>-1500</v>
      </c>
      <c r="W64" s="6"/>
      <c r="X64" s="39"/>
      <c r="Y64" s="26"/>
    </row>
    <row r="65" spans="7:25" x14ac:dyDescent="0.3">
      <c r="G65" s="6"/>
      <c r="H65" s="39"/>
      <c r="I65" s="28"/>
      <c r="J65" s="6" t="s">
        <v>89</v>
      </c>
      <c r="K65" s="39" t="s">
        <v>470</v>
      </c>
      <c r="L65" s="28">
        <v>-94300</v>
      </c>
      <c r="M65" s="6"/>
      <c r="N65" s="39"/>
      <c r="O65" s="26"/>
      <c r="P65" s="5"/>
      <c r="Q65" s="6"/>
      <c r="R65" s="39"/>
      <c r="S65" s="28"/>
      <c r="T65" s="6" t="s">
        <v>99</v>
      </c>
      <c r="U65" s="39" t="s">
        <v>113</v>
      </c>
      <c r="V65" s="28">
        <v>-2000</v>
      </c>
      <c r="W65" s="6"/>
      <c r="X65" s="39"/>
      <c r="Y65" s="26"/>
    </row>
    <row r="66" spans="7:25" x14ac:dyDescent="0.3">
      <c r="G66" s="6"/>
      <c r="H66" s="39"/>
      <c r="I66" s="28"/>
      <c r="J66" s="6" t="s">
        <v>100</v>
      </c>
      <c r="K66" s="39" t="s">
        <v>98</v>
      </c>
      <c r="L66" s="28">
        <v>-160000</v>
      </c>
      <c r="M66" s="6"/>
      <c r="N66" s="39"/>
      <c r="O66" s="26"/>
      <c r="P66" s="5"/>
      <c r="Q66" s="6"/>
      <c r="R66" s="39"/>
      <c r="S66" s="28"/>
      <c r="T66" s="6" t="s">
        <v>112</v>
      </c>
      <c r="U66" s="39" t="s">
        <v>495</v>
      </c>
      <c r="V66" s="28">
        <v>-20085</v>
      </c>
      <c r="W66" s="6"/>
      <c r="X66" s="39"/>
      <c r="Y66" s="26"/>
    </row>
    <row r="67" spans="7:25" x14ac:dyDescent="0.3">
      <c r="G67" s="6"/>
      <c r="H67" s="39"/>
      <c r="I67" s="28"/>
      <c r="J67" s="6" t="s">
        <v>93</v>
      </c>
      <c r="K67" s="39" t="s">
        <v>204</v>
      </c>
      <c r="L67" s="28">
        <v>-60000</v>
      </c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 t="s">
        <v>99</v>
      </c>
      <c r="K68" s="39" t="s">
        <v>297</v>
      </c>
      <c r="L68" s="28">
        <v>-2500</v>
      </c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 t="s">
        <v>546</v>
      </c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19">
        <f>SUM(I7:I88)</f>
        <v>4253665</v>
      </c>
      <c r="J89" s="7" t="s">
        <v>24</v>
      </c>
      <c r="K89" s="22" t="s">
        <v>34</v>
      </c>
      <c r="L89" s="21">
        <f>SUM(L7:L88)</f>
        <v>-2218495</v>
      </c>
      <c r="M89" s="7" t="s">
        <v>24</v>
      </c>
      <c r="N89" s="22" t="s">
        <v>34</v>
      </c>
      <c r="O89" s="21">
        <f>SUM(O7:O88)</f>
        <v>-17800</v>
      </c>
      <c r="Q89" s="7" t="s">
        <v>24</v>
      </c>
      <c r="R89" s="17" t="s">
        <v>34</v>
      </c>
      <c r="S89" s="19">
        <f>SUM(S7:S88)</f>
        <v>4438540</v>
      </c>
      <c r="T89" s="7" t="s">
        <v>24</v>
      </c>
      <c r="U89" s="22" t="s">
        <v>34</v>
      </c>
      <c r="V89" s="21">
        <f>SUM(V7:V88)</f>
        <v>-2427159</v>
      </c>
      <c r="W89" s="7" t="s">
        <v>24</v>
      </c>
      <c r="X89" s="22" t="s">
        <v>34</v>
      </c>
      <c r="Y89" s="21">
        <f>SUM(Y7:Y88)</f>
        <v>85608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2017370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2096989</v>
      </c>
      <c r="T90" s="37"/>
      <c r="U90" s="37"/>
      <c r="V90" s="37"/>
      <c r="W90" s="37"/>
      <c r="X90" s="37"/>
      <c r="Y90" s="38"/>
    </row>
  </sheetData>
  <mergeCells count="43">
    <mergeCell ref="C45:E45"/>
    <mergeCell ref="C46:E46"/>
    <mergeCell ref="C48:E48"/>
    <mergeCell ref="C40:E40"/>
    <mergeCell ref="C41:E41"/>
    <mergeCell ref="C42:E42"/>
    <mergeCell ref="C43:E43"/>
    <mergeCell ref="C44:E4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  <mergeCell ref="C55:E55"/>
    <mergeCell ref="C57:E57"/>
    <mergeCell ref="B50:E50"/>
    <mergeCell ref="C51:E51"/>
    <mergeCell ref="C52:E52"/>
    <mergeCell ref="C53:E53"/>
    <mergeCell ref="C54:E5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5A152-1E41-4565-9517-59A234DCEEDC}">
  <sheetPr codeName="Sheet14">
    <tabColor rgb="FFFFAFD7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20.125" bestFit="1" customWidth="1"/>
    <col min="9" max="9" width="12.625" bestFit="1" customWidth="1"/>
    <col min="10" max="10" width="11" bestFit="1" customWidth="1"/>
    <col min="11" max="11" width="45.125" bestFit="1" customWidth="1"/>
    <col min="12" max="12" width="13.75" bestFit="1" customWidth="1"/>
    <col min="13" max="13" width="11" bestFit="1" customWidth="1"/>
    <col min="14" max="14" width="21.375" bestFit="1" customWidth="1"/>
    <col min="15" max="15" width="12.875" bestFit="1" customWidth="1"/>
    <col min="16" max="16" width="2.375" customWidth="1"/>
    <col min="18" max="18" width="18.75" bestFit="1" customWidth="1"/>
    <col min="19" max="19" width="11.5" bestFit="1" customWidth="1"/>
    <col min="20" max="20" width="9.75" bestFit="1" customWidth="1"/>
    <col min="21" max="21" width="47.75" bestFit="1" customWidth="1"/>
    <col min="22" max="22" width="12.625" bestFit="1" customWidth="1"/>
    <col min="24" max="24" width="25.5" bestFit="1" customWidth="1"/>
    <col min="25" max="25" width="13.75" bestFit="1" customWidth="1"/>
  </cols>
  <sheetData>
    <row r="2" spans="2:25" ht="24.75" thickBot="1" x14ac:dyDescent="0.35">
      <c r="B2" s="169" t="s">
        <v>78</v>
      </c>
      <c r="C2" s="169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74">
        <v>10000000</v>
      </c>
      <c r="D4" s="174"/>
      <c r="G4" s="182" t="str">
        <f>설정!D4</f>
        <v>천세원</v>
      </c>
      <c r="H4" s="183"/>
      <c r="I4" s="183"/>
      <c r="J4" s="183"/>
      <c r="K4" s="183"/>
      <c r="L4" s="183"/>
      <c r="M4" s="183"/>
      <c r="N4" s="183"/>
      <c r="O4" s="184"/>
      <c r="Q4" s="179" t="str">
        <f>설정!D6</f>
        <v>하유진</v>
      </c>
      <c r="R4" s="180"/>
      <c r="S4" s="180"/>
      <c r="T4" s="180"/>
      <c r="U4" s="180"/>
      <c r="V4" s="180"/>
      <c r="W4" s="180"/>
      <c r="X4" s="180"/>
      <c r="Y4" s="181"/>
    </row>
    <row r="5" spans="2:25" x14ac:dyDescent="0.3">
      <c r="B5" s="2" t="s">
        <v>36</v>
      </c>
      <c r="C5" s="174">
        <f>I90+S90</f>
        <v>-9999537</v>
      </c>
      <c r="D5" s="174"/>
      <c r="G5" s="136" t="s">
        <v>27</v>
      </c>
      <c r="H5" s="168"/>
      <c r="I5" s="137"/>
      <c r="J5" s="134" t="s">
        <v>31</v>
      </c>
      <c r="K5" s="170"/>
      <c r="L5" s="135"/>
      <c r="M5" s="171" t="s">
        <v>32</v>
      </c>
      <c r="N5" s="172"/>
      <c r="O5" s="173"/>
      <c r="Q5" s="136" t="s">
        <v>27</v>
      </c>
      <c r="R5" s="168"/>
      <c r="S5" s="137"/>
      <c r="T5" s="134" t="s">
        <v>31</v>
      </c>
      <c r="U5" s="170"/>
      <c r="V5" s="135"/>
      <c r="W5" s="171" t="s">
        <v>32</v>
      </c>
      <c r="X5" s="172"/>
      <c r="Y5" s="173"/>
    </row>
    <row r="6" spans="2:25" x14ac:dyDescent="0.3">
      <c r="B6" s="2" t="s">
        <v>38</v>
      </c>
      <c r="C6" s="174">
        <f>C4-C5</f>
        <v>19999537</v>
      </c>
      <c r="D6" s="174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5">
        <f>(C5)/(C4)</f>
        <v>-0.99995369999999995</v>
      </c>
      <c r="D7" s="175"/>
      <c r="G7" s="6" t="s">
        <v>229</v>
      </c>
      <c r="H7" s="39" t="s">
        <v>505</v>
      </c>
      <c r="I7" s="28">
        <v>1</v>
      </c>
      <c r="J7" s="6" t="s">
        <v>96</v>
      </c>
      <c r="K7" s="39" t="s">
        <v>445</v>
      </c>
      <c r="L7" s="28">
        <v>-300000</v>
      </c>
      <c r="M7" s="6" t="s">
        <v>101</v>
      </c>
      <c r="N7" s="39" t="s">
        <v>264</v>
      </c>
      <c r="O7" s="40">
        <v>2500</v>
      </c>
      <c r="P7" s="5"/>
      <c r="Q7" s="6" t="s">
        <v>425</v>
      </c>
      <c r="R7" s="39" t="s">
        <v>426</v>
      </c>
      <c r="S7" s="28">
        <v>121591</v>
      </c>
      <c r="T7" s="6" t="s">
        <v>120</v>
      </c>
      <c r="U7" s="39" t="s">
        <v>518</v>
      </c>
      <c r="V7" s="28">
        <v>-388000</v>
      </c>
      <c r="W7" s="6" t="s">
        <v>116</v>
      </c>
      <c r="X7" s="39" t="s">
        <v>445</v>
      </c>
      <c r="Y7" s="40">
        <v>-300000</v>
      </c>
    </row>
    <row r="8" spans="2:25" x14ac:dyDescent="0.3">
      <c r="G8" s="6"/>
      <c r="H8" s="39"/>
      <c r="I8" s="28"/>
      <c r="J8" s="6" t="s">
        <v>99</v>
      </c>
      <c r="K8" s="39" t="s">
        <v>297</v>
      </c>
      <c r="L8" s="28">
        <v>-7500</v>
      </c>
      <c r="M8" s="6" t="s">
        <v>101</v>
      </c>
      <c r="N8" s="39" t="s">
        <v>265</v>
      </c>
      <c r="O8" s="26">
        <v>2500</v>
      </c>
      <c r="P8" s="5"/>
      <c r="Q8" s="6"/>
      <c r="R8" s="39"/>
      <c r="S8" s="28"/>
      <c r="T8" s="6" t="s">
        <v>111</v>
      </c>
      <c r="U8" s="39" t="s">
        <v>113</v>
      </c>
      <c r="V8" s="28">
        <v>-1300</v>
      </c>
      <c r="W8" s="6" t="s">
        <v>101</v>
      </c>
      <c r="X8" s="39" t="s">
        <v>105</v>
      </c>
      <c r="Y8" s="26">
        <v>-300000</v>
      </c>
    </row>
    <row r="9" spans="2:25" x14ac:dyDescent="0.3">
      <c r="G9" s="6"/>
      <c r="H9" s="39"/>
      <c r="I9" s="28"/>
      <c r="J9" s="6" t="s">
        <v>90</v>
      </c>
      <c r="K9" s="39" t="s">
        <v>496</v>
      </c>
      <c r="L9" s="28">
        <v>-20700</v>
      </c>
      <c r="M9" s="6" t="s">
        <v>101</v>
      </c>
      <c r="N9" s="39" t="s">
        <v>337</v>
      </c>
      <c r="O9" s="26">
        <v>18500</v>
      </c>
      <c r="P9" s="5"/>
      <c r="Q9" s="6"/>
      <c r="R9" s="39"/>
      <c r="S9" s="28"/>
      <c r="T9" s="6" t="s">
        <v>111</v>
      </c>
      <c r="U9" s="39" t="s">
        <v>113</v>
      </c>
      <c r="V9" s="28">
        <v>-1800</v>
      </c>
      <c r="W9" s="6" t="s">
        <v>107</v>
      </c>
      <c r="X9" s="39" t="s">
        <v>520</v>
      </c>
      <c r="Y9" s="26">
        <v>-20000</v>
      </c>
    </row>
    <row r="10" spans="2:25" x14ac:dyDescent="0.3">
      <c r="G10" s="6"/>
      <c r="H10" s="39"/>
      <c r="I10" s="28"/>
      <c r="J10" s="6" t="s">
        <v>94</v>
      </c>
      <c r="K10" s="39" t="s">
        <v>497</v>
      </c>
      <c r="L10" s="28">
        <v>-64000</v>
      </c>
      <c r="M10" s="6" t="s">
        <v>101</v>
      </c>
      <c r="N10" s="39" t="s">
        <v>264</v>
      </c>
      <c r="O10" s="26">
        <v>18500</v>
      </c>
      <c r="P10" s="5"/>
      <c r="Q10" s="6"/>
      <c r="R10" s="39"/>
      <c r="S10" s="28"/>
      <c r="T10" s="6" t="s">
        <v>90</v>
      </c>
      <c r="U10" s="39" t="s">
        <v>519</v>
      </c>
      <c r="V10" s="28">
        <v>-33350</v>
      </c>
      <c r="W10" s="6" t="s">
        <v>107</v>
      </c>
      <c r="X10" s="39" t="s">
        <v>258</v>
      </c>
      <c r="Y10" s="26">
        <v>-8300</v>
      </c>
    </row>
    <row r="11" spans="2:25" x14ac:dyDescent="0.3">
      <c r="G11" s="6"/>
      <c r="H11" s="39"/>
      <c r="I11" s="28"/>
      <c r="J11" s="6" t="s">
        <v>99</v>
      </c>
      <c r="K11" s="39" t="s">
        <v>297</v>
      </c>
      <c r="L11" s="28">
        <v>-10000</v>
      </c>
      <c r="M11" s="6" t="s">
        <v>101</v>
      </c>
      <c r="N11" s="39" t="s">
        <v>265</v>
      </c>
      <c r="O11" s="26">
        <v>18500</v>
      </c>
      <c r="P11" s="5"/>
      <c r="Q11" s="6"/>
      <c r="R11" s="39"/>
      <c r="S11" s="28"/>
      <c r="T11" s="6" t="s">
        <v>111</v>
      </c>
      <c r="U11" s="39" t="s">
        <v>521</v>
      </c>
      <c r="V11" s="28">
        <v>-65500</v>
      </c>
      <c r="W11" s="6" t="s">
        <v>101</v>
      </c>
      <c r="X11" s="39" t="s">
        <v>524</v>
      </c>
      <c r="Y11" s="26">
        <v>-50000</v>
      </c>
    </row>
    <row r="12" spans="2:25" x14ac:dyDescent="0.3">
      <c r="G12" s="6"/>
      <c r="H12" s="39"/>
      <c r="I12" s="28"/>
      <c r="J12" s="6" t="s">
        <v>99</v>
      </c>
      <c r="K12" s="39" t="s">
        <v>297</v>
      </c>
      <c r="L12" s="28">
        <v>-7500</v>
      </c>
      <c r="M12" s="6" t="s">
        <v>101</v>
      </c>
      <c r="N12" s="39" t="s">
        <v>265</v>
      </c>
      <c r="O12" s="26">
        <v>2500</v>
      </c>
      <c r="P12" s="5"/>
      <c r="Q12" s="6"/>
      <c r="R12" s="39"/>
      <c r="S12" s="28"/>
      <c r="T12" s="6" t="s">
        <v>111</v>
      </c>
      <c r="U12" s="39" t="s">
        <v>113</v>
      </c>
      <c r="V12" s="28">
        <v>-1200</v>
      </c>
      <c r="W12" s="6" t="s">
        <v>88</v>
      </c>
      <c r="X12" s="39" t="s">
        <v>525</v>
      </c>
      <c r="Y12" s="26">
        <v>200000</v>
      </c>
    </row>
    <row r="13" spans="2:25" x14ac:dyDescent="0.3">
      <c r="G13" s="6"/>
      <c r="H13" s="39"/>
      <c r="I13" s="28"/>
      <c r="J13" s="6" t="s">
        <v>99</v>
      </c>
      <c r="K13" s="39" t="s">
        <v>498</v>
      </c>
      <c r="L13" s="28">
        <v>-1300</v>
      </c>
      <c r="M13" s="6" t="s">
        <v>101</v>
      </c>
      <c r="N13" s="39" t="s">
        <v>264</v>
      </c>
      <c r="O13" s="26">
        <v>2500</v>
      </c>
      <c r="P13" s="5"/>
      <c r="Q13" s="6"/>
      <c r="R13" s="39"/>
      <c r="S13" s="28"/>
      <c r="T13" s="6" t="s">
        <v>120</v>
      </c>
      <c r="U13" s="39" t="s">
        <v>518</v>
      </c>
      <c r="V13" s="28">
        <v>30000</v>
      </c>
      <c r="W13" s="6" t="s">
        <v>101</v>
      </c>
      <c r="X13" s="39" t="s">
        <v>533</v>
      </c>
      <c r="Y13" s="26">
        <v>-20000</v>
      </c>
    </row>
    <row r="14" spans="2:25" x14ac:dyDescent="0.3">
      <c r="G14" s="6"/>
      <c r="H14" s="39"/>
      <c r="I14" s="28"/>
      <c r="J14" s="6" t="s">
        <v>96</v>
      </c>
      <c r="K14" s="39" t="s">
        <v>499</v>
      </c>
      <c r="L14" s="28">
        <v>-2000</v>
      </c>
      <c r="M14" s="6" t="s">
        <v>101</v>
      </c>
      <c r="N14" s="39" t="s">
        <v>265</v>
      </c>
      <c r="O14" s="26">
        <v>2500</v>
      </c>
      <c r="P14" s="5"/>
      <c r="Q14" s="6"/>
      <c r="R14" s="39"/>
      <c r="S14" s="28"/>
      <c r="T14" s="6" t="s">
        <v>120</v>
      </c>
      <c r="U14" s="39" t="s">
        <v>518</v>
      </c>
      <c r="V14" s="28">
        <v>358000</v>
      </c>
      <c r="W14" s="6" t="s">
        <v>101</v>
      </c>
      <c r="X14" s="39" t="s">
        <v>534</v>
      </c>
      <c r="Y14" s="26">
        <v>-660000</v>
      </c>
    </row>
    <row r="15" spans="2:25" x14ac:dyDescent="0.3">
      <c r="G15" s="6"/>
      <c r="H15" s="39"/>
      <c r="I15" s="28"/>
      <c r="J15" s="6" t="s">
        <v>91</v>
      </c>
      <c r="K15" s="39" t="s">
        <v>500</v>
      </c>
      <c r="L15" s="28">
        <v>-1000</v>
      </c>
      <c r="M15" s="6" t="s">
        <v>101</v>
      </c>
      <c r="N15" s="39" t="s">
        <v>264</v>
      </c>
      <c r="O15" s="26">
        <v>2500</v>
      </c>
      <c r="P15" s="5"/>
      <c r="Q15" s="6"/>
      <c r="R15" s="39"/>
      <c r="S15" s="28"/>
      <c r="T15" s="6" t="s">
        <v>120</v>
      </c>
      <c r="U15" s="39" t="s">
        <v>522</v>
      </c>
      <c r="V15" s="28">
        <v>-104525</v>
      </c>
      <c r="W15" s="6" t="s">
        <v>101</v>
      </c>
      <c r="X15" s="39" t="s">
        <v>509</v>
      </c>
      <c r="Y15" s="26">
        <v>45750</v>
      </c>
    </row>
    <row r="16" spans="2:25" x14ac:dyDescent="0.3">
      <c r="G16" s="6"/>
      <c r="H16" s="39"/>
      <c r="I16" s="28"/>
      <c r="J16" s="6" t="s">
        <v>94</v>
      </c>
      <c r="K16" s="39" t="s">
        <v>501</v>
      </c>
      <c r="L16" s="28">
        <v>-19300</v>
      </c>
      <c r="M16" s="6" t="s">
        <v>101</v>
      </c>
      <c r="N16" s="39" t="s">
        <v>337</v>
      </c>
      <c r="O16" s="26">
        <v>2500</v>
      </c>
      <c r="P16" s="5"/>
      <c r="Q16" s="6"/>
      <c r="R16" s="39"/>
      <c r="S16" s="28"/>
      <c r="T16" s="6" t="s">
        <v>112</v>
      </c>
      <c r="U16" s="39" t="s">
        <v>523</v>
      </c>
      <c r="V16" s="28">
        <v>30000</v>
      </c>
      <c r="W16" s="6" t="s">
        <v>101</v>
      </c>
      <c r="X16" s="39" t="s">
        <v>537</v>
      </c>
      <c r="Y16" s="26">
        <v>45750</v>
      </c>
    </row>
    <row r="17" spans="2:25" x14ac:dyDescent="0.3">
      <c r="G17" s="6"/>
      <c r="H17" s="39"/>
      <c r="I17" s="28"/>
      <c r="J17" s="6" t="s">
        <v>90</v>
      </c>
      <c r="K17" s="39" t="s">
        <v>502</v>
      </c>
      <c r="L17" s="28">
        <v>-3000</v>
      </c>
      <c r="M17" s="6" t="s">
        <v>101</v>
      </c>
      <c r="N17" s="39" t="s">
        <v>265</v>
      </c>
      <c r="O17" s="26">
        <v>2500</v>
      </c>
      <c r="P17" s="5"/>
      <c r="Q17" s="6"/>
      <c r="R17" s="39"/>
      <c r="S17" s="28"/>
      <c r="T17" s="6" t="s">
        <v>112</v>
      </c>
      <c r="U17" s="39" t="s">
        <v>523</v>
      </c>
      <c r="V17" s="28">
        <v>358000</v>
      </c>
      <c r="W17" s="6" t="s">
        <v>101</v>
      </c>
      <c r="X17" s="39" t="s">
        <v>337</v>
      </c>
      <c r="Y17" s="26">
        <v>45750</v>
      </c>
    </row>
    <row r="18" spans="2:25" x14ac:dyDescent="0.3">
      <c r="G18" s="6"/>
      <c r="H18" s="39"/>
      <c r="I18" s="28"/>
      <c r="J18" s="6" t="s">
        <v>99</v>
      </c>
      <c r="K18" s="39" t="s">
        <v>297</v>
      </c>
      <c r="L18" s="28">
        <v>-7500</v>
      </c>
      <c r="M18" s="6" t="s">
        <v>101</v>
      </c>
      <c r="N18" s="39" t="s">
        <v>264</v>
      </c>
      <c r="O18" s="26">
        <v>2500</v>
      </c>
      <c r="P18" s="5"/>
      <c r="Q18" s="6"/>
      <c r="R18" s="39"/>
      <c r="S18" s="28"/>
      <c r="T18" s="6" t="s">
        <v>120</v>
      </c>
      <c r="U18" s="39" t="s">
        <v>522</v>
      </c>
      <c r="V18" s="28">
        <v>104525</v>
      </c>
      <c r="W18" s="6" t="s">
        <v>101</v>
      </c>
      <c r="X18" s="39" t="s">
        <v>431</v>
      </c>
      <c r="Y18" s="26">
        <v>400000</v>
      </c>
    </row>
    <row r="19" spans="2:25" x14ac:dyDescent="0.3">
      <c r="G19" s="6"/>
      <c r="H19" s="39"/>
      <c r="I19" s="28"/>
      <c r="J19" s="6" t="s">
        <v>99</v>
      </c>
      <c r="K19" s="39" t="s">
        <v>297</v>
      </c>
      <c r="L19" s="28">
        <v>-10000</v>
      </c>
      <c r="M19" s="6" t="s">
        <v>101</v>
      </c>
      <c r="N19" s="39" t="s">
        <v>264</v>
      </c>
      <c r="O19" s="26">
        <v>5000</v>
      </c>
      <c r="P19" s="5"/>
      <c r="Q19" s="6"/>
      <c r="R19" s="39"/>
      <c r="S19" s="28"/>
      <c r="T19" s="6" t="s">
        <v>116</v>
      </c>
      <c r="U19" s="39" t="s">
        <v>470</v>
      </c>
      <c r="V19" s="28">
        <v>-300377</v>
      </c>
      <c r="W19" s="6" t="s">
        <v>107</v>
      </c>
      <c r="X19" s="39" t="s">
        <v>115</v>
      </c>
      <c r="Y19" s="26">
        <v>-1712267</v>
      </c>
    </row>
    <row r="20" spans="2:25" x14ac:dyDescent="0.3">
      <c r="G20" s="6"/>
      <c r="H20" s="39"/>
      <c r="I20" s="28"/>
      <c r="J20" s="6" t="s">
        <v>96</v>
      </c>
      <c r="K20" s="39" t="s">
        <v>503</v>
      </c>
      <c r="L20" s="28">
        <v>-84900</v>
      </c>
      <c r="M20" s="6" t="s">
        <v>101</v>
      </c>
      <c r="N20" s="39" t="s">
        <v>265</v>
      </c>
      <c r="O20" s="26">
        <v>5000</v>
      </c>
      <c r="P20" s="5"/>
      <c r="Q20" s="6"/>
      <c r="R20" s="39"/>
      <c r="S20" s="28"/>
      <c r="T20" s="6" t="s">
        <v>112</v>
      </c>
      <c r="U20" s="39" t="s">
        <v>488</v>
      </c>
      <c r="V20" s="28">
        <v>9020</v>
      </c>
      <c r="W20" s="6" t="s">
        <v>101</v>
      </c>
      <c r="X20" s="39" t="s">
        <v>109</v>
      </c>
      <c r="Y20" s="26">
        <v>-5000000</v>
      </c>
    </row>
    <row r="21" spans="2:25" x14ac:dyDescent="0.3">
      <c r="G21" s="6"/>
      <c r="H21" s="39"/>
      <c r="I21" s="28"/>
      <c r="J21" s="6" t="s">
        <v>91</v>
      </c>
      <c r="K21" s="39" t="s">
        <v>504</v>
      </c>
      <c r="L21" s="28">
        <v>-2073</v>
      </c>
      <c r="M21" s="6" t="s">
        <v>101</v>
      </c>
      <c r="N21" s="39" t="s">
        <v>509</v>
      </c>
      <c r="O21" s="26">
        <v>2500</v>
      </c>
      <c r="P21" s="5"/>
      <c r="Q21" s="6"/>
      <c r="R21" s="39"/>
      <c r="S21" s="28"/>
      <c r="T21" s="6" t="s">
        <v>93</v>
      </c>
      <c r="U21" s="39" t="s">
        <v>340</v>
      </c>
      <c r="V21" s="28">
        <v>-60000</v>
      </c>
      <c r="W21" s="6" t="s">
        <v>101</v>
      </c>
      <c r="X21" s="39" t="s">
        <v>362</v>
      </c>
      <c r="Y21" s="26">
        <v>-23400</v>
      </c>
    </row>
    <row r="22" spans="2:25" x14ac:dyDescent="0.3">
      <c r="G22" s="6"/>
      <c r="H22" s="39"/>
      <c r="I22" s="28"/>
      <c r="J22" s="6" t="s">
        <v>91</v>
      </c>
      <c r="K22" s="39" t="s">
        <v>504</v>
      </c>
      <c r="L22" s="28">
        <v>-6427</v>
      </c>
      <c r="M22" s="6" t="s">
        <v>101</v>
      </c>
      <c r="N22" s="39" t="s">
        <v>337</v>
      </c>
      <c r="O22" s="26">
        <v>2500</v>
      </c>
      <c r="P22" s="5"/>
      <c r="Q22" s="6"/>
      <c r="R22" s="39"/>
      <c r="S22" s="28"/>
      <c r="T22" s="6" t="s">
        <v>111</v>
      </c>
      <c r="U22" s="39" t="s">
        <v>113</v>
      </c>
      <c r="V22" s="28">
        <v>-1200</v>
      </c>
      <c r="W22" s="6" t="s">
        <v>88</v>
      </c>
      <c r="X22" s="39" t="s">
        <v>545</v>
      </c>
      <c r="Y22" s="26">
        <v>1</v>
      </c>
    </row>
    <row r="23" spans="2:25" x14ac:dyDescent="0.3">
      <c r="G23" s="6"/>
      <c r="H23" s="39"/>
      <c r="I23" s="28"/>
      <c r="J23" s="6" t="s">
        <v>99</v>
      </c>
      <c r="K23" s="39" t="s">
        <v>297</v>
      </c>
      <c r="L23" s="28">
        <v>-7500</v>
      </c>
      <c r="M23" s="6" t="s">
        <v>101</v>
      </c>
      <c r="N23" s="39" t="s">
        <v>228</v>
      </c>
      <c r="O23" s="26">
        <v>5000000</v>
      </c>
      <c r="P23" s="5"/>
      <c r="Q23" s="6"/>
      <c r="R23" s="39"/>
      <c r="S23" s="28"/>
      <c r="T23" s="6" t="s">
        <v>111</v>
      </c>
      <c r="U23" s="39" t="s">
        <v>113</v>
      </c>
      <c r="V23" s="28">
        <v>-2800</v>
      </c>
      <c r="W23" s="6"/>
      <c r="X23" s="39"/>
      <c r="Y23" s="26"/>
    </row>
    <row r="24" spans="2:25" x14ac:dyDescent="0.3">
      <c r="G24" s="6"/>
      <c r="H24" s="39"/>
      <c r="I24" s="28"/>
      <c r="J24" s="6" t="s">
        <v>90</v>
      </c>
      <c r="K24" s="39" t="s">
        <v>204</v>
      </c>
      <c r="L24" s="28">
        <v>-60000</v>
      </c>
      <c r="M24" s="6" t="s">
        <v>213</v>
      </c>
      <c r="N24" s="39" t="s">
        <v>214</v>
      </c>
      <c r="O24" s="26">
        <v>-5000000</v>
      </c>
      <c r="P24" s="5"/>
      <c r="Q24" s="6"/>
      <c r="R24" s="39"/>
      <c r="S24" s="28"/>
      <c r="T24" s="6" t="s">
        <v>112</v>
      </c>
      <c r="U24" s="39" t="s">
        <v>523</v>
      </c>
      <c r="V24" s="28">
        <v>104525</v>
      </c>
      <c r="W24" s="6"/>
      <c r="X24" s="39"/>
      <c r="Y24" s="26"/>
    </row>
    <row r="25" spans="2:25" x14ac:dyDescent="0.3">
      <c r="B25" s="134" t="s">
        <v>143</v>
      </c>
      <c r="C25" s="170"/>
      <c r="D25" s="170"/>
      <c r="E25" s="135"/>
      <c r="G25" s="6"/>
      <c r="H25" s="39"/>
      <c r="I25" s="28"/>
      <c r="J25" s="6" t="s">
        <v>99</v>
      </c>
      <c r="K25" s="39" t="s">
        <v>297</v>
      </c>
      <c r="L25" s="28">
        <v>-5000</v>
      </c>
      <c r="M25" s="6" t="s">
        <v>101</v>
      </c>
      <c r="N25" s="39" t="s">
        <v>264</v>
      </c>
      <c r="O25" s="26">
        <v>2500</v>
      </c>
      <c r="P25" s="5"/>
      <c r="Q25" s="6"/>
      <c r="R25" s="39"/>
      <c r="S25" s="28"/>
      <c r="T25" s="6" t="s">
        <v>90</v>
      </c>
      <c r="U25" s="39" t="s">
        <v>324</v>
      </c>
      <c r="V25" s="28">
        <v>-10000</v>
      </c>
      <c r="W25" s="6"/>
      <c r="X25" s="39"/>
      <c r="Y25" s="26"/>
    </row>
    <row r="26" spans="2:25" x14ac:dyDescent="0.3">
      <c r="B26" s="48" t="s">
        <v>28</v>
      </c>
      <c r="C26" s="165" t="s">
        <v>30</v>
      </c>
      <c r="D26" s="166"/>
      <c r="E26" s="167"/>
      <c r="G26" s="6"/>
      <c r="H26" s="39"/>
      <c r="I26" s="28"/>
      <c r="J26" s="6" t="s">
        <v>94</v>
      </c>
      <c r="K26" s="39" t="s">
        <v>135</v>
      </c>
      <c r="L26" s="28">
        <v>-6800</v>
      </c>
      <c r="M26" s="6" t="s">
        <v>213</v>
      </c>
      <c r="N26" s="39" t="s">
        <v>131</v>
      </c>
      <c r="O26" s="26">
        <v>-10000</v>
      </c>
      <c r="P26" s="5"/>
      <c r="Q26" s="6"/>
      <c r="R26" s="39"/>
      <c r="S26" s="28"/>
      <c r="T26" s="6" t="s">
        <v>111</v>
      </c>
      <c r="U26" s="39" t="s">
        <v>526</v>
      </c>
      <c r="V26" s="28">
        <v>-38000</v>
      </c>
      <c r="W26" s="6"/>
      <c r="X26" s="39"/>
      <c r="Y26" s="26"/>
    </row>
    <row r="27" spans="2:25" x14ac:dyDescent="0.3">
      <c r="B27" s="48" t="s">
        <v>89</v>
      </c>
      <c r="C27" s="159">
        <f t="shared" ref="C27:C46" si="0">-(SUMIF($J$7:$J$88,B27,$L$7:$L$88)+SUMIF($T$7:$T$88,B27,$V$7:$V$88))</f>
        <v>16500</v>
      </c>
      <c r="D27" s="160"/>
      <c r="E27" s="161"/>
      <c r="G27" s="6"/>
      <c r="H27" s="39"/>
      <c r="I27" s="28"/>
      <c r="J27" s="6" t="s">
        <v>99</v>
      </c>
      <c r="K27" s="39" t="s">
        <v>297</v>
      </c>
      <c r="L27" s="28">
        <v>-5000</v>
      </c>
      <c r="M27" s="6" t="s">
        <v>213</v>
      </c>
      <c r="N27" s="39" t="s">
        <v>280</v>
      </c>
      <c r="O27" s="26">
        <v>10000</v>
      </c>
      <c r="P27" s="5"/>
      <c r="Q27" s="6"/>
      <c r="R27" s="39"/>
      <c r="S27" s="28"/>
      <c r="T27" s="6" t="s">
        <v>111</v>
      </c>
      <c r="U27" s="39" t="s">
        <v>526</v>
      </c>
      <c r="V27" s="28">
        <v>-3000</v>
      </c>
      <c r="W27" s="6"/>
      <c r="X27" s="39"/>
      <c r="Y27" s="26"/>
    </row>
    <row r="28" spans="2:25" x14ac:dyDescent="0.3">
      <c r="B28" s="49" t="s">
        <v>90</v>
      </c>
      <c r="C28" s="159">
        <f t="shared" si="0"/>
        <v>735190</v>
      </c>
      <c r="D28" s="160"/>
      <c r="E28" s="161"/>
      <c r="G28" s="6"/>
      <c r="H28" s="39"/>
      <c r="I28" s="28"/>
      <c r="J28" s="6" t="s">
        <v>94</v>
      </c>
      <c r="K28" s="39" t="s">
        <v>506</v>
      </c>
      <c r="L28" s="28">
        <v>-37700</v>
      </c>
      <c r="M28" s="6" t="s">
        <v>101</v>
      </c>
      <c r="N28" s="39" t="s">
        <v>265</v>
      </c>
      <c r="O28" s="26">
        <v>2500</v>
      </c>
      <c r="P28" s="5"/>
      <c r="Q28" s="6"/>
      <c r="R28" s="39"/>
      <c r="S28" s="28"/>
      <c r="T28" s="6" t="s">
        <v>100</v>
      </c>
      <c r="U28" s="39" t="s">
        <v>527</v>
      </c>
      <c r="V28" s="28">
        <v>-79000</v>
      </c>
      <c r="W28" s="6"/>
      <c r="X28" s="39"/>
      <c r="Y28" s="26"/>
    </row>
    <row r="29" spans="2:25" x14ac:dyDescent="0.3">
      <c r="B29" s="49" t="s">
        <v>94</v>
      </c>
      <c r="C29" s="159">
        <f t="shared" si="0"/>
        <v>200200</v>
      </c>
      <c r="D29" s="160"/>
      <c r="E29" s="161"/>
      <c r="G29" s="6"/>
      <c r="H29" s="39"/>
      <c r="I29" s="28"/>
      <c r="J29" s="6" t="s">
        <v>94</v>
      </c>
      <c r="K29" s="39" t="s">
        <v>507</v>
      </c>
      <c r="L29" s="28">
        <v>-10200</v>
      </c>
      <c r="M29" s="6" t="s">
        <v>101</v>
      </c>
      <c r="N29" s="39" t="s">
        <v>264</v>
      </c>
      <c r="O29" s="26">
        <v>2500</v>
      </c>
      <c r="P29" s="5"/>
      <c r="Q29" s="6"/>
      <c r="R29" s="39"/>
      <c r="S29" s="28"/>
      <c r="T29" s="6" t="s">
        <v>91</v>
      </c>
      <c r="U29" s="39" t="s">
        <v>528</v>
      </c>
      <c r="V29" s="28">
        <v>-3000</v>
      </c>
      <c r="W29" s="6"/>
      <c r="X29" s="39"/>
      <c r="Y29" s="26"/>
    </row>
    <row r="30" spans="2:25" x14ac:dyDescent="0.3">
      <c r="B30" s="49" t="s">
        <v>92</v>
      </c>
      <c r="C30" s="159">
        <f t="shared" si="0"/>
        <v>370690</v>
      </c>
      <c r="D30" s="160"/>
      <c r="E30" s="161"/>
      <c r="G30" s="6"/>
      <c r="H30" s="39"/>
      <c r="I30" s="28"/>
      <c r="J30" s="6" t="s">
        <v>94</v>
      </c>
      <c r="K30" s="39" t="s">
        <v>95</v>
      </c>
      <c r="L30" s="28">
        <v>-31000</v>
      </c>
      <c r="M30" s="6" t="s">
        <v>213</v>
      </c>
      <c r="N30" s="39" t="s">
        <v>256</v>
      </c>
      <c r="O30" s="26">
        <v>15600</v>
      </c>
      <c r="P30" s="5"/>
      <c r="Q30" s="6"/>
      <c r="R30" s="39"/>
      <c r="S30" s="28"/>
      <c r="T30" s="6" t="s">
        <v>91</v>
      </c>
      <c r="U30" s="39" t="s">
        <v>528</v>
      </c>
      <c r="V30" s="28">
        <v>-3000</v>
      </c>
      <c r="W30" s="6"/>
      <c r="X30" s="39"/>
      <c r="Y30" s="26"/>
    </row>
    <row r="31" spans="2:25" x14ac:dyDescent="0.3">
      <c r="B31" s="49" t="s">
        <v>96</v>
      </c>
      <c r="C31" s="159">
        <f t="shared" si="0"/>
        <v>386900</v>
      </c>
      <c r="D31" s="160"/>
      <c r="E31" s="161"/>
      <c r="G31" s="6"/>
      <c r="H31" s="39"/>
      <c r="I31" s="28"/>
      <c r="J31" s="6" t="s">
        <v>93</v>
      </c>
      <c r="K31" s="39" t="s">
        <v>508</v>
      </c>
      <c r="L31" s="28">
        <v>-60000</v>
      </c>
      <c r="M31" s="6" t="s">
        <v>101</v>
      </c>
      <c r="N31" s="39" t="s">
        <v>265</v>
      </c>
      <c r="O31" s="26">
        <v>2800</v>
      </c>
      <c r="P31" s="5"/>
      <c r="Q31" s="6"/>
      <c r="R31" s="39"/>
      <c r="S31" s="28"/>
      <c r="T31" s="6" t="s">
        <v>112</v>
      </c>
      <c r="U31" s="39" t="s">
        <v>529</v>
      </c>
      <c r="V31" s="28">
        <v>-9020</v>
      </c>
      <c r="W31" s="6"/>
      <c r="X31" s="39"/>
      <c r="Y31" s="26"/>
    </row>
    <row r="32" spans="2:25" x14ac:dyDescent="0.3">
      <c r="B32" s="49" t="s">
        <v>93</v>
      </c>
      <c r="C32" s="159">
        <f t="shared" si="0"/>
        <v>155950</v>
      </c>
      <c r="D32" s="160"/>
      <c r="E32" s="161"/>
      <c r="G32" s="6"/>
      <c r="H32" s="39"/>
      <c r="I32" s="28"/>
      <c r="J32" s="6" t="s">
        <v>99</v>
      </c>
      <c r="K32" s="39" t="s">
        <v>297</v>
      </c>
      <c r="L32" s="28">
        <v>-7500</v>
      </c>
      <c r="M32" s="6" t="s">
        <v>101</v>
      </c>
      <c r="N32" s="39" t="s">
        <v>264</v>
      </c>
      <c r="O32" s="26">
        <v>2800</v>
      </c>
      <c r="P32" s="5"/>
      <c r="Q32" s="6"/>
      <c r="R32" s="39"/>
      <c r="S32" s="28"/>
      <c r="T32" s="6" t="s">
        <v>112</v>
      </c>
      <c r="U32" s="39" t="s">
        <v>529</v>
      </c>
      <c r="V32" s="28">
        <v>-19480</v>
      </c>
      <c r="W32" s="6"/>
      <c r="X32" s="39"/>
      <c r="Y32" s="26"/>
    </row>
    <row r="33" spans="2:25" x14ac:dyDescent="0.3">
      <c r="B33" s="49" t="s">
        <v>103</v>
      </c>
      <c r="C33" s="159">
        <f t="shared" si="0"/>
        <v>32100</v>
      </c>
      <c r="D33" s="160"/>
      <c r="E33" s="161"/>
      <c r="G33" s="6"/>
      <c r="H33" s="39"/>
      <c r="I33" s="28"/>
      <c r="J33" s="6" t="s">
        <v>94</v>
      </c>
      <c r="K33" s="39" t="s">
        <v>95</v>
      </c>
      <c r="L33" s="28">
        <v>-31200</v>
      </c>
      <c r="M33" s="6"/>
      <c r="N33" s="39"/>
      <c r="O33" s="26"/>
      <c r="P33" s="5"/>
      <c r="Q33" s="6"/>
      <c r="R33" s="39"/>
      <c r="S33" s="28"/>
      <c r="T33" s="6" t="s">
        <v>90</v>
      </c>
      <c r="U33" s="39" t="s">
        <v>530</v>
      </c>
      <c r="V33" s="28">
        <v>-39000</v>
      </c>
      <c r="W33" s="6"/>
      <c r="X33" s="39"/>
      <c r="Y33" s="26"/>
    </row>
    <row r="34" spans="2:25" x14ac:dyDescent="0.3">
      <c r="B34" s="49" t="s">
        <v>99</v>
      </c>
      <c r="C34" s="159">
        <f t="shared" si="0"/>
        <v>89700</v>
      </c>
      <c r="D34" s="160"/>
      <c r="E34" s="161"/>
      <c r="G34" s="6"/>
      <c r="H34" s="39"/>
      <c r="I34" s="28"/>
      <c r="J34" s="6" t="s">
        <v>89</v>
      </c>
      <c r="K34" s="39" t="s">
        <v>308</v>
      </c>
      <c r="L34" s="28">
        <v>-16500</v>
      </c>
      <c r="M34" s="6"/>
      <c r="N34" s="39"/>
      <c r="O34" s="26"/>
      <c r="P34" s="5"/>
      <c r="Q34" s="6"/>
      <c r="R34" s="39"/>
      <c r="S34" s="28"/>
      <c r="T34" s="6" t="s">
        <v>90</v>
      </c>
      <c r="U34" s="39" t="s">
        <v>531</v>
      </c>
      <c r="V34" s="28">
        <v>-2000</v>
      </c>
      <c r="W34" s="6"/>
      <c r="X34" s="39"/>
      <c r="Y34" s="26"/>
    </row>
    <row r="35" spans="2:25" x14ac:dyDescent="0.3">
      <c r="B35" s="49" t="s">
        <v>120</v>
      </c>
      <c r="C35" s="159">
        <f t="shared" si="0"/>
        <v>27000</v>
      </c>
      <c r="D35" s="160"/>
      <c r="E35" s="161"/>
      <c r="G35" s="6"/>
      <c r="H35" s="39"/>
      <c r="I35" s="28"/>
      <c r="J35" s="6" t="s">
        <v>99</v>
      </c>
      <c r="K35" s="39" t="s">
        <v>297</v>
      </c>
      <c r="L35" s="28">
        <v>-5000</v>
      </c>
      <c r="M35" s="6"/>
      <c r="N35" s="39"/>
      <c r="O35" s="26"/>
      <c r="P35" s="5"/>
      <c r="Q35" s="6"/>
      <c r="R35" s="39"/>
      <c r="S35" s="28"/>
      <c r="T35" s="6" t="s">
        <v>90</v>
      </c>
      <c r="U35" s="39" t="s">
        <v>532</v>
      </c>
      <c r="V35" s="28">
        <v>-62780</v>
      </c>
      <c r="W35" s="6"/>
      <c r="X35" s="39"/>
      <c r="Y35" s="26"/>
    </row>
    <row r="36" spans="2:25" x14ac:dyDescent="0.3">
      <c r="B36" s="49" t="s">
        <v>91</v>
      </c>
      <c r="C36" s="159">
        <f t="shared" si="0"/>
        <v>67421</v>
      </c>
      <c r="D36" s="160"/>
      <c r="E36" s="161"/>
      <c r="G36" s="6"/>
      <c r="H36" s="39"/>
      <c r="I36" s="28"/>
      <c r="J36" s="6" t="s">
        <v>90</v>
      </c>
      <c r="K36" s="39" t="s">
        <v>98</v>
      </c>
      <c r="L36" s="28">
        <v>-160000</v>
      </c>
      <c r="M36" s="6"/>
      <c r="N36" s="39"/>
      <c r="O36" s="26"/>
      <c r="P36" s="5"/>
      <c r="Q36" s="6"/>
      <c r="R36" s="39"/>
      <c r="S36" s="28"/>
      <c r="T36" s="6" t="s">
        <v>111</v>
      </c>
      <c r="U36" s="39" t="s">
        <v>113</v>
      </c>
      <c r="V36" s="28">
        <v>-1200</v>
      </c>
      <c r="W36" s="6"/>
      <c r="X36" s="39"/>
      <c r="Y36" s="26"/>
    </row>
    <row r="37" spans="2:25" x14ac:dyDescent="0.3">
      <c r="B37" s="49" t="s">
        <v>102</v>
      </c>
      <c r="C37" s="159">
        <f t="shared" si="0"/>
        <v>41500</v>
      </c>
      <c r="D37" s="160"/>
      <c r="E37" s="161"/>
      <c r="G37" s="6"/>
      <c r="H37" s="39"/>
      <c r="I37" s="28"/>
      <c r="J37" s="6" t="s">
        <v>100</v>
      </c>
      <c r="K37" s="39" t="s">
        <v>510</v>
      </c>
      <c r="L37" s="28">
        <v>-50000</v>
      </c>
      <c r="M37" s="6"/>
      <c r="N37" s="39"/>
      <c r="O37" s="26"/>
      <c r="P37" s="5"/>
      <c r="Q37" s="6"/>
      <c r="R37" s="39"/>
      <c r="S37" s="28"/>
      <c r="T37" s="6" t="s">
        <v>111</v>
      </c>
      <c r="U37" s="39" t="s">
        <v>113</v>
      </c>
      <c r="V37" s="28">
        <v>-1200</v>
      </c>
      <c r="W37" s="6"/>
      <c r="X37" s="39"/>
      <c r="Y37" s="26"/>
    </row>
    <row r="38" spans="2:25" x14ac:dyDescent="0.3">
      <c r="B38" s="49" t="s">
        <v>118</v>
      </c>
      <c r="C38" s="159">
        <f t="shared" si="0"/>
        <v>0</v>
      </c>
      <c r="D38" s="160"/>
      <c r="E38" s="161"/>
      <c r="G38" s="6"/>
      <c r="H38" s="39"/>
      <c r="I38" s="28"/>
      <c r="J38" s="6" t="s">
        <v>120</v>
      </c>
      <c r="K38" s="39" t="s">
        <v>365</v>
      </c>
      <c r="L38" s="28">
        <v>-27000</v>
      </c>
      <c r="M38" s="6"/>
      <c r="N38" s="39"/>
      <c r="O38" s="26"/>
      <c r="P38" s="5"/>
      <c r="Q38" s="6"/>
      <c r="R38" s="39"/>
      <c r="S38" s="28"/>
      <c r="T38" s="6" t="s">
        <v>111</v>
      </c>
      <c r="U38" s="39" t="s">
        <v>113</v>
      </c>
      <c r="V38" s="28">
        <v>-1100</v>
      </c>
      <c r="W38" s="6"/>
      <c r="X38" s="39"/>
      <c r="Y38" s="26"/>
    </row>
    <row r="39" spans="2:25" x14ac:dyDescent="0.3">
      <c r="B39" s="49" t="s">
        <v>108</v>
      </c>
      <c r="C39" s="159">
        <f t="shared" si="0"/>
        <v>20000</v>
      </c>
      <c r="D39" s="160"/>
      <c r="E39" s="161"/>
      <c r="G39" s="6"/>
      <c r="H39" s="39"/>
      <c r="I39" s="28"/>
      <c r="J39" s="6" t="s">
        <v>99</v>
      </c>
      <c r="K39" s="39" t="s">
        <v>297</v>
      </c>
      <c r="L39" s="28">
        <v>-7500</v>
      </c>
      <c r="M39" s="6"/>
      <c r="N39" s="39"/>
      <c r="O39" s="26"/>
      <c r="P39" s="5"/>
      <c r="Q39" s="6"/>
      <c r="R39" s="39"/>
      <c r="S39" s="28"/>
      <c r="T39" s="6" t="s">
        <v>111</v>
      </c>
      <c r="U39" s="39" t="s">
        <v>113</v>
      </c>
      <c r="V39" s="28">
        <v>-1200</v>
      </c>
      <c r="W39" s="6"/>
      <c r="X39" s="39"/>
      <c r="Y39" s="26"/>
    </row>
    <row r="40" spans="2:25" x14ac:dyDescent="0.3">
      <c r="B40" s="49" t="s">
        <v>129</v>
      </c>
      <c r="C40" s="159">
        <f t="shared" si="0"/>
        <v>0</v>
      </c>
      <c r="D40" s="160"/>
      <c r="E40" s="161"/>
      <c r="G40" s="6"/>
      <c r="H40" s="39"/>
      <c r="I40" s="28"/>
      <c r="J40" s="6" t="s">
        <v>102</v>
      </c>
      <c r="K40" s="39" t="s">
        <v>511</v>
      </c>
      <c r="L40" s="28">
        <v>-25600</v>
      </c>
      <c r="M40" s="6"/>
      <c r="N40" s="39"/>
      <c r="O40" s="26"/>
      <c r="P40" s="5"/>
      <c r="Q40" s="6"/>
      <c r="R40" s="39"/>
      <c r="S40" s="28"/>
      <c r="T40" s="6" t="s">
        <v>111</v>
      </c>
      <c r="U40" s="39" t="s">
        <v>348</v>
      </c>
      <c r="V40" s="28">
        <v>-132000</v>
      </c>
      <c r="W40" s="6"/>
      <c r="X40" s="39"/>
      <c r="Y40" s="26"/>
    </row>
    <row r="41" spans="2:25" x14ac:dyDescent="0.3">
      <c r="B41" s="49" t="s">
        <v>100</v>
      </c>
      <c r="C41" s="159">
        <f t="shared" si="0"/>
        <v>129000</v>
      </c>
      <c r="D41" s="160"/>
      <c r="E41" s="161"/>
      <c r="G41" s="6"/>
      <c r="H41" s="39"/>
      <c r="I41" s="28"/>
      <c r="J41" s="6" t="s">
        <v>102</v>
      </c>
      <c r="K41" s="39" t="s">
        <v>512</v>
      </c>
      <c r="L41" s="28">
        <v>-3200</v>
      </c>
      <c r="M41" s="6"/>
      <c r="N41" s="39"/>
      <c r="O41" s="26"/>
      <c r="P41" s="5"/>
      <c r="Q41" s="6"/>
      <c r="R41" s="39"/>
      <c r="S41" s="28"/>
      <c r="T41" s="6" t="s">
        <v>91</v>
      </c>
      <c r="U41" s="39" t="s">
        <v>535</v>
      </c>
      <c r="V41" s="28">
        <v>-8000</v>
      </c>
      <c r="W41" s="6"/>
      <c r="X41" s="39"/>
      <c r="Y41" s="26"/>
    </row>
    <row r="42" spans="2:25" x14ac:dyDescent="0.3">
      <c r="B42" s="49" t="s">
        <v>123</v>
      </c>
      <c r="C42" s="159">
        <f t="shared" si="0"/>
        <v>0</v>
      </c>
      <c r="D42" s="160"/>
      <c r="E42" s="161"/>
      <c r="G42" s="6"/>
      <c r="H42" s="39"/>
      <c r="I42" s="28"/>
      <c r="J42" s="6" t="s">
        <v>90</v>
      </c>
      <c r="K42" s="39" t="s">
        <v>513</v>
      </c>
      <c r="L42" s="28">
        <v>-25900</v>
      </c>
      <c r="M42" s="6"/>
      <c r="N42" s="39"/>
      <c r="O42" s="26"/>
      <c r="P42" s="5"/>
      <c r="Q42" s="6"/>
      <c r="R42" s="39"/>
      <c r="S42" s="28"/>
      <c r="T42" s="6" t="s">
        <v>111</v>
      </c>
      <c r="U42" s="39" t="s">
        <v>536</v>
      </c>
      <c r="V42" s="28">
        <v>-43000</v>
      </c>
      <c r="W42" s="6"/>
      <c r="X42" s="39"/>
      <c r="Y42" s="26"/>
    </row>
    <row r="43" spans="2:25" x14ac:dyDescent="0.3">
      <c r="B43" s="49" t="s">
        <v>111</v>
      </c>
      <c r="C43" s="159">
        <f t="shared" si="0"/>
        <v>747680</v>
      </c>
      <c r="D43" s="160"/>
      <c r="E43" s="161"/>
      <c r="G43" s="6"/>
      <c r="H43" s="39"/>
      <c r="I43" s="28"/>
      <c r="J43" s="6" t="s">
        <v>103</v>
      </c>
      <c r="K43" s="39" t="s">
        <v>514</v>
      </c>
      <c r="L43" s="28">
        <v>-15200</v>
      </c>
      <c r="M43" s="6"/>
      <c r="N43" s="39"/>
      <c r="O43" s="26"/>
      <c r="P43" s="5"/>
      <c r="Q43" s="6"/>
      <c r="R43" s="39"/>
      <c r="S43" s="28"/>
      <c r="T43" s="6" t="s">
        <v>111</v>
      </c>
      <c r="U43" s="39" t="s">
        <v>113</v>
      </c>
      <c r="V43" s="28">
        <v>-2050</v>
      </c>
      <c r="W43" s="6"/>
      <c r="X43" s="39"/>
      <c r="Y43" s="26"/>
    </row>
    <row r="44" spans="2:25" x14ac:dyDescent="0.3">
      <c r="B44" s="49" t="s">
        <v>116</v>
      </c>
      <c r="C44" s="159">
        <f t="shared" si="0"/>
        <v>300377</v>
      </c>
      <c r="D44" s="160"/>
      <c r="E44" s="161"/>
      <c r="G44" s="6"/>
      <c r="H44" s="39"/>
      <c r="I44" s="28"/>
      <c r="J44" s="6" t="s">
        <v>90</v>
      </c>
      <c r="K44" s="39" t="s">
        <v>515</v>
      </c>
      <c r="L44" s="28">
        <v>-19000</v>
      </c>
      <c r="M44" s="6"/>
      <c r="N44" s="39"/>
      <c r="O44" s="26"/>
      <c r="P44" s="5"/>
      <c r="Q44" s="6"/>
      <c r="R44" s="39"/>
      <c r="S44" s="28"/>
      <c r="T44" s="6" t="s">
        <v>91</v>
      </c>
      <c r="U44" s="39" t="s">
        <v>538</v>
      </c>
      <c r="V44" s="28">
        <v>-27320</v>
      </c>
      <c r="W44" s="6"/>
      <c r="X44" s="39"/>
      <c r="Y44" s="26"/>
    </row>
    <row r="45" spans="2:25" x14ac:dyDescent="0.3">
      <c r="B45" s="49" t="s">
        <v>112</v>
      </c>
      <c r="C45" s="159">
        <f t="shared" si="0"/>
        <v>-434095</v>
      </c>
      <c r="D45" s="160"/>
      <c r="E45" s="161"/>
      <c r="G45" s="6"/>
      <c r="H45" s="39"/>
      <c r="I45" s="28"/>
      <c r="J45" s="6" t="s">
        <v>103</v>
      </c>
      <c r="K45" s="39" t="s">
        <v>514</v>
      </c>
      <c r="L45" s="28">
        <v>-16900</v>
      </c>
      <c r="M45" s="6"/>
      <c r="N45" s="39"/>
      <c r="O45" s="26"/>
      <c r="P45" s="5"/>
      <c r="Q45" s="6"/>
      <c r="R45" s="39"/>
      <c r="S45" s="28"/>
      <c r="T45" s="6" t="s">
        <v>111</v>
      </c>
      <c r="U45" s="39" t="s">
        <v>539</v>
      </c>
      <c r="V45" s="28">
        <v>-45640</v>
      </c>
      <c r="W45" s="6"/>
      <c r="X45" s="39"/>
      <c r="Y45" s="26"/>
    </row>
    <row r="46" spans="2:25" x14ac:dyDescent="0.3">
      <c r="B46" s="50" t="s">
        <v>126</v>
      </c>
      <c r="C46" s="159">
        <f t="shared" si="0"/>
        <v>0</v>
      </c>
      <c r="D46" s="160"/>
      <c r="E46" s="161"/>
      <c r="G46" s="6"/>
      <c r="H46" s="39"/>
      <c r="I46" s="28"/>
      <c r="J46" s="6" t="s">
        <v>108</v>
      </c>
      <c r="K46" s="39" t="s">
        <v>145</v>
      </c>
      <c r="L46" s="28">
        <v>-20000</v>
      </c>
      <c r="M46" s="6"/>
      <c r="N46" s="39"/>
      <c r="O46" s="26"/>
      <c r="P46" s="5"/>
      <c r="Q46" s="6"/>
      <c r="R46" s="39"/>
      <c r="S46" s="28"/>
      <c r="T46" s="6" t="s">
        <v>111</v>
      </c>
      <c r="U46" s="39" t="s">
        <v>540</v>
      </c>
      <c r="V46" s="28">
        <v>-29270</v>
      </c>
      <c r="W46" s="6"/>
      <c r="X46" s="39"/>
      <c r="Y46" s="26"/>
    </row>
    <row r="47" spans="2:25" x14ac:dyDescent="0.3">
      <c r="G47" s="6"/>
      <c r="H47" s="39"/>
      <c r="I47" s="28"/>
      <c r="J47" s="6" t="s">
        <v>93</v>
      </c>
      <c r="K47" s="39" t="s">
        <v>516</v>
      </c>
      <c r="L47" s="28">
        <v>-35950</v>
      </c>
      <c r="M47" s="6"/>
      <c r="N47" s="39"/>
      <c r="O47" s="26"/>
      <c r="P47" s="5"/>
      <c r="Q47" s="6"/>
      <c r="R47" s="39"/>
      <c r="S47" s="28"/>
      <c r="T47" s="6" t="s">
        <v>112</v>
      </c>
      <c r="U47" s="39" t="s">
        <v>541</v>
      </c>
      <c r="V47" s="28">
        <v>-8752</v>
      </c>
      <c r="W47" s="6"/>
      <c r="X47" s="39"/>
      <c r="Y47" s="26"/>
    </row>
    <row r="48" spans="2:25" x14ac:dyDescent="0.3">
      <c r="B48" s="45" t="s">
        <v>139</v>
      </c>
      <c r="C48" s="162" t="str">
        <f>IF(ABS(SUM(C27:E46))&lt;&gt;ABS(SUM(L89,V89)),"항목 추가해주세요","-")</f>
        <v>-</v>
      </c>
      <c r="D48" s="163"/>
      <c r="E48" s="164"/>
      <c r="G48" s="6"/>
      <c r="H48" s="39"/>
      <c r="I48" s="28"/>
      <c r="J48" s="6" t="s">
        <v>92</v>
      </c>
      <c r="K48" s="39" t="s">
        <v>203</v>
      </c>
      <c r="L48" s="28">
        <v>-40490</v>
      </c>
      <c r="M48" s="6"/>
      <c r="N48" s="39"/>
      <c r="O48" s="26"/>
      <c r="P48" s="5"/>
      <c r="Q48" s="6"/>
      <c r="R48" s="39"/>
      <c r="S48" s="28"/>
      <c r="T48" s="6" t="s">
        <v>112</v>
      </c>
      <c r="U48" s="39" t="s">
        <v>541</v>
      </c>
      <c r="V48" s="28">
        <v>-30198</v>
      </c>
      <c r="W48" s="6"/>
      <c r="X48" s="39"/>
      <c r="Y48" s="26"/>
    </row>
    <row r="49" spans="2:25" x14ac:dyDescent="0.3">
      <c r="C49" s="51"/>
      <c r="G49" s="6"/>
      <c r="H49" s="39"/>
      <c r="I49" s="28"/>
      <c r="J49" s="6" t="s">
        <v>99</v>
      </c>
      <c r="K49" s="39" t="s">
        <v>517</v>
      </c>
      <c r="L49" s="28">
        <v>-8400</v>
      </c>
      <c r="M49" s="6"/>
      <c r="N49" s="39"/>
      <c r="O49" s="26"/>
      <c r="P49" s="5"/>
      <c r="Q49" s="6"/>
      <c r="R49" s="39"/>
      <c r="S49" s="28"/>
      <c r="T49" s="6" t="s">
        <v>111</v>
      </c>
      <c r="U49" s="39" t="s">
        <v>335</v>
      </c>
      <c r="V49" s="28">
        <v>-343820</v>
      </c>
      <c r="W49" s="6"/>
      <c r="X49" s="39"/>
      <c r="Y49" s="26"/>
    </row>
    <row r="50" spans="2:25" x14ac:dyDescent="0.3">
      <c r="B50" s="136" t="s">
        <v>150</v>
      </c>
      <c r="C50" s="168"/>
      <c r="D50" s="168"/>
      <c r="E50" s="137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 t="s">
        <v>92</v>
      </c>
      <c r="U50" s="39" t="s">
        <v>486</v>
      </c>
      <c r="V50" s="28">
        <v>-5900</v>
      </c>
      <c r="W50" s="6"/>
      <c r="X50" s="39"/>
      <c r="Y50" s="26"/>
    </row>
    <row r="51" spans="2:25" x14ac:dyDescent="0.3">
      <c r="B51" s="48" t="s">
        <v>28</v>
      </c>
      <c r="C51" s="165" t="s">
        <v>30</v>
      </c>
      <c r="D51" s="166"/>
      <c r="E51" s="167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 t="s">
        <v>111</v>
      </c>
      <c r="U51" s="39" t="s">
        <v>113</v>
      </c>
      <c r="V51" s="28">
        <v>-1200</v>
      </c>
      <c r="W51" s="6"/>
      <c r="X51" s="39"/>
      <c r="Y51" s="26"/>
    </row>
    <row r="52" spans="2:25" x14ac:dyDescent="0.3">
      <c r="B52" s="48" t="s">
        <v>146</v>
      </c>
      <c r="C52" s="159">
        <f>(SUMIF($G$7:$G$88,B52,$I$7:$I$88)+SUMIF($Q$7:$Q$88,B52,$S$7:$S$88))</f>
        <v>0</v>
      </c>
      <c r="D52" s="160"/>
      <c r="E52" s="161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 t="s">
        <v>90</v>
      </c>
      <c r="U52" s="39" t="s">
        <v>127</v>
      </c>
      <c r="V52" s="28">
        <v>-29970</v>
      </c>
      <c r="W52" s="6"/>
      <c r="X52" s="39"/>
      <c r="Y52" s="26"/>
    </row>
    <row r="53" spans="2:25" x14ac:dyDescent="0.3">
      <c r="B53" s="49" t="s">
        <v>147</v>
      </c>
      <c r="C53" s="159">
        <f>(SUMIF($G$7:$G$88,B53,$I$7:$I$88)+SUMIF($Q$7:$Q$88,B53,$S$7:$S$88))</f>
        <v>0</v>
      </c>
      <c r="D53" s="160"/>
      <c r="E53" s="161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 t="s">
        <v>90</v>
      </c>
      <c r="U53" s="39" t="s">
        <v>427</v>
      </c>
      <c r="V53" s="28">
        <v>-163600</v>
      </c>
      <c r="W53" s="6"/>
      <c r="X53" s="39"/>
      <c r="Y53" s="26"/>
    </row>
    <row r="54" spans="2:25" x14ac:dyDescent="0.3">
      <c r="B54" s="49" t="s">
        <v>148</v>
      </c>
      <c r="C54" s="159">
        <f>(SUMIF($G$7:$G$88,B54,$I$7:$I$88)+SUMIF($Q$7:$Q$88,B54,$S$7:$S$88))</f>
        <v>1</v>
      </c>
      <c r="D54" s="160"/>
      <c r="E54" s="161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 t="s">
        <v>90</v>
      </c>
      <c r="U54" s="39" t="s">
        <v>322</v>
      </c>
      <c r="V54" s="28">
        <v>-6990</v>
      </c>
      <c r="W54" s="6"/>
      <c r="X54" s="39"/>
      <c r="Y54" s="26"/>
    </row>
    <row r="55" spans="2:25" x14ac:dyDescent="0.3">
      <c r="B55" s="50" t="s">
        <v>149</v>
      </c>
      <c r="C55" s="159">
        <f>(SUMIF($G$7:$G$88,B55,$I$7:$I$88)+SUMIF($Q$7:$Q$88,B55,$S$7:$S$88))</f>
        <v>0</v>
      </c>
      <c r="D55" s="160"/>
      <c r="E55" s="161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 t="s">
        <v>111</v>
      </c>
      <c r="U55" s="39" t="s">
        <v>542</v>
      </c>
      <c r="V55" s="28">
        <v>-30000</v>
      </c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 t="s">
        <v>91</v>
      </c>
      <c r="U56" s="39" t="s">
        <v>359</v>
      </c>
      <c r="V56" s="28">
        <v>-14101</v>
      </c>
      <c r="W56" s="6"/>
      <c r="X56" s="39"/>
      <c r="Y56" s="26"/>
    </row>
    <row r="57" spans="2:25" x14ac:dyDescent="0.3">
      <c r="B57" s="45" t="s">
        <v>139</v>
      </c>
      <c r="C57" s="162" t="str">
        <f>IF(ABS(SUM(C52:E55))&lt;&gt;ABS(SUM(I89,S89)),"항목 추가해주세요","-")</f>
        <v>항목 추가해주세요</v>
      </c>
      <c r="D57" s="163"/>
      <c r="E57" s="164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 t="s">
        <v>90</v>
      </c>
      <c r="U57" s="39" t="s">
        <v>543</v>
      </c>
      <c r="V57" s="28">
        <v>-21868</v>
      </c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 t="s">
        <v>90</v>
      </c>
      <c r="U58" s="39" t="s">
        <v>543</v>
      </c>
      <c r="V58" s="28">
        <v>-77032</v>
      </c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 t="s">
        <v>92</v>
      </c>
      <c r="U59" s="39" t="s">
        <v>203</v>
      </c>
      <c r="V59" s="28">
        <v>-162150</v>
      </c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 t="s">
        <v>92</v>
      </c>
      <c r="U60" s="39" t="s">
        <v>203</v>
      </c>
      <c r="V60" s="28">
        <v>-162150</v>
      </c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 t="s">
        <v>111</v>
      </c>
      <c r="U61" s="39" t="s">
        <v>113</v>
      </c>
      <c r="V61" s="28">
        <v>-1200</v>
      </c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 t="s">
        <v>102</v>
      </c>
      <c r="U62" s="39" t="s">
        <v>544</v>
      </c>
      <c r="V62" s="28">
        <v>-12700</v>
      </c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 t="s">
        <v>91</v>
      </c>
      <c r="U63" s="39" t="s">
        <v>359</v>
      </c>
      <c r="V63" s="28">
        <v>-2500</v>
      </c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1</v>
      </c>
      <c r="J89" s="7" t="s">
        <v>24</v>
      </c>
      <c r="K89" s="22" t="s">
        <v>34</v>
      </c>
      <c r="L89" s="21">
        <f>SUM(L7:L88)</f>
        <v>-1285740</v>
      </c>
      <c r="M89" s="7" t="s">
        <v>24</v>
      </c>
      <c r="N89" s="22" t="s">
        <v>34</v>
      </c>
      <c r="O89" s="21">
        <f>SUM(O7:O88)</f>
        <v>121700</v>
      </c>
      <c r="Q89" s="7" t="s">
        <v>24</v>
      </c>
      <c r="R89" s="17" t="s">
        <v>34</v>
      </c>
      <c r="S89" s="19">
        <f>SUM(S7:S88)</f>
        <v>121591</v>
      </c>
      <c r="T89" s="7" t="s">
        <v>24</v>
      </c>
      <c r="U89" s="22" t="s">
        <v>34</v>
      </c>
      <c r="V89" s="21">
        <f>SUM(V7:V88)</f>
        <v>-1600373</v>
      </c>
      <c r="W89" s="7" t="s">
        <v>24</v>
      </c>
      <c r="X89" s="22" t="s">
        <v>34</v>
      </c>
      <c r="Y89" s="21">
        <f>SUM(Y7:Y88)</f>
        <v>-7356716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-1164039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-8835498</v>
      </c>
      <c r="T90" s="37"/>
      <c r="U90" s="37"/>
      <c r="V90" s="37"/>
      <c r="W90" s="37"/>
      <c r="X90" s="37"/>
      <c r="Y90" s="38"/>
    </row>
  </sheetData>
  <mergeCells count="43">
    <mergeCell ref="C45:E45"/>
    <mergeCell ref="C46:E46"/>
    <mergeCell ref="C48:E48"/>
    <mergeCell ref="C40:E40"/>
    <mergeCell ref="C41:E41"/>
    <mergeCell ref="C42:E42"/>
    <mergeCell ref="C43:E43"/>
    <mergeCell ref="C44:E4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  <mergeCell ref="C55:E55"/>
    <mergeCell ref="C57:E57"/>
    <mergeCell ref="B50:E50"/>
    <mergeCell ref="C51:E51"/>
    <mergeCell ref="C52:E52"/>
    <mergeCell ref="C53:E53"/>
    <mergeCell ref="C54:E5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8193" r:id="rId3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973B5-B8DA-4D9B-BF9C-D3CC9FB93C15}">
  <sheetPr codeName="Sheet15">
    <tabColor rgb="FFFFA7D3"/>
  </sheetPr>
  <dimension ref="B2:Y90"/>
  <sheetViews>
    <sheetView workbookViewId="0">
      <selection activeCell="J2" sqref="J2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31.75" bestFit="1" customWidth="1"/>
    <col min="12" max="12" width="11.5" bestFit="1" customWidth="1"/>
    <col min="13" max="13" width="11" bestFit="1" customWidth="1"/>
    <col min="14" max="14" width="20" bestFit="1" customWidth="1"/>
    <col min="15" max="15" width="11.5" bestFit="1" customWidth="1"/>
    <col min="16" max="16" width="2.375" customWidth="1"/>
    <col min="18" max="18" width="15.875" bestFit="1" customWidth="1"/>
    <col min="19" max="19" width="12.875" bestFit="1" customWidth="1"/>
    <col min="20" max="20" width="9.75" bestFit="1" customWidth="1"/>
    <col min="21" max="21" width="28.25" bestFit="1" customWidth="1"/>
    <col min="22" max="22" width="11.5" bestFit="1" customWidth="1"/>
    <col min="24" max="24" width="21.375" bestFit="1" customWidth="1"/>
    <col min="25" max="25" width="11.75" bestFit="1" customWidth="1"/>
  </cols>
  <sheetData>
    <row r="2" spans="2:25" ht="24.75" thickBot="1" x14ac:dyDescent="0.35">
      <c r="B2" s="169" t="s">
        <v>79</v>
      </c>
      <c r="C2" s="169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74">
        <v>10000000</v>
      </c>
      <c r="D4" s="174"/>
      <c r="G4" s="182" t="str">
        <f>설정!D4</f>
        <v>천세원</v>
      </c>
      <c r="H4" s="183"/>
      <c r="I4" s="183"/>
      <c r="J4" s="183"/>
      <c r="K4" s="183"/>
      <c r="L4" s="183"/>
      <c r="M4" s="183"/>
      <c r="N4" s="183"/>
      <c r="O4" s="184"/>
      <c r="Q4" s="179" t="str">
        <f>설정!D6</f>
        <v>하유진</v>
      </c>
      <c r="R4" s="180"/>
      <c r="S4" s="180"/>
      <c r="T4" s="180"/>
      <c r="U4" s="180"/>
      <c r="V4" s="180"/>
      <c r="W4" s="180"/>
      <c r="X4" s="180"/>
      <c r="Y4" s="181"/>
    </row>
    <row r="5" spans="2:25" x14ac:dyDescent="0.3">
      <c r="B5" s="2" t="s">
        <v>36</v>
      </c>
      <c r="C5" s="174">
        <f>I90+S90</f>
        <v>-2277281</v>
      </c>
      <c r="D5" s="174"/>
      <c r="G5" s="136" t="s">
        <v>27</v>
      </c>
      <c r="H5" s="168"/>
      <c r="I5" s="137"/>
      <c r="J5" s="134" t="s">
        <v>31</v>
      </c>
      <c r="K5" s="170"/>
      <c r="L5" s="135"/>
      <c r="M5" s="171" t="s">
        <v>32</v>
      </c>
      <c r="N5" s="172"/>
      <c r="O5" s="173"/>
      <c r="Q5" s="136" t="s">
        <v>27</v>
      </c>
      <c r="R5" s="168"/>
      <c r="S5" s="137"/>
      <c r="T5" s="134" t="s">
        <v>31</v>
      </c>
      <c r="U5" s="170"/>
      <c r="V5" s="135"/>
      <c r="W5" s="171" t="s">
        <v>32</v>
      </c>
      <c r="X5" s="172"/>
      <c r="Y5" s="173"/>
    </row>
    <row r="6" spans="2:25" x14ac:dyDescent="0.3">
      <c r="B6" s="2" t="s">
        <v>38</v>
      </c>
      <c r="C6" s="174">
        <f>C4-C5</f>
        <v>12277281</v>
      </c>
      <c r="D6" s="174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P6" s="5"/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5">
        <f>(C5)/(C4)</f>
        <v>-0.22772809999999999</v>
      </c>
      <c r="D7" s="175"/>
      <c r="G7" s="6" t="s">
        <v>547</v>
      </c>
      <c r="H7" s="39" t="s">
        <v>592</v>
      </c>
      <c r="I7" s="28">
        <v>1</v>
      </c>
      <c r="J7" s="6" t="s">
        <v>96</v>
      </c>
      <c r="K7" s="39" t="s">
        <v>445</v>
      </c>
      <c r="L7" s="28">
        <v>-300000</v>
      </c>
      <c r="M7" s="6" t="s">
        <v>101</v>
      </c>
      <c r="N7" s="39" t="s">
        <v>392</v>
      </c>
      <c r="O7" s="40">
        <v>-31067</v>
      </c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 t="s">
        <v>86</v>
      </c>
      <c r="H8" s="39" t="s">
        <v>597</v>
      </c>
      <c r="I8" s="28">
        <v>1</v>
      </c>
      <c r="J8" s="6" t="s">
        <v>99</v>
      </c>
      <c r="K8" s="39" t="s">
        <v>582</v>
      </c>
      <c r="L8" s="28">
        <v>-4000</v>
      </c>
      <c r="M8" s="6" t="s">
        <v>101</v>
      </c>
      <c r="N8" s="39" t="s">
        <v>265</v>
      </c>
      <c r="O8" s="26">
        <v>2500</v>
      </c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 t="s">
        <v>86</v>
      </c>
      <c r="H9" s="39" t="s">
        <v>598</v>
      </c>
      <c r="I9" s="28">
        <v>1</v>
      </c>
      <c r="J9" s="6" t="s">
        <v>94</v>
      </c>
      <c r="K9" s="39" t="s">
        <v>583</v>
      </c>
      <c r="L9" s="28">
        <v>-36650</v>
      </c>
      <c r="M9" s="6" t="s">
        <v>101</v>
      </c>
      <c r="N9" s="39" t="s">
        <v>264</v>
      </c>
      <c r="O9" s="26">
        <v>2500</v>
      </c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 t="s">
        <v>86</v>
      </c>
      <c r="H10" s="39" t="s">
        <v>217</v>
      </c>
      <c r="I10" s="28">
        <v>0</v>
      </c>
      <c r="J10" s="6" t="s">
        <v>94</v>
      </c>
      <c r="K10" s="39" t="s">
        <v>583</v>
      </c>
      <c r="L10" s="28">
        <v>-59800</v>
      </c>
      <c r="M10" s="6" t="s">
        <v>101</v>
      </c>
      <c r="N10" s="39" t="s">
        <v>337</v>
      </c>
      <c r="O10" s="26">
        <v>2500</v>
      </c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 t="s">
        <v>208</v>
      </c>
      <c r="H11" s="39" t="s">
        <v>606</v>
      </c>
      <c r="I11" s="28">
        <v>193046</v>
      </c>
      <c r="J11" s="6" t="s">
        <v>90</v>
      </c>
      <c r="K11" s="39" t="s">
        <v>584</v>
      </c>
      <c r="L11" s="28">
        <v>-6480</v>
      </c>
      <c r="M11" s="6" t="s">
        <v>101</v>
      </c>
      <c r="N11" s="39" t="s">
        <v>264</v>
      </c>
      <c r="O11" s="26">
        <v>2500</v>
      </c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 t="s">
        <v>229</v>
      </c>
      <c r="H12" s="39" t="s">
        <v>607</v>
      </c>
      <c r="I12" s="28">
        <v>1</v>
      </c>
      <c r="J12" s="6" t="s">
        <v>103</v>
      </c>
      <c r="K12" s="39" t="s">
        <v>585</v>
      </c>
      <c r="L12" s="28">
        <v>-10000</v>
      </c>
      <c r="M12" s="6" t="s">
        <v>101</v>
      </c>
      <c r="N12" s="39" t="s">
        <v>264</v>
      </c>
      <c r="O12" s="26">
        <v>2500</v>
      </c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 t="s">
        <v>208</v>
      </c>
      <c r="H13" s="39" t="s">
        <v>209</v>
      </c>
      <c r="I13" s="28">
        <v>4200663</v>
      </c>
      <c r="J13" s="6" t="s">
        <v>103</v>
      </c>
      <c r="K13" s="39" t="s">
        <v>585</v>
      </c>
      <c r="L13" s="28">
        <v>10000</v>
      </c>
      <c r="M13" s="6" t="s">
        <v>116</v>
      </c>
      <c r="N13" s="39" t="s">
        <v>225</v>
      </c>
      <c r="O13" s="26">
        <v>992</v>
      </c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 t="s">
        <v>86</v>
      </c>
      <c r="H14" s="39" t="s">
        <v>609</v>
      </c>
      <c r="I14" s="28">
        <v>2608</v>
      </c>
      <c r="J14" s="6" t="s">
        <v>103</v>
      </c>
      <c r="K14" s="39" t="s">
        <v>586</v>
      </c>
      <c r="L14" s="28">
        <v>-10690</v>
      </c>
      <c r="M14" s="6" t="s">
        <v>101</v>
      </c>
      <c r="N14" s="39" t="s">
        <v>264</v>
      </c>
      <c r="O14" s="26">
        <v>2500</v>
      </c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 t="s">
        <v>120</v>
      </c>
      <c r="K15" s="39" t="s">
        <v>365</v>
      </c>
      <c r="L15" s="28">
        <v>27000</v>
      </c>
      <c r="M15" s="6" t="s">
        <v>213</v>
      </c>
      <c r="N15" s="39" t="s">
        <v>392</v>
      </c>
      <c r="O15" s="26">
        <v>-39994</v>
      </c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 t="s">
        <v>103</v>
      </c>
      <c r="K16" s="39" t="s">
        <v>281</v>
      </c>
      <c r="L16" s="28">
        <v>-37000</v>
      </c>
      <c r="M16" s="6" t="s">
        <v>213</v>
      </c>
      <c r="N16" s="39" t="s">
        <v>338</v>
      </c>
      <c r="O16" s="26">
        <v>39994</v>
      </c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 t="s">
        <v>103</v>
      </c>
      <c r="K17" s="39" t="s">
        <v>281</v>
      </c>
      <c r="L17" s="28">
        <v>-37000</v>
      </c>
      <c r="M17" s="6" t="s">
        <v>101</v>
      </c>
      <c r="N17" s="39" t="s">
        <v>265</v>
      </c>
      <c r="O17" s="26">
        <v>2500</v>
      </c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 t="s">
        <v>103</v>
      </c>
      <c r="K18" s="39" t="s">
        <v>281</v>
      </c>
      <c r="L18" s="28">
        <v>-37000</v>
      </c>
      <c r="M18" s="6" t="s">
        <v>101</v>
      </c>
      <c r="N18" s="39" t="s">
        <v>264</v>
      </c>
      <c r="O18" s="26">
        <v>2500</v>
      </c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 t="s">
        <v>99</v>
      </c>
      <c r="K19" s="39" t="s">
        <v>297</v>
      </c>
      <c r="L19" s="28">
        <v>-10000</v>
      </c>
      <c r="M19" s="6" t="s">
        <v>213</v>
      </c>
      <c r="N19" s="39" t="s">
        <v>214</v>
      </c>
      <c r="O19" s="26">
        <v>-900000</v>
      </c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 t="s">
        <v>99</v>
      </c>
      <c r="K20" s="39" t="s">
        <v>297</v>
      </c>
      <c r="L20" s="28">
        <v>-5000</v>
      </c>
      <c r="M20" s="6" t="s">
        <v>101</v>
      </c>
      <c r="N20" s="39">
        <v>424931</v>
      </c>
      <c r="O20" s="26">
        <v>1</v>
      </c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 t="s">
        <v>94</v>
      </c>
      <c r="K21" s="39" t="s">
        <v>587</v>
      </c>
      <c r="L21" s="28">
        <v>-40000</v>
      </c>
      <c r="M21" s="6" t="s">
        <v>117</v>
      </c>
      <c r="N21" s="39" t="s">
        <v>599</v>
      </c>
      <c r="O21" s="26">
        <v>1</v>
      </c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 t="s">
        <v>99</v>
      </c>
      <c r="K22" s="39" t="s">
        <v>297</v>
      </c>
      <c r="L22" s="28">
        <v>-5000</v>
      </c>
      <c r="M22" s="6" t="s">
        <v>101</v>
      </c>
      <c r="N22" s="39" t="s">
        <v>264</v>
      </c>
      <c r="O22" s="26">
        <v>2500</v>
      </c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 t="s">
        <v>103</v>
      </c>
      <c r="K23" s="39" t="s">
        <v>585</v>
      </c>
      <c r="L23" s="28">
        <v>-6200</v>
      </c>
      <c r="M23" s="6" t="s">
        <v>107</v>
      </c>
      <c r="N23" s="39" t="s">
        <v>600</v>
      </c>
      <c r="O23" s="26">
        <v>-10000</v>
      </c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 t="s">
        <v>103</v>
      </c>
      <c r="K24" s="39" t="s">
        <v>585</v>
      </c>
      <c r="L24" s="28">
        <v>6200</v>
      </c>
      <c r="M24" s="6" t="s">
        <v>107</v>
      </c>
      <c r="N24" s="39" t="s">
        <v>601</v>
      </c>
      <c r="O24" s="26">
        <v>-1400</v>
      </c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134" t="s">
        <v>143</v>
      </c>
      <c r="C25" s="170"/>
      <c r="D25" s="170"/>
      <c r="E25" s="135"/>
      <c r="G25" s="6"/>
      <c r="H25" s="39"/>
      <c r="I25" s="28"/>
      <c r="J25" s="6" t="s">
        <v>103</v>
      </c>
      <c r="K25" s="39" t="s">
        <v>588</v>
      </c>
      <c r="L25" s="28">
        <v>-5590</v>
      </c>
      <c r="M25" s="6" t="s">
        <v>101</v>
      </c>
      <c r="N25" s="39" t="s">
        <v>265</v>
      </c>
      <c r="O25" s="26">
        <v>2500</v>
      </c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48" t="s">
        <v>28</v>
      </c>
      <c r="C26" s="165" t="s">
        <v>30</v>
      </c>
      <c r="D26" s="166"/>
      <c r="E26" s="167"/>
      <c r="G26" s="6"/>
      <c r="H26" s="39"/>
      <c r="I26" s="28"/>
      <c r="J26" s="6" t="s">
        <v>103</v>
      </c>
      <c r="K26" s="39" t="s">
        <v>589</v>
      </c>
      <c r="L26" s="28">
        <v>-1400</v>
      </c>
      <c r="M26" s="6" t="s">
        <v>101</v>
      </c>
      <c r="N26" s="39" t="s">
        <v>264</v>
      </c>
      <c r="O26" s="26">
        <v>2500</v>
      </c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48" t="s">
        <v>89</v>
      </c>
      <c r="C27" s="159">
        <f t="shared" ref="C27:C46" si="0">-(SUMIF($J$7:$J$88,B27,$L$7:$L$88)+SUMIF($T$7:$T$88,B27,$V$7:$V$88))</f>
        <v>4246041</v>
      </c>
      <c r="D27" s="160"/>
      <c r="E27" s="161"/>
      <c r="G27" s="6"/>
      <c r="H27" s="39"/>
      <c r="I27" s="28"/>
      <c r="J27" s="6" t="s">
        <v>90</v>
      </c>
      <c r="K27" s="39" t="s">
        <v>98</v>
      </c>
      <c r="L27" s="28">
        <v>-160000</v>
      </c>
      <c r="M27" s="6" t="s">
        <v>213</v>
      </c>
      <c r="N27" s="39" t="s">
        <v>338</v>
      </c>
      <c r="O27" s="26">
        <v>10000</v>
      </c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49" t="s">
        <v>90</v>
      </c>
      <c r="C28" s="159">
        <f t="shared" si="0"/>
        <v>266480</v>
      </c>
      <c r="D28" s="160"/>
      <c r="E28" s="161"/>
      <c r="G28" s="6"/>
      <c r="H28" s="39"/>
      <c r="I28" s="28"/>
      <c r="J28" s="6" t="s">
        <v>90</v>
      </c>
      <c r="K28" s="39" t="s">
        <v>98</v>
      </c>
      <c r="L28" s="28">
        <v>-20000</v>
      </c>
      <c r="M28" s="6" t="s">
        <v>213</v>
      </c>
      <c r="N28" s="39" t="s">
        <v>392</v>
      </c>
      <c r="O28" s="26">
        <v>-10000</v>
      </c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49" t="s">
        <v>94</v>
      </c>
      <c r="C29" s="159">
        <f t="shared" si="0"/>
        <v>236650</v>
      </c>
      <c r="D29" s="160"/>
      <c r="E29" s="161"/>
      <c r="G29" s="6"/>
      <c r="H29" s="39"/>
      <c r="I29" s="28"/>
      <c r="J29" s="6" t="s">
        <v>89</v>
      </c>
      <c r="K29" s="39" t="s">
        <v>105</v>
      </c>
      <c r="L29" s="28">
        <v>-5000</v>
      </c>
      <c r="M29" s="6" t="s">
        <v>213</v>
      </c>
      <c r="N29" s="39" t="s">
        <v>338</v>
      </c>
      <c r="O29" s="26">
        <v>10000</v>
      </c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49" t="s">
        <v>92</v>
      </c>
      <c r="C30" s="159">
        <f t="shared" si="0"/>
        <v>40490</v>
      </c>
      <c r="D30" s="160"/>
      <c r="E30" s="161"/>
      <c r="G30" s="6"/>
      <c r="H30" s="39"/>
      <c r="I30" s="28"/>
      <c r="J30" s="6" t="s">
        <v>94</v>
      </c>
      <c r="K30" s="39" t="s">
        <v>135</v>
      </c>
      <c r="L30" s="28">
        <v>-6800</v>
      </c>
      <c r="M30" s="6" t="s">
        <v>213</v>
      </c>
      <c r="N30" s="39" t="s">
        <v>392</v>
      </c>
      <c r="O30" s="26">
        <v>-10000</v>
      </c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49" t="s">
        <v>96</v>
      </c>
      <c r="C31" s="159">
        <f t="shared" si="0"/>
        <v>327590</v>
      </c>
      <c r="D31" s="160"/>
      <c r="E31" s="161"/>
      <c r="G31" s="6"/>
      <c r="H31" s="39"/>
      <c r="I31" s="28"/>
      <c r="J31" s="6" t="s">
        <v>99</v>
      </c>
      <c r="K31" s="39" t="s">
        <v>297</v>
      </c>
      <c r="L31" s="28">
        <v>-7500</v>
      </c>
      <c r="M31" s="6" t="s">
        <v>213</v>
      </c>
      <c r="N31" s="39" t="s">
        <v>605</v>
      </c>
      <c r="O31" s="26">
        <v>-40000</v>
      </c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49" t="s">
        <v>93</v>
      </c>
      <c r="C32" s="159">
        <f t="shared" si="0"/>
        <v>149950</v>
      </c>
      <c r="D32" s="160"/>
      <c r="E32" s="161"/>
      <c r="G32" s="6"/>
      <c r="H32" s="39"/>
      <c r="I32" s="28"/>
      <c r="J32" s="6" t="s">
        <v>96</v>
      </c>
      <c r="K32" s="39" t="s">
        <v>503</v>
      </c>
      <c r="L32" s="28">
        <v>-26590</v>
      </c>
      <c r="M32" s="6" t="s">
        <v>213</v>
      </c>
      <c r="N32" s="39" t="s">
        <v>608</v>
      </c>
      <c r="O32" s="26">
        <v>-500000</v>
      </c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49" t="s">
        <v>103</v>
      </c>
      <c r="C33" s="159">
        <f t="shared" si="0"/>
        <v>289080</v>
      </c>
      <c r="D33" s="160"/>
      <c r="E33" s="161"/>
      <c r="G33" s="6"/>
      <c r="H33" s="39"/>
      <c r="I33" s="28"/>
      <c r="J33" s="6" t="s">
        <v>89</v>
      </c>
      <c r="K33" s="39" t="s">
        <v>105</v>
      </c>
      <c r="L33" s="28">
        <v>-50000</v>
      </c>
      <c r="M33" s="6" t="s">
        <v>213</v>
      </c>
      <c r="N33" s="39" t="s">
        <v>225</v>
      </c>
      <c r="O33" s="26">
        <v>500000</v>
      </c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49" t="s">
        <v>99</v>
      </c>
      <c r="C34" s="159">
        <f t="shared" si="0"/>
        <v>54000</v>
      </c>
      <c r="D34" s="160"/>
      <c r="E34" s="161"/>
      <c r="G34" s="6"/>
      <c r="H34" s="39"/>
      <c r="I34" s="28"/>
      <c r="J34" s="6" t="s">
        <v>94</v>
      </c>
      <c r="K34" s="39" t="s">
        <v>590</v>
      </c>
      <c r="L34" s="28">
        <v>-16900</v>
      </c>
      <c r="M34" s="6" t="s">
        <v>213</v>
      </c>
      <c r="N34" s="39" t="s">
        <v>338</v>
      </c>
      <c r="O34" s="26">
        <v>98416</v>
      </c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49" t="s">
        <v>120</v>
      </c>
      <c r="C35" s="159">
        <f t="shared" si="0"/>
        <v>-27000</v>
      </c>
      <c r="D35" s="160"/>
      <c r="E35" s="161"/>
      <c r="G35" s="6"/>
      <c r="H35" s="39"/>
      <c r="I35" s="28"/>
      <c r="J35" s="6" t="s">
        <v>89</v>
      </c>
      <c r="K35" s="39" t="s">
        <v>342</v>
      </c>
      <c r="L35" s="28">
        <v>-1000000</v>
      </c>
      <c r="M35" s="6" t="s">
        <v>213</v>
      </c>
      <c r="N35" s="39" t="s">
        <v>392</v>
      </c>
      <c r="O35" s="26">
        <v>-98416</v>
      </c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49" t="s">
        <v>91</v>
      </c>
      <c r="C36" s="159">
        <f t="shared" si="0"/>
        <v>0</v>
      </c>
      <c r="D36" s="160"/>
      <c r="E36" s="161"/>
      <c r="G36" s="6"/>
      <c r="H36" s="39"/>
      <c r="I36" s="28"/>
      <c r="J36" s="6" t="s">
        <v>108</v>
      </c>
      <c r="K36" s="39" t="s">
        <v>591</v>
      </c>
      <c r="L36" s="28">
        <v>-20000</v>
      </c>
      <c r="M36" s="6" t="s">
        <v>213</v>
      </c>
      <c r="N36" s="39" t="s">
        <v>225</v>
      </c>
      <c r="O36" s="26">
        <v>100000</v>
      </c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49" t="s">
        <v>102</v>
      </c>
      <c r="C37" s="159">
        <f t="shared" si="0"/>
        <v>0</v>
      </c>
      <c r="D37" s="160"/>
      <c r="E37" s="161"/>
      <c r="G37" s="6"/>
      <c r="H37" s="39"/>
      <c r="I37" s="28"/>
      <c r="J37" s="6" t="s">
        <v>108</v>
      </c>
      <c r="K37" s="39" t="s">
        <v>593</v>
      </c>
      <c r="L37" s="28">
        <v>-6000</v>
      </c>
      <c r="M37" s="6" t="s">
        <v>213</v>
      </c>
      <c r="N37" s="39" t="s">
        <v>610</v>
      </c>
      <c r="O37" s="26">
        <v>-100000</v>
      </c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49" t="s">
        <v>118</v>
      </c>
      <c r="C38" s="159">
        <f t="shared" si="0"/>
        <v>0</v>
      </c>
      <c r="D38" s="160"/>
      <c r="E38" s="161"/>
      <c r="G38" s="6"/>
      <c r="H38" s="39"/>
      <c r="I38" s="28"/>
      <c r="J38" s="6" t="s">
        <v>94</v>
      </c>
      <c r="K38" s="39" t="s">
        <v>594</v>
      </c>
      <c r="L38" s="28">
        <v>-10000</v>
      </c>
      <c r="M38" s="6" t="s">
        <v>213</v>
      </c>
      <c r="N38" s="39" t="s">
        <v>338</v>
      </c>
      <c r="O38" s="26">
        <v>10000</v>
      </c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49" t="s">
        <v>108</v>
      </c>
      <c r="C39" s="159">
        <f t="shared" si="0"/>
        <v>26000</v>
      </c>
      <c r="D39" s="160"/>
      <c r="E39" s="161"/>
      <c r="G39" s="6"/>
      <c r="H39" s="39"/>
      <c r="I39" s="28"/>
      <c r="J39" s="6" t="s">
        <v>94</v>
      </c>
      <c r="K39" s="39" t="s">
        <v>595</v>
      </c>
      <c r="L39" s="28">
        <v>-6000</v>
      </c>
      <c r="M39" s="6" t="s">
        <v>213</v>
      </c>
      <c r="N39" s="39" t="s">
        <v>392</v>
      </c>
      <c r="O39" s="26">
        <v>-10000</v>
      </c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49" t="s">
        <v>129</v>
      </c>
      <c r="C40" s="159">
        <f t="shared" si="0"/>
        <v>0</v>
      </c>
      <c r="D40" s="160"/>
      <c r="E40" s="161"/>
      <c r="G40" s="6"/>
      <c r="H40" s="39"/>
      <c r="I40" s="28"/>
      <c r="J40" s="6" t="s">
        <v>93</v>
      </c>
      <c r="K40" s="39" t="s">
        <v>596</v>
      </c>
      <c r="L40" s="28">
        <v>-60000</v>
      </c>
      <c r="M40" s="6" t="s">
        <v>101</v>
      </c>
      <c r="N40" s="39" t="s">
        <v>312</v>
      </c>
      <c r="O40" s="26">
        <v>-17800</v>
      </c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49" t="s">
        <v>100</v>
      </c>
      <c r="C41" s="159">
        <f t="shared" si="0"/>
        <v>0</v>
      </c>
      <c r="D41" s="160"/>
      <c r="E41" s="161"/>
      <c r="G41" s="6"/>
      <c r="H41" s="39"/>
      <c r="I41" s="28"/>
      <c r="J41" s="6" t="s">
        <v>89</v>
      </c>
      <c r="K41" s="39" t="s">
        <v>308</v>
      </c>
      <c r="L41" s="28">
        <v>-16500</v>
      </c>
      <c r="M41" s="6" t="s">
        <v>213</v>
      </c>
      <c r="N41" s="39" t="s">
        <v>611</v>
      </c>
      <c r="O41" s="26">
        <v>-300000</v>
      </c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49" t="s">
        <v>123</v>
      </c>
      <c r="C42" s="159">
        <f t="shared" si="0"/>
        <v>0</v>
      </c>
      <c r="D42" s="160"/>
      <c r="E42" s="161"/>
      <c r="G42" s="6"/>
      <c r="H42" s="39"/>
      <c r="I42" s="28"/>
      <c r="J42" s="6" t="s">
        <v>99</v>
      </c>
      <c r="K42" s="39" t="s">
        <v>297</v>
      </c>
      <c r="L42" s="28">
        <v>-5000</v>
      </c>
      <c r="M42" s="6" t="s">
        <v>213</v>
      </c>
      <c r="N42" s="39" t="s">
        <v>225</v>
      </c>
      <c r="O42" s="26">
        <v>300000</v>
      </c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49" t="s">
        <v>111</v>
      </c>
      <c r="C43" s="159">
        <f t="shared" si="0"/>
        <v>0</v>
      </c>
      <c r="D43" s="160"/>
      <c r="E43" s="161"/>
      <c r="G43" s="6"/>
      <c r="H43" s="39"/>
      <c r="I43" s="28"/>
      <c r="J43" s="6" t="s">
        <v>103</v>
      </c>
      <c r="K43" s="39" t="s">
        <v>395</v>
      </c>
      <c r="L43" s="28">
        <v>-14700</v>
      </c>
      <c r="M43" s="6" t="s">
        <v>213</v>
      </c>
      <c r="N43" s="39" t="s">
        <v>227</v>
      </c>
      <c r="O43" s="26">
        <v>-100000</v>
      </c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116</v>
      </c>
      <c r="C44" s="159">
        <f t="shared" si="0"/>
        <v>0</v>
      </c>
      <c r="D44" s="160"/>
      <c r="E44" s="161"/>
      <c r="G44" s="6"/>
      <c r="H44" s="39"/>
      <c r="I44" s="28"/>
      <c r="J44" s="6" t="s">
        <v>103</v>
      </c>
      <c r="K44" s="39" t="s">
        <v>395</v>
      </c>
      <c r="L44" s="28">
        <v>-14700</v>
      </c>
      <c r="M44" s="6" t="s">
        <v>88</v>
      </c>
      <c r="N44" s="39" t="s">
        <v>612</v>
      </c>
      <c r="O44" s="26">
        <v>7452</v>
      </c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112</v>
      </c>
      <c r="C45" s="159">
        <f t="shared" si="0"/>
        <v>0</v>
      </c>
      <c r="D45" s="160"/>
      <c r="E45" s="161"/>
      <c r="G45" s="6"/>
      <c r="H45" s="39"/>
      <c r="I45" s="28"/>
      <c r="J45" s="6" t="s">
        <v>99</v>
      </c>
      <c r="K45" s="39" t="s">
        <v>297</v>
      </c>
      <c r="L45" s="28">
        <v>-5000</v>
      </c>
      <c r="M45" s="6" t="s">
        <v>213</v>
      </c>
      <c r="N45" s="39" t="s">
        <v>131</v>
      </c>
      <c r="O45" s="26">
        <v>-40000</v>
      </c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126</v>
      </c>
      <c r="C46" s="159">
        <f t="shared" si="0"/>
        <v>0</v>
      </c>
      <c r="D46" s="160"/>
      <c r="E46" s="161"/>
      <c r="G46" s="6"/>
      <c r="H46" s="39"/>
      <c r="I46" s="28"/>
      <c r="J46" s="6" t="s">
        <v>94</v>
      </c>
      <c r="K46" s="39" t="s">
        <v>590</v>
      </c>
      <c r="L46" s="28">
        <v>-24900</v>
      </c>
      <c r="M46" s="6" t="s">
        <v>213</v>
      </c>
      <c r="N46" s="39" t="s">
        <v>280</v>
      </c>
      <c r="O46" s="26">
        <v>40000</v>
      </c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 t="s">
        <v>99</v>
      </c>
      <c r="K47" s="39" t="s">
        <v>297</v>
      </c>
      <c r="L47" s="28">
        <v>-7500</v>
      </c>
      <c r="M47" s="6" t="s">
        <v>213</v>
      </c>
      <c r="N47" s="39" t="s">
        <v>131</v>
      </c>
      <c r="O47" s="26">
        <v>-40000</v>
      </c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139</v>
      </c>
      <c r="C48" s="162" t="str">
        <f>IF(ABS(SUM(C27:E46))&lt;&gt;ABS(SUM(L89,V89)),"항목 추가해주세요","-")</f>
        <v>-</v>
      </c>
      <c r="D48" s="163"/>
      <c r="E48" s="164"/>
      <c r="G48" s="6"/>
      <c r="H48" s="39"/>
      <c r="I48" s="28"/>
      <c r="J48" s="6" t="s">
        <v>94</v>
      </c>
      <c r="K48" s="39" t="s">
        <v>602</v>
      </c>
      <c r="L48" s="28">
        <v>-9600</v>
      </c>
      <c r="M48" s="6" t="s">
        <v>213</v>
      </c>
      <c r="N48" s="39" t="s">
        <v>280</v>
      </c>
      <c r="O48" s="26">
        <v>40000</v>
      </c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 t="s">
        <v>93</v>
      </c>
      <c r="K49" s="39" t="s">
        <v>603</v>
      </c>
      <c r="L49" s="28">
        <v>-36007</v>
      </c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136" t="s">
        <v>150</v>
      </c>
      <c r="C50" s="168"/>
      <c r="D50" s="168"/>
      <c r="E50" s="137"/>
      <c r="G50" s="6"/>
      <c r="H50" s="39"/>
      <c r="I50" s="28"/>
      <c r="J50" s="6" t="s">
        <v>93</v>
      </c>
      <c r="K50" s="39" t="s">
        <v>603</v>
      </c>
      <c r="L50" s="28">
        <v>-12533</v>
      </c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65" t="s">
        <v>30</v>
      </c>
      <c r="D51" s="166"/>
      <c r="E51" s="167"/>
      <c r="G51" s="6"/>
      <c r="H51" s="39"/>
      <c r="I51" s="28"/>
      <c r="J51" s="6" t="s">
        <v>93</v>
      </c>
      <c r="K51" s="39" t="s">
        <v>603</v>
      </c>
      <c r="L51" s="28">
        <v>-5460</v>
      </c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146</v>
      </c>
      <c r="C52" s="159">
        <f>(SUMIF($G$7:$G$88,B52,$I$7:$I$88)+SUMIF($Q$7:$Q$88,B52,$S$7:$S$88))</f>
        <v>2610</v>
      </c>
      <c r="D52" s="160"/>
      <c r="E52" s="161"/>
      <c r="G52" s="6"/>
      <c r="H52" s="39"/>
      <c r="I52" s="28"/>
      <c r="J52" s="6" t="s">
        <v>93</v>
      </c>
      <c r="K52" s="39" t="s">
        <v>604</v>
      </c>
      <c r="L52" s="28">
        <v>-35950</v>
      </c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147</v>
      </c>
      <c r="C53" s="159">
        <f>(SUMIF($G$7:$G$88,B53,$I$7:$I$88)+SUMIF($Q$7:$Q$88,B53,$S$7:$S$88))</f>
        <v>4393709</v>
      </c>
      <c r="D53" s="160"/>
      <c r="E53" s="161"/>
      <c r="G53" s="6"/>
      <c r="H53" s="39"/>
      <c r="I53" s="28"/>
      <c r="J53" s="6" t="s">
        <v>92</v>
      </c>
      <c r="K53" s="39" t="s">
        <v>203</v>
      </c>
      <c r="L53" s="28">
        <v>-40490</v>
      </c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148</v>
      </c>
      <c r="C54" s="159">
        <f>(SUMIF($G$7:$G$88,B54,$I$7:$I$88)+SUMIF($Q$7:$Q$88,B54,$S$7:$S$88))</f>
        <v>1</v>
      </c>
      <c r="D54" s="160"/>
      <c r="E54" s="161"/>
      <c r="G54" s="6"/>
      <c r="H54" s="39"/>
      <c r="I54" s="28"/>
      <c r="J54" s="6" t="s">
        <v>89</v>
      </c>
      <c r="K54" s="39" t="s">
        <v>105</v>
      </c>
      <c r="L54" s="28">
        <v>-13000</v>
      </c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149</v>
      </c>
      <c r="C55" s="159">
        <f>(SUMIF($G$7:$G$88,B55,$I$7:$I$88)+SUMIF($Q$7:$Q$88,B55,$S$7:$S$88))</f>
        <v>1</v>
      </c>
      <c r="D55" s="160"/>
      <c r="E55" s="161"/>
      <c r="G55" s="6"/>
      <c r="H55" s="39"/>
      <c r="I55" s="28"/>
      <c r="J55" s="6" t="s">
        <v>89</v>
      </c>
      <c r="K55" s="39" t="s">
        <v>105</v>
      </c>
      <c r="L55" s="28">
        <v>-17500</v>
      </c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 t="s">
        <v>103</v>
      </c>
      <c r="K56" s="39" t="s">
        <v>395</v>
      </c>
      <c r="L56" s="28">
        <v>12500</v>
      </c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139</v>
      </c>
      <c r="C57" s="162" t="str">
        <f>IF(ABS(SUM(C52:E55))&lt;&gt;ABS(SUM(I89,S89)),"항목 추가해주세요","-")</f>
        <v>-</v>
      </c>
      <c r="D57" s="163"/>
      <c r="E57" s="164"/>
      <c r="G57" s="6"/>
      <c r="H57" s="39"/>
      <c r="I57" s="28"/>
      <c r="J57" s="6" t="s">
        <v>103</v>
      </c>
      <c r="K57" s="39" t="s">
        <v>395</v>
      </c>
      <c r="L57" s="28">
        <v>-13900</v>
      </c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 t="s">
        <v>90</v>
      </c>
      <c r="K58" s="39" t="s">
        <v>98</v>
      </c>
      <c r="L58" s="28">
        <v>-80000</v>
      </c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 t="s">
        <v>89</v>
      </c>
      <c r="K59" s="39" t="s">
        <v>223</v>
      </c>
      <c r="L59" s="28">
        <v>-36120</v>
      </c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 t="s">
        <v>89</v>
      </c>
      <c r="K60" s="39" t="s">
        <v>342</v>
      </c>
      <c r="L60" s="28">
        <v>-3000000</v>
      </c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 t="s">
        <v>99</v>
      </c>
      <c r="K61" s="39" t="s">
        <v>297</v>
      </c>
      <c r="L61" s="28">
        <v>-5000</v>
      </c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 t="s">
        <v>89</v>
      </c>
      <c r="K62" s="39" t="s">
        <v>105</v>
      </c>
      <c r="L62" s="28">
        <v>-100421</v>
      </c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 t="s">
        <v>89</v>
      </c>
      <c r="K63" s="39" t="s">
        <v>105</v>
      </c>
      <c r="L63" s="28">
        <v>-2500</v>
      </c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 t="s">
        <v>103</v>
      </c>
      <c r="K64" s="39" t="s">
        <v>281</v>
      </c>
      <c r="L64" s="28">
        <v>-37000</v>
      </c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 t="s">
        <v>103</v>
      </c>
      <c r="K65" s="39" t="s">
        <v>281</v>
      </c>
      <c r="L65" s="28">
        <v>-37000</v>
      </c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 t="s">
        <v>103</v>
      </c>
      <c r="K66" s="39" t="s">
        <v>395</v>
      </c>
      <c r="L66" s="28">
        <v>-27800</v>
      </c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 t="s">
        <v>103</v>
      </c>
      <c r="K67" s="39" t="s">
        <v>395</v>
      </c>
      <c r="L67" s="28">
        <v>-27800</v>
      </c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 t="s">
        <v>89</v>
      </c>
      <c r="K68" s="39" t="s">
        <v>105</v>
      </c>
      <c r="L68" s="28">
        <v>-5000</v>
      </c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 t="s">
        <v>96</v>
      </c>
      <c r="K69" s="39" t="s">
        <v>353</v>
      </c>
      <c r="L69" s="28">
        <v>-1000</v>
      </c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 t="s">
        <v>94</v>
      </c>
      <c r="K70" s="39" t="s">
        <v>613</v>
      </c>
      <c r="L70" s="28">
        <v>-26000</v>
      </c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4396321</v>
      </c>
      <c r="J89" s="7" t="s">
        <v>24</v>
      </c>
      <c r="K89" s="22" t="s">
        <v>34</v>
      </c>
      <c r="L89" s="21">
        <f>SUM(L7:L88)</f>
        <v>-5609281</v>
      </c>
      <c r="M89" s="7" t="s">
        <v>24</v>
      </c>
      <c r="N89" s="22" t="s">
        <v>34</v>
      </c>
      <c r="O89" s="21">
        <f>SUM(O7:O88)</f>
        <v>-1064321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-2277281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mergeCells count="43">
    <mergeCell ref="C45:E45"/>
    <mergeCell ref="C46:E46"/>
    <mergeCell ref="C48:E48"/>
    <mergeCell ref="C40:E40"/>
    <mergeCell ref="C41:E41"/>
    <mergeCell ref="C42:E42"/>
    <mergeCell ref="C43:E43"/>
    <mergeCell ref="C44:E4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  <mergeCell ref="C55:E55"/>
    <mergeCell ref="C57:E57"/>
    <mergeCell ref="B50:E50"/>
    <mergeCell ref="C51:E51"/>
    <mergeCell ref="C52:E52"/>
    <mergeCell ref="C53:E53"/>
    <mergeCell ref="C54:E5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9217" r:id="rId3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C2FB0-3204-4C8D-809A-412EEE129B15}">
  <sheetPr codeName="Sheet16">
    <tabColor rgb="FFFF9FCF"/>
  </sheetPr>
  <dimension ref="B2:Y90"/>
  <sheetViews>
    <sheetView workbookViewId="0">
      <selection activeCell="H7" sqref="H7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29.625" bestFit="1" customWidth="1"/>
    <col min="12" max="12" width="11.5" bestFit="1" customWidth="1"/>
    <col min="13" max="13" width="11" bestFit="1" customWidth="1"/>
    <col min="14" max="14" width="16" bestFit="1" customWidth="1"/>
    <col min="15" max="15" width="10" bestFit="1" customWidth="1"/>
    <col min="16" max="16" width="2.375" customWidth="1"/>
    <col min="18" max="18" width="17.25" bestFit="1" customWidth="1"/>
    <col min="19" max="19" width="10.625" bestFit="1" customWidth="1"/>
    <col min="20" max="20" width="9.75" bestFit="1" customWidth="1"/>
    <col min="21" max="21" width="28.25" bestFit="1" customWidth="1"/>
    <col min="22" max="22" width="11.5" bestFit="1" customWidth="1"/>
    <col min="24" max="24" width="17.25" bestFit="1" customWidth="1"/>
    <col min="25" max="25" width="10.625" bestFit="1" customWidth="1"/>
  </cols>
  <sheetData>
    <row r="2" spans="2:25" ht="24.75" thickBot="1" x14ac:dyDescent="0.35">
      <c r="B2" s="169" t="s">
        <v>80</v>
      </c>
      <c r="C2" s="169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74">
        <v>10000000</v>
      </c>
      <c r="D4" s="174"/>
      <c r="G4" s="182" t="str">
        <f>설정!D4</f>
        <v>천세원</v>
      </c>
      <c r="H4" s="183"/>
      <c r="I4" s="183"/>
      <c r="J4" s="183"/>
      <c r="K4" s="183"/>
      <c r="L4" s="183"/>
      <c r="M4" s="183"/>
      <c r="N4" s="183"/>
      <c r="O4" s="184"/>
      <c r="Q4" s="179" t="str">
        <f>설정!D6</f>
        <v>하유진</v>
      </c>
      <c r="R4" s="180"/>
      <c r="S4" s="180"/>
      <c r="T4" s="180"/>
      <c r="U4" s="180"/>
      <c r="V4" s="180"/>
      <c r="W4" s="180"/>
      <c r="X4" s="180"/>
      <c r="Y4" s="181"/>
    </row>
    <row r="5" spans="2:25" x14ac:dyDescent="0.3">
      <c r="B5" s="2" t="s">
        <v>36</v>
      </c>
      <c r="C5" s="174">
        <f>I90+S90</f>
        <v>971088</v>
      </c>
      <c r="D5" s="174"/>
      <c r="G5" s="136" t="s">
        <v>27</v>
      </c>
      <c r="H5" s="168"/>
      <c r="I5" s="137"/>
      <c r="J5" s="134" t="s">
        <v>31</v>
      </c>
      <c r="K5" s="170"/>
      <c r="L5" s="135"/>
      <c r="M5" s="171" t="s">
        <v>32</v>
      </c>
      <c r="N5" s="172"/>
      <c r="O5" s="173"/>
      <c r="Q5" s="136" t="s">
        <v>27</v>
      </c>
      <c r="R5" s="168"/>
      <c r="S5" s="137"/>
      <c r="T5" s="134" t="s">
        <v>31</v>
      </c>
      <c r="U5" s="170"/>
      <c r="V5" s="135"/>
      <c r="W5" s="171" t="s">
        <v>32</v>
      </c>
      <c r="X5" s="172"/>
      <c r="Y5" s="173"/>
    </row>
    <row r="6" spans="2:25" x14ac:dyDescent="0.3">
      <c r="B6" s="2" t="s">
        <v>38</v>
      </c>
      <c r="C6" s="174">
        <f>C4-C5</f>
        <v>9028912</v>
      </c>
      <c r="D6" s="174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5">
        <f>(C5)/(C4)</f>
        <v>9.7108799999999995E-2</v>
      </c>
      <c r="D7" s="175"/>
      <c r="G7" s="6" t="s">
        <v>86</v>
      </c>
      <c r="H7" s="39" t="s">
        <v>306</v>
      </c>
      <c r="I7" s="28">
        <v>442</v>
      </c>
      <c r="J7" s="6" t="s">
        <v>89</v>
      </c>
      <c r="K7" s="39" t="s">
        <v>615</v>
      </c>
      <c r="L7" s="28">
        <v>-100000</v>
      </c>
      <c r="M7" s="6" t="s">
        <v>101</v>
      </c>
      <c r="N7" s="39" t="s">
        <v>337</v>
      </c>
      <c r="O7" s="40">
        <v>2500</v>
      </c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 t="s">
        <v>208</v>
      </c>
      <c r="H8" s="39" t="s">
        <v>209</v>
      </c>
      <c r="I8" s="28">
        <v>4562510</v>
      </c>
      <c r="J8" s="6" t="s">
        <v>99</v>
      </c>
      <c r="K8" s="39" t="s">
        <v>357</v>
      </c>
      <c r="L8" s="28">
        <v>-7500</v>
      </c>
      <c r="M8" s="6" t="s">
        <v>101</v>
      </c>
      <c r="N8" s="39" t="s">
        <v>264</v>
      </c>
      <c r="O8" s="26">
        <v>2500</v>
      </c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 t="s">
        <v>86</v>
      </c>
      <c r="H9" s="39" t="s">
        <v>217</v>
      </c>
      <c r="I9" s="28">
        <v>0</v>
      </c>
      <c r="J9" s="6" t="s">
        <v>99</v>
      </c>
      <c r="K9" s="39" t="s">
        <v>297</v>
      </c>
      <c r="L9" s="28">
        <v>-5000</v>
      </c>
      <c r="M9" s="6" t="s">
        <v>213</v>
      </c>
      <c r="N9" s="39" t="s">
        <v>109</v>
      </c>
      <c r="O9" s="26">
        <v>1</v>
      </c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 t="s">
        <v>208</v>
      </c>
      <c r="H10" s="39" t="s">
        <v>210</v>
      </c>
      <c r="I10" s="28">
        <v>1961384</v>
      </c>
      <c r="J10" s="6" t="s">
        <v>96</v>
      </c>
      <c r="K10" s="39" t="s">
        <v>445</v>
      </c>
      <c r="L10" s="28">
        <v>-300000</v>
      </c>
      <c r="M10" s="6" t="s">
        <v>213</v>
      </c>
      <c r="N10" s="39" t="s">
        <v>109</v>
      </c>
      <c r="O10" s="26">
        <v>-1</v>
      </c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/>
      <c r="H11" s="39"/>
      <c r="I11" s="28"/>
      <c r="J11" s="6" t="s">
        <v>99</v>
      </c>
      <c r="K11" s="39" t="s">
        <v>297</v>
      </c>
      <c r="L11" s="28">
        <v>-5000</v>
      </c>
      <c r="M11" s="6" t="s">
        <v>101</v>
      </c>
      <c r="N11" s="39" t="s">
        <v>264</v>
      </c>
      <c r="O11" s="26">
        <v>2500</v>
      </c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/>
      <c r="H12" s="39"/>
      <c r="I12" s="28"/>
      <c r="J12" s="6" t="s">
        <v>90</v>
      </c>
      <c r="K12" s="39" t="s">
        <v>616</v>
      </c>
      <c r="L12" s="28">
        <v>-10000</v>
      </c>
      <c r="M12" s="6" t="s">
        <v>101</v>
      </c>
      <c r="N12" s="39" t="s">
        <v>264</v>
      </c>
      <c r="O12" s="26">
        <v>2500</v>
      </c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/>
      <c r="H13" s="39"/>
      <c r="I13" s="28"/>
      <c r="J13" s="6" t="s">
        <v>90</v>
      </c>
      <c r="K13" s="39" t="s">
        <v>616</v>
      </c>
      <c r="L13" s="28">
        <v>-18000</v>
      </c>
      <c r="M13" s="6" t="s">
        <v>101</v>
      </c>
      <c r="N13" s="39" t="s">
        <v>264</v>
      </c>
      <c r="O13" s="26">
        <v>2500</v>
      </c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/>
      <c r="H14" s="39"/>
      <c r="I14" s="28"/>
      <c r="J14" s="6" t="s">
        <v>93</v>
      </c>
      <c r="K14" s="39" t="s">
        <v>340</v>
      </c>
      <c r="L14" s="28">
        <v>-50000</v>
      </c>
      <c r="M14" s="6" t="s">
        <v>101</v>
      </c>
      <c r="N14" s="39" t="s">
        <v>264</v>
      </c>
      <c r="O14" s="26">
        <v>2500</v>
      </c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 t="s">
        <v>89</v>
      </c>
      <c r="K15" s="39" t="s">
        <v>105</v>
      </c>
      <c r="L15" s="28">
        <v>-2500</v>
      </c>
      <c r="M15" s="6" t="s">
        <v>101</v>
      </c>
      <c r="N15" s="39" t="s">
        <v>264</v>
      </c>
      <c r="O15" s="26">
        <v>2500</v>
      </c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 t="s">
        <v>94</v>
      </c>
      <c r="K16" s="39" t="s">
        <v>617</v>
      </c>
      <c r="L16" s="28">
        <v>-23500</v>
      </c>
      <c r="M16" s="6" t="s">
        <v>101</v>
      </c>
      <c r="N16" s="39" t="s">
        <v>264</v>
      </c>
      <c r="O16" s="26">
        <v>2500</v>
      </c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 t="s">
        <v>89</v>
      </c>
      <c r="K17" s="39" t="s">
        <v>618</v>
      </c>
      <c r="L17" s="28">
        <v>-140000</v>
      </c>
      <c r="M17" s="6" t="s">
        <v>213</v>
      </c>
      <c r="N17" s="39" t="s">
        <v>338</v>
      </c>
      <c r="O17" s="26">
        <v>314994</v>
      </c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 t="s">
        <v>99</v>
      </c>
      <c r="K18" s="39" t="s">
        <v>297</v>
      </c>
      <c r="L18" s="28">
        <v>-5000</v>
      </c>
      <c r="M18" s="6" t="s">
        <v>213</v>
      </c>
      <c r="N18" s="39" t="s">
        <v>392</v>
      </c>
      <c r="O18" s="26">
        <v>-314994</v>
      </c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 t="s">
        <v>99</v>
      </c>
      <c r="K19" s="39" t="s">
        <v>297</v>
      </c>
      <c r="L19" s="28">
        <v>-5000</v>
      </c>
      <c r="M19" s="6" t="s">
        <v>101</v>
      </c>
      <c r="N19" s="39" t="s">
        <v>264</v>
      </c>
      <c r="O19" s="26">
        <v>2500</v>
      </c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 t="s">
        <v>99</v>
      </c>
      <c r="K20" s="39" t="s">
        <v>297</v>
      </c>
      <c r="L20" s="28">
        <v>-5000</v>
      </c>
      <c r="M20" s="6" t="s">
        <v>101</v>
      </c>
      <c r="N20" s="39" t="s">
        <v>265</v>
      </c>
      <c r="O20" s="26">
        <v>2500</v>
      </c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 t="s">
        <v>99</v>
      </c>
      <c r="K21" s="39" t="s">
        <v>297</v>
      </c>
      <c r="L21" s="28">
        <v>-5000</v>
      </c>
      <c r="M21" s="6" t="s">
        <v>101</v>
      </c>
      <c r="N21" s="39" t="s">
        <v>337</v>
      </c>
      <c r="O21" s="26">
        <v>2500</v>
      </c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 t="s">
        <v>89</v>
      </c>
      <c r="K22" s="39" t="s">
        <v>105</v>
      </c>
      <c r="L22" s="28">
        <v>-335000</v>
      </c>
      <c r="M22" s="6" t="s">
        <v>101</v>
      </c>
      <c r="N22" s="39" t="s">
        <v>264</v>
      </c>
      <c r="O22" s="26">
        <v>2500</v>
      </c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 t="s">
        <v>89</v>
      </c>
      <c r="K23" s="39" t="s">
        <v>308</v>
      </c>
      <c r="L23" s="28">
        <v>-16500</v>
      </c>
      <c r="M23" s="6" t="s">
        <v>101</v>
      </c>
      <c r="N23" s="39" t="s">
        <v>264</v>
      </c>
      <c r="O23" s="26">
        <v>2500</v>
      </c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 t="s">
        <v>99</v>
      </c>
      <c r="K24" s="39" t="s">
        <v>297</v>
      </c>
      <c r="L24" s="28">
        <v>-10000</v>
      </c>
      <c r="M24" s="6" t="s">
        <v>101</v>
      </c>
      <c r="N24" s="39" t="s">
        <v>264</v>
      </c>
      <c r="O24" s="26">
        <v>2500</v>
      </c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134" t="s">
        <v>143</v>
      </c>
      <c r="C25" s="170"/>
      <c r="D25" s="170"/>
      <c r="E25" s="135"/>
      <c r="G25" s="6"/>
      <c r="H25" s="39"/>
      <c r="I25" s="28"/>
      <c r="J25" s="6" t="s">
        <v>99</v>
      </c>
      <c r="K25" s="39" t="s">
        <v>297</v>
      </c>
      <c r="L25" s="28">
        <v>-5000</v>
      </c>
      <c r="M25" s="6" t="s">
        <v>116</v>
      </c>
      <c r="N25" s="39" t="s">
        <v>225</v>
      </c>
      <c r="O25" s="26">
        <v>0</v>
      </c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48" t="s">
        <v>28</v>
      </c>
      <c r="C26" s="165" t="s">
        <v>30</v>
      </c>
      <c r="D26" s="166"/>
      <c r="E26" s="167"/>
      <c r="G26" s="6"/>
      <c r="H26" s="39"/>
      <c r="I26" s="28"/>
      <c r="J26" s="6" t="s">
        <v>93</v>
      </c>
      <c r="K26" s="39" t="s">
        <v>340</v>
      </c>
      <c r="L26" s="28">
        <v>-60000</v>
      </c>
      <c r="M26" s="6" t="s">
        <v>213</v>
      </c>
      <c r="N26" s="39" t="s">
        <v>338</v>
      </c>
      <c r="O26" s="26">
        <v>10488</v>
      </c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48" t="s">
        <v>89</v>
      </c>
      <c r="C27" s="159">
        <f t="shared" ref="C27:C46" si="0">-(SUMIF($J$7:$J$88,B27,$L$7:$L$88)+SUMIF($T$7:$T$88,B27,$V$7:$V$88))</f>
        <v>3131420</v>
      </c>
      <c r="D27" s="160"/>
      <c r="E27" s="161"/>
      <c r="G27" s="6"/>
      <c r="H27" s="39"/>
      <c r="I27" s="28"/>
      <c r="J27" s="6" t="s">
        <v>99</v>
      </c>
      <c r="K27" s="39" t="s">
        <v>297</v>
      </c>
      <c r="L27" s="28">
        <v>-5000</v>
      </c>
      <c r="M27" s="6" t="s">
        <v>213</v>
      </c>
      <c r="N27" s="39" t="s">
        <v>392</v>
      </c>
      <c r="O27" s="26">
        <v>-10488</v>
      </c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49" t="s">
        <v>90</v>
      </c>
      <c r="C28" s="159">
        <f t="shared" si="0"/>
        <v>28000</v>
      </c>
      <c r="D28" s="160"/>
      <c r="E28" s="161"/>
      <c r="G28" s="6"/>
      <c r="H28" s="39"/>
      <c r="I28" s="28"/>
      <c r="J28" s="6" t="s">
        <v>99</v>
      </c>
      <c r="K28" s="39" t="s">
        <v>297</v>
      </c>
      <c r="L28" s="28">
        <v>-5000</v>
      </c>
      <c r="M28" s="6" t="s">
        <v>101</v>
      </c>
      <c r="N28" s="39" t="s">
        <v>264</v>
      </c>
      <c r="O28" s="26">
        <v>2500</v>
      </c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49" t="s">
        <v>94</v>
      </c>
      <c r="C29" s="159">
        <f t="shared" si="0"/>
        <v>71500</v>
      </c>
      <c r="D29" s="160"/>
      <c r="E29" s="161"/>
      <c r="G29" s="6"/>
      <c r="H29" s="39"/>
      <c r="I29" s="28"/>
      <c r="J29" s="6" t="s">
        <v>99</v>
      </c>
      <c r="K29" s="39" t="s">
        <v>297</v>
      </c>
      <c r="L29" s="28">
        <v>-5000</v>
      </c>
      <c r="M29" s="6" t="s">
        <v>101</v>
      </c>
      <c r="N29" s="39" t="s">
        <v>264</v>
      </c>
      <c r="O29" s="26">
        <v>2500</v>
      </c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49" t="s">
        <v>92</v>
      </c>
      <c r="C30" s="159">
        <f t="shared" si="0"/>
        <v>1040490</v>
      </c>
      <c r="D30" s="160"/>
      <c r="E30" s="161"/>
      <c r="G30" s="6"/>
      <c r="H30" s="39"/>
      <c r="I30" s="28"/>
      <c r="J30" s="6" t="s">
        <v>94</v>
      </c>
      <c r="K30" s="39" t="s">
        <v>279</v>
      </c>
      <c r="L30" s="28">
        <v>-6000</v>
      </c>
      <c r="M30" s="6" t="s">
        <v>107</v>
      </c>
      <c r="N30" s="39" t="s">
        <v>222</v>
      </c>
      <c r="O30" s="26">
        <v>-3300</v>
      </c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49" t="s">
        <v>96</v>
      </c>
      <c r="C31" s="159">
        <f t="shared" si="0"/>
        <v>359020</v>
      </c>
      <c r="D31" s="160"/>
      <c r="E31" s="161"/>
      <c r="G31" s="6"/>
      <c r="H31" s="39"/>
      <c r="I31" s="28"/>
      <c r="J31" s="6" t="s">
        <v>94</v>
      </c>
      <c r="K31" s="39" t="s">
        <v>279</v>
      </c>
      <c r="L31" s="28">
        <v>-42000</v>
      </c>
      <c r="M31" s="6" t="s">
        <v>107</v>
      </c>
      <c r="N31" s="39" t="s">
        <v>110</v>
      </c>
      <c r="O31" s="26">
        <v>-493968</v>
      </c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49" t="s">
        <v>93</v>
      </c>
      <c r="C32" s="159">
        <f t="shared" si="0"/>
        <v>195950</v>
      </c>
      <c r="D32" s="160"/>
      <c r="E32" s="161"/>
      <c r="G32" s="6"/>
      <c r="H32" s="39"/>
      <c r="I32" s="28"/>
      <c r="J32" s="6" t="s">
        <v>99</v>
      </c>
      <c r="K32" s="39" t="s">
        <v>619</v>
      </c>
      <c r="L32" s="28">
        <v>-5500</v>
      </c>
      <c r="M32" s="6" t="s">
        <v>213</v>
      </c>
      <c r="N32" s="39" t="s">
        <v>225</v>
      </c>
      <c r="O32" s="26">
        <v>500000</v>
      </c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49" t="s">
        <v>103</v>
      </c>
      <c r="C33" s="159">
        <f t="shared" si="0"/>
        <v>-36200</v>
      </c>
      <c r="D33" s="160"/>
      <c r="E33" s="161"/>
      <c r="G33" s="6"/>
      <c r="H33" s="39"/>
      <c r="I33" s="28"/>
      <c r="J33" s="6" t="s">
        <v>93</v>
      </c>
      <c r="K33" s="39" t="s">
        <v>620</v>
      </c>
      <c r="L33" s="28">
        <v>-35950</v>
      </c>
      <c r="M33" s="6" t="s">
        <v>213</v>
      </c>
      <c r="N33" s="39" t="s">
        <v>622</v>
      </c>
      <c r="O33" s="26">
        <v>-500000</v>
      </c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49" t="s">
        <v>99</v>
      </c>
      <c r="C34" s="159">
        <f t="shared" si="0"/>
        <v>90500</v>
      </c>
      <c r="D34" s="160"/>
      <c r="E34" s="161"/>
      <c r="G34" s="6"/>
      <c r="H34" s="39"/>
      <c r="I34" s="28"/>
      <c r="J34" s="6" t="s">
        <v>92</v>
      </c>
      <c r="K34" s="39" t="s">
        <v>203</v>
      </c>
      <c r="L34" s="28">
        <v>-40490</v>
      </c>
      <c r="M34" s="6" t="s">
        <v>213</v>
      </c>
      <c r="N34" s="39" t="s">
        <v>225</v>
      </c>
      <c r="O34" s="26">
        <v>100000</v>
      </c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49" t="s">
        <v>120</v>
      </c>
      <c r="C35" s="159">
        <f t="shared" si="0"/>
        <v>0</v>
      </c>
      <c r="D35" s="160"/>
      <c r="E35" s="161"/>
      <c r="G35" s="6"/>
      <c r="H35" s="39"/>
      <c r="I35" s="28"/>
      <c r="J35" s="6" t="s">
        <v>99</v>
      </c>
      <c r="K35" s="39" t="s">
        <v>297</v>
      </c>
      <c r="L35" s="28">
        <v>-2500</v>
      </c>
      <c r="M35" s="6" t="s">
        <v>213</v>
      </c>
      <c r="N35" s="39" t="s">
        <v>623</v>
      </c>
      <c r="O35" s="26">
        <v>-100000</v>
      </c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49" t="s">
        <v>91</v>
      </c>
      <c r="C36" s="159">
        <f t="shared" si="0"/>
        <v>0</v>
      </c>
      <c r="D36" s="160"/>
      <c r="E36" s="161"/>
      <c r="G36" s="6"/>
      <c r="H36" s="39"/>
      <c r="I36" s="28"/>
      <c r="J36" s="6" t="s">
        <v>96</v>
      </c>
      <c r="K36" s="39" t="s">
        <v>97</v>
      </c>
      <c r="L36" s="28">
        <v>-25500</v>
      </c>
      <c r="M36" s="6" t="s">
        <v>101</v>
      </c>
      <c r="N36" s="39" t="s">
        <v>312</v>
      </c>
      <c r="O36" s="26">
        <v>-17800</v>
      </c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49" t="s">
        <v>102</v>
      </c>
      <c r="C37" s="159">
        <f t="shared" si="0"/>
        <v>0</v>
      </c>
      <c r="D37" s="160"/>
      <c r="E37" s="161"/>
      <c r="G37" s="6"/>
      <c r="H37" s="39"/>
      <c r="I37" s="28"/>
      <c r="J37" s="6" t="s">
        <v>99</v>
      </c>
      <c r="K37" s="39" t="s">
        <v>297</v>
      </c>
      <c r="L37" s="28">
        <v>-5000</v>
      </c>
      <c r="M37" s="6" t="s">
        <v>213</v>
      </c>
      <c r="N37" s="39" t="s">
        <v>624</v>
      </c>
      <c r="O37" s="26">
        <v>-300000</v>
      </c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49" t="s">
        <v>118</v>
      </c>
      <c r="C38" s="159">
        <f t="shared" si="0"/>
        <v>0</v>
      </c>
      <c r="D38" s="160"/>
      <c r="E38" s="161"/>
      <c r="G38" s="6"/>
      <c r="H38" s="39"/>
      <c r="I38" s="28"/>
      <c r="J38" s="6" t="s">
        <v>96</v>
      </c>
      <c r="K38" s="39" t="s">
        <v>621</v>
      </c>
      <c r="L38" s="28">
        <v>-60</v>
      </c>
      <c r="M38" s="6" t="s">
        <v>213</v>
      </c>
      <c r="N38" s="39" t="s">
        <v>225</v>
      </c>
      <c r="O38" s="26">
        <v>300000</v>
      </c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49" t="s">
        <v>108</v>
      </c>
      <c r="C39" s="159">
        <f t="shared" si="0"/>
        <v>0</v>
      </c>
      <c r="D39" s="160"/>
      <c r="E39" s="161"/>
      <c r="G39" s="6"/>
      <c r="H39" s="39"/>
      <c r="I39" s="28"/>
      <c r="J39" s="6" t="s">
        <v>96</v>
      </c>
      <c r="K39" s="39" t="s">
        <v>621</v>
      </c>
      <c r="L39" s="28">
        <v>-33460</v>
      </c>
      <c r="M39" s="6" t="s">
        <v>116</v>
      </c>
      <c r="N39" s="39" t="s">
        <v>225</v>
      </c>
      <c r="O39" s="26">
        <v>0</v>
      </c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49" t="s">
        <v>129</v>
      </c>
      <c r="C40" s="159">
        <f t="shared" si="0"/>
        <v>0</v>
      </c>
      <c r="D40" s="160"/>
      <c r="E40" s="161"/>
      <c r="G40" s="6"/>
      <c r="H40" s="39"/>
      <c r="I40" s="28"/>
      <c r="J40" s="6" t="s">
        <v>99</v>
      </c>
      <c r="K40" s="39" t="s">
        <v>297</v>
      </c>
      <c r="L40" s="28">
        <v>-5000</v>
      </c>
      <c r="M40" s="6" t="s">
        <v>101</v>
      </c>
      <c r="N40" s="39" t="s">
        <v>625</v>
      </c>
      <c r="O40" s="26">
        <v>-100000</v>
      </c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49" t="s">
        <v>100</v>
      </c>
      <c r="C41" s="159">
        <f t="shared" si="0"/>
        <v>0</v>
      </c>
      <c r="D41" s="160"/>
      <c r="E41" s="161"/>
      <c r="G41" s="6"/>
      <c r="H41" s="39"/>
      <c r="I41" s="28"/>
      <c r="J41" s="6" t="s">
        <v>89</v>
      </c>
      <c r="K41" s="39" t="s">
        <v>223</v>
      </c>
      <c r="L41" s="28">
        <v>-36120</v>
      </c>
      <c r="M41" s="6" t="s">
        <v>213</v>
      </c>
      <c r="N41" s="39" t="s">
        <v>227</v>
      </c>
      <c r="O41" s="26">
        <v>-100000</v>
      </c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49" t="s">
        <v>123</v>
      </c>
      <c r="C42" s="159">
        <f t="shared" si="0"/>
        <v>0</v>
      </c>
      <c r="D42" s="160"/>
      <c r="E42" s="161"/>
      <c r="G42" s="6"/>
      <c r="H42" s="39"/>
      <c r="I42" s="28"/>
      <c r="J42" s="6" t="s">
        <v>103</v>
      </c>
      <c r="K42" s="39" t="s">
        <v>281</v>
      </c>
      <c r="L42" s="28">
        <v>18100</v>
      </c>
      <c r="M42" s="6" t="s">
        <v>101</v>
      </c>
      <c r="N42" s="39" t="s">
        <v>264</v>
      </c>
      <c r="O42" s="26">
        <v>2500</v>
      </c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49" t="s">
        <v>111</v>
      </c>
      <c r="C43" s="159">
        <f t="shared" si="0"/>
        <v>0</v>
      </c>
      <c r="D43" s="160"/>
      <c r="E43" s="161"/>
      <c r="G43" s="6"/>
      <c r="H43" s="39"/>
      <c r="I43" s="28"/>
      <c r="J43" s="6" t="s">
        <v>103</v>
      </c>
      <c r="K43" s="39" t="s">
        <v>281</v>
      </c>
      <c r="L43" s="28">
        <v>18100</v>
      </c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116</v>
      </c>
      <c r="C44" s="159">
        <f t="shared" si="0"/>
        <v>0</v>
      </c>
      <c r="D44" s="160"/>
      <c r="E44" s="161"/>
      <c r="G44" s="6"/>
      <c r="H44" s="39"/>
      <c r="I44" s="28"/>
      <c r="J44" s="6" t="s">
        <v>89</v>
      </c>
      <c r="K44" s="39" t="s">
        <v>342</v>
      </c>
      <c r="L44" s="28">
        <v>-2500000</v>
      </c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112</v>
      </c>
      <c r="C45" s="159">
        <f t="shared" si="0"/>
        <v>0</v>
      </c>
      <c r="D45" s="160"/>
      <c r="E45" s="161"/>
      <c r="G45" s="6"/>
      <c r="H45" s="39"/>
      <c r="I45" s="28"/>
      <c r="J45" s="6" t="s">
        <v>92</v>
      </c>
      <c r="K45" s="39">
        <v>204858040038</v>
      </c>
      <c r="L45" s="28">
        <v>-1000000</v>
      </c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126</v>
      </c>
      <c r="C46" s="159">
        <f t="shared" si="0"/>
        <v>0</v>
      </c>
      <c r="D46" s="160"/>
      <c r="E46" s="161"/>
      <c r="G46" s="6"/>
      <c r="H46" s="39"/>
      <c r="I46" s="28"/>
      <c r="J46" s="6" t="s">
        <v>89</v>
      </c>
      <c r="K46" s="39" t="s">
        <v>105</v>
      </c>
      <c r="L46" s="28">
        <v>-1300</v>
      </c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 t="s">
        <v>103</v>
      </c>
      <c r="K47" s="39" t="s">
        <v>395</v>
      </c>
      <c r="L47" s="28">
        <v>-36000</v>
      </c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139</v>
      </c>
      <c r="C48" s="162" t="str">
        <f>IF(ABS(SUM(C27:E46))&lt;&gt;ABS(SUM(L89,V89)),"항목 추가해주세요","-")</f>
        <v>-</v>
      </c>
      <c r="D48" s="163"/>
      <c r="E48" s="164"/>
      <c r="G48" s="6"/>
      <c r="H48" s="39"/>
      <c r="I48" s="28"/>
      <c r="J48" s="6" t="s">
        <v>103</v>
      </c>
      <c r="K48" s="39" t="s">
        <v>395</v>
      </c>
      <c r="L48" s="28">
        <v>36000</v>
      </c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 t="s">
        <v>99</v>
      </c>
      <c r="K49" s="39" t="s">
        <v>297</v>
      </c>
      <c r="L49" s="28">
        <v>-5000</v>
      </c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136" t="s">
        <v>150</v>
      </c>
      <c r="C50" s="168"/>
      <c r="D50" s="168"/>
      <c r="E50" s="137"/>
      <c r="G50" s="6"/>
      <c r="H50" s="39"/>
      <c r="I50" s="28"/>
      <c r="J50" s="6" t="s">
        <v>93</v>
      </c>
      <c r="K50" s="39" t="s">
        <v>340</v>
      </c>
      <c r="L50" s="28">
        <v>-50000</v>
      </c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65" t="s">
        <v>30</v>
      </c>
      <c r="D51" s="166"/>
      <c r="E51" s="167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146</v>
      </c>
      <c r="C52" s="159">
        <f>(SUMIF($G$7:$G$88,B52,$I$7:$I$88)+SUMIF($Q$7:$Q$88,B52,$S$7:$S$88))</f>
        <v>442</v>
      </c>
      <c r="D52" s="160"/>
      <c r="E52" s="161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147</v>
      </c>
      <c r="C53" s="159">
        <f>(SUMIF($G$7:$G$88,B53,$I$7:$I$88)+SUMIF($Q$7:$Q$88,B53,$S$7:$S$88))</f>
        <v>6523894</v>
      </c>
      <c r="D53" s="160"/>
      <c r="E53" s="161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148</v>
      </c>
      <c r="C54" s="159">
        <f>(SUMIF($G$7:$G$88,B54,$I$7:$I$88)+SUMIF($Q$7:$Q$88,B54,$S$7:$S$88))</f>
        <v>0</v>
      </c>
      <c r="D54" s="160"/>
      <c r="E54" s="161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149</v>
      </c>
      <c r="C55" s="159">
        <f>(SUMIF($G$7:$G$88,B55,$I$7:$I$88)+SUMIF($Q$7:$Q$88,B55,$S$7:$S$88))</f>
        <v>0</v>
      </c>
      <c r="D55" s="160"/>
      <c r="E55" s="161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139</v>
      </c>
      <c r="C57" s="162" t="str">
        <f>IF(ABS(SUM(C52:E55))&lt;&gt;ABS(SUM(I89,S89)),"항목 추가해주세요","-")</f>
        <v>-</v>
      </c>
      <c r="D57" s="163"/>
      <c r="E57" s="164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6524336</v>
      </c>
      <c r="J89" s="7" t="s">
        <v>24</v>
      </c>
      <c r="K89" s="22" t="s">
        <v>34</v>
      </c>
      <c r="L89" s="21">
        <f>SUM(L7:L88)</f>
        <v>-4880680</v>
      </c>
      <c r="M89" s="7" t="s">
        <v>24</v>
      </c>
      <c r="N89" s="22" t="s">
        <v>34</v>
      </c>
      <c r="O89" s="21">
        <f>SUM(O7:O88)</f>
        <v>-672568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971088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mergeCells count="43">
    <mergeCell ref="C45:E45"/>
    <mergeCell ref="C46:E46"/>
    <mergeCell ref="C48:E48"/>
    <mergeCell ref="C40:E40"/>
    <mergeCell ref="C41:E41"/>
    <mergeCell ref="C42:E42"/>
    <mergeCell ref="C43:E43"/>
    <mergeCell ref="C44:E4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  <mergeCell ref="C55:E55"/>
    <mergeCell ref="C57:E57"/>
    <mergeCell ref="B50:E50"/>
    <mergeCell ref="C51:E51"/>
    <mergeCell ref="C52:E52"/>
    <mergeCell ref="C53:E53"/>
    <mergeCell ref="C54:E5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63BC0-B40D-4CEF-B4F3-06F331EB8489}">
  <sheetPr codeName="Sheet17">
    <tabColor rgb="FFFF97CB"/>
  </sheetPr>
  <dimension ref="B2:Y90"/>
  <sheetViews>
    <sheetView workbookViewId="0">
      <selection activeCell="G3" sqref="G3:Y3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4" bestFit="1" customWidth="1"/>
    <col min="9" max="9" width="10.625" bestFit="1" customWidth="1"/>
    <col min="10" max="10" width="11" bestFit="1" customWidth="1"/>
    <col min="11" max="11" width="30.125" bestFit="1" customWidth="1"/>
    <col min="12" max="12" width="11.5" bestFit="1" customWidth="1"/>
    <col min="13" max="13" width="11" bestFit="1" customWidth="1"/>
    <col min="14" max="14" width="17.25" bestFit="1" customWidth="1"/>
    <col min="15" max="15" width="11.75" bestFit="1" customWidth="1"/>
    <col min="16" max="16" width="2.375" customWidth="1"/>
    <col min="18" max="18" width="15.875" bestFit="1" customWidth="1"/>
    <col min="19" max="19" width="12.625" bestFit="1" customWidth="1"/>
    <col min="20" max="20" width="9.75" bestFit="1" customWidth="1"/>
    <col min="21" max="21" width="26.5" bestFit="1" customWidth="1"/>
    <col min="22" max="22" width="11.5" bestFit="1" customWidth="1"/>
    <col min="24" max="24" width="17.25" bestFit="1" customWidth="1"/>
    <col min="25" max="25" width="12.625" bestFit="1" customWidth="1"/>
  </cols>
  <sheetData>
    <row r="2" spans="2:25" ht="24.75" thickBot="1" x14ac:dyDescent="0.35">
      <c r="B2" s="169" t="s">
        <v>84</v>
      </c>
      <c r="C2" s="169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74">
        <v>10000000</v>
      </c>
      <c r="D4" s="174"/>
      <c r="G4" s="182" t="str">
        <f>설정!D4</f>
        <v>천세원</v>
      </c>
      <c r="H4" s="183"/>
      <c r="I4" s="183"/>
      <c r="J4" s="183"/>
      <c r="K4" s="183"/>
      <c r="L4" s="183"/>
      <c r="M4" s="183"/>
      <c r="N4" s="183"/>
      <c r="O4" s="184"/>
      <c r="Q4" s="179" t="str">
        <f>설정!D6</f>
        <v>하유진</v>
      </c>
      <c r="R4" s="180"/>
      <c r="S4" s="180"/>
      <c r="T4" s="180"/>
      <c r="U4" s="180"/>
      <c r="V4" s="180"/>
      <c r="W4" s="180"/>
      <c r="X4" s="180"/>
      <c r="Y4" s="181"/>
    </row>
    <row r="5" spans="2:25" x14ac:dyDescent="0.3">
      <c r="B5" s="2" t="s">
        <v>36</v>
      </c>
      <c r="C5" s="174">
        <f>I90+S90</f>
        <v>-1623498</v>
      </c>
      <c r="D5" s="174"/>
      <c r="G5" s="136" t="s">
        <v>27</v>
      </c>
      <c r="H5" s="168"/>
      <c r="I5" s="137"/>
      <c r="J5" s="134" t="s">
        <v>31</v>
      </c>
      <c r="K5" s="170"/>
      <c r="L5" s="135"/>
      <c r="M5" s="171" t="s">
        <v>32</v>
      </c>
      <c r="N5" s="172"/>
      <c r="O5" s="173"/>
      <c r="Q5" s="136" t="s">
        <v>27</v>
      </c>
      <c r="R5" s="168"/>
      <c r="S5" s="137"/>
      <c r="T5" s="134" t="s">
        <v>31</v>
      </c>
      <c r="U5" s="170"/>
      <c r="V5" s="135"/>
      <c r="W5" s="171" t="s">
        <v>32</v>
      </c>
      <c r="X5" s="172"/>
      <c r="Y5" s="173"/>
    </row>
    <row r="6" spans="2:25" x14ac:dyDescent="0.3">
      <c r="B6" s="2" t="s">
        <v>38</v>
      </c>
      <c r="C6" s="174">
        <f>C4-C5</f>
        <v>11623498</v>
      </c>
      <c r="D6" s="174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5">
        <f>(C5)/(C4)</f>
        <v>-0.16234979999999999</v>
      </c>
      <c r="D7" s="175"/>
      <c r="G7" s="6" t="s">
        <v>547</v>
      </c>
      <c r="H7" s="39" t="s">
        <v>630</v>
      </c>
      <c r="I7" s="28">
        <v>1</v>
      </c>
      <c r="J7" s="6" t="s">
        <v>96</v>
      </c>
      <c r="K7" s="39" t="s">
        <v>445</v>
      </c>
      <c r="L7" s="28">
        <v>-300000</v>
      </c>
      <c r="M7" s="6" t="s">
        <v>101</v>
      </c>
      <c r="N7" s="39" t="s">
        <v>264</v>
      </c>
      <c r="O7" s="40">
        <v>2500</v>
      </c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 t="s">
        <v>208</v>
      </c>
      <c r="H8" s="39" t="s">
        <v>634</v>
      </c>
      <c r="I8" s="28">
        <v>4316710</v>
      </c>
      <c r="J8" s="6" t="s">
        <v>99</v>
      </c>
      <c r="K8" s="39" t="s">
        <v>297</v>
      </c>
      <c r="L8" s="28">
        <v>-10000</v>
      </c>
      <c r="M8" s="6" t="s">
        <v>101</v>
      </c>
      <c r="N8" s="39" t="s">
        <v>627</v>
      </c>
      <c r="O8" s="26">
        <v>230000</v>
      </c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 t="s">
        <v>86</v>
      </c>
      <c r="H9" s="39" t="s">
        <v>217</v>
      </c>
      <c r="I9" s="28">
        <v>0</v>
      </c>
      <c r="J9" s="6" t="s">
        <v>99</v>
      </c>
      <c r="K9" s="39" t="s">
        <v>297</v>
      </c>
      <c r="L9" s="28">
        <v>-5000</v>
      </c>
      <c r="M9" s="6" t="s">
        <v>101</v>
      </c>
      <c r="N9" s="39" t="s">
        <v>628</v>
      </c>
      <c r="O9" s="26">
        <v>200000</v>
      </c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/>
      <c r="H10" s="39"/>
      <c r="I10" s="28"/>
      <c r="J10" s="6" t="s">
        <v>90</v>
      </c>
      <c r="K10" s="39" t="s">
        <v>98</v>
      </c>
      <c r="L10" s="28">
        <v>-80000</v>
      </c>
      <c r="M10" s="6" t="s">
        <v>213</v>
      </c>
      <c r="N10" s="39" t="s">
        <v>338</v>
      </c>
      <c r="O10" s="26">
        <v>61295</v>
      </c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/>
      <c r="H11" s="39"/>
      <c r="I11" s="28"/>
      <c r="J11" s="6" t="s">
        <v>92</v>
      </c>
      <c r="K11" s="39">
        <v>204858040108</v>
      </c>
      <c r="L11" s="28">
        <v>-200000</v>
      </c>
      <c r="M11" s="6" t="s">
        <v>213</v>
      </c>
      <c r="N11" s="39" t="s">
        <v>392</v>
      </c>
      <c r="O11" s="26">
        <v>-61295</v>
      </c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/>
      <c r="H12" s="39"/>
      <c r="I12" s="28"/>
      <c r="J12" s="6" t="s">
        <v>91</v>
      </c>
      <c r="K12" s="39" t="s">
        <v>626</v>
      </c>
      <c r="L12" s="28">
        <v>-192000</v>
      </c>
      <c r="M12" s="6" t="s">
        <v>101</v>
      </c>
      <c r="N12" s="39" t="s">
        <v>337</v>
      </c>
      <c r="O12" s="26">
        <v>2500</v>
      </c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/>
      <c r="H13" s="39"/>
      <c r="I13" s="28"/>
      <c r="J13" s="6" t="s">
        <v>91</v>
      </c>
      <c r="K13" s="39" t="s">
        <v>626</v>
      </c>
      <c r="L13" s="28">
        <v>192000</v>
      </c>
      <c r="M13" s="6" t="s">
        <v>101</v>
      </c>
      <c r="N13" s="39" t="s">
        <v>264</v>
      </c>
      <c r="O13" s="26">
        <v>2500</v>
      </c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/>
      <c r="H14" s="39"/>
      <c r="I14" s="28"/>
      <c r="J14" s="6" t="s">
        <v>89</v>
      </c>
      <c r="K14" s="39" t="s">
        <v>105</v>
      </c>
      <c r="L14" s="28">
        <v>-500000</v>
      </c>
      <c r="M14" s="6" t="s">
        <v>213</v>
      </c>
      <c r="N14" s="39" t="s">
        <v>338</v>
      </c>
      <c r="O14" s="26">
        <v>10000</v>
      </c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 t="s">
        <v>99</v>
      </c>
      <c r="K15" s="39" t="s">
        <v>297</v>
      </c>
      <c r="L15" s="28">
        <v>-7500</v>
      </c>
      <c r="M15" s="6" t="s">
        <v>101</v>
      </c>
      <c r="N15" s="39" t="s">
        <v>392</v>
      </c>
      <c r="O15" s="26">
        <v>-10000</v>
      </c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 t="s">
        <v>99</v>
      </c>
      <c r="K16" s="39" t="s">
        <v>297</v>
      </c>
      <c r="L16" s="28">
        <v>-10000</v>
      </c>
      <c r="M16" s="6" t="s">
        <v>101</v>
      </c>
      <c r="N16" s="39" t="s">
        <v>264</v>
      </c>
      <c r="O16" s="26">
        <v>2500</v>
      </c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 t="s">
        <v>89</v>
      </c>
      <c r="K17" s="39" t="s">
        <v>105</v>
      </c>
      <c r="L17" s="28">
        <v>-8000</v>
      </c>
      <c r="M17" s="6" t="s">
        <v>101</v>
      </c>
      <c r="N17" s="39" t="s">
        <v>303</v>
      </c>
      <c r="O17" s="26">
        <v>2500</v>
      </c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 t="s">
        <v>89</v>
      </c>
      <c r="K18" s="39" t="s">
        <v>308</v>
      </c>
      <c r="L18" s="28">
        <v>-16500</v>
      </c>
      <c r="M18" s="6" t="s">
        <v>101</v>
      </c>
      <c r="N18" s="39" t="s">
        <v>337</v>
      </c>
      <c r="O18" s="26">
        <v>2500</v>
      </c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 t="s">
        <v>93</v>
      </c>
      <c r="K19" s="39" t="s">
        <v>340</v>
      </c>
      <c r="L19" s="28">
        <v>-60000</v>
      </c>
      <c r="M19" s="6" t="s">
        <v>88</v>
      </c>
      <c r="N19" s="39" t="s">
        <v>629</v>
      </c>
      <c r="O19" s="26">
        <v>3000</v>
      </c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 t="s">
        <v>89</v>
      </c>
      <c r="K20" s="39" t="s">
        <v>105</v>
      </c>
      <c r="L20" s="28">
        <v>-5000</v>
      </c>
      <c r="M20" s="6" t="s">
        <v>213</v>
      </c>
      <c r="N20" s="39" t="s">
        <v>256</v>
      </c>
      <c r="O20" s="26">
        <v>200</v>
      </c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 t="s">
        <v>89</v>
      </c>
      <c r="K21" s="39" t="s">
        <v>105</v>
      </c>
      <c r="L21" s="28">
        <v>-2500</v>
      </c>
      <c r="M21" s="6" t="s">
        <v>101</v>
      </c>
      <c r="N21" s="39" t="s">
        <v>264</v>
      </c>
      <c r="O21" s="26">
        <v>2500</v>
      </c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 t="s">
        <v>102</v>
      </c>
      <c r="K22" s="39" t="s">
        <v>511</v>
      </c>
      <c r="L22" s="28">
        <v>-10200</v>
      </c>
      <c r="M22" s="6" t="s">
        <v>101</v>
      </c>
      <c r="N22" s="39" t="s">
        <v>265</v>
      </c>
      <c r="O22" s="26">
        <v>2500</v>
      </c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 t="s">
        <v>102</v>
      </c>
      <c r="K23" s="39" t="s">
        <v>512</v>
      </c>
      <c r="L23" s="28">
        <v>-7600</v>
      </c>
      <c r="M23" s="6" t="s">
        <v>101</v>
      </c>
      <c r="N23" s="39" t="s">
        <v>264</v>
      </c>
      <c r="O23" s="26">
        <v>2500</v>
      </c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 t="s">
        <v>90</v>
      </c>
      <c r="K24" s="39" t="s">
        <v>98</v>
      </c>
      <c r="L24" s="28">
        <v>-160000</v>
      </c>
      <c r="M24" s="6" t="s">
        <v>213</v>
      </c>
      <c r="N24" s="39" t="s">
        <v>225</v>
      </c>
      <c r="O24" s="26">
        <v>100000</v>
      </c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134" t="s">
        <v>143</v>
      </c>
      <c r="C25" s="170"/>
      <c r="D25" s="170"/>
      <c r="E25" s="135"/>
      <c r="G25" s="6"/>
      <c r="H25" s="39"/>
      <c r="I25" s="28"/>
      <c r="J25" s="6" t="s">
        <v>90</v>
      </c>
      <c r="K25" s="39" t="s">
        <v>631</v>
      </c>
      <c r="L25" s="28">
        <v>-900</v>
      </c>
      <c r="M25" s="6" t="s">
        <v>213</v>
      </c>
      <c r="N25" s="39" t="s">
        <v>635</v>
      </c>
      <c r="O25" s="26">
        <v>-100000</v>
      </c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48" t="s">
        <v>28</v>
      </c>
      <c r="C26" s="165" t="s">
        <v>30</v>
      </c>
      <c r="D26" s="166"/>
      <c r="E26" s="167"/>
      <c r="G26" s="6"/>
      <c r="H26" s="39"/>
      <c r="I26" s="28"/>
      <c r="J26" s="6" t="s">
        <v>89</v>
      </c>
      <c r="K26" s="39" t="s">
        <v>470</v>
      </c>
      <c r="L26" s="28">
        <v>-1000</v>
      </c>
      <c r="M26" s="6" t="s">
        <v>213</v>
      </c>
      <c r="N26" s="39" t="s">
        <v>225</v>
      </c>
      <c r="O26" s="26">
        <v>500000</v>
      </c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48" t="s">
        <v>89</v>
      </c>
      <c r="C27" s="159">
        <f t="shared" ref="C27:C46" si="0">-(SUMIF($J$7:$J$88,B27,$L$7:$L$88)+SUMIF($T$7:$T$88,B27,$V$7:$V$88))</f>
        <v>4559120</v>
      </c>
      <c r="D27" s="160"/>
      <c r="E27" s="161"/>
      <c r="G27" s="6"/>
      <c r="H27" s="39"/>
      <c r="I27" s="28"/>
      <c r="J27" s="6" t="s">
        <v>99</v>
      </c>
      <c r="K27" s="39" t="s">
        <v>297</v>
      </c>
      <c r="L27" s="28">
        <v>-5000</v>
      </c>
      <c r="M27" s="6" t="s">
        <v>213</v>
      </c>
      <c r="N27" s="39" t="s">
        <v>636</v>
      </c>
      <c r="O27" s="26">
        <v>-500000</v>
      </c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49" t="s">
        <v>90</v>
      </c>
      <c r="C28" s="159">
        <f t="shared" si="0"/>
        <v>240900</v>
      </c>
      <c r="D28" s="160"/>
      <c r="E28" s="161"/>
      <c r="G28" s="6"/>
      <c r="H28" s="39"/>
      <c r="I28" s="28"/>
      <c r="J28" s="6" t="s">
        <v>103</v>
      </c>
      <c r="K28" s="39" t="s">
        <v>632</v>
      </c>
      <c r="L28" s="28">
        <v>-74400</v>
      </c>
      <c r="M28" s="6" t="s">
        <v>213</v>
      </c>
      <c r="N28" s="39" t="s">
        <v>227</v>
      </c>
      <c r="O28" s="26">
        <v>-100000</v>
      </c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49" t="s">
        <v>94</v>
      </c>
      <c r="C29" s="159">
        <f t="shared" si="0"/>
        <v>3900</v>
      </c>
      <c r="D29" s="160"/>
      <c r="E29" s="161"/>
      <c r="G29" s="6"/>
      <c r="H29" s="39"/>
      <c r="I29" s="28"/>
      <c r="J29" s="6" t="s">
        <v>103</v>
      </c>
      <c r="K29" s="39" t="s">
        <v>632</v>
      </c>
      <c r="L29" s="28">
        <v>-75200</v>
      </c>
      <c r="M29" s="6" t="s">
        <v>101</v>
      </c>
      <c r="N29" s="39" t="s">
        <v>312</v>
      </c>
      <c r="O29" s="26">
        <v>-17800</v>
      </c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49" t="s">
        <v>92</v>
      </c>
      <c r="C30" s="159">
        <f t="shared" si="0"/>
        <v>240490</v>
      </c>
      <c r="D30" s="160"/>
      <c r="E30" s="161"/>
      <c r="G30" s="6"/>
      <c r="H30" s="39"/>
      <c r="I30" s="28"/>
      <c r="J30" s="6" t="s">
        <v>93</v>
      </c>
      <c r="K30" s="39" t="s">
        <v>633</v>
      </c>
      <c r="L30" s="28">
        <v>-35950</v>
      </c>
      <c r="M30" s="6" t="s">
        <v>107</v>
      </c>
      <c r="N30" s="39" t="s">
        <v>110</v>
      </c>
      <c r="O30" s="26">
        <v>-541549</v>
      </c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49" t="s">
        <v>96</v>
      </c>
      <c r="C31" s="159">
        <f t="shared" si="0"/>
        <v>373800</v>
      </c>
      <c r="D31" s="160"/>
      <c r="E31" s="161"/>
      <c r="G31" s="6"/>
      <c r="H31" s="39"/>
      <c r="I31" s="28"/>
      <c r="J31" s="6" t="s">
        <v>92</v>
      </c>
      <c r="K31" s="39" t="s">
        <v>203</v>
      </c>
      <c r="L31" s="28">
        <v>-40490</v>
      </c>
      <c r="M31" s="6" t="s">
        <v>213</v>
      </c>
      <c r="N31" s="39" t="s">
        <v>637</v>
      </c>
      <c r="O31" s="26">
        <v>-300000</v>
      </c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49" t="s">
        <v>93</v>
      </c>
      <c r="C32" s="159">
        <f t="shared" si="0"/>
        <v>95950</v>
      </c>
      <c r="D32" s="160"/>
      <c r="E32" s="161"/>
      <c r="G32" s="6"/>
      <c r="H32" s="39"/>
      <c r="I32" s="28"/>
      <c r="J32" s="6" t="s">
        <v>99</v>
      </c>
      <c r="K32" s="39" t="s">
        <v>297</v>
      </c>
      <c r="L32" s="28">
        <v>-5000</v>
      </c>
      <c r="M32" s="6" t="s">
        <v>213</v>
      </c>
      <c r="N32" s="39" t="s">
        <v>225</v>
      </c>
      <c r="O32" s="26">
        <v>300000</v>
      </c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49" t="s">
        <v>103</v>
      </c>
      <c r="C33" s="159">
        <f t="shared" si="0"/>
        <v>149600</v>
      </c>
      <c r="D33" s="160"/>
      <c r="E33" s="161"/>
      <c r="G33" s="6"/>
      <c r="H33" s="39"/>
      <c r="I33" s="28"/>
      <c r="J33" s="6" t="s">
        <v>94</v>
      </c>
      <c r="K33" s="39" t="s">
        <v>240</v>
      </c>
      <c r="L33" s="28">
        <v>-3900</v>
      </c>
      <c r="M33" s="6" t="s">
        <v>101</v>
      </c>
      <c r="N33" s="39" t="s">
        <v>264</v>
      </c>
      <c r="O33" s="26">
        <v>2500</v>
      </c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49" t="s">
        <v>99</v>
      </c>
      <c r="C34" s="159">
        <f t="shared" si="0"/>
        <v>62500</v>
      </c>
      <c r="D34" s="160"/>
      <c r="E34" s="161"/>
      <c r="G34" s="6"/>
      <c r="H34" s="39"/>
      <c r="I34" s="28"/>
      <c r="J34" s="6" t="s">
        <v>99</v>
      </c>
      <c r="K34" s="39" t="s">
        <v>297</v>
      </c>
      <c r="L34" s="28">
        <v>-7500</v>
      </c>
      <c r="M34" s="6" t="s">
        <v>101</v>
      </c>
      <c r="N34" s="39" t="s">
        <v>265</v>
      </c>
      <c r="O34" s="26">
        <v>2500</v>
      </c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49" t="s">
        <v>120</v>
      </c>
      <c r="C35" s="159">
        <f t="shared" si="0"/>
        <v>0</v>
      </c>
      <c r="D35" s="160"/>
      <c r="E35" s="161"/>
      <c r="G35" s="6"/>
      <c r="H35" s="39"/>
      <c r="I35" s="28"/>
      <c r="J35" s="6" t="s">
        <v>89</v>
      </c>
      <c r="K35" s="39" t="s">
        <v>342</v>
      </c>
      <c r="L35" s="28">
        <v>-3000000</v>
      </c>
      <c r="M35" s="6" t="s">
        <v>101</v>
      </c>
      <c r="N35" s="39" t="s">
        <v>264</v>
      </c>
      <c r="O35" s="26">
        <v>2500</v>
      </c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49" t="s">
        <v>91</v>
      </c>
      <c r="C36" s="159">
        <f t="shared" si="0"/>
        <v>0</v>
      </c>
      <c r="D36" s="160"/>
      <c r="E36" s="161"/>
      <c r="G36" s="6"/>
      <c r="H36" s="39"/>
      <c r="I36" s="28"/>
      <c r="J36" s="6" t="s">
        <v>89</v>
      </c>
      <c r="K36" s="39" t="s">
        <v>223</v>
      </c>
      <c r="L36" s="28">
        <v>-36120</v>
      </c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49" t="s">
        <v>102</v>
      </c>
      <c r="C37" s="159">
        <f t="shared" si="0"/>
        <v>17800</v>
      </c>
      <c r="D37" s="160"/>
      <c r="E37" s="161"/>
      <c r="G37" s="6"/>
      <c r="H37" s="39"/>
      <c r="I37" s="28"/>
      <c r="J37" s="6" t="s">
        <v>99</v>
      </c>
      <c r="K37" s="39" t="s">
        <v>297</v>
      </c>
      <c r="L37" s="28">
        <v>-7500</v>
      </c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49" t="s">
        <v>118</v>
      </c>
      <c r="C38" s="159">
        <f t="shared" si="0"/>
        <v>0</v>
      </c>
      <c r="D38" s="160"/>
      <c r="E38" s="161"/>
      <c r="G38" s="6"/>
      <c r="H38" s="39"/>
      <c r="I38" s="28"/>
      <c r="J38" s="6" t="s">
        <v>96</v>
      </c>
      <c r="K38" s="39" t="s">
        <v>97</v>
      </c>
      <c r="L38" s="28">
        <v>-73800</v>
      </c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49" t="s">
        <v>108</v>
      </c>
      <c r="C39" s="159">
        <f t="shared" si="0"/>
        <v>0</v>
      </c>
      <c r="D39" s="160"/>
      <c r="E39" s="161"/>
      <c r="G39" s="6"/>
      <c r="H39" s="39"/>
      <c r="I39" s="28"/>
      <c r="J39" s="6" t="s">
        <v>99</v>
      </c>
      <c r="K39" s="39" t="s">
        <v>297</v>
      </c>
      <c r="L39" s="28">
        <v>-5000</v>
      </c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49" t="s">
        <v>129</v>
      </c>
      <c r="C40" s="159">
        <f t="shared" si="0"/>
        <v>0</v>
      </c>
      <c r="D40" s="160"/>
      <c r="E40" s="161"/>
      <c r="G40" s="6"/>
      <c r="H40" s="39"/>
      <c r="I40" s="28"/>
      <c r="J40" s="6" t="s">
        <v>89</v>
      </c>
      <c r="K40" s="39" t="s">
        <v>638</v>
      </c>
      <c r="L40" s="28">
        <v>-990000</v>
      </c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49" t="s">
        <v>100</v>
      </c>
      <c r="C41" s="159">
        <f t="shared" si="0"/>
        <v>0</v>
      </c>
      <c r="D41" s="160"/>
      <c r="E41" s="161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49" t="s">
        <v>123</v>
      </c>
      <c r="C42" s="159">
        <f t="shared" si="0"/>
        <v>0</v>
      </c>
      <c r="D42" s="160"/>
      <c r="E42" s="161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49" t="s">
        <v>111</v>
      </c>
      <c r="C43" s="159">
        <f t="shared" si="0"/>
        <v>0</v>
      </c>
      <c r="D43" s="160"/>
      <c r="E43" s="161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116</v>
      </c>
      <c r="C44" s="159">
        <f t="shared" si="0"/>
        <v>0</v>
      </c>
      <c r="D44" s="160"/>
      <c r="E44" s="161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112</v>
      </c>
      <c r="C45" s="159">
        <f t="shared" si="0"/>
        <v>0</v>
      </c>
      <c r="D45" s="160"/>
      <c r="E45" s="161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126</v>
      </c>
      <c r="C46" s="159">
        <f t="shared" si="0"/>
        <v>0</v>
      </c>
      <c r="D46" s="160"/>
      <c r="E46" s="161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139</v>
      </c>
      <c r="C48" s="162" t="str">
        <f>IF(ABS(SUM(C27:E46))&lt;&gt;ABS(SUM(L89,V89)),"항목 추가해주세요","-")</f>
        <v>-</v>
      </c>
      <c r="D48" s="163"/>
      <c r="E48" s="164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136" t="s">
        <v>150</v>
      </c>
      <c r="C50" s="168"/>
      <c r="D50" s="168"/>
      <c r="E50" s="137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65" t="s">
        <v>30</v>
      </c>
      <c r="D51" s="166"/>
      <c r="E51" s="167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146</v>
      </c>
      <c r="C52" s="159">
        <f>(SUMIF($G$7:$G$88,B52,$I$7:$I$88)+SUMIF($Q$7:$Q$88,B52,$S$7:$S$88))</f>
        <v>0</v>
      </c>
      <c r="D52" s="160"/>
      <c r="E52" s="161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147</v>
      </c>
      <c r="C53" s="159">
        <f>(SUMIF($G$7:$G$88,B53,$I$7:$I$88)+SUMIF($Q$7:$Q$88,B53,$S$7:$S$88))</f>
        <v>4316710</v>
      </c>
      <c r="D53" s="160"/>
      <c r="E53" s="161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148</v>
      </c>
      <c r="C54" s="159">
        <f>(SUMIF($G$7:$G$88,B54,$I$7:$I$88)+SUMIF($Q$7:$Q$88,B54,$S$7:$S$88))</f>
        <v>0</v>
      </c>
      <c r="D54" s="160"/>
      <c r="E54" s="161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149</v>
      </c>
      <c r="C55" s="159">
        <f>(SUMIF($G$7:$G$88,B55,$I$7:$I$88)+SUMIF($Q$7:$Q$88,B55,$S$7:$S$88))</f>
        <v>1</v>
      </c>
      <c r="D55" s="160"/>
      <c r="E55" s="161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139</v>
      </c>
      <c r="C57" s="162" t="str">
        <f>IF(ABS(SUM(C52:E55))&lt;&gt;ABS(SUM(I89,S89)),"항목 추가해주세요","-")</f>
        <v>-</v>
      </c>
      <c r="D57" s="163"/>
      <c r="E57" s="164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4316711</v>
      </c>
      <c r="J89" s="7" t="s">
        <v>24</v>
      </c>
      <c r="K89" s="22" t="s">
        <v>34</v>
      </c>
      <c r="L89" s="21">
        <f>SUM(L7:L88)</f>
        <v>-5744060</v>
      </c>
      <c r="M89" s="7" t="s">
        <v>24</v>
      </c>
      <c r="N89" s="22" t="s">
        <v>34</v>
      </c>
      <c r="O89" s="21">
        <f>SUM(O7:O88)</f>
        <v>-196149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-1623498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mergeCells count="43">
    <mergeCell ref="C45:E45"/>
    <mergeCell ref="C46:E46"/>
    <mergeCell ref="C48:E48"/>
    <mergeCell ref="C40:E40"/>
    <mergeCell ref="C41:E41"/>
    <mergeCell ref="C42:E42"/>
    <mergeCell ref="C43:E43"/>
    <mergeCell ref="C44:E4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  <mergeCell ref="C55:E55"/>
    <mergeCell ref="C57:E57"/>
    <mergeCell ref="B50:E50"/>
    <mergeCell ref="C51:E51"/>
    <mergeCell ref="C52:E52"/>
    <mergeCell ref="C53:E53"/>
    <mergeCell ref="C54:E5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1265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1265" r:id="rId3" name="Command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B359-E33C-4CDF-A4EE-AC59FA023D1D}">
  <sheetPr codeName="Sheet18">
    <tabColor rgb="FFFF8FC7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5.125" bestFit="1" customWidth="1"/>
    <col min="9" max="9" width="12.625" bestFit="1" customWidth="1"/>
    <col min="10" max="10" width="11" bestFit="1" customWidth="1"/>
    <col min="11" max="11" width="29.875" bestFit="1" customWidth="1"/>
    <col min="12" max="12" width="12.625" bestFit="1" customWidth="1"/>
    <col min="13" max="13" width="11" bestFit="1" customWidth="1"/>
    <col min="14" max="14" width="20" bestFit="1" customWidth="1"/>
    <col min="15" max="15" width="11.5" bestFit="1" customWidth="1"/>
    <col min="16" max="16" width="2.375" customWidth="1"/>
    <col min="18" max="18" width="15.875" bestFit="1" customWidth="1"/>
    <col min="19" max="19" width="10.625" bestFit="1" customWidth="1"/>
    <col min="20" max="20" width="9.75" bestFit="1" customWidth="1"/>
    <col min="21" max="21" width="41.75" bestFit="1" customWidth="1"/>
    <col min="22" max="22" width="11.5" bestFit="1" customWidth="1"/>
    <col min="24" max="24" width="20" bestFit="1" customWidth="1"/>
    <col min="25" max="25" width="12.625" bestFit="1" customWidth="1"/>
  </cols>
  <sheetData>
    <row r="2" spans="2:25" ht="24.75" thickBot="1" x14ac:dyDescent="0.35">
      <c r="B2" s="169" t="s">
        <v>81</v>
      </c>
      <c r="C2" s="169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74">
        <v>10000000</v>
      </c>
      <c r="D4" s="174"/>
      <c r="G4" s="182" t="str">
        <f>설정!D4</f>
        <v>천세원</v>
      </c>
      <c r="H4" s="183"/>
      <c r="I4" s="183"/>
      <c r="J4" s="183"/>
      <c r="K4" s="183"/>
      <c r="L4" s="183"/>
      <c r="M4" s="183"/>
      <c r="N4" s="183"/>
      <c r="O4" s="184"/>
      <c r="Q4" s="179" t="str">
        <f>설정!D6</f>
        <v>하유진</v>
      </c>
      <c r="R4" s="180"/>
      <c r="S4" s="180"/>
      <c r="T4" s="180"/>
      <c r="U4" s="180"/>
      <c r="V4" s="180"/>
      <c r="W4" s="180"/>
      <c r="X4" s="180"/>
      <c r="Y4" s="181"/>
    </row>
    <row r="5" spans="2:25" x14ac:dyDescent="0.3">
      <c r="B5" s="2" t="s">
        <v>36</v>
      </c>
      <c r="C5" s="174">
        <f>I90+S90</f>
        <v>-369139</v>
      </c>
      <c r="D5" s="174"/>
      <c r="G5" s="136" t="s">
        <v>27</v>
      </c>
      <c r="H5" s="168"/>
      <c r="I5" s="137"/>
      <c r="J5" s="134" t="s">
        <v>31</v>
      </c>
      <c r="K5" s="170"/>
      <c r="L5" s="135"/>
      <c r="M5" s="171" t="s">
        <v>32</v>
      </c>
      <c r="N5" s="172"/>
      <c r="O5" s="173"/>
      <c r="Q5" s="136" t="s">
        <v>27</v>
      </c>
      <c r="R5" s="168"/>
      <c r="S5" s="137"/>
      <c r="T5" s="134" t="s">
        <v>31</v>
      </c>
      <c r="U5" s="170"/>
      <c r="V5" s="135"/>
      <c r="W5" s="171" t="s">
        <v>32</v>
      </c>
      <c r="X5" s="172"/>
      <c r="Y5" s="173"/>
    </row>
    <row r="6" spans="2:25" x14ac:dyDescent="0.3">
      <c r="B6" s="2" t="s">
        <v>38</v>
      </c>
      <c r="C6" s="174">
        <f>C4-C5</f>
        <v>10369139</v>
      </c>
      <c r="D6" s="174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5">
        <f>(C5)/(C4)</f>
        <v>-3.6913899999999999E-2</v>
      </c>
      <c r="D7" s="175"/>
      <c r="G7" s="6" t="s">
        <v>86</v>
      </c>
      <c r="H7" s="39" t="s">
        <v>217</v>
      </c>
      <c r="I7" s="28">
        <v>0</v>
      </c>
      <c r="J7" s="6" t="s">
        <v>96</v>
      </c>
      <c r="K7" s="39" t="s">
        <v>445</v>
      </c>
      <c r="L7" s="28">
        <v>-300000</v>
      </c>
      <c r="M7" s="6" t="s">
        <v>213</v>
      </c>
      <c r="N7" s="39" t="s">
        <v>109</v>
      </c>
      <c r="O7" s="40">
        <v>-300000</v>
      </c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 t="s">
        <v>208</v>
      </c>
      <c r="H8" s="39" t="s">
        <v>634</v>
      </c>
      <c r="I8" s="28">
        <v>4201135</v>
      </c>
      <c r="J8" s="6" t="s">
        <v>108</v>
      </c>
      <c r="K8" s="39" t="s">
        <v>639</v>
      </c>
      <c r="L8" s="28">
        <v>-10000</v>
      </c>
      <c r="M8" s="6" t="s">
        <v>213</v>
      </c>
      <c r="N8" s="39" t="s">
        <v>109</v>
      </c>
      <c r="O8" s="26">
        <v>300000</v>
      </c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/>
      <c r="H9" s="39"/>
      <c r="I9" s="28"/>
      <c r="J9" s="6" t="s">
        <v>99</v>
      </c>
      <c r="K9" s="39" t="s">
        <v>297</v>
      </c>
      <c r="L9" s="28">
        <v>-5000</v>
      </c>
      <c r="M9" s="6" t="s">
        <v>101</v>
      </c>
      <c r="N9" s="39" t="s">
        <v>264</v>
      </c>
      <c r="O9" s="26">
        <v>2500</v>
      </c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/>
      <c r="H10" s="39"/>
      <c r="I10" s="28"/>
      <c r="J10" s="6" t="s">
        <v>99</v>
      </c>
      <c r="K10" s="39" t="s">
        <v>297</v>
      </c>
      <c r="L10" s="28">
        <v>-5000</v>
      </c>
      <c r="M10" s="6" t="s">
        <v>101</v>
      </c>
      <c r="N10" s="39" t="s">
        <v>264</v>
      </c>
      <c r="O10" s="26">
        <v>2500</v>
      </c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/>
      <c r="H11" s="39"/>
      <c r="I11" s="28"/>
      <c r="J11" s="6" t="s">
        <v>99</v>
      </c>
      <c r="K11" s="39" t="s">
        <v>297</v>
      </c>
      <c r="L11" s="28">
        <v>-5000</v>
      </c>
      <c r="M11" s="6" t="s">
        <v>101</v>
      </c>
      <c r="N11" s="39" t="s">
        <v>264</v>
      </c>
      <c r="O11" s="26">
        <v>2500</v>
      </c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/>
      <c r="H12" s="39"/>
      <c r="I12" s="28"/>
      <c r="J12" s="6" t="s">
        <v>99</v>
      </c>
      <c r="K12" s="39" t="s">
        <v>297</v>
      </c>
      <c r="L12" s="28">
        <v>-5000</v>
      </c>
      <c r="M12" s="6" t="s">
        <v>101</v>
      </c>
      <c r="N12" s="39" t="s">
        <v>264</v>
      </c>
      <c r="O12" s="26">
        <v>2500</v>
      </c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/>
      <c r="H13" s="39"/>
      <c r="I13" s="28"/>
      <c r="J13" s="6" t="s">
        <v>93</v>
      </c>
      <c r="K13" s="39" t="s">
        <v>340</v>
      </c>
      <c r="L13" s="28">
        <v>-50000</v>
      </c>
      <c r="M13" s="6" t="s">
        <v>101</v>
      </c>
      <c r="N13" s="39" t="s">
        <v>264</v>
      </c>
      <c r="O13" s="26">
        <v>2500</v>
      </c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/>
      <c r="H14" s="39"/>
      <c r="I14" s="28"/>
      <c r="J14" s="6" t="s">
        <v>99</v>
      </c>
      <c r="K14" s="39" t="s">
        <v>640</v>
      </c>
      <c r="L14" s="28">
        <v>-2000</v>
      </c>
      <c r="M14" s="6" t="s">
        <v>101</v>
      </c>
      <c r="N14" s="39" t="s">
        <v>264</v>
      </c>
      <c r="O14" s="26">
        <v>2500</v>
      </c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 t="s">
        <v>99</v>
      </c>
      <c r="K15" s="39" t="s">
        <v>640</v>
      </c>
      <c r="L15" s="28">
        <v>-2000</v>
      </c>
      <c r="M15" s="6" t="s">
        <v>101</v>
      </c>
      <c r="N15" s="39" t="s">
        <v>641</v>
      </c>
      <c r="O15" s="26">
        <v>7700</v>
      </c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 t="s">
        <v>94</v>
      </c>
      <c r="K16" s="39" t="s">
        <v>602</v>
      </c>
      <c r="L16" s="28">
        <v>-19900</v>
      </c>
      <c r="M16" s="6" t="s">
        <v>116</v>
      </c>
      <c r="N16" s="39" t="s">
        <v>225</v>
      </c>
      <c r="O16" s="26">
        <v>816</v>
      </c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 t="s">
        <v>99</v>
      </c>
      <c r="K17" s="39" t="s">
        <v>297</v>
      </c>
      <c r="L17" s="28">
        <v>-2500</v>
      </c>
      <c r="M17" s="6" t="s">
        <v>101</v>
      </c>
      <c r="N17" s="39" t="s">
        <v>642</v>
      </c>
      <c r="O17" s="26">
        <v>-20000</v>
      </c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 t="s">
        <v>99</v>
      </c>
      <c r="K18" s="39" t="s">
        <v>297</v>
      </c>
      <c r="L18" s="28">
        <v>-5000</v>
      </c>
      <c r="M18" s="6" t="s">
        <v>101</v>
      </c>
      <c r="N18" s="39" t="s">
        <v>264</v>
      </c>
      <c r="O18" s="26">
        <v>2500</v>
      </c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 t="s">
        <v>99</v>
      </c>
      <c r="K19" s="39" t="s">
        <v>297</v>
      </c>
      <c r="L19" s="28">
        <v>-5000</v>
      </c>
      <c r="M19" s="6" t="s">
        <v>107</v>
      </c>
      <c r="N19" s="39" t="s">
        <v>110</v>
      </c>
      <c r="O19" s="26">
        <v>-783230</v>
      </c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 t="s">
        <v>89</v>
      </c>
      <c r="K20" s="39" t="s">
        <v>470</v>
      </c>
      <c r="L20" s="28">
        <v>-1000</v>
      </c>
      <c r="M20" s="6" t="s">
        <v>213</v>
      </c>
      <c r="N20" s="39" t="s">
        <v>225</v>
      </c>
      <c r="O20" s="26">
        <v>500000</v>
      </c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 t="s">
        <v>89</v>
      </c>
      <c r="K21" s="39" t="s">
        <v>105</v>
      </c>
      <c r="L21" s="28">
        <v>-2900</v>
      </c>
      <c r="M21" s="6" t="s">
        <v>213</v>
      </c>
      <c r="N21" s="39" t="s">
        <v>645</v>
      </c>
      <c r="O21" s="26">
        <v>-500000</v>
      </c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 t="s">
        <v>103</v>
      </c>
      <c r="K22" s="39" t="s">
        <v>632</v>
      </c>
      <c r="L22" s="28">
        <v>37600</v>
      </c>
      <c r="M22" s="6" t="s">
        <v>213</v>
      </c>
      <c r="N22" s="39" t="s">
        <v>225</v>
      </c>
      <c r="O22" s="26">
        <v>100000</v>
      </c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 t="s">
        <v>103</v>
      </c>
      <c r="K23" s="39" t="s">
        <v>632</v>
      </c>
      <c r="L23" s="28">
        <v>37600</v>
      </c>
      <c r="M23" s="6" t="s">
        <v>213</v>
      </c>
      <c r="N23" s="39" t="s">
        <v>647</v>
      </c>
      <c r="O23" s="26">
        <v>-100000</v>
      </c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 t="s">
        <v>94</v>
      </c>
      <c r="K24" s="39" t="s">
        <v>294</v>
      </c>
      <c r="L24" s="28">
        <v>-49000</v>
      </c>
      <c r="M24" s="6" t="s">
        <v>101</v>
      </c>
      <c r="N24" s="39" t="s">
        <v>312</v>
      </c>
      <c r="O24" s="26">
        <v>-17800</v>
      </c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134" t="s">
        <v>143</v>
      </c>
      <c r="C25" s="170"/>
      <c r="D25" s="170"/>
      <c r="E25" s="135"/>
      <c r="G25" s="6"/>
      <c r="H25" s="39"/>
      <c r="I25" s="28"/>
      <c r="J25" s="6" t="s">
        <v>89</v>
      </c>
      <c r="K25" s="39" t="s">
        <v>308</v>
      </c>
      <c r="L25" s="28">
        <v>-16500</v>
      </c>
      <c r="M25" s="6" t="s">
        <v>213</v>
      </c>
      <c r="N25" s="39" t="s">
        <v>648</v>
      </c>
      <c r="O25" s="26">
        <v>-300000</v>
      </c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48" t="s">
        <v>28</v>
      </c>
      <c r="C26" s="165" t="s">
        <v>30</v>
      </c>
      <c r="D26" s="166"/>
      <c r="E26" s="167"/>
      <c r="G26" s="6"/>
      <c r="H26" s="39"/>
      <c r="I26" s="28"/>
      <c r="J26" s="6" t="s">
        <v>93</v>
      </c>
      <c r="K26" s="39" t="s">
        <v>340</v>
      </c>
      <c r="L26" s="28">
        <v>-60000</v>
      </c>
      <c r="M26" s="6" t="s">
        <v>213</v>
      </c>
      <c r="N26" s="39" t="s">
        <v>225</v>
      </c>
      <c r="O26" s="26">
        <v>300000</v>
      </c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48" t="s">
        <v>89</v>
      </c>
      <c r="C27" s="159">
        <f t="shared" ref="C27:C46" si="0">-(SUMIF($J$7:$J$88,B27,$L$7:$L$88)+SUMIF($T$7:$T$88,B27,$V$7:$V$88))</f>
        <v>3056520</v>
      </c>
      <c r="D27" s="160"/>
      <c r="E27" s="161"/>
      <c r="G27" s="6"/>
      <c r="H27" s="39"/>
      <c r="I27" s="28"/>
      <c r="J27" s="6" t="s">
        <v>93</v>
      </c>
      <c r="K27" s="39" t="s">
        <v>643</v>
      </c>
      <c r="L27" s="28">
        <v>-35950</v>
      </c>
      <c r="M27" s="6" t="s">
        <v>213</v>
      </c>
      <c r="N27" s="39" t="s">
        <v>227</v>
      </c>
      <c r="O27" s="26">
        <v>-100000</v>
      </c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49" t="s">
        <v>90</v>
      </c>
      <c r="C28" s="159">
        <f t="shared" si="0"/>
        <v>0</v>
      </c>
      <c r="D28" s="160"/>
      <c r="E28" s="161"/>
      <c r="G28" s="6"/>
      <c r="H28" s="39"/>
      <c r="I28" s="28"/>
      <c r="J28" s="6" t="s">
        <v>92</v>
      </c>
      <c r="K28" s="39" t="s">
        <v>203</v>
      </c>
      <c r="L28" s="28">
        <v>-40490</v>
      </c>
      <c r="M28" s="6"/>
      <c r="N28" s="39"/>
      <c r="O28" s="26"/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49" t="s">
        <v>94</v>
      </c>
      <c r="C29" s="159">
        <f t="shared" si="0"/>
        <v>84900</v>
      </c>
      <c r="D29" s="160"/>
      <c r="E29" s="161"/>
      <c r="G29" s="6"/>
      <c r="H29" s="39"/>
      <c r="I29" s="28"/>
      <c r="J29" s="6" t="s">
        <v>99</v>
      </c>
      <c r="K29" s="39" t="s">
        <v>357</v>
      </c>
      <c r="L29" s="28">
        <v>-5000</v>
      </c>
      <c r="M29" s="6"/>
      <c r="N29" s="39"/>
      <c r="O29" s="26"/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49" t="s">
        <v>92</v>
      </c>
      <c r="C30" s="159">
        <f t="shared" si="0"/>
        <v>40490</v>
      </c>
      <c r="D30" s="160"/>
      <c r="E30" s="161"/>
      <c r="G30" s="6"/>
      <c r="H30" s="39"/>
      <c r="I30" s="28"/>
      <c r="J30" s="6" t="s">
        <v>102</v>
      </c>
      <c r="K30" s="39" t="s">
        <v>283</v>
      </c>
      <c r="L30" s="28">
        <v>-10000</v>
      </c>
      <c r="M30" s="6"/>
      <c r="N30" s="39"/>
      <c r="O30" s="26"/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49" t="s">
        <v>96</v>
      </c>
      <c r="C31" s="159">
        <f t="shared" si="0"/>
        <v>300000</v>
      </c>
      <c r="D31" s="160"/>
      <c r="E31" s="161"/>
      <c r="G31" s="6"/>
      <c r="H31" s="39"/>
      <c r="I31" s="28"/>
      <c r="J31" s="6" t="s">
        <v>94</v>
      </c>
      <c r="K31" s="39" t="s">
        <v>644</v>
      </c>
      <c r="L31" s="28">
        <v>-16000</v>
      </c>
      <c r="M31" s="6"/>
      <c r="N31" s="39"/>
      <c r="O31" s="26"/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49" t="s">
        <v>93</v>
      </c>
      <c r="C32" s="159">
        <f t="shared" si="0"/>
        <v>205950</v>
      </c>
      <c r="D32" s="160"/>
      <c r="E32" s="161"/>
      <c r="G32" s="6"/>
      <c r="H32" s="39"/>
      <c r="I32" s="28"/>
      <c r="J32" s="6" t="s">
        <v>89</v>
      </c>
      <c r="K32" s="39" t="s">
        <v>223</v>
      </c>
      <c r="L32" s="28">
        <v>-36120</v>
      </c>
      <c r="M32" s="6"/>
      <c r="N32" s="39"/>
      <c r="O32" s="26"/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49" t="s">
        <v>103</v>
      </c>
      <c r="C33" s="159">
        <f t="shared" si="0"/>
        <v>-75200</v>
      </c>
      <c r="D33" s="160"/>
      <c r="E33" s="161"/>
      <c r="G33" s="6"/>
      <c r="H33" s="39"/>
      <c r="I33" s="28"/>
      <c r="J33" s="6" t="s">
        <v>89</v>
      </c>
      <c r="K33" s="39" t="s">
        <v>342</v>
      </c>
      <c r="L33" s="28">
        <v>-3000000</v>
      </c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49" t="s">
        <v>99</v>
      </c>
      <c r="C34" s="159">
        <f t="shared" si="0"/>
        <v>42600</v>
      </c>
      <c r="D34" s="160"/>
      <c r="E34" s="161"/>
      <c r="G34" s="6"/>
      <c r="H34" s="39"/>
      <c r="I34" s="28"/>
      <c r="J34" s="6" t="s">
        <v>99</v>
      </c>
      <c r="K34" s="39" t="s">
        <v>646</v>
      </c>
      <c r="L34" s="28">
        <v>-1100</v>
      </c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49" t="s">
        <v>120</v>
      </c>
      <c r="C35" s="159">
        <f t="shared" si="0"/>
        <v>0</v>
      </c>
      <c r="D35" s="160"/>
      <c r="E35" s="161"/>
      <c r="G35" s="6"/>
      <c r="H35" s="39"/>
      <c r="I35" s="28"/>
      <c r="J35" s="6" t="s">
        <v>93</v>
      </c>
      <c r="K35" s="39" t="s">
        <v>340</v>
      </c>
      <c r="L35" s="28">
        <v>-60000</v>
      </c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49" t="s">
        <v>91</v>
      </c>
      <c r="C36" s="159">
        <f t="shared" si="0"/>
        <v>0</v>
      </c>
      <c r="D36" s="160"/>
      <c r="E36" s="161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49" t="s">
        <v>102</v>
      </c>
      <c r="C37" s="159">
        <f t="shared" si="0"/>
        <v>10000</v>
      </c>
      <c r="D37" s="160"/>
      <c r="E37" s="161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49" t="s">
        <v>118</v>
      </c>
      <c r="C38" s="159">
        <f t="shared" si="0"/>
        <v>0</v>
      </c>
      <c r="D38" s="160"/>
      <c r="E38" s="161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49" t="s">
        <v>108</v>
      </c>
      <c r="C39" s="159">
        <f t="shared" si="0"/>
        <v>10000</v>
      </c>
      <c r="D39" s="160"/>
      <c r="E39" s="161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49" t="s">
        <v>129</v>
      </c>
      <c r="C40" s="159">
        <f t="shared" si="0"/>
        <v>0</v>
      </c>
      <c r="D40" s="160"/>
      <c r="E40" s="161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49" t="s">
        <v>100</v>
      </c>
      <c r="C41" s="159">
        <f t="shared" si="0"/>
        <v>0</v>
      </c>
      <c r="D41" s="160"/>
      <c r="E41" s="161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49" t="s">
        <v>123</v>
      </c>
      <c r="C42" s="159">
        <f t="shared" si="0"/>
        <v>0</v>
      </c>
      <c r="D42" s="160"/>
      <c r="E42" s="161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49" t="s">
        <v>111</v>
      </c>
      <c r="C43" s="159">
        <f t="shared" si="0"/>
        <v>0</v>
      </c>
      <c r="D43" s="160"/>
      <c r="E43" s="161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116</v>
      </c>
      <c r="C44" s="159">
        <f t="shared" si="0"/>
        <v>0</v>
      </c>
      <c r="D44" s="160"/>
      <c r="E44" s="161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112</v>
      </c>
      <c r="C45" s="159">
        <f t="shared" si="0"/>
        <v>0</v>
      </c>
      <c r="D45" s="160"/>
      <c r="E45" s="161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126</v>
      </c>
      <c r="C46" s="159">
        <f t="shared" si="0"/>
        <v>0</v>
      </c>
      <c r="D46" s="160"/>
      <c r="E46" s="161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139</v>
      </c>
      <c r="C48" s="162" t="str">
        <f>IF(ABS(SUM(C27:E46))&lt;&gt;ABS(SUM(L89,V89)),"항목 추가해주세요","-")</f>
        <v>-</v>
      </c>
      <c r="D48" s="163"/>
      <c r="E48" s="164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136" t="s">
        <v>150</v>
      </c>
      <c r="C50" s="168"/>
      <c r="D50" s="168"/>
      <c r="E50" s="137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65" t="s">
        <v>30</v>
      </c>
      <c r="D51" s="166"/>
      <c r="E51" s="167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146</v>
      </c>
      <c r="C52" s="159">
        <f>(SUMIF($G$7:$G$88,B52,$I$7:$I$88)+SUMIF($Q$7:$Q$88,B52,$S$7:$S$88))</f>
        <v>0</v>
      </c>
      <c r="D52" s="160"/>
      <c r="E52" s="161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147</v>
      </c>
      <c r="C53" s="159">
        <f>(SUMIF($G$7:$G$88,B53,$I$7:$I$88)+SUMIF($Q$7:$Q$88,B53,$S$7:$S$88))</f>
        <v>4201135</v>
      </c>
      <c r="D53" s="160"/>
      <c r="E53" s="161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148</v>
      </c>
      <c r="C54" s="159">
        <f>(SUMIF($G$7:$G$88,B54,$I$7:$I$88)+SUMIF($Q$7:$Q$88,B54,$S$7:$S$88))</f>
        <v>0</v>
      </c>
      <c r="D54" s="160"/>
      <c r="E54" s="161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149</v>
      </c>
      <c r="C55" s="159">
        <f>(SUMIF($G$7:$G$88,B55,$I$7:$I$88)+SUMIF($Q$7:$Q$88,B55,$S$7:$S$88))</f>
        <v>0</v>
      </c>
      <c r="D55" s="160"/>
      <c r="E55" s="161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139</v>
      </c>
      <c r="C57" s="162" t="str">
        <f>IF(ABS(SUM(C52:E55))&lt;&gt;ABS(SUM(I89,S89)),"항목 추가해주세요","-")</f>
        <v>-</v>
      </c>
      <c r="D57" s="163"/>
      <c r="E57" s="164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4201135</v>
      </c>
      <c r="J89" s="7" t="s">
        <v>24</v>
      </c>
      <c r="K89" s="22" t="s">
        <v>34</v>
      </c>
      <c r="L89" s="21">
        <f>SUM(L7:L88)</f>
        <v>-3675260</v>
      </c>
      <c r="M89" s="7" t="s">
        <v>24</v>
      </c>
      <c r="N89" s="22" t="s">
        <v>34</v>
      </c>
      <c r="O89" s="21">
        <f>SUM(O7:O88)</f>
        <v>-895014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-369139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mergeCells count="43">
    <mergeCell ref="C45:E45"/>
    <mergeCell ref="C46:E46"/>
    <mergeCell ref="C48:E48"/>
    <mergeCell ref="C40:E40"/>
    <mergeCell ref="C41:E41"/>
    <mergeCell ref="C42:E42"/>
    <mergeCell ref="C43:E43"/>
    <mergeCell ref="C44:E4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  <mergeCell ref="C55:E55"/>
    <mergeCell ref="C57:E57"/>
    <mergeCell ref="B50:E50"/>
    <mergeCell ref="C51:E51"/>
    <mergeCell ref="C52:E52"/>
    <mergeCell ref="C53:E53"/>
    <mergeCell ref="C54:E5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2289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2289" r:id="rId3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91498-B0B1-43C0-A3EF-AAC178E71858}">
  <sheetPr codeName="Sheet19">
    <tabColor rgb="FFFF89C4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26.25" bestFit="1" customWidth="1"/>
    <col min="12" max="12" width="12.625" bestFit="1" customWidth="1"/>
    <col min="13" max="13" width="11" bestFit="1" customWidth="1"/>
    <col min="14" max="14" width="17.25" bestFit="1" customWidth="1"/>
    <col min="15" max="15" width="11.75" bestFit="1" customWidth="1"/>
    <col min="16" max="16" width="2.375" customWidth="1"/>
    <col min="18" max="18" width="15.125" bestFit="1" customWidth="1"/>
    <col min="19" max="19" width="9.25" bestFit="1" customWidth="1"/>
    <col min="20" max="20" width="9.75" bestFit="1" customWidth="1"/>
    <col min="21" max="21" width="21.375" bestFit="1" customWidth="1"/>
    <col min="22" max="22" width="11.5" bestFit="1" customWidth="1"/>
    <col min="24" max="24" width="9.625" bestFit="1" customWidth="1"/>
    <col min="25" max="25" width="10.625" bestFit="1" customWidth="1"/>
  </cols>
  <sheetData>
    <row r="2" spans="2:25" ht="24.75" thickBot="1" x14ac:dyDescent="0.35">
      <c r="B2" s="169" t="s">
        <v>82</v>
      </c>
      <c r="C2" s="169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74">
        <v>10000000</v>
      </c>
      <c r="D4" s="174"/>
      <c r="G4" s="182" t="str">
        <f>설정!D4</f>
        <v>천세원</v>
      </c>
      <c r="H4" s="183"/>
      <c r="I4" s="183"/>
      <c r="J4" s="183"/>
      <c r="K4" s="183"/>
      <c r="L4" s="183"/>
      <c r="M4" s="183"/>
      <c r="N4" s="183"/>
      <c r="O4" s="184"/>
      <c r="Q4" s="179" t="str">
        <f>설정!D6</f>
        <v>하유진</v>
      </c>
      <c r="R4" s="180"/>
      <c r="S4" s="180"/>
      <c r="T4" s="180"/>
      <c r="U4" s="180"/>
      <c r="V4" s="180"/>
      <c r="W4" s="180"/>
      <c r="X4" s="180"/>
      <c r="Y4" s="181"/>
    </row>
    <row r="5" spans="2:25" x14ac:dyDescent="0.3">
      <c r="B5" s="2" t="s">
        <v>36</v>
      </c>
      <c r="C5" s="174">
        <f>I90+S90</f>
        <v>14717156</v>
      </c>
      <c r="D5" s="174"/>
      <c r="G5" s="136" t="s">
        <v>27</v>
      </c>
      <c r="H5" s="168"/>
      <c r="I5" s="137"/>
      <c r="J5" s="134" t="s">
        <v>31</v>
      </c>
      <c r="K5" s="170"/>
      <c r="L5" s="135"/>
      <c r="M5" s="171" t="s">
        <v>32</v>
      </c>
      <c r="N5" s="172"/>
      <c r="O5" s="173"/>
      <c r="Q5" s="136" t="s">
        <v>27</v>
      </c>
      <c r="R5" s="168"/>
      <c r="S5" s="137"/>
      <c r="T5" s="134" t="s">
        <v>31</v>
      </c>
      <c r="U5" s="170"/>
      <c r="V5" s="135"/>
      <c r="W5" s="171" t="s">
        <v>32</v>
      </c>
      <c r="X5" s="172"/>
      <c r="Y5" s="173"/>
    </row>
    <row r="6" spans="2:25" x14ac:dyDescent="0.3">
      <c r="B6" s="2" t="s">
        <v>38</v>
      </c>
      <c r="C6" s="174">
        <f>C4-C5</f>
        <v>-4717156</v>
      </c>
      <c r="D6" s="174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5">
        <f>(C5)/(C4)</f>
        <v>1.4717156</v>
      </c>
      <c r="D7" s="175"/>
      <c r="G7" s="6" t="s">
        <v>86</v>
      </c>
      <c r="H7" s="39" t="s">
        <v>306</v>
      </c>
      <c r="I7" s="28">
        <v>189</v>
      </c>
      <c r="J7" s="6" t="s">
        <v>99</v>
      </c>
      <c r="K7" s="39" t="s">
        <v>297</v>
      </c>
      <c r="L7" s="28">
        <v>-2500</v>
      </c>
      <c r="M7" s="6" t="s">
        <v>57</v>
      </c>
      <c r="N7" s="39" t="s">
        <v>652</v>
      </c>
      <c r="O7" s="40">
        <v>112700</v>
      </c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 t="s">
        <v>208</v>
      </c>
      <c r="H8" s="39" t="s">
        <v>634</v>
      </c>
      <c r="I8" s="28">
        <v>4201485</v>
      </c>
      <c r="J8" s="6" t="s">
        <v>90</v>
      </c>
      <c r="K8" s="39" t="s">
        <v>98</v>
      </c>
      <c r="L8" s="28">
        <v>-10000</v>
      </c>
      <c r="M8" s="6" t="s">
        <v>101</v>
      </c>
      <c r="N8" s="39" t="s">
        <v>228</v>
      </c>
      <c r="O8" s="26">
        <v>10000000</v>
      </c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 t="s">
        <v>229</v>
      </c>
      <c r="H9" s="39" t="s">
        <v>656</v>
      </c>
      <c r="I9" s="28">
        <v>8000000</v>
      </c>
      <c r="J9" s="6" t="s">
        <v>94</v>
      </c>
      <c r="K9" s="39" t="s">
        <v>649</v>
      </c>
      <c r="L9" s="28">
        <v>-24000</v>
      </c>
      <c r="M9" s="6" t="s">
        <v>213</v>
      </c>
      <c r="N9" s="39" t="s">
        <v>653</v>
      </c>
      <c r="O9" s="26">
        <v>-10094000</v>
      </c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 t="s">
        <v>86</v>
      </c>
      <c r="H10" s="39" t="s">
        <v>217</v>
      </c>
      <c r="I10" s="28">
        <v>0</v>
      </c>
      <c r="J10" s="6" t="s">
        <v>89</v>
      </c>
      <c r="K10" s="39" t="s">
        <v>650</v>
      </c>
      <c r="L10" s="28">
        <v>-60000</v>
      </c>
      <c r="M10" s="6" t="s">
        <v>116</v>
      </c>
      <c r="N10" s="39" t="s">
        <v>225</v>
      </c>
      <c r="O10" s="26">
        <v>0</v>
      </c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/>
      <c r="H11" s="39"/>
      <c r="I11" s="28"/>
      <c r="J11" s="6" t="s">
        <v>89</v>
      </c>
      <c r="K11" s="39" t="s">
        <v>308</v>
      </c>
      <c r="L11" s="28">
        <v>-16500</v>
      </c>
      <c r="M11" s="6" t="s">
        <v>101</v>
      </c>
      <c r="N11" s="39" t="s">
        <v>228</v>
      </c>
      <c r="O11" s="26">
        <v>1000000</v>
      </c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/>
      <c r="H12" s="39"/>
      <c r="I12" s="28"/>
      <c r="J12" s="6" t="s">
        <v>94</v>
      </c>
      <c r="K12" s="39" t="s">
        <v>651</v>
      </c>
      <c r="L12" s="28">
        <v>-12500</v>
      </c>
      <c r="M12" s="6" t="s">
        <v>213</v>
      </c>
      <c r="N12" s="39">
        <v>1040425925447</v>
      </c>
      <c r="O12" s="26">
        <v>6095530</v>
      </c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/>
      <c r="H13" s="39"/>
      <c r="I13" s="28"/>
      <c r="J13" s="6" t="s">
        <v>93</v>
      </c>
      <c r="K13" s="39" t="s">
        <v>654</v>
      </c>
      <c r="L13" s="28">
        <v>-35950</v>
      </c>
      <c r="M13" s="6" t="s">
        <v>213</v>
      </c>
      <c r="N13" s="39">
        <v>1020500099994</v>
      </c>
      <c r="O13" s="26">
        <v>30812160</v>
      </c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/>
      <c r="H14" s="39"/>
      <c r="I14" s="28"/>
      <c r="J14" s="6" t="s">
        <v>92</v>
      </c>
      <c r="K14" s="39" t="s">
        <v>203</v>
      </c>
      <c r="L14" s="28">
        <v>-40490</v>
      </c>
      <c r="M14" s="6" t="s">
        <v>101</v>
      </c>
      <c r="N14" s="39" t="s">
        <v>392</v>
      </c>
      <c r="O14" s="26">
        <v>-12481</v>
      </c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 t="s">
        <v>89</v>
      </c>
      <c r="K15" s="39" t="s">
        <v>655</v>
      </c>
      <c r="L15" s="28">
        <v>-1000000</v>
      </c>
      <c r="M15" s="6" t="s">
        <v>101</v>
      </c>
      <c r="N15" s="39" t="s">
        <v>228</v>
      </c>
      <c r="O15" s="26">
        <v>22000000</v>
      </c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 t="s">
        <v>92</v>
      </c>
      <c r="K16" s="39">
        <v>1200706606988</v>
      </c>
      <c r="L16" s="28">
        <v>-8000762</v>
      </c>
      <c r="M16" s="6" t="s">
        <v>213</v>
      </c>
      <c r="N16" s="39" t="s">
        <v>653</v>
      </c>
      <c r="O16" s="26">
        <v>-40376000</v>
      </c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 t="s">
        <v>89</v>
      </c>
      <c r="K17" s="39" t="s">
        <v>223</v>
      </c>
      <c r="L17" s="28">
        <v>-36120</v>
      </c>
      <c r="M17" s="6" t="s">
        <v>101</v>
      </c>
      <c r="N17" s="39" t="s">
        <v>312</v>
      </c>
      <c r="O17" s="26">
        <v>-17800</v>
      </c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 t="s">
        <v>89</v>
      </c>
      <c r="K18" s="39" t="s">
        <v>106</v>
      </c>
      <c r="L18" s="28">
        <v>-2000000</v>
      </c>
      <c r="M18" s="6" t="s">
        <v>107</v>
      </c>
      <c r="N18" s="39" t="s">
        <v>110</v>
      </c>
      <c r="O18" s="26">
        <v>-611125</v>
      </c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 t="s">
        <v>90</v>
      </c>
      <c r="K19" s="39" t="s">
        <v>659</v>
      </c>
      <c r="L19" s="28">
        <v>-180</v>
      </c>
      <c r="M19" s="6" t="s">
        <v>213</v>
      </c>
      <c r="N19" s="39" t="s">
        <v>225</v>
      </c>
      <c r="O19" s="26">
        <v>300000</v>
      </c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 t="s">
        <v>89</v>
      </c>
      <c r="K20" s="39" t="s">
        <v>660</v>
      </c>
      <c r="L20" s="28">
        <v>-500000</v>
      </c>
      <c r="M20" s="6" t="s">
        <v>213</v>
      </c>
      <c r="N20" s="39" t="s">
        <v>657</v>
      </c>
      <c r="O20" s="26">
        <v>-300000</v>
      </c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 t="s">
        <v>89</v>
      </c>
      <c r="K21" s="39" t="s">
        <v>655</v>
      </c>
      <c r="L21" s="28">
        <v>-4444000</v>
      </c>
      <c r="M21" s="6" t="s">
        <v>116</v>
      </c>
      <c r="N21" s="39" t="s">
        <v>225</v>
      </c>
      <c r="O21" s="26">
        <v>0</v>
      </c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/>
      <c r="K22" s="39"/>
      <c r="L22" s="28"/>
      <c r="M22" s="6" t="s">
        <v>107</v>
      </c>
      <c r="N22" s="39" t="s">
        <v>658</v>
      </c>
      <c r="O22" s="26">
        <v>-100000</v>
      </c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/>
      <c r="K23" s="39"/>
      <c r="L23" s="28"/>
      <c r="M23" s="6" t="s">
        <v>213</v>
      </c>
      <c r="N23" s="39" t="s">
        <v>227</v>
      </c>
      <c r="O23" s="26">
        <v>-100000</v>
      </c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/>
      <c r="K24" s="39"/>
      <c r="L24" s="28"/>
      <c r="M24" s="6" t="s">
        <v>101</v>
      </c>
      <c r="N24" s="39" t="s">
        <v>392</v>
      </c>
      <c r="O24" s="26">
        <v>-10500</v>
      </c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134" t="s">
        <v>143</v>
      </c>
      <c r="C25" s="170"/>
      <c r="D25" s="170"/>
      <c r="E25" s="135"/>
      <c r="G25" s="6"/>
      <c r="H25" s="39"/>
      <c r="I25" s="28"/>
      <c r="J25" s="6"/>
      <c r="K25" s="39"/>
      <c r="L25" s="28"/>
      <c r="M25" s="6"/>
      <c r="N25" s="39"/>
      <c r="O25" s="26"/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48" t="s">
        <v>28</v>
      </c>
      <c r="C26" s="165" t="s">
        <v>30</v>
      </c>
      <c r="D26" s="166"/>
      <c r="E26" s="167"/>
      <c r="G26" s="6"/>
      <c r="H26" s="39"/>
      <c r="I26" s="28"/>
      <c r="J26" s="6"/>
      <c r="K26" s="39"/>
      <c r="L26" s="28"/>
      <c r="M26" s="6"/>
      <c r="N26" s="39"/>
      <c r="O26" s="26"/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48" t="s">
        <v>89</v>
      </c>
      <c r="C27" s="159">
        <f t="shared" ref="C27:C46" si="0">-(SUMIF($J$7:$J$88,B27,$L$7:$L$88)+SUMIF($T$7:$T$88,B27,$V$7:$V$88))</f>
        <v>8056620</v>
      </c>
      <c r="D27" s="160"/>
      <c r="E27" s="161"/>
      <c r="G27" s="6"/>
      <c r="H27" s="39"/>
      <c r="I27" s="28"/>
      <c r="J27" s="6"/>
      <c r="K27" s="39"/>
      <c r="L27" s="28"/>
      <c r="M27" s="6"/>
      <c r="N27" s="39"/>
      <c r="O27" s="26"/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49" t="s">
        <v>90</v>
      </c>
      <c r="C28" s="159">
        <f t="shared" si="0"/>
        <v>10180</v>
      </c>
      <c r="D28" s="160"/>
      <c r="E28" s="161"/>
      <c r="G28" s="6"/>
      <c r="H28" s="39"/>
      <c r="I28" s="28"/>
      <c r="J28" s="6"/>
      <c r="K28" s="39"/>
      <c r="L28" s="28"/>
      <c r="M28" s="6"/>
      <c r="N28" s="39"/>
      <c r="O28" s="26"/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49" t="s">
        <v>94</v>
      </c>
      <c r="C29" s="159">
        <f t="shared" si="0"/>
        <v>36500</v>
      </c>
      <c r="D29" s="160"/>
      <c r="E29" s="161"/>
      <c r="G29" s="6"/>
      <c r="H29" s="39"/>
      <c r="I29" s="28"/>
      <c r="J29" s="6"/>
      <c r="K29" s="39"/>
      <c r="L29" s="28"/>
      <c r="M29" s="6"/>
      <c r="N29" s="39"/>
      <c r="O29" s="26"/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49" t="s">
        <v>92</v>
      </c>
      <c r="C30" s="159">
        <f t="shared" si="0"/>
        <v>8041252</v>
      </c>
      <c r="D30" s="160"/>
      <c r="E30" s="161"/>
      <c r="G30" s="6"/>
      <c r="H30" s="39"/>
      <c r="I30" s="28"/>
      <c r="J30" s="6"/>
      <c r="K30" s="39"/>
      <c r="L30" s="28"/>
      <c r="M30" s="6"/>
      <c r="N30" s="39"/>
      <c r="O30" s="26"/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49" t="s">
        <v>96</v>
      </c>
      <c r="C31" s="159">
        <f t="shared" si="0"/>
        <v>0</v>
      </c>
      <c r="D31" s="160"/>
      <c r="E31" s="161"/>
      <c r="G31" s="6"/>
      <c r="H31" s="39"/>
      <c r="I31" s="28"/>
      <c r="J31" s="6"/>
      <c r="K31" s="39"/>
      <c r="L31" s="28"/>
      <c r="M31" s="6"/>
      <c r="N31" s="39"/>
      <c r="O31" s="26"/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49" t="s">
        <v>93</v>
      </c>
      <c r="C32" s="159">
        <f t="shared" si="0"/>
        <v>35950</v>
      </c>
      <c r="D32" s="160"/>
      <c r="E32" s="161"/>
      <c r="G32" s="6"/>
      <c r="H32" s="39"/>
      <c r="I32" s="28"/>
      <c r="J32" s="6"/>
      <c r="K32" s="39"/>
      <c r="L32" s="28"/>
      <c r="M32" s="6"/>
      <c r="N32" s="39"/>
      <c r="O32" s="26"/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49" t="s">
        <v>103</v>
      </c>
      <c r="C33" s="159">
        <f t="shared" si="0"/>
        <v>0</v>
      </c>
      <c r="D33" s="160"/>
      <c r="E33" s="161"/>
      <c r="G33" s="6"/>
      <c r="H33" s="39"/>
      <c r="I33" s="28"/>
      <c r="J33" s="6"/>
      <c r="K33" s="39"/>
      <c r="L33" s="28"/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49" t="s">
        <v>99</v>
      </c>
      <c r="C34" s="159">
        <f t="shared" si="0"/>
        <v>2500</v>
      </c>
      <c r="D34" s="160"/>
      <c r="E34" s="161"/>
      <c r="G34" s="6"/>
      <c r="H34" s="39"/>
      <c r="I34" s="28"/>
      <c r="J34" s="6"/>
      <c r="K34" s="39"/>
      <c r="L34" s="28"/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49" t="s">
        <v>120</v>
      </c>
      <c r="C35" s="159">
        <f t="shared" si="0"/>
        <v>0</v>
      </c>
      <c r="D35" s="160"/>
      <c r="E35" s="161"/>
      <c r="G35" s="6"/>
      <c r="H35" s="39"/>
      <c r="I35" s="28"/>
      <c r="J35" s="6"/>
      <c r="K35" s="39"/>
      <c r="L35" s="28"/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49" t="s">
        <v>91</v>
      </c>
      <c r="C36" s="159">
        <f t="shared" si="0"/>
        <v>0</v>
      </c>
      <c r="D36" s="160"/>
      <c r="E36" s="161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49" t="s">
        <v>102</v>
      </c>
      <c r="C37" s="159">
        <f t="shared" si="0"/>
        <v>0</v>
      </c>
      <c r="D37" s="160"/>
      <c r="E37" s="161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49" t="s">
        <v>118</v>
      </c>
      <c r="C38" s="159">
        <f t="shared" si="0"/>
        <v>0</v>
      </c>
      <c r="D38" s="160"/>
      <c r="E38" s="161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49" t="s">
        <v>108</v>
      </c>
      <c r="C39" s="159">
        <f t="shared" si="0"/>
        <v>0</v>
      </c>
      <c r="D39" s="160"/>
      <c r="E39" s="161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49" t="s">
        <v>129</v>
      </c>
      <c r="C40" s="159">
        <f t="shared" si="0"/>
        <v>0</v>
      </c>
      <c r="D40" s="160"/>
      <c r="E40" s="161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49" t="s">
        <v>100</v>
      </c>
      <c r="C41" s="159">
        <f t="shared" si="0"/>
        <v>0</v>
      </c>
      <c r="D41" s="160"/>
      <c r="E41" s="161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49" t="s">
        <v>123</v>
      </c>
      <c r="C42" s="159">
        <f t="shared" si="0"/>
        <v>0</v>
      </c>
      <c r="D42" s="160"/>
      <c r="E42" s="161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49" t="s">
        <v>111</v>
      </c>
      <c r="C43" s="159">
        <f t="shared" si="0"/>
        <v>0</v>
      </c>
      <c r="D43" s="160"/>
      <c r="E43" s="161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116</v>
      </c>
      <c r="C44" s="159">
        <f t="shared" si="0"/>
        <v>0</v>
      </c>
      <c r="D44" s="160"/>
      <c r="E44" s="161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112</v>
      </c>
      <c r="C45" s="159">
        <f t="shared" si="0"/>
        <v>0</v>
      </c>
      <c r="D45" s="160"/>
      <c r="E45" s="161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126</v>
      </c>
      <c r="C46" s="159">
        <f t="shared" si="0"/>
        <v>0</v>
      </c>
      <c r="D46" s="160"/>
      <c r="E46" s="161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139</v>
      </c>
      <c r="C48" s="162" t="str">
        <f>IF(ABS(SUM(C27:E46))&lt;&gt;ABS(SUM(L89,V89)),"항목 추가해주세요","-")</f>
        <v>-</v>
      </c>
      <c r="D48" s="163"/>
      <c r="E48" s="164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136" t="s">
        <v>150</v>
      </c>
      <c r="C50" s="168"/>
      <c r="D50" s="168"/>
      <c r="E50" s="137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65" t="s">
        <v>30</v>
      </c>
      <c r="D51" s="166"/>
      <c r="E51" s="167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146</v>
      </c>
      <c r="C52" s="159">
        <f>(SUMIF($G$7:$G$88,B52,$I$7:$I$88)+SUMIF($Q$7:$Q$88,B52,$S$7:$S$88))</f>
        <v>189</v>
      </c>
      <c r="D52" s="160"/>
      <c r="E52" s="161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147</v>
      </c>
      <c r="C53" s="159">
        <f>(SUMIF($G$7:$G$88,B53,$I$7:$I$88)+SUMIF($Q$7:$Q$88,B53,$S$7:$S$88))</f>
        <v>4201485</v>
      </c>
      <c r="D53" s="160"/>
      <c r="E53" s="161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148</v>
      </c>
      <c r="C54" s="159">
        <f>(SUMIF($G$7:$G$88,B54,$I$7:$I$88)+SUMIF($Q$7:$Q$88,B54,$S$7:$S$88))</f>
        <v>8000000</v>
      </c>
      <c r="D54" s="160"/>
      <c r="E54" s="161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149</v>
      </c>
      <c r="C55" s="159">
        <f>(SUMIF($G$7:$G$88,B55,$I$7:$I$88)+SUMIF($Q$7:$Q$88,B55,$S$7:$S$88))</f>
        <v>0</v>
      </c>
      <c r="D55" s="160"/>
      <c r="E55" s="161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139</v>
      </c>
      <c r="C57" s="162" t="str">
        <f>IF(ABS(SUM(C52:E55))&lt;&gt;ABS(SUM(I89,S89)),"항목 추가해주세요","-")</f>
        <v>-</v>
      </c>
      <c r="D57" s="163"/>
      <c r="E57" s="164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12201674</v>
      </c>
      <c r="J89" s="7" t="s">
        <v>24</v>
      </c>
      <c r="K89" s="22" t="s">
        <v>34</v>
      </c>
      <c r="L89" s="21">
        <f>SUM(L7:L88)</f>
        <v>-16183002</v>
      </c>
      <c r="M89" s="7" t="s">
        <v>24</v>
      </c>
      <c r="N89" s="22" t="s">
        <v>34</v>
      </c>
      <c r="O89" s="21">
        <f>SUM(O7:O88)</f>
        <v>18698484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14717156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mergeCells count="43">
    <mergeCell ref="C45:E45"/>
    <mergeCell ref="C46:E46"/>
    <mergeCell ref="C48:E48"/>
    <mergeCell ref="C40:E40"/>
    <mergeCell ref="C41:E41"/>
    <mergeCell ref="C42:E42"/>
    <mergeCell ref="C43:E43"/>
    <mergeCell ref="C44:E4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  <mergeCell ref="C55:E55"/>
    <mergeCell ref="C57:E57"/>
    <mergeCell ref="B50:E50"/>
    <mergeCell ref="C51:E51"/>
    <mergeCell ref="C52:E52"/>
    <mergeCell ref="C53:E53"/>
    <mergeCell ref="C54:E5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docMetadata/LabelInfo.xml><?xml version="1.0" encoding="utf-8"?>
<clbl:labelList xmlns:clbl="http://schemas.microsoft.com/office/2020/mipLabelMetadata">
  <clbl:label id="{6006a9c5-d130-408c-bc8e-3b5ecdb17aa0}" enabled="1" method="Standard" siteId="{8d4b558f-7b2e-40ba-ad1f-e04d79e6265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대시보드</vt:lpstr>
      <vt:lpstr>재무상태표</vt:lpstr>
      <vt:lpstr>저축</vt:lpstr>
      <vt:lpstr>투자</vt:lpstr>
      <vt:lpstr>손익계산서</vt:lpstr>
      <vt:lpstr>설정</vt:lpstr>
      <vt:lpstr>1월</vt:lpstr>
      <vt:lpstr>2월</vt:lpstr>
      <vt:lpstr>3월</vt:lpstr>
      <vt:lpstr>4월</vt:lpstr>
      <vt:lpstr>5월</vt:lpstr>
      <vt:lpstr>6월</vt:lpstr>
      <vt:lpstr>7월</vt:lpstr>
      <vt:lpstr>8월</vt:lpstr>
      <vt:lpstr>9월</vt:lpstr>
      <vt:lpstr>10월</vt:lpstr>
      <vt:lpstr>11월</vt:lpstr>
      <vt:lpstr>12월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3337</dc:creator>
  <cp:lastModifiedBy>Chun, SaeWon</cp:lastModifiedBy>
  <dcterms:created xsi:type="dcterms:W3CDTF">2024-12-26T15:06:29Z</dcterms:created>
  <dcterms:modified xsi:type="dcterms:W3CDTF">2026-07-10T05:46:47Z</dcterms:modified>
</cp:coreProperties>
</file>