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4.xml" ContentType="application/vnd.openxmlformats-officedocument.spreadsheetml.comments+xml"/>
  <Override PartName="/xl/drawings/drawing22.xml" ContentType="application/vnd.openxmlformats-officedocument.drawing+xml"/>
  <Override PartName="/xl/comments5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6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7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ink\Dropbox\Onedrive\엑셀 가계부 양식\"/>
    </mc:Choice>
  </mc:AlternateContent>
  <xr:revisionPtr revIDLastSave="0" documentId="13_ncr:1_{42052320-E99F-4C1D-8E7B-EA93375B8D76}" xr6:coauthVersionLast="47" xr6:coauthVersionMax="47" xr10:uidLastSave="{00000000-0000-0000-0000-000000000000}"/>
  <bookViews>
    <workbookView xWindow="28680" yWindow="-120" windowWidth="29040" windowHeight="15990" tabRatio="842" xr2:uid="{00000000-000D-0000-FFFF-FFFF00000000}"/>
  </bookViews>
  <sheets>
    <sheet name="사용안내" sheetId="102" r:id="rId1"/>
    <sheet name="메인" sheetId="56" r:id="rId2"/>
    <sheet name="항목" sheetId="7" r:id="rId3"/>
    <sheet name="1월" sheetId="67" r:id="rId4"/>
    <sheet name="2월" sheetId="68" r:id="rId5"/>
    <sheet name="3월" sheetId="69" r:id="rId6"/>
    <sheet name="4월" sheetId="40" r:id="rId7"/>
    <sheet name="5월" sheetId="59" r:id="rId8"/>
    <sheet name="6월" sheetId="60" r:id="rId9"/>
    <sheet name="7월" sheetId="61" r:id="rId10"/>
    <sheet name="8월" sheetId="62" r:id="rId11"/>
    <sheet name="9월" sheetId="63" r:id="rId12"/>
    <sheet name="10월" sheetId="64" r:id="rId13"/>
    <sheet name="11월" sheetId="65" r:id="rId14"/>
    <sheet name="12월" sheetId="66" r:id="rId15"/>
    <sheet name="예산" sheetId="1" r:id="rId16"/>
    <sheet name="결산" sheetId="21" r:id="rId17"/>
    <sheet name="연간_항목별수입" sheetId="17" r:id="rId18"/>
    <sheet name="연간_카드별지출" sheetId="20" r:id="rId19"/>
    <sheet name="연간_항목별지출" sheetId="16" r:id="rId20"/>
    <sheet name="연간_세부항목별지출" sheetId="18" r:id="rId21"/>
    <sheet name="자산현황" sheetId="81" r:id="rId22"/>
    <sheet name="계좌현황" sheetId="87" r:id="rId23"/>
    <sheet name="비상금관리" sheetId="83" r:id="rId24"/>
    <sheet name="예금관리" sheetId="85" r:id="rId25"/>
    <sheet name="적금관리" sheetId="94" r:id="rId26"/>
    <sheet name="부채관리" sheetId="99" r:id="rId27"/>
    <sheet name="대출1" sheetId="97" r:id="rId28"/>
    <sheet name="대출2" sheetId="103" r:id="rId29"/>
    <sheet name="대출3" sheetId="104" r:id="rId30"/>
  </sheets>
  <externalReferences>
    <externalReference r:id="rId31"/>
  </externalReferences>
  <definedNames>
    <definedName name="_xlnm._FilterDatabase" localSheetId="22" hidden="1">계좌현황!$B$5:$J$25</definedName>
    <definedName name="_xlnm._FilterDatabase" localSheetId="23" hidden="1">비상금관리!$B$4:$K$33</definedName>
    <definedName name="_xlnm._FilterDatabase" localSheetId="21" hidden="1">자산현황!#REF!</definedName>
    <definedName name="_xlnm.Print_Area" localSheetId="4">'2월'!$A$1:$P$95</definedName>
    <definedName name="_xlnm.Print_Area" localSheetId="8">'6월'!$A$1:$P$95</definedName>
    <definedName name="_xlnm.Print_Area" localSheetId="10">'8월'!$A$1:$P$95</definedName>
    <definedName name="_xlnm.Print_Area" localSheetId="16">결산!$A$1:$Q$21</definedName>
    <definedName name="_xlnm.Print_Area" localSheetId="22">계좌현황!$A$1:$K$26</definedName>
    <definedName name="_xlnm.Print_Area" localSheetId="27">대출1!$A$1:$I$609</definedName>
    <definedName name="_xlnm.Print_Area" localSheetId="28">대출2!$A$1:$I$609</definedName>
    <definedName name="_xlnm.Print_Area" localSheetId="29">대출3!$A$1:$I$609</definedName>
    <definedName name="_xlnm.Print_Area" localSheetId="1">메인!$A$1:$S$39</definedName>
    <definedName name="_xlnm.Print_Area" localSheetId="26">부채관리!$A$1:$N$17</definedName>
    <definedName name="_xlnm.Print_Area" localSheetId="23">비상금관리!$A$1:$P$45</definedName>
    <definedName name="_xlnm.Print_Area" localSheetId="0">사용안내!$B$1:$K$30</definedName>
    <definedName name="_xlnm.Print_Area" localSheetId="20">연간_세부항목별지출!$A$1:$S$218</definedName>
    <definedName name="_xlnm.Print_Area" localSheetId="18">연간_카드별지출!$A$1:$Q$26</definedName>
    <definedName name="_xlnm.Print_Area" localSheetId="17">연간_항목별수입!$A$1:$Q$24</definedName>
    <definedName name="_xlnm.Print_Area" localSheetId="19">연간_항목별지출!$A$1:$Q$34</definedName>
    <definedName name="_xlnm.Print_Area" localSheetId="24">예금관리!$A$1:$P$17</definedName>
    <definedName name="_xlnm.Print_Area" localSheetId="15">예산!$A$1:$Q$55</definedName>
    <definedName name="_xlnm.Print_Area" localSheetId="21">자산현황!$A$1:$G$24</definedName>
    <definedName name="_xlnm.Print_Area" localSheetId="25">적금관리!$A$1:$S$17</definedName>
    <definedName name="_xlnm.Print_Area" localSheetId="2">항목!$A$1:$R$19</definedName>
    <definedName name="경조사회비">OFFSET(항목!$P$4,0,0,COUNTA(항목!$P$4:$P$18),1)</definedName>
    <definedName name="계정">OFFSET(항목!$B$4,0,0,COUNTA(항목!$B$4:$B$18),1)</definedName>
    <definedName name="공휴일">[1]공휴일!$C$2:$C$29</definedName>
    <definedName name="공휴일연도">[1]이름지정!$C$2:$C$634</definedName>
    <definedName name="공휴일월">[1]공휴일!$A$2:$A$29</definedName>
    <definedName name="공휴일이름">[1]공휴일!$D$2:$D$29</definedName>
    <definedName name="공휴일일">[1]공휴일!$B$2:$B$29</definedName>
    <definedName name="교육계발비">OFFSET(항목!$K$4,0,0,COUNTA(항목!$K$4:$K$18),1)</definedName>
    <definedName name="기념일">[1]공휴일!$G$2:$G$60</definedName>
    <definedName name="기념일월">[1]공휴일!$E$2:$E$60</definedName>
    <definedName name="기념일이름">[1]공휴일!$H$2:$H$60</definedName>
    <definedName name="기념일일">[1]공휴일!$F$2:$F$60</definedName>
    <definedName name="날짜">[1]이름지정!$D$2:$D$637</definedName>
    <definedName name="대분류">항목!$C$3:$Q$3</definedName>
    <definedName name="문화생활비">OFFSET(항목!$L$4,0,0,COUNTA(항목!$L$4:$L$18),1)</definedName>
    <definedName name="미용비">OFFSET(항목!$J$4,0,0,COUNTA(항목!$J$4:$J$18),1)</definedName>
    <definedName name="반려동물비">OFFSET(항목!$H$4,0,0,COUNTA(항목!$H$4:$H$18),1)</definedName>
    <definedName name="생활용품비">OFFSET(항목!$G$4,0,0,COUNTA(항목!$G$4:$G$18),1)</definedName>
    <definedName name="소분류">항목!$C$4:$Q$18</definedName>
    <definedName name="수입">OFFSET(항목!$C$4,0,0,COUNTA(항목!$C$4:$C$18),1)</definedName>
    <definedName name="식비">OFFSET(항목!$E$4,0,0,COUNTA(항목!$E$4:$E$18),1)</definedName>
    <definedName name="연도">[1]이름지정!$A$2:$A$92</definedName>
    <definedName name="용돈지출">OFFSET(항목!$Q$4,0,0,COUNTA(항목!$Q$4:$Q$18),1)</definedName>
    <definedName name="월">[1]이름지정!$B$2:$B$13</definedName>
    <definedName name="유류교통비">OFFSET(항목!$N$4,0,0,COUNTA(항목!$N$4:$N$18),1)</definedName>
    <definedName name="의료비">OFFSET(항목!$M$4,0,0,COUNTA(항목!$M$4:$M$18),1)</definedName>
    <definedName name="의류비">OFFSET(항목!$I$4,0,0,COUNTA(항목!$I$4:$I$18),1)</definedName>
    <definedName name="일정">[1]일정!$B$6:$M$371</definedName>
    <definedName name="저축성지출">OFFSET(항목!$D$4,0,0,COUNTA(항목!$D$4:$D$18),1)</definedName>
    <definedName name="주거비">OFFSET(항목!$F$4,0,0,COUNTA(항목!$F$4:$F$18),1)</definedName>
    <definedName name="통신비">OFFSET(항목!$O$4,0,0,COUNTA(항목!$O$4:$O$18),1)</definedName>
    <definedName name="휴일명">[1]이름지정!$E$2:$E$637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85" l="1"/>
  <c r="M9" i="85"/>
  <c r="M10" i="85"/>
  <c r="M11" i="85"/>
  <c r="M12" i="85"/>
  <c r="M13" i="85"/>
  <c r="M14" i="85"/>
  <c r="M15" i="85"/>
  <c r="M16" i="85"/>
  <c r="M7" i="85"/>
  <c r="I9" i="99" l="1"/>
  <c r="F9" i="99"/>
  <c r="E9" i="99"/>
  <c r="D9" i="99"/>
  <c r="C9" i="99"/>
  <c r="I8" i="99"/>
  <c r="F8" i="99"/>
  <c r="E8" i="99"/>
  <c r="D8" i="99"/>
  <c r="C8" i="99"/>
  <c r="D439" i="104"/>
  <c r="E344" i="104"/>
  <c r="C305" i="104"/>
  <c r="D292" i="104"/>
  <c r="E279" i="104"/>
  <c r="E255" i="104"/>
  <c r="C249" i="104"/>
  <c r="D236" i="104"/>
  <c r="D224" i="104"/>
  <c r="C221" i="104"/>
  <c r="E211" i="104"/>
  <c r="D208" i="104"/>
  <c r="C205" i="104"/>
  <c r="E195" i="104"/>
  <c r="D192" i="104"/>
  <c r="C189" i="104"/>
  <c r="E179" i="104"/>
  <c r="D176" i="104"/>
  <c r="C173" i="104"/>
  <c r="E163" i="104"/>
  <c r="D160" i="104"/>
  <c r="C157" i="104"/>
  <c r="E147" i="104"/>
  <c r="D144" i="104"/>
  <c r="C141" i="104"/>
  <c r="E131" i="104"/>
  <c r="C128" i="104"/>
  <c r="E126" i="104"/>
  <c r="D123" i="104"/>
  <c r="C120" i="104"/>
  <c r="E118" i="104"/>
  <c r="D115" i="104"/>
  <c r="C112" i="104"/>
  <c r="E110" i="104"/>
  <c r="D107" i="104"/>
  <c r="C104" i="104"/>
  <c r="E102" i="104"/>
  <c r="D99" i="104"/>
  <c r="C96" i="104"/>
  <c r="E94" i="104"/>
  <c r="C92" i="104"/>
  <c r="D91" i="104"/>
  <c r="E90" i="104"/>
  <c r="C88" i="104"/>
  <c r="D87" i="104"/>
  <c r="E86" i="104"/>
  <c r="C84" i="104"/>
  <c r="D83" i="104"/>
  <c r="E82" i="104"/>
  <c r="C80" i="104"/>
  <c r="D79" i="104"/>
  <c r="E78" i="104"/>
  <c r="C76" i="104"/>
  <c r="D75" i="104"/>
  <c r="E74" i="104"/>
  <c r="C72" i="104"/>
  <c r="D71" i="104"/>
  <c r="E70" i="104"/>
  <c r="C68" i="104"/>
  <c r="D67" i="104"/>
  <c r="E66" i="104"/>
  <c r="C64" i="104"/>
  <c r="D63" i="104"/>
  <c r="E62" i="104"/>
  <c r="C60" i="104"/>
  <c r="D59" i="104"/>
  <c r="E58" i="104"/>
  <c r="C56" i="104"/>
  <c r="D55" i="104"/>
  <c r="E54" i="104"/>
  <c r="C52" i="104"/>
  <c r="D51" i="104"/>
  <c r="E50" i="104"/>
  <c r="C48" i="104"/>
  <c r="D47" i="104"/>
  <c r="E46" i="104"/>
  <c r="C44" i="104"/>
  <c r="D43" i="104"/>
  <c r="E42" i="104"/>
  <c r="C40" i="104"/>
  <c r="D39" i="104"/>
  <c r="E38" i="104"/>
  <c r="C36" i="104"/>
  <c r="D35" i="104"/>
  <c r="E34" i="104"/>
  <c r="C32" i="104"/>
  <c r="D31" i="104"/>
  <c r="E30" i="104"/>
  <c r="C28" i="104"/>
  <c r="D27" i="104"/>
  <c r="E26" i="104"/>
  <c r="C24" i="104"/>
  <c r="D23" i="104"/>
  <c r="E22" i="104"/>
  <c r="C20" i="104"/>
  <c r="D19" i="104"/>
  <c r="E18" i="104"/>
  <c r="C16" i="104"/>
  <c r="D15" i="104"/>
  <c r="E14" i="104"/>
  <c r="C12" i="104"/>
  <c r="D11" i="104"/>
  <c r="E10" i="104"/>
  <c r="C6" i="104"/>
  <c r="B6" i="104"/>
  <c r="D410" i="104" s="1"/>
  <c r="C6" i="103"/>
  <c r="B6" i="103"/>
  <c r="B6" i="97"/>
  <c r="C227" i="97" s="1"/>
  <c r="C9" i="104" l="1"/>
  <c r="D12" i="104"/>
  <c r="E15" i="104"/>
  <c r="F15" i="104" s="1"/>
  <c r="C17" i="104"/>
  <c r="D20" i="104"/>
  <c r="E23" i="104"/>
  <c r="F23" i="104" s="1"/>
  <c r="C25" i="104"/>
  <c r="E27" i="104"/>
  <c r="F27" i="104" s="1"/>
  <c r="C29" i="104"/>
  <c r="E31" i="104"/>
  <c r="F31" i="104" s="1"/>
  <c r="C33" i="104"/>
  <c r="E35" i="104"/>
  <c r="F35" i="104" s="1"/>
  <c r="C37" i="104"/>
  <c r="E39" i="104"/>
  <c r="F39" i="104" s="1"/>
  <c r="C41" i="104"/>
  <c r="E43" i="104"/>
  <c r="F43" i="104" s="1"/>
  <c r="C45" i="104"/>
  <c r="E47" i="104"/>
  <c r="F47" i="104" s="1"/>
  <c r="C49" i="104"/>
  <c r="E51" i="104"/>
  <c r="F51" i="104" s="1"/>
  <c r="C53" i="104"/>
  <c r="E55" i="104"/>
  <c r="F55" i="104" s="1"/>
  <c r="C57" i="104"/>
  <c r="E59" i="104"/>
  <c r="F59" i="104" s="1"/>
  <c r="C61" i="104"/>
  <c r="E63" i="104"/>
  <c r="F63" i="104" s="1"/>
  <c r="C65" i="104"/>
  <c r="D68" i="104"/>
  <c r="E71" i="104"/>
  <c r="F71" i="104" s="1"/>
  <c r="C73" i="104"/>
  <c r="E75" i="104"/>
  <c r="F75" i="104" s="1"/>
  <c r="C77" i="104"/>
  <c r="E79" i="104"/>
  <c r="F79" i="104" s="1"/>
  <c r="C81" i="104"/>
  <c r="E83" i="104"/>
  <c r="F83" i="104" s="1"/>
  <c r="C85" i="104"/>
  <c r="D88" i="104"/>
  <c r="E91" i="104"/>
  <c r="F91" i="104" s="1"/>
  <c r="C93" i="104"/>
  <c r="D96" i="104"/>
  <c r="C101" i="104"/>
  <c r="D104" i="104"/>
  <c r="C109" i="104"/>
  <c r="D112" i="104"/>
  <c r="C117" i="104"/>
  <c r="D120" i="104"/>
  <c r="C125" i="104"/>
  <c r="D128" i="104"/>
  <c r="E135" i="104"/>
  <c r="D148" i="104"/>
  <c r="C161" i="104"/>
  <c r="E167" i="104"/>
  <c r="C177" i="104"/>
  <c r="E183" i="104"/>
  <c r="D196" i="104"/>
  <c r="D212" i="104"/>
  <c r="E231" i="104"/>
  <c r="E295" i="104"/>
  <c r="D325" i="104"/>
  <c r="D9" i="104"/>
  <c r="C10" i="104"/>
  <c r="E12" i="104"/>
  <c r="D13" i="104"/>
  <c r="C14" i="104"/>
  <c r="E16" i="104"/>
  <c r="D17" i="104"/>
  <c r="C18" i="104"/>
  <c r="E20" i="104"/>
  <c r="D21" i="104"/>
  <c r="C22" i="104"/>
  <c r="E24" i="104"/>
  <c r="D25" i="104"/>
  <c r="C26" i="104"/>
  <c r="E28" i="104"/>
  <c r="D29" i="104"/>
  <c r="C30" i="104"/>
  <c r="E32" i="104"/>
  <c r="D33" i="104"/>
  <c r="C34" i="104"/>
  <c r="E36" i="104"/>
  <c r="D37" i="104"/>
  <c r="C38" i="104"/>
  <c r="E40" i="104"/>
  <c r="D41" i="104"/>
  <c r="C42" i="104"/>
  <c r="E44" i="104"/>
  <c r="D45" i="104"/>
  <c r="C46" i="104"/>
  <c r="E48" i="104"/>
  <c r="D49" i="104"/>
  <c r="C50" i="104"/>
  <c r="E52" i="104"/>
  <c r="D53" i="104"/>
  <c r="C54" i="104"/>
  <c r="E56" i="104"/>
  <c r="D57" i="104"/>
  <c r="C58" i="104"/>
  <c r="E60" i="104"/>
  <c r="D61" i="104"/>
  <c r="C62" i="104"/>
  <c r="E64" i="104"/>
  <c r="D65" i="104"/>
  <c r="C66" i="104"/>
  <c r="E68" i="104"/>
  <c r="D69" i="104"/>
  <c r="C70" i="104"/>
  <c r="E72" i="104"/>
  <c r="D73" i="104"/>
  <c r="C74" i="104"/>
  <c r="E76" i="104"/>
  <c r="D77" i="104"/>
  <c r="C78" i="104"/>
  <c r="E80" i="104"/>
  <c r="D81" i="104"/>
  <c r="C82" i="104"/>
  <c r="E84" i="104"/>
  <c r="D85" i="104"/>
  <c r="C86" i="104"/>
  <c r="E88" i="104"/>
  <c r="D89" i="104"/>
  <c r="C90" i="104"/>
  <c r="E92" i="104"/>
  <c r="D95" i="104"/>
  <c r="E98" i="104"/>
  <c r="C100" i="104"/>
  <c r="D103" i="104"/>
  <c r="E106" i="104"/>
  <c r="C108" i="104"/>
  <c r="D111" i="104"/>
  <c r="E114" i="104"/>
  <c r="C116" i="104"/>
  <c r="D119" i="104"/>
  <c r="E122" i="104"/>
  <c r="C124" i="104"/>
  <c r="D127" i="104"/>
  <c r="E130" i="104"/>
  <c r="C133" i="104"/>
  <c r="D136" i="104"/>
  <c r="E139" i="104"/>
  <c r="C149" i="104"/>
  <c r="D152" i="104"/>
  <c r="E155" i="104"/>
  <c r="C165" i="104"/>
  <c r="D168" i="104"/>
  <c r="E171" i="104"/>
  <c r="C181" i="104"/>
  <c r="D184" i="104"/>
  <c r="E187" i="104"/>
  <c r="C197" i="104"/>
  <c r="D200" i="104"/>
  <c r="E203" i="104"/>
  <c r="C213" i="104"/>
  <c r="D216" i="104"/>
  <c r="E219" i="104"/>
  <c r="C233" i="104"/>
  <c r="E239" i="104"/>
  <c r="D252" i="104"/>
  <c r="D260" i="104"/>
  <c r="C273" i="104"/>
  <c r="E311" i="104"/>
  <c r="C359" i="104"/>
  <c r="G545" i="104"/>
  <c r="E608" i="104"/>
  <c r="C606" i="104"/>
  <c r="D605" i="104"/>
  <c r="E604" i="104"/>
  <c r="C602" i="104"/>
  <c r="D601" i="104"/>
  <c r="E600" i="104"/>
  <c r="C598" i="104"/>
  <c r="D597" i="104"/>
  <c r="E596" i="104"/>
  <c r="C594" i="104"/>
  <c r="D593" i="104"/>
  <c r="E592" i="104"/>
  <c r="C590" i="104"/>
  <c r="D589" i="104"/>
  <c r="E588" i="104"/>
  <c r="C586" i="104"/>
  <c r="D585" i="104"/>
  <c r="E584" i="104"/>
  <c r="C582" i="104"/>
  <c r="D581" i="104"/>
  <c r="E580" i="104"/>
  <c r="C578" i="104"/>
  <c r="D577" i="104"/>
  <c r="E576" i="104"/>
  <c r="C574" i="104"/>
  <c r="D573" i="104"/>
  <c r="E572" i="104"/>
  <c r="C570" i="104"/>
  <c r="D569" i="104"/>
  <c r="E568" i="104"/>
  <c r="C566" i="104"/>
  <c r="D565" i="104"/>
  <c r="E564" i="104"/>
  <c r="C562" i="104"/>
  <c r="D561" i="104"/>
  <c r="D608" i="104"/>
  <c r="F608" i="104" s="1"/>
  <c r="E607" i="104"/>
  <c r="C605" i="104"/>
  <c r="D604" i="104"/>
  <c r="F604" i="104" s="1"/>
  <c r="E603" i="104"/>
  <c r="C601" i="104"/>
  <c r="D600" i="104"/>
  <c r="F600" i="104" s="1"/>
  <c r="E599" i="104"/>
  <c r="C597" i="104"/>
  <c r="D596" i="104"/>
  <c r="F596" i="104" s="1"/>
  <c r="E595" i="104"/>
  <c r="C593" i="104"/>
  <c r="D592" i="104"/>
  <c r="F592" i="104" s="1"/>
  <c r="E591" i="104"/>
  <c r="C589" i="104"/>
  <c r="D588" i="104"/>
  <c r="F588" i="104" s="1"/>
  <c r="E587" i="104"/>
  <c r="C585" i="104"/>
  <c r="D584" i="104"/>
  <c r="F584" i="104" s="1"/>
  <c r="E583" i="104"/>
  <c r="C581" i="104"/>
  <c r="D580" i="104"/>
  <c r="F580" i="104" s="1"/>
  <c r="E579" i="104"/>
  <c r="C577" i="104"/>
  <c r="D576" i="104"/>
  <c r="F576" i="104" s="1"/>
  <c r="E575" i="104"/>
  <c r="C573" i="104"/>
  <c r="D572" i="104"/>
  <c r="F572" i="104" s="1"/>
  <c r="E571" i="104"/>
  <c r="C569" i="104"/>
  <c r="D568" i="104"/>
  <c r="F568" i="104" s="1"/>
  <c r="E567" i="104"/>
  <c r="C565" i="104"/>
  <c r="D564" i="104"/>
  <c r="F564" i="104" s="1"/>
  <c r="E563" i="104"/>
  <c r="C561" i="104"/>
  <c r="D560" i="104"/>
  <c r="E559" i="104"/>
  <c r="C557" i="104"/>
  <c r="D556" i="104"/>
  <c r="E555" i="104"/>
  <c r="C553" i="104"/>
  <c r="D552" i="104"/>
  <c r="E551" i="104"/>
  <c r="C549" i="104"/>
  <c r="D548" i="104"/>
  <c r="E547" i="104"/>
  <c r="C545" i="104"/>
  <c r="D544" i="104"/>
  <c r="E543" i="104"/>
  <c r="C541" i="104"/>
  <c r="C608" i="104"/>
  <c r="D607" i="104"/>
  <c r="E606" i="104"/>
  <c r="C604" i="104"/>
  <c r="D603" i="104"/>
  <c r="E602" i="104"/>
  <c r="C600" i="104"/>
  <c r="D599" i="104"/>
  <c r="F599" i="104" s="1"/>
  <c r="E598" i="104"/>
  <c r="C596" i="104"/>
  <c r="D595" i="104"/>
  <c r="E594" i="104"/>
  <c r="C592" i="104"/>
  <c r="D591" i="104"/>
  <c r="E590" i="104"/>
  <c r="C588" i="104"/>
  <c r="D587" i="104"/>
  <c r="E586" i="104"/>
  <c r="C584" i="104"/>
  <c r="D583" i="104"/>
  <c r="F583" i="104" s="1"/>
  <c r="E582" i="104"/>
  <c r="C580" i="104"/>
  <c r="D579" i="104"/>
  <c r="E578" i="104"/>
  <c r="C576" i="104"/>
  <c r="D575" i="104"/>
  <c r="E574" i="104"/>
  <c r="C572" i="104"/>
  <c r="D571" i="104"/>
  <c r="E570" i="104"/>
  <c r="C568" i="104"/>
  <c r="D567" i="104"/>
  <c r="F567" i="104" s="1"/>
  <c r="E566" i="104"/>
  <c r="C564" i="104"/>
  <c r="D563" i="104"/>
  <c r="E562" i="104"/>
  <c r="C607" i="104"/>
  <c r="D606" i="104"/>
  <c r="E605" i="104"/>
  <c r="C603" i="104"/>
  <c r="D602" i="104"/>
  <c r="E601" i="104"/>
  <c r="C599" i="104"/>
  <c r="D598" i="104"/>
  <c r="F598" i="104" s="1"/>
  <c r="E597" i="104"/>
  <c r="C595" i="104"/>
  <c r="D594" i="104"/>
  <c r="E593" i="104"/>
  <c r="C591" i="104"/>
  <c r="D590" i="104"/>
  <c r="E589" i="104"/>
  <c r="C587" i="104"/>
  <c r="D586" i="104"/>
  <c r="E585" i="104"/>
  <c r="C583" i="104"/>
  <c r="D582" i="104"/>
  <c r="F582" i="104" s="1"/>
  <c r="E581" i="104"/>
  <c r="C579" i="104"/>
  <c r="D578" i="104"/>
  <c r="E577" i="104"/>
  <c r="C575" i="104"/>
  <c r="D574" i="104"/>
  <c r="E573" i="104"/>
  <c r="C571" i="104"/>
  <c r="D570" i="104"/>
  <c r="E569" i="104"/>
  <c r="C567" i="104"/>
  <c r="D566" i="104"/>
  <c r="F566" i="104" s="1"/>
  <c r="E565" i="104"/>
  <c r="C563" i="104"/>
  <c r="D562" i="104"/>
  <c r="E561" i="104"/>
  <c r="C559" i="104"/>
  <c r="D558" i="104"/>
  <c r="E557" i="104"/>
  <c r="C555" i="104"/>
  <c r="D554" i="104"/>
  <c r="E553" i="104"/>
  <c r="C551" i="104"/>
  <c r="D550" i="104"/>
  <c r="F550" i="104" s="1"/>
  <c r="E549" i="104"/>
  <c r="C547" i="104"/>
  <c r="D546" i="104"/>
  <c r="E545" i="104"/>
  <c r="C543" i="104"/>
  <c r="D542" i="104"/>
  <c r="C560" i="104"/>
  <c r="E558" i="104"/>
  <c r="D555" i="104"/>
  <c r="F555" i="104" s="1"/>
  <c r="C552" i="104"/>
  <c r="E550" i="104"/>
  <c r="D547" i="104"/>
  <c r="F547" i="104" s="1"/>
  <c r="C544" i="104"/>
  <c r="E542" i="104"/>
  <c r="D541" i="104"/>
  <c r="D540" i="104"/>
  <c r="E539" i="104"/>
  <c r="C537" i="104"/>
  <c r="D536" i="104"/>
  <c r="E535" i="104"/>
  <c r="C533" i="104"/>
  <c r="D532" i="104"/>
  <c r="E531" i="104"/>
  <c r="C529" i="104"/>
  <c r="D528" i="104"/>
  <c r="E527" i="104"/>
  <c r="C525" i="104"/>
  <c r="D524" i="104"/>
  <c r="E523" i="104"/>
  <c r="C521" i="104"/>
  <c r="D520" i="104"/>
  <c r="E519" i="104"/>
  <c r="C517" i="104"/>
  <c r="D516" i="104"/>
  <c r="E515" i="104"/>
  <c r="C513" i="104"/>
  <c r="D512" i="104"/>
  <c r="E511" i="104"/>
  <c r="C509" i="104"/>
  <c r="D508" i="104"/>
  <c r="E507" i="104"/>
  <c r="C505" i="104"/>
  <c r="D504" i="104"/>
  <c r="E503" i="104"/>
  <c r="C501" i="104"/>
  <c r="D500" i="104"/>
  <c r="E499" i="104"/>
  <c r="C497" i="104"/>
  <c r="D496" i="104"/>
  <c r="E495" i="104"/>
  <c r="C493" i="104"/>
  <c r="D492" i="104"/>
  <c r="E491" i="104"/>
  <c r="C489" i="104"/>
  <c r="D488" i="104"/>
  <c r="E487" i="104"/>
  <c r="C485" i="104"/>
  <c r="D484" i="104"/>
  <c r="E483" i="104"/>
  <c r="C558" i="104"/>
  <c r="E556" i="104"/>
  <c r="D553" i="104"/>
  <c r="F553" i="104" s="1"/>
  <c r="C550" i="104"/>
  <c r="E548" i="104"/>
  <c r="D545" i="104"/>
  <c r="C542" i="104"/>
  <c r="C540" i="104"/>
  <c r="D539" i="104"/>
  <c r="F539" i="104" s="1"/>
  <c r="E538" i="104"/>
  <c r="C536" i="104"/>
  <c r="D535" i="104"/>
  <c r="E534" i="104"/>
  <c r="C532" i="104"/>
  <c r="D531" i="104"/>
  <c r="E530" i="104"/>
  <c r="C528" i="104"/>
  <c r="D527" i="104"/>
  <c r="E526" i="104"/>
  <c r="C524" i="104"/>
  <c r="D523" i="104"/>
  <c r="F523" i="104" s="1"/>
  <c r="E522" i="104"/>
  <c r="C520" i="104"/>
  <c r="D519" i="104"/>
  <c r="E518" i="104"/>
  <c r="C516" i="104"/>
  <c r="D515" i="104"/>
  <c r="E514" i="104"/>
  <c r="C512" i="104"/>
  <c r="D511" i="104"/>
  <c r="E510" i="104"/>
  <c r="C508" i="104"/>
  <c r="D507" i="104"/>
  <c r="F507" i="104" s="1"/>
  <c r="E506" i="104"/>
  <c r="C504" i="104"/>
  <c r="D503" i="104"/>
  <c r="E502" i="104"/>
  <c r="C500" i="104"/>
  <c r="D499" i="104"/>
  <c r="E498" i="104"/>
  <c r="C496" i="104"/>
  <c r="D495" i="104"/>
  <c r="E494" i="104"/>
  <c r="C492" i="104"/>
  <c r="D491" i="104"/>
  <c r="F491" i="104" s="1"/>
  <c r="E490" i="104"/>
  <c r="C488" i="104"/>
  <c r="D487" i="104"/>
  <c r="E486" i="104"/>
  <c r="C484" i="104"/>
  <c r="D483" i="104"/>
  <c r="D559" i="104"/>
  <c r="F559" i="104" s="1"/>
  <c r="C556" i="104"/>
  <c r="E554" i="104"/>
  <c r="D551" i="104"/>
  <c r="F551" i="104" s="1"/>
  <c r="C548" i="104"/>
  <c r="E546" i="104"/>
  <c r="D543" i="104"/>
  <c r="F543" i="104" s="1"/>
  <c r="C539" i="104"/>
  <c r="D538" i="104"/>
  <c r="F538" i="104" s="1"/>
  <c r="E537" i="104"/>
  <c r="C535" i="104"/>
  <c r="D534" i="104"/>
  <c r="E533" i="104"/>
  <c r="C531" i="104"/>
  <c r="D530" i="104"/>
  <c r="F530" i="104" s="1"/>
  <c r="E529" i="104"/>
  <c r="C527" i="104"/>
  <c r="D526" i="104"/>
  <c r="F526" i="104" s="1"/>
  <c r="E525" i="104"/>
  <c r="C523" i="104"/>
  <c r="D522" i="104"/>
  <c r="F522" i="104" s="1"/>
  <c r="E521" i="104"/>
  <c r="C519" i="104"/>
  <c r="D518" i="104"/>
  <c r="E517" i="104"/>
  <c r="C515" i="104"/>
  <c r="D514" i="104"/>
  <c r="F514" i="104" s="1"/>
  <c r="E513" i="104"/>
  <c r="C511" i="104"/>
  <c r="D510" i="104"/>
  <c r="F510" i="104" s="1"/>
  <c r="E509" i="104"/>
  <c r="C507" i="104"/>
  <c r="D506" i="104"/>
  <c r="F506" i="104" s="1"/>
  <c r="E505" i="104"/>
  <c r="C503" i="104"/>
  <c r="D502" i="104"/>
  <c r="E501" i="104"/>
  <c r="C499" i="104"/>
  <c r="D498" i="104"/>
  <c r="F498" i="104" s="1"/>
  <c r="E497" i="104"/>
  <c r="C495" i="104"/>
  <c r="D494" i="104"/>
  <c r="F494" i="104" s="1"/>
  <c r="E493" i="104"/>
  <c r="C491" i="104"/>
  <c r="D490" i="104"/>
  <c r="F490" i="104" s="1"/>
  <c r="E489" i="104"/>
  <c r="C487" i="104"/>
  <c r="D486" i="104"/>
  <c r="E485" i="104"/>
  <c r="D557" i="104"/>
  <c r="F557" i="104" s="1"/>
  <c r="E544" i="104"/>
  <c r="E536" i="104"/>
  <c r="D533" i="104"/>
  <c r="F533" i="104" s="1"/>
  <c r="C530" i="104"/>
  <c r="E520" i="104"/>
  <c r="D517" i="104"/>
  <c r="C514" i="104"/>
  <c r="E504" i="104"/>
  <c r="D501" i="104"/>
  <c r="F501" i="104" s="1"/>
  <c r="C498" i="104"/>
  <c r="E488" i="104"/>
  <c r="D485" i="104"/>
  <c r="F485" i="104" s="1"/>
  <c r="E482" i="104"/>
  <c r="C480" i="104"/>
  <c r="D479" i="104"/>
  <c r="E478" i="104"/>
  <c r="C476" i="104"/>
  <c r="D475" i="104"/>
  <c r="E474" i="104"/>
  <c r="C472" i="104"/>
  <c r="D471" i="104"/>
  <c r="E470" i="104"/>
  <c r="C468" i="104"/>
  <c r="D467" i="104"/>
  <c r="E466" i="104"/>
  <c r="C464" i="104"/>
  <c r="D463" i="104"/>
  <c r="E462" i="104"/>
  <c r="C460" i="104"/>
  <c r="D459" i="104"/>
  <c r="E458" i="104"/>
  <c r="C456" i="104"/>
  <c r="D455" i="104"/>
  <c r="E454" i="104"/>
  <c r="C452" i="104"/>
  <c r="D451" i="104"/>
  <c r="E450" i="104"/>
  <c r="C448" i="104"/>
  <c r="D447" i="104"/>
  <c r="E446" i="104"/>
  <c r="D549" i="104"/>
  <c r="F549" i="104" s="1"/>
  <c r="E532" i="104"/>
  <c r="D529" i="104"/>
  <c r="F529" i="104" s="1"/>
  <c r="C526" i="104"/>
  <c r="E516" i="104"/>
  <c r="D513" i="104"/>
  <c r="F513" i="104" s="1"/>
  <c r="C510" i="104"/>
  <c r="E500" i="104"/>
  <c r="D497" i="104"/>
  <c r="F497" i="104" s="1"/>
  <c r="C494" i="104"/>
  <c r="C483" i="104"/>
  <c r="D482" i="104"/>
  <c r="F482" i="104" s="1"/>
  <c r="E481" i="104"/>
  <c r="C479" i="104"/>
  <c r="D478" i="104"/>
  <c r="E477" i="104"/>
  <c r="C475" i="104"/>
  <c r="D474" i="104"/>
  <c r="E473" i="104"/>
  <c r="C471" i="104"/>
  <c r="D470" i="104"/>
  <c r="F470" i="104" s="1"/>
  <c r="E469" i="104"/>
  <c r="C467" i="104"/>
  <c r="D466" i="104"/>
  <c r="F466" i="104" s="1"/>
  <c r="E465" i="104"/>
  <c r="C463" i="104"/>
  <c r="D462" i="104"/>
  <c r="E461" i="104"/>
  <c r="C459" i="104"/>
  <c r="D458" i="104"/>
  <c r="E457" i="104"/>
  <c r="C455" i="104"/>
  <c r="D454" i="104"/>
  <c r="F454" i="104" s="1"/>
  <c r="E453" i="104"/>
  <c r="C451" i="104"/>
  <c r="D450" i="104"/>
  <c r="F450" i="104" s="1"/>
  <c r="E449" i="104"/>
  <c r="C447" i="104"/>
  <c r="D446" i="104"/>
  <c r="E445" i="104"/>
  <c r="C443" i="104"/>
  <c r="D442" i="104"/>
  <c r="E441" i="104"/>
  <c r="C439" i="104"/>
  <c r="D438" i="104"/>
  <c r="E437" i="104"/>
  <c r="C435" i="104"/>
  <c r="D434" i="104"/>
  <c r="E433" i="104"/>
  <c r="E560" i="104"/>
  <c r="C554" i="104"/>
  <c r="E541" i="104"/>
  <c r="C538" i="104"/>
  <c r="E528" i="104"/>
  <c r="D525" i="104"/>
  <c r="F525" i="104" s="1"/>
  <c r="C522" i="104"/>
  <c r="E512" i="104"/>
  <c r="D509" i="104"/>
  <c r="C506" i="104"/>
  <c r="E496" i="104"/>
  <c r="D493" i="104"/>
  <c r="F493" i="104" s="1"/>
  <c r="C490" i="104"/>
  <c r="E484" i="104"/>
  <c r="C482" i="104"/>
  <c r="D481" i="104"/>
  <c r="F481" i="104" s="1"/>
  <c r="E480" i="104"/>
  <c r="C478" i="104"/>
  <c r="D477" i="104"/>
  <c r="F477" i="104" s="1"/>
  <c r="E476" i="104"/>
  <c r="C474" i="104"/>
  <c r="D473" i="104"/>
  <c r="F473" i="104" s="1"/>
  <c r="E472" i="104"/>
  <c r="C470" i="104"/>
  <c r="D469" i="104"/>
  <c r="F469" i="104" s="1"/>
  <c r="E468" i="104"/>
  <c r="C466" i="104"/>
  <c r="D465" i="104"/>
  <c r="F465" i="104" s="1"/>
  <c r="E464" i="104"/>
  <c r="C462" i="104"/>
  <c r="D461" i="104"/>
  <c r="F461" i="104" s="1"/>
  <c r="E460" i="104"/>
  <c r="C458" i="104"/>
  <c r="D457" i="104"/>
  <c r="F457" i="104" s="1"/>
  <c r="E456" i="104"/>
  <c r="C454" i="104"/>
  <c r="D453" i="104"/>
  <c r="F453" i="104" s="1"/>
  <c r="E452" i="104"/>
  <c r="C450" i="104"/>
  <c r="D449" i="104"/>
  <c r="F449" i="104" s="1"/>
  <c r="E448" i="104"/>
  <c r="C446" i="104"/>
  <c r="D445" i="104"/>
  <c r="F445" i="104" s="1"/>
  <c r="E444" i="104"/>
  <c r="C442" i="104"/>
  <c r="D441" i="104"/>
  <c r="F441" i="104" s="1"/>
  <c r="E440" i="104"/>
  <c r="C438" i="104"/>
  <c r="D437" i="104"/>
  <c r="F437" i="104" s="1"/>
  <c r="E436" i="104"/>
  <c r="C434" i="104"/>
  <c r="D433" i="104"/>
  <c r="F433" i="104" s="1"/>
  <c r="C546" i="104"/>
  <c r="C518" i="104"/>
  <c r="D505" i="104"/>
  <c r="F505" i="104" s="1"/>
  <c r="E492" i="104"/>
  <c r="E479" i="104"/>
  <c r="D476" i="104"/>
  <c r="C473" i="104"/>
  <c r="E463" i="104"/>
  <c r="D460" i="104"/>
  <c r="C457" i="104"/>
  <c r="E447" i="104"/>
  <c r="C445" i="104"/>
  <c r="E443" i="104"/>
  <c r="D440" i="104"/>
  <c r="C437" i="104"/>
  <c r="E435" i="104"/>
  <c r="E432" i="104"/>
  <c r="C430" i="104"/>
  <c r="D429" i="104"/>
  <c r="E428" i="104"/>
  <c r="C426" i="104"/>
  <c r="D425" i="104"/>
  <c r="E424" i="104"/>
  <c r="C422" i="104"/>
  <c r="D421" i="104"/>
  <c r="E420" i="104"/>
  <c r="C418" i="104"/>
  <c r="D417" i="104"/>
  <c r="E416" i="104"/>
  <c r="C414" i="104"/>
  <c r="D413" i="104"/>
  <c r="E412" i="104"/>
  <c r="C410" i="104"/>
  <c r="D409" i="104"/>
  <c r="E408" i="104"/>
  <c r="C406" i="104"/>
  <c r="D405" i="104"/>
  <c r="E404" i="104"/>
  <c r="C402" i="104"/>
  <c r="D401" i="104"/>
  <c r="E400" i="104"/>
  <c r="C398" i="104"/>
  <c r="D397" i="104"/>
  <c r="E396" i="104"/>
  <c r="C394" i="104"/>
  <c r="D393" i="104"/>
  <c r="E392" i="104"/>
  <c r="C390" i="104"/>
  <c r="D389" i="104"/>
  <c r="E388" i="104"/>
  <c r="C386" i="104"/>
  <c r="D385" i="104"/>
  <c r="E384" i="104"/>
  <c r="C382" i="104"/>
  <c r="D381" i="104"/>
  <c r="E380" i="104"/>
  <c r="C378" i="104"/>
  <c r="D377" i="104"/>
  <c r="E376" i="104"/>
  <c r="C374" i="104"/>
  <c r="D373" i="104"/>
  <c r="E372" i="104"/>
  <c r="C370" i="104"/>
  <c r="D369" i="104"/>
  <c r="E368" i="104"/>
  <c r="C366" i="104"/>
  <c r="D365" i="104"/>
  <c r="E364" i="104"/>
  <c r="C362" i="104"/>
  <c r="D361" i="104"/>
  <c r="E360" i="104"/>
  <c r="C358" i="104"/>
  <c r="D357" i="104"/>
  <c r="E356" i="104"/>
  <c r="E540" i="104"/>
  <c r="C502" i="104"/>
  <c r="D489" i="104"/>
  <c r="E475" i="104"/>
  <c r="D472" i="104"/>
  <c r="F472" i="104" s="1"/>
  <c r="C469" i="104"/>
  <c r="E459" i="104"/>
  <c r="D456" i="104"/>
  <c r="C453" i="104"/>
  <c r="D443" i="104"/>
  <c r="F443" i="104" s="1"/>
  <c r="C440" i="104"/>
  <c r="E438" i="104"/>
  <c r="D435" i="104"/>
  <c r="F435" i="104" s="1"/>
  <c r="D432" i="104"/>
  <c r="F432" i="104" s="1"/>
  <c r="E431" i="104"/>
  <c r="C429" i="104"/>
  <c r="D428" i="104"/>
  <c r="F428" i="104" s="1"/>
  <c r="E427" i="104"/>
  <c r="C425" i="104"/>
  <c r="D424" i="104"/>
  <c r="E423" i="104"/>
  <c r="C421" i="104"/>
  <c r="D420" i="104"/>
  <c r="E419" i="104"/>
  <c r="C417" i="104"/>
  <c r="D416" i="104"/>
  <c r="F416" i="104" s="1"/>
  <c r="E415" i="104"/>
  <c r="C413" i="104"/>
  <c r="D412" i="104"/>
  <c r="F412" i="104" s="1"/>
  <c r="E411" i="104"/>
  <c r="C409" i="104"/>
  <c r="D408" i="104"/>
  <c r="E407" i="104"/>
  <c r="C405" i="104"/>
  <c r="D404" i="104"/>
  <c r="E403" i="104"/>
  <c r="C401" i="104"/>
  <c r="D400" i="104"/>
  <c r="F400" i="104" s="1"/>
  <c r="E399" i="104"/>
  <c r="C397" i="104"/>
  <c r="D396" i="104"/>
  <c r="F396" i="104" s="1"/>
  <c r="E395" i="104"/>
  <c r="C393" i="104"/>
  <c r="D392" i="104"/>
  <c r="E391" i="104"/>
  <c r="C389" i="104"/>
  <c r="D388" i="104"/>
  <c r="E387" i="104"/>
  <c r="C385" i="104"/>
  <c r="D384" i="104"/>
  <c r="F384" i="104" s="1"/>
  <c r="E383" i="104"/>
  <c r="C381" i="104"/>
  <c r="D380" i="104"/>
  <c r="F380" i="104" s="1"/>
  <c r="E379" i="104"/>
  <c r="C377" i="104"/>
  <c r="D376" i="104"/>
  <c r="E375" i="104"/>
  <c r="C373" i="104"/>
  <c r="D372" i="104"/>
  <c r="E371" i="104"/>
  <c r="C369" i="104"/>
  <c r="D368" i="104"/>
  <c r="F368" i="104" s="1"/>
  <c r="E367" i="104"/>
  <c r="C365" i="104"/>
  <c r="D364" i="104"/>
  <c r="F364" i="104" s="1"/>
  <c r="E363" i="104"/>
  <c r="C361" i="104"/>
  <c r="D360" i="104"/>
  <c r="E359" i="104"/>
  <c r="C357" i="104"/>
  <c r="D356" i="104"/>
  <c r="E355" i="104"/>
  <c r="C353" i="104"/>
  <c r="D352" i="104"/>
  <c r="E351" i="104"/>
  <c r="C349" i="104"/>
  <c r="D348" i="104"/>
  <c r="E347" i="104"/>
  <c r="C345" i="104"/>
  <c r="D344" i="104"/>
  <c r="F344" i="104" s="1"/>
  <c r="E343" i="104"/>
  <c r="C341" i="104"/>
  <c r="D340" i="104"/>
  <c r="E339" i="104"/>
  <c r="C337" i="104"/>
  <c r="D336" i="104"/>
  <c r="E335" i="104"/>
  <c r="C333" i="104"/>
  <c r="D332" i="104"/>
  <c r="E331" i="104"/>
  <c r="C329" i="104"/>
  <c r="D328" i="104"/>
  <c r="E327" i="104"/>
  <c r="C325" i="104"/>
  <c r="D324" i="104"/>
  <c r="E323" i="104"/>
  <c r="C321" i="104"/>
  <c r="D320" i="104"/>
  <c r="E319" i="104"/>
  <c r="C317" i="104"/>
  <c r="D537" i="104"/>
  <c r="F537" i="104" s="1"/>
  <c r="E524" i="104"/>
  <c r="C486" i="104"/>
  <c r="C481" i="104"/>
  <c r="E471" i="104"/>
  <c r="D468" i="104"/>
  <c r="F468" i="104" s="1"/>
  <c r="C465" i="104"/>
  <c r="E455" i="104"/>
  <c r="D452" i="104"/>
  <c r="F452" i="104" s="1"/>
  <c r="C449" i="104"/>
  <c r="D444" i="104"/>
  <c r="C441" i="104"/>
  <c r="E439" i="104"/>
  <c r="F439" i="104" s="1"/>
  <c r="D436" i="104"/>
  <c r="F436" i="104" s="1"/>
  <c r="C433" i="104"/>
  <c r="C432" i="104"/>
  <c r="D431" i="104"/>
  <c r="F431" i="104" s="1"/>
  <c r="E430" i="104"/>
  <c r="C428" i="104"/>
  <c r="D427" i="104"/>
  <c r="E426" i="104"/>
  <c r="C424" i="104"/>
  <c r="D423" i="104"/>
  <c r="E422" i="104"/>
  <c r="C420" i="104"/>
  <c r="D419" i="104"/>
  <c r="F419" i="104" s="1"/>
  <c r="E418" i="104"/>
  <c r="C416" i="104"/>
  <c r="D415" i="104"/>
  <c r="F415" i="104" s="1"/>
  <c r="E414" i="104"/>
  <c r="C412" i="104"/>
  <c r="D411" i="104"/>
  <c r="E410" i="104"/>
  <c r="F410" i="104" s="1"/>
  <c r="C408" i="104"/>
  <c r="D407" i="104"/>
  <c r="E406" i="104"/>
  <c r="C404" i="104"/>
  <c r="D403" i="104"/>
  <c r="F403" i="104" s="1"/>
  <c r="E402" i="104"/>
  <c r="C400" i="104"/>
  <c r="D399" i="104"/>
  <c r="F399" i="104" s="1"/>
  <c r="E398" i="104"/>
  <c r="C396" i="104"/>
  <c r="D395" i="104"/>
  <c r="E394" i="104"/>
  <c r="C392" i="104"/>
  <c r="D391" i="104"/>
  <c r="E390" i="104"/>
  <c r="C388" i="104"/>
  <c r="D387" i="104"/>
  <c r="F387" i="104" s="1"/>
  <c r="E386" i="104"/>
  <c r="C384" i="104"/>
  <c r="D383" i="104"/>
  <c r="F383" i="104" s="1"/>
  <c r="E382" i="104"/>
  <c r="C380" i="104"/>
  <c r="D379" i="104"/>
  <c r="E378" i="104"/>
  <c r="C376" i="104"/>
  <c r="D375" i="104"/>
  <c r="E374" i="104"/>
  <c r="C372" i="104"/>
  <c r="D371" i="104"/>
  <c r="F371" i="104" s="1"/>
  <c r="E370" i="104"/>
  <c r="C368" i="104"/>
  <c r="D367" i="104"/>
  <c r="F367" i="104" s="1"/>
  <c r="E366" i="104"/>
  <c r="C364" i="104"/>
  <c r="D363" i="104"/>
  <c r="E362" i="104"/>
  <c r="C360" i="104"/>
  <c r="D359" i="104"/>
  <c r="E358" i="104"/>
  <c r="C356" i="104"/>
  <c r="D355" i="104"/>
  <c r="F355" i="104" s="1"/>
  <c r="E354" i="104"/>
  <c r="C352" i="104"/>
  <c r="D351" i="104"/>
  <c r="F351" i="104" s="1"/>
  <c r="E350" i="104"/>
  <c r="C348" i="104"/>
  <c r="D347" i="104"/>
  <c r="E346" i="104"/>
  <c r="C344" i="104"/>
  <c r="D343" i="104"/>
  <c r="E342" i="104"/>
  <c r="C340" i="104"/>
  <c r="D339" i="104"/>
  <c r="F339" i="104" s="1"/>
  <c r="E338" i="104"/>
  <c r="C336" i="104"/>
  <c r="D335" i="104"/>
  <c r="F335" i="104" s="1"/>
  <c r="E334" i="104"/>
  <c r="C332" i="104"/>
  <c r="D331" i="104"/>
  <c r="E330" i="104"/>
  <c r="C328" i="104"/>
  <c r="D327" i="104"/>
  <c r="E326" i="104"/>
  <c r="C324" i="104"/>
  <c r="D323" i="104"/>
  <c r="F323" i="104" s="1"/>
  <c r="E322" i="104"/>
  <c r="C320" i="104"/>
  <c r="D319" i="104"/>
  <c r="F319" i="104" s="1"/>
  <c r="E318" i="104"/>
  <c r="D521" i="104"/>
  <c r="D480" i="104"/>
  <c r="F480" i="104" s="1"/>
  <c r="E467" i="104"/>
  <c r="C444" i="104"/>
  <c r="E425" i="104"/>
  <c r="D422" i="104"/>
  <c r="F422" i="104" s="1"/>
  <c r="C419" i="104"/>
  <c r="E409" i="104"/>
  <c r="D406" i="104"/>
  <c r="C403" i="104"/>
  <c r="E393" i="104"/>
  <c r="D390" i="104"/>
  <c r="F390" i="104" s="1"/>
  <c r="C387" i="104"/>
  <c r="E377" i="104"/>
  <c r="D374" i="104"/>
  <c r="F374" i="104" s="1"/>
  <c r="C371" i="104"/>
  <c r="E361" i="104"/>
  <c r="D358" i="104"/>
  <c r="F358" i="104" s="1"/>
  <c r="C355" i="104"/>
  <c r="E353" i="104"/>
  <c r="D350" i="104"/>
  <c r="C347" i="104"/>
  <c r="E345" i="104"/>
  <c r="D342" i="104"/>
  <c r="F342" i="104" s="1"/>
  <c r="C339" i="104"/>
  <c r="E337" i="104"/>
  <c r="D334" i="104"/>
  <c r="F334" i="104" s="1"/>
  <c r="C331" i="104"/>
  <c r="E329" i="104"/>
  <c r="D326" i="104"/>
  <c r="F326" i="104" s="1"/>
  <c r="C323" i="104"/>
  <c r="E321" i="104"/>
  <c r="D318" i="104"/>
  <c r="C316" i="104"/>
  <c r="D315" i="104"/>
  <c r="E314" i="104"/>
  <c r="C312" i="104"/>
  <c r="D311" i="104"/>
  <c r="E310" i="104"/>
  <c r="C308" i="104"/>
  <c r="D307" i="104"/>
  <c r="E306" i="104"/>
  <c r="C304" i="104"/>
  <c r="D303" i="104"/>
  <c r="E302" i="104"/>
  <c r="C300" i="104"/>
  <c r="D299" i="104"/>
  <c r="E298" i="104"/>
  <c r="C296" i="104"/>
  <c r="D295" i="104"/>
  <c r="F295" i="104" s="1"/>
  <c r="E294" i="104"/>
  <c r="C292" i="104"/>
  <c r="D291" i="104"/>
  <c r="E290" i="104"/>
  <c r="C288" i="104"/>
  <c r="D287" i="104"/>
  <c r="E286" i="104"/>
  <c r="C284" i="104"/>
  <c r="D283" i="104"/>
  <c r="E282" i="104"/>
  <c r="C280" i="104"/>
  <c r="D279" i="104"/>
  <c r="F279" i="104" s="1"/>
  <c r="E278" i="104"/>
  <c r="C276" i="104"/>
  <c r="D275" i="104"/>
  <c r="E274" i="104"/>
  <c r="C272" i="104"/>
  <c r="D271" i="104"/>
  <c r="E270" i="104"/>
  <c r="C268" i="104"/>
  <c r="D267" i="104"/>
  <c r="E266" i="104"/>
  <c r="C264" i="104"/>
  <c r="D263" i="104"/>
  <c r="E262" i="104"/>
  <c r="C260" i="104"/>
  <c r="D259" i="104"/>
  <c r="E258" i="104"/>
  <c r="E508" i="104"/>
  <c r="C477" i="104"/>
  <c r="D464" i="104"/>
  <c r="F464" i="104" s="1"/>
  <c r="E451" i="104"/>
  <c r="E442" i="104"/>
  <c r="C436" i="104"/>
  <c r="C431" i="104"/>
  <c r="E421" i="104"/>
  <c r="D418" i="104"/>
  <c r="F418" i="104" s="1"/>
  <c r="C415" i="104"/>
  <c r="E405" i="104"/>
  <c r="D402" i="104"/>
  <c r="F402" i="104" s="1"/>
  <c r="C399" i="104"/>
  <c r="E389" i="104"/>
  <c r="D386" i="104"/>
  <c r="F386" i="104" s="1"/>
  <c r="C383" i="104"/>
  <c r="E373" i="104"/>
  <c r="D370" i="104"/>
  <c r="F370" i="104" s="1"/>
  <c r="C367" i="104"/>
  <c r="E357" i="104"/>
  <c r="D353" i="104"/>
  <c r="F353" i="104" s="1"/>
  <c r="C350" i="104"/>
  <c r="E348" i="104"/>
  <c r="D345" i="104"/>
  <c r="C342" i="104"/>
  <c r="E340" i="104"/>
  <c r="D337" i="104"/>
  <c r="C334" i="104"/>
  <c r="E332" i="104"/>
  <c r="D329" i="104"/>
  <c r="F329" i="104" s="1"/>
  <c r="C326" i="104"/>
  <c r="E324" i="104"/>
  <c r="D321" i="104"/>
  <c r="F321" i="104" s="1"/>
  <c r="C318" i="104"/>
  <c r="C315" i="104"/>
  <c r="D314" i="104"/>
  <c r="E313" i="104"/>
  <c r="C311" i="104"/>
  <c r="D310" i="104"/>
  <c r="E309" i="104"/>
  <c r="C307" i="104"/>
  <c r="D306" i="104"/>
  <c r="F306" i="104" s="1"/>
  <c r="E305" i="104"/>
  <c r="C303" i="104"/>
  <c r="D302" i="104"/>
  <c r="F302" i="104" s="1"/>
  <c r="E301" i="104"/>
  <c r="C299" i="104"/>
  <c r="D298" i="104"/>
  <c r="E297" i="104"/>
  <c r="C295" i="104"/>
  <c r="D294" i="104"/>
  <c r="E293" i="104"/>
  <c r="C291" i="104"/>
  <c r="D290" i="104"/>
  <c r="F290" i="104" s="1"/>
  <c r="E289" i="104"/>
  <c r="C287" i="104"/>
  <c r="D286" i="104"/>
  <c r="F286" i="104" s="1"/>
  <c r="E285" i="104"/>
  <c r="C283" i="104"/>
  <c r="D282" i="104"/>
  <c r="E281" i="104"/>
  <c r="C279" i="104"/>
  <c r="D278" i="104"/>
  <c r="E277" i="104"/>
  <c r="C275" i="104"/>
  <c r="D274" i="104"/>
  <c r="F274" i="104" s="1"/>
  <c r="E273" i="104"/>
  <c r="C271" i="104"/>
  <c r="D270" i="104"/>
  <c r="F270" i="104" s="1"/>
  <c r="E269" i="104"/>
  <c r="C267" i="104"/>
  <c r="D266" i="104"/>
  <c r="E265" i="104"/>
  <c r="C263" i="104"/>
  <c r="D262" i="104"/>
  <c r="E261" i="104"/>
  <c r="C259" i="104"/>
  <c r="D258" i="104"/>
  <c r="F258" i="104" s="1"/>
  <c r="E257" i="104"/>
  <c r="C255" i="104"/>
  <c r="D254" i="104"/>
  <c r="E253" i="104"/>
  <c r="C251" i="104"/>
  <c r="D250" i="104"/>
  <c r="E249" i="104"/>
  <c r="C247" i="104"/>
  <c r="D246" i="104"/>
  <c r="E245" i="104"/>
  <c r="C243" i="104"/>
  <c r="D242" i="104"/>
  <c r="E241" i="104"/>
  <c r="C239" i="104"/>
  <c r="D238" i="104"/>
  <c r="E237" i="104"/>
  <c r="C235" i="104"/>
  <c r="D234" i="104"/>
  <c r="E233" i="104"/>
  <c r="C231" i="104"/>
  <c r="D230" i="104"/>
  <c r="E229" i="104"/>
  <c r="C227" i="104"/>
  <c r="D226" i="104"/>
  <c r="E225" i="104"/>
  <c r="E552" i="104"/>
  <c r="C461" i="104"/>
  <c r="D448" i="104"/>
  <c r="F448" i="104" s="1"/>
  <c r="E434" i="104"/>
  <c r="D430" i="104"/>
  <c r="F430" i="104" s="1"/>
  <c r="C427" i="104"/>
  <c r="E417" i="104"/>
  <c r="D414" i="104"/>
  <c r="C411" i="104"/>
  <c r="E401" i="104"/>
  <c r="D398" i="104"/>
  <c r="F398" i="104" s="1"/>
  <c r="C395" i="104"/>
  <c r="E385" i="104"/>
  <c r="D382" i="104"/>
  <c r="F382" i="104" s="1"/>
  <c r="C379" i="104"/>
  <c r="E369" i="104"/>
  <c r="D366" i="104"/>
  <c r="F366" i="104" s="1"/>
  <c r="C363" i="104"/>
  <c r="D354" i="104"/>
  <c r="F354" i="104" s="1"/>
  <c r="C351" i="104"/>
  <c r="E349" i="104"/>
  <c r="D346" i="104"/>
  <c r="F346" i="104" s="1"/>
  <c r="C343" i="104"/>
  <c r="E341" i="104"/>
  <c r="D338" i="104"/>
  <c r="F338" i="104" s="1"/>
  <c r="C335" i="104"/>
  <c r="E333" i="104"/>
  <c r="D330" i="104"/>
  <c r="C327" i="104"/>
  <c r="E325" i="104"/>
  <c r="D322" i="104"/>
  <c r="F322" i="104" s="1"/>
  <c r="C319" i="104"/>
  <c r="E317" i="104"/>
  <c r="E316" i="104"/>
  <c r="C314" i="104"/>
  <c r="D313" i="104"/>
  <c r="E312" i="104"/>
  <c r="C310" i="104"/>
  <c r="D309" i="104"/>
  <c r="F309" i="104" s="1"/>
  <c r="E308" i="104"/>
  <c r="C306" i="104"/>
  <c r="D305" i="104"/>
  <c r="F305" i="104" s="1"/>
  <c r="E304" i="104"/>
  <c r="C302" i="104"/>
  <c r="D301" i="104"/>
  <c r="E300" i="104"/>
  <c r="C298" i="104"/>
  <c r="D297" i="104"/>
  <c r="E296" i="104"/>
  <c r="C294" i="104"/>
  <c r="D293" i="104"/>
  <c r="F293" i="104" s="1"/>
  <c r="E292" i="104"/>
  <c r="F292" i="104" s="1"/>
  <c r="C290" i="104"/>
  <c r="D289" i="104"/>
  <c r="F289" i="104" s="1"/>
  <c r="E288" i="104"/>
  <c r="C286" i="104"/>
  <c r="D285" i="104"/>
  <c r="E284" i="104"/>
  <c r="C282" i="104"/>
  <c r="D281" i="104"/>
  <c r="E280" i="104"/>
  <c r="C278" i="104"/>
  <c r="D277" i="104"/>
  <c r="F277" i="104" s="1"/>
  <c r="E276" i="104"/>
  <c r="C274" i="104"/>
  <c r="D273" i="104"/>
  <c r="F273" i="104" s="1"/>
  <c r="E272" i="104"/>
  <c r="C270" i="104"/>
  <c r="D269" i="104"/>
  <c r="E268" i="104"/>
  <c r="C266" i="104"/>
  <c r="D265" i="104"/>
  <c r="E264" i="104"/>
  <c r="C262" i="104"/>
  <c r="D261" i="104"/>
  <c r="F261" i="104" s="1"/>
  <c r="E260" i="104"/>
  <c r="C258" i="104"/>
  <c r="D257" i="104"/>
  <c r="F257" i="104" s="1"/>
  <c r="E256" i="104"/>
  <c r="C254" i="104"/>
  <c r="D253" i="104"/>
  <c r="E252" i="104"/>
  <c r="C250" i="104"/>
  <c r="D249" i="104"/>
  <c r="E248" i="104"/>
  <c r="C246" i="104"/>
  <c r="D245" i="104"/>
  <c r="F245" i="104" s="1"/>
  <c r="E244" i="104"/>
  <c r="C242" i="104"/>
  <c r="D241" i="104"/>
  <c r="F241" i="104" s="1"/>
  <c r="E240" i="104"/>
  <c r="C238" i="104"/>
  <c r="D237" i="104"/>
  <c r="E236" i="104"/>
  <c r="F236" i="104" s="1"/>
  <c r="C234" i="104"/>
  <c r="D233" i="104"/>
  <c r="E232" i="104"/>
  <c r="C230" i="104"/>
  <c r="D229" i="104"/>
  <c r="F229" i="104" s="1"/>
  <c r="E228" i="104"/>
  <c r="C226" i="104"/>
  <c r="D225" i="104"/>
  <c r="F225" i="104" s="1"/>
  <c r="C407" i="104"/>
  <c r="D394" i="104"/>
  <c r="E381" i="104"/>
  <c r="D349" i="104"/>
  <c r="F349" i="104" s="1"/>
  <c r="E336" i="104"/>
  <c r="C330" i="104"/>
  <c r="D317" i="104"/>
  <c r="F317" i="104" s="1"/>
  <c r="E307" i="104"/>
  <c r="D304" i="104"/>
  <c r="F304" i="104" s="1"/>
  <c r="C301" i="104"/>
  <c r="E291" i="104"/>
  <c r="D288" i="104"/>
  <c r="F288" i="104" s="1"/>
  <c r="C285" i="104"/>
  <c r="E275" i="104"/>
  <c r="D272" i="104"/>
  <c r="C269" i="104"/>
  <c r="E259" i="104"/>
  <c r="D255" i="104"/>
  <c r="F255" i="104" s="1"/>
  <c r="C252" i="104"/>
  <c r="E250" i="104"/>
  <c r="D247" i="104"/>
  <c r="C244" i="104"/>
  <c r="E242" i="104"/>
  <c r="D239" i="104"/>
  <c r="F239" i="104" s="1"/>
  <c r="C236" i="104"/>
  <c r="E234" i="104"/>
  <c r="D231" i="104"/>
  <c r="F231" i="104" s="1"/>
  <c r="C228" i="104"/>
  <c r="E226" i="104"/>
  <c r="C224" i="104"/>
  <c r="D223" i="104"/>
  <c r="E222" i="104"/>
  <c r="C220" i="104"/>
  <c r="D219" i="104"/>
  <c r="F219" i="104" s="1"/>
  <c r="E218" i="104"/>
  <c r="C216" i="104"/>
  <c r="D215" i="104"/>
  <c r="E214" i="104"/>
  <c r="C212" i="104"/>
  <c r="D211" i="104"/>
  <c r="F211" i="104" s="1"/>
  <c r="E210" i="104"/>
  <c r="C208" i="104"/>
  <c r="D207" i="104"/>
  <c r="E206" i="104"/>
  <c r="C204" i="104"/>
  <c r="D203" i="104"/>
  <c r="F203" i="104" s="1"/>
  <c r="E202" i="104"/>
  <c r="C200" i="104"/>
  <c r="D199" i="104"/>
  <c r="E198" i="104"/>
  <c r="C196" i="104"/>
  <c r="D195" i="104"/>
  <c r="F195" i="104" s="1"/>
  <c r="E194" i="104"/>
  <c r="C192" i="104"/>
  <c r="D191" i="104"/>
  <c r="E190" i="104"/>
  <c r="C188" i="104"/>
  <c r="D187" i="104"/>
  <c r="E186" i="104"/>
  <c r="C184" i="104"/>
  <c r="D183" i="104"/>
  <c r="F183" i="104" s="1"/>
  <c r="E182" i="104"/>
  <c r="C180" i="104"/>
  <c r="D179" i="104"/>
  <c r="F179" i="104" s="1"/>
  <c r="E178" i="104"/>
  <c r="C176" i="104"/>
  <c r="D175" i="104"/>
  <c r="E174" i="104"/>
  <c r="C172" i="104"/>
  <c r="D171" i="104"/>
  <c r="F171" i="104" s="1"/>
  <c r="E170" i="104"/>
  <c r="C168" i="104"/>
  <c r="D167" i="104"/>
  <c r="E166" i="104"/>
  <c r="C164" i="104"/>
  <c r="D163" i="104"/>
  <c r="F163" i="104" s="1"/>
  <c r="E162" i="104"/>
  <c r="C160" i="104"/>
  <c r="D159" i="104"/>
  <c r="E158" i="104"/>
  <c r="C156" i="104"/>
  <c r="D155" i="104"/>
  <c r="F155" i="104" s="1"/>
  <c r="E154" i="104"/>
  <c r="C152" i="104"/>
  <c r="D151" i="104"/>
  <c r="E150" i="104"/>
  <c r="C148" i="104"/>
  <c r="D147" i="104"/>
  <c r="F147" i="104" s="1"/>
  <c r="E146" i="104"/>
  <c r="C144" i="104"/>
  <c r="D143" i="104"/>
  <c r="E142" i="104"/>
  <c r="C140" i="104"/>
  <c r="D139" i="104"/>
  <c r="F139" i="104" s="1"/>
  <c r="E138" i="104"/>
  <c r="C136" i="104"/>
  <c r="D135" i="104"/>
  <c r="F135" i="104" s="1"/>
  <c r="E134" i="104"/>
  <c r="C132" i="104"/>
  <c r="D131" i="104"/>
  <c r="F131" i="104" s="1"/>
  <c r="E429" i="104"/>
  <c r="C391" i="104"/>
  <c r="D378" i="104"/>
  <c r="E365" i="104"/>
  <c r="C354" i="104"/>
  <c r="D341" i="104"/>
  <c r="F341" i="104" s="1"/>
  <c r="E328" i="104"/>
  <c r="C322" i="104"/>
  <c r="D316" i="104"/>
  <c r="C313" i="104"/>
  <c r="E303" i="104"/>
  <c r="D300" i="104"/>
  <c r="F300" i="104" s="1"/>
  <c r="C297" i="104"/>
  <c r="E287" i="104"/>
  <c r="D284" i="104"/>
  <c r="C281" i="104"/>
  <c r="E271" i="104"/>
  <c r="D268" i="104"/>
  <c r="C265" i="104"/>
  <c r="D256" i="104"/>
  <c r="F256" i="104" s="1"/>
  <c r="C253" i="104"/>
  <c r="E251" i="104"/>
  <c r="D248" i="104"/>
  <c r="F248" i="104" s="1"/>
  <c r="C245" i="104"/>
  <c r="E243" i="104"/>
  <c r="D240" i="104"/>
  <c r="C237" i="104"/>
  <c r="E235" i="104"/>
  <c r="D232" i="104"/>
  <c r="F232" i="104" s="1"/>
  <c r="C229" i="104"/>
  <c r="E227" i="104"/>
  <c r="C223" i="104"/>
  <c r="D222" i="104"/>
  <c r="E221" i="104"/>
  <c r="C219" i="104"/>
  <c r="D218" i="104"/>
  <c r="F218" i="104" s="1"/>
  <c r="E217" i="104"/>
  <c r="C215" i="104"/>
  <c r="D214" i="104"/>
  <c r="F214" i="104" s="1"/>
  <c r="E213" i="104"/>
  <c r="C211" i="104"/>
  <c r="D210" i="104"/>
  <c r="E209" i="104"/>
  <c r="C207" i="104"/>
  <c r="D206" i="104"/>
  <c r="E205" i="104"/>
  <c r="C203" i="104"/>
  <c r="D202" i="104"/>
  <c r="F202" i="104" s="1"/>
  <c r="E201" i="104"/>
  <c r="C199" i="104"/>
  <c r="D198" i="104"/>
  <c r="F198" i="104" s="1"/>
  <c r="E197" i="104"/>
  <c r="C195" i="104"/>
  <c r="D194" i="104"/>
  <c r="E193" i="104"/>
  <c r="C191" i="104"/>
  <c r="D190" i="104"/>
  <c r="E189" i="104"/>
  <c r="C187" i="104"/>
  <c r="D186" i="104"/>
  <c r="F186" i="104" s="1"/>
  <c r="E185" i="104"/>
  <c r="C183" i="104"/>
  <c r="D182" i="104"/>
  <c r="F182" i="104" s="1"/>
  <c r="E181" i="104"/>
  <c r="C179" i="104"/>
  <c r="D178" i="104"/>
  <c r="E177" i="104"/>
  <c r="C175" i="104"/>
  <c r="D174" i="104"/>
  <c r="E173" i="104"/>
  <c r="C171" i="104"/>
  <c r="D170" i="104"/>
  <c r="F170" i="104" s="1"/>
  <c r="E169" i="104"/>
  <c r="C167" i="104"/>
  <c r="D166" i="104"/>
  <c r="F166" i="104" s="1"/>
  <c r="E165" i="104"/>
  <c r="C163" i="104"/>
  <c r="D162" i="104"/>
  <c r="E161" i="104"/>
  <c r="C159" i="104"/>
  <c r="D158" i="104"/>
  <c r="E157" i="104"/>
  <c r="C155" i="104"/>
  <c r="D154" i="104"/>
  <c r="F154" i="104" s="1"/>
  <c r="E153" i="104"/>
  <c r="C151" i="104"/>
  <c r="D150" i="104"/>
  <c r="F150" i="104" s="1"/>
  <c r="E149" i="104"/>
  <c r="C147" i="104"/>
  <c r="D146" i="104"/>
  <c r="E145" i="104"/>
  <c r="C143" i="104"/>
  <c r="D142" i="104"/>
  <c r="E141" i="104"/>
  <c r="C139" i="104"/>
  <c r="D138" i="104"/>
  <c r="F138" i="104" s="1"/>
  <c r="E137" i="104"/>
  <c r="C135" i="104"/>
  <c r="D134" i="104"/>
  <c r="F134" i="104" s="1"/>
  <c r="E133" i="104"/>
  <c r="C131" i="104"/>
  <c r="D130" i="104"/>
  <c r="E129" i="104"/>
  <c r="C127" i="104"/>
  <c r="D126" i="104"/>
  <c r="F126" i="104" s="1"/>
  <c r="E125" i="104"/>
  <c r="C123" i="104"/>
  <c r="D122" i="104"/>
  <c r="F122" i="104" s="1"/>
  <c r="E121" i="104"/>
  <c r="C119" i="104"/>
  <c r="D118" i="104"/>
  <c r="F118" i="104" s="1"/>
  <c r="E117" i="104"/>
  <c r="C115" i="104"/>
  <c r="D114" i="104"/>
  <c r="F114" i="104" s="1"/>
  <c r="E113" i="104"/>
  <c r="C111" i="104"/>
  <c r="D110" i="104"/>
  <c r="F110" i="104" s="1"/>
  <c r="E109" i="104"/>
  <c r="C107" i="104"/>
  <c r="D106" i="104"/>
  <c r="F106" i="104" s="1"/>
  <c r="E105" i="104"/>
  <c r="C103" i="104"/>
  <c r="D102" i="104"/>
  <c r="F102" i="104" s="1"/>
  <c r="E101" i="104"/>
  <c r="C99" i="104"/>
  <c r="D98" i="104"/>
  <c r="E97" i="104"/>
  <c r="C95" i="104"/>
  <c r="D94" i="104"/>
  <c r="F94" i="104" s="1"/>
  <c r="E93" i="104"/>
  <c r="C534" i="104"/>
  <c r="D426" i="104"/>
  <c r="F426" i="104" s="1"/>
  <c r="E413" i="104"/>
  <c r="C375" i="104"/>
  <c r="D362" i="104"/>
  <c r="E352" i="104"/>
  <c r="C346" i="104"/>
  <c r="D333" i="104"/>
  <c r="E320" i="104"/>
  <c r="E315" i="104"/>
  <c r="D312" i="104"/>
  <c r="F312" i="104" s="1"/>
  <c r="C309" i="104"/>
  <c r="E299" i="104"/>
  <c r="D296" i="104"/>
  <c r="F296" i="104" s="1"/>
  <c r="C293" i="104"/>
  <c r="E283" i="104"/>
  <c r="D280" i="104"/>
  <c r="F280" i="104" s="1"/>
  <c r="C277" i="104"/>
  <c r="E267" i="104"/>
  <c r="D264" i="104"/>
  <c r="C261" i="104"/>
  <c r="C256" i="104"/>
  <c r="E254" i="104"/>
  <c r="D251" i="104"/>
  <c r="F251" i="104" s="1"/>
  <c r="C248" i="104"/>
  <c r="E246" i="104"/>
  <c r="D243" i="104"/>
  <c r="F243" i="104" s="1"/>
  <c r="C240" i="104"/>
  <c r="E238" i="104"/>
  <c r="D235" i="104"/>
  <c r="F235" i="104" s="1"/>
  <c r="C232" i="104"/>
  <c r="E230" i="104"/>
  <c r="D227" i="104"/>
  <c r="F227" i="104" s="1"/>
  <c r="E224" i="104"/>
  <c r="F224" i="104" s="1"/>
  <c r="C222" i="104"/>
  <c r="D221" i="104"/>
  <c r="F221" i="104" s="1"/>
  <c r="E220" i="104"/>
  <c r="C218" i="104"/>
  <c r="D217" i="104"/>
  <c r="F217" i="104" s="1"/>
  <c r="E216" i="104"/>
  <c r="C214" i="104"/>
  <c r="D213" i="104"/>
  <c r="F213" i="104" s="1"/>
  <c r="E212" i="104"/>
  <c r="C210" i="104"/>
  <c r="D209" i="104"/>
  <c r="F209" i="104" s="1"/>
  <c r="E208" i="104"/>
  <c r="F208" i="104" s="1"/>
  <c r="C206" i="104"/>
  <c r="D205" i="104"/>
  <c r="F205" i="104" s="1"/>
  <c r="E204" i="104"/>
  <c r="C202" i="104"/>
  <c r="D201" i="104"/>
  <c r="F201" i="104" s="1"/>
  <c r="E200" i="104"/>
  <c r="C198" i="104"/>
  <c r="D197" i="104"/>
  <c r="F197" i="104" s="1"/>
  <c r="E196" i="104"/>
  <c r="C194" i="104"/>
  <c r="D193" i="104"/>
  <c r="F193" i="104" s="1"/>
  <c r="E192" i="104"/>
  <c r="F192" i="104" s="1"/>
  <c r="C190" i="104"/>
  <c r="D189" i="104"/>
  <c r="F189" i="104" s="1"/>
  <c r="E188" i="104"/>
  <c r="C186" i="104"/>
  <c r="D185" i="104"/>
  <c r="F185" i="104" s="1"/>
  <c r="E184" i="104"/>
  <c r="C182" i="104"/>
  <c r="D181" i="104"/>
  <c r="F181" i="104" s="1"/>
  <c r="E180" i="104"/>
  <c r="C178" i="104"/>
  <c r="D177" i="104"/>
  <c r="F177" i="104" s="1"/>
  <c r="E176" i="104"/>
  <c r="F176" i="104" s="1"/>
  <c r="C174" i="104"/>
  <c r="D173" i="104"/>
  <c r="F173" i="104" s="1"/>
  <c r="E172" i="104"/>
  <c r="C170" i="104"/>
  <c r="D169" i="104"/>
  <c r="F169" i="104" s="1"/>
  <c r="E168" i="104"/>
  <c r="C166" i="104"/>
  <c r="D165" i="104"/>
  <c r="F165" i="104" s="1"/>
  <c r="E164" i="104"/>
  <c r="C162" i="104"/>
  <c r="D161" i="104"/>
  <c r="F161" i="104" s="1"/>
  <c r="E160" i="104"/>
  <c r="F160" i="104" s="1"/>
  <c r="C158" i="104"/>
  <c r="D157" i="104"/>
  <c r="F157" i="104" s="1"/>
  <c r="E156" i="104"/>
  <c r="C154" i="104"/>
  <c r="D153" i="104"/>
  <c r="F153" i="104" s="1"/>
  <c r="E152" i="104"/>
  <c r="C150" i="104"/>
  <c r="D149" i="104"/>
  <c r="F149" i="104" s="1"/>
  <c r="E148" i="104"/>
  <c r="C146" i="104"/>
  <c r="D145" i="104"/>
  <c r="F145" i="104" s="1"/>
  <c r="E144" i="104"/>
  <c r="F144" i="104" s="1"/>
  <c r="C142" i="104"/>
  <c r="D141" i="104"/>
  <c r="F141" i="104" s="1"/>
  <c r="E140" i="104"/>
  <c r="C138" i="104"/>
  <c r="D137" i="104"/>
  <c r="F137" i="104" s="1"/>
  <c r="E136" i="104"/>
  <c r="C134" i="104"/>
  <c r="D133" i="104"/>
  <c r="F133" i="104" s="1"/>
  <c r="E132" i="104"/>
  <c r="C130" i="104"/>
  <c r="D129" i="104"/>
  <c r="F129" i="104" s="1"/>
  <c r="E128" i="104"/>
  <c r="C126" i="104"/>
  <c r="D125" i="104"/>
  <c r="F125" i="104" s="1"/>
  <c r="E124" i="104"/>
  <c r="C122" i="104"/>
  <c r="D121" i="104"/>
  <c r="F121" i="104" s="1"/>
  <c r="E120" i="104"/>
  <c r="C118" i="104"/>
  <c r="D117" i="104"/>
  <c r="F117" i="104" s="1"/>
  <c r="E116" i="104"/>
  <c r="C114" i="104"/>
  <c r="D113" i="104"/>
  <c r="F113" i="104" s="1"/>
  <c r="E112" i="104"/>
  <c r="C110" i="104"/>
  <c r="D109" i="104"/>
  <c r="F109" i="104" s="1"/>
  <c r="E108" i="104"/>
  <c r="C106" i="104"/>
  <c r="D105" i="104"/>
  <c r="F105" i="104" s="1"/>
  <c r="E104" i="104"/>
  <c r="C102" i="104"/>
  <c r="D101" i="104"/>
  <c r="F101" i="104" s="1"/>
  <c r="E100" i="104"/>
  <c r="C98" i="104"/>
  <c r="D97" i="104"/>
  <c r="F97" i="104" s="1"/>
  <c r="E96" i="104"/>
  <c r="C94" i="104"/>
  <c r="D93" i="104"/>
  <c r="F93" i="104" s="1"/>
  <c r="E11" i="104"/>
  <c r="F11" i="104" s="1"/>
  <c r="C13" i="104"/>
  <c r="D16" i="104"/>
  <c r="F16" i="104" s="1"/>
  <c r="E19" i="104"/>
  <c r="F19" i="104" s="1"/>
  <c r="C21" i="104"/>
  <c r="D24" i="104"/>
  <c r="F24" i="104" s="1"/>
  <c r="D28" i="104"/>
  <c r="F28" i="104" s="1"/>
  <c r="D32" i="104"/>
  <c r="F32" i="104" s="1"/>
  <c r="D36" i="104"/>
  <c r="D40" i="104"/>
  <c r="F40" i="104" s="1"/>
  <c r="D44" i="104"/>
  <c r="F44" i="104" s="1"/>
  <c r="D48" i="104"/>
  <c r="F48" i="104" s="1"/>
  <c r="D52" i="104"/>
  <c r="D56" i="104"/>
  <c r="F56" i="104" s="1"/>
  <c r="D60" i="104"/>
  <c r="F60" i="104" s="1"/>
  <c r="D64" i="104"/>
  <c r="F64" i="104" s="1"/>
  <c r="E67" i="104"/>
  <c r="F67" i="104" s="1"/>
  <c r="C69" i="104"/>
  <c r="D72" i="104"/>
  <c r="F72" i="104" s="1"/>
  <c r="D76" i="104"/>
  <c r="F76" i="104" s="1"/>
  <c r="D80" i="104"/>
  <c r="F80" i="104" s="1"/>
  <c r="D84" i="104"/>
  <c r="F84" i="104" s="1"/>
  <c r="E87" i="104"/>
  <c r="F87" i="104" s="1"/>
  <c r="C89" i="104"/>
  <c r="D92" i="104"/>
  <c r="F92" i="104" s="1"/>
  <c r="E99" i="104"/>
  <c r="F99" i="104" s="1"/>
  <c r="E107" i="104"/>
  <c r="F107" i="104" s="1"/>
  <c r="E115" i="104"/>
  <c r="F115" i="104" s="1"/>
  <c r="E123" i="104"/>
  <c r="F123" i="104" s="1"/>
  <c r="D132" i="104"/>
  <c r="F132" i="104" s="1"/>
  <c r="C145" i="104"/>
  <c r="E151" i="104"/>
  <c r="D164" i="104"/>
  <c r="D180" i="104"/>
  <c r="F180" i="104" s="1"/>
  <c r="C193" i="104"/>
  <c r="E199" i="104"/>
  <c r="C209" i="104"/>
  <c r="E215" i="104"/>
  <c r="C225" i="104"/>
  <c r="D244" i="104"/>
  <c r="F244" i="104" s="1"/>
  <c r="C257" i="104"/>
  <c r="D308" i="104"/>
  <c r="F308" i="104" s="1"/>
  <c r="E397" i="104"/>
  <c r="E9" i="104"/>
  <c r="D10" i="104"/>
  <c r="F10" i="104" s="1"/>
  <c r="C11" i="104"/>
  <c r="E13" i="104"/>
  <c r="D14" i="104"/>
  <c r="F14" i="104" s="1"/>
  <c r="C15" i="104"/>
  <c r="E17" i="104"/>
  <c r="D18" i="104"/>
  <c r="F18" i="104" s="1"/>
  <c r="C19" i="104"/>
  <c r="E21" i="104"/>
  <c r="D22" i="104"/>
  <c r="F22" i="104" s="1"/>
  <c r="C23" i="104"/>
  <c r="E25" i="104"/>
  <c r="D26" i="104"/>
  <c r="F26" i="104" s="1"/>
  <c r="C27" i="104"/>
  <c r="E29" i="104"/>
  <c r="D30" i="104"/>
  <c r="F30" i="104" s="1"/>
  <c r="C31" i="104"/>
  <c r="E33" i="104"/>
  <c r="D34" i="104"/>
  <c r="F34" i="104" s="1"/>
  <c r="C35" i="104"/>
  <c r="E37" i="104"/>
  <c r="D38" i="104"/>
  <c r="F38" i="104" s="1"/>
  <c r="C39" i="104"/>
  <c r="E41" i="104"/>
  <c r="D42" i="104"/>
  <c r="F42" i="104" s="1"/>
  <c r="C43" i="104"/>
  <c r="E45" i="104"/>
  <c r="D46" i="104"/>
  <c r="F46" i="104" s="1"/>
  <c r="C47" i="104"/>
  <c r="E49" i="104"/>
  <c r="D50" i="104"/>
  <c r="F50" i="104" s="1"/>
  <c r="C51" i="104"/>
  <c r="E53" i="104"/>
  <c r="D54" i="104"/>
  <c r="F54" i="104" s="1"/>
  <c r="C55" i="104"/>
  <c r="E57" i="104"/>
  <c r="D58" i="104"/>
  <c r="F58" i="104" s="1"/>
  <c r="C59" i="104"/>
  <c r="E61" i="104"/>
  <c r="D62" i="104"/>
  <c r="F62" i="104" s="1"/>
  <c r="C63" i="104"/>
  <c r="E65" i="104"/>
  <c r="D66" i="104"/>
  <c r="F66" i="104" s="1"/>
  <c r="C67" i="104"/>
  <c r="E69" i="104"/>
  <c r="D70" i="104"/>
  <c r="F70" i="104" s="1"/>
  <c r="C71" i="104"/>
  <c r="E73" i="104"/>
  <c r="D74" i="104"/>
  <c r="F74" i="104" s="1"/>
  <c r="C75" i="104"/>
  <c r="E77" i="104"/>
  <c r="D78" i="104"/>
  <c r="F78" i="104" s="1"/>
  <c r="C79" i="104"/>
  <c r="E81" i="104"/>
  <c r="D82" i="104"/>
  <c r="F82" i="104" s="1"/>
  <c r="C83" i="104"/>
  <c r="E85" i="104"/>
  <c r="D86" i="104"/>
  <c r="F86" i="104" s="1"/>
  <c r="C87" i="104"/>
  <c r="E89" i="104"/>
  <c r="D90" i="104"/>
  <c r="F90" i="104" s="1"/>
  <c r="C91" i="104"/>
  <c r="E95" i="104"/>
  <c r="C97" i="104"/>
  <c r="D100" i="104"/>
  <c r="E103" i="104"/>
  <c r="C105" i="104"/>
  <c r="D108" i="104"/>
  <c r="E111" i="104"/>
  <c r="C113" i="104"/>
  <c r="D116" i="104"/>
  <c r="F116" i="104" s="1"/>
  <c r="E119" i="104"/>
  <c r="C121" i="104"/>
  <c r="D124" i="104"/>
  <c r="F124" i="104" s="1"/>
  <c r="E127" i="104"/>
  <c r="C129" i="104"/>
  <c r="C137" i="104"/>
  <c r="D140" i="104"/>
  <c r="F140" i="104" s="1"/>
  <c r="E143" i="104"/>
  <c r="C153" i="104"/>
  <c r="D156" i="104"/>
  <c r="F156" i="104" s="1"/>
  <c r="E159" i="104"/>
  <c r="C169" i="104"/>
  <c r="D172" i="104"/>
  <c r="E175" i="104"/>
  <c r="C185" i="104"/>
  <c r="D188" i="104"/>
  <c r="F188" i="104" s="1"/>
  <c r="E191" i="104"/>
  <c r="C201" i="104"/>
  <c r="D204" i="104"/>
  <c r="F204" i="104" s="1"/>
  <c r="E207" i="104"/>
  <c r="C217" i="104"/>
  <c r="D220" i="104"/>
  <c r="F220" i="104" s="1"/>
  <c r="E223" i="104"/>
  <c r="D228" i="104"/>
  <c r="F228" i="104" s="1"/>
  <c r="C241" i="104"/>
  <c r="E247" i="104"/>
  <c r="E263" i="104"/>
  <c r="D276" i="104"/>
  <c r="F276" i="104" s="1"/>
  <c r="C289" i="104"/>
  <c r="C338" i="104"/>
  <c r="C423" i="104"/>
  <c r="E10" i="103"/>
  <c r="C13" i="103"/>
  <c r="D15" i="103"/>
  <c r="E18" i="103"/>
  <c r="C21" i="103"/>
  <c r="D23" i="103"/>
  <c r="D31" i="103"/>
  <c r="D39" i="103"/>
  <c r="D47" i="103"/>
  <c r="D55" i="103"/>
  <c r="D63" i="103"/>
  <c r="F63" i="103" s="1"/>
  <c r="D71" i="103"/>
  <c r="D79" i="103"/>
  <c r="D87" i="103"/>
  <c r="D95" i="103"/>
  <c r="D105" i="103"/>
  <c r="D113" i="103"/>
  <c r="D121" i="103"/>
  <c r="D130" i="103"/>
  <c r="F130" i="103" s="1"/>
  <c r="E148" i="103"/>
  <c r="E164" i="103"/>
  <c r="E180" i="103"/>
  <c r="E196" i="103"/>
  <c r="E212" i="103"/>
  <c r="E228" i="103"/>
  <c r="E244" i="103"/>
  <c r="E260" i="103"/>
  <c r="E276" i="103"/>
  <c r="D293" i="103"/>
  <c r="D485" i="103"/>
  <c r="C11" i="103"/>
  <c r="D13" i="103"/>
  <c r="E16" i="103"/>
  <c r="C19" i="103"/>
  <c r="D21" i="103"/>
  <c r="D25" i="103"/>
  <c r="D33" i="103"/>
  <c r="D41" i="103"/>
  <c r="D49" i="103"/>
  <c r="D57" i="103"/>
  <c r="D65" i="103"/>
  <c r="D73" i="103"/>
  <c r="D81" i="103"/>
  <c r="D89" i="103"/>
  <c r="D97" i="103"/>
  <c r="D106" i="103"/>
  <c r="D114" i="103"/>
  <c r="D122" i="103"/>
  <c r="D134" i="103"/>
  <c r="C151" i="103"/>
  <c r="C167" i="103"/>
  <c r="C183" i="103"/>
  <c r="C199" i="103"/>
  <c r="C215" i="103"/>
  <c r="C231" i="103"/>
  <c r="C247" i="103"/>
  <c r="C263" i="103"/>
  <c r="C279" i="103"/>
  <c r="D310" i="103"/>
  <c r="C9" i="103"/>
  <c r="D11" i="103"/>
  <c r="E14" i="103"/>
  <c r="C17" i="103"/>
  <c r="D19" i="103"/>
  <c r="E22" i="103"/>
  <c r="D27" i="103"/>
  <c r="D35" i="103"/>
  <c r="D43" i="103"/>
  <c r="D51" i="103"/>
  <c r="D59" i="103"/>
  <c r="D67" i="103"/>
  <c r="D75" i="103"/>
  <c r="D83" i="103"/>
  <c r="D91" i="103"/>
  <c r="D99" i="103"/>
  <c r="C107" i="103"/>
  <c r="C115" i="103"/>
  <c r="C123" i="103"/>
  <c r="E140" i="103"/>
  <c r="E156" i="103"/>
  <c r="E172" i="103"/>
  <c r="E188" i="103"/>
  <c r="E204" i="103"/>
  <c r="E220" i="103"/>
  <c r="E236" i="103"/>
  <c r="E252" i="103"/>
  <c r="E268" i="103"/>
  <c r="E284" i="103"/>
  <c r="D342" i="103"/>
  <c r="D9" i="103"/>
  <c r="E12" i="103"/>
  <c r="C15" i="103"/>
  <c r="D17" i="103"/>
  <c r="E20" i="103"/>
  <c r="C23" i="103"/>
  <c r="D29" i="103"/>
  <c r="D37" i="103"/>
  <c r="D45" i="103"/>
  <c r="D53" i="103"/>
  <c r="D61" i="103"/>
  <c r="D69" i="103"/>
  <c r="D77" i="103"/>
  <c r="D85" i="103"/>
  <c r="D93" i="103"/>
  <c r="E104" i="103"/>
  <c r="E112" i="103"/>
  <c r="E120" i="103"/>
  <c r="D126" i="103"/>
  <c r="C143" i="103"/>
  <c r="C159" i="103"/>
  <c r="C175" i="103"/>
  <c r="C191" i="103"/>
  <c r="C207" i="103"/>
  <c r="C223" i="103"/>
  <c r="C239" i="103"/>
  <c r="C255" i="103"/>
  <c r="C271" i="103"/>
  <c r="C287" i="103"/>
  <c r="D408" i="103"/>
  <c r="F408" i="103" s="1"/>
  <c r="G481" i="104"/>
  <c r="G153" i="104"/>
  <c r="G513" i="104"/>
  <c r="G608" i="104"/>
  <c r="G606" i="104"/>
  <c r="G604" i="104"/>
  <c r="G602" i="104"/>
  <c r="G600" i="104"/>
  <c r="G598" i="104"/>
  <c r="G596" i="104"/>
  <c r="G594" i="104"/>
  <c r="G592" i="104"/>
  <c r="G590" i="104"/>
  <c r="G588" i="104"/>
  <c r="G586" i="104"/>
  <c r="G584" i="104"/>
  <c r="G582" i="104"/>
  <c r="G580" i="104"/>
  <c r="G578" i="104"/>
  <c r="G576" i="104"/>
  <c r="G574" i="104"/>
  <c r="G572" i="104"/>
  <c r="G570" i="104"/>
  <c r="G568" i="104"/>
  <c r="G566" i="104"/>
  <c r="G564" i="104"/>
  <c r="G562" i="104"/>
  <c r="G560" i="104"/>
  <c r="G558" i="104"/>
  <c r="G556" i="104"/>
  <c r="G554" i="104"/>
  <c r="G552" i="104"/>
  <c r="G550" i="104"/>
  <c r="G548" i="104"/>
  <c r="G546" i="104"/>
  <c r="G544" i="104"/>
  <c r="G542" i="104"/>
  <c r="G540" i="104"/>
  <c r="G538" i="104"/>
  <c r="G536" i="104"/>
  <c r="G534" i="104"/>
  <c r="G532" i="104"/>
  <c r="G530" i="104"/>
  <c r="G528" i="104"/>
  <c r="G526" i="104"/>
  <c r="G524" i="104"/>
  <c r="G522" i="104"/>
  <c r="G520" i="104"/>
  <c r="G518" i="104"/>
  <c r="G516" i="104"/>
  <c r="G514" i="104"/>
  <c r="G512" i="104"/>
  <c r="G510" i="104"/>
  <c r="G508" i="104"/>
  <c r="G506" i="104"/>
  <c r="G504" i="104"/>
  <c r="G502" i="104"/>
  <c r="G500" i="104"/>
  <c r="G498" i="104"/>
  <c r="G496" i="104"/>
  <c r="G494" i="104"/>
  <c r="G492" i="104"/>
  <c r="G490" i="104"/>
  <c r="G488" i="104"/>
  <c r="G486" i="104"/>
  <c r="G484" i="104"/>
  <c r="G482" i="104"/>
  <c r="G480" i="104"/>
  <c r="G478" i="104"/>
  <c r="G476" i="104"/>
  <c r="G474" i="104"/>
  <c r="G472" i="104"/>
  <c r="G470" i="104"/>
  <c r="G468" i="104"/>
  <c r="G466" i="104"/>
  <c r="G464" i="104"/>
  <c r="G462" i="104"/>
  <c r="G460" i="104"/>
  <c r="G458" i="104"/>
  <c r="G456" i="104"/>
  <c r="G454" i="104"/>
  <c r="G452" i="104"/>
  <c r="G450" i="104"/>
  <c r="G448" i="104"/>
  <c r="G446" i="104"/>
  <c r="G444" i="104"/>
  <c r="G442" i="104"/>
  <c r="G440" i="104"/>
  <c r="G603" i="104"/>
  <c r="G595" i="104"/>
  <c r="G587" i="104"/>
  <c r="G579" i="104"/>
  <c r="G571" i="104"/>
  <c r="G563" i="104"/>
  <c r="G555" i="104"/>
  <c r="G547" i="104"/>
  <c r="G539" i="104"/>
  <c r="G531" i="104"/>
  <c r="G523" i="104"/>
  <c r="G515" i="104"/>
  <c r="G507" i="104"/>
  <c r="G499" i="104"/>
  <c r="G491" i="104"/>
  <c r="G483" i="104"/>
  <c r="G475" i="104"/>
  <c r="G467" i="104"/>
  <c r="G459" i="104"/>
  <c r="G451" i="104"/>
  <c r="G443" i="104"/>
  <c r="G438" i="104"/>
  <c r="G436" i="104"/>
  <c r="G434" i="104"/>
  <c r="G432" i="104"/>
  <c r="G430" i="104"/>
  <c r="G428" i="104"/>
  <c r="G426" i="104"/>
  <c r="G424" i="104"/>
  <c r="G422" i="104"/>
  <c r="G420" i="104"/>
  <c r="G418" i="104"/>
  <c r="G416" i="104"/>
  <c r="G414" i="104"/>
  <c r="G412" i="104"/>
  <c r="G410" i="104"/>
  <c r="G408" i="104"/>
  <c r="G406" i="104"/>
  <c r="G404" i="104"/>
  <c r="G402" i="104"/>
  <c r="G400" i="104"/>
  <c r="G398" i="104"/>
  <c r="G396" i="104"/>
  <c r="G394" i="104"/>
  <c r="G392" i="104"/>
  <c r="G390" i="104"/>
  <c r="G388" i="104"/>
  <c r="G386" i="104"/>
  <c r="G384" i="104"/>
  <c r="G382" i="104"/>
  <c r="G380" i="104"/>
  <c r="G378" i="104"/>
  <c r="G376" i="104"/>
  <c r="G374" i="104"/>
  <c r="G372" i="104"/>
  <c r="G370" i="104"/>
  <c r="G368" i="104"/>
  <c r="G366" i="104"/>
  <c r="G364" i="104"/>
  <c r="G362" i="104"/>
  <c r="G360" i="104"/>
  <c r="G358" i="104"/>
  <c r="G356" i="104"/>
  <c r="G354" i="104"/>
  <c r="G352" i="104"/>
  <c r="G350" i="104"/>
  <c r="G348" i="104"/>
  <c r="G346" i="104"/>
  <c r="G344" i="104"/>
  <c r="G342" i="104"/>
  <c r="G340" i="104"/>
  <c r="G338" i="104"/>
  <c r="G336" i="104"/>
  <c r="G334" i="104"/>
  <c r="G332" i="104"/>
  <c r="G330" i="104"/>
  <c r="G328" i="104"/>
  <c r="G326" i="104"/>
  <c r="G324" i="104"/>
  <c r="G322" i="104"/>
  <c r="G320" i="104"/>
  <c r="G318" i="104"/>
  <c r="G316" i="104"/>
  <c r="G314" i="104"/>
  <c r="G605" i="104"/>
  <c r="G597" i="104"/>
  <c r="G589" i="104"/>
  <c r="G581" i="104"/>
  <c r="G573" i="104"/>
  <c r="G565" i="104"/>
  <c r="G557" i="104"/>
  <c r="G549" i="104"/>
  <c r="G541" i="104"/>
  <c r="G533" i="104"/>
  <c r="G525" i="104"/>
  <c r="G517" i="104"/>
  <c r="G509" i="104"/>
  <c r="G501" i="104"/>
  <c r="G493" i="104"/>
  <c r="G485" i="104"/>
  <c r="G477" i="104"/>
  <c r="G469" i="104"/>
  <c r="G461" i="104"/>
  <c r="G453" i="104"/>
  <c r="G445" i="104"/>
  <c r="G607" i="104"/>
  <c r="G599" i="104"/>
  <c r="G591" i="104"/>
  <c r="G583" i="104"/>
  <c r="G575" i="104"/>
  <c r="G567" i="104"/>
  <c r="G559" i="104"/>
  <c r="G551" i="104"/>
  <c r="G543" i="104"/>
  <c r="G535" i="104"/>
  <c r="G527" i="104"/>
  <c r="G519" i="104"/>
  <c r="G511" i="104"/>
  <c r="G503" i="104"/>
  <c r="G495" i="104"/>
  <c r="G487" i="104"/>
  <c r="G479" i="104"/>
  <c r="G471" i="104"/>
  <c r="G463" i="104"/>
  <c r="G455" i="104"/>
  <c r="G447" i="104"/>
  <c r="G439" i="104"/>
  <c r="G437" i="104"/>
  <c r="G435" i="104"/>
  <c r="G433" i="104"/>
  <c r="G431" i="104"/>
  <c r="G429" i="104"/>
  <c r="G427" i="104"/>
  <c r="G425" i="104"/>
  <c r="G423" i="104"/>
  <c r="G421" i="104"/>
  <c r="G419" i="104"/>
  <c r="G417" i="104"/>
  <c r="G415" i="104"/>
  <c r="G413" i="104"/>
  <c r="G411" i="104"/>
  <c r="G409" i="104"/>
  <c r="G407" i="104"/>
  <c r="G405" i="104"/>
  <c r="G403" i="104"/>
  <c r="G401" i="104"/>
  <c r="G399" i="104"/>
  <c r="G397" i="104"/>
  <c r="G395" i="104"/>
  <c r="G393" i="104"/>
  <c r="G391" i="104"/>
  <c r="G389" i="104"/>
  <c r="G387" i="104"/>
  <c r="G385" i="104"/>
  <c r="G383" i="104"/>
  <c r="G381" i="104"/>
  <c r="G379" i="104"/>
  <c r="G377" i="104"/>
  <c r="G375" i="104"/>
  <c r="G373" i="104"/>
  <c r="G371" i="104"/>
  <c r="G369" i="104"/>
  <c r="G367" i="104"/>
  <c r="G365" i="104"/>
  <c r="G363" i="104"/>
  <c r="G361" i="104"/>
  <c r="G359" i="104"/>
  <c r="G357" i="104"/>
  <c r="G355" i="104"/>
  <c r="G353" i="104"/>
  <c r="G351" i="104"/>
  <c r="G349" i="104"/>
  <c r="G347" i="104"/>
  <c r="G345" i="104"/>
  <c r="G343" i="104"/>
  <c r="G341" i="104"/>
  <c r="G339" i="104"/>
  <c r="G337" i="104"/>
  <c r="G335" i="104"/>
  <c r="G333" i="104"/>
  <c r="G331" i="104"/>
  <c r="G329" i="104"/>
  <c r="G327" i="104"/>
  <c r="G325" i="104"/>
  <c r="G323" i="104"/>
  <c r="G321" i="104"/>
  <c r="G319" i="104"/>
  <c r="G317" i="104"/>
  <c r="G315" i="104"/>
  <c r="G313" i="104"/>
  <c r="G601" i="104"/>
  <c r="G569" i="104"/>
  <c r="G537" i="104"/>
  <c r="G505" i="104"/>
  <c r="G473" i="104"/>
  <c r="G441" i="104"/>
  <c r="G311" i="104"/>
  <c r="G309" i="104"/>
  <c r="G307" i="104"/>
  <c r="G305" i="104"/>
  <c r="G303" i="104"/>
  <c r="G301" i="104"/>
  <c r="G299" i="104"/>
  <c r="G297" i="104"/>
  <c r="G295" i="104"/>
  <c r="G293" i="104"/>
  <c r="G291" i="104"/>
  <c r="G289" i="104"/>
  <c r="G287" i="104"/>
  <c r="G285" i="104"/>
  <c r="G283" i="104"/>
  <c r="G281" i="104"/>
  <c r="G279" i="104"/>
  <c r="G277" i="104"/>
  <c r="G275" i="104"/>
  <c r="G273" i="104"/>
  <c r="G271" i="104"/>
  <c r="G269" i="104"/>
  <c r="G267" i="104"/>
  <c r="G265" i="104"/>
  <c r="G263" i="104"/>
  <c r="G261" i="104"/>
  <c r="G259" i="104"/>
  <c r="G257" i="104"/>
  <c r="G255" i="104"/>
  <c r="G253" i="104"/>
  <c r="G251" i="104"/>
  <c r="G249" i="104"/>
  <c r="G247" i="104"/>
  <c r="G245" i="104"/>
  <c r="G243" i="104"/>
  <c r="G241" i="104"/>
  <c r="G239" i="104"/>
  <c r="G237" i="104"/>
  <c r="G235" i="104"/>
  <c r="G233" i="104"/>
  <c r="G231" i="104"/>
  <c r="G229" i="104"/>
  <c r="G227" i="104"/>
  <c r="G225" i="104"/>
  <c r="G223" i="104"/>
  <c r="G221" i="104"/>
  <c r="G219" i="104"/>
  <c r="G217" i="104"/>
  <c r="G215" i="104"/>
  <c r="G213" i="104"/>
  <c r="G211" i="104"/>
  <c r="G209" i="104"/>
  <c r="G207" i="104"/>
  <c r="G205" i="104"/>
  <c r="G203" i="104"/>
  <c r="G201" i="104"/>
  <c r="G199" i="104"/>
  <c r="G197" i="104"/>
  <c r="G195" i="104"/>
  <c r="G193" i="104"/>
  <c r="G191" i="104"/>
  <c r="G189" i="104"/>
  <c r="G187" i="104"/>
  <c r="G185" i="104"/>
  <c r="G183" i="104"/>
  <c r="G181" i="104"/>
  <c r="G179" i="104"/>
  <c r="G177" i="104"/>
  <c r="G175" i="104"/>
  <c r="G173" i="104"/>
  <c r="G171" i="104"/>
  <c r="G169" i="104"/>
  <c r="G167" i="104"/>
  <c r="G165" i="104"/>
  <c r="G163" i="104"/>
  <c r="G161" i="104"/>
  <c r="G159" i="104"/>
  <c r="G157" i="104"/>
  <c r="G155" i="104"/>
  <c r="G593" i="104"/>
  <c r="G561" i="104"/>
  <c r="G529" i="104"/>
  <c r="G497" i="104"/>
  <c r="G465" i="104"/>
  <c r="G585" i="104"/>
  <c r="G553" i="104"/>
  <c r="G521" i="104"/>
  <c r="G489" i="104"/>
  <c r="G457" i="104"/>
  <c r="G312" i="104"/>
  <c r="G310" i="104"/>
  <c r="G308" i="104"/>
  <c r="G306" i="104"/>
  <c r="G304" i="104"/>
  <c r="G302" i="104"/>
  <c r="G300" i="104"/>
  <c r="G298" i="104"/>
  <c r="G296" i="104"/>
  <c r="G294" i="104"/>
  <c r="G292" i="104"/>
  <c r="G290" i="104"/>
  <c r="G288" i="104"/>
  <c r="G286" i="104"/>
  <c r="G284" i="104"/>
  <c r="G282" i="104"/>
  <c r="G280" i="104"/>
  <c r="G278" i="104"/>
  <c r="G276" i="104"/>
  <c r="G274" i="104"/>
  <c r="G272" i="104"/>
  <c r="G270" i="104"/>
  <c r="G268" i="104"/>
  <c r="G266" i="104"/>
  <c r="G264" i="104"/>
  <c r="G262" i="104"/>
  <c r="G260" i="104"/>
  <c r="G258" i="104"/>
  <c r="G256" i="104"/>
  <c r="G254" i="104"/>
  <c r="G252" i="104"/>
  <c r="G250" i="104"/>
  <c r="G248" i="104"/>
  <c r="G246" i="104"/>
  <c r="G244" i="104"/>
  <c r="G242" i="104"/>
  <c r="G240" i="104"/>
  <c r="G238" i="104"/>
  <c r="G236" i="104"/>
  <c r="G234" i="104"/>
  <c r="G232" i="104"/>
  <c r="G230" i="104"/>
  <c r="G228" i="104"/>
  <c r="G226" i="104"/>
  <c r="G224" i="104"/>
  <c r="G222" i="104"/>
  <c r="G220" i="104"/>
  <c r="G218" i="104"/>
  <c r="G216" i="104"/>
  <c r="G214" i="104"/>
  <c r="G212" i="104"/>
  <c r="G210" i="104"/>
  <c r="G208" i="104"/>
  <c r="G206" i="104"/>
  <c r="G204" i="104"/>
  <c r="G202" i="104"/>
  <c r="G200" i="104"/>
  <c r="G198" i="104"/>
  <c r="G196" i="104"/>
  <c r="G194" i="104"/>
  <c r="G192" i="104"/>
  <c r="G190" i="104"/>
  <c r="G188" i="104"/>
  <c r="G186" i="104"/>
  <c r="G184" i="104"/>
  <c r="G182" i="104"/>
  <c r="G180" i="104"/>
  <c r="G178" i="104"/>
  <c r="G176" i="104"/>
  <c r="G174" i="104"/>
  <c r="G172" i="104"/>
  <c r="G170" i="104"/>
  <c r="G168" i="104"/>
  <c r="G166" i="104"/>
  <c r="G164" i="104"/>
  <c r="G162" i="104"/>
  <c r="G160" i="104"/>
  <c r="G158" i="104"/>
  <c r="G156" i="104"/>
  <c r="G154" i="104"/>
  <c r="G449" i="104"/>
  <c r="G577" i="104"/>
  <c r="G9" i="103"/>
  <c r="H9" i="103"/>
  <c r="D608" i="103"/>
  <c r="D606" i="103"/>
  <c r="D604" i="103"/>
  <c r="D602" i="103"/>
  <c r="D600" i="103"/>
  <c r="D598" i="103"/>
  <c r="D596" i="103"/>
  <c r="D594" i="103"/>
  <c r="D592" i="103"/>
  <c r="D590" i="103"/>
  <c r="D588" i="103"/>
  <c r="D586" i="103"/>
  <c r="D584" i="103"/>
  <c r="D582" i="103"/>
  <c r="D580" i="103"/>
  <c r="D578" i="103"/>
  <c r="D576" i="103"/>
  <c r="D574" i="103"/>
  <c r="D572" i="103"/>
  <c r="D570" i="103"/>
  <c r="D568" i="103"/>
  <c r="D566" i="103"/>
  <c r="D564" i="103"/>
  <c r="D562" i="103"/>
  <c r="D560" i="103"/>
  <c r="D558" i="103"/>
  <c r="D556" i="103"/>
  <c r="D554" i="103"/>
  <c r="G608" i="103"/>
  <c r="C608" i="103"/>
  <c r="E607" i="103"/>
  <c r="G606" i="103"/>
  <c r="C606" i="103"/>
  <c r="E605" i="103"/>
  <c r="G604" i="103"/>
  <c r="C604" i="103"/>
  <c r="E603" i="103"/>
  <c r="G602" i="103"/>
  <c r="C602" i="103"/>
  <c r="E601" i="103"/>
  <c r="G600" i="103"/>
  <c r="C600" i="103"/>
  <c r="E599" i="103"/>
  <c r="G598" i="103"/>
  <c r="C598" i="103"/>
  <c r="E597" i="103"/>
  <c r="G596" i="103"/>
  <c r="C596" i="103"/>
  <c r="E595" i="103"/>
  <c r="G594" i="103"/>
  <c r="C594" i="103"/>
  <c r="E593" i="103"/>
  <c r="G592" i="103"/>
  <c r="C592" i="103"/>
  <c r="E591" i="103"/>
  <c r="G590" i="103"/>
  <c r="C590" i="103"/>
  <c r="E589" i="103"/>
  <c r="G588" i="103"/>
  <c r="C588" i="103"/>
  <c r="E587" i="103"/>
  <c r="G586" i="103"/>
  <c r="C586" i="103"/>
  <c r="E585" i="103"/>
  <c r="G584" i="103"/>
  <c r="C584" i="103"/>
  <c r="E583" i="103"/>
  <c r="G582" i="103"/>
  <c r="C582" i="103"/>
  <c r="E581" i="103"/>
  <c r="G580" i="103"/>
  <c r="C580" i="103"/>
  <c r="E579" i="103"/>
  <c r="G578" i="103"/>
  <c r="C578" i="103"/>
  <c r="E577" i="103"/>
  <c r="G576" i="103"/>
  <c r="C576" i="103"/>
  <c r="E575" i="103"/>
  <c r="G574" i="103"/>
  <c r="C574" i="103"/>
  <c r="E573" i="103"/>
  <c r="G572" i="103"/>
  <c r="C572" i="103"/>
  <c r="E571" i="103"/>
  <c r="G570" i="103"/>
  <c r="C570" i="103"/>
  <c r="E569" i="103"/>
  <c r="G568" i="103"/>
  <c r="C568" i="103"/>
  <c r="E567" i="103"/>
  <c r="G566" i="103"/>
  <c r="C566" i="103"/>
  <c r="E565" i="103"/>
  <c r="G564" i="103"/>
  <c r="C564" i="103"/>
  <c r="E563" i="103"/>
  <c r="G562" i="103"/>
  <c r="C562" i="103"/>
  <c r="E561" i="103"/>
  <c r="G560" i="103"/>
  <c r="C560" i="103"/>
  <c r="E559" i="103"/>
  <c r="G558" i="103"/>
  <c r="C558" i="103"/>
  <c r="E557" i="103"/>
  <c r="G556" i="103"/>
  <c r="C556" i="103"/>
  <c r="E555" i="103"/>
  <c r="G554" i="103"/>
  <c r="C554" i="103"/>
  <c r="E553" i="103"/>
  <c r="D607" i="103"/>
  <c r="D605" i="103"/>
  <c r="F605" i="103" s="1"/>
  <c r="D603" i="103"/>
  <c r="D601" i="103"/>
  <c r="F601" i="103" s="1"/>
  <c r="D599" i="103"/>
  <c r="D597" i="103"/>
  <c r="F597" i="103" s="1"/>
  <c r="D595" i="103"/>
  <c r="D593" i="103"/>
  <c r="F593" i="103" s="1"/>
  <c r="D591" i="103"/>
  <c r="D589" i="103"/>
  <c r="F589" i="103" s="1"/>
  <c r="D587" i="103"/>
  <c r="D585" i="103"/>
  <c r="F585" i="103" s="1"/>
  <c r="D583" i="103"/>
  <c r="D581" i="103"/>
  <c r="F581" i="103" s="1"/>
  <c r="D579" i="103"/>
  <c r="D577" i="103"/>
  <c r="F577" i="103" s="1"/>
  <c r="D575" i="103"/>
  <c r="D573" i="103"/>
  <c r="F573" i="103" s="1"/>
  <c r="D571" i="103"/>
  <c r="D569" i="103"/>
  <c r="F569" i="103" s="1"/>
  <c r="D567" i="103"/>
  <c r="D565" i="103"/>
  <c r="F565" i="103" s="1"/>
  <c r="D563" i="103"/>
  <c r="D561" i="103"/>
  <c r="F561" i="103" s="1"/>
  <c r="D559" i="103"/>
  <c r="D557" i="103"/>
  <c r="F557" i="103" s="1"/>
  <c r="D555" i="103"/>
  <c r="D553" i="103"/>
  <c r="F553" i="103" s="1"/>
  <c r="E608" i="103"/>
  <c r="G605" i="103"/>
  <c r="C603" i="103"/>
  <c r="E600" i="103"/>
  <c r="G597" i="103"/>
  <c r="C595" i="103"/>
  <c r="E592" i="103"/>
  <c r="G589" i="103"/>
  <c r="C587" i="103"/>
  <c r="E584" i="103"/>
  <c r="G581" i="103"/>
  <c r="C579" i="103"/>
  <c r="E576" i="103"/>
  <c r="G573" i="103"/>
  <c r="C571" i="103"/>
  <c r="E568" i="103"/>
  <c r="G565" i="103"/>
  <c r="C563" i="103"/>
  <c r="E560" i="103"/>
  <c r="G557" i="103"/>
  <c r="C555" i="103"/>
  <c r="G552" i="103"/>
  <c r="D551" i="103"/>
  <c r="D549" i="103"/>
  <c r="D547" i="103"/>
  <c r="D545" i="103"/>
  <c r="D543" i="103"/>
  <c r="D541" i="103"/>
  <c r="D539" i="103"/>
  <c r="D537" i="103"/>
  <c r="D535" i="103"/>
  <c r="D533" i="103"/>
  <c r="D531" i="103"/>
  <c r="D529" i="103"/>
  <c r="D527" i="103"/>
  <c r="D525" i="103"/>
  <c r="D523" i="103"/>
  <c r="D521" i="103"/>
  <c r="D519" i="103"/>
  <c r="D517" i="103"/>
  <c r="D515" i="103"/>
  <c r="D513" i="103"/>
  <c r="D511" i="103"/>
  <c r="G607" i="103"/>
  <c r="E604" i="103"/>
  <c r="C601" i="103"/>
  <c r="C597" i="103"/>
  <c r="G593" i="103"/>
  <c r="E590" i="103"/>
  <c r="E586" i="103"/>
  <c r="C583" i="103"/>
  <c r="G579" i="103"/>
  <c r="G575" i="103"/>
  <c r="E572" i="103"/>
  <c r="C569" i="103"/>
  <c r="C565" i="103"/>
  <c r="G561" i="103"/>
  <c r="E558" i="103"/>
  <c r="E554" i="103"/>
  <c r="D552" i="103"/>
  <c r="E551" i="103"/>
  <c r="E550" i="103"/>
  <c r="G548" i="103"/>
  <c r="G547" i="103"/>
  <c r="C546" i="103"/>
  <c r="C545" i="103"/>
  <c r="D544" i="103"/>
  <c r="E543" i="103"/>
  <c r="E542" i="103"/>
  <c r="G540" i="103"/>
  <c r="G539" i="103"/>
  <c r="C538" i="103"/>
  <c r="C537" i="103"/>
  <c r="D536" i="103"/>
  <c r="E535" i="103"/>
  <c r="E534" i="103"/>
  <c r="G532" i="103"/>
  <c r="G531" i="103"/>
  <c r="C530" i="103"/>
  <c r="C529" i="103"/>
  <c r="D528" i="103"/>
  <c r="E527" i="103"/>
  <c r="E526" i="103"/>
  <c r="G524" i="103"/>
  <c r="G523" i="103"/>
  <c r="C522" i="103"/>
  <c r="C521" i="103"/>
  <c r="D520" i="103"/>
  <c r="E519" i="103"/>
  <c r="E518" i="103"/>
  <c r="G516" i="103"/>
  <c r="G515" i="103"/>
  <c r="C514" i="103"/>
  <c r="C513" i="103"/>
  <c r="D512" i="103"/>
  <c r="E511" i="103"/>
  <c r="C607" i="103"/>
  <c r="G603" i="103"/>
  <c r="G599" i="103"/>
  <c r="E596" i="103"/>
  <c r="C593" i="103"/>
  <c r="C589" i="103"/>
  <c r="G585" i="103"/>
  <c r="E582" i="103"/>
  <c r="E578" i="103"/>
  <c r="C575" i="103"/>
  <c r="G571" i="103"/>
  <c r="G567" i="103"/>
  <c r="E564" i="103"/>
  <c r="C561" i="103"/>
  <c r="C557" i="103"/>
  <c r="G553" i="103"/>
  <c r="C552" i="103"/>
  <c r="C551" i="103"/>
  <c r="D550" i="103"/>
  <c r="E549" i="103"/>
  <c r="E548" i="103"/>
  <c r="G546" i="103"/>
  <c r="G545" i="103"/>
  <c r="C544" i="103"/>
  <c r="C543" i="103"/>
  <c r="D542" i="103"/>
  <c r="E541" i="103"/>
  <c r="E540" i="103"/>
  <c r="G538" i="103"/>
  <c r="G537" i="103"/>
  <c r="C536" i="103"/>
  <c r="C535" i="103"/>
  <c r="D534" i="103"/>
  <c r="E533" i="103"/>
  <c r="E532" i="103"/>
  <c r="G530" i="103"/>
  <c r="G529" i="103"/>
  <c r="C528" i="103"/>
  <c r="C527" i="103"/>
  <c r="D526" i="103"/>
  <c r="E525" i="103"/>
  <c r="E524" i="103"/>
  <c r="G522" i="103"/>
  <c r="G521" i="103"/>
  <c r="C520" i="103"/>
  <c r="C519" i="103"/>
  <c r="D518" i="103"/>
  <c r="E517" i="103"/>
  <c r="E516" i="103"/>
  <c r="G514" i="103"/>
  <c r="G513" i="103"/>
  <c r="C512" i="103"/>
  <c r="C511" i="103"/>
  <c r="D510" i="103"/>
  <c r="D508" i="103"/>
  <c r="D506" i="103"/>
  <c r="D504" i="103"/>
  <c r="D502" i="103"/>
  <c r="D500" i="103"/>
  <c r="D498" i="103"/>
  <c r="D496" i="103"/>
  <c r="E606" i="103"/>
  <c r="C599" i="103"/>
  <c r="G591" i="103"/>
  <c r="C585" i="103"/>
  <c r="G577" i="103"/>
  <c r="E570" i="103"/>
  <c r="G563" i="103"/>
  <c r="E556" i="103"/>
  <c r="G551" i="103"/>
  <c r="C550" i="103"/>
  <c r="D548" i="103"/>
  <c r="E546" i="103"/>
  <c r="G544" i="103"/>
  <c r="C541" i="103"/>
  <c r="E539" i="103"/>
  <c r="G535" i="103"/>
  <c r="C534" i="103"/>
  <c r="D532" i="103"/>
  <c r="F532" i="103" s="1"/>
  <c r="E530" i="103"/>
  <c r="G528" i="103"/>
  <c r="C525" i="103"/>
  <c r="E523" i="103"/>
  <c r="G519" i="103"/>
  <c r="C518" i="103"/>
  <c r="D516" i="103"/>
  <c r="E514" i="103"/>
  <c r="G512" i="103"/>
  <c r="C509" i="103"/>
  <c r="C508" i="103"/>
  <c r="D507" i="103"/>
  <c r="E506" i="103"/>
  <c r="E505" i="103"/>
  <c r="G503" i="103"/>
  <c r="G502" i="103"/>
  <c r="C501" i="103"/>
  <c r="C500" i="103"/>
  <c r="D499" i="103"/>
  <c r="E498" i="103"/>
  <c r="E497" i="103"/>
  <c r="G495" i="103"/>
  <c r="C495" i="103"/>
  <c r="E494" i="103"/>
  <c r="G493" i="103"/>
  <c r="C493" i="103"/>
  <c r="E492" i="103"/>
  <c r="G491" i="103"/>
  <c r="C491" i="103"/>
  <c r="E490" i="103"/>
  <c r="G489" i="103"/>
  <c r="C489" i="103"/>
  <c r="E488" i="103"/>
  <c r="G487" i="103"/>
  <c r="C487" i="103"/>
  <c r="E486" i="103"/>
  <c r="G485" i="103"/>
  <c r="C485" i="103"/>
  <c r="E484" i="103"/>
  <c r="G483" i="103"/>
  <c r="C483" i="103"/>
  <c r="E482" i="103"/>
  <c r="G481" i="103"/>
  <c r="C481" i="103"/>
  <c r="E480" i="103"/>
  <c r="G479" i="103"/>
  <c r="C479" i="103"/>
  <c r="E478" i="103"/>
  <c r="G477" i="103"/>
  <c r="C477" i="103"/>
  <c r="E476" i="103"/>
  <c r="G475" i="103"/>
  <c r="C475" i="103"/>
  <c r="E474" i="103"/>
  <c r="G473" i="103"/>
  <c r="C473" i="103"/>
  <c r="E472" i="103"/>
  <c r="G471" i="103"/>
  <c r="C471" i="103"/>
  <c r="E470" i="103"/>
  <c r="G469" i="103"/>
  <c r="C469" i="103"/>
  <c r="E468" i="103"/>
  <c r="G467" i="103"/>
  <c r="C467" i="103"/>
  <c r="E466" i="103"/>
  <c r="G465" i="103"/>
  <c r="C465" i="103"/>
  <c r="E464" i="103"/>
  <c r="G463" i="103"/>
  <c r="C463" i="103"/>
  <c r="E462" i="103"/>
  <c r="G461" i="103"/>
  <c r="C461" i="103"/>
  <c r="E460" i="103"/>
  <c r="G459" i="103"/>
  <c r="C459" i="103"/>
  <c r="E458" i="103"/>
  <c r="G457" i="103"/>
  <c r="C457" i="103"/>
  <c r="E456" i="103"/>
  <c r="G455" i="103"/>
  <c r="C455" i="103"/>
  <c r="E454" i="103"/>
  <c r="G453" i="103"/>
  <c r="C453" i="103"/>
  <c r="E452" i="103"/>
  <c r="G451" i="103"/>
  <c r="C451" i="103"/>
  <c r="E450" i="103"/>
  <c r="G449" i="103"/>
  <c r="C449" i="103"/>
  <c r="E448" i="103"/>
  <c r="G447" i="103"/>
  <c r="C447" i="103"/>
  <c r="E446" i="103"/>
  <c r="G445" i="103"/>
  <c r="C445" i="103"/>
  <c r="E444" i="103"/>
  <c r="G443" i="103"/>
  <c r="C443" i="103"/>
  <c r="E442" i="103"/>
  <c r="G441" i="103"/>
  <c r="C441" i="103"/>
  <c r="E440" i="103"/>
  <c r="C439" i="103"/>
  <c r="E438" i="103"/>
  <c r="C437" i="103"/>
  <c r="E436" i="103"/>
  <c r="C435" i="103"/>
  <c r="E434" i="103"/>
  <c r="C433" i="103"/>
  <c r="E432" i="103"/>
  <c r="C431" i="103"/>
  <c r="E430" i="103"/>
  <c r="C429" i="103"/>
  <c r="E428" i="103"/>
  <c r="C427" i="103"/>
  <c r="E426" i="103"/>
  <c r="C425" i="103"/>
  <c r="E424" i="103"/>
  <c r="C423" i="103"/>
  <c r="E422" i="103"/>
  <c r="C421" i="103"/>
  <c r="E420" i="103"/>
  <c r="C419" i="103"/>
  <c r="E418" i="103"/>
  <c r="C417" i="103"/>
  <c r="E416" i="103"/>
  <c r="C415" i="103"/>
  <c r="C605" i="103"/>
  <c r="E598" i="103"/>
  <c r="C591" i="103"/>
  <c r="G583" i="103"/>
  <c r="C577" i="103"/>
  <c r="G569" i="103"/>
  <c r="E562" i="103"/>
  <c r="G555" i="103"/>
  <c r="G549" i="103"/>
  <c r="C548" i="103"/>
  <c r="D546" i="103"/>
  <c r="F546" i="103" s="1"/>
  <c r="E544" i="103"/>
  <c r="G542" i="103"/>
  <c r="C539" i="103"/>
  <c r="E537" i="103"/>
  <c r="G533" i="103"/>
  <c r="C532" i="103"/>
  <c r="D530" i="103"/>
  <c r="F530" i="103" s="1"/>
  <c r="E528" i="103"/>
  <c r="G526" i="103"/>
  <c r="C523" i="103"/>
  <c r="E521" i="103"/>
  <c r="G517" i="103"/>
  <c r="C516" i="103"/>
  <c r="D514" i="103"/>
  <c r="F514" i="103" s="1"/>
  <c r="E512" i="103"/>
  <c r="G510" i="103"/>
  <c r="G509" i="103"/>
  <c r="G508" i="103"/>
  <c r="C507" i="103"/>
  <c r="C506" i="103"/>
  <c r="D505" i="103"/>
  <c r="E504" i="103"/>
  <c r="E503" i="103"/>
  <c r="G501" i="103"/>
  <c r="G500" i="103"/>
  <c r="C499" i="103"/>
  <c r="C498" i="103"/>
  <c r="D497" i="103"/>
  <c r="F497" i="103" s="1"/>
  <c r="E496" i="103"/>
  <c r="D494" i="103"/>
  <c r="F494" i="103" s="1"/>
  <c r="D492" i="103"/>
  <c r="D490" i="103"/>
  <c r="F490" i="103" s="1"/>
  <c r="D488" i="103"/>
  <c r="D486" i="103"/>
  <c r="F486" i="103" s="1"/>
  <c r="D484" i="103"/>
  <c r="D482" i="103"/>
  <c r="F482" i="103" s="1"/>
  <c r="D480" i="103"/>
  <c r="D478" i="103"/>
  <c r="F478" i="103" s="1"/>
  <c r="D476" i="103"/>
  <c r="D474" i="103"/>
  <c r="F474" i="103" s="1"/>
  <c r="D472" i="103"/>
  <c r="D470" i="103"/>
  <c r="F470" i="103" s="1"/>
  <c r="D468" i="103"/>
  <c r="D466" i="103"/>
  <c r="F466" i="103" s="1"/>
  <c r="D464" i="103"/>
  <c r="D462" i="103"/>
  <c r="F462" i="103" s="1"/>
  <c r="D460" i="103"/>
  <c r="D458" i="103"/>
  <c r="F458" i="103" s="1"/>
  <c r="D456" i="103"/>
  <c r="D454" i="103"/>
  <c r="F454" i="103" s="1"/>
  <c r="D452" i="103"/>
  <c r="D450" i="103"/>
  <c r="F450" i="103" s="1"/>
  <c r="D448" i="103"/>
  <c r="D446" i="103"/>
  <c r="F446" i="103" s="1"/>
  <c r="D444" i="103"/>
  <c r="D442" i="103"/>
  <c r="F442" i="103" s="1"/>
  <c r="D440" i="103"/>
  <c r="D438" i="103"/>
  <c r="F438" i="103" s="1"/>
  <c r="D436" i="103"/>
  <c r="D434" i="103"/>
  <c r="D432" i="103"/>
  <c r="D430" i="103"/>
  <c r="F430" i="103" s="1"/>
  <c r="D428" i="103"/>
  <c r="D426" i="103"/>
  <c r="D424" i="103"/>
  <c r="D422" i="103"/>
  <c r="F422" i="103" s="1"/>
  <c r="D420" i="103"/>
  <c r="E602" i="103"/>
  <c r="E588" i="103"/>
  <c r="E574" i="103"/>
  <c r="G559" i="103"/>
  <c r="E547" i="103"/>
  <c r="G543" i="103"/>
  <c r="D540" i="103"/>
  <c r="F540" i="103" s="1"/>
  <c r="G536" i="103"/>
  <c r="C533" i="103"/>
  <c r="C526" i="103"/>
  <c r="E522" i="103"/>
  <c r="E515" i="103"/>
  <c r="G511" i="103"/>
  <c r="E509" i="103"/>
  <c r="G507" i="103"/>
  <c r="C504" i="103"/>
  <c r="E502" i="103"/>
  <c r="G498" i="103"/>
  <c r="C497" i="103"/>
  <c r="E495" i="103"/>
  <c r="C494" i="103"/>
  <c r="G492" i="103"/>
  <c r="E491" i="103"/>
  <c r="C490" i="103"/>
  <c r="G488" i="103"/>
  <c r="E487" i="103"/>
  <c r="C486" i="103"/>
  <c r="G484" i="103"/>
  <c r="E483" i="103"/>
  <c r="C482" i="103"/>
  <c r="G480" i="103"/>
  <c r="E479" i="103"/>
  <c r="C478" i="103"/>
  <c r="G476" i="103"/>
  <c r="E475" i="103"/>
  <c r="C474" i="103"/>
  <c r="G472" i="103"/>
  <c r="E471" i="103"/>
  <c r="C470" i="103"/>
  <c r="G468" i="103"/>
  <c r="E467" i="103"/>
  <c r="C466" i="103"/>
  <c r="G464" i="103"/>
  <c r="E463" i="103"/>
  <c r="C462" i="103"/>
  <c r="G460" i="103"/>
  <c r="E459" i="103"/>
  <c r="C458" i="103"/>
  <c r="G456" i="103"/>
  <c r="E455" i="103"/>
  <c r="C454" i="103"/>
  <c r="G452" i="103"/>
  <c r="E451" i="103"/>
  <c r="C450" i="103"/>
  <c r="G448" i="103"/>
  <c r="E447" i="103"/>
  <c r="C446" i="103"/>
  <c r="G444" i="103"/>
  <c r="E443" i="103"/>
  <c r="C442" i="103"/>
  <c r="E439" i="103"/>
  <c r="C438" i="103"/>
  <c r="E435" i="103"/>
  <c r="C434" i="103"/>
  <c r="E431" i="103"/>
  <c r="C430" i="103"/>
  <c r="E427" i="103"/>
  <c r="C426" i="103"/>
  <c r="E423" i="103"/>
  <c r="C422" i="103"/>
  <c r="E419" i="103"/>
  <c r="D418" i="103"/>
  <c r="E417" i="103"/>
  <c r="C414" i="103"/>
  <c r="E413" i="103"/>
  <c r="C412" i="103"/>
  <c r="E411" i="103"/>
  <c r="C410" i="103"/>
  <c r="E409" i="103"/>
  <c r="C408" i="103"/>
  <c r="E407" i="103"/>
  <c r="C406" i="103"/>
  <c r="E405" i="103"/>
  <c r="C404" i="103"/>
  <c r="E403" i="103"/>
  <c r="C402" i="103"/>
  <c r="E401" i="103"/>
  <c r="C400" i="103"/>
  <c r="E399" i="103"/>
  <c r="C398" i="103"/>
  <c r="E397" i="103"/>
  <c r="C396" i="103"/>
  <c r="E395" i="103"/>
  <c r="C394" i="103"/>
  <c r="E393" i="103"/>
  <c r="C392" i="103"/>
  <c r="E391" i="103"/>
  <c r="C390" i="103"/>
  <c r="E389" i="103"/>
  <c r="C388" i="103"/>
  <c r="E387" i="103"/>
  <c r="C386" i="103"/>
  <c r="E385" i="103"/>
  <c r="C384" i="103"/>
  <c r="E383" i="103"/>
  <c r="C382" i="103"/>
  <c r="E381" i="103"/>
  <c r="C380" i="103"/>
  <c r="E379" i="103"/>
  <c r="C378" i="103"/>
  <c r="E377" i="103"/>
  <c r="C376" i="103"/>
  <c r="E375" i="103"/>
  <c r="C374" i="103"/>
  <c r="E373" i="103"/>
  <c r="C372" i="103"/>
  <c r="E371" i="103"/>
  <c r="C370" i="103"/>
  <c r="E369" i="103"/>
  <c r="C368" i="103"/>
  <c r="E367" i="103"/>
  <c r="C366" i="103"/>
  <c r="E365" i="103"/>
  <c r="G601" i="103"/>
  <c r="G587" i="103"/>
  <c r="C573" i="103"/>
  <c r="C559" i="103"/>
  <c r="G550" i="103"/>
  <c r="C547" i="103"/>
  <c r="C540" i="103"/>
  <c r="E536" i="103"/>
  <c r="E529" i="103"/>
  <c r="G525" i="103"/>
  <c r="D522" i="103"/>
  <c r="G518" i="103"/>
  <c r="C515" i="103"/>
  <c r="D509" i="103"/>
  <c r="E507" i="103"/>
  <c r="G505" i="103"/>
  <c r="C502" i="103"/>
  <c r="E500" i="103"/>
  <c r="G496" i="103"/>
  <c r="D495" i="103"/>
  <c r="D491" i="103"/>
  <c r="D487" i="103"/>
  <c r="D483" i="103"/>
  <c r="D479" i="103"/>
  <c r="D475" i="103"/>
  <c r="D471" i="103"/>
  <c r="D467" i="103"/>
  <c r="D463" i="103"/>
  <c r="D459" i="103"/>
  <c r="D455" i="103"/>
  <c r="D451" i="103"/>
  <c r="D447" i="103"/>
  <c r="D443" i="103"/>
  <c r="D439" i="103"/>
  <c r="D435" i="103"/>
  <c r="D431" i="103"/>
  <c r="D427" i="103"/>
  <c r="D423" i="103"/>
  <c r="D419" i="103"/>
  <c r="C418" i="103"/>
  <c r="D417" i="103"/>
  <c r="D416" i="103"/>
  <c r="F416" i="103" s="1"/>
  <c r="E415" i="103"/>
  <c r="D413" i="103"/>
  <c r="D411" i="103"/>
  <c r="D409" i="103"/>
  <c r="D407" i="103"/>
  <c r="D405" i="103"/>
  <c r="D403" i="103"/>
  <c r="D401" i="103"/>
  <c r="D399" i="103"/>
  <c r="D397" i="103"/>
  <c r="D395" i="103"/>
  <c r="D393" i="103"/>
  <c r="D391" i="103"/>
  <c r="D389" i="103"/>
  <c r="D387" i="103"/>
  <c r="D385" i="103"/>
  <c r="D383" i="103"/>
  <c r="D381" i="103"/>
  <c r="D379" i="103"/>
  <c r="D377" i="103"/>
  <c r="D375" i="103"/>
  <c r="D373" i="103"/>
  <c r="D371" i="103"/>
  <c r="D369" i="103"/>
  <c r="D367" i="103"/>
  <c r="D365" i="103"/>
  <c r="D363" i="103"/>
  <c r="D361" i="103"/>
  <c r="D359" i="103"/>
  <c r="G595" i="103"/>
  <c r="C567" i="103"/>
  <c r="C549" i="103"/>
  <c r="C542" i="103"/>
  <c r="G527" i="103"/>
  <c r="G520" i="103"/>
  <c r="C505" i="103"/>
  <c r="E501" i="103"/>
  <c r="G494" i="103"/>
  <c r="C492" i="103"/>
  <c r="E489" i="103"/>
  <c r="G486" i="103"/>
  <c r="C484" i="103"/>
  <c r="E481" i="103"/>
  <c r="G478" i="103"/>
  <c r="C476" i="103"/>
  <c r="E473" i="103"/>
  <c r="G470" i="103"/>
  <c r="C468" i="103"/>
  <c r="E465" i="103"/>
  <c r="G462" i="103"/>
  <c r="C460" i="103"/>
  <c r="E457" i="103"/>
  <c r="G454" i="103"/>
  <c r="C452" i="103"/>
  <c r="E449" i="103"/>
  <c r="G446" i="103"/>
  <c r="C444" i="103"/>
  <c r="E441" i="103"/>
  <c r="C436" i="103"/>
  <c r="E433" i="103"/>
  <c r="C428" i="103"/>
  <c r="E425" i="103"/>
  <c r="C420" i="103"/>
  <c r="C416" i="103"/>
  <c r="E414" i="103"/>
  <c r="C413" i="103"/>
  <c r="E410" i="103"/>
  <c r="C409" i="103"/>
  <c r="E406" i="103"/>
  <c r="C405" i="103"/>
  <c r="E402" i="103"/>
  <c r="C401" i="103"/>
  <c r="E398" i="103"/>
  <c r="C397" i="103"/>
  <c r="E394" i="103"/>
  <c r="C393" i="103"/>
  <c r="E390" i="103"/>
  <c r="C389" i="103"/>
  <c r="E386" i="103"/>
  <c r="C385" i="103"/>
  <c r="E382" i="103"/>
  <c r="C381" i="103"/>
  <c r="E378" i="103"/>
  <c r="C377" i="103"/>
  <c r="E374" i="103"/>
  <c r="C373" i="103"/>
  <c r="E370" i="103"/>
  <c r="C369" i="103"/>
  <c r="E366" i="103"/>
  <c r="C365" i="103"/>
  <c r="C364" i="103"/>
  <c r="C363" i="103"/>
  <c r="D362" i="103"/>
  <c r="E361" i="103"/>
  <c r="E360" i="103"/>
  <c r="C358" i="103"/>
  <c r="E357" i="103"/>
  <c r="C356" i="103"/>
  <c r="E355" i="103"/>
  <c r="C354" i="103"/>
  <c r="E353" i="103"/>
  <c r="C352" i="103"/>
  <c r="E351" i="103"/>
  <c r="C350" i="103"/>
  <c r="E349" i="103"/>
  <c r="C348" i="103"/>
  <c r="E347" i="103"/>
  <c r="C346" i="103"/>
  <c r="E345" i="103"/>
  <c r="C344" i="103"/>
  <c r="E343" i="103"/>
  <c r="C342" i="103"/>
  <c r="E341" i="103"/>
  <c r="C340" i="103"/>
  <c r="E339" i="103"/>
  <c r="C338" i="103"/>
  <c r="E337" i="103"/>
  <c r="C336" i="103"/>
  <c r="E335" i="103"/>
  <c r="C334" i="103"/>
  <c r="E333" i="103"/>
  <c r="C332" i="103"/>
  <c r="E331" i="103"/>
  <c r="C330" i="103"/>
  <c r="E329" i="103"/>
  <c r="C328" i="103"/>
  <c r="E327" i="103"/>
  <c r="C326" i="103"/>
  <c r="E325" i="103"/>
  <c r="C324" i="103"/>
  <c r="E323" i="103"/>
  <c r="C322" i="103"/>
  <c r="E321" i="103"/>
  <c r="C320" i="103"/>
  <c r="E319" i="103"/>
  <c r="C318" i="103"/>
  <c r="E317" i="103"/>
  <c r="C316" i="103"/>
  <c r="E315" i="103"/>
  <c r="C314" i="103"/>
  <c r="E313" i="103"/>
  <c r="C312" i="103"/>
  <c r="E311" i="103"/>
  <c r="C310" i="103"/>
  <c r="E309" i="103"/>
  <c r="C308" i="103"/>
  <c r="E307" i="103"/>
  <c r="C306" i="103"/>
  <c r="E305" i="103"/>
  <c r="C304" i="103"/>
  <c r="E303" i="103"/>
  <c r="C302" i="103"/>
  <c r="E301" i="103"/>
  <c r="C300" i="103"/>
  <c r="E299" i="103"/>
  <c r="C298" i="103"/>
  <c r="E297" i="103"/>
  <c r="C296" i="103"/>
  <c r="E295" i="103"/>
  <c r="C294" i="103"/>
  <c r="E293" i="103"/>
  <c r="F293" i="103" s="1"/>
  <c r="C292" i="103"/>
  <c r="E291" i="103"/>
  <c r="C290" i="103"/>
  <c r="E594" i="103"/>
  <c r="E566" i="103"/>
  <c r="G541" i="103"/>
  <c r="G534" i="103"/>
  <c r="E520" i="103"/>
  <c r="E513" i="103"/>
  <c r="E508" i="103"/>
  <c r="G504" i="103"/>
  <c r="D501" i="103"/>
  <c r="G497" i="103"/>
  <c r="D489" i="103"/>
  <c r="D481" i="103"/>
  <c r="D473" i="103"/>
  <c r="D465" i="103"/>
  <c r="D457" i="103"/>
  <c r="D449" i="103"/>
  <c r="D441" i="103"/>
  <c r="D433" i="103"/>
  <c r="D425" i="103"/>
  <c r="D414" i="103"/>
  <c r="D410" i="103"/>
  <c r="F410" i="103" s="1"/>
  <c r="D406" i="103"/>
  <c r="D402" i="103"/>
  <c r="F402" i="103" s="1"/>
  <c r="D398" i="103"/>
  <c r="D394" i="103"/>
  <c r="F394" i="103" s="1"/>
  <c r="D390" i="103"/>
  <c r="D386" i="103"/>
  <c r="F386" i="103" s="1"/>
  <c r="D382" i="103"/>
  <c r="D378" i="103"/>
  <c r="F378" i="103" s="1"/>
  <c r="D374" i="103"/>
  <c r="D370" i="103"/>
  <c r="F370" i="103" s="1"/>
  <c r="D366" i="103"/>
  <c r="C362" i="103"/>
  <c r="C361" i="103"/>
  <c r="D360" i="103"/>
  <c r="F360" i="103" s="1"/>
  <c r="E359" i="103"/>
  <c r="D357" i="103"/>
  <c r="D355" i="103"/>
  <c r="D353" i="103"/>
  <c r="D351" i="103"/>
  <c r="D349" i="103"/>
  <c r="D347" i="103"/>
  <c r="D345" i="103"/>
  <c r="D343" i="103"/>
  <c r="D341" i="103"/>
  <c r="D339" i="103"/>
  <c r="D337" i="103"/>
  <c r="D335" i="103"/>
  <c r="D333" i="103"/>
  <c r="D331" i="103"/>
  <c r="D329" i="103"/>
  <c r="D327" i="103"/>
  <c r="D325" i="103"/>
  <c r="D323" i="103"/>
  <c r="D321" i="103"/>
  <c r="D319" i="103"/>
  <c r="D317" i="103"/>
  <c r="D315" i="103"/>
  <c r="D313" i="103"/>
  <c r="D311" i="103"/>
  <c r="D309" i="103"/>
  <c r="D307" i="103"/>
  <c r="D305" i="103"/>
  <c r="D303" i="103"/>
  <c r="D301" i="103"/>
  <c r="D299" i="103"/>
  <c r="C581" i="103"/>
  <c r="C553" i="103"/>
  <c r="E538" i="103"/>
  <c r="E531" i="103"/>
  <c r="D524" i="103"/>
  <c r="C517" i="103"/>
  <c r="E510" i="103"/>
  <c r="G506" i="103"/>
  <c r="D503" i="103"/>
  <c r="G499" i="103"/>
  <c r="C496" i="103"/>
  <c r="E493" i="103"/>
  <c r="G490" i="103"/>
  <c r="C488" i="103"/>
  <c r="E485" i="103"/>
  <c r="F485" i="103" s="1"/>
  <c r="G482" i="103"/>
  <c r="C480" i="103"/>
  <c r="E477" i="103"/>
  <c r="G474" i="103"/>
  <c r="C472" i="103"/>
  <c r="E469" i="103"/>
  <c r="G466" i="103"/>
  <c r="C464" i="103"/>
  <c r="E461" i="103"/>
  <c r="G458" i="103"/>
  <c r="C456" i="103"/>
  <c r="E453" i="103"/>
  <c r="G450" i="103"/>
  <c r="C448" i="103"/>
  <c r="E445" i="103"/>
  <c r="G442" i="103"/>
  <c r="C440" i="103"/>
  <c r="E437" i="103"/>
  <c r="C432" i="103"/>
  <c r="E429" i="103"/>
  <c r="C424" i="103"/>
  <c r="E421" i="103"/>
  <c r="D415" i="103"/>
  <c r="E412" i="103"/>
  <c r="C411" i="103"/>
  <c r="E408" i="103"/>
  <c r="C407" i="103"/>
  <c r="E404" i="103"/>
  <c r="C403" i="103"/>
  <c r="E400" i="103"/>
  <c r="C399" i="103"/>
  <c r="E396" i="103"/>
  <c r="C395" i="103"/>
  <c r="E392" i="103"/>
  <c r="C391" i="103"/>
  <c r="E388" i="103"/>
  <c r="C387" i="103"/>
  <c r="E384" i="103"/>
  <c r="C383" i="103"/>
  <c r="E380" i="103"/>
  <c r="C379" i="103"/>
  <c r="E376" i="103"/>
  <c r="C375" i="103"/>
  <c r="E372" i="103"/>
  <c r="C371" i="103"/>
  <c r="E368" i="103"/>
  <c r="C367" i="103"/>
  <c r="E364" i="103"/>
  <c r="C360" i="103"/>
  <c r="C359" i="103"/>
  <c r="E358" i="103"/>
  <c r="C357" i="103"/>
  <c r="E356" i="103"/>
  <c r="C355" i="103"/>
  <c r="E354" i="103"/>
  <c r="C353" i="103"/>
  <c r="E352" i="103"/>
  <c r="C351" i="103"/>
  <c r="E350" i="103"/>
  <c r="C349" i="103"/>
  <c r="E348" i="103"/>
  <c r="C347" i="103"/>
  <c r="E346" i="103"/>
  <c r="C345" i="103"/>
  <c r="E344" i="103"/>
  <c r="C343" i="103"/>
  <c r="E342" i="103"/>
  <c r="F342" i="103" s="1"/>
  <c r="C341" i="103"/>
  <c r="E340" i="103"/>
  <c r="C339" i="103"/>
  <c r="E338" i="103"/>
  <c r="C337" i="103"/>
  <c r="E336" i="103"/>
  <c r="C335" i="103"/>
  <c r="E334" i="103"/>
  <c r="C333" i="103"/>
  <c r="E332" i="103"/>
  <c r="C331" i="103"/>
  <c r="E330" i="103"/>
  <c r="C329" i="103"/>
  <c r="E328" i="103"/>
  <c r="C327" i="103"/>
  <c r="E326" i="103"/>
  <c r="C325" i="103"/>
  <c r="E324" i="103"/>
  <c r="C323" i="103"/>
  <c r="E322" i="103"/>
  <c r="C321" i="103"/>
  <c r="E320" i="103"/>
  <c r="C319" i="103"/>
  <c r="E318" i="103"/>
  <c r="C317" i="103"/>
  <c r="E316" i="103"/>
  <c r="C315" i="103"/>
  <c r="E314" i="103"/>
  <c r="C313" i="103"/>
  <c r="E312" i="103"/>
  <c r="C311" i="103"/>
  <c r="E310" i="103"/>
  <c r="C309" i="103"/>
  <c r="E308" i="103"/>
  <c r="C307" i="103"/>
  <c r="E306" i="103"/>
  <c r="C305" i="103"/>
  <c r="E304" i="103"/>
  <c r="E580" i="103"/>
  <c r="C531" i="103"/>
  <c r="D493" i="103"/>
  <c r="D461" i="103"/>
  <c r="D429" i="103"/>
  <c r="D412" i="103"/>
  <c r="D396" i="103"/>
  <c r="D380" i="103"/>
  <c r="D364" i="103"/>
  <c r="D352" i="103"/>
  <c r="D344" i="103"/>
  <c r="D336" i="103"/>
  <c r="D328" i="103"/>
  <c r="D320" i="103"/>
  <c r="D312" i="103"/>
  <c r="D304" i="103"/>
  <c r="E302" i="103"/>
  <c r="C301" i="103"/>
  <c r="E298" i="103"/>
  <c r="C293" i="103"/>
  <c r="D292" i="103"/>
  <c r="D291" i="103"/>
  <c r="F291" i="103" s="1"/>
  <c r="E290" i="103"/>
  <c r="D288" i="103"/>
  <c r="D286" i="103"/>
  <c r="D284" i="103"/>
  <c r="F284" i="103" s="1"/>
  <c r="D282" i="103"/>
  <c r="D280" i="103"/>
  <c r="D278" i="103"/>
  <c r="D276" i="103"/>
  <c r="F276" i="103" s="1"/>
  <c r="D274" i="103"/>
  <c r="D272" i="103"/>
  <c r="D270" i="103"/>
  <c r="D268" i="103"/>
  <c r="D266" i="103"/>
  <c r="D264" i="103"/>
  <c r="D262" i="103"/>
  <c r="D260" i="103"/>
  <c r="D258" i="103"/>
  <c r="D256" i="103"/>
  <c r="D254" i="103"/>
  <c r="D252" i="103"/>
  <c r="F252" i="103" s="1"/>
  <c r="D250" i="103"/>
  <c r="D248" i="103"/>
  <c r="D246" i="103"/>
  <c r="D244" i="103"/>
  <c r="F244" i="103" s="1"/>
  <c r="D242" i="103"/>
  <c r="D240" i="103"/>
  <c r="D238" i="103"/>
  <c r="D236" i="103"/>
  <c r="F236" i="103" s="1"/>
  <c r="D234" i="103"/>
  <c r="D232" i="103"/>
  <c r="D230" i="103"/>
  <c r="D228" i="103"/>
  <c r="F228" i="103" s="1"/>
  <c r="D226" i="103"/>
  <c r="D224" i="103"/>
  <c r="D222" i="103"/>
  <c r="D220" i="103"/>
  <c r="F220" i="103" s="1"/>
  <c r="D218" i="103"/>
  <c r="D216" i="103"/>
  <c r="D214" i="103"/>
  <c r="D212" i="103"/>
  <c r="F212" i="103" s="1"/>
  <c r="D210" i="103"/>
  <c r="D208" i="103"/>
  <c r="D206" i="103"/>
  <c r="D204" i="103"/>
  <c r="D202" i="103"/>
  <c r="D200" i="103"/>
  <c r="D198" i="103"/>
  <c r="D196" i="103"/>
  <c r="D194" i="103"/>
  <c r="D192" i="103"/>
  <c r="D190" i="103"/>
  <c r="D188" i="103"/>
  <c r="F188" i="103" s="1"/>
  <c r="D186" i="103"/>
  <c r="D184" i="103"/>
  <c r="D182" i="103"/>
  <c r="D180" i="103"/>
  <c r="F180" i="103" s="1"/>
  <c r="D178" i="103"/>
  <c r="D176" i="103"/>
  <c r="D174" i="103"/>
  <c r="D172" i="103"/>
  <c r="F172" i="103" s="1"/>
  <c r="D170" i="103"/>
  <c r="D168" i="103"/>
  <c r="D166" i="103"/>
  <c r="D164" i="103"/>
  <c r="F164" i="103" s="1"/>
  <c r="D162" i="103"/>
  <c r="D160" i="103"/>
  <c r="D158" i="103"/>
  <c r="D156" i="103"/>
  <c r="F156" i="103" s="1"/>
  <c r="D154" i="103"/>
  <c r="D152" i="103"/>
  <c r="D150" i="103"/>
  <c r="D148" i="103"/>
  <c r="F148" i="103" s="1"/>
  <c r="D146" i="103"/>
  <c r="D144" i="103"/>
  <c r="D142" i="103"/>
  <c r="D140" i="103"/>
  <c r="D138" i="103"/>
  <c r="D136" i="103"/>
  <c r="E552" i="103"/>
  <c r="C524" i="103"/>
  <c r="C503" i="103"/>
  <c r="D469" i="103"/>
  <c r="F469" i="103" s="1"/>
  <c r="D437" i="103"/>
  <c r="D400" i="103"/>
  <c r="D384" i="103"/>
  <c r="D368" i="103"/>
  <c r="E363" i="103"/>
  <c r="D354" i="103"/>
  <c r="D346" i="103"/>
  <c r="F346" i="103" s="1"/>
  <c r="D338" i="103"/>
  <c r="F338" i="103" s="1"/>
  <c r="D330" i="103"/>
  <c r="D322" i="103"/>
  <c r="D314" i="103"/>
  <c r="F314" i="103" s="1"/>
  <c r="D306" i="103"/>
  <c r="F306" i="103" s="1"/>
  <c r="D302" i="103"/>
  <c r="D298" i="103"/>
  <c r="D297" i="103"/>
  <c r="F297" i="103" s="1"/>
  <c r="E296" i="103"/>
  <c r="C291" i="103"/>
  <c r="D290" i="103"/>
  <c r="E289" i="103"/>
  <c r="C288" i="103"/>
  <c r="E287" i="103"/>
  <c r="C286" i="103"/>
  <c r="E285" i="103"/>
  <c r="C284" i="103"/>
  <c r="E283" i="103"/>
  <c r="C282" i="103"/>
  <c r="E281" i="103"/>
  <c r="C280" i="103"/>
  <c r="E279" i="103"/>
  <c r="C278" i="103"/>
  <c r="E277" i="103"/>
  <c r="C276" i="103"/>
  <c r="E275" i="103"/>
  <c r="C274" i="103"/>
  <c r="E273" i="103"/>
  <c r="C272" i="103"/>
  <c r="E271" i="103"/>
  <c r="C270" i="103"/>
  <c r="E269" i="103"/>
  <c r="C268" i="103"/>
  <c r="E267" i="103"/>
  <c r="C266" i="103"/>
  <c r="E265" i="103"/>
  <c r="C264" i="103"/>
  <c r="E263" i="103"/>
  <c r="C262" i="103"/>
  <c r="E261" i="103"/>
  <c r="C260" i="103"/>
  <c r="E259" i="103"/>
  <c r="C258" i="103"/>
  <c r="E257" i="103"/>
  <c r="C256" i="103"/>
  <c r="E255" i="103"/>
  <c r="C254" i="103"/>
  <c r="E253" i="103"/>
  <c r="C252" i="103"/>
  <c r="E251" i="103"/>
  <c r="C250" i="103"/>
  <c r="E249" i="103"/>
  <c r="C248" i="103"/>
  <c r="E247" i="103"/>
  <c r="C246" i="103"/>
  <c r="E245" i="103"/>
  <c r="C244" i="103"/>
  <c r="E243" i="103"/>
  <c r="C242" i="103"/>
  <c r="E241" i="103"/>
  <c r="C240" i="103"/>
  <c r="E239" i="103"/>
  <c r="C238" i="103"/>
  <c r="E237" i="103"/>
  <c r="C236" i="103"/>
  <c r="E235" i="103"/>
  <c r="C234" i="103"/>
  <c r="E233" i="103"/>
  <c r="C232" i="103"/>
  <c r="E231" i="103"/>
  <c r="C230" i="103"/>
  <c r="E229" i="103"/>
  <c r="C228" i="103"/>
  <c r="E227" i="103"/>
  <c r="C226" i="103"/>
  <c r="E225" i="103"/>
  <c r="C224" i="103"/>
  <c r="E223" i="103"/>
  <c r="C222" i="103"/>
  <c r="E221" i="103"/>
  <c r="C220" i="103"/>
  <c r="E219" i="103"/>
  <c r="C218" i="103"/>
  <c r="E217" i="103"/>
  <c r="C216" i="103"/>
  <c r="E215" i="103"/>
  <c r="C214" i="103"/>
  <c r="E213" i="103"/>
  <c r="C212" i="103"/>
  <c r="E211" i="103"/>
  <c r="C210" i="103"/>
  <c r="E209" i="103"/>
  <c r="C208" i="103"/>
  <c r="E207" i="103"/>
  <c r="C206" i="103"/>
  <c r="E205" i="103"/>
  <c r="C204" i="103"/>
  <c r="E203" i="103"/>
  <c r="C202" i="103"/>
  <c r="E201" i="103"/>
  <c r="C200" i="103"/>
  <c r="E199" i="103"/>
  <c r="C198" i="103"/>
  <c r="E197" i="103"/>
  <c r="C196" i="103"/>
  <c r="E195" i="103"/>
  <c r="C194" i="103"/>
  <c r="E193" i="103"/>
  <c r="C192" i="103"/>
  <c r="E191" i="103"/>
  <c r="C190" i="103"/>
  <c r="E189" i="103"/>
  <c r="C188" i="103"/>
  <c r="E187" i="103"/>
  <c r="C186" i="103"/>
  <c r="E185" i="103"/>
  <c r="C184" i="103"/>
  <c r="E183" i="103"/>
  <c r="C182" i="103"/>
  <c r="E181" i="103"/>
  <c r="C180" i="103"/>
  <c r="E179" i="103"/>
  <c r="C178" i="103"/>
  <c r="E177" i="103"/>
  <c r="C176" i="103"/>
  <c r="E175" i="103"/>
  <c r="C174" i="103"/>
  <c r="E173" i="103"/>
  <c r="C172" i="103"/>
  <c r="E171" i="103"/>
  <c r="C170" i="103"/>
  <c r="E169" i="103"/>
  <c r="C168" i="103"/>
  <c r="E167" i="103"/>
  <c r="C166" i="103"/>
  <c r="E165" i="103"/>
  <c r="C164" i="103"/>
  <c r="E163" i="103"/>
  <c r="C162" i="103"/>
  <c r="E161" i="103"/>
  <c r="C160" i="103"/>
  <c r="E159" i="103"/>
  <c r="C158" i="103"/>
  <c r="E157" i="103"/>
  <c r="C156" i="103"/>
  <c r="E155" i="103"/>
  <c r="C154" i="103"/>
  <c r="E153" i="103"/>
  <c r="C152" i="103"/>
  <c r="E151" i="103"/>
  <c r="C150" i="103"/>
  <c r="E149" i="103"/>
  <c r="C148" i="103"/>
  <c r="E147" i="103"/>
  <c r="C146" i="103"/>
  <c r="E145" i="103"/>
  <c r="C144" i="103"/>
  <c r="E143" i="103"/>
  <c r="C142" i="103"/>
  <c r="E141" i="103"/>
  <c r="C140" i="103"/>
  <c r="E139" i="103"/>
  <c r="C138" i="103"/>
  <c r="E137" i="103"/>
  <c r="C136" i="103"/>
  <c r="E135" i="103"/>
  <c r="C134" i="103"/>
  <c r="E133" i="103"/>
  <c r="C132" i="103"/>
  <c r="E131" i="103"/>
  <c r="C130" i="103"/>
  <c r="E129" i="103"/>
  <c r="C128" i="103"/>
  <c r="E127" i="103"/>
  <c r="C126" i="103"/>
  <c r="E125" i="103"/>
  <c r="C124" i="103"/>
  <c r="E123" i="103"/>
  <c r="C122" i="103"/>
  <c r="E121" i="103"/>
  <c r="F121" i="103" s="1"/>
  <c r="C120" i="103"/>
  <c r="E119" i="103"/>
  <c r="C118" i="103"/>
  <c r="E117" i="103"/>
  <c r="C116" i="103"/>
  <c r="E115" i="103"/>
  <c r="C114" i="103"/>
  <c r="E113" i="103"/>
  <c r="F113" i="103" s="1"/>
  <c r="C112" i="103"/>
  <c r="E111" i="103"/>
  <c r="C110" i="103"/>
  <c r="E109" i="103"/>
  <c r="C108" i="103"/>
  <c r="E107" i="103"/>
  <c r="C106" i="103"/>
  <c r="E105" i="103"/>
  <c r="F105" i="103" s="1"/>
  <c r="C104" i="103"/>
  <c r="E103" i="103"/>
  <c r="C102" i="103"/>
  <c r="E101" i="103"/>
  <c r="C100" i="103"/>
  <c r="E545" i="103"/>
  <c r="E499" i="103"/>
  <c r="D477" i="103"/>
  <c r="F477" i="103" s="1"/>
  <c r="D445" i="103"/>
  <c r="F445" i="103" s="1"/>
  <c r="D404" i="103"/>
  <c r="F404" i="103" s="1"/>
  <c r="D388" i="103"/>
  <c r="D372" i="103"/>
  <c r="E362" i="103"/>
  <c r="D356" i="103"/>
  <c r="D348" i="103"/>
  <c r="D340" i="103"/>
  <c r="D332" i="103"/>
  <c r="D324" i="103"/>
  <c r="D316" i="103"/>
  <c r="D308" i="103"/>
  <c r="C303" i="103"/>
  <c r="E300" i="103"/>
  <c r="C299" i="103"/>
  <c r="C297" i="103"/>
  <c r="D296" i="103"/>
  <c r="D295" i="103"/>
  <c r="E294" i="103"/>
  <c r="D289" i="103"/>
  <c r="D287" i="103"/>
  <c r="D285" i="103"/>
  <c r="D283" i="103"/>
  <c r="D281" i="103"/>
  <c r="D279" i="103"/>
  <c r="D277" i="103"/>
  <c r="D275" i="103"/>
  <c r="D273" i="103"/>
  <c r="D271" i="103"/>
  <c r="D269" i="103"/>
  <c r="D267" i="103"/>
  <c r="F267" i="103" s="1"/>
  <c r="D265" i="103"/>
  <c r="D263" i="103"/>
  <c r="D261" i="103"/>
  <c r="D259" i="103"/>
  <c r="F259" i="103" s="1"/>
  <c r="D257" i="103"/>
  <c r="D255" i="103"/>
  <c r="D253" i="103"/>
  <c r="D251" i="103"/>
  <c r="D249" i="103"/>
  <c r="D247" i="103"/>
  <c r="D245" i="103"/>
  <c r="D243" i="103"/>
  <c r="D241" i="103"/>
  <c r="D239" i="103"/>
  <c r="D237" i="103"/>
  <c r="D235" i="103"/>
  <c r="F235" i="103" s="1"/>
  <c r="D233" i="103"/>
  <c r="D231" i="103"/>
  <c r="D229" i="103"/>
  <c r="D227" i="103"/>
  <c r="F227" i="103" s="1"/>
  <c r="D225" i="103"/>
  <c r="D223" i="103"/>
  <c r="D221" i="103"/>
  <c r="D219" i="103"/>
  <c r="D217" i="103"/>
  <c r="D215" i="103"/>
  <c r="D213" i="103"/>
  <c r="D211" i="103"/>
  <c r="D209" i="103"/>
  <c r="D207" i="103"/>
  <c r="D205" i="103"/>
  <c r="D203" i="103"/>
  <c r="F203" i="103" s="1"/>
  <c r="D201" i="103"/>
  <c r="D199" i="103"/>
  <c r="D197" i="103"/>
  <c r="F197" i="103" s="1"/>
  <c r="D195" i="103"/>
  <c r="D193" i="103"/>
  <c r="D191" i="103"/>
  <c r="D189" i="103"/>
  <c r="F189" i="103" s="1"/>
  <c r="D187" i="103"/>
  <c r="D185" i="103"/>
  <c r="D183" i="103"/>
  <c r="D181" i="103"/>
  <c r="F181" i="103" s="1"/>
  <c r="D179" i="103"/>
  <c r="D177" i="103"/>
  <c r="D175" i="103"/>
  <c r="D173" i="103"/>
  <c r="F173" i="103" s="1"/>
  <c r="D171" i="103"/>
  <c r="D169" i="103"/>
  <c r="D167" i="103"/>
  <c r="D165" i="103"/>
  <c r="F165" i="103" s="1"/>
  <c r="D163" i="103"/>
  <c r="D161" i="103"/>
  <c r="D159" i="103"/>
  <c r="D157" i="103"/>
  <c r="F157" i="103" s="1"/>
  <c r="D155" i="103"/>
  <c r="D153" i="103"/>
  <c r="D151" i="103"/>
  <c r="D149" i="103"/>
  <c r="F149" i="103" s="1"/>
  <c r="D147" i="103"/>
  <c r="D145" i="103"/>
  <c r="D143" i="103"/>
  <c r="D141" i="103"/>
  <c r="F141" i="103" s="1"/>
  <c r="D139" i="103"/>
  <c r="D137" i="103"/>
  <c r="D135" i="103"/>
  <c r="D133" i="103"/>
  <c r="F133" i="103" s="1"/>
  <c r="D131" i="103"/>
  <c r="D129" i="103"/>
  <c r="D127" i="103"/>
  <c r="D125" i="103"/>
  <c r="F125" i="103" s="1"/>
  <c r="E9" i="103"/>
  <c r="F9" i="103" s="1"/>
  <c r="C10" i="103"/>
  <c r="E11" i="103"/>
  <c r="F11" i="103" s="1"/>
  <c r="C12" i="103"/>
  <c r="E13" i="103"/>
  <c r="F13" i="103" s="1"/>
  <c r="C14" i="103"/>
  <c r="E15" i="103"/>
  <c r="C16" i="103"/>
  <c r="E17" i="103"/>
  <c r="F17" i="103" s="1"/>
  <c r="C18" i="103"/>
  <c r="E19" i="103"/>
  <c r="F19" i="103" s="1"/>
  <c r="C20" i="103"/>
  <c r="E21" i="103"/>
  <c r="C22" i="103"/>
  <c r="E23" i="103"/>
  <c r="F23" i="103" s="1"/>
  <c r="C24" i="103"/>
  <c r="E25" i="103"/>
  <c r="F25" i="103" s="1"/>
  <c r="C26" i="103"/>
  <c r="E27" i="103"/>
  <c r="F27" i="103" s="1"/>
  <c r="C28" i="103"/>
  <c r="E29" i="103"/>
  <c r="F29" i="103" s="1"/>
  <c r="C30" i="103"/>
  <c r="E31" i="103"/>
  <c r="C32" i="103"/>
  <c r="E33" i="103"/>
  <c r="F33" i="103" s="1"/>
  <c r="C34" i="103"/>
  <c r="E35" i="103"/>
  <c r="C36" i="103"/>
  <c r="E37" i="103"/>
  <c r="F37" i="103" s="1"/>
  <c r="C38" i="103"/>
  <c r="E39" i="103"/>
  <c r="F39" i="103" s="1"/>
  <c r="C40" i="103"/>
  <c r="E41" i="103"/>
  <c r="F41" i="103" s="1"/>
  <c r="C42" i="103"/>
  <c r="E43" i="103"/>
  <c r="F43" i="103" s="1"/>
  <c r="C44" i="103"/>
  <c r="E45" i="103"/>
  <c r="F45" i="103" s="1"/>
  <c r="C46" i="103"/>
  <c r="E47" i="103"/>
  <c r="F47" i="103" s="1"/>
  <c r="C48" i="103"/>
  <c r="E49" i="103"/>
  <c r="C50" i="103"/>
  <c r="E51" i="103"/>
  <c r="F51" i="103" s="1"/>
  <c r="C52" i="103"/>
  <c r="E53" i="103"/>
  <c r="C54" i="103"/>
  <c r="E55" i="103"/>
  <c r="F55" i="103" s="1"/>
  <c r="C56" i="103"/>
  <c r="E57" i="103"/>
  <c r="F57" i="103" s="1"/>
  <c r="C58" i="103"/>
  <c r="E59" i="103"/>
  <c r="F59" i="103" s="1"/>
  <c r="C60" i="103"/>
  <c r="E61" i="103"/>
  <c r="F61" i="103" s="1"/>
  <c r="C62" i="103"/>
  <c r="E63" i="103"/>
  <c r="C64" i="103"/>
  <c r="E65" i="103"/>
  <c r="F65" i="103" s="1"/>
  <c r="C66" i="103"/>
  <c r="E67" i="103"/>
  <c r="C68" i="103"/>
  <c r="E69" i="103"/>
  <c r="F69" i="103" s="1"/>
  <c r="C70" i="103"/>
  <c r="E71" i="103"/>
  <c r="F71" i="103" s="1"/>
  <c r="C72" i="103"/>
  <c r="E73" i="103"/>
  <c r="F73" i="103" s="1"/>
  <c r="C74" i="103"/>
  <c r="E75" i="103"/>
  <c r="F75" i="103" s="1"/>
  <c r="C76" i="103"/>
  <c r="E77" i="103"/>
  <c r="F77" i="103" s="1"/>
  <c r="C78" i="103"/>
  <c r="E79" i="103"/>
  <c r="F79" i="103" s="1"/>
  <c r="C80" i="103"/>
  <c r="E81" i="103"/>
  <c r="C82" i="103"/>
  <c r="E83" i="103"/>
  <c r="F83" i="103" s="1"/>
  <c r="C84" i="103"/>
  <c r="E85" i="103"/>
  <c r="C86" i="103"/>
  <c r="E87" i="103"/>
  <c r="F87" i="103" s="1"/>
  <c r="C88" i="103"/>
  <c r="E89" i="103"/>
  <c r="F89" i="103" s="1"/>
  <c r="C90" i="103"/>
  <c r="E91" i="103"/>
  <c r="F91" i="103" s="1"/>
  <c r="C92" i="103"/>
  <c r="E93" i="103"/>
  <c r="F93" i="103" s="1"/>
  <c r="C94" i="103"/>
  <c r="E95" i="103"/>
  <c r="C96" i="103"/>
  <c r="E97" i="103"/>
  <c r="F97" i="103" s="1"/>
  <c r="C98" i="103"/>
  <c r="E99" i="103"/>
  <c r="D100" i="103"/>
  <c r="C101" i="103"/>
  <c r="E106" i="103"/>
  <c r="F106" i="103" s="1"/>
  <c r="D107" i="103"/>
  <c r="D108" i="103"/>
  <c r="C109" i="103"/>
  <c r="E114" i="103"/>
  <c r="D115" i="103"/>
  <c r="D116" i="103"/>
  <c r="C117" i="103"/>
  <c r="E122" i="103"/>
  <c r="F122" i="103" s="1"/>
  <c r="D123" i="103"/>
  <c r="D124" i="103"/>
  <c r="C125" i="103"/>
  <c r="E126" i="103"/>
  <c r="F126" i="103" s="1"/>
  <c r="C129" i="103"/>
  <c r="E130" i="103"/>
  <c r="C133" i="103"/>
  <c r="E134" i="103"/>
  <c r="F134" i="103" s="1"/>
  <c r="E138" i="103"/>
  <c r="C141" i="103"/>
  <c r="E146" i="103"/>
  <c r="C149" i="103"/>
  <c r="E154" i="103"/>
  <c r="C157" i="103"/>
  <c r="E162" i="103"/>
  <c r="C165" i="103"/>
  <c r="E170" i="103"/>
  <c r="C173" i="103"/>
  <c r="E178" i="103"/>
  <c r="C181" i="103"/>
  <c r="E186" i="103"/>
  <c r="C189" i="103"/>
  <c r="E194" i="103"/>
  <c r="C197" i="103"/>
  <c r="E202" i="103"/>
  <c r="C205" i="103"/>
  <c r="E210" i="103"/>
  <c r="C213" i="103"/>
  <c r="E218" i="103"/>
  <c r="C221" i="103"/>
  <c r="E226" i="103"/>
  <c r="C229" i="103"/>
  <c r="E234" i="103"/>
  <c r="C237" i="103"/>
  <c r="E242" i="103"/>
  <c r="C245" i="103"/>
  <c r="E250" i="103"/>
  <c r="C253" i="103"/>
  <c r="E258" i="103"/>
  <c r="C261" i="103"/>
  <c r="E266" i="103"/>
  <c r="C269" i="103"/>
  <c r="E274" i="103"/>
  <c r="C277" i="103"/>
  <c r="E282" i="103"/>
  <c r="C285" i="103"/>
  <c r="D294" i="103"/>
  <c r="D334" i="103"/>
  <c r="D392" i="103"/>
  <c r="F392" i="103" s="1"/>
  <c r="D453" i="103"/>
  <c r="D10" i="103"/>
  <c r="F10" i="103" s="1"/>
  <c r="D12" i="103"/>
  <c r="D14" i="103"/>
  <c r="F14" i="103" s="1"/>
  <c r="D16" i="103"/>
  <c r="F16" i="103" s="1"/>
  <c r="D18" i="103"/>
  <c r="F18" i="103" s="1"/>
  <c r="D20" i="103"/>
  <c r="F20" i="103" s="1"/>
  <c r="D22" i="103"/>
  <c r="F22" i="103" s="1"/>
  <c r="D24" i="103"/>
  <c r="D26" i="103"/>
  <c r="D28" i="103"/>
  <c r="D30" i="103"/>
  <c r="D32" i="103"/>
  <c r="D34" i="103"/>
  <c r="D36" i="103"/>
  <c r="D38" i="103"/>
  <c r="D40" i="103"/>
  <c r="D42" i="103"/>
  <c r="D44" i="103"/>
  <c r="D46" i="103"/>
  <c r="D48" i="103"/>
  <c r="D50" i="103"/>
  <c r="D52" i="103"/>
  <c r="D54" i="103"/>
  <c r="D56" i="103"/>
  <c r="D58" i="103"/>
  <c r="D60" i="103"/>
  <c r="D62" i="103"/>
  <c r="D64" i="103"/>
  <c r="D66" i="103"/>
  <c r="D68" i="103"/>
  <c r="D70" i="103"/>
  <c r="D72" i="103"/>
  <c r="D74" i="103"/>
  <c r="D76" i="103"/>
  <c r="D78" i="103"/>
  <c r="D80" i="103"/>
  <c r="D82" i="103"/>
  <c r="D84" i="103"/>
  <c r="D86" i="103"/>
  <c r="D88" i="103"/>
  <c r="D90" i="103"/>
  <c r="D92" i="103"/>
  <c r="D94" i="103"/>
  <c r="D96" i="103"/>
  <c r="D98" i="103"/>
  <c r="E100" i="103"/>
  <c r="D101" i="103"/>
  <c r="D102" i="103"/>
  <c r="C103" i="103"/>
  <c r="E108" i="103"/>
  <c r="D109" i="103"/>
  <c r="D110" i="103"/>
  <c r="C111" i="103"/>
  <c r="E116" i="103"/>
  <c r="D117" i="103"/>
  <c r="D118" i="103"/>
  <c r="C119" i="103"/>
  <c r="E124" i="103"/>
  <c r="D128" i="103"/>
  <c r="D132" i="103"/>
  <c r="E136" i="103"/>
  <c r="C139" i="103"/>
  <c r="E144" i="103"/>
  <c r="C147" i="103"/>
  <c r="E152" i="103"/>
  <c r="C155" i="103"/>
  <c r="E160" i="103"/>
  <c r="C163" i="103"/>
  <c r="E168" i="103"/>
  <c r="C171" i="103"/>
  <c r="E176" i="103"/>
  <c r="C179" i="103"/>
  <c r="E184" i="103"/>
  <c r="C187" i="103"/>
  <c r="E192" i="103"/>
  <c r="C195" i="103"/>
  <c r="E200" i="103"/>
  <c r="C203" i="103"/>
  <c r="E208" i="103"/>
  <c r="C211" i="103"/>
  <c r="E216" i="103"/>
  <c r="C219" i="103"/>
  <c r="E224" i="103"/>
  <c r="C227" i="103"/>
  <c r="E232" i="103"/>
  <c r="C235" i="103"/>
  <c r="E240" i="103"/>
  <c r="C243" i="103"/>
  <c r="E248" i="103"/>
  <c r="C251" i="103"/>
  <c r="E256" i="103"/>
  <c r="C259" i="103"/>
  <c r="E264" i="103"/>
  <c r="C267" i="103"/>
  <c r="E272" i="103"/>
  <c r="C275" i="103"/>
  <c r="E280" i="103"/>
  <c r="C283" i="103"/>
  <c r="E288" i="103"/>
  <c r="C295" i="103"/>
  <c r="D326" i="103"/>
  <c r="D358" i="103"/>
  <c r="D376" i="103"/>
  <c r="F376" i="103" s="1"/>
  <c r="D421" i="103"/>
  <c r="C510" i="103"/>
  <c r="E24" i="103"/>
  <c r="C25" i="103"/>
  <c r="E26" i="103"/>
  <c r="C27" i="103"/>
  <c r="E28" i="103"/>
  <c r="C29" i="103"/>
  <c r="E30" i="103"/>
  <c r="C31" i="103"/>
  <c r="E32" i="103"/>
  <c r="C33" i="103"/>
  <c r="E34" i="103"/>
  <c r="C35" i="103"/>
  <c r="E36" i="103"/>
  <c r="C37" i="103"/>
  <c r="E38" i="103"/>
  <c r="C39" i="103"/>
  <c r="E40" i="103"/>
  <c r="C41" i="103"/>
  <c r="E42" i="103"/>
  <c r="C43" i="103"/>
  <c r="E44" i="103"/>
  <c r="C45" i="103"/>
  <c r="E46" i="103"/>
  <c r="C47" i="103"/>
  <c r="E48" i="103"/>
  <c r="C49" i="103"/>
  <c r="E50" i="103"/>
  <c r="C51" i="103"/>
  <c r="E52" i="103"/>
  <c r="C53" i="103"/>
  <c r="E54" i="103"/>
  <c r="C55" i="103"/>
  <c r="E56" i="103"/>
  <c r="C57" i="103"/>
  <c r="E58" i="103"/>
  <c r="C59" i="103"/>
  <c r="E60" i="103"/>
  <c r="C61" i="103"/>
  <c r="E62" i="103"/>
  <c r="C63" i="103"/>
  <c r="E64" i="103"/>
  <c r="C65" i="103"/>
  <c r="E66" i="103"/>
  <c r="C67" i="103"/>
  <c r="E68" i="103"/>
  <c r="C69" i="103"/>
  <c r="E70" i="103"/>
  <c r="C71" i="103"/>
  <c r="E72" i="103"/>
  <c r="C73" i="103"/>
  <c r="E74" i="103"/>
  <c r="C75" i="103"/>
  <c r="E76" i="103"/>
  <c r="C77" i="103"/>
  <c r="E78" i="103"/>
  <c r="C79" i="103"/>
  <c r="E80" i="103"/>
  <c r="C81" i="103"/>
  <c r="E82" i="103"/>
  <c r="C83" i="103"/>
  <c r="E84" i="103"/>
  <c r="C85" i="103"/>
  <c r="E86" i="103"/>
  <c r="C87" i="103"/>
  <c r="E88" i="103"/>
  <c r="C89" i="103"/>
  <c r="E90" i="103"/>
  <c r="C91" i="103"/>
  <c r="E92" i="103"/>
  <c r="C93" i="103"/>
  <c r="E94" i="103"/>
  <c r="C95" i="103"/>
  <c r="E96" i="103"/>
  <c r="C97" i="103"/>
  <c r="E98" i="103"/>
  <c r="C99" i="103"/>
  <c r="E102" i="103"/>
  <c r="D103" i="103"/>
  <c r="D104" i="103"/>
  <c r="F104" i="103" s="1"/>
  <c r="C105" i="103"/>
  <c r="E110" i="103"/>
  <c r="D111" i="103"/>
  <c r="D112" i="103"/>
  <c r="F112" i="103" s="1"/>
  <c r="C113" i="103"/>
  <c r="E118" i="103"/>
  <c r="D119" i="103"/>
  <c r="D120" i="103"/>
  <c r="C121" i="103"/>
  <c r="C127" i="103"/>
  <c r="E128" i="103"/>
  <c r="C131" i="103"/>
  <c r="E132" i="103"/>
  <c r="C135" i="103"/>
  <c r="C137" i="103"/>
  <c r="E142" i="103"/>
  <c r="C145" i="103"/>
  <c r="E150" i="103"/>
  <c r="C153" i="103"/>
  <c r="E158" i="103"/>
  <c r="C161" i="103"/>
  <c r="E166" i="103"/>
  <c r="C169" i="103"/>
  <c r="E174" i="103"/>
  <c r="C177" i="103"/>
  <c r="E182" i="103"/>
  <c r="C185" i="103"/>
  <c r="E190" i="103"/>
  <c r="C193" i="103"/>
  <c r="E198" i="103"/>
  <c r="C201" i="103"/>
  <c r="E206" i="103"/>
  <c r="C209" i="103"/>
  <c r="E214" i="103"/>
  <c r="C217" i="103"/>
  <c r="E222" i="103"/>
  <c r="C225" i="103"/>
  <c r="E230" i="103"/>
  <c r="C233" i="103"/>
  <c r="E238" i="103"/>
  <c r="C241" i="103"/>
  <c r="E246" i="103"/>
  <c r="C249" i="103"/>
  <c r="E254" i="103"/>
  <c r="C257" i="103"/>
  <c r="E262" i="103"/>
  <c r="C265" i="103"/>
  <c r="E270" i="103"/>
  <c r="C273" i="103"/>
  <c r="E278" i="103"/>
  <c r="C281" i="103"/>
  <c r="E286" i="103"/>
  <c r="C289" i="103"/>
  <c r="E292" i="103"/>
  <c r="D300" i="103"/>
  <c r="F300" i="103" s="1"/>
  <c r="D318" i="103"/>
  <c r="D350" i="103"/>
  <c r="D538" i="103"/>
  <c r="C10" i="97"/>
  <c r="C573" i="97"/>
  <c r="C541" i="97"/>
  <c r="C259" i="97"/>
  <c r="C605" i="97"/>
  <c r="C589" i="97"/>
  <c r="C565" i="97"/>
  <c r="C533" i="97"/>
  <c r="C481" i="97"/>
  <c r="C417" i="97"/>
  <c r="C353" i="97"/>
  <c r="C11" i="97"/>
  <c r="C15" i="97"/>
  <c r="C19" i="97"/>
  <c r="C23" i="97"/>
  <c r="C27" i="97"/>
  <c r="C31" i="97"/>
  <c r="C35" i="97"/>
  <c r="C39" i="97"/>
  <c r="C43" i="97"/>
  <c r="C47" i="97"/>
  <c r="C51" i="97"/>
  <c r="C55" i="97"/>
  <c r="C59" i="97"/>
  <c r="C63" i="97"/>
  <c r="C67" i="97"/>
  <c r="C71" i="97"/>
  <c r="C75" i="97"/>
  <c r="C79" i="97"/>
  <c r="C83" i="97"/>
  <c r="C87" i="97"/>
  <c r="C91" i="97"/>
  <c r="C95" i="97"/>
  <c r="C99" i="97"/>
  <c r="C103" i="97"/>
  <c r="C107" i="97"/>
  <c r="C111" i="97"/>
  <c r="C115" i="97"/>
  <c r="C119" i="97"/>
  <c r="C123" i="97"/>
  <c r="C127" i="97"/>
  <c r="C131" i="97"/>
  <c r="C12" i="97"/>
  <c r="C16" i="97"/>
  <c r="C20" i="97"/>
  <c r="C24" i="97"/>
  <c r="C28" i="97"/>
  <c r="C32" i="97"/>
  <c r="C36" i="97"/>
  <c r="C40" i="97"/>
  <c r="C44" i="97"/>
  <c r="C48" i="97"/>
  <c r="C52" i="97"/>
  <c r="C56" i="97"/>
  <c r="C60" i="97"/>
  <c r="C64" i="97"/>
  <c r="C68" i="97"/>
  <c r="C72" i="97"/>
  <c r="C76" i="97"/>
  <c r="C80" i="97"/>
  <c r="C84" i="97"/>
  <c r="C88" i="97"/>
  <c r="C92" i="97"/>
  <c r="C96" i="97"/>
  <c r="C100" i="97"/>
  <c r="C104" i="97"/>
  <c r="C108" i="97"/>
  <c r="C112" i="97"/>
  <c r="C116" i="97"/>
  <c r="C120" i="97"/>
  <c r="C124" i="97"/>
  <c r="C128" i="97"/>
  <c r="C132" i="97"/>
  <c r="C136" i="97"/>
  <c r="C140" i="97"/>
  <c r="C144" i="97"/>
  <c r="C148" i="97"/>
  <c r="C152" i="97"/>
  <c r="C156" i="97"/>
  <c r="C160" i="97"/>
  <c r="C164" i="97"/>
  <c r="C168" i="97"/>
  <c r="C172" i="97"/>
  <c r="C176" i="97"/>
  <c r="C180" i="97"/>
  <c r="C184" i="97"/>
  <c r="C188" i="97"/>
  <c r="C192" i="97"/>
  <c r="C196" i="97"/>
  <c r="C200" i="97"/>
  <c r="C204" i="97"/>
  <c r="C208" i="97"/>
  <c r="C212" i="97"/>
  <c r="C216" i="97"/>
  <c r="C220" i="97"/>
  <c r="C224" i="97"/>
  <c r="C228" i="97"/>
  <c r="C232" i="97"/>
  <c r="C236" i="97"/>
  <c r="C240" i="97"/>
  <c r="C244" i="97"/>
  <c r="C248" i="97"/>
  <c r="C252" i="97"/>
  <c r="C256" i="97"/>
  <c r="C260" i="97"/>
  <c r="C264" i="97"/>
  <c r="C268" i="97"/>
  <c r="C272" i="97"/>
  <c r="C276" i="97"/>
  <c r="C280" i="97"/>
  <c r="C284" i="97"/>
  <c r="C288" i="97"/>
  <c r="C292" i="97"/>
  <c r="C296" i="97"/>
  <c r="C300" i="97"/>
  <c r="C304" i="97"/>
  <c r="C308" i="97"/>
  <c r="C312" i="97"/>
  <c r="C316" i="97"/>
  <c r="C320" i="97"/>
  <c r="C324" i="97"/>
  <c r="C328" i="97"/>
  <c r="C332" i="97"/>
  <c r="C336" i="97"/>
  <c r="C340" i="97"/>
  <c r="C344" i="97"/>
  <c r="C348" i="97"/>
  <c r="C13" i="97"/>
  <c r="C17" i="97"/>
  <c r="C21" i="97"/>
  <c r="C25" i="97"/>
  <c r="C29" i="97"/>
  <c r="C33" i="97"/>
  <c r="C37" i="97"/>
  <c r="C41" i="97"/>
  <c r="C45" i="97"/>
  <c r="C49" i="97"/>
  <c r="C53" i="97"/>
  <c r="C57" i="97"/>
  <c r="C61" i="97"/>
  <c r="C65" i="97"/>
  <c r="C69" i="97"/>
  <c r="C73" i="97"/>
  <c r="C77" i="97"/>
  <c r="C81" i="97"/>
  <c r="C85" i="97"/>
  <c r="C89" i="97"/>
  <c r="C93" i="97"/>
  <c r="C97" i="97"/>
  <c r="C101" i="97"/>
  <c r="C105" i="97"/>
  <c r="C109" i="97"/>
  <c r="C113" i="97"/>
  <c r="C117" i="97"/>
  <c r="C121" i="97"/>
  <c r="C125" i="97"/>
  <c r="C129" i="97"/>
  <c r="C14" i="97"/>
  <c r="C18" i="97"/>
  <c r="C22" i="97"/>
  <c r="C26" i="97"/>
  <c r="C30" i="97"/>
  <c r="C34" i="97"/>
  <c r="C38" i="97"/>
  <c r="C42" i="97"/>
  <c r="C46" i="97"/>
  <c r="C50" i="97"/>
  <c r="C54" i="97"/>
  <c r="C58" i="97"/>
  <c r="C62" i="97"/>
  <c r="C66" i="97"/>
  <c r="C70" i="97"/>
  <c r="C74" i="97"/>
  <c r="C78" i="97"/>
  <c r="C82" i="97"/>
  <c r="C86" i="97"/>
  <c r="C90" i="97"/>
  <c r="C94" i="97"/>
  <c r="C98" i="97"/>
  <c r="C102" i="97"/>
  <c r="C106" i="97"/>
  <c r="C110" i="97"/>
  <c r="C114" i="97"/>
  <c r="C118" i="97"/>
  <c r="C122" i="97"/>
  <c r="C126" i="97"/>
  <c r="C130" i="97"/>
  <c r="C134" i="97"/>
  <c r="C138" i="97"/>
  <c r="C142" i="97"/>
  <c r="C146" i="97"/>
  <c r="C150" i="97"/>
  <c r="C154" i="97"/>
  <c r="C158" i="97"/>
  <c r="C162" i="97"/>
  <c r="C166" i="97"/>
  <c r="C170" i="97"/>
  <c r="C174" i="97"/>
  <c r="C178" i="97"/>
  <c r="C182" i="97"/>
  <c r="C186" i="97"/>
  <c r="C190" i="97"/>
  <c r="C194" i="97"/>
  <c r="C198" i="97"/>
  <c r="C202" i="97"/>
  <c r="C206" i="97"/>
  <c r="C210" i="97"/>
  <c r="C214" i="97"/>
  <c r="C218" i="97"/>
  <c r="C222" i="97"/>
  <c r="C226" i="97"/>
  <c r="C230" i="97"/>
  <c r="C234" i="97"/>
  <c r="C238" i="97"/>
  <c r="C242" i="97"/>
  <c r="C246" i="97"/>
  <c r="C250" i="97"/>
  <c r="C254" i="97"/>
  <c r="C258" i="97"/>
  <c r="C262" i="97"/>
  <c r="C266" i="97"/>
  <c r="C270" i="97"/>
  <c r="C274" i="97"/>
  <c r="C278" i="97"/>
  <c r="C282" i="97"/>
  <c r="C286" i="97"/>
  <c r="C290" i="97"/>
  <c r="C294" i="97"/>
  <c r="C298" i="97"/>
  <c r="C302" i="97"/>
  <c r="C306" i="97"/>
  <c r="C310" i="97"/>
  <c r="C314" i="97"/>
  <c r="C318" i="97"/>
  <c r="C322" i="97"/>
  <c r="C326" i="97"/>
  <c r="C330" i="97"/>
  <c r="C334" i="97"/>
  <c r="C338" i="97"/>
  <c r="C342" i="97"/>
  <c r="C346" i="97"/>
  <c r="C350" i="97"/>
  <c r="C133" i="97"/>
  <c r="C141" i="97"/>
  <c r="C149" i="97"/>
  <c r="C157" i="97"/>
  <c r="C165" i="97"/>
  <c r="C173" i="97"/>
  <c r="C181" i="97"/>
  <c r="C189" i="97"/>
  <c r="C197" i="97"/>
  <c r="C205" i="97"/>
  <c r="C213" i="97"/>
  <c r="C221" i="97"/>
  <c r="C229" i="97"/>
  <c r="C237" i="97"/>
  <c r="C245" i="97"/>
  <c r="C253" i="97"/>
  <c r="C261" i="97"/>
  <c r="C269" i="97"/>
  <c r="C277" i="97"/>
  <c r="C285" i="97"/>
  <c r="C293" i="97"/>
  <c r="C301" i="97"/>
  <c r="C309" i="97"/>
  <c r="C317" i="97"/>
  <c r="C325" i="97"/>
  <c r="C333" i="97"/>
  <c r="C341" i="97"/>
  <c r="C349" i="97"/>
  <c r="C354" i="97"/>
  <c r="C358" i="97"/>
  <c r="C362" i="97"/>
  <c r="C366" i="97"/>
  <c r="C370" i="97"/>
  <c r="C374" i="97"/>
  <c r="C378" i="97"/>
  <c r="C382" i="97"/>
  <c r="C386" i="97"/>
  <c r="C390" i="97"/>
  <c r="C394" i="97"/>
  <c r="C398" i="97"/>
  <c r="C402" i="97"/>
  <c r="C406" i="97"/>
  <c r="C410" i="97"/>
  <c r="C414" i="97"/>
  <c r="C418" i="97"/>
  <c r="C422" i="97"/>
  <c r="C426" i="97"/>
  <c r="C430" i="97"/>
  <c r="C434" i="97"/>
  <c r="C438" i="97"/>
  <c r="C442" i="97"/>
  <c r="C446" i="97"/>
  <c r="C450" i="97"/>
  <c r="C454" i="97"/>
  <c r="C458" i="97"/>
  <c r="C462" i="97"/>
  <c r="C466" i="97"/>
  <c r="C470" i="97"/>
  <c r="C474" i="97"/>
  <c r="C478" i="97"/>
  <c r="C482" i="97"/>
  <c r="C486" i="97"/>
  <c r="C490" i="97"/>
  <c r="C494" i="97"/>
  <c r="C498" i="97"/>
  <c r="C502" i="97"/>
  <c r="C506" i="97"/>
  <c r="C510" i="97"/>
  <c r="C514" i="97"/>
  <c r="C518" i="97"/>
  <c r="C522" i="97"/>
  <c r="C526" i="97"/>
  <c r="C530" i="97"/>
  <c r="C534" i="97"/>
  <c r="C538" i="97"/>
  <c r="C542" i="97"/>
  <c r="C546" i="97"/>
  <c r="C550" i="97"/>
  <c r="C554" i="97"/>
  <c r="C558" i="97"/>
  <c r="C562" i="97"/>
  <c r="C566" i="97"/>
  <c r="C570" i="97"/>
  <c r="C574" i="97"/>
  <c r="C578" i="97"/>
  <c r="C135" i="97"/>
  <c r="C143" i="97"/>
  <c r="C151" i="97"/>
  <c r="C159" i="97"/>
  <c r="C167" i="97"/>
  <c r="C175" i="97"/>
  <c r="C183" i="97"/>
  <c r="C191" i="97"/>
  <c r="C199" i="97"/>
  <c r="C207" i="97"/>
  <c r="C215" i="97"/>
  <c r="C223" i="97"/>
  <c r="C231" i="97"/>
  <c r="C239" i="97"/>
  <c r="C247" i="97"/>
  <c r="C255" i="97"/>
  <c r="C263" i="97"/>
  <c r="C271" i="97"/>
  <c r="C279" i="97"/>
  <c r="C287" i="97"/>
  <c r="C295" i="97"/>
  <c r="C303" i="97"/>
  <c r="C311" i="97"/>
  <c r="C319" i="97"/>
  <c r="C327" i="97"/>
  <c r="C335" i="97"/>
  <c r="C343" i="97"/>
  <c r="C351" i="97"/>
  <c r="C355" i="97"/>
  <c r="C359" i="97"/>
  <c r="C363" i="97"/>
  <c r="C367" i="97"/>
  <c r="C371" i="97"/>
  <c r="C375" i="97"/>
  <c r="C379" i="97"/>
  <c r="C383" i="97"/>
  <c r="C387" i="97"/>
  <c r="C391" i="97"/>
  <c r="C395" i="97"/>
  <c r="C399" i="97"/>
  <c r="C403" i="97"/>
  <c r="C407" i="97"/>
  <c r="C411" i="97"/>
  <c r="C415" i="97"/>
  <c r="C419" i="97"/>
  <c r="C423" i="97"/>
  <c r="C427" i="97"/>
  <c r="C431" i="97"/>
  <c r="C435" i="97"/>
  <c r="C439" i="97"/>
  <c r="C443" i="97"/>
  <c r="C447" i="97"/>
  <c r="C451" i="97"/>
  <c r="C455" i="97"/>
  <c r="C459" i="97"/>
  <c r="C463" i="97"/>
  <c r="C467" i="97"/>
  <c r="C471" i="97"/>
  <c r="C475" i="97"/>
  <c r="C479" i="97"/>
  <c r="C483" i="97"/>
  <c r="C487" i="97"/>
  <c r="C491" i="97"/>
  <c r="C495" i="97"/>
  <c r="C499" i="97"/>
  <c r="C503" i="97"/>
  <c r="C507" i="97"/>
  <c r="C511" i="97"/>
  <c r="C515" i="97"/>
  <c r="C519" i="97"/>
  <c r="C137" i="97"/>
  <c r="C145" i="97"/>
  <c r="C153" i="97"/>
  <c r="C161" i="97"/>
  <c r="C169" i="97"/>
  <c r="C177" i="97"/>
  <c r="C185" i="97"/>
  <c r="C193" i="97"/>
  <c r="C201" i="97"/>
  <c r="C209" i="97"/>
  <c r="C217" i="97"/>
  <c r="C225" i="97"/>
  <c r="C233" i="97"/>
  <c r="C241" i="97"/>
  <c r="C249" i="97"/>
  <c r="C257" i="97"/>
  <c r="C265" i="97"/>
  <c r="C273" i="97"/>
  <c r="C281" i="97"/>
  <c r="C289" i="97"/>
  <c r="C297" i="97"/>
  <c r="C305" i="97"/>
  <c r="C313" i="97"/>
  <c r="C321" i="97"/>
  <c r="C329" i="97"/>
  <c r="C337" i="97"/>
  <c r="C345" i="97"/>
  <c r="C352" i="97"/>
  <c r="C356" i="97"/>
  <c r="C360" i="97"/>
  <c r="C364" i="97"/>
  <c r="C368" i="97"/>
  <c r="C372" i="97"/>
  <c r="C376" i="97"/>
  <c r="C380" i="97"/>
  <c r="C384" i="97"/>
  <c r="C388" i="97"/>
  <c r="C392" i="97"/>
  <c r="C396" i="97"/>
  <c r="C400" i="97"/>
  <c r="C404" i="97"/>
  <c r="C408" i="97"/>
  <c r="C412" i="97"/>
  <c r="C416" i="97"/>
  <c r="C420" i="97"/>
  <c r="C424" i="97"/>
  <c r="C428" i="97"/>
  <c r="C432" i="97"/>
  <c r="C436" i="97"/>
  <c r="C440" i="97"/>
  <c r="C444" i="97"/>
  <c r="C448" i="97"/>
  <c r="C452" i="97"/>
  <c r="C456" i="97"/>
  <c r="C460" i="97"/>
  <c r="C464" i="97"/>
  <c r="C468" i="97"/>
  <c r="C472" i="97"/>
  <c r="C476" i="97"/>
  <c r="C480" i="97"/>
  <c r="C484" i="97"/>
  <c r="C488" i="97"/>
  <c r="C492" i="97"/>
  <c r="C496" i="97"/>
  <c r="C500" i="97"/>
  <c r="C504" i="97"/>
  <c r="C508" i="97"/>
  <c r="C512" i="97"/>
  <c r="C516" i="97"/>
  <c r="C520" i="97"/>
  <c r="C524" i="97"/>
  <c r="C528" i="97"/>
  <c r="C532" i="97"/>
  <c r="C536" i="97"/>
  <c r="C540" i="97"/>
  <c r="C544" i="97"/>
  <c r="C548" i="97"/>
  <c r="C552" i="97"/>
  <c r="C556" i="97"/>
  <c r="C560" i="97"/>
  <c r="C564" i="97"/>
  <c r="C568" i="97"/>
  <c r="C572" i="97"/>
  <c r="C576" i="97"/>
  <c r="C580" i="97"/>
  <c r="C139" i="97"/>
  <c r="C171" i="97"/>
  <c r="C203" i="97"/>
  <c r="C235" i="97"/>
  <c r="C267" i="97"/>
  <c r="C299" i="97"/>
  <c r="C331" i="97"/>
  <c r="C357" i="97"/>
  <c r="C373" i="97"/>
  <c r="C389" i="97"/>
  <c r="C405" i="97"/>
  <c r="C421" i="97"/>
  <c r="C437" i="97"/>
  <c r="C453" i="97"/>
  <c r="C469" i="97"/>
  <c r="C485" i="97"/>
  <c r="C501" i="97"/>
  <c r="C517" i="97"/>
  <c r="C527" i="97"/>
  <c r="C535" i="97"/>
  <c r="C543" i="97"/>
  <c r="C551" i="97"/>
  <c r="C559" i="97"/>
  <c r="C567" i="97"/>
  <c r="C575" i="97"/>
  <c r="C582" i="97"/>
  <c r="C586" i="97"/>
  <c r="C590" i="97"/>
  <c r="C594" i="97"/>
  <c r="C598" i="97"/>
  <c r="C602" i="97"/>
  <c r="C606" i="97"/>
  <c r="C147" i="97"/>
  <c r="C179" i="97"/>
  <c r="C211" i="97"/>
  <c r="C243" i="97"/>
  <c r="C275" i="97"/>
  <c r="C307" i="97"/>
  <c r="C339" i="97"/>
  <c r="C361" i="97"/>
  <c r="C377" i="97"/>
  <c r="C393" i="97"/>
  <c r="C409" i="97"/>
  <c r="C425" i="97"/>
  <c r="C441" i="97"/>
  <c r="C457" i="97"/>
  <c r="C473" i="97"/>
  <c r="C489" i="97"/>
  <c r="C505" i="97"/>
  <c r="C521" i="97"/>
  <c r="C529" i="97"/>
  <c r="C537" i="97"/>
  <c r="C545" i="97"/>
  <c r="C553" i="97"/>
  <c r="C561" i="97"/>
  <c r="C569" i="97"/>
  <c r="C577" i="97"/>
  <c r="C583" i="97"/>
  <c r="C587" i="97"/>
  <c r="C591" i="97"/>
  <c r="C595" i="97"/>
  <c r="C599" i="97"/>
  <c r="C603" i="97"/>
  <c r="C607" i="97"/>
  <c r="C155" i="97"/>
  <c r="C187" i="97"/>
  <c r="C219" i="97"/>
  <c r="C251" i="97"/>
  <c r="C283" i="97"/>
  <c r="C315" i="97"/>
  <c r="C347" i="97"/>
  <c r="C365" i="97"/>
  <c r="C381" i="97"/>
  <c r="C397" i="97"/>
  <c r="C413" i="97"/>
  <c r="C429" i="97"/>
  <c r="C445" i="97"/>
  <c r="C461" i="97"/>
  <c r="C477" i="97"/>
  <c r="C493" i="97"/>
  <c r="C509" i="97"/>
  <c r="C523" i="97"/>
  <c r="C531" i="97"/>
  <c r="C539" i="97"/>
  <c r="C547" i="97"/>
  <c r="C555" i="97"/>
  <c r="C563" i="97"/>
  <c r="C571" i="97"/>
  <c r="C579" i="97"/>
  <c r="C584" i="97"/>
  <c r="C588" i="97"/>
  <c r="C592" i="97"/>
  <c r="C596" i="97"/>
  <c r="C600" i="97"/>
  <c r="C604" i="97"/>
  <c r="C608" i="97"/>
  <c r="C593" i="97"/>
  <c r="C497" i="97"/>
  <c r="C369" i="97"/>
  <c r="C601" i="97"/>
  <c r="C585" i="97"/>
  <c r="C557" i="97"/>
  <c r="C525" i="97"/>
  <c r="C465" i="97"/>
  <c r="C401" i="97"/>
  <c r="C323" i="97"/>
  <c r="C195" i="97"/>
  <c r="C433" i="97"/>
  <c r="C597" i="97"/>
  <c r="C581" i="97"/>
  <c r="C549" i="97"/>
  <c r="C513" i="97"/>
  <c r="C449" i="97"/>
  <c r="C385" i="97"/>
  <c r="C291" i="97"/>
  <c r="C163" i="97"/>
  <c r="D20" i="97"/>
  <c r="D19" i="97"/>
  <c r="D11" i="97"/>
  <c r="C9" i="97"/>
  <c r="D12" i="97"/>
  <c r="D16" i="97"/>
  <c r="D10" i="97"/>
  <c r="D13" i="97"/>
  <c r="D9" i="97"/>
  <c r="H9" i="97" s="1"/>
  <c r="D15" i="97"/>
  <c r="E9" i="97"/>
  <c r="D18" i="97"/>
  <c r="D14" i="97"/>
  <c r="D17" i="97"/>
  <c r="F234" i="104" l="1"/>
  <c r="F361" i="104"/>
  <c r="F425" i="104"/>
  <c r="F479" i="104"/>
  <c r="F536" i="104"/>
  <c r="F569" i="104"/>
  <c r="F585" i="104"/>
  <c r="F601" i="104"/>
  <c r="F168" i="104"/>
  <c r="F119" i="104"/>
  <c r="F89" i="104"/>
  <c r="F73" i="104"/>
  <c r="F57" i="104"/>
  <c r="F41" i="104"/>
  <c r="F25" i="104"/>
  <c r="F212" i="104"/>
  <c r="E6" i="104"/>
  <c r="J9" i="99" s="1"/>
  <c r="F151" i="104"/>
  <c r="F199" i="104"/>
  <c r="F242" i="104"/>
  <c r="F287" i="104"/>
  <c r="F495" i="104"/>
  <c r="F511" i="104"/>
  <c r="F527" i="104"/>
  <c r="F570" i="104"/>
  <c r="F586" i="104"/>
  <c r="F602" i="104"/>
  <c r="F571" i="104"/>
  <c r="F587" i="104"/>
  <c r="F603" i="104"/>
  <c r="F238" i="104"/>
  <c r="F254" i="104"/>
  <c r="F267" i="104"/>
  <c r="F283" i="104"/>
  <c r="F299" i="104"/>
  <c r="F348" i="104"/>
  <c r="F381" i="104"/>
  <c r="F397" i="104"/>
  <c r="F413" i="104"/>
  <c r="F429" i="104"/>
  <c r="F434" i="104"/>
  <c r="F451" i="104"/>
  <c r="F492" i="104"/>
  <c r="F524" i="104"/>
  <c r="F552" i="104"/>
  <c r="F573" i="104"/>
  <c r="F589" i="104"/>
  <c r="F605" i="104"/>
  <c r="F120" i="103"/>
  <c r="F118" i="103"/>
  <c r="F110" i="103"/>
  <c r="F114" i="103"/>
  <c r="F95" i="103"/>
  <c r="F15" i="103"/>
  <c r="F128" i="103"/>
  <c r="F85" i="103"/>
  <c r="F81" i="103"/>
  <c r="F53" i="103"/>
  <c r="F49" i="103"/>
  <c r="F21" i="103"/>
  <c r="F320" i="103"/>
  <c r="F352" i="103"/>
  <c r="F310" i="103"/>
  <c r="F369" i="103"/>
  <c r="F377" i="103"/>
  <c r="F385" i="103"/>
  <c r="F393" i="103"/>
  <c r="F401" i="103"/>
  <c r="F409" i="103"/>
  <c r="F426" i="103"/>
  <c r="F434" i="103"/>
  <c r="F92" i="103"/>
  <c r="F84" i="103"/>
  <c r="F76" i="103"/>
  <c r="F68" i="103"/>
  <c r="F60" i="103"/>
  <c r="F52" i="103"/>
  <c r="F44" i="103"/>
  <c r="F36" i="103"/>
  <c r="F28" i="103"/>
  <c r="F12" i="103"/>
  <c r="F364" i="103"/>
  <c r="F315" i="104"/>
  <c r="F332" i="104"/>
  <c r="F467" i="104"/>
  <c r="F112" i="104"/>
  <c r="F68" i="104"/>
  <c r="F100" i="104"/>
  <c r="F164" i="104"/>
  <c r="F52" i="104"/>
  <c r="F36" i="104"/>
  <c r="F362" i="104"/>
  <c r="F284" i="104"/>
  <c r="F378" i="104"/>
  <c r="F143" i="104"/>
  <c r="F159" i="104"/>
  <c r="F175" i="104"/>
  <c r="F191" i="104"/>
  <c r="F207" i="104"/>
  <c r="F223" i="104"/>
  <c r="F272" i="104"/>
  <c r="F237" i="104"/>
  <c r="F253" i="104"/>
  <c r="F269" i="104"/>
  <c r="F285" i="104"/>
  <c r="F301" i="104"/>
  <c r="F250" i="104"/>
  <c r="F266" i="104"/>
  <c r="F282" i="104"/>
  <c r="F298" i="104"/>
  <c r="F314" i="104"/>
  <c r="F345" i="104"/>
  <c r="F263" i="104"/>
  <c r="F311" i="104"/>
  <c r="F331" i="104"/>
  <c r="F347" i="104"/>
  <c r="F363" i="104"/>
  <c r="F379" i="104"/>
  <c r="F395" i="104"/>
  <c r="F411" i="104"/>
  <c r="F427" i="104"/>
  <c r="F328" i="104"/>
  <c r="F360" i="104"/>
  <c r="F376" i="104"/>
  <c r="F392" i="104"/>
  <c r="F408" i="104"/>
  <c r="F424" i="104"/>
  <c r="F456" i="104"/>
  <c r="F377" i="104"/>
  <c r="F393" i="104"/>
  <c r="F409" i="104"/>
  <c r="F440" i="104"/>
  <c r="F476" i="104"/>
  <c r="F446" i="104"/>
  <c r="F462" i="104"/>
  <c r="F478" i="104"/>
  <c r="F447" i="104"/>
  <c r="F463" i="104"/>
  <c r="F487" i="104"/>
  <c r="F503" i="104"/>
  <c r="F519" i="104"/>
  <c r="F535" i="104"/>
  <c r="F488" i="104"/>
  <c r="F504" i="104"/>
  <c r="F520" i="104"/>
  <c r="F541" i="104"/>
  <c r="F546" i="104"/>
  <c r="F562" i="104"/>
  <c r="F578" i="104"/>
  <c r="F594" i="104"/>
  <c r="F563" i="104"/>
  <c r="F579" i="104"/>
  <c r="F595" i="104"/>
  <c r="F548" i="104"/>
  <c r="F184" i="104"/>
  <c r="F127" i="104"/>
  <c r="F95" i="104"/>
  <c r="F77" i="104"/>
  <c r="F61" i="104"/>
  <c r="F45" i="104"/>
  <c r="F29" i="104"/>
  <c r="F13" i="104"/>
  <c r="F325" i="104"/>
  <c r="F196" i="104"/>
  <c r="F365" i="104"/>
  <c r="F508" i="104"/>
  <c r="F540" i="104"/>
  <c r="H9" i="104"/>
  <c r="H10" i="104" s="1"/>
  <c r="H11" i="104" s="1"/>
  <c r="H12" i="104" s="1"/>
  <c r="H13" i="104" s="1"/>
  <c r="H14" i="104" s="1"/>
  <c r="H15" i="104" s="1"/>
  <c r="H16" i="104" s="1"/>
  <c r="H17" i="104" s="1"/>
  <c r="H18" i="104" s="1"/>
  <c r="H19" i="104" s="1"/>
  <c r="H20" i="104" s="1"/>
  <c r="H21" i="104" s="1"/>
  <c r="H22" i="104" s="1"/>
  <c r="H23" i="104" s="1"/>
  <c r="H24" i="104" s="1"/>
  <c r="H25" i="104" s="1"/>
  <c r="H26" i="104" s="1"/>
  <c r="H27" i="104" s="1"/>
  <c r="H28" i="104" s="1"/>
  <c r="H29" i="104" s="1"/>
  <c r="H30" i="104" s="1"/>
  <c r="H31" i="104" s="1"/>
  <c r="H32" i="104" s="1"/>
  <c r="H33" i="104" s="1"/>
  <c r="H34" i="104" s="1"/>
  <c r="H35" i="104" s="1"/>
  <c r="H36" i="104" s="1"/>
  <c r="H37" i="104" s="1"/>
  <c r="H38" i="104" s="1"/>
  <c r="H39" i="104" s="1"/>
  <c r="H40" i="104" s="1"/>
  <c r="H41" i="104" s="1"/>
  <c r="H42" i="104" s="1"/>
  <c r="H43" i="104" s="1"/>
  <c r="H44" i="104" s="1"/>
  <c r="H45" i="104" s="1"/>
  <c r="H46" i="104" s="1"/>
  <c r="H47" i="104" s="1"/>
  <c r="H48" i="104" s="1"/>
  <c r="H49" i="104" s="1"/>
  <c r="H50" i="104" s="1"/>
  <c r="H51" i="104" s="1"/>
  <c r="H52" i="104" s="1"/>
  <c r="H53" i="104" s="1"/>
  <c r="H54" i="104" s="1"/>
  <c r="H55" i="104" s="1"/>
  <c r="H56" i="104" s="1"/>
  <c r="H57" i="104" s="1"/>
  <c r="H58" i="104" s="1"/>
  <c r="H59" i="104" s="1"/>
  <c r="H60" i="104" s="1"/>
  <c r="H61" i="104" s="1"/>
  <c r="H62" i="104" s="1"/>
  <c r="H63" i="104" s="1"/>
  <c r="H64" i="104" s="1"/>
  <c r="H65" i="104" s="1"/>
  <c r="H66" i="104" s="1"/>
  <c r="H67" i="104" s="1"/>
  <c r="H68" i="104" s="1"/>
  <c r="H69" i="104" s="1"/>
  <c r="H70" i="104" s="1"/>
  <c r="H71" i="104" s="1"/>
  <c r="H72" i="104" s="1"/>
  <c r="H73" i="104" s="1"/>
  <c r="H74" i="104" s="1"/>
  <c r="H75" i="104" s="1"/>
  <c r="H76" i="104" s="1"/>
  <c r="H77" i="104" s="1"/>
  <c r="H78" i="104" s="1"/>
  <c r="H79" i="104" s="1"/>
  <c r="H80" i="104" s="1"/>
  <c r="H81" i="104" s="1"/>
  <c r="H82" i="104" s="1"/>
  <c r="H83" i="104" s="1"/>
  <c r="H84" i="104" s="1"/>
  <c r="H85" i="104" s="1"/>
  <c r="H86" i="104" s="1"/>
  <c r="H87" i="104" s="1"/>
  <c r="H88" i="104" s="1"/>
  <c r="H89" i="104" s="1"/>
  <c r="H90" i="104" s="1"/>
  <c r="H91" i="104" s="1"/>
  <c r="H92" i="104" s="1"/>
  <c r="H93" i="104" s="1"/>
  <c r="H94" i="104" s="1"/>
  <c r="H95" i="104" s="1"/>
  <c r="H96" i="104" s="1"/>
  <c r="H97" i="104" s="1"/>
  <c r="H98" i="104" s="1"/>
  <c r="H99" i="104" s="1"/>
  <c r="H100" i="104" s="1"/>
  <c r="H101" i="104" s="1"/>
  <c r="H102" i="104" s="1"/>
  <c r="H103" i="104" s="1"/>
  <c r="H104" i="104" s="1"/>
  <c r="H105" i="104" s="1"/>
  <c r="H106" i="104" s="1"/>
  <c r="H107" i="104" s="1"/>
  <c r="H108" i="104" s="1"/>
  <c r="H109" i="104" s="1"/>
  <c r="H110" i="104" s="1"/>
  <c r="H111" i="104" s="1"/>
  <c r="H112" i="104" s="1"/>
  <c r="H113" i="104" s="1"/>
  <c r="H114" i="104" s="1"/>
  <c r="H115" i="104" s="1"/>
  <c r="H116" i="104" s="1"/>
  <c r="H117" i="104" s="1"/>
  <c r="H118" i="104" s="1"/>
  <c r="H119" i="104" s="1"/>
  <c r="H120" i="104" s="1"/>
  <c r="H121" i="104" s="1"/>
  <c r="H122" i="104" s="1"/>
  <c r="H123" i="104" s="1"/>
  <c r="H124" i="104" s="1"/>
  <c r="H125" i="104" s="1"/>
  <c r="H126" i="104" s="1"/>
  <c r="H127" i="104" s="1"/>
  <c r="H128" i="104" s="1"/>
  <c r="H129" i="104" s="1"/>
  <c r="H130" i="104" s="1"/>
  <c r="H131" i="104" s="1"/>
  <c r="H132" i="104" s="1"/>
  <c r="H133" i="104" s="1"/>
  <c r="H134" i="104" s="1"/>
  <c r="H135" i="104" s="1"/>
  <c r="H136" i="104" s="1"/>
  <c r="H137" i="104" s="1"/>
  <c r="H138" i="104" s="1"/>
  <c r="H139" i="104" s="1"/>
  <c r="H140" i="104" s="1"/>
  <c r="H141" i="104" s="1"/>
  <c r="H142" i="104" s="1"/>
  <c r="H143" i="104" s="1"/>
  <c r="H144" i="104" s="1"/>
  <c r="H145" i="104" s="1"/>
  <c r="H146" i="104" s="1"/>
  <c r="H147" i="104" s="1"/>
  <c r="H148" i="104" s="1"/>
  <c r="H149" i="104" s="1"/>
  <c r="H150" i="104" s="1"/>
  <c r="H151" i="104" s="1"/>
  <c r="H152" i="104" s="1"/>
  <c r="H153" i="104" s="1"/>
  <c r="H154" i="104" s="1"/>
  <c r="H155" i="104" s="1"/>
  <c r="H156" i="104" s="1"/>
  <c r="H157" i="104" s="1"/>
  <c r="H158" i="104" s="1"/>
  <c r="H159" i="104" s="1"/>
  <c r="H160" i="104" s="1"/>
  <c r="H161" i="104" s="1"/>
  <c r="H162" i="104" s="1"/>
  <c r="H163" i="104" s="1"/>
  <c r="H164" i="104" s="1"/>
  <c r="H165" i="104" s="1"/>
  <c r="H166" i="104" s="1"/>
  <c r="H167" i="104" s="1"/>
  <c r="H168" i="104" s="1"/>
  <c r="H169" i="104" s="1"/>
  <c r="H170" i="104" s="1"/>
  <c r="H171" i="104" s="1"/>
  <c r="H172" i="104" s="1"/>
  <c r="H173" i="104" s="1"/>
  <c r="H174" i="104" s="1"/>
  <c r="H175" i="104" s="1"/>
  <c r="H176" i="104" s="1"/>
  <c r="H177" i="104" s="1"/>
  <c r="H178" i="104" s="1"/>
  <c r="H179" i="104" s="1"/>
  <c r="H180" i="104" s="1"/>
  <c r="H181" i="104" s="1"/>
  <c r="H182" i="104" s="1"/>
  <c r="H183" i="104" s="1"/>
  <c r="H184" i="104" s="1"/>
  <c r="H185" i="104" s="1"/>
  <c r="H186" i="104" s="1"/>
  <c r="H187" i="104" s="1"/>
  <c r="H188" i="104" s="1"/>
  <c r="H189" i="104" s="1"/>
  <c r="H190" i="104" s="1"/>
  <c r="H191" i="104" s="1"/>
  <c r="H192" i="104" s="1"/>
  <c r="H193" i="104" s="1"/>
  <c r="H194" i="104" s="1"/>
  <c r="H195" i="104" s="1"/>
  <c r="H196" i="104" s="1"/>
  <c r="H197" i="104" s="1"/>
  <c r="H198" i="104" s="1"/>
  <c r="H199" i="104" s="1"/>
  <c r="H200" i="104" s="1"/>
  <c r="H201" i="104" s="1"/>
  <c r="H202" i="104" s="1"/>
  <c r="H203" i="104" s="1"/>
  <c r="H204" i="104" s="1"/>
  <c r="H205" i="104" s="1"/>
  <c r="H206" i="104" s="1"/>
  <c r="H207" i="104" s="1"/>
  <c r="H208" i="104" s="1"/>
  <c r="H209" i="104" s="1"/>
  <c r="H210" i="104" s="1"/>
  <c r="H211" i="104" s="1"/>
  <c r="H212" i="104" s="1"/>
  <c r="H213" i="104" s="1"/>
  <c r="H214" i="104" s="1"/>
  <c r="H215" i="104" s="1"/>
  <c r="H216" i="104" s="1"/>
  <c r="H217" i="104" s="1"/>
  <c r="H218" i="104" s="1"/>
  <c r="H219" i="104" s="1"/>
  <c r="H220" i="104" s="1"/>
  <c r="H221" i="104" s="1"/>
  <c r="H222" i="104" s="1"/>
  <c r="H223" i="104" s="1"/>
  <c r="H224" i="104" s="1"/>
  <c r="H225" i="104" s="1"/>
  <c r="H226" i="104" s="1"/>
  <c r="H227" i="104" s="1"/>
  <c r="H228" i="104" s="1"/>
  <c r="H229" i="104" s="1"/>
  <c r="H230" i="104" s="1"/>
  <c r="H231" i="104" s="1"/>
  <c r="H232" i="104" s="1"/>
  <c r="H233" i="104" s="1"/>
  <c r="H234" i="104" s="1"/>
  <c r="H235" i="104" s="1"/>
  <c r="H236" i="104" s="1"/>
  <c r="H237" i="104" s="1"/>
  <c r="H238" i="104" s="1"/>
  <c r="H239" i="104" s="1"/>
  <c r="H240" i="104" s="1"/>
  <c r="H241" i="104" s="1"/>
  <c r="H242" i="104" s="1"/>
  <c r="H243" i="104" s="1"/>
  <c r="H244" i="104" s="1"/>
  <c r="H245" i="104" s="1"/>
  <c r="H246" i="104" s="1"/>
  <c r="H247" i="104" s="1"/>
  <c r="H248" i="104" s="1"/>
  <c r="H249" i="104" s="1"/>
  <c r="H250" i="104" s="1"/>
  <c r="H251" i="104" s="1"/>
  <c r="H252" i="104" s="1"/>
  <c r="H253" i="104" s="1"/>
  <c r="H254" i="104" s="1"/>
  <c r="H255" i="104" s="1"/>
  <c r="H256" i="104" s="1"/>
  <c r="H257" i="104" s="1"/>
  <c r="H258" i="104" s="1"/>
  <c r="H259" i="104" s="1"/>
  <c r="H260" i="104" s="1"/>
  <c r="H261" i="104" s="1"/>
  <c r="H262" i="104" s="1"/>
  <c r="H263" i="104" s="1"/>
  <c r="H264" i="104" s="1"/>
  <c r="H265" i="104" s="1"/>
  <c r="H266" i="104" s="1"/>
  <c r="H267" i="104" s="1"/>
  <c r="H268" i="104" s="1"/>
  <c r="H269" i="104" s="1"/>
  <c r="H270" i="104" s="1"/>
  <c r="H271" i="104" s="1"/>
  <c r="H272" i="104" s="1"/>
  <c r="H273" i="104" s="1"/>
  <c r="H274" i="104" s="1"/>
  <c r="H275" i="104" s="1"/>
  <c r="H276" i="104" s="1"/>
  <c r="H277" i="104" s="1"/>
  <c r="H278" i="104" s="1"/>
  <c r="H279" i="104" s="1"/>
  <c r="H280" i="104" s="1"/>
  <c r="H281" i="104" s="1"/>
  <c r="H282" i="104" s="1"/>
  <c r="H283" i="104" s="1"/>
  <c r="H284" i="104" s="1"/>
  <c r="H285" i="104" s="1"/>
  <c r="H286" i="104" s="1"/>
  <c r="H287" i="104" s="1"/>
  <c r="H288" i="104" s="1"/>
  <c r="H289" i="104" s="1"/>
  <c r="H290" i="104" s="1"/>
  <c r="H291" i="104" s="1"/>
  <c r="H292" i="104" s="1"/>
  <c r="H293" i="104" s="1"/>
  <c r="H294" i="104" s="1"/>
  <c r="H295" i="104" s="1"/>
  <c r="H296" i="104" s="1"/>
  <c r="H297" i="104" s="1"/>
  <c r="H298" i="104" s="1"/>
  <c r="H299" i="104" s="1"/>
  <c r="H300" i="104" s="1"/>
  <c r="H301" i="104" s="1"/>
  <c r="H302" i="104" s="1"/>
  <c r="H303" i="104" s="1"/>
  <c r="H304" i="104" s="1"/>
  <c r="H305" i="104" s="1"/>
  <c r="H306" i="104" s="1"/>
  <c r="H307" i="104" s="1"/>
  <c r="H308" i="104" s="1"/>
  <c r="H309" i="104" s="1"/>
  <c r="H310" i="104" s="1"/>
  <c r="H311" i="104" s="1"/>
  <c r="H312" i="104" s="1"/>
  <c r="H313" i="104" s="1"/>
  <c r="H314" i="104" s="1"/>
  <c r="H315" i="104" s="1"/>
  <c r="H316" i="104" s="1"/>
  <c r="H317" i="104" s="1"/>
  <c r="H318" i="104" s="1"/>
  <c r="H319" i="104" s="1"/>
  <c r="H320" i="104" s="1"/>
  <c r="H321" i="104" s="1"/>
  <c r="H322" i="104" s="1"/>
  <c r="H323" i="104" s="1"/>
  <c r="H324" i="104" s="1"/>
  <c r="H325" i="104" s="1"/>
  <c r="H326" i="104" s="1"/>
  <c r="H327" i="104" s="1"/>
  <c r="H328" i="104" s="1"/>
  <c r="H329" i="104" s="1"/>
  <c r="H330" i="104" s="1"/>
  <c r="H331" i="104" s="1"/>
  <c r="H332" i="104" s="1"/>
  <c r="H333" i="104" s="1"/>
  <c r="H334" i="104" s="1"/>
  <c r="H335" i="104" s="1"/>
  <c r="H336" i="104" s="1"/>
  <c r="H337" i="104" s="1"/>
  <c r="H338" i="104" s="1"/>
  <c r="H339" i="104" s="1"/>
  <c r="H340" i="104" s="1"/>
  <c r="H341" i="104" s="1"/>
  <c r="H342" i="104" s="1"/>
  <c r="H343" i="104" s="1"/>
  <c r="H344" i="104" s="1"/>
  <c r="H345" i="104" s="1"/>
  <c r="H346" i="104" s="1"/>
  <c r="H347" i="104" s="1"/>
  <c r="H348" i="104" s="1"/>
  <c r="H349" i="104" s="1"/>
  <c r="H350" i="104" s="1"/>
  <c r="H351" i="104" s="1"/>
  <c r="H352" i="104" s="1"/>
  <c r="H353" i="104" s="1"/>
  <c r="H354" i="104" s="1"/>
  <c r="H355" i="104" s="1"/>
  <c r="H356" i="104" s="1"/>
  <c r="H357" i="104" s="1"/>
  <c r="H358" i="104" s="1"/>
  <c r="H359" i="104" s="1"/>
  <c r="H360" i="104" s="1"/>
  <c r="H361" i="104" s="1"/>
  <c r="H362" i="104" s="1"/>
  <c r="H363" i="104" s="1"/>
  <c r="H364" i="104" s="1"/>
  <c r="H365" i="104" s="1"/>
  <c r="H366" i="104" s="1"/>
  <c r="H367" i="104" s="1"/>
  <c r="H368" i="104" s="1"/>
  <c r="H369" i="104" s="1"/>
  <c r="H370" i="104" s="1"/>
  <c r="H371" i="104" s="1"/>
  <c r="H372" i="104" s="1"/>
  <c r="H373" i="104" s="1"/>
  <c r="H374" i="104" s="1"/>
  <c r="H375" i="104" s="1"/>
  <c r="H376" i="104" s="1"/>
  <c r="H377" i="104" s="1"/>
  <c r="H378" i="104" s="1"/>
  <c r="H379" i="104" s="1"/>
  <c r="H380" i="104" s="1"/>
  <c r="H381" i="104" s="1"/>
  <c r="H382" i="104" s="1"/>
  <c r="H383" i="104" s="1"/>
  <c r="H384" i="104" s="1"/>
  <c r="H385" i="104" s="1"/>
  <c r="H386" i="104" s="1"/>
  <c r="H387" i="104" s="1"/>
  <c r="H388" i="104" s="1"/>
  <c r="H389" i="104" s="1"/>
  <c r="H390" i="104" s="1"/>
  <c r="H391" i="104" s="1"/>
  <c r="H392" i="104" s="1"/>
  <c r="H393" i="104" s="1"/>
  <c r="H394" i="104" s="1"/>
  <c r="H395" i="104" s="1"/>
  <c r="H396" i="104" s="1"/>
  <c r="H397" i="104" s="1"/>
  <c r="H398" i="104" s="1"/>
  <c r="H399" i="104" s="1"/>
  <c r="H400" i="104" s="1"/>
  <c r="H401" i="104" s="1"/>
  <c r="H402" i="104" s="1"/>
  <c r="H403" i="104" s="1"/>
  <c r="H404" i="104" s="1"/>
  <c r="H405" i="104" s="1"/>
  <c r="H406" i="104" s="1"/>
  <c r="H407" i="104" s="1"/>
  <c r="H408" i="104" s="1"/>
  <c r="H409" i="104" s="1"/>
  <c r="H410" i="104" s="1"/>
  <c r="H411" i="104" s="1"/>
  <c r="H412" i="104" s="1"/>
  <c r="H413" i="104" s="1"/>
  <c r="H414" i="104" s="1"/>
  <c r="H415" i="104" s="1"/>
  <c r="H416" i="104" s="1"/>
  <c r="H417" i="104" s="1"/>
  <c r="H418" i="104" s="1"/>
  <c r="H419" i="104" s="1"/>
  <c r="H420" i="104" s="1"/>
  <c r="H421" i="104" s="1"/>
  <c r="H422" i="104" s="1"/>
  <c r="H423" i="104" s="1"/>
  <c r="H424" i="104" s="1"/>
  <c r="H425" i="104" s="1"/>
  <c r="H426" i="104" s="1"/>
  <c r="H427" i="104" s="1"/>
  <c r="H428" i="104" s="1"/>
  <c r="H429" i="104" s="1"/>
  <c r="H430" i="104" s="1"/>
  <c r="H431" i="104" s="1"/>
  <c r="H432" i="104" s="1"/>
  <c r="H433" i="104" s="1"/>
  <c r="H434" i="104" s="1"/>
  <c r="H435" i="104" s="1"/>
  <c r="H436" i="104" s="1"/>
  <c r="H437" i="104" s="1"/>
  <c r="H438" i="104" s="1"/>
  <c r="H439" i="104" s="1"/>
  <c r="H440" i="104" s="1"/>
  <c r="H441" i="104" s="1"/>
  <c r="H442" i="104" s="1"/>
  <c r="H443" i="104" s="1"/>
  <c r="H444" i="104" s="1"/>
  <c r="H445" i="104" s="1"/>
  <c r="H446" i="104" s="1"/>
  <c r="H447" i="104" s="1"/>
  <c r="H448" i="104" s="1"/>
  <c r="H449" i="104" s="1"/>
  <c r="H450" i="104" s="1"/>
  <c r="H451" i="104" s="1"/>
  <c r="H452" i="104" s="1"/>
  <c r="H453" i="104" s="1"/>
  <c r="H454" i="104" s="1"/>
  <c r="H455" i="104" s="1"/>
  <c r="H456" i="104" s="1"/>
  <c r="H457" i="104" s="1"/>
  <c r="H458" i="104" s="1"/>
  <c r="H459" i="104" s="1"/>
  <c r="H460" i="104" s="1"/>
  <c r="H461" i="104" s="1"/>
  <c r="H462" i="104" s="1"/>
  <c r="H463" i="104" s="1"/>
  <c r="H464" i="104" s="1"/>
  <c r="H465" i="104" s="1"/>
  <c r="H466" i="104" s="1"/>
  <c r="H467" i="104" s="1"/>
  <c r="H468" i="104" s="1"/>
  <c r="H469" i="104" s="1"/>
  <c r="H470" i="104" s="1"/>
  <c r="H471" i="104" s="1"/>
  <c r="H472" i="104" s="1"/>
  <c r="H473" i="104" s="1"/>
  <c r="H474" i="104" s="1"/>
  <c r="H475" i="104" s="1"/>
  <c r="H476" i="104" s="1"/>
  <c r="H477" i="104" s="1"/>
  <c r="H478" i="104" s="1"/>
  <c r="H479" i="104" s="1"/>
  <c r="H480" i="104" s="1"/>
  <c r="H481" i="104" s="1"/>
  <c r="H482" i="104" s="1"/>
  <c r="H483" i="104" s="1"/>
  <c r="H484" i="104" s="1"/>
  <c r="H485" i="104" s="1"/>
  <c r="H486" i="104" s="1"/>
  <c r="H487" i="104" s="1"/>
  <c r="H488" i="104" s="1"/>
  <c r="H489" i="104" s="1"/>
  <c r="H490" i="104" s="1"/>
  <c r="H491" i="104" s="1"/>
  <c r="H492" i="104" s="1"/>
  <c r="H493" i="104" s="1"/>
  <c r="H494" i="104" s="1"/>
  <c r="H495" i="104" s="1"/>
  <c r="H496" i="104" s="1"/>
  <c r="H497" i="104" s="1"/>
  <c r="H498" i="104" s="1"/>
  <c r="H499" i="104" s="1"/>
  <c r="H500" i="104" s="1"/>
  <c r="H501" i="104" s="1"/>
  <c r="H502" i="104" s="1"/>
  <c r="H503" i="104" s="1"/>
  <c r="H504" i="104" s="1"/>
  <c r="H505" i="104" s="1"/>
  <c r="H506" i="104" s="1"/>
  <c r="H507" i="104" s="1"/>
  <c r="H508" i="104" s="1"/>
  <c r="H509" i="104" s="1"/>
  <c r="H510" i="104" s="1"/>
  <c r="H511" i="104" s="1"/>
  <c r="H512" i="104" s="1"/>
  <c r="H513" i="104" s="1"/>
  <c r="H514" i="104" s="1"/>
  <c r="H515" i="104" s="1"/>
  <c r="H516" i="104" s="1"/>
  <c r="H517" i="104" s="1"/>
  <c r="H518" i="104" s="1"/>
  <c r="H519" i="104" s="1"/>
  <c r="H520" i="104" s="1"/>
  <c r="H521" i="104" s="1"/>
  <c r="H522" i="104" s="1"/>
  <c r="H523" i="104" s="1"/>
  <c r="H524" i="104" s="1"/>
  <c r="H525" i="104" s="1"/>
  <c r="H526" i="104" s="1"/>
  <c r="H527" i="104" s="1"/>
  <c r="H528" i="104" s="1"/>
  <c r="H529" i="104" s="1"/>
  <c r="H530" i="104" s="1"/>
  <c r="H531" i="104" s="1"/>
  <c r="H532" i="104" s="1"/>
  <c r="H533" i="104" s="1"/>
  <c r="H534" i="104" s="1"/>
  <c r="H535" i="104" s="1"/>
  <c r="H536" i="104" s="1"/>
  <c r="H537" i="104" s="1"/>
  <c r="H538" i="104" s="1"/>
  <c r="H539" i="104" s="1"/>
  <c r="H540" i="104" s="1"/>
  <c r="H541" i="104" s="1"/>
  <c r="H542" i="104" s="1"/>
  <c r="H543" i="104" s="1"/>
  <c r="H544" i="104" s="1"/>
  <c r="H545" i="104" s="1"/>
  <c r="H546" i="104" s="1"/>
  <c r="H547" i="104" s="1"/>
  <c r="H548" i="104" s="1"/>
  <c r="H549" i="104" s="1"/>
  <c r="H550" i="104" s="1"/>
  <c r="H551" i="104" s="1"/>
  <c r="H552" i="104" s="1"/>
  <c r="H553" i="104" s="1"/>
  <c r="H554" i="104" s="1"/>
  <c r="H555" i="104" s="1"/>
  <c r="H556" i="104" s="1"/>
  <c r="H557" i="104" s="1"/>
  <c r="H558" i="104" s="1"/>
  <c r="H559" i="104" s="1"/>
  <c r="H560" i="104" s="1"/>
  <c r="H561" i="104" s="1"/>
  <c r="H562" i="104" s="1"/>
  <c r="H563" i="104" s="1"/>
  <c r="H564" i="104" s="1"/>
  <c r="H565" i="104" s="1"/>
  <c r="H566" i="104" s="1"/>
  <c r="H567" i="104" s="1"/>
  <c r="H568" i="104" s="1"/>
  <c r="H569" i="104" s="1"/>
  <c r="H570" i="104" s="1"/>
  <c r="H571" i="104" s="1"/>
  <c r="H572" i="104" s="1"/>
  <c r="H573" i="104" s="1"/>
  <c r="H574" i="104" s="1"/>
  <c r="H575" i="104" s="1"/>
  <c r="H576" i="104" s="1"/>
  <c r="H577" i="104" s="1"/>
  <c r="H578" i="104" s="1"/>
  <c r="H579" i="104" s="1"/>
  <c r="H580" i="104" s="1"/>
  <c r="H581" i="104" s="1"/>
  <c r="H582" i="104" s="1"/>
  <c r="H583" i="104" s="1"/>
  <c r="H584" i="104" s="1"/>
  <c r="H585" i="104" s="1"/>
  <c r="H586" i="104" s="1"/>
  <c r="H587" i="104" s="1"/>
  <c r="H588" i="104" s="1"/>
  <c r="H589" i="104" s="1"/>
  <c r="H590" i="104" s="1"/>
  <c r="H591" i="104" s="1"/>
  <c r="H592" i="104" s="1"/>
  <c r="H593" i="104" s="1"/>
  <c r="H594" i="104" s="1"/>
  <c r="H595" i="104" s="1"/>
  <c r="H596" i="104" s="1"/>
  <c r="H597" i="104" s="1"/>
  <c r="H598" i="104" s="1"/>
  <c r="H599" i="104" s="1"/>
  <c r="H600" i="104" s="1"/>
  <c r="H601" i="104" s="1"/>
  <c r="H602" i="104" s="1"/>
  <c r="H603" i="104" s="1"/>
  <c r="H604" i="104" s="1"/>
  <c r="H605" i="104" s="1"/>
  <c r="H606" i="104" s="1"/>
  <c r="H607" i="104" s="1"/>
  <c r="H608" i="104" s="1"/>
  <c r="F9" i="104"/>
  <c r="F128" i="104"/>
  <c r="F96" i="104"/>
  <c r="G9" i="104"/>
  <c r="G10" i="104" s="1"/>
  <c r="G11" i="104" s="1"/>
  <c r="G12" i="104" s="1"/>
  <c r="G13" i="104" s="1"/>
  <c r="G14" i="104" s="1"/>
  <c r="G15" i="104" s="1"/>
  <c r="G16" i="104" s="1"/>
  <c r="G17" i="104" s="1"/>
  <c r="G18" i="104" s="1"/>
  <c r="G19" i="104" s="1"/>
  <c r="G20" i="104" s="1"/>
  <c r="G21" i="104" s="1"/>
  <c r="G22" i="104" s="1"/>
  <c r="G23" i="104" s="1"/>
  <c r="G24" i="104" s="1"/>
  <c r="G25" i="104" s="1"/>
  <c r="G26" i="104" s="1"/>
  <c r="G27" i="104" s="1"/>
  <c r="G28" i="104" s="1"/>
  <c r="G29" i="104" s="1"/>
  <c r="G30" i="104" s="1"/>
  <c r="G31" i="104" s="1"/>
  <c r="G32" i="104" s="1"/>
  <c r="G33" i="104" s="1"/>
  <c r="G34" i="104" s="1"/>
  <c r="G35" i="104" s="1"/>
  <c r="G36" i="104" s="1"/>
  <c r="G37" i="104" s="1"/>
  <c r="G38" i="104" s="1"/>
  <c r="G39" i="104" s="1"/>
  <c r="G40" i="104" s="1"/>
  <c r="G41" i="104" s="1"/>
  <c r="G42" i="104" s="1"/>
  <c r="G43" i="104" s="1"/>
  <c r="G44" i="104" s="1"/>
  <c r="G45" i="104" s="1"/>
  <c r="G46" i="104" s="1"/>
  <c r="G47" i="104" s="1"/>
  <c r="G48" i="104" s="1"/>
  <c r="G49" i="104" s="1"/>
  <c r="G50" i="104" s="1"/>
  <c r="G51" i="104" s="1"/>
  <c r="G52" i="104" s="1"/>
  <c r="G53" i="104" s="1"/>
  <c r="G54" i="104" s="1"/>
  <c r="G55" i="104" s="1"/>
  <c r="G56" i="104" s="1"/>
  <c r="G57" i="104" s="1"/>
  <c r="G58" i="104" s="1"/>
  <c r="G59" i="104" s="1"/>
  <c r="G60" i="104" s="1"/>
  <c r="G61" i="104" s="1"/>
  <c r="G62" i="104" s="1"/>
  <c r="G63" i="104" s="1"/>
  <c r="G64" i="104" s="1"/>
  <c r="G65" i="104" s="1"/>
  <c r="G66" i="104" s="1"/>
  <c r="G67" i="104" s="1"/>
  <c r="G68" i="104" s="1"/>
  <c r="G69" i="104" s="1"/>
  <c r="G70" i="104" s="1"/>
  <c r="G71" i="104" s="1"/>
  <c r="G72" i="104" s="1"/>
  <c r="G73" i="104" s="1"/>
  <c r="G74" i="104" s="1"/>
  <c r="G75" i="104" s="1"/>
  <c r="G76" i="104" s="1"/>
  <c r="G77" i="104" s="1"/>
  <c r="G78" i="104" s="1"/>
  <c r="G79" i="104" s="1"/>
  <c r="G80" i="104" s="1"/>
  <c r="G81" i="104" s="1"/>
  <c r="G82" i="104" s="1"/>
  <c r="G83" i="104" s="1"/>
  <c r="G84" i="104" s="1"/>
  <c r="G85" i="104" s="1"/>
  <c r="G86" i="104" s="1"/>
  <c r="G87" i="104" s="1"/>
  <c r="G88" i="104" s="1"/>
  <c r="G89" i="104" s="1"/>
  <c r="G90" i="104" s="1"/>
  <c r="G91" i="104" s="1"/>
  <c r="G92" i="104" s="1"/>
  <c r="G93" i="104" s="1"/>
  <c r="G94" i="104" s="1"/>
  <c r="G95" i="104" s="1"/>
  <c r="G96" i="104" s="1"/>
  <c r="G97" i="104" s="1"/>
  <c r="G98" i="104" s="1"/>
  <c r="G99" i="104" s="1"/>
  <c r="G100" i="104" s="1"/>
  <c r="G101" i="104" s="1"/>
  <c r="G102" i="104" s="1"/>
  <c r="G103" i="104" s="1"/>
  <c r="G104" i="104" s="1"/>
  <c r="G105" i="104" s="1"/>
  <c r="G106" i="104" s="1"/>
  <c r="G107" i="104" s="1"/>
  <c r="G108" i="104" s="1"/>
  <c r="G109" i="104" s="1"/>
  <c r="G110" i="104" s="1"/>
  <c r="G111" i="104" s="1"/>
  <c r="G112" i="104" s="1"/>
  <c r="G113" i="104" s="1"/>
  <c r="G114" i="104" s="1"/>
  <c r="G115" i="104" s="1"/>
  <c r="G116" i="104" s="1"/>
  <c r="G117" i="104" s="1"/>
  <c r="G118" i="104" s="1"/>
  <c r="G119" i="104" s="1"/>
  <c r="G120" i="104" s="1"/>
  <c r="G121" i="104" s="1"/>
  <c r="G122" i="104" s="1"/>
  <c r="G123" i="104" s="1"/>
  <c r="G124" i="104" s="1"/>
  <c r="G125" i="104" s="1"/>
  <c r="G126" i="104" s="1"/>
  <c r="G127" i="104" s="1"/>
  <c r="G128" i="104" s="1"/>
  <c r="G129" i="104" s="1"/>
  <c r="G130" i="104" s="1"/>
  <c r="G131" i="104" s="1"/>
  <c r="G132" i="104" s="1"/>
  <c r="G133" i="104" s="1"/>
  <c r="G134" i="104" s="1"/>
  <c r="G135" i="104" s="1"/>
  <c r="G136" i="104" s="1"/>
  <c r="G137" i="104" s="1"/>
  <c r="G138" i="104" s="1"/>
  <c r="G139" i="104" s="1"/>
  <c r="G140" i="104" s="1"/>
  <c r="G141" i="104" s="1"/>
  <c r="G142" i="104" s="1"/>
  <c r="G143" i="104" s="1"/>
  <c r="G144" i="104" s="1"/>
  <c r="G145" i="104" s="1"/>
  <c r="G146" i="104" s="1"/>
  <c r="G147" i="104" s="1"/>
  <c r="G148" i="104" s="1"/>
  <c r="G149" i="104" s="1"/>
  <c r="G150" i="104" s="1"/>
  <c r="G151" i="104" s="1"/>
  <c r="G152" i="104" s="1"/>
  <c r="F172" i="104"/>
  <c r="F108" i="104"/>
  <c r="F264" i="104"/>
  <c r="F333" i="104"/>
  <c r="F98" i="104"/>
  <c r="F130" i="104"/>
  <c r="F146" i="104"/>
  <c r="F162" i="104"/>
  <c r="F178" i="104"/>
  <c r="F194" i="104"/>
  <c r="F210" i="104"/>
  <c r="F240" i="104"/>
  <c r="F268" i="104"/>
  <c r="F187" i="104"/>
  <c r="F394" i="104"/>
  <c r="F233" i="104"/>
  <c r="F249" i="104"/>
  <c r="F265" i="104"/>
  <c r="F281" i="104"/>
  <c r="F297" i="104"/>
  <c r="F313" i="104"/>
  <c r="F330" i="104"/>
  <c r="F414" i="104"/>
  <c r="F230" i="104"/>
  <c r="F246" i="104"/>
  <c r="F262" i="104"/>
  <c r="F278" i="104"/>
  <c r="F294" i="104"/>
  <c r="F310" i="104"/>
  <c r="F337" i="104"/>
  <c r="F259" i="104"/>
  <c r="F275" i="104"/>
  <c r="F291" i="104"/>
  <c r="F307" i="104"/>
  <c r="F318" i="104"/>
  <c r="F350" i="104"/>
  <c r="F406" i="104"/>
  <c r="F521" i="104"/>
  <c r="F327" i="104"/>
  <c r="F343" i="104"/>
  <c r="F359" i="104"/>
  <c r="F375" i="104"/>
  <c r="F391" i="104"/>
  <c r="F407" i="104"/>
  <c r="F423" i="104"/>
  <c r="F444" i="104"/>
  <c r="F324" i="104"/>
  <c r="F340" i="104"/>
  <c r="F356" i="104"/>
  <c r="F372" i="104"/>
  <c r="F388" i="104"/>
  <c r="F404" i="104"/>
  <c r="F420" i="104"/>
  <c r="F489" i="104"/>
  <c r="F357" i="104"/>
  <c r="F373" i="104"/>
  <c r="F389" i="104"/>
  <c r="F405" i="104"/>
  <c r="F421" i="104"/>
  <c r="F460" i="104"/>
  <c r="F509" i="104"/>
  <c r="F442" i="104"/>
  <c r="F458" i="104"/>
  <c r="F474" i="104"/>
  <c r="F459" i="104"/>
  <c r="F475" i="104"/>
  <c r="F517" i="104"/>
  <c r="F486" i="104"/>
  <c r="F502" i="104"/>
  <c r="F518" i="104"/>
  <c r="F534" i="104"/>
  <c r="F483" i="104"/>
  <c r="F499" i="104"/>
  <c r="F515" i="104"/>
  <c r="F531" i="104"/>
  <c r="F484" i="104"/>
  <c r="F500" i="104"/>
  <c r="F516" i="104"/>
  <c r="F532" i="104"/>
  <c r="F542" i="104"/>
  <c r="F558" i="104"/>
  <c r="F574" i="104"/>
  <c r="F590" i="104"/>
  <c r="F606" i="104"/>
  <c r="F575" i="104"/>
  <c r="F591" i="104"/>
  <c r="F607" i="104"/>
  <c r="F544" i="104"/>
  <c r="F560" i="104"/>
  <c r="F565" i="104"/>
  <c r="F581" i="104"/>
  <c r="F597" i="104"/>
  <c r="F260" i="104"/>
  <c r="F200" i="104"/>
  <c r="F136" i="104"/>
  <c r="F103" i="104"/>
  <c r="F81" i="104"/>
  <c r="F65" i="104"/>
  <c r="F49" i="104"/>
  <c r="F33" i="104"/>
  <c r="F17" i="104"/>
  <c r="F148" i="104"/>
  <c r="F120" i="104"/>
  <c r="F104" i="104"/>
  <c r="F12" i="104"/>
  <c r="F142" i="104"/>
  <c r="F158" i="104"/>
  <c r="F174" i="104"/>
  <c r="F190" i="104"/>
  <c r="F206" i="104"/>
  <c r="F222" i="104"/>
  <c r="F316" i="104"/>
  <c r="F167" i="104"/>
  <c r="F215" i="104"/>
  <c r="F247" i="104"/>
  <c r="F226" i="104"/>
  <c r="F271" i="104"/>
  <c r="F303" i="104"/>
  <c r="F320" i="104"/>
  <c r="F336" i="104"/>
  <c r="F352" i="104"/>
  <c r="F369" i="104"/>
  <c r="F385" i="104"/>
  <c r="F401" i="104"/>
  <c r="F417" i="104"/>
  <c r="F438" i="104"/>
  <c r="F455" i="104"/>
  <c r="F471" i="104"/>
  <c r="F545" i="104"/>
  <c r="F496" i="104"/>
  <c r="F512" i="104"/>
  <c r="F528" i="104"/>
  <c r="F554" i="104"/>
  <c r="F556" i="104"/>
  <c r="F561" i="104"/>
  <c r="F577" i="104"/>
  <c r="F593" i="104"/>
  <c r="F252" i="104"/>
  <c r="F216" i="104"/>
  <c r="F152" i="104"/>
  <c r="F111" i="104"/>
  <c r="F85" i="104"/>
  <c r="F69" i="104"/>
  <c r="F53" i="104"/>
  <c r="F37" i="104"/>
  <c r="F21" i="104"/>
  <c r="F88" i="104"/>
  <c r="F20" i="104"/>
  <c r="F421" i="103"/>
  <c r="F219" i="103"/>
  <c r="F275" i="103"/>
  <c r="F350" i="103"/>
  <c r="F302" i="103"/>
  <c r="F400" i="103"/>
  <c r="F211" i="103"/>
  <c r="F243" i="103"/>
  <c r="F251" i="103"/>
  <c r="F283" i="103"/>
  <c r="F332" i="103"/>
  <c r="F140" i="103"/>
  <c r="F196" i="103"/>
  <c r="F204" i="103"/>
  <c r="F260" i="103"/>
  <c r="F268" i="103"/>
  <c r="F99" i="103"/>
  <c r="F67" i="103"/>
  <c r="F35" i="103"/>
  <c r="F31" i="103"/>
  <c r="F326" i="103"/>
  <c r="F334" i="103"/>
  <c r="F384" i="103"/>
  <c r="F493" i="103"/>
  <c r="F415" i="103"/>
  <c r="F524" i="103"/>
  <c r="F365" i="103"/>
  <c r="F373" i="103"/>
  <c r="F381" i="103"/>
  <c r="F389" i="103"/>
  <c r="F397" i="103"/>
  <c r="F405" i="103"/>
  <c r="F413" i="103"/>
  <c r="F518" i="103"/>
  <c r="F550" i="103"/>
  <c r="F131" i="103"/>
  <c r="F147" i="103"/>
  <c r="F163" i="103"/>
  <c r="F179" i="103"/>
  <c r="F187" i="103"/>
  <c r="F367" i="103"/>
  <c r="F383" i="103"/>
  <c r="F399" i="103"/>
  <c r="F522" i="103"/>
  <c r="F318" i="103"/>
  <c r="F111" i="103"/>
  <c r="F205" i="103"/>
  <c r="F213" i="103"/>
  <c r="F221" i="103"/>
  <c r="F229" i="103"/>
  <c r="F237" i="103"/>
  <c r="F245" i="103"/>
  <c r="F253" i="103"/>
  <c r="F261" i="103"/>
  <c r="F269" i="103"/>
  <c r="F277" i="103"/>
  <c r="F285" i="103"/>
  <c r="F372" i="103"/>
  <c r="F304" i="103"/>
  <c r="F336" i="103"/>
  <c r="F429" i="103"/>
  <c r="F301" i="103"/>
  <c r="F309" i="103"/>
  <c r="F317" i="103"/>
  <c r="F325" i="103"/>
  <c r="F333" i="103"/>
  <c r="F341" i="103"/>
  <c r="F349" i="103"/>
  <c r="F357" i="103"/>
  <c r="F374" i="103"/>
  <c r="F390" i="103"/>
  <c r="F406" i="103"/>
  <c r="F433" i="103"/>
  <c r="F465" i="103"/>
  <c r="F361" i="103"/>
  <c r="F423" i="103"/>
  <c r="F439" i="103"/>
  <c r="F455" i="103"/>
  <c r="F471" i="103"/>
  <c r="F487" i="103"/>
  <c r="F509" i="103"/>
  <c r="F496" i="103"/>
  <c r="F504" i="103"/>
  <c r="F534" i="103"/>
  <c r="F515" i="103"/>
  <c r="F523" i="103"/>
  <c r="F531" i="103"/>
  <c r="F539" i="103"/>
  <c r="F559" i="103"/>
  <c r="F567" i="103"/>
  <c r="F575" i="103"/>
  <c r="F583" i="103"/>
  <c r="F591" i="103"/>
  <c r="F599" i="103"/>
  <c r="F607" i="103"/>
  <c r="F560" i="103"/>
  <c r="F568" i="103"/>
  <c r="F584" i="103"/>
  <c r="F592" i="103"/>
  <c r="F600" i="103"/>
  <c r="F139" i="103"/>
  <c r="F155" i="103"/>
  <c r="F171" i="103"/>
  <c r="F195" i="103"/>
  <c r="F328" i="103"/>
  <c r="F375" i="103"/>
  <c r="F391" i="103"/>
  <c r="F407" i="103"/>
  <c r="F119" i="103"/>
  <c r="F358" i="103"/>
  <c r="F98" i="103"/>
  <c r="F90" i="103"/>
  <c r="F82" i="103"/>
  <c r="F74" i="103"/>
  <c r="F66" i="103"/>
  <c r="F58" i="103"/>
  <c r="F50" i="103"/>
  <c r="F42" i="103"/>
  <c r="F34" i="103"/>
  <c r="F26" i="103"/>
  <c r="F123" i="103"/>
  <c r="F115" i="103"/>
  <c r="F107" i="103"/>
  <c r="F295" i="103"/>
  <c r="F388" i="103"/>
  <c r="F290" i="103"/>
  <c r="F368" i="103"/>
  <c r="F437" i="103"/>
  <c r="F312" i="103"/>
  <c r="F344" i="103"/>
  <c r="F461" i="103"/>
  <c r="F303" i="103"/>
  <c r="F311" i="103"/>
  <c r="F319" i="103"/>
  <c r="F327" i="103"/>
  <c r="F335" i="103"/>
  <c r="F343" i="103"/>
  <c r="F351" i="103"/>
  <c r="F441" i="103"/>
  <c r="F473" i="103"/>
  <c r="F501" i="103"/>
  <c r="F417" i="103"/>
  <c r="F427" i="103"/>
  <c r="F443" i="103"/>
  <c r="F459" i="103"/>
  <c r="F475" i="103"/>
  <c r="F491" i="103"/>
  <c r="F420" i="103"/>
  <c r="F428" i="103"/>
  <c r="F436" i="103"/>
  <c r="F444" i="103"/>
  <c r="F452" i="103"/>
  <c r="F460" i="103"/>
  <c r="F468" i="103"/>
  <c r="F476" i="103"/>
  <c r="F484" i="103"/>
  <c r="F492" i="103"/>
  <c r="F498" i="103"/>
  <c r="F526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F100" i="103"/>
  <c r="F308" i="103"/>
  <c r="F340" i="103"/>
  <c r="F142" i="103"/>
  <c r="F150" i="103"/>
  <c r="F158" i="103"/>
  <c r="F166" i="103"/>
  <c r="F174" i="103"/>
  <c r="F182" i="103"/>
  <c r="F190" i="103"/>
  <c r="F198" i="103"/>
  <c r="F206" i="103"/>
  <c r="F214" i="103"/>
  <c r="F222" i="103"/>
  <c r="F230" i="103"/>
  <c r="F238" i="103"/>
  <c r="F246" i="103"/>
  <c r="F254" i="103"/>
  <c r="F262" i="103"/>
  <c r="F270" i="103"/>
  <c r="F278" i="103"/>
  <c r="F286" i="103"/>
  <c r="F292" i="103"/>
  <c r="F380" i="103"/>
  <c r="F363" i="103"/>
  <c r="F371" i="103"/>
  <c r="F379" i="103"/>
  <c r="F387" i="103"/>
  <c r="F395" i="103"/>
  <c r="F403" i="103"/>
  <c r="F411" i="103"/>
  <c r="F548" i="103"/>
  <c r="F506" i="103"/>
  <c r="F520" i="103"/>
  <c r="F552" i="103"/>
  <c r="F517" i="103"/>
  <c r="F525" i="103"/>
  <c r="F533" i="103"/>
  <c r="F541" i="103"/>
  <c r="F549" i="103"/>
  <c r="F554" i="103"/>
  <c r="F562" i="103"/>
  <c r="F570" i="103"/>
  <c r="F578" i="103"/>
  <c r="F586" i="103"/>
  <c r="F594" i="103"/>
  <c r="F602" i="103"/>
  <c r="E6" i="103"/>
  <c r="J8" i="99" s="1"/>
  <c r="F362" i="103"/>
  <c r="F528" i="103"/>
  <c r="F576" i="103"/>
  <c r="H28" i="103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H57" i="103" s="1"/>
  <c r="H58" i="103" s="1"/>
  <c r="H59" i="103" s="1"/>
  <c r="H60" i="103" s="1"/>
  <c r="H61" i="103" s="1"/>
  <c r="H62" i="103" s="1"/>
  <c r="H63" i="103" s="1"/>
  <c r="H64" i="103" s="1"/>
  <c r="H65" i="103" s="1"/>
  <c r="H66" i="103" s="1"/>
  <c r="H67" i="103" s="1"/>
  <c r="H68" i="103" s="1"/>
  <c r="H69" i="103" s="1"/>
  <c r="H70" i="103" s="1"/>
  <c r="H71" i="103" s="1"/>
  <c r="H72" i="103" s="1"/>
  <c r="H73" i="103" s="1"/>
  <c r="H74" i="103" s="1"/>
  <c r="H75" i="103" s="1"/>
  <c r="H76" i="103" s="1"/>
  <c r="H77" i="103" s="1"/>
  <c r="H78" i="103" s="1"/>
  <c r="H79" i="103" s="1"/>
  <c r="H80" i="103" s="1"/>
  <c r="H81" i="103" s="1"/>
  <c r="H82" i="103" s="1"/>
  <c r="H83" i="103" s="1"/>
  <c r="H84" i="103" s="1"/>
  <c r="H85" i="103" s="1"/>
  <c r="H86" i="103" s="1"/>
  <c r="H87" i="103" s="1"/>
  <c r="H88" i="103" s="1"/>
  <c r="H89" i="103" s="1"/>
  <c r="H90" i="103" s="1"/>
  <c r="H91" i="103" s="1"/>
  <c r="H92" i="103" s="1"/>
  <c r="H93" i="103" s="1"/>
  <c r="H94" i="103" s="1"/>
  <c r="H95" i="103" s="1"/>
  <c r="H96" i="103" s="1"/>
  <c r="H97" i="103" s="1"/>
  <c r="H98" i="103" s="1"/>
  <c r="H99" i="103" s="1"/>
  <c r="H100" i="103" s="1"/>
  <c r="H101" i="103" s="1"/>
  <c r="H102" i="103" s="1"/>
  <c r="H103" i="103" s="1"/>
  <c r="H104" i="103" s="1"/>
  <c r="H105" i="103" s="1"/>
  <c r="H106" i="103" s="1"/>
  <c r="H107" i="103" s="1"/>
  <c r="H108" i="103" s="1"/>
  <c r="H109" i="103" s="1"/>
  <c r="H110" i="103" s="1"/>
  <c r="H111" i="103" s="1"/>
  <c r="H112" i="103" s="1"/>
  <c r="H113" i="103" s="1"/>
  <c r="H114" i="103" s="1"/>
  <c r="H115" i="103" s="1"/>
  <c r="H116" i="103" s="1"/>
  <c r="H117" i="103" s="1"/>
  <c r="H118" i="103" s="1"/>
  <c r="H119" i="103" s="1"/>
  <c r="H120" i="103" s="1"/>
  <c r="H121" i="103" s="1"/>
  <c r="H122" i="103" s="1"/>
  <c r="H123" i="103" s="1"/>
  <c r="H124" i="103" s="1"/>
  <c r="H125" i="103" s="1"/>
  <c r="H126" i="103" s="1"/>
  <c r="H127" i="103" s="1"/>
  <c r="H128" i="103" s="1"/>
  <c r="H129" i="103" s="1"/>
  <c r="H130" i="103" s="1"/>
  <c r="H131" i="103" s="1"/>
  <c r="H132" i="103" s="1"/>
  <c r="H133" i="103" s="1"/>
  <c r="H134" i="103" s="1"/>
  <c r="H135" i="103" s="1"/>
  <c r="H136" i="103" s="1"/>
  <c r="H137" i="103" s="1"/>
  <c r="H138" i="103" s="1"/>
  <c r="H139" i="103" s="1"/>
  <c r="H140" i="103" s="1"/>
  <c r="H141" i="103" s="1"/>
  <c r="H142" i="103" s="1"/>
  <c r="H143" i="103" s="1"/>
  <c r="H144" i="103" s="1"/>
  <c r="H145" i="103" s="1"/>
  <c r="H146" i="103" s="1"/>
  <c r="H147" i="103" s="1"/>
  <c r="H148" i="103" s="1"/>
  <c r="H149" i="103" s="1"/>
  <c r="H150" i="103" s="1"/>
  <c r="H151" i="103" s="1"/>
  <c r="H152" i="103" s="1"/>
  <c r="H153" i="103" s="1"/>
  <c r="H154" i="103" s="1"/>
  <c r="H155" i="103" s="1"/>
  <c r="H156" i="103" s="1"/>
  <c r="H157" i="103" s="1"/>
  <c r="H158" i="103" s="1"/>
  <c r="H159" i="103" s="1"/>
  <c r="H160" i="103" s="1"/>
  <c r="H161" i="103" s="1"/>
  <c r="H162" i="103" s="1"/>
  <c r="H163" i="103" s="1"/>
  <c r="H164" i="103" s="1"/>
  <c r="H165" i="103" s="1"/>
  <c r="H166" i="103" s="1"/>
  <c r="H167" i="103" s="1"/>
  <c r="H168" i="103" s="1"/>
  <c r="H169" i="103" s="1"/>
  <c r="H170" i="103" s="1"/>
  <c r="H171" i="103" s="1"/>
  <c r="H172" i="103" s="1"/>
  <c r="H173" i="103" s="1"/>
  <c r="H174" i="103" s="1"/>
  <c r="H175" i="103" s="1"/>
  <c r="H176" i="103" s="1"/>
  <c r="H177" i="103" s="1"/>
  <c r="H178" i="103" s="1"/>
  <c r="H179" i="103" s="1"/>
  <c r="H180" i="103" s="1"/>
  <c r="H181" i="103" s="1"/>
  <c r="H182" i="103" s="1"/>
  <c r="H183" i="103" s="1"/>
  <c r="H184" i="103" s="1"/>
  <c r="H185" i="103" s="1"/>
  <c r="H186" i="103" s="1"/>
  <c r="H187" i="103" s="1"/>
  <c r="H188" i="103" s="1"/>
  <c r="H189" i="103" s="1"/>
  <c r="H190" i="103" s="1"/>
  <c r="H191" i="103" s="1"/>
  <c r="H192" i="103" s="1"/>
  <c r="H193" i="103" s="1"/>
  <c r="H194" i="103" s="1"/>
  <c r="H195" i="103" s="1"/>
  <c r="H196" i="103" s="1"/>
  <c r="H197" i="103" s="1"/>
  <c r="H198" i="103" s="1"/>
  <c r="H199" i="103" s="1"/>
  <c r="H200" i="103" s="1"/>
  <c r="H201" i="103" s="1"/>
  <c r="H202" i="103" s="1"/>
  <c r="H203" i="103" s="1"/>
  <c r="H204" i="103" s="1"/>
  <c r="H205" i="103" s="1"/>
  <c r="H206" i="103" s="1"/>
  <c r="H207" i="103" s="1"/>
  <c r="H208" i="103" s="1"/>
  <c r="H209" i="103" s="1"/>
  <c r="H210" i="103" s="1"/>
  <c r="H211" i="103" s="1"/>
  <c r="H212" i="103" s="1"/>
  <c r="H213" i="103" s="1"/>
  <c r="H214" i="103" s="1"/>
  <c r="H215" i="103" s="1"/>
  <c r="H216" i="103" s="1"/>
  <c r="H217" i="103" s="1"/>
  <c r="H218" i="103" s="1"/>
  <c r="H219" i="103" s="1"/>
  <c r="H220" i="103" s="1"/>
  <c r="H221" i="103" s="1"/>
  <c r="H222" i="103" s="1"/>
  <c r="H223" i="103" s="1"/>
  <c r="H224" i="103" s="1"/>
  <c r="H225" i="103" s="1"/>
  <c r="H226" i="103" s="1"/>
  <c r="H227" i="103" s="1"/>
  <c r="H228" i="103" s="1"/>
  <c r="H229" i="103" s="1"/>
  <c r="H230" i="103" s="1"/>
  <c r="H231" i="103" s="1"/>
  <c r="H232" i="103" s="1"/>
  <c r="H233" i="103" s="1"/>
  <c r="H234" i="103" s="1"/>
  <c r="H235" i="103" s="1"/>
  <c r="H236" i="103" s="1"/>
  <c r="H237" i="103" s="1"/>
  <c r="H238" i="103" s="1"/>
  <c r="H239" i="103" s="1"/>
  <c r="H240" i="103" s="1"/>
  <c r="H241" i="103" s="1"/>
  <c r="H242" i="103" s="1"/>
  <c r="H243" i="103" s="1"/>
  <c r="H244" i="103" s="1"/>
  <c r="H245" i="103" s="1"/>
  <c r="H246" i="103" s="1"/>
  <c r="H247" i="103" s="1"/>
  <c r="H248" i="103" s="1"/>
  <c r="H249" i="103" s="1"/>
  <c r="H250" i="103" s="1"/>
  <c r="H251" i="103" s="1"/>
  <c r="H252" i="103" s="1"/>
  <c r="H253" i="103" s="1"/>
  <c r="H254" i="103" s="1"/>
  <c r="H255" i="103" s="1"/>
  <c r="H256" i="103" s="1"/>
  <c r="H257" i="103" s="1"/>
  <c r="H258" i="103" s="1"/>
  <c r="H259" i="103" s="1"/>
  <c r="H260" i="103" s="1"/>
  <c r="H261" i="103" s="1"/>
  <c r="H262" i="103" s="1"/>
  <c r="H263" i="103" s="1"/>
  <c r="H264" i="103" s="1"/>
  <c r="H265" i="103" s="1"/>
  <c r="H266" i="103" s="1"/>
  <c r="H267" i="103" s="1"/>
  <c r="H268" i="103" s="1"/>
  <c r="H269" i="103" s="1"/>
  <c r="H270" i="103" s="1"/>
  <c r="H271" i="103" s="1"/>
  <c r="H272" i="103" s="1"/>
  <c r="H273" i="103" s="1"/>
  <c r="H274" i="103" s="1"/>
  <c r="H275" i="103" s="1"/>
  <c r="H276" i="103" s="1"/>
  <c r="H277" i="103" s="1"/>
  <c r="H278" i="103" s="1"/>
  <c r="H279" i="103" s="1"/>
  <c r="H280" i="103" s="1"/>
  <c r="H281" i="103" s="1"/>
  <c r="H282" i="103" s="1"/>
  <c r="H283" i="103" s="1"/>
  <c r="H284" i="103" s="1"/>
  <c r="H285" i="103" s="1"/>
  <c r="H286" i="103" s="1"/>
  <c r="H287" i="103" s="1"/>
  <c r="H288" i="103" s="1"/>
  <c r="H289" i="103" s="1"/>
  <c r="H290" i="103" s="1"/>
  <c r="H291" i="103" s="1"/>
  <c r="H292" i="103" s="1"/>
  <c r="H293" i="103" s="1"/>
  <c r="H294" i="103" s="1"/>
  <c r="H295" i="103" s="1"/>
  <c r="H296" i="103" s="1"/>
  <c r="H297" i="103" s="1"/>
  <c r="H298" i="103" s="1"/>
  <c r="H299" i="103" s="1"/>
  <c r="H300" i="103" s="1"/>
  <c r="H301" i="103" s="1"/>
  <c r="H302" i="103" s="1"/>
  <c r="H303" i="103" s="1"/>
  <c r="H304" i="103" s="1"/>
  <c r="H305" i="103" s="1"/>
  <c r="H306" i="103" s="1"/>
  <c r="H307" i="103" s="1"/>
  <c r="H308" i="103" s="1"/>
  <c r="H309" i="103" s="1"/>
  <c r="H310" i="103" s="1"/>
  <c r="H311" i="103" s="1"/>
  <c r="H312" i="103" s="1"/>
  <c r="H313" i="103" s="1"/>
  <c r="H314" i="103" s="1"/>
  <c r="H315" i="103" s="1"/>
  <c r="H316" i="103" s="1"/>
  <c r="H317" i="103" s="1"/>
  <c r="H318" i="103" s="1"/>
  <c r="H319" i="103" s="1"/>
  <c r="H320" i="103" s="1"/>
  <c r="H321" i="103" s="1"/>
  <c r="H322" i="103" s="1"/>
  <c r="H323" i="103" s="1"/>
  <c r="H324" i="103" s="1"/>
  <c r="H325" i="103" s="1"/>
  <c r="H326" i="103" s="1"/>
  <c r="H327" i="103" s="1"/>
  <c r="H328" i="103" s="1"/>
  <c r="H329" i="103" s="1"/>
  <c r="H330" i="103" s="1"/>
  <c r="H331" i="103" s="1"/>
  <c r="H332" i="103" s="1"/>
  <c r="H333" i="103" s="1"/>
  <c r="H334" i="103" s="1"/>
  <c r="H335" i="103" s="1"/>
  <c r="H336" i="103" s="1"/>
  <c r="H337" i="103" s="1"/>
  <c r="H338" i="103" s="1"/>
  <c r="H339" i="103" s="1"/>
  <c r="H340" i="103" s="1"/>
  <c r="H341" i="103" s="1"/>
  <c r="H342" i="103" s="1"/>
  <c r="H343" i="103" s="1"/>
  <c r="H344" i="103" s="1"/>
  <c r="H345" i="103" s="1"/>
  <c r="H346" i="103" s="1"/>
  <c r="H347" i="103" s="1"/>
  <c r="H348" i="103" s="1"/>
  <c r="H349" i="103" s="1"/>
  <c r="H350" i="103" s="1"/>
  <c r="H351" i="103" s="1"/>
  <c r="H352" i="103" s="1"/>
  <c r="H353" i="103" s="1"/>
  <c r="H354" i="103" s="1"/>
  <c r="H355" i="103" s="1"/>
  <c r="H356" i="103" s="1"/>
  <c r="H357" i="103" s="1"/>
  <c r="H358" i="103" s="1"/>
  <c r="H359" i="103" s="1"/>
  <c r="H360" i="103" s="1"/>
  <c r="H361" i="103" s="1"/>
  <c r="H362" i="103" s="1"/>
  <c r="H363" i="103" s="1"/>
  <c r="H364" i="103" s="1"/>
  <c r="H365" i="103" s="1"/>
  <c r="H366" i="103" s="1"/>
  <c r="H367" i="103" s="1"/>
  <c r="H368" i="103" s="1"/>
  <c r="H369" i="103" s="1"/>
  <c r="H370" i="103" s="1"/>
  <c r="H371" i="103" s="1"/>
  <c r="H372" i="103" s="1"/>
  <c r="H373" i="103" s="1"/>
  <c r="H374" i="103" s="1"/>
  <c r="H375" i="103" s="1"/>
  <c r="H376" i="103" s="1"/>
  <c r="H377" i="103" s="1"/>
  <c r="H378" i="103" s="1"/>
  <c r="H379" i="103" s="1"/>
  <c r="H380" i="103" s="1"/>
  <c r="H381" i="103" s="1"/>
  <c r="H382" i="103" s="1"/>
  <c r="H383" i="103" s="1"/>
  <c r="H384" i="103" s="1"/>
  <c r="H385" i="103" s="1"/>
  <c r="H386" i="103" s="1"/>
  <c r="H387" i="103" s="1"/>
  <c r="H388" i="103" s="1"/>
  <c r="H389" i="103" s="1"/>
  <c r="H390" i="103" s="1"/>
  <c r="H391" i="103" s="1"/>
  <c r="H392" i="103" s="1"/>
  <c r="H393" i="103" s="1"/>
  <c r="H394" i="103" s="1"/>
  <c r="H395" i="103" s="1"/>
  <c r="H396" i="103" s="1"/>
  <c r="H397" i="103" s="1"/>
  <c r="H398" i="103" s="1"/>
  <c r="H399" i="103" s="1"/>
  <c r="H400" i="103" s="1"/>
  <c r="H401" i="103" s="1"/>
  <c r="H402" i="103" s="1"/>
  <c r="H403" i="103" s="1"/>
  <c r="H404" i="103" s="1"/>
  <c r="H405" i="103" s="1"/>
  <c r="H406" i="103" s="1"/>
  <c r="H407" i="103" s="1"/>
  <c r="H408" i="103" s="1"/>
  <c r="H409" i="103" s="1"/>
  <c r="H410" i="103" s="1"/>
  <c r="H411" i="103" s="1"/>
  <c r="H412" i="103" s="1"/>
  <c r="H413" i="103" s="1"/>
  <c r="H414" i="103" s="1"/>
  <c r="H415" i="103" s="1"/>
  <c r="H416" i="103" s="1"/>
  <c r="H417" i="103" s="1"/>
  <c r="H418" i="103" s="1"/>
  <c r="H419" i="103" s="1"/>
  <c r="H420" i="103" s="1"/>
  <c r="H421" i="103" s="1"/>
  <c r="H422" i="103" s="1"/>
  <c r="H423" i="103" s="1"/>
  <c r="H424" i="103" s="1"/>
  <c r="H425" i="103" s="1"/>
  <c r="H426" i="103" s="1"/>
  <c r="H427" i="103" s="1"/>
  <c r="H428" i="103" s="1"/>
  <c r="H429" i="103" s="1"/>
  <c r="H430" i="103" s="1"/>
  <c r="H431" i="103" s="1"/>
  <c r="H432" i="103" s="1"/>
  <c r="H433" i="103" s="1"/>
  <c r="H434" i="103" s="1"/>
  <c r="H435" i="103" s="1"/>
  <c r="H436" i="103" s="1"/>
  <c r="H437" i="103" s="1"/>
  <c r="H438" i="103" s="1"/>
  <c r="H439" i="103" s="1"/>
  <c r="H440" i="103" s="1"/>
  <c r="H441" i="103" s="1"/>
  <c r="H442" i="103" s="1"/>
  <c r="H443" i="103" s="1"/>
  <c r="H444" i="103" s="1"/>
  <c r="H445" i="103" s="1"/>
  <c r="H446" i="103" s="1"/>
  <c r="H447" i="103" s="1"/>
  <c r="H448" i="103" s="1"/>
  <c r="H449" i="103" s="1"/>
  <c r="H450" i="103" s="1"/>
  <c r="H451" i="103" s="1"/>
  <c r="H452" i="103" s="1"/>
  <c r="H453" i="103" s="1"/>
  <c r="H454" i="103" s="1"/>
  <c r="H455" i="103" s="1"/>
  <c r="H456" i="103" s="1"/>
  <c r="H457" i="103" s="1"/>
  <c r="H458" i="103" s="1"/>
  <c r="H459" i="103" s="1"/>
  <c r="H460" i="103" s="1"/>
  <c r="H461" i="103" s="1"/>
  <c r="H462" i="103" s="1"/>
  <c r="H463" i="103" s="1"/>
  <c r="H464" i="103" s="1"/>
  <c r="H465" i="103" s="1"/>
  <c r="H466" i="103" s="1"/>
  <c r="H467" i="103" s="1"/>
  <c r="H468" i="103" s="1"/>
  <c r="H469" i="103" s="1"/>
  <c r="H470" i="103" s="1"/>
  <c r="H471" i="103" s="1"/>
  <c r="H472" i="103" s="1"/>
  <c r="H473" i="103" s="1"/>
  <c r="H474" i="103" s="1"/>
  <c r="H475" i="103" s="1"/>
  <c r="H476" i="103" s="1"/>
  <c r="H477" i="103" s="1"/>
  <c r="H478" i="103" s="1"/>
  <c r="H479" i="103" s="1"/>
  <c r="H480" i="103" s="1"/>
  <c r="H481" i="103" s="1"/>
  <c r="H482" i="103" s="1"/>
  <c r="H483" i="103" s="1"/>
  <c r="H484" i="103" s="1"/>
  <c r="H485" i="103" s="1"/>
  <c r="H486" i="103" s="1"/>
  <c r="H487" i="103" s="1"/>
  <c r="H488" i="103" s="1"/>
  <c r="H489" i="103" s="1"/>
  <c r="H490" i="103" s="1"/>
  <c r="H491" i="103" s="1"/>
  <c r="H492" i="103" s="1"/>
  <c r="H493" i="103" s="1"/>
  <c r="H494" i="103" s="1"/>
  <c r="H495" i="103" s="1"/>
  <c r="H496" i="103" s="1"/>
  <c r="H497" i="103" s="1"/>
  <c r="H498" i="103" s="1"/>
  <c r="H499" i="103" s="1"/>
  <c r="H500" i="103" s="1"/>
  <c r="H501" i="103" s="1"/>
  <c r="H502" i="103" s="1"/>
  <c r="H503" i="103" s="1"/>
  <c r="H504" i="103" s="1"/>
  <c r="H505" i="103" s="1"/>
  <c r="H506" i="103" s="1"/>
  <c r="H507" i="103" s="1"/>
  <c r="H508" i="103" s="1"/>
  <c r="H509" i="103" s="1"/>
  <c r="H510" i="103" s="1"/>
  <c r="H511" i="103" s="1"/>
  <c r="H512" i="103" s="1"/>
  <c r="H513" i="103" s="1"/>
  <c r="H514" i="103" s="1"/>
  <c r="H515" i="103" s="1"/>
  <c r="H516" i="103" s="1"/>
  <c r="H517" i="103" s="1"/>
  <c r="H518" i="103" s="1"/>
  <c r="H519" i="103" s="1"/>
  <c r="H520" i="103" s="1"/>
  <c r="H521" i="103" s="1"/>
  <c r="H522" i="103" s="1"/>
  <c r="H523" i="103" s="1"/>
  <c r="H524" i="103" s="1"/>
  <c r="H525" i="103" s="1"/>
  <c r="H526" i="103" s="1"/>
  <c r="H527" i="103" s="1"/>
  <c r="H528" i="103" s="1"/>
  <c r="H529" i="103" s="1"/>
  <c r="H530" i="103" s="1"/>
  <c r="H531" i="103" s="1"/>
  <c r="H532" i="103" s="1"/>
  <c r="H533" i="103" s="1"/>
  <c r="H534" i="103" s="1"/>
  <c r="H535" i="103" s="1"/>
  <c r="H536" i="103" s="1"/>
  <c r="H537" i="103" s="1"/>
  <c r="H538" i="103" s="1"/>
  <c r="H539" i="103" s="1"/>
  <c r="H540" i="103" s="1"/>
  <c r="H541" i="103" s="1"/>
  <c r="H542" i="103" s="1"/>
  <c r="H543" i="103" s="1"/>
  <c r="H544" i="103" s="1"/>
  <c r="H545" i="103" s="1"/>
  <c r="H546" i="103" s="1"/>
  <c r="H547" i="103" s="1"/>
  <c r="H548" i="103" s="1"/>
  <c r="H549" i="103" s="1"/>
  <c r="H550" i="103" s="1"/>
  <c r="H551" i="103" s="1"/>
  <c r="H552" i="103" s="1"/>
  <c r="H553" i="103" s="1"/>
  <c r="H554" i="103" s="1"/>
  <c r="H555" i="103" s="1"/>
  <c r="H556" i="103" s="1"/>
  <c r="H557" i="103" s="1"/>
  <c r="H558" i="103" s="1"/>
  <c r="H559" i="103" s="1"/>
  <c r="H560" i="103" s="1"/>
  <c r="H561" i="103" s="1"/>
  <c r="H562" i="103" s="1"/>
  <c r="H563" i="103" s="1"/>
  <c r="H564" i="103" s="1"/>
  <c r="H565" i="103" s="1"/>
  <c r="H566" i="103" s="1"/>
  <c r="H567" i="103" s="1"/>
  <c r="H568" i="103" s="1"/>
  <c r="H569" i="103" s="1"/>
  <c r="H570" i="103" s="1"/>
  <c r="H571" i="103" s="1"/>
  <c r="H572" i="103" s="1"/>
  <c r="H573" i="103" s="1"/>
  <c r="H574" i="103" s="1"/>
  <c r="H575" i="103" s="1"/>
  <c r="H576" i="103" s="1"/>
  <c r="H577" i="103" s="1"/>
  <c r="H578" i="103" s="1"/>
  <c r="H579" i="103" s="1"/>
  <c r="H580" i="103" s="1"/>
  <c r="H581" i="103" s="1"/>
  <c r="H582" i="103" s="1"/>
  <c r="H583" i="103" s="1"/>
  <c r="H584" i="103" s="1"/>
  <c r="H585" i="103" s="1"/>
  <c r="H586" i="103" s="1"/>
  <c r="H587" i="103" s="1"/>
  <c r="H588" i="103" s="1"/>
  <c r="H589" i="103" s="1"/>
  <c r="H590" i="103" s="1"/>
  <c r="H591" i="103" s="1"/>
  <c r="H592" i="103" s="1"/>
  <c r="H593" i="103" s="1"/>
  <c r="H594" i="103" s="1"/>
  <c r="H595" i="103" s="1"/>
  <c r="H596" i="103" s="1"/>
  <c r="H597" i="103" s="1"/>
  <c r="H598" i="103" s="1"/>
  <c r="H599" i="103" s="1"/>
  <c r="H600" i="103" s="1"/>
  <c r="H601" i="103" s="1"/>
  <c r="H602" i="103" s="1"/>
  <c r="H603" i="103" s="1"/>
  <c r="H604" i="103" s="1"/>
  <c r="H605" i="103" s="1"/>
  <c r="H606" i="103" s="1"/>
  <c r="H607" i="103" s="1"/>
  <c r="H608" i="103" s="1"/>
  <c r="F538" i="103"/>
  <c r="F103" i="103"/>
  <c r="F109" i="103"/>
  <c r="F102" i="103"/>
  <c r="F96" i="103"/>
  <c r="F88" i="103"/>
  <c r="F80" i="103"/>
  <c r="F72" i="103"/>
  <c r="F64" i="103"/>
  <c r="F56" i="103"/>
  <c r="F48" i="103"/>
  <c r="F40" i="103"/>
  <c r="F32" i="103"/>
  <c r="F24" i="103"/>
  <c r="F453" i="103"/>
  <c r="F294" i="103"/>
  <c r="F116" i="103"/>
  <c r="G10" i="103"/>
  <c r="G11" i="103" s="1"/>
  <c r="F127" i="103"/>
  <c r="F135" i="103"/>
  <c r="F143" i="103"/>
  <c r="F151" i="103"/>
  <c r="F159" i="103"/>
  <c r="F167" i="103"/>
  <c r="F175" i="103"/>
  <c r="F183" i="103"/>
  <c r="F191" i="103"/>
  <c r="F199" i="103"/>
  <c r="F207" i="103"/>
  <c r="F215" i="103"/>
  <c r="F223" i="103"/>
  <c r="F231" i="103"/>
  <c r="F239" i="103"/>
  <c r="F247" i="103"/>
  <c r="F255" i="103"/>
  <c r="F263" i="103"/>
  <c r="F271" i="103"/>
  <c r="F279" i="103"/>
  <c r="F287" i="103"/>
  <c r="F316" i="103"/>
  <c r="F348" i="103"/>
  <c r="F298" i="103"/>
  <c r="F322" i="103"/>
  <c r="F354" i="103"/>
  <c r="F136" i="103"/>
  <c r="F144" i="103"/>
  <c r="F152" i="103"/>
  <c r="F160" i="103"/>
  <c r="F168" i="103"/>
  <c r="F176" i="103"/>
  <c r="F184" i="103"/>
  <c r="F192" i="103"/>
  <c r="F200" i="103"/>
  <c r="F208" i="103"/>
  <c r="F216" i="103"/>
  <c r="F224" i="103"/>
  <c r="F232" i="103"/>
  <c r="F240" i="103"/>
  <c r="F248" i="103"/>
  <c r="F256" i="103"/>
  <c r="F264" i="103"/>
  <c r="F272" i="103"/>
  <c r="F280" i="103"/>
  <c r="F288" i="103"/>
  <c r="F396" i="103"/>
  <c r="F503" i="103"/>
  <c r="F305" i="103"/>
  <c r="F313" i="103"/>
  <c r="F321" i="103"/>
  <c r="F329" i="103"/>
  <c r="F337" i="103"/>
  <c r="F345" i="103"/>
  <c r="F353" i="103"/>
  <c r="F366" i="103"/>
  <c r="F382" i="103"/>
  <c r="F398" i="103"/>
  <c r="F414" i="103"/>
  <c r="F449" i="103"/>
  <c r="F481" i="103"/>
  <c r="F431" i="103"/>
  <c r="F447" i="103"/>
  <c r="F463" i="103"/>
  <c r="F479" i="103"/>
  <c r="F495" i="103"/>
  <c r="F507" i="103"/>
  <c r="F500" i="103"/>
  <c r="F508" i="103"/>
  <c r="F512" i="103"/>
  <c r="F544" i="103"/>
  <c r="F511" i="103"/>
  <c r="F519" i="103"/>
  <c r="F527" i="103"/>
  <c r="F535" i="103"/>
  <c r="F543" i="103"/>
  <c r="F551" i="103"/>
  <c r="F555" i="103"/>
  <c r="F563" i="103"/>
  <c r="F571" i="103"/>
  <c r="F579" i="103"/>
  <c r="F587" i="103"/>
  <c r="F595" i="103"/>
  <c r="F603" i="103"/>
  <c r="F556" i="103"/>
  <c r="F564" i="103"/>
  <c r="F572" i="103"/>
  <c r="F580" i="103"/>
  <c r="F588" i="103"/>
  <c r="F596" i="103"/>
  <c r="F604" i="103"/>
  <c r="F547" i="103"/>
  <c r="F608" i="103"/>
  <c r="F117" i="103"/>
  <c r="F124" i="103"/>
  <c r="F132" i="103"/>
  <c r="F101" i="103"/>
  <c r="F94" i="103"/>
  <c r="F86" i="103"/>
  <c r="F78" i="103"/>
  <c r="F70" i="103"/>
  <c r="F62" i="103"/>
  <c r="F54" i="103"/>
  <c r="F46" i="103"/>
  <c r="F38" i="103"/>
  <c r="F30" i="103"/>
  <c r="F108" i="103"/>
  <c r="G12" i="103"/>
  <c r="G13" i="103" s="1"/>
  <c r="G14" i="103" s="1"/>
  <c r="G15" i="103" s="1"/>
  <c r="G16" i="103" s="1"/>
  <c r="G17" i="103" s="1"/>
  <c r="G18" i="103" s="1"/>
  <c r="G19" i="103" s="1"/>
  <c r="G20" i="103" s="1"/>
  <c r="G21" i="103" s="1"/>
  <c r="F129" i="103"/>
  <c r="F137" i="103"/>
  <c r="F145" i="103"/>
  <c r="F153" i="103"/>
  <c r="F161" i="103"/>
  <c r="F169" i="103"/>
  <c r="F177" i="103"/>
  <c r="F185" i="103"/>
  <c r="F193" i="103"/>
  <c r="F201" i="103"/>
  <c r="F209" i="103"/>
  <c r="F217" i="103"/>
  <c r="F225" i="103"/>
  <c r="F233" i="103"/>
  <c r="F241" i="103"/>
  <c r="F249" i="103"/>
  <c r="F257" i="103"/>
  <c r="F265" i="103"/>
  <c r="F273" i="103"/>
  <c r="F281" i="103"/>
  <c r="F289" i="103"/>
  <c r="F296" i="103"/>
  <c r="F324" i="103"/>
  <c r="F356" i="103"/>
  <c r="F330" i="103"/>
  <c r="F138" i="103"/>
  <c r="F146" i="103"/>
  <c r="F154" i="103"/>
  <c r="F162" i="103"/>
  <c r="F170" i="103"/>
  <c r="F178" i="103"/>
  <c r="F186" i="103"/>
  <c r="F194" i="103"/>
  <c r="F202" i="103"/>
  <c r="F210" i="103"/>
  <c r="F218" i="103"/>
  <c r="F226" i="103"/>
  <c r="F234" i="103"/>
  <c r="F242" i="103"/>
  <c r="F250" i="103"/>
  <c r="F258" i="103"/>
  <c r="F266" i="103"/>
  <c r="F274" i="103"/>
  <c r="F282" i="103"/>
  <c r="F412" i="103"/>
  <c r="F299" i="103"/>
  <c r="F307" i="103"/>
  <c r="F315" i="103"/>
  <c r="F323" i="103"/>
  <c r="F331" i="103"/>
  <c r="F339" i="103"/>
  <c r="F347" i="103"/>
  <c r="F355" i="103"/>
  <c r="F425" i="103"/>
  <c r="F457" i="103"/>
  <c r="F489" i="103"/>
  <c r="F359" i="103"/>
  <c r="F419" i="103"/>
  <c r="F435" i="103"/>
  <c r="F451" i="103"/>
  <c r="F467" i="103"/>
  <c r="F483" i="103"/>
  <c r="F418" i="103"/>
  <c r="F424" i="103"/>
  <c r="F432" i="103"/>
  <c r="F440" i="103"/>
  <c r="F448" i="103"/>
  <c r="F456" i="103"/>
  <c r="F464" i="103"/>
  <c r="F472" i="103"/>
  <c r="F480" i="103"/>
  <c r="F488" i="103"/>
  <c r="F505" i="103"/>
  <c r="F499" i="103"/>
  <c r="F516" i="103"/>
  <c r="F502" i="103"/>
  <c r="F510" i="103"/>
  <c r="F542" i="103"/>
  <c r="F536" i="103"/>
  <c r="F513" i="103"/>
  <c r="F521" i="103"/>
  <c r="F529" i="103"/>
  <c r="F537" i="103"/>
  <c r="F545" i="103"/>
  <c r="F558" i="103"/>
  <c r="F566" i="103"/>
  <c r="F574" i="103"/>
  <c r="F582" i="103"/>
  <c r="F590" i="103"/>
  <c r="F598" i="103"/>
  <c r="F606" i="103"/>
  <c r="H10" i="97"/>
  <c r="H11" i="97" s="1"/>
  <c r="H12" i="97" s="1"/>
  <c r="H13" i="97" s="1"/>
  <c r="H14" i="97" s="1"/>
  <c r="H15" i="97" s="1"/>
  <c r="H16" i="97" s="1"/>
  <c r="H17" i="97" s="1"/>
  <c r="H18" i="97" s="1"/>
  <c r="H19" i="97" s="1"/>
  <c r="H20" i="97" s="1"/>
  <c r="G9" i="97"/>
  <c r="G10" i="97" s="1"/>
  <c r="G11" i="97" s="1"/>
  <c r="G12" i="97" s="1"/>
  <c r="G13" i="97" s="1"/>
  <c r="G14" i="97" s="1"/>
  <c r="G15" i="97" s="1"/>
  <c r="G16" i="97" s="1"/>
  <c r="G17" i="97" s="1"/>
  <c r="G18" i="97" s="1"/>
  <c r="G19" i="97" s="1"/>
  <c r="G20" i="97" s="1"/>
  <c r="F9" i="97"/>
  <c r="G6" i="104" l="1"/>
  <c r="L9" i="99" s="1"/>
  <c r="H6" i="104"/>
  <c r="M9" i="99" s="1"/>
  <c r="F6" i="104"/>
  <c r="K9" i="99" s="1"/>
  <c r="H6" i="103"/>
  <c r="M8" i="99" s="1"/>
  <c r="F6" i="103"/>
  <c r="K8" i="99" s="1"/>
  <c r="G22" i="103"/>
  <c r="G23" i="103" s="1"/>
  <c r="G24" i="103" s="1"/>
  <c r="G25" i="103" s="1"/>
  <c r="G26" i="103" s="1"/>
  <c r="G27" i="103" s="1"/>
  <c r="G28" i="103" s="1"/>
  <c r="G29" i="103" s="1"/>
  <c r="G30" i="103" s="1"/>
  <c r="G31" i="103" s="1"/>
  <c r="G32" i="103" s="1"/>
  <c r="G33" i="103" s="1"/>
  <c r="G34" i="103" s="1"/>
  <c r="G35" i="103" s="1"/>
  <c r="G36" i="103" s="1"/>
  <c r="G37" i="103" s="1"/>
  <c r="G38" i="103" s="1"/>
  <c r="G39" i="103" s="1"/>
  <c r="G40" i="103" s="1"/>
  <c r="G41" i="103" s="1"/>
  <c r="G42" i="103" s="1"/>
  <c r="G43" i="103" s="1"/>
  <c r="G44" i="103" s="1"/>
  <c r="G45" i="103" s="1"/>
  <c r="G46" i="103" s="1"/>
  <c r="G47" i="103" s="1"/>
  <c r="G48" i="103" s="1"/>
  <c r="G49" i="103" s="1"/>
  <c r="G50" i="103" s="1"/>
  <c r="G51" i="103" s="1"/>
  <c r="G52" i="103" s="1"/>
  <c r="G53" i="103" s="1"/>
  <c r="G54" i="103" s="1"/>
  <c r="G55" i="103" s="1"/>
  <c r="G56" i="103" s="1"/>
  <c r="G57" i="103" s="1"/>
  <c r="G58" i="103" s="1"/>
  <c r="G59" i="103" s="1"/>
  <c r="G60" i="103" s="1"/>
  <c r="G61" i="103" s="1"/>
  <c r="G62" i="103" s="1"/>
  <c r="G63" i="103" s="1"/>
  <c r="G64" i="103" s="1"/>
  <c r="G65" i="103" s="1"/>
  <c r="G66" i="103" s="1"/>
  <c r="G67" i="103" s="1"/>
  <c r="G68" i="103" s="1"/>
  <c r="G69" i="103" s="1"/>
  <c r="G70" i="103" s="1"/>
  <c r="G71" i="103" s="1"/>
  <c r="G72" i="103" s="1"/>
  <c r="G73" i="103" s="1"/>
  <c r="G74" i="103" s="1"/>
  <c r="G75" i="103" s="1"/>
  <c r="G76" i="103" s="1"/>
  <c r="G77" i="103" s="1"/>
  <c r="G78" i="103" s="1"/>
  <c r="G79" i="103" s="1"/>
  <c r="G80" i="103" s="1"/>
  <c r="G81" i="103" s="1"/>
  <c r="G82" i="103" s="1"/>
  <c r="G83" i="103" s="1"/>
  <c r="G84" i="103" s="1"/>
  <c r="G85" i="103" s="1"/>
  <c r="G86" i="103" s="1"/>
  <c r="G87" i="103" s="1"/>
  <c r="G88" i="103" s="1"/>
  <c r="G89" i="103" s="1"/>
  <c r="G90" i="103" s="1"/>
  <c r="G91" i="103" s="1"/>
  <c r="G92" i="103" s="1"/>
  <c r="G93" i="103" s="1"/>
  <c r="G94" i="103" s="1"/>
  <c r="G95" i="103" s="1"/>
  <c r="G96" i="103" s="1"/>
  <c r="G97" i="103" s="1"/>
  <c r="G98" i="103" s="1"/>
  <c r="G99" i="103" s="1"/>
  <c r="G100" i="103" s="1"/>
  <c r="G101" i="103" s="1"/>
  <c r="G102" i="103" s="1"/>
  <c r="G103" i="103" s="1"/>
  <c r="G104" i="103" s="1"/>
  <c r="G105" i="103" s="1"/>
  <c r="G106" i="103" s="1"/>
  <c r="G107" i="103" s="1"/>
  <c r="G108" i="103" s="1"/>
  <c r="G109" i="103" s="1"/>
  <c r="G110" i="103" s="1"/>
  <c r="G111" i="103" s="1"/>
  <c r="G112" i="103" s="1"/>
  <c r="G113" i="103" s="1"/>
  <c r="G114" i="103" s="1"/>
  <c r="G115" i="103" s="1"/>
  <c r="G116" i="103" s="1"/>
  <c r="G117" i="103" s="1"/>
  <c r="G118" i="103" s="1"/>
  <c r="G119" i="103" s="1"/>
  <c r="G120" i="103" s="1"/>
  <c r="G121" i="103" s="1"/>
  <c r="G122" i="103" s="1"/>
  <c r="G123" i="103" s="1"/>
  <c r="G124" i="103" s="1"/>
  <c r="G125" i="103" s="1"/>
  <c r="G126" i="103" s="1"/>
  <c r="G127" i="103" s="1"/>
  <c r="G128" i="103" s="1"/>
  <c r="G129" i="103" s="1"/>
  <c r="G130" i="103" s="1"/>
  <c r="G131" i="103" s="1"/>
  <c r="G132" i="103" s="1"/>
  <c r="G133" i="103" s="1"/>
  <c r="G134" i="103" s="1"/>
  <c r="G135" i="103" s="1"/>
  <c r="G136" i="103" s="1"/>
  <c r="G137" i="103" s="1"/>
  <c r="G138" i="103" s="1"/>
  <c r="G139" i="103" s="1"/>
  <c r="G140" i="103" s="1"/>
  <c r="G141" i="103" s="1"/>
  <c r="G142" i="103" s="1"/>
  <c r="G143" i="103" s="1"/>
  <c r="G144" i="103" s="1"/>
  <c r="G145" i="103" s="1"/>
  <c r="G146" i="103" s="1"/>
  <c r="G147" i="103" s="1"/>
  <c r="G148" i="103" s="1"/>
  <c r="G149" i="103" s="1"/>
  <c r="G150" i="103" s="1"/>
  <c r="G151" i="103" s="1"/>
  <c r="G152" i="103" s="1"/>
  <c r="G153" i="103" s="1"/>
  <c r="G154" i="103" s="1"/>
  <c r="G155" i="103" s="1"/>
  <c r="G156" i="103" s="1"/>
  <c r="G157" i="103" s="1"/>
  <c r="G158" i="103" s="1"/>
  <c r="G159" i="103" s="1"/>
  <c r="G160" i="103" s="1"/>
  <c r="G161" i="103" s="1"/>
  <c r="G162" i="103" s="1"/>
  <c r="G163" i="103" s="1"/>
  <c r="G164" i="103" s="1"/>
  <c r="G165" i="103" s="1"/>
  <c r="G166" i="103" s="1"/>
  <c r="G167" i="103" s="1"/>
  <c r="G168" i="103" s="1"/>
  <c r="G169" i="103" s="1"/>
  <c r="G170" i="103" s="1"/>
  <c r="G171" i="103" s="1"/>
  <c r="G172" i="103" s="1"/>
  <c r="G173" i="103" s="1"/>
  <c r="G174" i="103" s="1"/>
  <c r="G175" i="103" s="1"/>
  <c r="G176" i="103" s="1"/>
  <c r="G177" i="103" s="1"/>
  <c r="G178" i="103" s="1"/>
  <c r="G179" i="103" s="1"/>
  <c r="G180" i="103" s="1"/>
  <c r="G181" i="103" s="1"/>
  <c r="G182" i="103" s="1"/>
  <c r="G183" i="103" s="1"/>
  <c r="G184" i="103" s="1"/>
  <c r="G185" i="103" s="1"/>
  <c r="G186" i="103" s="1"/>
  <c r="G187" i="103" s="1"/>
  <c r="G188" i="103" s="1"/>
  <c r="G189" i="103" s="1"/>
  <c r="G190" i="103" s="1"/>
  <c r="G191" i="103" s="1"/>
  <c r="G192" i="103" s="1"/>
  <c r="G193" i="103" s="1"/>
  <c r="G194" i="103" s="1"/>
  <c r="G195" i="103" s="1"/>
  <c r="G196" i="103" s="1"/>
  <c r="G197" i="103" s="1"/>
  <c r="G198" i="103" s="1"/>
  <c r="G199" i="103" s="1"/>
  <c r="G200" i="103" s="1"/>
  <c r="G201" i="103" s="1"/>
  <c r="G202" i="103" s="1"/>
  <c r="G203" i="103" s="1"/>
  <c r="G204" i="103" s="1"/>
  <c r="G205" i="103" s="1"/>
  <c r="G206" i="103" s="1"/>
  <c r="G207" i="103" s="1"/>
  <c r="G208" i="103" s="1"/>
  <c r="G209" i="103" s="1"/>
  <c r="G210" i="103" s="1"/>
  <c r="G211" i="103" s="1"/>
  <c r="G212" i="103" s="1"/>
  <c r="G213" i="103" s="1"/>
  <c r="G214" i="103" s="1"/>
  <c r="G215" i="103" s="1"/>
  <c r="G216" i="103" s="1"/>
  <c r="G217" i="103" s="1"/>
  <c r="G218" i="103" s="1"/>
  <c r="G219" i="103" s="1"/>
  <c r="G220" i="103" s="1"/>
  <c r="G221" i="103" s="1"/>
  <c r="G222" i="103" s="1"/>
  <c r="G223" i="103" s="1"/>
  <c r="G224" i="103" s="1"/>
  <c r="G225" i="103" s="1"/>
  <c r="G226" i="103" s="1"/>
  <c r="G227" i="103" s="1"/>
  <c r="G228" i="103" s="1"/>
  <c r="G229" i="103" s="1"/>
  <c r="G230" i="103" s="1"/>
  <c r="G231" i="103" s="1"/>
  <c r="G232" i="103" s="1"/>
  <c r="G233" i="103" s="1"/>
  <c r="G234" i="103" s="1"/>
  <c r="G235" i="103" s="1"/>
  <c r="G236" i="103" s="1"/>
  <c r="G237" i="103" s="1"/>
  <c r="G238" i="103" s="1"/>
  <c r="G239" i="103" s="1"/>
  <c r="G240" i="103" s="1"/>
  <c r="G241" i="103" s="1"/>
  <c r="G242" i="103" s="1"/>
  <c r="G243" i="103" s="1"/>
  <c r="G244" i="103" s="1"/>
  <c r="G245" i="103" s="1"/>
  <c r="G246" i="103" s="1"/>
  <c r="G247" i="103" s="1"/>
  <c r="G248" i="103" s="1"/>
  <c r="G249" i="103" s="1"/>
  <c r="G250" i="103" s="1"/>
  <c r="G251" i="103" s="1"/>
  <c r="G252" i="103" s="1"/>
  <c r="G253" i="103" s="1"/>
  <c r="G254" i="103" s="1"/>
  <c r="G255" i="103" s="1"/>
  <c r="G256" i="103" s="1"/>
  <c r="G257" i="103" s="1"/>
  <c r="G258" i="103" s="1"/>
  <c r="G259" i="103" s="1"/>
  <c r="G260" i="103" s="1"/>
  <c r="G261" i="103" s="1"/>
  <c r="G262" i="103" s="1"/>
  <c r="G263" i="103" s="1"/>
  <c r="G264" i="103" s="1"/>
  <c r="G265" i="103" s="1"/>
  <c r="G266" i="103" s="1"/>
  <c r="G267" i="103" s="1"/>
  <c r="G268" i="103" s="1"/>
  <c r="G269" i="103" s="1"/>
  <c r="G270" i="103" s="1"/>
  <c r="G271" i="103" s="1"/>
  <c r="G272" i="103" s="1"/>
  <c r="G273" i="103" s="1"/>
  <c r="G274" i="103" s="1"/>
  <c r="G275" i="103" s="1"/>
  <c r="G276" i="103" s="1"/>
  <c r="G277" i="103" s="1"/>
  <c r="G278" i="103" s="1"/>
  <c r="G279" i="103" s="1"/>
  <c r="G280" i="103" s="1"/>
  <c r="G281" i="103" s="1"/>
  <c r="G282" i="103" s="1"/>
  <c r="G283" i="103" s="1"/>
  <c r="G284" i="103" s="1"/>
  <c r="G285" i="103" s="1"/>
  <c r="G286" i="103" s="1"/>
  <c r="G287" i="103" s="1"/>
  <c r="G288" i="103" s="1"/>
  <c r="G289" i="103" s="1"/>
  <c r="G290" i="103" s="1"/>
  <c r="G291" i="103" s="1"/>
  <c r="G292" i="103" s="1"/>
  <c r="G293" i="103" s="1"/>
  <c r="G294" i="103" s="1"/>
  <c r="G295" i="103" s="1"/>
  <c r="G296" i="103" s="1"/>
  <c r="G297" i="103" s="1"/>
  <c r="G298" i="103" s="1"/>
  <c r="G299" i="103" s="1"/>
  <c r="G300" i="103" s="1"/>
  <c r="G301" i="103" s="1"/>
  <c r="G302" i="103" s="1"/>
  <c r="G303" i="103" s="1"/>
  <c r="G304" i="103" s="1"/>
  <c r="G305" i="103" s="1"/>
  <c r="G306" i="103" s="1"/>
  <c r="G307" i="103" s="1"/>
  <c r="G308" i="103" s="1"/>
  <c r="G309" i="103" s="1"/>
  <c r="G310" i="103" s="1"/>
  <c r="G311" i="103" s="1"/>
  <c r="G312" i="103" s="1"/>
  <c r="G313" i="103" s="1"/>
  <c r="G314" i="103" s="1"/>
  <c r="G315" i="103" s="1"/>
  <c r="G316" i="103" s="1"/>
  <c r="G317" i="103" s="1"/>
  <c r="G318" i="103" s="1"/>
  <c r="G319" i="103" s="1"/>
  <c r="G320" i="103" s="1"/>
  <c r="G321" i="103" s="1"/>
  <c r="G322" i="103" s="1"/>
  <c r="G323" i="103" s="1"/>
  <c r="G324" i="103" s="1"/>
  <c r="G325" i="103" s="1"/>
  <c r="G326" i="103" s="1"/>
  <c r="G327" i="103" s="1"/>
  <c r="G328" i="103" s="1"/>
  <c r="G329" i="103" s="1"/>
  <c r="G330" i="103" s="1"/>
  <c r="G331" i="103" s="1"/>
  <c r="G332" i="103" s="1"/>
  <c r="G333" i="103" s="1"/>
  <c r="G334" i="103" s="1"/>
  <c r="G335" i="103" s="1"/>
  <c r="G336" i="103" s="1"/>
  <c r="G337" i="103" s="1"/>
  <c r="G338" i="103" s="1"/>
  <c r="G339" i="103" s="1"/>
  <c r="G340" i="103" s="1"/>
  <c r="G341" i="103" s="1"/>
  <c r="G342" i="103" s="1"/>
  <c r="G343" i="103" s="1"/>
  <c r="G344" i="103" s="1"/>
  <c r="G345" i="103" s="1"/>
  <c r="G346" i="103" s="1"/>
  <c r="G347" i="103" s="1"/>
  <c r="G348" i="103" s="1"/>
  <c r="G349" i="103" s="1"/>
  <c r="G350" i="103" s="1"/>
  <c r="G351" i="103" s="1"/>
  <c r="G352" i="103" s="1"/>
  <c r="G353" i="103" s="1"/>
  <c r="G354" i="103" s="1"/>
  <c r="G355" i="103" s="1"/>
  <c r="G356" i="103" s="1"/>
  <c r="G357" i="103" s="1"/>
  <c r="G358" i="103" s="1"/>
  <c r="G359" i="103" s="1"/>
  <c r="G360" i="103" s="1"/>
  <c r="G361" i="103" s="1"/>
  <c r="G362" i="103" s="1"/>
  <c r="G363" i="103" s="1"/>
  <c r="G364" i="103" s="1"/>
  <c r="G365" i="103" s="1"/>
  <c r="G366" i="103" s="1"/>
  <c r="G367" i="103" s="1"/>
  <c r="G368" i="103" s="1"/>
  <c r="G369" i="103" s="1"/>
  <c r="G370" i="103" s="1"/>
  <c r="G371" i="103" s="1"/>
  <c r="G372" i="103" s="1"/>
  <c r="G373" i="103" s="1"/>
  <c r="G374" i="103" s="1"/>
  <c r="G375" i="103" s="1"/>
  <c r="G376" i="103" s="1"/>
  <c r="G377" i="103" s="1"/>
  <c r="G378" i="103" s="1"/>
  <c r="G379" i="103" s="1"/>
  <c r="G380" i="103" s="1"/>
  <c r="G381" i="103" s="1"/>
  <c r="G382" i="103" s="1"/>
  <c r="G383" i="103" s="1"/>
  <c r="G384" i="103" s="1"/>
  <c r="G385" i="103" s="1"/>
  <c r="G386" i="103" s="1"/>
  <c r="G387" i="103" s="1"/>
  <c r="G388" i="103" s="1"/>
  <c r="G389" i="103" s="1"/>
  <c r="G390" i="103" s="1"/>
  <c r="G391" i="103" s="1"/>
  <c r="G392" i="103" s="1"/>
  <c r="G393" i="103" s="1"/>
  <c r="G394" i="103" s="1"/>
  <c r="G395" i="103" s="1"/>
  <c r="G396" i="103" s="1"/>
  <c r="G397" i="103" s="1"/>
  <c r="G398" i="103" s="1"/>
  <c r="G399" i="103" s="1"/>
  <c r="G400" i="103" s="1"/>
  <c r="G401" i="103" s="1"/>
  <c r="G402" i="103" s="1"/>
  <c r="G403" i="103" s="1"/>
  <c r="G404" i="103" s="1"/>
  <c r="G405" i="103" s="1"/>
  <c r="G406" i="103" s="1"/>
  <c r="G407" i="103" s="1"/>
  <c r="G408" i="103" s="1"/>
  <c r="G409" i="103" s="1"/>
  <c r="G410" i="103" s="1"/>
  <c r="G411" i="103" s="1"/>
  <c r="G412" i="103" s="1"/>
  <c r="G413" i="103" s="1"/>
  <c r="G414" i="103" s="1"/>
  <c r="G415" i="103" s="1"/>
  <c r="G416" i="103" s="1"/>
  <c r="G417" i="103" s="1"/>
  <c r="G418" i="103" s="1"/>
  <c r="G419" i="103" s="1"/>
  <c r="G420" i="103" s="1"/>
  <c r="G421" i="103" s="1"/>
  <c r="G422" i="103" s="1"/>
  <c r="G423" i="103" s="1"/>
  <c r="G424" i="103" s="1"/>
  <c r="G425" i="103" s="1"/>
  <c r="G426" i="103" s="1"/>
  <c r="G427" i="103" s="1"/>
  <c r="G428" i="103" s="1"/>
  <c r="G429" i="103" s="1"/>
  <c r="G430" i="103" s="1"/>
  <c r="G431" i="103" s="1"/>
  <c r="G432" i="103" s="1"/>
  <c r="G433" i="103" s="1"/>
  <c r="G434" i="103" s="1"/>
  <c r="G435" i="103" s="1"/>
  <c r="G436" i="103" s="1"/>
  <c r="G437" i="103" s="1"/>
  <c r="G438" i="103" s="1"/>
  <c r="G439" i="103" s="1"/>
  <c r="G440" i="103" s="1"/>
  <c r="G6" i="103" l="1"/>
  <c r="L8" i="99" s="1"/>
  <c r="C6" i="97" l="1"/>
  <c r="P12" i="56"/>
  <c r="O12" i="56"/>
  <c r="N12" i="56"/>
  <c r="M12" i="56"/>
  <c r="L12" i="56"/>
  <c r="K12" i="56"/>
  <c r="J12" i="56"/>
  <c r="I12" i="56"/>
  <c r="H12" i="56"/>
  <c r="G12" i="56"/>
  <c r="F12" i="56"/>
  <c r="E12" i="56"/>
  <c r="E3" i="83"/>
  <c r="E21" i="97" l="1"/>
  <c r="E25" i="97"/>
  <c r="E29" i="97"/>
  <c r="E33" i="97"/>
  <c r="E37" i="97"/>
  <c r="E41" i="97"/>
  <c r="E45" i="97"/>
  <c r="E49" i="97"/>
  <c r="E53" i="97"/>
  <c r="E57" i="97"/>
  <c r="E61" i="97"/>
  <c r="E65" i="97"/>
  <c r="E69" i="97"/>
  <c r="E73" i="97"/>
  <c r="E77" i="97"/>
  <c r="E81" i="97"/>
  <c r="E85" i="97"/>
  <c r="E89" i="97"/>
  <c r="E93" i="97"/>
  <c r="E97" i="97"/>
  <c r="E101" i="97"/>
  <c r="E105" i="97"/>
  <c r="E109" i="97"/>
  <c r="E113" i="97"/>
  <c r="E117" i="97"/>
  <c r="E121" i="97"/>
  <c r="E125" i="97"/>
  <c r="E129" i="97"/>
  <c r="E133" i="97"/>
  <c r="E137" i="97"/>
  <c r="E141" i="97"/>
  <c r="E145" i="97"/>
  <c r="E149" i="97"/>
  <c r="E153" i="97"/>
  <c r="E157" i="97"/>
  <c r="E161" i="97"/>
  <c r="E165" i="97"/>
  <c r="E169" i="97"/>
  <c r="E173" i="97"/>
  <c r="E177" i="97"/>
  <c r="E181" i="97"/>
  <c r="E185" i="97"/>
  <c r="E189" i="97"/>
  <c r="E193" i="97"/>
  <c r="E197" i="97"/>
  <c r="E201" i="97"/>
  <c r="E205" i="97"/>
  <c r="E209" i="97"/>
  <c r="E213" i="97"/>
  <c r="E217" i="97"/>
  <c r="E221" i="97"/>
  <c r="E225" i="97"/>
  <c r="E229" i="97"/>
  <c r="E233" i="97"/>
  <c r="E237" i="97"/>
  <c r="E241" i="97"/>
  <c r="E245" i="97"/>
  <c r="E249" i="97"/>
  <c r="E253" i="97"/>
  <c r="E257" i="97"/>
  <c r="E261" i="97"/>
  <c r="E265" i="97"/>
  <c r="E269" i="97"/>
  <c r="E273" i="97"/>
  <c r="E277" i="97"/>
  <c r="E281" i="97"/>
  <c r="E285" i="97"/>
  <c r="E289" i="97"/>
  <c r="E293" i="97"/>
  <c r="E297" i="97"/>
  <c r="E301" i="97"/>
  <c r="E22" i="97"/>
  <c r="E26" i="97"/>
  <c r="E30" i="97"/>
  <c r="E34" i="97"/>
  <c r="E38" i="97"/>
  <c r="E42" i="97"/>
  <c r="E46" i="97"/>
  <c r="E50" i="97"/>
  <c r="E54" i="97"/>
  <c r="E58" i="97"/>
  <c r="E62" i="97"/>
  <c r="E66" i="97"/>
  <c r="E70" i="97"/>
  <c r="E74" i="97"/>
  <c r="E78" i="97"/>
  <c r="E82" i="97"/>
  <c r="E86" i="97"/>
  <c r="E90" i="97"/>
  <c r="E94" i="97"/>
  <c r="E98" i="97"/>
  <c r="E102" i="97"/>
  <c r="E106" i="97"/>
  <c r="E110" i="97"/>
  <c r="E114" i="97"/>
  <c r="E118" i="97"/>
  <c r="E122" i="97"/>
  <c r="E126" i="97"/>
  <c r="E130" i="97"/>
  <c r="E134" i="97"/>
  <c r="E138" i="97"/>
  <c r="E142" i="97"/>
  <c r="E146" i="97"/>
  <c r="E150" i="97"/>
  <c r="E154" i="97"/>
  <c r="E158" i="97"/>
  <c r="E162" i="97"/>
  <c r="E166" i="97"/>
  <c r="E170" i="97"/>
  <c r="E174" i="97"/>
  <c r="E178" i="97"/>
  <c r="E182" i="97"/>
  <c r="E186" i="97"/>
  <c r="E190" i="97"/>
  <c r="E194" i="97"/>
  <c r="E198" i="97"/>
  <c r="E202" i="97"/>
  <c r="E206" i="97"/>
  <c r="E210" i="97"/>
  <c r="E214" i="97"/>
  <c r="E218" i="97"/>
  <c r="E222" i="97"/>
  <c r="E226" i="97"/>
  <c r="E230" i="97"/>
  <c r="E234" i="97"/>
  <c r="E238" i="97"/>
  <c r="E242" i="97"/>
  <c r="E246" i="97"/>
  <c r="E250" i="97"/>
  <c r="E254" i="97"/>
  <c r="E258" i="97"/>
  <c r="E262" i="97"/>
  <c r="E266" i="97"/>
  <c r="E270" i="97"/>
  <c r="E274" i="97"/>
  <c r="E278" i="97"/>
  <c r="E282" i="97"/>
  <c r="E286" i="97"/>
  <c r="E290" i="97"/>
  <c r="E294" i="97"/>
  <c r="E298" i="97"/>
  <c r="E302" i="97"/>
  <c r="E23" i="97"/>
  <c r="E27" i="97"/>
  <c r="E31" i="97"/>
  <c r="E35" i="97"/>
  <c r="E39" i="97"/>
  <c r="E43" i="97"/>
  <c r="E47" i="97"/>
  <c r="E51" i="97"/>
  <c r="E55" i="97"/>
  <c r="E59" i="97"/>
  <c r="E63" i="97"/>
  <c r="E67" i="97"/>
  <c r="E71" i="97"/>
  <c r="E75" i="97"/>
  <c r="E79" i="97"/>
  <c r="E83" i="97"/>
  <c r="E87" i="97"/>
  <c r="E91" i="97"/>
  <c r="E95" i="97"/>
  <c r="E99" i="97"/>
  <c r="E103" i="97"/>
  <c r="E107" i="97"/>
  <c r="E111" i="97"/>
  <c r="E115" i="97"/>
  <c r="E119" i="97"/>
  <c r="E123" i="97"/>
  <c r="E127" i="97"/>
  <c r="E131" i="97"/>
  <c r="E135" i="97"/>
  <c r="E139" i="97"/>
  <c r="E143" i="97"/>
  <c r="E147" i="97"/>
  <c r="E151" i="97"/>
  <c r="E155" i="97"/>
  <c r="E159" i="97"/>
  <c r="E163" i="97"/>
  <c r="E167" i="97"/>
  <c r="E171" i="97"/>
  <c r="E175" i="97"/>
  <c r="E179" i="97"/>
  <c r="E183" i="97"/>
  <c r="E187" i="97"/>
  <c r="E191" i="97"/>
  <c r="E195" i="97"/>
  <c r="E199" i="97"/>
  <c r="E203" i="97"/>
  <c r="E207" i="97"/>
  <c r="E211" i="97"/>
  <c r="E215" i="97"/>
  <c r="E219" i="97"/>
  <c r="E223" i="97"/>
  <c r="E227" i="97"/>
  <c r="E231" i="97"/>
  <c r="E235" i="97"/>
  <c r="E239" i="97"/>
  <c r="E243" i="97"/>
  <c r="E247" i="97"/>
  <c r="E251" i="97"/>
  <c r="E255" i="97"/>
  <c r="E259" i="97"/>
  <c r="E263" i="97"/>
  <c r="E267" i="97"/>
  <c r="E271" i="97"/>
  <c r="E275" i="97"/>
  <c r="E279" i="97"/>
  <c r="E283" i="97"/>
  <c r="E287" i="97"/>
  <c r="E291" i="97"/>
  <c r="E295" i="97"/>
  <c r="E299" i="97"/>
  <c r="E303" i="97"/>
  <c r="E307" i="97"/>
  <c r="E311" i="97"/>
  <c r="E315" i="97"/>
  <c r="E319" i="97"/>
  <c r="E323" i="97"/>
  <c r="E327" i="97"/>
  <c r="E331" i="97"/>
  <c r="E335" i="97"/>
  <c r="E339" i="97"/>
  <c r="E343" i="97"/>
  <c r="E347" i="97"/>
  <c r="E351" i="97"/>
  <c r="E355" i="97"/>
  <c r="E359" i="97"/>
  <c r="E24" i="97"/>
  <c r="E28" i="97"/>
  <c r="E32" i="97"/>
  <c r="E36" i="97"/>
  <c r="E40" i="97"/>
  <c r="E44" i="97"/>
  <c r="E48" i="97"/>
  <c r="E52" i="97"/>
  <c r="E56" i="97"/>
  <c r="E60" i="97"/>
  <c r="E64" i="97"/>
  <c r="E68" i="97"/>
  <c r="E72" i="97"/>
  <c r="E76" i="97"/>
  <c r="E80" i="97"/>
  <c r="E84" i="97"/>
  <c r="E88" i="97"/>
  <c r="E92" i="97"/>
  <c r="E96" i="97"/>
  <c r="E100" i="97"/>
  <c r="E104" i="97"/>
  <c r="E108" i="97"/>
  <c r="E112" i="97"/>
  <c r="E116" i="97"/>
  <c r="E120" i="97"/>
  <c r="E124" i="97"/>
  <c r="E128" i="97"/>
  <c r="E132" i="97"/>
  <c r="E136" i="97"/>
  <c r="E140" i="97"/>
  <c r="E144" i="97"/>
  <c r="E148" i="97"/>
  <c r="E152" i="97"/>
  <c r="E156" i="97"/>
  <c r="E160" i="97"/>
  <c r="E164" i="97"/>
  <c r="E168" i="97"/>
  <c r="E172" i="97"/>
  <c r="E176" i="97"/>
  <c r="E180" i="97"/>
  <c r="E184" i="97"/>
  <c r="E188" i="97"/>
  <c r="E192" i="97"/>
  <c r="E196" i="97"/>
  <c r="E200" i="97"/>
  <c r="E204" i="97"/>
  <c r="E208" i="97"/>
  <c r="E212" i="97"/>
  <c r="E216" i="97"/>
  <c r="E220" i="97"/>
  <c r="E224" i="97"/>
  <c r="E228" i="97"/>
  <c r="E232" i="97"/>
  <c r="E236" i="97"/>
  <c r="E240" i="97"/>
  <c r="E244" i="97"/>
  <c r="E248" i="97"/>
  <c r="E252" i="97"/>
  <c r="E256" i="97"/>
  <c r="E260" i="97"/>
  <c r="E264" i="97"/>
  <c r="E268" i="97"/>
  <c r="E272" i="97"/>
  <c r="E276" i="97"/>
  <c r="E280" i="97"/>
  <c r="E284" i="97"/>
  <c r="E288" i="97"/>
  <c r="E292" i="97"/>
  <c r="E296" i="97"/>
  <c r="E300" i="97"/>
  <c r="E304" i="97"/>
  <c r="E308" i="97"/>
  <c r="E312" i="97"/>
  <c r="E316" i="97"/>
  <c r="E320" i="97"/>
  <c r="E324" i="97"/>
  <c r="E328" i="97"/>
  <c r="E332" i="97"/>
  <c r="E336" i="97"/>
  <c r="E340" i="97"/>
  <c r="E344" i="97"/>
  <c r="E348" i="97"/>
  <c r="E352" i="97"/>
  <c r="E356" i="97"/>
  <c r="E360" i="97"/>
  <c r="E305" i="97"/>
  <c r="E313" i="97"/>
  <c r="E321" i="97"/>
  <c r="E329" i="97"/>
  <c r="E337" i="97"/>
  <c r="E345" i="97"/>
  <c r="E353" i="97"/>
  <c r="E361" i="97"/>
  <c r="E365" i="97"/>
  <c r="E369" i="97"/>
  <c r="E373" i="97"/>
  <c r="E377" i="97"/>
  <c r="E381" i="97"/>
  <c r="E385" i="97"/>
  <c r="E389" i="97"/>
  <c r="E393" i="97"/>
  <c r="E397" i="97"/>
  <c r="E401" i="97"/>
  <c r="E405" i="97"/>
  <c r="E409" i="97"/>
  <c r="E413" i="97"/>
  <c r="E417" i="97"/>
  <c r="E421" i="97"/>
  <c r="E425" i="97"/>
  <c r="E429" i="97"/>
  <c r="E433" i="97"/>
  <c r="E437" i="97"/>
  <c r="E441" i="97"/>
  <c r="E445" i="97"/>
  <c r="E449" i="97"/>
  <c r="E453" i="97"/>
  <c r="E457" i="97"/>
  <c r="E461" i="97"/>
  <c r="E465" i="97"/>
  <c r="E469" i="97"/>
  <c r="E473" i="97"/>
  <c r="E477" i="97"/>
  <c r="E481" i="97"/>
  <c r="E485" i="97"/>
  <c r="E489" i="97"/>
  <c r="E493" i="97"/>
  <c r="E497" i="97"/>
  <c r="E501" i="97"/>
  <c r="E505" i="97"/>
  <c r="E509" i="97"/>
  <c r="E513" i="97"/>
  <c r="E517" i="97"/>
  <c r="E521" i="97"/>
  <c r="E525" i="97"/>
  <c r="E529" i="97"/>
  <c r="E533" i="97"/>
  <c r="E537" i="97"/>
  <c r="E541" i="97"/>
  <c r="E545" i="97"/>
  <c r="E549" i="97"/>
  <c r="E553" i="97"/>
  <c r="E557" i="97"/>
  <c r="E561" i="97"/>
  <c r="E565" i="97"/>
  <c r="E569" i="97"/>
  <c r="E573" i="97"/>
  <c r="E577" i="97"/>
  <c r="E581" i="97"/>
  <c r="E585" i="97"/>
  <c r="E589" i="97"/>
  <c r="E593" i="97"/>
  <c r="E597" i="97"/>
  <c r="E601" i="97"/>
  <c r="E605" i="97"/>
  <c r="D21" i="97"/>
  <c r="H21" i="97" s="1"/>
  <c r="D25" i="97"/>
  <c r="D29" i="97"/>
  <c r="F29" i="97" s="1"/>
  <c r="D33" i="97"/>
  <c r="D37" i="97"/>
  <c r="F37" i="97" s="1"/>
  <c r="D41" i="97"/>
  <c r="D45" i="97"/>
  <c r="F45" i="97" s="1"/>
  <c r="D49" i="97"/>
  <c r="D53" i="97"/>
  <c r="F53" i="97" s="1"/>
  <c r="D57" i="97"/>
  <c r="D61" i="97"/>
  <c r="F61" i="97" s="1"/>
  <c r="D65" i="97"/>
  <c r="D69" i="97"/>
  <c r="D73" i="97"/>
  <c r="D77" i="97"/>
  <c r="D81" i="97"/>
  <c r="E306" i="97"/>
  <c r="E314" i="97"/>
  <c r="E322" i="97"/>
  <c r="E330" i="97"/>
  <c r="E338" i="97"/>
  <c r="E346" i="97"/>
  <c r="E354" i="97"/>
  <c r="E362" i="97"/>
  <c r="E366" i="97"/>
  <c r="E370" i="97"/>
  <c r="E374" i="97"/>
  <c r="E378" i="97"/>
  <c r="E382" i="97"/>
  <c r="E386" i="97"/>
  <c r="E390" i="97"/>
  <c r="E394" i="97"/>
  <c r="E398" i="97"/>
  <c r="E402" i="97"/>
  <c r="E406" i="97"/>
  <c r="E410" i="97"/>
  <c r="E414" i="97"/>
  <c r="E418" i="97"/>
  <c r="E422" i="97"/>
  <c r="E426" i="97"/>
  <c r="E430" i="97"/>
  <c r="E434" i="97"/>
  <c r="E438" i="97"/>
  <c r="E442" i="97"/>
  <c r="E446" i="97"/>
  <c r="E450" i="97"/>
  <c r="E454" i="97"/>
  <c r="E458" i="97"/>
  <c r="E462" i="97"/>
  <c r="E466" i="97"/>
  <c r="E470" i="97"/>
  <c r="E474" i="97"/>
  <c r="E478" i="97"/>
  <c r="E482" i="97"/>
  <c r="E486" i="97"/>
  <c r="E490" i="97"/>
  <c r="E494" i="97"/>
  <c r="E498" i="97"/>
  <c r="E502" i="97"/>
  <c r="E506" i="97"/>
  <c r="E510" i="97"/>
  <c r="E514" i="97"/>
  <c r="E518" i="97"/>
  <c r="E522" i="97"/>
  <c r="E526" i="97"/>
  <c r="E530" i="97"/>
  <c r="E534" i="97"/>
  <c r="E538" i="97"/>
  <c r="E542" i="97"/>
  <c r="E546" i="97"/>
  <c r="E550" i="97"/>
  <c r="E554" i="97"/>
  <c r="E558" i="97"/>
  <c r="E562" i="97"/>
  <c r="E566" i="97"/>
  <c r="E570" i="97"/>
  <c r="E574" i="97"/>
  <c r="E578" i="97"/>
  <c r="E582" i="97"/>
  <c r="E586" i="97"/>
  <c r="E590" i="97"/>
  <c r="E594" i="97"/>
  <c r="E598" i="97"/>
  <c r="E309" i="97"/>
  <c r="E317" i="97"/>
  <c r="E325" i="97"/>
  <c r="E333" i="97"/>
  <c r="E341" i="97"/>
  <c r="E349" i="97"/>
  <c r="E357" i="97"/>
  <c r="E363" i="97"/>
  <c r="E367" i="97"/>
  <c r="E371" i="97"/>
  <c r="E375" i="97"/>
  <c r="E379" i="97"/>
  <c r="E383" i="97"/>
  <c r="E387" i="97"/>
  <c r="E391" i="97"/>
  <c r="E395" i="97"/>
  <c r="E399" i="97"/>
  <c r="E403" i="97"/>
  <c r="E407" i="97"/>
  <c r="E411" i="97"/>
  <c r="E415" i="97"/>
  <c r="E419" i="97"/>
  <c r="E423" i="97"/>
  <c r="E427" i="97"/>
  <c r="E431" i="97"/>
  <c r="E435" i="97"/>
  <c r="E439" i="97"/>
  <c r="E443" i="97"/>
  <c r="E447" i="97"/>
  <c r="E451" i="97"/>
  <c r="E455" i="97"/>
  <c r="E459" i="97"/>
  <c r="E463" i="97"/>
  <c r="E467" i="97"/>
  <c r="E471" i="97"/>
  <c r="E475" i="97"/>
  <c r="E479" i="97"/>
  <c r="E483" i="97"/>
  <c r="E487" i="97"/>
  <c r="E491" i="97"/>
  <c r="E495" i="97"/>
  <c r="E499" i="97"/>
  <c r="E503" i="97"/>
  <c r="E507" i="97"/>
  <c r="E511" i="97"/>
  <c r="E515" i="97"/>
  <c r="E519" i="97"/>
  <c r="E523" i="97"/>
  <c r="E527" i="97"/>
  <c r="E531" i="97"/>
  <c r="E535" i="97"/>
  <c r="E539" i="97"/>
  <c r="E543" i="97"/>
  <c r="E547" i="97"/>
  <c r="E551" i="97"/>
  <c r="E555" i="97"/>
  <c r="E559" i="97"/>
  <c r="E563" i="97"/>
  <c r="E567" i="97"/>
  <c r="E571" i="97"/>
  <c r="E575" i="97"/>
  <c r="E579" i="97"/>
  <c r="E583" i="97"/>
  <c r="E587" i="97"/>
  <c r="E591" i="97"/>
  <c r="E595" i="97"/>
  <c r="E599" i="97"/>
  <c r="E603" i="97"/>
  <c r="E607" i="97"/>
  <c r="D23" i="97"/>
  <c r="F23" i="97" s="1"/>
  <c r="D27" i="97"/>
  <c r="D31" i="97"/>
  <c r="D35" i="97"/>
  <c r="D39" i="97"/>
  <c r="F39" i="97" s="1"/>
  <c r="D43" i="97"/>
  <c r="D47" i="97"/>
  <c r="D51" i="97"/>
  <c r="D55" i="97"/>
  <c r="F55" i="97" s="1"/>
  <c r="D59" i="97"/>
  <c r="D63" i="97"/>
  <c r="D67" i="97"/>
  <c r="D71" i="97"/>
  <c r="D75" i="97"/>
  <c r="D79" i="97"/>
  <c r="D83" i="97"/>
  <c r="E310" i="97"/>
  <c r="E342" i="97"/>
  <c r="E368" i="97"/>
  <c r="E384" i="97"/>
  <c r="E400" i="97"/>
  <c r="E416" i="97"/>
  <c r="E432" i="97"/>
  <c r="E448" i="97"/>
  <c r="E464" i="97"/>
  <c r="E480" i="97"/>
  <c r="E496" i="97"/>
  <c r="E512" i="97"/>
  <c r="E528" i="97"/>
  <c r="E544" i="97"/>
  <c r="E560" i="97"/>
  <c r="E576" i="97"/>
  <c r="E592" i="97"/>
  <c r="E604" i="97"/>
  <c r="D24" i="97"/>
  <c r="F24" i="97" s="1"/>
  <c r="D32" i="97"/>
  <c r="D40" i="97"/>
  <c r="D48" i="97"/>
  <c r="D56" i="97"/>
  <c r="F56" i="97" s="1"/>
  <c r="D64" i="97"/>
  <c r="D72" i="97"/>
  <c r="D80" i="97"/>
  <c r="D86" i="97"/>
  <c r="D90" i="97"/>
  <c r="D94" i="97"/>
  <c r="D98" i="97"/>
  <c r="D102" i="97"/>
  <c r="D106" i="97"/>
  <c r="D110" i="97"/>
  <c r="D114" i="97"/>
  <c r="D118" i="97"/>
  <c r="D122" i="97"/>
  <c r="D126" i="97"/>
  <c r="D130" i="97"/>
  <c r="D134" i="97"/>
  <c r="D138" i="97"/>
  <c r="D142" i="97"/>
  <c r="D146" i="97"/>
  <c r="D150" i="97"/>
  <c r="D154" i="97"/>
  <c r="D158" i="97"/>
  <c r="D162" i="97"/>
  <c r="D166" i="97"/>
  <c r="D170" i="97"/>
  <c r="D174" i="97"/>
  <c r="D178" i="97"/>
  <c r="D182" i="97"/>
  <c r="D186" i="97"/>
  <c r="D190" i="97"/>
  <c r="D194" i="97"/>
  <c r="D198" i="97"/>
  <c r="D202" i="97"/>
  <c r="D206" i="97"/>
  <c r="D210" i="97"/>
  <c r="D214" i="97"/>
  <c r="D218" i="97"/>
  <c r="D222" i="97"/>
  <c r="D226" i="97"/>
  <c r="D230" i="97"/>
  <c r="D234" i="97"/>
  <c r="D238" i="97"/>
  <c r="D242" i="97"/>
  <c r="D246" i="97"/>
  <c r="D250" i="97"/>
  <c r="D254" i="97"/>
  <c r="D258" i="97"/>
  <c r="D262" i="97"/>
  <c r="D266" i="97"/>
  <c r="D270" i="97"/>
  <c r="D274" i="97"/>
  <c r="D278" i="97"/>
  <c r="D282" i="97"/>
  <c r="D286" i="97"/>
  <c r="D290" i="97"/>
  <c r="D294" i="97"/>
  <c r="D298" i="97"/>
  <c r="D302" i="97"/>
  <c r="D306" i="97"/>
  <c r="D310" i="97"/>
  <c r="D314" i="97"/>
  <c r="E318" i="97"/>
  <c r="E350" i="97"/>
  <c r="E372" i="97"/>
  <c r="E388" i="97"/>
  <c r="E404" i="97"/>
  <c r="E420" i="97"/>
  <c r="E436" i="97"/>
  <c r="E452" i="97"/>
  <c r="E468" i="97"/>
  <c r="E484" i="97"/>
  <c r="E500" i="97"/>
  <c r="E516" i="97"/>
  <c r="E532" i="97"/>
  <c r="E548" i="97"/>
  <c r="E564" i="97"/>
  <c r="E580" i="97"/>
  <c r="E596" i="97"/>
  <c r="E606" i="97"/>
  <c r="D26" i="97"/>
  <c r="F26" i="97" s="1"/>
  <c r="D34" i="97"/>
  <c r="F34" i="97" s="1"/>
  <c r="D42" i="97"/>
  <c r="F42" i="97" s="1"/>
  <c r="D50" i="97"/>
  <c r="F50" i="97" s="1"/>
  <c r="D58" i="97"/>
  <c r="F58" i="97" s="1"/>
  <c r="D66" i="97"/>
  <c r="F66" i="97" s="1"/>
  <c r="D74" i="97"/>
  <c r="D82" i="97"/>
  <c r="D87" i="97"/>
  <c r="D91" i="97"/>
  <c r="D95" i="97"/>
  <c r="D99" i="97"/>
  <c r="D103" i="97"/>
  <c r="D107" i="97"/>
  <c r="D111" i="97"/>
  <c r="D115" i="97"/>
  <c r="D119" i="97"/>
  <c r="D123" i="97"/>
  <c r="D127" i="97"/>
  <c r="D131" i="97"/>
  <c r="D135" i="97"/>
  <c r="D139" i="97"/>
  <c r="D143" i="97"/>
  <c r="D147" i="97"/>
  <c r="D151" i="97"/>
  <c r="D155" i="97"/>
  <c r="D159" i="97"/>
  <c r="D163" i="97"/>
  <c r="D167" i="97"/>
  <c r="D171" i="97"/>
  <c r="D175" i="97"/>
  <c r="D179" i="97"/>
  <c r="D183" i="97"/>
  <c r="D187" i="97"/>
  <c r="D191" i="97"/>
  <c r="D195" i="97"/>
  <c r="D199" i="97"/>
  <c r="D203" i="97"/>
  <c r="D207" i="97"/>
  <c r="D211" i="97"/>
  <c r="D215" i="97"/>
  <c r="D219" i="97"/>
  <c r="D223" i="97"/>
  <c r="D227" i="97"/>
  <c r="D231" i="97"/>
  <c r="D235" i="97"/>
  <c r="D239" i="97"/>
  <c r="D243" i="97"/>
  <c r="D247" i="97"/>
  <c r="D251" i="97"/>
  <c r="D255" i="97"/>
  <c r="D259" i="97"/>
  <c r="D263" i="97"/>
  <c r="D267" i="97"/>
  <c r="D271" i="97"/>
  <c r="D275" i="97"/>
  <c r="D279" i="97"/>
  <c r="D283" i="97"/>
  <c r="D287" i="97"/>
  <c r="D291" i="97"/>
  <c r="D295" i="97"/>
  <c r="D299" i="97"/>
  <c r="D303" i="97"/>
  <c r="D307" i="97"/>
  <c r="D311" i="97"/>
  <c r="D315" i="97"/>
  <c r="D319" i="97"/>
  <c r="E326" i="97"/>
  <c r="E358" i="97"/>
  <c r="E376" i="97"/>
  <c r="E392" i="97"/>
  <c r="E408" i="97"/>
  <c r="E424" i="97"/>
  <c r="E440" i="97"/>
  <c r="E456" i="97"/>
  <c r="E472" i="97"/>
  <c r="E488" i="97"/>
  <c r="E504" i="97"/>
  <c r="E520" i="97"/>
  <c r="E536" i="97"/>
  <c r="E552" i="97"/>
  <c r="E568" i="97"/>
  <c r="E584" i="97"/>
  <c r="E600" i="97"/>
  <c r="E608" i="97"/>
  <c r="D28" i="97"/>
  <c r="F28" i="97" s="1"/>
  <c r="D36" i="97"/>
  <c r="F36" i="97" s="1"/>
  <c r="D44" i="97"/>
  <c r="D52" i="97"/>
  <c r="F52" i="97" s="1"/>
  <c r="D60" i="97"/>
  <c r="F60" i="97" s="1"/>
  <c r="D68" i="97"/>
  <c r="F68" i="97" s="1"/>
  <c r="D76" i="97"/>
  <c r="D84" i="97"/>
  <c r="D88" i="97"/>
  <c r="D92" i="97"/>
  <c r="D96" i="97"/>
  <c r="D100" i="97"/>
  <c r="D104" i="97"/>
  <c r="D108" i="97"/>
  <c r="D112" i="97"/>
  <c r="D116" i="97"/>
  <c r="D120" i="97"/>
  <c r="D124" i="97"/>
  <c r="D128" i="97"/>
  <c r="D132" i="97"/>
  <c r="D136" i="97"/>
  <c r="D140" i="97"/>
  <c r="D144" i="97"/>
  <c r="D148" i="97"/>
  <c r="D152" i="97"/>
  <c r="D156" i="97"/>
  <c r="D160" i="97"/>
  <c r="D164" i="97"/>
  <c r="D168" i="97"/>
  <c r="D172" i="97"/>
  <c r="D176" i="97"/>
  <c r="D180" i="97"/>
  <c r="D184" i="97"/>
  <c r="D188" i="97"/>
  <c r="D192" i="97"/>
  <c r="D196" i="97"/>
  <c r="D200" i="97"/>
  <c r="D204" i="97"/>
  <c r="D208" i="97"/>
  <c r="D212" i="97"/>
  <c r="D216" i="97"/>
  <c r="D220" i="97"/>
  <c r="D224" i="97"/>
  <c r="D228" i="97"/>
  <c r="D232" i="97"/>
  <c r="D236" i="97"/>
  <c r="D240" i="97"/>
  <c r="D244" i="97"/>
  <c r="D248" i="97"/>
  <c r="D252" i="97"/>
  <c r="D256" i="97"/>
  <c r="D260" i="97"/>
  <c r="D264" i="97"/>
  <c r="D268" i="97"/>
  <c r="D272" i="97"/>
  <c r="E334" i="97"/>
  <c r="E412" i="97"/>
  <c r="E476" i="97"/>
  <c r="E540" i="97"/>
  <c r="E602" i="97"/>
  <c r="D46" i="97"/>
  <c r="D78" i="97"/>
  <c r="D97" i="97"/>
  <c r="D113" i="97"/>
  <c r="D129" i="97"/>
  <c r="D145" i="97"/>
  <c r="D161" i="97"/>
  <c r="D177" i="97"/>
  <c r="D193" i="97"/>
  <c r="D209" i="97"/>
  <c r="D225" i="97"/>
  <c r="D241" i="97"/>
  <c r="D257" i="97"/>
  <c r="D273" i="97"/>
  <c r="D281" i="97"/>
  <c r="D289" i="97"/>
  <c r="D297" i="97"/>
  <c r="D305" i="97"/>
  <c r="D313" i="97"/>
  <c r="D320" i="97"/>
  <c r="D324" i="97"/>
  <c r="D328" i="97"/>
  <c r="D332" i="97"/>
  <c r="D336" i="97"/>
  <c r="D340" i="97"/>
  <c r="D344" i="97"/>
  <c r="D348" i="97"/>
  <c r="D352" i="97"/>
  <c r="D356" i="97"/>
  <c r="D360" i="97"/>
  <c r="D364" i="97"/>
  <c r="D368" i="97"/>
  <c r="D372" i="97"/>
  <c r="D376" i="97"/>
  <c r="D380" i="97"/>
  <c r="D384" i="97"/>
  <c r="D388" i="97"/>
  <c r="D392" i="97"/>
  <c r="D396" i="97"/>
  <c r="D400" i="97"/>
  <c r="D404" i="97"/>
  <c r="D408" i="97"/>
  <c r="D412" i="97"/>
  <c r="D416" i="97"/>
  <c r="D420" i="97"/>
  <c r="D424" i="97"/>
  <c r="D428" i="97"/>
  <c r="D432" i="97"/>
  <c r="D436" i="97"/>
  <c r="D440" i="97"/>
  <c r="D444" i="97"/>
  <c r="D448" i="97"/>
  <c r="D452" i="97"/>
  <c r="D456" i="97"/>
  <c r="D460" i="97"/>
  <c r="D464" i="97"/>
  <c r="D468" i="97"/>
  <c r="D472" i="97"/>
  <c r="D476" i="97"/>
  <c r="D480" i="97"/>
  <c r="D484" i="97"/>
  <c r="D488" i="97"/>
  <c r="D492" i="97"/>
  <c r="D496" i="97"/>
  <c r="D500" i="97"/>
  <c r="D504" i="97"/>
  <c r="D508" i="97"/>
  <c r="D512" i="97"/>
  <c r="D516" i="97"/>
  <c r="D520" i="97"/>
  <c r="D524" i="97"/>
  <c r="D528" i="97"/>
  <c r="D532" i="97"/>
  <c r="D536" i="97"/>
  <c r="D540" i="97"/>
  <c r="D544" i="97"/>
  <c r="D548" i="97"/>
  <c r="D552" i="97"/>
  <c r="D556" i="97"/>
  <c r="D560" i="97"/>
  <c r="D564" i="97"/>
  <c r="D568" i="97"/>
  <c r="D572" i="97"/>
  <c r="D576" i="97"/>
  <c r="D580" i="97"/>
  <c r="D584" i="97"/>
  <c r="D588" i="97"/>
  <c r="D592" i="97"/>
  <c r="D596" i="97"/>
  <c r="D600" i="97"/>
  <c r="D604" i="97"/>
  <c r="D608" i="97"/>
  <c r="E364" i="97"/>
  <c r="E428" i="97"/>
  <c r="E492" i="97"/>
  <c r="E556" i="97"/>
  <c r="D22" i="97"/>
  <c r="F22" i="97" s="1"/>
  <c r="D54" i="97"/>
  <c r="F54" i="97" s="1"/>
  <c r="D85" i="97"/>
  <c r="D101" i="97"/>
  <c r="D117" i="97"/>
  <c r="D133" i="97"/>
  <c r="D149" i="97"/>
  <c r="D165" i="97"/>
  <c r="D181" i="97"/>
  <c r="D197" i="97"/>
  <c r="D213" i="97"/>
  <c r="D229" i="97"/>
  <c r="D245" i="97"/>
  <c r="D261" i="97"/>
  <c r="D276" i="97"/>
  <c r="D284" i="97"/>
  <c r="D292" i="97"/>
  <c r="D300" i="97"/>
  <c r="D308" i="97"/>
  <c r="D316" i="97"/>
  <c r="D321" i="97"/>
  <c r="D325" i="97"/>
  <c r="D329" i="97"/>
  <c r="D333" i="97"/>
  <c r="D337" i="97"/>
  <c r="D341" i="97"/>
  <c r="D345" i="97"/>
  <c r="D349" i="97"/>
  <c r="D353" i="97"/>
  <c r="D357" i="97"/>
  <c r="D361" i="97"/>
  <c r="D365" i="97"/>
  <c r="D369" i="97"/>
  <c r="D373" i="97"/>
  <c r="D377" i="97"/>
  <c r="D381" i="97"/>
  <c r="D385" i="97"/>
  <c r="D389" i="97"/>
  <c r="D393" i="97"/>
  <c r="D397" i="97"/>
  <c r="D401" i="97"/>
  <c r="D405" i="97"/>
  <c r="D409" i="97"/>
  <c r="D413" i="97"/>
  <c r="D417" i="97"/>
  <c r="D421" i="97"/>
  <c r="D425" i="97"/>
  <c r="D429" i="97"/>
  <c r="D433" i="97"/>
  <c r="D437" i="97"/>
  <c r="D441" i="97"/>
  <c r="D445" i="97"/>
  <c r="D449" i="97"/>
  <c r="D453" i="97"/>
  <c r="D457" i="97"/>
  <c r="D461" i="97"/>
  <c r="D465" i="97"/>
  <c r="D469" i="97"/>
  <c r="D473" i="97"/>
  <c r="D477" i="97"/>
  <c r="D481" i="97"/>
  <c r="D485" i="97"/>
  <c r="D489" i="97"/>
  <c r="D493" i="97"/>
  <c r="D497" i="97"/>
  <c r="D501" i="97"/>
  <c r="D505" i="97"/>
  <c r="D509" i="97"/>
  <c r="D513" i="97"/>
  <c r="D517" i="97"/>
  <c r="D521" i="97"/>
  <c r="D525" i="97"/>
  <c r="D529" i="97"/>
  <c r="D533" i="97"/>
  <c r="D537" i="97"/>
  <c r="D541" i="97"/>
  <c r="D545" i="97"/>
  <c r="D549" i="97"/>
  <c r="D553" i="97"/>
  <c r="D557" i="97"/>
  <c r="D561" i="97"/>
  <c r="D565" i="97"/>
  <c r="D569" i="97"/>
  <c r="D573" i="97"/>
  <c r="D577" i="97"/>
  <c r="E380" i="97"/>
  <c r="E444" i="97"/>
  <c r="E508" i="97"/>
  <c r="E572" i="97"/>
  <c r="D30" i="97"/>
  <c r="D62" i="97"/>
  <c r="D89" i="97"/>
  <c r="D105" i="97"/>
  <c r="D121" i="97"/>
  <c r="D137" i="97"/>
  <c r="D153" i="97"/>
  <c r="D169" i="97"/>
  <c r="D185" i="97"/>
  <c r="D201" i="97"/>
  <c r="D217" i="97"/>
  <c r="D233" i="97"/>
  <c r="D249" i="97"/>
  <c r="D265" i="97"/>
  <c r="D277" i="97"/>
  <c r="D285" i="97"/>
  <c r="D293" i="97"/>
  <c r="D301" i="97"/>
  <c r="D309" i="97"/>
  <c r="D317" i="97"/>
  <c r="D322" i="97"/>
  <c r="D326" i="97"/>
  <c r="D330" i="97"/>
  <c r="D334" i="97"/>
  <c r="D338" i="97"/>
  <c r="D342" i="97"/>
  <c r="D346" i="97"/>
  <c r="D350" i="97"/>
  <c r="D354" i="97"/>
  <c r="D358" i="97"/>
  <c r="D362" i="97"/>
  <c r="D366" i="97"/>
  <c r="D370" i="97"/>
  <c r="D374" i="97"/>
  <c r="D378" i="97"/>
  <c r="D382" i="97"/>
  <c r="D386" i="97"/>
  <c r="D390" i="97"/>
  <c r="D394" i="97"/>
  <c r="D398" i="97"/>
  <c r="D402" i="97"/>
  <c r="D406" i="97"/>
  <c r="D410" i="97"/>
  <c r="D414" i="97"/>
  <c r="D418" i="97"/>
  <c r="D422" i="97"/>
  <c r="D426" i="97"/>
  <c r="D430" i="97"/>
  <c r="D434" i="97"/>
  <c r="D438" i="97"/>
  <c r="D442" i="97"/>
  <c r="D446" i="97"/>
  <c r="D450" i="97"/>
  <c r="D454" i="97"/>
  <c r="D458" i="97"/>
  <c r="D462" i="97"/>
  <c r="D466" i="97"/>
  <c r="D470" i="97"/>
  <c r="D474" i="97"/>
  <c r="D478" i="97"/>
  <c r="D482" i="97"/>
  <c r="D486" i="97"/>
  <c r="D490" i="97"/>
  <c r="D494" i="97"/>
  <c r="D498" i="97"/>
  <c r="D502" i="97"/>
  <c r="D506" i="97"/>
  <c r="D510" i="97"/>
  <c r="D514" i="97"/>
  <c r="D518" i="97"/>
  <c r="D522" i="97"/>
  <c r="D526" i="97"/>
  <c r="D530" i="97"/>
  <c r="D534" i="97"/>
  <c r="D538" i="97"/>
  <c r="D542" i="97"/>
  <c r="D546" i="97"/>
  <c r="D550" i="97"/>
  <c r="D554" i="97"/>
  <c r="D558" i="97"/>
  <c r="D562" i="97"/>
  <c r="D566" i="97"/>
  <c r="D570" i="97"/>
  <c r="D574" i="97"/>
  <c r="D578" i="97"/>
  <c r="D582" i="97"/>
  <c r="D586" i="97"/>
  <c r="D590" i="97"/>
  <c r="D594" i="97"/>
  <c r="D598" i="97"/>
  <c r="D602" i="97"/>
  <c r="D606" i="97"/>
  <c r="E396" i="97"/>
  <c r="D38" i="97"/>
  <c r="F38" i="97" s="1"/>
  <c r="D125" i="97"/>
  <c r="D189" i="97"/>
  <c r="D253" i="97"/>
  <c r="D296" i="97"/>
  <c r="D323" i="97"/>
  <c r="D339" i="97"/>
  <c r="D355" i="97"/>
  <c r="D371" i="97"/>
  <c r="D387" i="97"/>
  <c r="D403" i="97"/>
  <c r="D419" i="97"/>
  <c r="D435" i="97"/>
  <c r="D451" i="97"/>
  <c r="D467" i="97"/>
  <c r="D483" i="97"/>
  <c r="D499" i="97"/>
  <c r="D515" i="97"/>
  <c r="D531" i="97"/>
  <c r="D547" i="97"/>
  <c r="D563" i="97"/>
  <c r="D579" i="97"/>
  <c r="D587" i="97"/>
  <c r="D595" i="97"/>
  <c r="D603" i="97"/>
  <c r="D173" i="97"/>
  <c r="D288" i="97"/>
  <c r="D335" i="97"/>
  <c r="D367" i="97"/>
  <c r="D415" i="97"/>
  <c r="D447" i="97"/>
  <c r="D495" i="97"/>
  <c r="D527" i="97"/>
  <c r="D559" i="97"/>
  <c r="D593" i="97"/>
  <c r="E460" i="97"/>
  <c r="D70" i="97"/>
  <c r="D141" i="97"/>
  <c r="D205" i="97"/>
  <c r="D269" i="97"/>
  <c r="D304" i="97"/>
  <c r="D327" i="97"/>
  <c r="D343" i="97"/>
  <c r="D359" i="97"/>
  <c r="D375" i="97"/>
  <c r="D391" i="97"/>
  <c r="D407" i="97"/>
  <c r="D423" i="97"/>
  <c r="D439" i="97"/>
  <c r="D455" i="97"/>
  <c r="D471" i="97"/>
  <c r="D487" i="97"/>
  <c r="D503" i="97"/>
  <c r="D519" i="97"/>
  <c r="D535" i="97"/>
  <c r="D551" i="97"/>
  <c r="D567" i="97"/>
  <c r="D581" i="97"/>
  <c r="D589" i="97"/>
  <c r="D597" i="97"/>
  <c r="D605" i="97"/>
  <c r="D109" i="97"/>
  <c r="D237" i="97"/>
  <c r="D318" i="97"/>
  <c r="D351" i="97"/>
  <c r="D399" i="97"/>
  <c r="D431" i="97"/>
  <c r="D479" i="97"/>
  <c r="D511" i="97"/>
  <c r="D575" i="97"/>
  <c r="D601" i="97"/>
  <c r="E524" i="97"/>
  <c r="D93" i="97"/>
  <c r="D157" i="97"/>
  <c r="D221" i="97"/>
  <c r="D280" i="97"/>
  <c r="D312" i="97"/>
  <c r="D331" i="97"/>
  <c r="D347" i="97"/>
  <c r="D363" i="97"/>
  <c r="D379" i="97"/>
  <c r="D395" i="97"/>
  <c r="D411" i="97"/>
  <c r="D427" i="97"/>
  <c r="D443" i="97"/>
  <c r="D459" i="97"/>
  <c r="D475" i="97"/>
  <c r="D491" i="97"/>
  <c r="D507" i="97"/>
  <c r="D523" i="97"/>
  <c r="D539" i="97"/>
  <c r="D555" i="97"/>
  <c r="D571" i="97"/>
  <c r="D583" i="97"/>
  <c r="D591" i="97"/>
  <c r="D599" i="97"/>
  <c r="D607" i="97"/>
  <c r="E588" i="97"/>
  <c r="D383" i="97"/>
  <c r="D463" i="97"/>
  <c r="D543" i="97"/>
  <c r="D585" i="97"/>
  <c r="B5" i="20"/>
  <c r="B6" i="20"/>
  <c r="B7" i="20"/>
  <c r="B8" i="20"/>
  <c r="B9" i="20"/>
  <c r="B10" i="20"/>
  <c r="B11" i="20"/>
  <c r="B12" i="20"/>
  <c r="B13" i="20"/>
  <c r="B14" i="20"/>
  <c r="B15" i="20"/>
  <c r="B16" i="20"/>
  <c r="B4" i="20"/>
  <c r="H9" i="85"/>
  <c r="H10" i="85"/>
  <c r="H11" i="85"/>
  <c r="H12" i="85"/>
  <c r="H13" i="85"/>
  <c r="H14" i="85"/>
  <c r="H15" i="85"/>
  <c r="H16" i="85"/>
  <c r="H10" i="94"/>
  <c r="H11" i="94"/>
  <c r="H12" i="94"/>
  <c r="H13" i="94"/>
  <c r="H14" i="94"/>
  <c r="H15" i="94"/>
  <c r="H16" i="94"/>
  <c r="H9" i="94"/>
  <c r="H8" i="94"/>
  <c r="H7" i="94"/>
  <c r="H8" i="85"/>
  <c r="H7" i="85"/>
  <c r="I10" i="81"/>
  <c r="I5" i="81"/>
  <c r="I6" i="81" s="1"/>
  <c r="I9" i="81"/>
  <c r="I11" i="81" s="1"/>
  <c r="F395" i="97" l="1"/>
  <c r="F581" i="97"/>
  <c r="F327" i="97"/>
  <c r="F602" i="97"/>
  <c r="F277" i="97"/>
  <c r="F333" i="97"/>
  <c r="F229" i="97"/>
  <c r="F608" i="97"/>
  <c r="F560" i="97"/>
  <c r="F544" i="97"/>
  <c r="F480" i="97"/>
  <c r="F432" i="97"/>
  <c r="F368" i="97"/>
  <c r="F241" i="97"/>
  <c r="F177" i="97"/>
  <c r="F459" i="97"/>
  <c r="F157" i="97"/>
  <c r="F455" i="97"/>
  <c r="F173" i="97"/>
  <c r="F346" i="97"/>
  <c r="F165" i="97"/>
  <c r="F496" i="97"/>
  <c r="F416" i="97"/>
  <c r="F289" i="97"/>
  <c r="F583" i="97"/>
  <c r="F391" i="97"/>
  <c r="F555" i="97"/>
  <c r="F363" i="97"/>
  <c r="F597" i="97"/>
  <c r="F487" i="97"/>
  <c r="F359" i="97"/>
  <c r="F578" i="97"/>
  <c r="F530" i="97"/>
  <c r="F498" i="97"/>
  <c r="F466" i="97"/>
  <c r="F418" i="97"/>
  <c r="F386" i="97"/>
  <c r="F549" i="97"/>
  <c r="F501" i="97"/>
  <c r="F469" i="97"/>
  <c r="F437" i="97"/>
  <c r="F389" i="97"/>
  <c r="F357" i="97"/>
  <c r="F325" i="97"/>
  <c r="F261" i="97"/>
  <c r="F584" i="97"/>
  <c r="F520" i="97"/>
  <c r="F392" i="97"/>
  <c r="F585" i="97"/>
  <c r="F523" i="97"/>
  <c r="F331" i="97"/>
  <c r="F519" i="97"/>
  <c r="F141" i="97"/>
  <c r="F599" i="97"/>
  <c r="F491" i="97"/>
  <c r="F427" i="97"/>
  <c r="F280" i="97"/>
  <c r="F551" i="97"/>
  <c r="F423" i="97"/>
  <c r="F269" i="97"/>
  <c r="F253" i="97"/>
  <c r="F594" i="97"/>
  <c r="F562" i="97"/>
  <c r="F546" i="97"/>
  <c r="F514" i="97"/>
  <c r="F482" i="97"/>
  <c r="F450" i="97"/>
  <c r="F434" i="97"/>
  <c r="F402" i="97"/>
  <c r="F370" i="97"/>
  <c r="F293" i="97"/>
  <c r="F565" i="97"/>
  <c r="F533" i="97"/>
  <c r="F517" i="97"/>
  <c r="F485" i="97"/>
  <c r="F453" i="97"/>
  <c r="F421" i="97"/>
  <c r="F405" i="97"/>
  <c r="F373" i="97"/>
  <c r="F197" i="97"/>
  <c r="F456" i="97"/>
  <c r="F260" i="97"/>
  <c r="F212" i="97"/>
  <c r="F180" i="97"/>
  <c r="F148" i="97"/>
  <c r="F311" i="97"/>
  <c r="F279" i="97"/>
  <c r="F231" i="97"/>
  <c r="F199" i="97"/>
  <c r="F167" i="97"/>
  <c r="F278" i="97"/>
  <c r="F230" i="97"/>
  <c r="F198" i="97"/>
  <c r="F166" i="97"/>
  <c r="F244" i="97"/>
  <c r="F228" i="97"/>
  <c r="F196" i="97"/>
  <c r="F164" i="97"/>
  <c r="F295" i="97"/>
  <c r="F263" i="97"/>
  <c r="F247" i="97"/>
  <c r="F215" i="97"/>
  <c r="F183" i="97"/>
  <c r="F151" i="97"/>
  <c r="F294" i="97"/>
  <c r="F262" i="97"/>
  <c r="F246" i="97"/>
  <c r="F214" i="97"/>
  <c r="F182" i="97"/>
  <c r="F150" i="97"/>
  <c r="F571" i="97"/>
  <c r="F507" i="97"/>
  <c r="F443" i="97"/>
  <c r="F379" i="97"/>
  <c r="F312" i="97"/>
  <c r="F567" i="97"/>
  <c r="F503" i="97"/>
  <c r="F439" i="97"/>
  <c r="F375" i="97"/>
  <c r="F603" i="97"/>
  <c r="F296" i="97"/>
  <c r="F598" i="97"/>
  <c r="F582" i="97"/>
  <c r="F566" i="97"/>
  <c r="F550" i="97"/>
  <c r="F534" i="97"/>
  <c r="F518" i="97"/>
  <c r="F502" i="97"/>
  <c r="F486" i="97"/>
  <c r="F470" i="97"/>
  <c r="F454" i="97"/>
  <c r="F438" i="97"/>
  <c r="F422" i="97"/>
  <c r="F406" i="97"/>
  <c r="F390" i="97"/>
  <c r="F374" i="97"/>
  <c r="F342" i="97"/>
  <c r="F326" i="97"/>
  <c r="F301" i="97"/>
  <c r="F569" i="97"/>
  <c r="F553" i="97"/>
  <c r="F537" i="97"/>
  <c r="F521" i="97"/>
  <c r="F505" i="97"/>
  <c r="F489" i="97"/>
  <c r="F473" i="97"/>
  <c r="F457" i="97"/>
  <c r="F441" i="97"/>
  <c r="F425" i="97"/>
  <c r="F409" i="97"/>
  <c r="F393" i="97"/>
  <c r="F377" i="97"/>
  <c r="F361" i="97"/>
  <c r="F329" i="97"/>
  <c r="F308" i="97"/>
  <c r="F276" i="97"/>
  <c r="F213" i="97"/>
  <c r="F149" i="97"/>
  <c r="F604" i="97"/>
  <c r="F540" i="97"/>
  <c r="F225" i="97"/>
  <c r="F161" i="97"/>
  <c r="F290" i="97"/>
  <c r="F274" i="97"/>
  <c r="F258" i="97"/>
  <c r="F242" i="97"/>
  <c r="F226" i="97"/>
  <c r="F210" i="97"/>
  <c r="F194" i="97"/>
  <c r="F178" i="97"/>
  <c r="F162" i="97"/>
  <c r="F146" i="97"/>
  <c r="F273" i="97"/>
  <c r="F145" i="97"/>
  <c r="F302" i="97"/>
  <c r="F286" i="97"/>
  <c r="F270" i="97"/>
  <c r="F254" i="97"/>
  <c r="F238" i="97"/>
  <c r="F222" i="97"/>
  <c r="F206" i="97"/>
  <c r="F190" i="97"/>
  <c r="F174" i="97"/>
  <c r="F158" i="97"/>
  <c r="F142" i="97"/>
  <c r="F209" i="97"/>
  <c r="F383" i="97"/>
  <c r="F591" i="97"/>
  <c r="F539" i="97"/>
  <c r="F475" i="97"/>
  <c r="F411" i="97"/>
  <c r="F347" i="97"/>
  <c r="F221" i="97"/>
  <c r="F601" i="97"/>
  <c r="F431" i="97"/>
  <c r="F237" i="97"/>
  <c r="F589" i="97"/>
  <c r="F535" i="97"/>
  <c r="F471" i="97"/>
  <c r="F407" i="97"/>
  <c r="F343" i="97"/>
  <c r="F205" i="97"/>
  <c r="F447" i="97"/>
  <c r="F189" i="97"/>
  <c r="F606" i="97"/>
  <c r="F350" i="97"/>
  <c r="F285" i="97"/>
  <c r="F353" i="97"/>
  <c r="F337" i="97"/>
  <c r="F321" i="97"/>
  <c r="F292" i="97"/>
  <c r="F245" i="97"/>
  <c r="F181" i="97"/>
  <c r="F580" i="97"/>
  <c r="F548" i="97"/>
  <c r="F516" i="97"/>
  <c r="F484" i="97"/>
  <c r="F452" i="97"/>
  <c r="F420" i="97"/>
  <c r="F388" i="97"/>
  <c r="F356" i="97"/>
  <c r="F340" i="97"/>
  <c r="F324" i="97"/>
  <c r="F257" i="97"/>
  <c r="F193" i="97"/>
  <c r="F264" i="97"/>
  <c r="F248" i="97"/>
  <c r="F232" i="97"/>
  <c r="F216" i="97"/>
  <c r="F200" i="97"/>
  <c r="F184" i="97"/>
  <c r="F168" i="97"/>
  <c r="F152" i="97"/>
  <c r="F315" i="97"/>
  <c r="F299" i="97"/>
  <c r="F283" i="97"/>
  <c r="F267" i="97"/>
  <c r="F251" i="97"/>
  <c r="F235" i="97"/>
  <c r="F219" i="97"/>
  <c r="F203" i="97"/>
  <c r="F187" i="97"/>
  <c r="F171" i="97"/>
  <c r="F155" i="97"/>
  <c r="F314" i="97"/>
  <c r="F298" i="97"/>
  <c r="F282" i="97"/>
  <c r="F266" i="97"/>
  <c r="F234" i="97"/>
  <c r="F218" i="97"/>
  <c r="F202" i="97"/>
  <c r="F186" i="97"/>
  <c r="F170" i="97"/>
  <c r="F154" i="97"/>
  <c r="F65" i="97"/>
  <c r="F49" i="97"/>
  <c r="F33" i="97"/>
  <c r="H22" i="97"/>
  <c r="H23" i="97" s="1"/>
  <c r="H24" i="97" s="1"/>
  <c r="H25" i="97" s="1"/>
  <c r="H26" i="97" s="1"/>
  <c r="H27" i="97" s="1"/>
  <c r="H28" i="97" s="1"/>
  <c r="H29" i="97" s="1"/>
  <c r="H30" i="97" s="1"/>
  <c r="H31" i="97" s="1"/>
  <c r="H32" i="97" s="1"/>
  <c r="H33" i="97" s="1"/>
  <c r="H34" i="97" s="1"/>
  <c r="H35" i="97" s="1"/>
  <c r="H36" i="97" s="1"/>
  <c r="H37" i="97" s="1"/>
  <c r="H38" i="97" s="1"/>
  <c r="H39" i="97" s="1"/>
  <c r="H40" i="97" s="1"/>
  <c r="H41" i="97" s="1"/>
  <c r="H42" i="97" s="1"/>
  <c r="H43" i="97" s="1"/>
  <c r="H44" i="97" s="1"/>
  <c r="H45" i="97" s="1"/>
  <c r="H46" i="97" s="1"/>
  <c r="H47" i="97" s="1"/>
  <c r="H48" i="97" s="1"/>
  <c r="H49" i="97" s="1"/>
  <c r="H50" i="97" s="1"/>
  <c r="H51" i="97" s="1"/>
  <c r="H52" i="97" s="1"/>
  <c r="H53" i="97" s="1"/>
  <c r="H54" i="97" s="1"/>
  <c r="H55" i="97" s="1"/>
  <c r="H56" i="97" s="1"/>
  <c r="H57" i="97" s="1"/>
  <c r="H58" i="97" s="1"/>
  <c r="H59" i="97" s="1"/>
  <c r="H60" i="97" s="1"/>
  <c r="H61" i="97" s="1"/>
  <c r="H62" i="97" s="1"/>
  <c r="H63" i="97" s="1"/>
  <c r="H64" i="97" s="1"/>
  <c r="H65" i="97" s="1"/>
  <c r="H66" i="97" s="1"/>
  <c r="H67" i="97" s="1"/>
  <c r="H68" i="97" s="1"/>
  <c r="H69" i="97" s="1"/>
  <c r="H70" i="97" s="1"/>
  <c r="H71" i="97" s="1"/>
  <c r="H72" i="97" s="1"/>
  <c r="H73" i="97" s="1"/>
  <c r="H74" i="97" s="1"/>
  <c r="H75" i="97" s="1"/>
  <c r="H76" i="97" s="1"/>
  <c r="H77" i="97" s="1"/>
  <c r="H78" i="97" s="1"/>
  <c r="H79" i="97" s="1"/>
  <c r="H80" i="97" s="1"/>
  <c r="H81" i="97" s="1"/>
  <c r="H82" i="97" s="1"/>
  <c r="H83" i="97" s="1"/>
  <c r="H84" i="97" s="1"/>
  <c r="H85" i="97" s="1"/>
  <c r="H86" i="97" s="1"/>
  <c r="H87" i="97" s="1"/>
  <c r="H88" i="97" s="1"/>
  <c r="H89" i="97" s="1"/>
  <c r="H90" i="97" s="1"/>
  <c r="H91" i="97" s="1"/>
  <c r="H92" i="97" s="1"/>
  <c r="H93" i="97" s="1"/>
  <c r="H94" i="97" s="1"/>
  <c r="H95" i="97" s="1"/>
  <c r="H96" i="97" s="1"/>
  <c r="H97" i="97" s="1"/>
  <c r="H98" i="97" s="1"/>
  <c r="H99" i="97" s="1"/>
  <c r="H100" i="97" s="1"/>
  <c r="H101" i="97" s="1"/>
  <c r="H102" i="97" s="1"/>
  <c r="H103" i="97" s="1"/>
  <c r="H104" i="97" s="1"/>
  <c r="H105" i="97" s="1"/>
  <c r="H106" i="97" s="1"/>
  <c r="H107" i="97" s="1"/>
  <c r="H108" i="97" s="1"/>
  <c r="H109" i="97" s="1"/>
  <c r="H110" i="97" s="1"/>
  <c r="H111" i="97" s="1"/>
  <c r="H112" i="97" s="1"/>
  <c r="H113" i="97" s="1"/>
  <c r="H114" i="97" s="1"/>
  <c r="H115" i="97" s="1"/>
  <c r="H116" i="97" s="1"/>
  <c r="H117" i="97" s="1"/>
  <c r="H118" i="97" s="1"/>
  <c r="H119" i="97" s="1"/>
  <c r="H120" i="97" s="1"/>
  <c r="H121" i="97" s="1"/>
  <c r="H122" i="97" s="1"/>
  <c r="H123" i="97" s="1"/>
  <c r="H124" i="97" s="1"/>
  <c r="H125" i="97" s="1"/>
  <c r="H126" i="97" s="1"/>
  <c r="H127" i="97" s="1"/>
  <c r="H128" i="97" s="1"/>
  <c r="H129" i="97" s="1"/>
  <c r="H130" i="97" s="1"/>
  <c r="H131" i="97" s="1"/>
  <c r="H132" i="97" s="1"/>
  <c r="H133" i="97" s="1"/>
  <c r="H134" i="97" s="1"/>
  <c r="H135" i="97" s="1"/>
  <c r="H136" i="97" s="1"/>
  <c r="H137" i="97" s="1"/>
  <c r="H138" i="97" s="1"/>
  <c r="H139" i="97" s="1"/>
  <c r="H140" i="97" s="1"/>
  <c r="H141" i="97" s="1"/>
  <c r="H142" i="97" s="1"/>
  <c r="H143" i="97" s="1"/>
  <c r="H144" i="97" s="1"/>
  <c r="H145" i="97" s="1"/>
  <c r="H146" i="97" s="1"/>
  <c r="H147" i="97" s="1"/>
  <c r="H148" i="97" s="1"/>
  <c r="H149" i="97" s="1"/>
  <c r="H150" i="97" s="1"/>
  <c r="H151" i="97" s="1"/>
  <c r="H152" i="97" s="1"/>
  <c r="H153" i="97" s="1"/>
  <c r="H154" i="97" s="1"/>
  <c r="H155" i="97" s="1"/>
  <c r="H156" i="97" s="1"/>
  <c r="H157" i="97" s="1"/>
  <c r="H158" i="97" s="1"/>
  <c r="H159" i="97" s="1"/>
  <c r="H160" i="97" s="1"/>
  <c r="H161" i="97" s="1"/>
  <c r="H162" i="97" s="1"/>
  <c r="H163" i="97" s="1"/>
  <c r="H164" i="97" s="1"/>
  <c r="H165" i="97" s="1"/>
  <c r="H166" i="97" s="1"/>
  <c r="H167" i="97" s="1"/>
  <c r="H168" i="97" s="1"/>
  <c r="H169" i="97" s="1"/>
  <c r="H170" i="97" s="1"/>
  <c r="H171" i="97" s="1"/>
  <c r="H172" i="97" s="1"/>
  <c r="H173" i="97" s="1"/>
  <c r="H174" i="97" s="1"/>
  <c r="H175" i="97" s="1"/>
  <c r="H176" i="97" s="1"/>
  <c r="H177" i="97" s="1"/>
  <c r="H178" i="97" s="1"/>
  <c r="H179" i="97" s="1"/>
  <c r="H180" i="97" s="1"/>
  <c r="H181" i="97" s="1"/>
  <c r="H182" i="97" s="1"/>
  <c r="H183" i="97" s="1"/>
  <c r="H184" i="97" s="1"/>
  <c r="H185" i="97" s="1"/>
  <c r="H186" i="97" s="1"/>
  <c r="H187" i="97" s="1"/>
  <c r="H188" i="97" s="1"/>
  <c r="H189" i="97" s="1"/>
  <c r="H190" i="97" s="1"/>
  <c r="H191" i="97" s="1"/>
  <c r="H192" i="97" s="1"/>
  <c r="H193" i="97" s="1"/>
  <c r="H194" i="97" s="1"/>
  <c r="H195" i="97" s="1"/>
  <c r="H196" i="97" s="1"/>
  <c r="H197" i="97" s="1"/>
  <c r="H198" i="97" s="1"/>
  <c r="H199" i="97" s="1"/>
  <c r="H200" i="97" s="1"/>
  <c r="H201" i="97" s="1"/>
  <c r="H202" i="97" s="1"/>
  <c r="H203" i="97" s="1"/>
  <c r="H204" i="97" s="1"/>
  <c r="H205" i="97" s="1"/>
  <c r="H206" i="97" s="1"/>
  <c r="H207" i="97" s="1"/>
  <c r="H208" i="97" s="1"/>
  <c r="H209" i="97" s="1"/>
  <c r="H210" i="97" s="1"/>
  <c r="H211" i="97" s="1"/>
  <c r="H212" i="97" s="1"/>
  <c r="H213" i="97" s="1"/>
  <c r="H214" i="97" s="1"/>
  <c r="H215" i="97" s="1"/>
  <c r="H216" i="97" s="1"/>
  <c r="H217" i="97" s="1"/>
  <c r="H218" i="97" s="1"/>
  <c r="H219" i="97" s="1"/>
  <c r="H220" i="97" s="1"/>
  <c r="H221" i="97" s="1"/>
  <c r="H222" i="97" s="1"/>
  <c r="H223" i="97" s="1"/>
  <c r="H224" i="97" s="1"/>
  <c r="H225" i="97" s="1"/>
  <c r="H226" i="97" s="1"/>
  <c r="H227" i="97" s="1"/>
  <c r="H228" i="97" s="1"/>
  <c r="H229" i="97" s="1"/>
  <c r="H230" i="97" s="1"/>
  <c r="H231" i="97" s="1"/>
  <c r="H232" i="97" s="1"/>
  <c r="H233" i="97" s="1"/>
  <c r="H234" i="97" s="1"/>
  <c r="H235" i="97" s="1"/>
  <c r="H236" i="97" s="1"/>
  <c r="H237" i="97" s="1"/>
  <c r="H238" i="97" s="1"/>
  <c r="H239" i="97" s="1"/>
  <c r="H240" i="97" s="1"/>
  <c r="H241" i="97" s="1"/>
  <c r="H242" i="97" s="1"/>
  <c r="H243" i="97" s="1"/>
  <c r="H244" i="97" s="1"/>
  <c r="H245" i="97" s="1"/>
  <c r="H246" i="97" s="1"/>
  <c r="H247" i="97" s="1"/>
  <c r="H248" i="97" s="1"/>
  <c r="H249" i="97" s="1"/>
  <c r="H250" i="97" s="1"/>
  <c r="H251" i="97" s="1"/>
  <c r="H252" i="97" s="1"/>
  <c r="H253" i="97" s="1"/>
  <c r="H254" i="97" s="1"/>
  <c r="H255" i="97" s="1"/>
  <c r="H256" i="97" s="1"/>
  <c r="H257" i="97" s="1"/>
  <c r="H258" i="97" s="1"/>
  <c r="H259" i="97" s="1"/>
  <c r="H260" i="97" s="1"/>
  <c r="H261" i="97" s="1"/>
  <c r="H262" i="97" s="1"/>
  <c r="H263" i="97" s="1"/>
  <c r="H264" i="97" s="1"/>
  <c r="H265" i="97" s="1"/>
  <c r="H266" i="97" s="1"/>
  <c r="H267" i="97" s="1"/>
  <c r="H268" i="97" s="1"/>
  <c r="H269" i="97" s="1"/>
  <c r="H270" i="97" s="1"/>
  <c r="H271" i="97" s="1"/>
  <c r="H272" i="97" s="1"/>
  <c r="H273" i="97" s="1"/>
  <c r="H274" i="97" s="1"/>
  <c r="H275" i="97" s="1"/>
  <c r="H276" i="97" s="1"/>
  <c r="H277" i="97" s="1"/>
  <c r="H278" i="97" s="1"/>
  <c r="H279" i="97" s="1"/>
  <c r="H280" i="97" s="1"/>
  <c r="H281" i="97" s="1"/>
  <c r="H282" i="97" s="1"/>
  <c r="H283" i="97" s="1"/>
  <c r="H284" i="97" s="1"/>
  <c r="H285" i="97" s="1"/>
  <c r="H286" i="97" s="1"/>
  <c r="H287" i="97" s="1"/>
  <c r="H288" i="97" s="1"/>
  <c r="H289" i="97" s="1"/>
  <c r="H290" i="97" s="1"/>
  <c r="H291" i="97" s="1"/>
  <c r="H292" i="97" s="1"/>
  <c r="H293" i="97" s="1"/>
  <c r="H294" i="97" s="1"/>
  <c r="H295" i="97" s="1"/>
  <c r="H296" i="97" s="1"/>
  <c r="H297" i="97" s="1"/>
  <c r="H298" i="97" s="1"/>
  <c r="H299" i="97" s="1"/>
  <c r="H300" i="97" s="1"/>
  <c r="H301" i="97" s="1"/>
  <c r="H302" i="97" s="1"/>
  <c r="H303" i="97" s="1"/>
  <c r="H304" i="97" s="1"/>
  <c r="H305" i="97" s="1"/>
  <c r="H306" i="97" s="1"/>
  <c r="H307" i="97" s="1"/>
  <c r="H308" i="97" s="1"/>
  <c r="H309" i="97" s="1"/>
  <c r="H310" i="97" s="1"/>
  <c r="H311" i="97" s="1"/>
  <c r="H312" i="97" s="1"/>
  <c r="H313" i="97" s="1"/>
  <c r="H314" i="97" s="1"/>
  <c r="H315" i="97" s="1"/>
  <c r="H316" i="97" s="1"/>
  <c r="H317" i="97" s="1"/>
  <c r="H318" i="97" s="1"/>
  <c r="H319" i="97" s="1"/>
  <c r="H320" i="97" s="1"/>
  <c r="H321" i="97" s="1"/>
  <c r="H322" i="97" s="1"/>
  <c r="H323" i="97" s="1"/>
  <c r="H324" i="97" s="1"/>
  <c r="H325" i="97" s="1"/>
  <c r="H326" i="97" s="1"/>
  <c r="H327" i="97" s="1"/>
  <c r="H328" i="97" s="1"/>
  <c r="H329" i="97" s="1"/>
  <c r="H330" i="97" s="1"/>
  <c r="H331" i="97" s="1"/>
  <c r="H332" i="97" s="1"/>
  <c r="H333" i="97" s="1"/>
  <c r="H334" i="97" s="1"/>
  <c r="H335" i="97" s="1"/>
  <c r="H336" i="97" s="1"/>
  <c r="H337" i="97" s="1"/>
  <c r="H338" i="97" s="1"/>
  <c r="H339" i="97" s="1"/>
  <c r="H340" i="97" s="1"/>
  <c r="H341" i="97" s="1"/>
  <c r="H342" i="97" s="1"/>
  <c r="H343" i="97" s="1"/>
  <c r="H344" i="97" s="1"/>
  <c r="H345" i="97" s="1"/>
  <c r="H346" i="97" s="1"/>
  <c r="H347" i="97" s="1"/>
  <c r="H348" i="97" s="1"/>
  <c r="H349" i="97" s="1"/>
  <c r="H350" i="97" s="1"/>
  <c r="H351" i="97" s="1"/>
  <c r="H352" i="97" s="1"/>
  <c r="H353" i="97" s="1"/>
  <c r="H354" i="97" s="1"/>
  <c r="H355" i="97" s="1"/>
  <c r="H356" i="97" s="1"/>
  <c r="H357" i="97" s="1"/>
  <c r="H358" i="97" s="1"/>
  <c r="H359" i="97" s="1"/>
  <c r="H360" i="97" s="1"/>
  <c r="H361" i="97" s="1"/>
  <c r="H362" i="97" s="1"/>
  <c r="H363" i="97" s="1"/>
  <c r="H364" i="97" s="1"/>
  <c r="H365" i="97" s="1"/>
  <c r="H366" i="97" s="1"/>
  <c r="H367" i="97" s="1"/>
  <c r="H368" i="97" s="1"/>
  <c r="H369" i="97" s="1"/>
  <c r="H370" i="97" s="1"/>
  <c r="H371" i="97" s="1"/>
  <c r="H372" i="97" s="1"/>
  <c r="H373" i="97" s="1"/>
  <c r="H374" i="97" s="1"/>
  <c r="H375" i="97" s="1"/>
  <c r="H376" i="97" s="1"/>
  <c r="H377" i="97" s="1"/>
  <c r="H378" i="97" s="1"/>
  <c r="H379" i="97" s="1"/>
  <c r="H380" i="97" s="1"/>
  <c r="H381" i="97" s="1"/>
  <c r="H382" i="97" s="1"/>
  <c r="H383" i="97" s="1"/>
  <c r="H384" i="97" s="1"/>
  <c r="H385" i="97" s="1"/>
  <c r="H386" i="97" s="1"/>
  <c r="H387" i="97" s="1"/>
  <c r="H388" i="97" s="1"/>
  <c r="H389" i="97" s="1"/>
  <c r="H390" i="97" s="1"/>
  <c r="H391" i="97" s="1"/>
  <c r="H392" i="97" s="1"/>
  <c r="H393" i="97" s="1"/>
  <c r="H394" i="97" s="1"/>
  <c r="H395" i="97" s="1"/>
  <c r="H396" i="97" s="1"/>
  <c r="H397" i="97" s="1"/>
  <c r="H398" i="97" s="1"/>
  <c r="H399" i="97" s="1"/>
  <c r="H400" i="97" s="1"/>
  <c r="H401" i="97" s="1"/>
  <c r="H402" i="97" s="1"/>
  <c r="H403" i="97" s="1"/>
  <c r="H404" i="97" s="1"/>
  <c r="H405" i="97" s="1"/>
  <c r="H406" i="97" s="1"/>
  <c r="H407" i="97" s="1"/>
  <c r="H408" i="97" s="1"/>
  <c r="H409" i="97" s="1"/>
  <c r="H410" i="97" s="1"/>
  <c r="H411" i="97" s="1"/>
  <c r="H412" i="97" s="1"/>
  <c r="H413" i="97" s="1"/>
  <c r="H414" i="97" s="1"/>
  <c r="H415" i="97" s="1"/>
  <c r="H416" i="97" s="1"/>
  <c r="H417" i="97" s="1"/>
  <c r="H418" i="97" s="1"/>
  <c r="H419" i="97" s="1"/>
  <c r="H420" i="97" s="1"/>
  <c r="H421" i="97" s="1"/>
  <c r="H422" i="97" s="1"/>
  <c r="H423" i="97" s="1"/>
  <c r="H424" i="97" s="1"/>
  <c r="H425" i="97" s="1"/>
  <c r="H426" i="97" s="1"/>
  <c r="H427" i="97" s="1"/>
  <c r="H428" i="97" s="1"/>
  <c r="H429" i="97" s="1"/>
  <c r="H430" i="97" s="1"/>
  <c r="H431" i="97" s="1"/>
  <c r="H432" i="97" s="1"/>
  <c r="H433" i="97" s="1"/>
  <c r="H434" i="97" s="1"/>
  <c r="H435" i="97" s="1"/>
  <c r="H436" i="97" s="1"/>
  <c r="H437" i="97" s="1"/>
  <c r="H438" i="97" s="1"/>
  <c r="H439" i="97" s="1"/>
  <c r="H440" i="97" s="1"/>
  <c r="H441" i="97" s="1"/>
  <c r="H442" i="97" s="1"/>
  <c r="H443" i="97" s="1"/>
  <c r="H444" i="97" s="1"/>
  <c r="H445" i="97" s="1"/>
  <c r="H446" i="97" s="1"/>
  <c r="H447" i="97" s="1"/>
  <c r="H448" i="97" s="1"/>
  <c r="H449" i="97" s="1"/>
  <c r="H450" i="97" s="1"/>
  <c r="H451" i="97" s="1"/>
  <c r="H452" i="97" s="1"/>
  <c r="H453" i="97" s="1"/>
  <c r="H454" i="97" s="1"/>
  <c r="H455" i="97" s="1"/>
  <c r="H456" i="97" s="1"/>
  <c r="H457" i="97" s="1"/>
  <c r="H458" i="97" s="1"/>
  <c r="H459" i="97" s="1"/>
  <c r="H460" i="97" s="1"/>
  <c r="H461" i="97" s="1"/>
  <c r="H462" i="97" s="1"/>
  <c r="H463" i="97" s="1"/>
  <c r="H464" i="97" s="1"/>
  <c r="H465" i="97" s="1"/>
  <c r="H466" i="97" s="1"/>
  <c r="H467" i="97" s="1"/>
  <c r="H468" i="97" s="1"/>
  <c r="H469" i="97" s="1"/>
  <c r="H470" i="97" s="1"/>
  <c r="H471" i="97" s="1"/>
  <c r="H472" i="97" s="1"/>
  <c r="H473" i="97" s="1"/>
  <c r="H474" i="97" s="1"/>
  <c r="H475" i="97" s="1"/>
  <c r="H476" i="97" s="1"/>
  <c r="H477" i="97" s="1"/>
  <c r="H478" i="97" s="1"/>
  <c r="H479" i="97" s="1"/>
  <c r="H480" i="97" s="1"/>
  <c r="H481" i="97" s="1"/>
  <c r="H482" i="97" s="1"/>
  <c r="H483" i="97" s="1"/>
  <c r="H484" i="97" s="1"/>
  <c r="H485" i="97" s="1"/>
  <c r="H486" i="97" s="1"/>
  <c r="H487" i="97" s="1"/>
  <c r="H488" i="97" s="1"/>
  <c r="H489" i="97" s="1"/>
  <c r="H490" i="97" s="1"/>
  <c r="H491" i="97" s="1"/>
  <c r="H492" i="97" s="1"/>
  <c r="H493" i="97" s="1"/>
  <c r="H494" i="97" s="1"/>
  <c r="H495" i="97" s="1"/>
  <c r="H496" i="97" s="1"/>
  <c r="H497" i="97" s="1"/>
  <c r="H498" i="97" s="1"/>
  <c r="H499" i="97" s="1"/>
  <c r="H500" i="97" s="1"/>
  <c r="H501" i="97" s="1"/>
  <c r="H502" i="97" s="1"/>
  <c r="H503" i="97" s="1"/>
  <c r="H504" i="97" s="1"/>
  <c r="H505" i="97" s="1"/>
  <c r="H506" i="97" s="1"/>
  <c r="H507" i="97" s="1"/>
  <c r="H508" i="97" s="1"/>
  <c r="H509" i="97" s="1"/>
  <c r="H510" i="97" s="1"/>
  <c r="H511" i="97" s="1"/>
  <c r="H512" i="97" s="1"/>
  <c r="H513" i="97" s="1"/>
  <c r="H514" i="97" s="1"/>
  <c r="H515" i="97" s="1"/>
  <c r="H516" i="97" s="1"/>
  <c r="H517" i="97" s="1"/>
  <c r="H518" i="97" s="1"/>
  <c r="H519" i="97" s="1"/>
  <c r="H520" i="97" s="1"/>
  <c r="H521" i="97" s="1"/>
  <c r="H522" i="97" s="1"/>
  <c r="H523" i="97" s="1"/>
  <c r="H524" i="97" s="1"/>
  <c r="H525" i="97" s="1"/>
  <c r="H526" i="97" s="1"/>
  <c r="H527" i="97" s="1"/>
  <c r="H528" i="97" s="1"/>
  <c r="H529" i="97" s="1"/>
  <c r="H530" i="97" s="1"/>
  <c r="H531" i="97" s="1"/>
  <c r="H532" i="97" s="1"/>
  <c r="H533" i="97" s="1"/>
  <c r="H534" i="97" s="1"/>
  <c r="H535" i="97" s="1"/>
  <c r="H536" i="97" s="1"/>
  <c r="H537" i="97" s="1"/>
  <c r="H538" i="97" s="1"/>
  <c r="H539" i="97" s="1"/>
  <c r="H540" i="97" s="1"/>
  <c r="H541" i="97" s="1"/>
  <c r="H542" i="97" s="1"/>
  <c r="H543" i="97" s="1"/>
  <c r="H544" i="97" s="1"/>
  <c r="H545" i="97" s="1"/>
  <c r="H546" i="97" s="1"/>
  <c r="H547" i="97" s="1"/>
  <c r="H548" i="97" s="1"/>
  <c r="H549" i="97" s="1"/>
  <c r="H550" i="97" s="1"/>
  <c r="H551" i="97" s="1"/>
  <c r="H552" i="97" s="1"/>
  <c r="H553" i="97" s="1"/>
  <c r="H554" i="97" s="1"/>
  <c r="H555" i="97" s="1"/>
  <c r="H556" i="97" s="1"/>
  <c r="H557" i="97" s="1"/>
  <c r="H558" i="97" s="1"/>
  <c r="H559" i="97" s="1"/>
  <c r="H560" i="97" s="1"/>
  <c r="H561" i="97" s="1"/>
  <c r="H562" i="97" s="1"/>
  <c r="H563" i="97" s="1"/>
  <c r="H564" i="97" s="1"/>
  <c r="H565" i="97" s="1"/>
  <c r="H566" i="97" s="1"/>
  <c r="H567" i="97" s="1"/>
  <c r="H568" i="97" s="1"/>
  <c r="H569" i="97" s="1"/>
  <c r="H570" i="97" s="1"/>
  <c r="H571" i="97" s="1"/>
  <c r="H572" i="97" s="1"/>
  <c r="H573" i="97" s="1"/>
  <c r="H574" i="97" s="1"/>
  <c r="H575" i="97" s="1"/>
  <c r="H576" i="97" s="1"/>
  <c r="H577" i="97" s="1"/>
  <c r="H578" i="97" s="1"/>
  <c r="H579" i="97" s="1"/>
  <c r="H580" i="97" s="1"/>
  <c r="H581" i="97" s="1"/>
  <c r="H582" i="97" s="1"/>
  <c r="H583" i="97" s="1"/>
  <c r="H584" i="97" s="1"/>
  <c r="H585" i="97" s="1"/>
  <c r="H586" i="97" s="1"/>
  <c r="H587" i="97" s="1"/>
  <c r="H588" i="97" s="1"/>
  <c r="H589" i="97" s="1"/>
  <c r="H590" i="97" s="1"/>
  <c r="H591" i="97" s="1"/>
  <c r="H592" i="97" s="1"/>
  <c r="H593" i="97" s="1"/>
  <c r="H594" i="97" s="1"/>
  <c r="H595" i="97" s="1"/>
  <c r="H596" i="97" s="1"/>
  <c r="H597" i="97" s="1"/>
  <c r="H598" i="97" s="1"/>
  <c r="H599" i="97" s="1"/>
  <c r="H600" i="97" s="1"/>
  <c r="H601" i="97" s="1"/>
  <c r="H602" i="97" s="1"/>
  <c r="H603" i="97" s="1"/>
  <c r="H604" i="97" s="1"/>
  <c r="H605" i="97" s="1"/>
  <c r="H606" i="97" s="1"/>
  <c r="H607" i="97" s="1"/>
  <c r="H608" i="97" s="1"/>
  <c r="F358" i="97"/>
  <c r="F531" i="97"/>
  <c r="F467" i="97"/>
  <c r="F403" i="97"/>
  <c r="F339" i="97"/>
  <c r="F590" i="97"/>
  <c r="F574" i="97"/>
  <c r="F558" i="97"/>
  <c r="F542" i="97"/>
  <c r="F526" i="97"/>
  <c r="F510" i="97"/>
  <c r="F494" i="97"/>
  <c r="F478" i="97"/>
  <c r="F462" i="97"/>
  <c r="F446" i="97"/>
  <c r="F430" i="97"/>
  <c r="F414" i="97"/>
  <c r="F398" i="97"/>
  <c r="F382" i="97"/>
  <c r="F366" i="97"/>
  <c r="F317" i="97"/>
  <c r="F233" i="97"/>
  <c r="F169" i="97"/>
  <c r="F577" i="97"/>
  <c r="F561" i="97"/>
  <c r="F545" i="97"/>
  <c r="F529" i="97"/>
  <c r="F513" i="97"/>
  <c r="F497" i="97"/>
  <c r="F481" i="97"/>
  <c r="F465" i="97"/>
  <c r="F449" i="97"/>
  <c r="F433" i="97"/>
  <c r="F417" i="97"/>
  <c r="F401" i="97"/>
  <c r="F385" i="97"/>
  <c r="F369" i="97"/>
  <c r="F575" i="97"/>
  <c r="F399" i="97"/>
  <c r="F559" i="97"/>
  <c r="F415" i="97"/>
  <c r="F586" i="97"/>
  <c r="F570" i="97"/>
  <c r="F554" i="97"/>
  <c r="F538" i="97"/>
  <c r="F522" i="97"/>
  <c r="F506" i="97"/>
  <c r="F490" i="97"/>
  <c r="F474" i="97"/>
  <c r="F458" i="97"/>
  <c r="F442" i="97"/>
  <c r="F426" i="97"/>
  <c r="F410" i="97"/>
  <c r="F394" i="97"/>
  <c r="F378" i="97"/>
  <c r="F362" i="97"/>
  <c r="F330" i="97"/>
  <c r="F309" i="97"/>
  <c r="F573" i="97"/>
  <c r="F557" i="97"/>
  <c r="F541" i="97"/>
  <c r="F525" i="97"/>
  <c r="F509" i="97"/>
  <c r="F493" i="97"/>
  <c r="F477" i="97"/>
  <c r="F461" i="97"/>
  <c r="F445" i="97"/>
  <c r="F429" i="97"/>
  <c r="F413" i="97"/>
  <c r="F397" i="97"/>
  <c r="F381" i="97"/>
  <c r="F365" i="97"/>
  <c r="F316" i="97"/>
  <c r="F284" i="97"/>
  <c r="F576" i="97"/>
  <c r="F512" i="97"/>
  <c r="F448" i="97"/>
  <c r="F384" i="97"/>
  <c r="F63" i="97"/>
  <c r="F47" i="97"/>
  <c r="F31" i="97"/>
  <c r="F543" i="97"/>
  <c r="F607" i="97"/>
  <c r="F351" i="97"/>
  <c r="F527" i="97"/>
  <c r="F367" i="97"/>
  <c r="F348" i="97"/>
  <c r="F332" i="97"/>
  <c r="F44" i="97"/>
  <c r="F250" i="97"/>
  <c r="F511" i="97"/>
  <c r="F605" i="97"/>
  <c r="F463" i="97"/>
  <c r="F479" i="97"/>
  <c r="F495" i="97"/>
  <c r="F335" i="97"/>
  <c r="F341" i="97"/>
  <c r="F300" i="97"/>
  <c r="F600" i="97"/>
  <c r="F536" i="97"/>
  <c r="F472" i="97"/>
  <c r="F408" i="97"/>
  <c r="F305" i="97"/>
  <c r="F268" i="97"/>
  <c r="F252" i="97"/>
  <c r="F236" i="97"/>
  <c r="F220" i="97"/>
  <c r="F204" i="97"/>
  <c r="F188" i="97"/>
  <c r="F172" i="97"/>
  <c r="F156" i="97"/>
  <c r="F319" i="97"/>
  <c r="F303" i="97"/>
  <c r="F287" i="97"/>
  <c r="F271" i="97"/>
  <c r="F255" i="97"/>
  <c r="F239" i="97"/>
  <c r="F223" i="97"/>
  <c r="F207" i="97"/>
  <c r="F191" i="97"/>
  <c r="F175" i="97"/>
  <c r="F159" i="97"/>
  <c r="F143" i="97"/>
  <c r="F101" i="97"/>
  <c r="F113" i="97"/>
  <c r="F132" i="97"/>
  <c r="F116" i="97"/>
  <c r="F100" i="97"/>
  <c r="F84" i="97"/>
  <c r="F135" i="97"/>
  <c r="F119" i="97"/>
  <c r="F103" i="97"/>
  <c r="F87" i="97"/>
  <c r="F134" i="97"/>
  <c r="F118" i="97"/>
  <c r="F102" i="97"/>
  <c r="F86" i="97"/>
  <c r="F79" i="97"/>
  <c r="F77" i="97"/>
  <c r="F93" i="97"/>
  <c r="F70" i="97"/>
  <c r="F85" i="97"/>
  <c r="F97" i="97"/>
  <c r="F76" i="97"/>
  <c r="F82" i="97"/>
  <c r="F130" i="97"/>
  <c r="F114" i="97"/>
  <c r="F98" i="97"/>
  <c r="F125" i="97"/>
  <c r="F133" i="97"/>
  <c r="F78" i="97"/>
  <c r="F140" i="97"/>
  <c r="F124" i="97"/>
  <c r="F108" i="97"/>
  <c r="F92" i="97"/>
  <c r="F127" i="97"/>
  <c r="F111" i="97"/>
  <c r="F95" i="97"/>
  <c r="F74" i="97"/>
  <c r="F126" i="97"/>
  <c r="F110" i="97"/>
  <c r="F94" i="97"/>
  <c r="F71" i="97"/>
  <c r="F69" i="97"/>
  <c r="G21" i="97"/>
  <c r="G22" i="97" s="1"/>
  <c r="G23" i="97" s="1"/>
  <c r="G24" i="97" s="1"/>
  <c r="G25" i="97" s="1"/>
  <c r="G26" i="97" s="1"/>
  <c r="G27" i="97" s="1"/>
  <c r="G28" i="97" s="1"/>
  <c r="G29" i="97" s="1"/>
  <c r="G30" i="97" s="1"/>
  <c r="G31" i="97" s="1"/>
  <c r="G32" i="97" s="1"/>
  <c r="G33" i="97" s="1"/>
  <c r="G34" i="97" s="1"/>
  <c r="G35" i="97" s="1"/>
  <c r="G36" i="97" s="1"/>
  <c r="G37" i="97" s="1"/>
  <c r="G38" i="97" s="1"/>
  <c r="G39" i="97" s="1"/>
  <c r="G40" i="97" s="1"/>
  <c r="G41" i="97" s="1"/>
  <c r="G42" i="97" s="1"/>
  <c r="G43" i="97" s="1"/>
  <c r="G44" i="97" s="1"/>
  <c r="G45" i="97" s="1"/>
  <c r="G46" i="97" s="1"/>
  <c r="G47" i="97" s="1"/>
  <c r="G48" i="97" s="1"/>
  <c r="G49" i="97" s="1"/>
  <c r="G50" i="97" s="1"/>
  <c r="G51" i="97" s="1"/>
  <c r="G52" i="97" s="1"/>
  <c r="G53" i="97" s="1"/>
  <c r="G54" i="97" s="1"/>
  <c r="G55" i="97" s="1"/>
  <c r="G56" i="97" s="1"/>
  <c r="G57" i="97" s="1"/>
  <c r="G58" i="97" s="1"/>
  <c r="G59" i="97" s="1"/>
  <c r="G60" i="97" s="1"/>
  <c r="G61" i="97" s="1"/>
  <c r="G62" i="97" s="1"/>
  <c r="G63" i="97" s="1"/>
  <c r="G64" i="97" s="1"/>
  <c r="G65" i="97" s="1"/>
  <c r="G66" i="97" s="1"/>
  <c r="G67" i="97" s="1"/>
  <c r="G68" i="97" s="1"/>
  <c r="G69" i="97" s="1"/>
  <c r="G70" i="97" s="1"/>
  <c r="G71" i="97" s="1"/>
  <c r="G72" i="97" s="1"/>
  <c r="G73" i="97" s="1"/>
  <c r="G74" i="97" s="1"/>
  <c r="G75" i="97" s="1"/>
  <c r="G76" i="97" s="1"/>
  <c r="G77" i="97" s="1"/>
  <c r="G78" i="97" s="1"/>
  <c r="G79" i="97" s="1"/>
  <c r="G80" i="97" s="1"/>
  <c r="G81" i="97" s="1"/>
  <c r="G82" i="97" s="1"/>
  <c r="G83" i="97" s="1"/>
  <c r="G84" i="97" s="1"/>
  <c r="G85" i="97" s="1"/>
  <c r="G86" i="97" s="1"/>
  <c r="G87" i="97" s="1"/>
  <c r="G88" i="97" s="1"/>
  <c r="G89" i="97" s="1"/>
  <c r="G90" i="97" s="1"/>
  <c r="G91" i="97" s="1"/>
  <c r="G92" i="97" s="1"/>
  <c r="G93" i="97" s="1"/>
  <c r="G94" i="97" s="1"/>
  <c r="G95" i="97" s="1"/>
  <c r="G96" i="97" s="1"/>
  <c r="G97" i="97" s="1"/>
  <c r="G98" i="97" s="1"/>
  <c r="G99" i="97" s="1"/>
  <c r="G100" i="97" s="1"/>
  <c r="G101" i="97" s="1"/>
  <c r="G102" i="97" s="1"/>
  <c r="G103" i="97" s="1"/>
  <c r="G104" i="97" s="1"/>
  <c r="G105" i="97" s="1"/>
  <c r="G106" i="97" s="1"/>
  <c r="G107" i="97" s="1"/>
  <c r="G108" i="97" s="1"/>
  <c r="G109" i="97" s="1"/>
  <c r="G110" i="97" s="1"/>
  <c r="G111" i="97" s="1"/>
  <c r="G112" i="97" s="1"/>
  <c r="G113" i="97" s="1"/>
  <c r="G114" i="97" s="1"/>
  <c r="G115" i="97" s="1"/>
  <c r="G116" i="97" s="1"/>
  <c r="G117" i="97" s="1"/>
  <c r="G118" i="97" s="1"/>
  <c r="G119" i="97" s="1"/>
  <c r="G120" i="97" s="1"/>
  <c r="G121" i="97" s="1"/>
  <c r="G122" i="97" s="1"/>
  <c r="G123" i="97" s="1"/>
  <c r="G124" i="97" s="1"/>
  <c r="G125" i="97" s="1"/>
  <c r="G126" i="97" s="1"/>
  <c r="G127" i="97" s="1"/>
  <c r="G128" i="97" s="1"/>
  <c r="G129" i="97" s="1"/>
  <c r="G130" i="97" s="1"/>
  <c r="G131" i="97" s="1"/>
  <c r="G132" i="97" s="1"/>
  <c r="G133" i="97" s="1"/>
  <c r="G134" i="97" s="1"/>
  <c r="G135" i="97" s="1"/>
  <c r="G136" i="97" s="1"/>
  <c r="G137" i="97" s="1"/>
  <c r="G138" i="97" s="1"/>
  <c r="G139" i="97" s="1"/>
  <c r="G140" i="97" s="1"/>
  <c r="G141" i="97" s="1"/>
  <c r="G142" i="97" s="1"/>
  <c r="G143" i="97" s="1"/>
  <c r="G144" i="97" s="1"/>
  <c r="G145" i="97" s="1"/>
  <c r="G146" i="97" s="1"/>
  <c r="G147" i="97" s="1"/>
  <c r="G148" i="97" s="1"/>
  <c r="G149" i="97" s="1"/>
  <c r="G150" i="97" s="1"/>
  <c r="G151" i="97" s="1"/>
  <c r="G152" i="97" s="1"/>
  <c r="G153" i="97" s="1"/>
  <c r="G154" i="97" s="1"/>
  <c r="G155" i="97" s="1"/>
  <c r="G156" i="97" s="1"/>
  <c r="G157" i="97" s="1"/>
  <c r="G158" i="97" s="1"/>
  <c r="G159" i="97" s="1"/>
  <c r="G160" i="97" s="1"/>
  <c r="G161" i="97" s="1"/>
  <c r="G162" i="97" s="1"/>
  <c r="G163" i="97" s="1"/>
  <c r="G164" i="97" s="1"/>
  <c r="G165" i="97" s="1"/>
  <c r="G166" i="97" s="1"/>
  <c r="G167" i="97" s="1"/>
  <c r="G168" i="97" s="1"/>
  <c r="G169" i="97" s="1"/>
  <c r="G170" i="97" s="1"/>
  <c r="G171" i="97" s="1"/>
  <c r="G172" i="97" s="1"/>
  <c r="G173" i="97" s="1"/>
  <c r="G174" i="97" s="1"/>
  <c r="G175" i="97" s="1"/>
  <c r="G176" i="97" s="1"/>
  <c r="G177" i="97" s="1"/>
  <c r="G178" i="97" s="1"/>
  <c r="G179" i="97" s="1"/>
  <c r="G180" i="97" s="1"/>
  <c r="G181" i="97" s="1"/>
  <c r="G182" i="97" s="1"/>
  <c r="G183" i="97" s="1"/>
  <c r="G184" i="97" s="1"/>
  <c r="G185" i="97" s="1"/>
  <c r="G186" i="97" s="1"/>
  <c r="G187" i="97" s="1"/>
  <c r="G188" i="97" s="1"/>
  <c r="G189" i="97" s="1"/>
  <c r="G190" i="97" s="1"/>
  <c r="G191" i="97" s="1"/>
  <c r="G192" i="97" s="1"/>
  <c r="G193" i="97" s="1"/>
  <c r="G194" i="97" s="1"/>
  <c r="G195" i="97" s="1"/>
  <c r="G196" i="97" s="1"/>
  <c r="G197" i="97" s="1"/>
  <c r="G198" i="97" s="1"/>
  <c r="G199" i="97" s="1"/>
  <c r="G200" i="97" s="1"/>
  <c r="G201" i="97" s="1"/>
  <c r="G202" i="97" s="1"/>
  <c r="G203" i="97" s="1"/>
  <c r="G204" i="97" s="1"/>
  <c r="G205" i="97" s="1"/>
  <c r="G206" i="97" s="1"/>
  <c r="G207" i="97" s="1"/>
  <c r="G208" i="97" s="1"/>
  <c r="G209" i="97" s="1"/>
  <c r="G210" i="97" s="1"/>
  <c r="G211" i="97" s="1"/>
  <c r="G212" i="97" s="1"/>
  <c r="G213" i="97" s="1"/>
  <c r="G214" i="97" s="1"/>
  <c r="G215" i="97" s="1"/>
  <c r="G216" i="97" s="1"/>
  <c r="G217" i="97" s="1"/>
  <c r="G218" i="97" s="1"/>
  <c r="G219" i="97" s="1"/>
  <c r="G220" i="97" s="1"/>
  <c r="G221" i="97" s="1"/>
  <c r="G222" i="97" s="1"/>
  <c r="G223" i="97" s="1"/>
  <c r="G224" i="97" s="1"/>
  <c r="G225" i="97" s="1"/>
  <c r="G226" i="97" s="1"/>
  <c r="G227" i="97" s="1"/>
  <c r="G228" i="97" s="1"/>
  <c r="G229" i="97" s="1"/>
  <c r="G230" i="97" s="1"/>
  <c r="G231" i="97" s="1"/>
  <c r="G232" i="97" s="1"/>
  <c r="G233" i="97" s="1"/>
  <c r="G234" i="97" s="1"/>
  <c r="G235" i="97" s="1"/>
  <c r="G236" i="97" s="1"/>
  <c r="G237" i="97" s="1"/>
  <c r="G238" i="97" s="1"/>
  <c r="G239" i="97" s="1"/>
  <c r="G240" i="97" s="1"/>
  <c r="G241" i="97" s="1"/>
  <c r="G242" i="97" s="1"/>
  <c r="G243" i="97" s="1"/>
  <c r="G244" i="97" s="1"/>
  <c r="G245" i="97" s="1"/>
  <c r="G246" i="97" s="1"/>
  <c r="G247" i="97" s="1"/>
  <c r="G248" i="97" s="1"/>
  <c r="G249" i="97" s="1"/>
  <c r="G250" i="97" s="1"/>
  <c r="G251" i="97" s="1"/>
  <c r="G252" i="97" s="1"/>
  <c r="G253" i="97" s="1"/>
  <c r="G254" i="97" s="1"/>
  <c r="G255" i="97" s="1"/>
  <c r="G256" i="97" s="1"/>
  <c r="G257" i="97" s="1"/>
  <c r="G258" i="97" s="1"/>
  <c r="G259" i="97" s="1"/>
  <c r="G260" i="97" s="1"/>
  <c r="G261" i="97" s="1"/>
  <c r="G262" i="97" s="1"/>
  <c r="G263" i="97" s="1"/>
  <c r="G264" i="97" s="1"/>
  <c r="G265" i="97" s="1"/>
  <c r="G266" i="97" s="1"/>
  <c r="G267" i="97" s="1"/>
  <c r="G268" i="97" s="1"/>
  <c r="G269" i="97" s="1"/>
  <c r="G270" i="97" s="1"/>
  <c r="G271" i="97" s="1"/>
  <c r="G272" i="97" s="1"/>
  <c r="G273" i="97" s="1"/>
  <c r="G274" i="97" s="1"/>
  <c r="G275" i="97" s="1"/>
  <c r="G276" i="97" s="1"/>
  <c r="G277" i="97" s="1"/>
  <c r="G278" i="97" s="1"/>
  <c r="G279" i="97" s="1"/>
  <c r="G280" i="97" s="1"/>
  <c r="G281" i="97" s="1"/>
  <c r="G282" i="97" s="1"/>
  <c r="G283" i="97" s="1"/>
  <c r="G284" i="97" s="1"/>
  <c r="G285" i="97" s="1"/>
  <c r="G286" i="97" s="1"/>
  <c r="G287" i="97" s="1"/>
  <c r="G288" i="97" s="1"/>
  <c r="G289" i="97" s="1"/>
  <c r="G290" i="97" s="1"/>
  <c r="G291" i="97" s="1"/>
  <c r="G292" i="97" s="1"/>
  <c r="G293" i="97" s="1"/>
  <c r="G294" i="97" s="1"/>
  <c r="G295" i="97" s="1"/>
  <c r="G296" i="97" s="1"/>
  <c r="G297" i="97" s="1"/>
  <c r="G298" i="97" s="1"/>
  <c r="G299" i="97" s="1"/>
  <c r="G300" i="97" s="1"/>
  <c r="G301" i="97" s="1"/>
  <c r="G302" i="97" s="1"/>
  <c r="G303" i="97" s="1"/>
  <c r="G304" i="97" s="1"/>
  <c r="G305" i="97" s="1"/>
  <c r="G306" i="97" s="1"/>
  <c r="G307" i="97" s="1"/>
  <c r="G308" i="97" s="1"/>
  <c r="G309" i="97" s="1"/>
  <c r="G310" i="97" s="1"/>
  <c r="G311" i="97" s="1"/>
  <c r="G312" i="97" s="1"/>
  <c r="G313" i="97" s="1"/>
  <c r="G314" i="97" s="1"/>
  <c r="G315" i="97" s="1"/>
  <c r="G316" i="97" s="1"/>
  <c r="G317" i="97" s="1"/>
  <c r="G318" i="97" s="1"/>
  <c r="G319" i="97" s="1"/>
  <c r="G320" i="97" s="1"/>
  <c r="G321" i="97" s="1"/>
  <c r="G322" i="97" s="1"/>
  <c r="G323" i="97" s="1"/>
  <c r="G324" i="97" s="1"/>
  <c r="G325" i="97" s="1"/>
  <c r="G326" i="97" s="1"/>
  <c r="G327" i="97" s="1"/>
  <c r="G328" i="97" s="1"/>
  <c r="G329" i="97" s="1"/>
  <c r="G330" i="97" s="1"/>
  <c r="G331" i="97" s="1"/>
  <c r="G332" i="97" s="1"/>
  <c r="G333" i="97" s="1"/>
  <c r="G334" i="97" s="1"/>
  <c r="G335" i="97" s="1"/>
  <c r="G336" i="97" s="1"/>
  <c r="G337" i="97" s="1"/>
  <c r="G338" i="97" s="1"/>
  <c r="G339" i="97" s="1"/>
  <c r="G340" i="97" s="1"/>
  <c r="G341" i="97" s="1"/>
  <c r="G342" i="97" s="1"/>
  <c r="G343" i="97" s="1"/>
  <c r="G344" i="97" s="1"/>
  <c r="G345" i="97" s="1"/>
  <c r="G346" i="97" s="1"/>
  <c r="G347" i="97" s="1"/>
  <c r="G348" i="97" s="1"/>
  <c r="G349" i="97" s="1"/>
  <c r="G350" i="97" s="1"/>
  <c r="G351" i="97" s="1"/>
  <c r="G352" i="97" s="1"/>
  <c r="G353" i="97" s="1"/>
  <c r="G354" i="97" s="1"/>
  <c r="G355" i="97" s="1"/>
  <c r="G356" i="97" s="1"/>
  <c r="G357" i="97" s="1"/>
  <c r="G358" i="97" s="1"/>
  <c r="G359" i="97" s="1"/>
  <c r="G360" i="97" s="1"/>
  <c r="G361" i="97" s="1"/>
  <c r="G362" i="97" s="1"/>
  <c r="G363" i="97" s="1"/>
  <c r="G364" i="97" s="1"/>
  <c r="G365" i="97" s="1"/>
  <c r="G366" i="97" s="1"/>
  <c r="G367" i="97" s="1"/>
  <c r="G368" i="97" s="1"/>
  <c r="G369" i="97" s="1"/>
  <c r="G370" i="97" s="1"/>
  <c r="G371" i="97" s="1"/>
  <c r="G372" i="97" s="1"/>
  <c r="G373" i="97" s="1"/>
  <c r="G374" i="97" s="1"/>
  <c r="G375" i="97" s="1"/>
  <c r="G376" i="97" s="1"/>
  <c r="G377" i="97" s="1"/>
  <c r="G378" i="97" s="1"/>
  <c r="G379" i="97" s="1"/>
  <c r="G380" i="97" s="1"/>
  <c r="G381" i="97" s="1"/>
  <c r="G382" i="97" s="1"/>
  <c r="G383" i="97" s="1"/>
  <c r="G384" i="97" s="1"/>
  <c r="G385" i="97" s="1"/>
  <c r="G386" i="97" s="1"/>
  <c r="G387" i="97" s="1"/>
  <c r="G388" i="97" s="1"/>
  <c r="G389" i="97" s="1"/>
  <c r="G390" i="97" s="1"/>
  <c r="G391" i="97" s="1"/>
  <c r="G392" i="97" s="1"/>
  <c r="G393" i="97" s="1"/>
  <c r="G394" i="97" s="1"/>
  <c r="G395" i="97" s="1"/>
  <c r="G396" i="97" s="1"/>
  <c r="G397" i="97" s="1"/>
  <c r="G398" i="97" s="1"/>
  <c r="G399" i="97" s="1"/>
  <c r="G400" i="97" s="1"/>
  <c r="G401" i="97" s="1"/>
  <c r="G402" i="97" s="1"/>
  <c r="G403" i="97" s="1"/>
  <c r="G404" i="97" s="1"/>
  <c r="G405" i="97" s="1"/>
  <c r="G406" i="97" s="1"/>
  <c r="G407" i="97" s="1"/>
  <c r="G408" i="97" s="1"/>
  <c r="G409" i="97" s="1"/>
  <c r="G410" i="97" s="1"/>
  <c r="G411" i="97" s="1"/>
  <c r="G412" i="97" s="1"/>
  <c r="G413" i="97" s="1"/>
  <c r="G414" i="97" s="1"/>
  <c r="G415" i="97" s="1"/>
  <c r="G416" i="97" s="1"/>
  <c r="G417" i="97" s="1"/>
  <c r="G418" i="97" s="1"/>
  <c r="G419" i="97" s="1"/>
  <c r="G420" i="97" s="1"/>
  <c r="G421" i="97" s="1"/>
  <c r="G422" i="97" s="1"/>
  <c r="G423" i="97" s="1"/>
  <c r="G424" i="97" s="1"/>
  <c r="G425" i="97" s="1"/>
  <c r="G426" i="97" s="1"/>
  <c r="G427" i="97" s="1"/>
  <c r="G428" i="97" s="1"/>
  <c r="G429" i="97" s="1"/>
  <c r="G430" i="97" s="1"/>
  <c r="G431" i="97" s="1"/>
  <c r="G432" i="97" s="1"/>
  <c r="G433" i="97" s="1"/>
  <c r="G434" i="97" s="1"/>
  <c r="G435" i="97" s="1"/>
  <c r="G436" i="97" s="1"/>
  <c r="G437" i="97" s="1"/>
  <c r="G438" i="97" s="1"/>
  <c r="G439" i="97" s="1"/>
  <c r="G440" i="97" s="1"/>
  <c r="G441" i="97" s="1"/>
  <c r="G442" i="97" s="1"/>
  <c r="G443" i="97" s="1"/>
  <c r="G444" i="97" s="1"/>
  <c r="G445" i="97" s="1"/>
  <c r="G446" i="97" s="1"/>
  <c r="G447" i="97" s="1"/>
  <c r="G448" i="97" s="1"/>
  <c r="G449" i="97" s="1"/>
  <c r="G450" i="97" s="1"/>
  <c r="G451" i="97" s="1"/>
  <c r="G452" i="97" s="1"/>
  <c r="G453" i="97" s="1"/>
  <c r="G454" i="97" s="1"/>
  <c r="G455" i="97" s="1"/>
  <c r="G456" i="97" s="1"/>
  <c r="G457" i="97" s="1"/>
  <c r="G458" i="97" s="1"/>
  <c r="G459" i="97" s="1"/>
  <c r="G460" i="97" s="1"/>
  <c r="G461" i="97" s="1"/>
  <c r="G462" i="97" s="1"/>
  <c r="G463" i="97" s="1"/>
  <c r="G464" i="97" s="1"/>
  <c r="G465" i="97" s="1"/>
  <c r="G466" i="97" s="1"/>
  <c r="G467" i="97" s="1"/>
  <c r="G468" i="97" s="1"/>
  <c r="G469" i="97" s="1"/>
  <c r="G470" i="97" s="1"/>
  <c r="G471" i="97" s="1"/>
  <c r="G472" i="97" s="1"/>
  <c r="G473" i="97" s="1"/>
  <c r="G474" i="97" s="1"/>
  <c r="G475" i="97" s="1"/>
  <c r="G476" i="97" s="1"/>
  <c r="G477" i="97" s="1"/>
  <c r="G478" i="97" s="1"/>
  <c r="G479" i="97" s="1"/>
  <c r="G480" i="97" s="1"/>
  <c r="G481" i="97" s="1"/>
  <c r="G482" i="97" s="1"/>
  <c r="G483" i="97" s="1"/>
  <c r="G484" i="97" s="1"/>
  <c r="G485" i="97" s="1"/>
  <c r="G486" i="97" s="1"/>
  <c r="G487" i="97" s="1"/>
  <c r="G488" i="97" s="1"/>
  <c r="G489" i="97" s="1"/>
  <c r="G490" i="97" s="1"/>
  <c r="G491" i="97" s="1"/>
  <c r="G492" i="97" s="1"/>
  <c r="G493" i="97" s="1"/>
  <c r="G494" i="97" s="1"/>
  <c r="G495" i="97" s="1"/>
  <c r="G496" i="97" s="1"/>
  <c r="G497" i="97" s="1"/>
  <c r="G498" i="97" s="1"/>
  <c r="G499" i="97" s="1"/>
  <c r="G500" i="97" s="1"/>
  <c r="G501" i="97" s="1"/>
  <c r="G502" i="97" s="1"/>
  <c r="G503" i="97" s="1"/>
  <c r="G504" i="97" s="1"/>
  <c r="G505" i="97" s="1"/>
  <c r="G506" i="97" s="1"/>
  <c r="G507" i="97" s="1"/>
  <c r="G508" i="97" s="1"/>
  <c r="G509" i="97" s="1"/>
  <c r="G510" i="97" s="1"/>
  <c r="G511" i="97" s="1"/>
  <c r="G512" i="97" s="1"/>
  <c r="G513" i="97" s="1"/>
  <c r="G514" i="97" s="1"/>
  <c r="G515" i="97" s="1"/>
  <c r="G516" i="97" s="1"/>
  <c r="G517" i="97" s="1"/>
  <c r="G518" i="97" s="1"/>
  <c r="G519" i="97" s="1"/>
  <c r="G520" i="97" s="1"/>
  <c r="G521" i="97" s="1"/>
  <c r="G522" i="97" s="1"/>
  <c r="G523" i="97" s="1"/>
  <c r="G524" i="97" s="1"/>
  <c r="G525" i="97" s="1"/>
  <c r="G526" i="97" s="1"/>
  <c r="G527" i="97" s="1"/>
  <c r="G528" i="97" s="1"/>
  <c r="G529" i="97" s="1"/>
  <c r="G530" i="97" s="1"/>
  <c r="G531" i="97" s="1"/>
  <c r="G532" i="97" s="1"/>
  <c r="G533" i="97" s="1"/>
  <c r="G534" i="97" s="1"/>
  <c r="G535" i="97" s="1"/>
  <c r="G536" i="97" s="1"/>
  <c r="G537" i="97" s="1"/>
  <c r="G538" i="97" s="1"/>
  <c r="G539" i="97" s="1"/>
  <c r="G540" i="97" s="1"/>
  <c r="G541" i="97" s="1"/>
  <c r="G542" i="97" s="1"/>
  <c r="G543" i="97" s="1"/>
  <c r="G544" i="97" s="1"/>
  <c r="G545" i="97" s="1"/>
  <c r="G546" i="97" s="1"/>
  <c r="G547" i="97" s="1"/>
  <c r="G548" i="97" s="1"/>
  <c r="G549" i="97" s="1"/>
  <c r="G550" i="97" s="1"/>
  <c r="G551" i="97" s="1"/>
  <c r="G552" i="97" s="1"/>
  <c r="G553" i="97" s="1"/>
  <c r="G554" i="97" s="1"/>
  <c r="G555" i="97" s="1"/>
  <c r="G556" i="97" s="1"/>
  <c r="G557" i="97" s="1"/>
  <c r="G558" i="97" s="1"/>
  <c r="G559" i="97" s="1"/>
  <c r="G560" i="97" s="1"/>
  <c r="G561" i="97" s="1"/>
  <c r="G562" i="97" s="1"/>
  <c r="G563" i="97" s="1"/>
  <c r="G564" i="97" s="1"/>
  <c r="G565" i="97" s="1"/>
  <c r="G566" i="97" s="1"/>
  <c r="G567" i="97" s="1"/>
  <c r="G568" i="97" s="1"/>
  <c r="G569" i="97" s="1"/>
  <c r="G570" i="97" s="1"/>
  <c r="G571" i="97" s="1"/>
  <c r="G572" i="97" s="1"/>
  <c r="G573" i="97" s="1"/>
  <c r="G574" i="97" s="1"/>
  <c r="G575" i="97" s="1"/>
  <c r="G576" i="97" s="1"/>
  <c r="G577" i="97" s="1"/>
  <c r="G578" i="97" s="1"/>
  <c r="G579" i="97" s="1"/>
  <c r="G580" i="97" s="1"/>
  <c r="G581" i="97" s="1"/>
  <c r="G582" i="97" s="1"/>
  <c r="G583" i="97" s="1"/>
  <c r="G584" i="97" s="1"/>
  <c r="G585" i="97" s="1"/>
  <c r="G586" i="97" s="1"/>
  <c r="G587" i="97" s="1"/>
  <c r="G588" i="97" s="1"/>
  <c r="G589" i="97" s="1"/>
  <c r="G590" i="97" s="1"/>
  <c r="G591" i="97" s="1"/>
  <c r="G592" i="97" s="1"/>
  <c r="G593" i="97" s="1"/>
  <c r="G594" i="97" s="1"/>
  <c r="G595" i="97" s="1"/>
  <c r="G596" i="97" s="1"/>
  <c r="G597" i="97" s="1"/>
  <c r="G598" i="97" s="1"/>
  <c r="G599" i="97" s="1"/>
  <c r="G600" i="97" s="1"/>
  <c r="G601" i="97" s="1"/>
  <c r="G602" i="97" s="1"/>
  <c r="G603" i="97" s="1"/>
  <c r="G604" i="97" s="1"/>
  <c r="G605" i="97" s="1"/>
  <c r="G606" i="97" s="1"/>
  <c r="G607" i="97" s="1"/>
  <c r="G608" i="97" s="1"/>
  <c r="F109" i="97"/>
  <c r="F105" i="97"/>
  <c r="F117" i="97"/>
  <c r="F129" i="97"/>
  <c r="F136" i="97"/>
  <c r="F120" i="97"/>
  <c r="F104" i="97"/>
  <c r="F88" i="97"/>
  <c r="F139" i="97"/>
  <c r="F123" i="97"/>
  <c r="F107" i="97"/>
  <c r="F91" i="97"/>
  <c r="F138" i="97"/>
  <c r="F122" i="97"/>
  <c r="F106" i="97"/>
  <c r="F90" i="97"/>
  <c r="F81" i="97"/>
  <c r="F579" i="97"/>
  <c r="F515" i="97"/>
  <c r="F451" i="97"/>
  <c r="F387" i="97"/>
  <c r="F323" i="97"/>
  <c r="F217" i="97"/>
  <c r="F153" i="97"/>
  <c r="F89" i="97"/>
  <c r="F349" i="97"/>
  <c r="F596" i="97"/>
  <c r="F532" i="97"/>
  <c r="F468" i="97"/>
  <c r="F404" i="97"/>
  <c r="F297" i="97"/>
  <c r="F46" i="97"/>
  <c r="F64" i="97"/>
  <c r="F32" i="97"/>
  <c r="F83" i="97"/>
  <c r="F67" i="97"/>
  <c r="F51" i="97"/>
  <c r="F35" i="97"/>
  <c r="F593" i="97"/>
  <c r="F288" i="97"/>
  <c r="F563" i="97"/>
  <c r="F499" i="97"/>
  <c r="F435" i="97"/>
  <c r="F371" i="97"/>
  <c r="F265" i="97"/>
  <c r="F201" i="97"/>
  <c r="F137" i="97"/>
  <c r="F62" i="97"/>
  <c r="F345" i="97"/>
  <c r="F592" i="97"/>
  <c r="F528" i="97"/>
  <c r="F464" i="97"/>
  <c r="F400" i="97"/>
  <c r="F352" i="97"/>
  <c r="F336" i="97"/>
  <c r="F320" i="97"/>
  <c r="F318" i="97"/>
  <c r="F304" i="97"/>
  <c r="F595" i="97"/>
  <c r="F547" i="97"/>
  <c r="F483" i="97"/>
  <c r="F419" i="97"/>
  <c r="F355" i="97"/>
  <c r="F338" i="97"/>
  <c r="F249" i="97"/>
  <c r="F185" i="97"/>
  <c r="F121" i="97"/>
  <c r="F30" i="97"/>
  <c r="F313" i="97"/>
  <c r="F281" i="97"/>
  <c r="F272" i="97"/>
  <c r="F256" i="97"/>
  <c r="F240" i="97"/>
  <c r="F224" i="97"/>
  <c r="F208" i="97"/>
  <c r="F192" i="97"/>
  <c r="F176" i="97"/>
  <c r="F160" i="97"/>
  <c r="F144" i="97"/>
  <c r="F128" i="97"/>
  <c r="F112" i="97"/>
  <c r="F96" i="97"/>
  <c r="F307" i="97"/>
  <c r="F291" i="97"/>
  <c r="F275" i="97"/>
  <c r="F259" i="97"/>
  <c r="F243" i="97"/>
  <c r="F227" i="97"/>
  <c r="F211" i="97"/>
  <c r="F195" i="97"/>
  <c r="F179" i="97"/>
  <c r="F163" i="97"/>
  <c r="F147" i="97"/>
  <c r="F131" i="97"/>
  <c r="F115" i="97"/>
  <c r="F99" i="97"/>
  <c r="F306" i="97"/>
  <c r="F80" i="97"/>
  <c r="F48" i="97"/>
  <c r="F73" i="97"/>
  <c r="F57" i="97"/>
  <c r="F41" i="97"/>
  <c r="F25" i="97"/>
  <c r="F21" i="97"/>
  <c r="F310" i="97"/>
  <c r="F587" i="97"/>
  <c r="F354" i="97"/>
  <c r="F322" i="97"/>
  <c r="F75" i="97"/>
  <c r="F59" i="97"/>
  <c r="F43" i="97"/>
  <c r="F27" i="97"/>
  <c r="F334" i="97"/>
  <c r="F568" i="97"/>
  <c r="F552" i="97"/>
  <c r="F504" i="97"/>
  <c r="F488" i="97"/>
  <c r="F440" i="97"/>
  <c r="F424" i="97"/>
  <c r="F376" i="97"/>
  <c r="F360" i="97"/>
  <c r="F344" i="97"/>
  <c r="F328" i="97"/>
  <c r="F72" i="97"/>
  <c r="F40" i="97"/>
  <c r="F564" i="97"/>
  <c r="F500" i="97"/>
  <c r="F436" i="97"/>
  <c r="F372" i="97"/>
  <c r="F588" i="97"/>
  <c r="F572" i="97"/>
  <c r="F556" i="97"/>
  <c r="F524" i="97"/>
  <c r="F508" i="97"/>
  <c r="F492" i="97"/>
  <c r="F476" i="97"/>
  <c r="F460" i="97"/>
  <c r="F444" i="97"/>
  <c r="F428" i="97"/>
  <c r="F412" i="97"/>
  <c r="F396" i="97"/>
  <c r="F380" i="97"/>
  <c r="F364" i="97"/>
  <c r="N45" i="66"/>
  <c r="N45" i="65"/>
  <c r="N45" i="63"/>
  <c r="N45" i="61"/>
  <c r="N45" i="40"/>
  <c r="N46" i="69"/>
  <c r="N49" i="68"/>
  <c r="N50" i="68"/>
  <c r="N51" i="68"/>
  <c r="N52" i="68"/>
  <c r="N53" i="68"/>
  <c r="N54" i="68"/>
  <c r="N55" i="68"/>
  <c r="N56" i="68"/>
  <c r="N57" i="68"/>
  <c r="N58" i="68"/>
  <c r="N59" i="68"/>
  <c r="N60" i="68"/>
  <c r="N61" i="68"/>
  <c r="N62" i="68"/>
  <c r="N63" i="68"/>
  <c r="N64" i="68"/>
  <c r="N65" i="68"/>
  <c r="N66" i="68"/>
  <c r="N67" i="68"/>
  <c r="N68" i="68"/>
  <c r="N69" i="68"/>
  <c r="N70" i="68"/>
  <c r="N71" i="68"/>
  <c r="N72" i="68"/>
  <c r="N73" i="68"/>
  <c r="N74" i="68"/>
  <c r="N75" i="68"/>
  <c r="N76" i="68"/>
  <c r="N77" i="68"/>
  <c r="N78" i="68"/>
  <c r="N79" i="68"/>
  <c r="N80" i="68"/>
  <c r="N81" i="68"/>
  <c r="N82" i="68"/>
  <c r="N83" i="68"/>
  <c r="N84" i="68"/>
  <c r="N85" i="68"/>
  <c r="N86" i="68"/>
  <c r="N87" i="68"/>
  <c r="N88" i="68"/>
  <c r="N89" i="68"/>
  <c r="N90" i="68"/>
  <c r="N91" i="68"/>
  <c r="N92" i="68"/>
  <c r="N93" i="68"/>
  <c r="N94" i="68"/>
  <c r="N53" i="67" l="1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67" i="67"/>
  <c r="N68" i="67"/>
  <c r="N69" i="67"/>
  <c r="N70" i="67"/>
  <c r="N71" i="67"/>
  <c r="N72" i="67"/>
  <c r="N73" i="67"/>
  <c r="N74" i="67"/>
  <c r="N75" i="67"/>
  <c r="N76" i="67"/>
  <c r="N77" i="67"/>
  <c r="N78" i="67"/>
  <c r="N79" i="67"/>
  <c r="N80" i="67"/>
  <c r="N81" i="67"/>
  <c r="N82" i="67"/>
  <c r="N83" i="67"/>
  <c r="N84" i="67"/>
  <c r="N85" i="67"/>
  <c r="N86" i="67"/>
  <c r="N87" i="67"/>
  <c r="N88" i="67"/>
  <c r="N89" i="67"/>
  <c r="N90" i="67"/>
  <c r="N91" i="67"/>
  <c r="N92" i="67"/>
  <c r="N93" i="67"/>
  <c r="N94" i="67"/>
  <c r="O44" i="1" l="1"/>
  <c r="P44" i="1" s="1"/>
  <c r="C53" i="18"/>
  <c r="F53" i="18" s="1"/>
  <c r="C54" i="18"/>
  <c r="K54" i="18" s="1"/>
  <c r="C55" i="18"/>
  <c r="C56" i="18"/>
  <c r="G56" i="18" s="1"/>
  <c r="C57" i="18"/>
  <c r="F57" i="18" s="1"/>
  <c r="C58" i="18"/>
  <c r="K58" i="18" s="1"/>
  <c r="C59" i="18"/>
  <c r="C60" i="18"/>
  <c r="G60" i="18" s="1"/>
  <c r="C61" i="18"/>
  <c r="F61" i="18" s="1"/>
  <c r="C62" i="18"/>
  <c r="K62" i="18" s="1"/>
  <c r="C63" i="18"/>
  <c r="C64" i="18"/>
  <c r="G64" i="18" s="1"/>
  <c r="C65" i="18"/>
  <c r="F65" i="18" s="1"/>
  <c r="C66" i="18"/>
  <c r="K66" i="18" s="1"/>
  <c r="C52" i="18"/>
  <c r="B18" i="1"/>
  <c r="B16" i="1"/>
  <c r="O16" i="1"/>
  <c r="P16" i="1" s="1"/>
  <c r="B17" i="1"/>
  <c r="O17" i="1"/>
  <c r="P17" i="1" s="1"/>
  <c r="B10" i="21"/>
  <c r="B44" i="1"/>
  <c r="D52" i="18" l="1"/>
  <c r="H52" i="18"/>
  <c r="L52" i="18"/>
  <c r="E52" i="18"/>
  <c r="I52" i="18"/>
  <c r="M52" i="18"/>
  <c r="D63" i="18"/>
  <c r="H63" i="18"/>
  <c r="L63" i="18"/>
  <c r="E63" i="18"/>
  <c r="I63" i="18"/>
  <c r="M63" i="18"/>
  <c r="D59" i="18"/>
  <c r="H59" i="18"/>
  <c r="L59" i="18"/>
  <c r="E59" i="18"/>
  <c r="I59" i="18"/>
  <c r="M59" i="18"/>
  <c r="D55" i="18"/>
  <c r="H55" i="18"/>
  <c r="L55" i="18"/>
  <c r="E55" i="18"/>
  <c r="I55" i="18"/>
  <c r="M55" i="18"/>
  <c r="O65" i="18"/>
  <c r="G65" i="18"/>
  <c r="K64" i="18"/>
  <c r="O63" i="18"/>
  <c r="G63" i="18"/>
  <c r="O61" i="18"/>
  <c r="G61" i="18"/>
  <c r="K60" i="18"/>
  <c r="O59" i="18"/>
  <c r="G59" i="18"/>
  <c r="O57" i="18"/>
  <c r="G57" i="18"/>
  <c r="K56" i="18"/>
  <c r="O55" i="18"/>
  <c r="G55" i="18"/>
  <c r="O53" i="18"/>
  <c r="G53" i="18"/>
  <c r="K52" i="18"/>
  <c r="D66" i="18"/>
  <c r="H66" i="18"/>
  <c r="L66" i="18"/>
  <c r="E66" i="18"/>
  <c r="I66" i="18"/>
  <c r="M66" i="18"/>
  <c r="D62" i="18"/>
  <c r="H62" i="18"/>
  <c r="L62" i="18"/>
  <c r="E62" i="18"/>
  <c r="I62" i="18"/>
  <c r="M62" i="18"/>
  <c r="D58" i="18"/>
  <c r="H58" i="18"/>
  <c r="L58" i="18"/>
  <c r="E58" i="18"/>
  <c r="I58" i="18"/>
  <c r="M58" i="18"/>
  <c r="D54" i="18"/>
  <c r="H54" i="18"/>
  <c r="L54" i="18"/>
  <c r="E54" i="18"/>
  <c r="I54" i="18"/>
  <c r="M54" i="18"/>
  <c r="J66" i="18"/>
  <c r="N65" i="18"/>
  <c r="J64" i="18"/>
  <c r="N63" i="18"/>
  <c r="F63" i="18"/>
  <c r="J62" i="18"/>
  <c r="N61" i="18"/>
  <c r="J60" i="18"/>
  <c r="N59" i="18"/>
  <c r="F59" i="18"/>
  <c r="J58" i="18"/>
  <c r="N57" i="18"/>
  <c r="J56" i="18"/>
  <c r="N55" i="18"/>
  <c r="F55" i="18"/>
  <c r="J54" i="18"/>
  <c r="N53" i="18"/>
  <c r="J52" i="18"/>
  <c r="D65" i="18"/>
  <c r="H65" i="18"/>
  <c r="L65" i="18"/>
  <c r="E65" i="18"/>
  <c r="I65" i="18"/>
  <c r="M65" i="18"/>
  <c r="D61" i="18"/>
  <c r="H61" i="18"/>
  <c r="L61" i="18"/>
  <c r="E61" i="18"/>
  <c r="I61" i="18"/>
  <c r="M61" i="18"/>
  <c r="D57" i="18"/>
  <c r="H57" i="18"/>
  <c r="L57" i="18"/>
  <c r="E57" i="18"/>
  <c r="I57" i="18"/>
  <c r="M57" i="18"/>
  <c r="D53" i="18"/>
  <c r="H53" i="18"/>
  <c r="L53" i="18"/>
  <c r="E53" i="18"/>
  <c r="I53" i="18"/>
  <c r="M53" i="18"/>
  <c r="O66" i="18"/>
  <c r="G66" i="18"/>
  <c r="K65" i="18"/>
  <c r="O64" i="18"/>
  <c r="K63" i="18"/>
  <c r="O62" i="18"/>
  <c r="G62" i="18"/>
  <c r="K61" i="18"/>
  <c r="O60" i="18"/>
  <c r="K59" i="18"/>
  <c r="O58" i="18"/>
  <c r="G58" i="18"/>
  <c r="K57" i="18"/>
  <c r="O56" i="18"/>
  <c r="K55" i="18"/>
  <c r="O54" i="18"/>
  <c r="G54" i="18"/>
  <c r="K53" i="18"/>
  <c r="O52" i="18"/>
  <c r="G52" i="18"/>
  <c r="D64" i="18"/>
  <c r="H64" i="18"/>
  <c r="L64" i="18"/>
  <c r="E64" i="18"/>
  <c r="I64" i="18"/>
  <c r="M64" i="18"/>
  <c r="D60" i="18"/>
  <c r="H60" i="18"/>
  <c r="L60" i="18"/>
  <c r="E60" i="18"/>
  <c r="I60" i="18"/>
  <c r="M60" i="18"/>
  <c r="D56" i="18"/>
  <c r="H56" i="18"/>
  <c r="L56" i="18"/>
  <c r="E56" i="18"/>
  <c r="I56" i="18"/>
  <c r="M56" i="18"/>
  <c r="N66" i="18"/>
  <c r="F66" i="18"/>
  <c r="J65" i="18"/>
  <c r="N64" i="18"/>
  <c r="F64" i="18"/>
  <c r="J63" i="18"/>
  <c r="N62" i="18"/>
  <c r="F62" i="18"/>
  <c r="J61" i="18"/>
  <c r="N60" i="18"/>
  <c r="F60" i="18"/>
  <c r="J59" i="18"/>
  <c r="N58" i="18"/>
  <c r="F58" i="18"/>
  <c r="J57" i="18"/>
  <c r="N56" i="18"/>
  <c r="F56" i="18"/>
  <c r="J55" i="18"/>
  <c r="N54" i="18"/>
  <c r="F54" i="18"/>
  <c r="J53" i="18"/>
  <c r="N52" i="18"/>
  <c r="F52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67" i="18"/>
  <c r="B82" i="18"/>
  <c r="B67" i="18"/>
  <c r="B52" i="18"/>
  <c r="B18" i="16"/>
  <c r="B17" i="16"/>
  <c r="B16" i="16"/>
  <c r="B15" i="16"/>
  <c r="B14" i="16"/>
  <c r="B13" i="16"/>
  <c r="B12" i="16"/>
  <c r="B11" i="16"/>
  <c r="B10" i="16"/>
  <c r="B9" i="16"/>
  <c r="B8" i="16"/>
  <c r="J3" i="56"/>
  <c r="P64" i="18" l="1"/>
  <c r="P60" i="18"/>
  <c r="Q60" i="18" s="1"/>
  <c r="P61" i="18"/>
  <c r="Q61" i="18" s="1"/>
  <c r="P66" i="18"/>
  <c r="P59" i="18"/>
  <c r="P65" i="18"/>
  <c r="P56" i="18"/>
  <c r="P54" i="18"/>
  <c r="P62" i="18"/>
  <c r="P52" i="18"/>
  <c r="P58" i="18"/>
  <c r="P57" i="18"/>
  <c r="P53" i="18"/>
  <c r="Q53" i="18" s="1"/>
  <c r="P63" i="18"/>
  <c r="P55" i="18"/>
  <c r="B31" i="16"/>
  <c r="I7" i="99"/>
  <c r="G9" i="99"/>
  <c r="G8" i="99"/>
  <c r="F7" i="99"/>
  <c r="G7" i="99" s="1"/>
  <c r="E7" i="99"/>
  <c r="D7" i="99"/>
  <c r="C7" i="99"/>
  <c r="Q64" i="18" l="1"/>
  <c r="Q55" i="18"/>
  <c r="Q58" i="18"/>
  <c r="Q56" i="18"/>
  <c r="Q63" i="18"/>
  <c r="Q52" i="18"/>
  <c r="Q65" i="18"/>
  <c r="Q62" i="18"/>
  <c r="Q59" i="18"/>
  <c r="Q57" i="18"/>
  <c r="Q54" i="18"/>
  <c r="R54" i="18"/>
  <c r="Q66" i="18"/>
  <c r="H9" i="99"/>
  <c r="H8" i="99"/>
  <c r="O3" i="83"/>
  <c r="J3" i="83"/>
  <c r="R10" i="94"/>
  <c r="R11" i="94"/>
  <c r="R12" i="94"/>
  <c r="R13" i="94"/>
  <c r="R14" i="94"/>
  <c r="R15" i="94"/>
  <c r="R16" i="94"/>
  <c r="P10" i="94"/>
  <c r="P11" i="94"/>
  <c r="P12" i="94"/>
  <c r="P13" i="94"/>
  <c r="P14" i="94"/>
  <c r="P15" i="94"/>
  <c r="P16" i="94"/>
  <c r="P7" i="94"/>
  <c r="H7" i="99"/>
  <c r="I8" i="94"/>
  <c r="I9" i="94"/>
  <c r="I10" i="94"/>
  <c r="I11" i="94"/>
  <c r="I12" i="94"/>
  <c r="I13" i="94"/>
  <c r="I14" i="94"/>
  <c r="I15" i="94"/>
  <c r="I16" i="94"/>
  <c r="I7" i="94"/>
  <c r="I8" i="85"/>
  <c r="I9" i="85"/>
  <c r="I10" i="85"/>
  <c r="I11" i="85"/>
  <c r="I12" i="85"/>
  <c r="I13" i="85"/>
  <c r="I14" i="85"/>
  <c r="I15" i="85"/>
  <c r="I16" i="85"/>
  <c r="I7" i="85"/>
  <c r="O21" i="1" l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E23" i="81" l="1"/>
  <c r="F22" i="81" s="1"/>
  <c r="J3" i="87"/>
  <c r="G11" i="94"/>
  <c r="G12" i="94"/>
  <c r="G13" i="94"/>
  <c r="G14" i="94"/>
  <c r="G15" i="94"/>
  <c r="G16" i="94"/>
  <c r="N10" i="85"/>
  <c r="O10" i="85" s="1"/>
  <c r="N12" i="85"/>
  <c r="O12" i="85" s="1"/>
  <c r="N13" i="85"/>
  <c r="O13" i="85" s="1"/>
  <c r="N14" i="85"/>
  <c r="O14" i="85" s="1"/>
  <c r="N16" i="85"/>
  <c r="O16" i="85" s="1"/>
  <c r="N11" i="85"/>
  <c r="O11" i="85" s="1"/>
  <c r="N15" i="85"/>
  <c r="O15" i="85" s="1"/>
  <c r="N7" i="85"/>
  <c r="O7" i="85" s="1"/>
  <c r="N8" i="85"/>
  <c r="O8" i="85" s="1"/>
  <c r="N9" i="85"/>
  <c r="O9" i="85" s="1"/>
  <c r="F4" i="81" l="1"/>
  <c r="F21" i="81"/>
  <c r="F23" i="81" s="1"/>
  <c r="Q11" i="94"/>
  <c r="Q12" i="94"/>
  <c r="Q13" i="94"/>
  <c r="Q14" i="94"/>
  <c r="Q15" i="94"/>
  <c r="Q16" i="94"/>
  <c r="O11" i="94"/>
  <c r="O12" i="94"/>
  <c r="O13" i="94"/>
  <c r="O14" i="94"/>
  <c r="O15" i="94"/>
  <c r="O16" i="94"/>
  <c r="N10" i="94"/>
  <c r="N11" i="94"/>
  <c r="N12" i="94"/>
  <c r="N13" i="94"/>
  <c r="N14" i="94"/>
  <c r="N15" i="94"/>
  <c r="N16" i="94"/>
  <c r="G9" i="94" l="1"/>
  <c r="P9" i="94"/>
  <c r="Q9" i="94" s="1"/>
  <c r="G8" i="94"/>
  <c r="P8" i="94"/>
  <c r="Q8" i="94" s="1"/>
  <c r="R8" i="94" s="1"/>
  <c r="O8" i="94"/>
  <c r="N8" i="94"/>
  <c r="N7" i="94"/>
  <c r="G7" i="94"/>
  <c r="Q10" i="94"/>
  <c r="G10" i="94"/>
  <c r="O9" i="94"/>
  <c r="N9" i="94"/>
  <c r="O10" i="94"/>
  <c r="O7" i="94"/>
  <c r="Q7" i="94"/>
  <c r="R7" i="94" l="1"/>
  <c r="R9" i="94"/>
  <c r="G15" i="85"/>
  <c r="G16" i="85"/>
  <c r="G9" i="85"/>
  <c r="G10" i="85"/>
  <c r="G11" i="85"/>
  <c r="G12" i="85"/>
  <c r="G13" i="85"/>
  <c r="G14" i="85"/>
  <c r="E10" i="97" l="1"/>
  <c r="O7" i="83"/>
  <c r="O8" i="83"/>
  <c r="O9" i="83"/>
  <c r="O10" i="83"/>
  <c r="O11" i="83"/>
  <c r="O12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6" i="83"/>
  <c r="J7" i="83"/>
  <c r="J8" i="83"/>
  <c r="J9" i="83"/>
  <c r="J10" i="83"/>
  <c r="J11" i="83"/>
  <c r="J12" i="83"/>
  <c r="J13" i="83"/>
  <c r="J14" i="83"/>
  <c r="J15" i="83"/>
  <c r="J16" i="83"/>
  <c r="J17" i="83"/>
  <c r="J18" i="83"/>
  <c r="J19" i="83"/>
  <c r="J20" i="83"/>
  <c r="J21" i="83"/>
  <c r="J22" i="83"/>
  <c r="J23" i="83"/>
  <c r="J24" i="83"/>
  <c r="J25" i="83"/>
  <c r="J26" i="83"/>
  <c r="J27" i="83"/>
  <c r="J28" i="83"/>
  <c r="J29" i="83"/>
  <c r="J30" i="83"/>
  <c r="J31" i="83"/>
  <c r="J32" i="83"/>
  <c r="J33" i="83"/>
  <c r="J34" i="83"/>
  <c r="J35" i="83"/>
  <c r="J36" i="83"/>
  <c r="J37" i="83"/>
  <c r="J38" i="83"/>
  <c r="J39" i="83"/>
  <c r="J40" i="83"/>
  <c r="J41" i="83"/>
  <c r="J42" i="83"/>
  <c r="J43" i="83"/>
  <c r="J44" i="83"/>
  <c r="J6" i="83"/>
  <c r="E7" i="83"/>
  <c r="E8" i="83"/>
  <c r="E9" i="83"/>
  <c r="E10" i="83"/>
  <c r="E11" i="83"/>
  <c r="E12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29" i="83"/>
  <c r="E30" i="83"/>
  <c r="E31" i="83"/>
  <c r="E32" i="83"/>
  <c r="E33" i="83"/>
  <c r="E34" i="83"/>
  <c r="E35" i="83"/>
  <c r="E36" i="83"/>
  <c r="E37" i="83"/>
  <c r="E38" i="83"/>
  <c r="E39" i="83"/>
  <c r="E40" i="83"/>
  <c r="E41" i="83"/>
  <c r="E42" i="83"/>
  <c r="E43" i="83"/>
  <c r="E44" i="83"/>
  <c r="E6" i="83"/>
  <c r="N4" i="85"/>
  <c r="G7" i="85"/>
  <c r="G8" i="85"/>
  <c r="H33" i="66"/>
  <c r="H9" i="66"/>
  <c r="M5" i="66"/>
  <c r="H5" i="66"/>
  <c r="B33" i="66"/>
  <c r="B9" i="66"/>
  <c r="M5" i="65"/>
  <c r="H5" i="65"/>
  <c r="H33" i="65"/>
  <c r="H9" i="65"/>
  <c r="B33" i="65"/>
  <c r="B9" i="65"/>
  <c r="H33" i="64"/>
  <c r="H9" i="64"/>
  <c r="M5" i="64"/>
  <c r="H5" i="64"/>
  <c r="B33" i="64"/>
  <c r="B9" i="64"/>
  <c r="M5" i="63"/>
  <c r="H5" i="63"/>
  <c r="H33" i="63"/>
  <c r="H9" i="63"/>
  <c r="B33" i="63"/>
  <c r="B9" i="63"/>
  <c r="M5" i="62"/>
  <c r="H5" i="62"/>
  <c r="H33" i="62"/>
  <c r="H9" i="62"/>
  <c r="B33" i="62"/>
  <c r="B9" i="62"/>
  <c r="H33" i="61"/>
  <c r="M5" i="61"/>
  <c r="H5" i="61"/>
  <c r="H9" i="61"/>
  <c r="B33" i="61"/>
  <c r="B9" i="61"/>
  <c r="H5" i="60"/>
  <c r="M5" i="60"/>
  <c r="H33" i="60"/>
  <c r="H9" i="60"/>
  <c r="B33" i="60"/>
  <c r="B9" i="60"/>
  <c r="M5" i="59"/>
  <c r="H5" i="59"/>
  <c r="H33" i="59"/>
  <c r="H9" i="59"/>
  <c r="B33" i="59"/>
  <c r="B9" i="59"/>
  <c r="M5" i="40"/>
  <c r="H5" i="40"/>
  <c r="H33" i="40"/>
  <c r="H9" i="40"/>
  <c r="B33" i="40"/>
  <c r="B9" i="40"/>
  <c r="M5" i="69"/>
  <c r="H5" i="69"/>
  <c r="H33" i="69"/>
  <c r="H9" i="69"/>
  <c r="B33" i="69"/>
  <c r="B9" i="69"/>
  <c r="M5" i="68"/>
  <c r="H5" i="68"/>
  <c r="H33" i="68"/>
  <c r="B33" i="68"/>
  <c r="H9" i="68"/>
  <c r="B9" i="68"/>
  <c r="C6" i="20"/>
  <c r="C7" i="20"/>
  <c r="C4" i="20"/>
  <c r="C5" i="20"/>
  <c r="C8" i="20"/>
  <c r="C9" i="20"/>
  <c r="C10" i="20"/>
  <c r="C11" i="20"/>
  <c r="C12" i="20"/>
  <c r="C13" i="20"/>
  <c r="C14" i="20"/>
  <c r="C15" i="20"/>
  <c r="C16" i="20"/>
  <c r="F10" i="97" l="1"/>
  <c r="C18" i="20"/>
  <c r="E15" i="81"/>
  <c r="E14" i="81"/>
  <c r="J5" i="83" l="1"/>
  <c r="O4" i="85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B6" i="1"/>
  <c r="B7" i="1"/>
  <c r="B8" i="1"/>
  <c r="B9" i="1"/>
  <c r="B10" i="1"/>
  <c r="B11" i="1"/>
  <c r="B12" i="1"/>
  <c r="B13" i="1"/>
  <c r="B14" i="1"/>
  <c r="B15" i="1"/>
  <c r="B5" i="1"/>
  <c r="C203" i="18" l="1"/>
  <c r="C204" i="18"/>
  <c r="C205" i="18"/>
  <c r="C206" i="18"/>
  <c r="C207" i="18"/>
  <c r="C208" i="18"/>
  <c r="D208" i="18" s="1"/>
  <c r="C209" i="18"/>
  <c r="C210" i="18"/>
  <c r="D210" i="18" s="1"/>
  <c r="C211" i="18"/>
  <c r="C212" i="18"/>
  <c r="C213" i="18"/>
  <c r="C214" i="18"/>
  <c r="C215" i="18"/>
  <c r="C216" i="18"/>
  <c r="C202" i="18"/>
  <c r="C188" i="18"/>
  <c r="C189" i="18"/>
  <c r="C190" i="18"/>
  <c r="C191" i="18"/>
  <c r="C192" i="18"/>
  <c r="D192" i="18" s="1"/>
  <c r="C193" i="18"/>
  <c r="D193" i="18" s="1"/>
  <c r="C194" i="18"/>
  <c r="D194" i="18" s="1"/>
  <c r="C195" i="18"/>
  <c r="D195" i="18" s="1"/>
  <c r="C196" i="18"/>
  <c r="D196" i="18" s="1"/>
  <c r="C197" i="18"/>
  <c r="D197" i="18" s="1"/>
  <c r="C198" i="18"/>
  <c r="C199" i="18"/>
  <c r="D199" i="18" s="1"/>
  <c r="C200" i="18"/>
  <c r="C201" i="18"/>
  <c r="C187" i="18"/>
  <c r="D187" i="18" s="1"/>
  <c r="C173" i="18"/>
  <c r="D173" i="18" s="1"/>
  <c r="C174" i="18"/>
  <c r="C175" i="18"/>
  <c r="C176" i="18"/>
  <c r="C177" i="18"/>
  <c r="C178" i="18"/>
  <c r="C179" i="18"/>
  <c r="C180" i="18"/>
  <c r="C181" i="18"/>
  <c r="D181" i="18" s="1"/>
  <c r="C182" i="18"/>
  <c r="D182" i="18" s="1"/>
  <c r="C183" i="18"/>
  <c r="D183" i="18" s="1"/>
  <c r="C184" i="18"/>
  <c r="D184" i="18" s="1"/>
  <c r="C185" i="18"/>
  <c r="D185" i="18" s="1"/>
  <c r="C186" i="18"/>
  <c r="D186" i="18" s="1"/>
  <c r="C172" i="18"/>
  <c r="C158" i="18"/>
  <c r="C159" i="18"/>
  <c r="D159" i="18" s="1"/>
  <c r="C160" i="18"/>
  <c r="C161" i="18"/>
  <c r="D161" i="18" s="1"/>
  <c r="C162" i="18"/>
  <c r="C163" i="18"/>
  <c r="C164" i="18"/>
  <c r="C165" i="18"/>
  <c r="C166" i="18"/>
  <c r="D166" i="18" s="1"/>
  <c r="C167" i="18"/>
  <c r="C168" i="18"/>
  <c r="C169" i="18"/>
  <c r="C170" i="18"/>
  <c r="D170" i="18" s="1"/>
  <c r="C171" i="18"/>
  <c r="D171" i="18" s="1"/>
  <c r="C157" i="18"/>
  <c r="D157" i="18" s="1"/>
  <c r="C143" i="18"/>
  <c r="D143" i="18" s="1"/>
  <c r="C144" i="18"/>
  <c r="C145" i="18"/>
  <c r="C146" i="18"/>
  <c r="D146" i="18" s="1"/>
  <c r="C147" i="18"/>
  <c r="C148" i="18"/>
  <c r="D148" i="18" s="1"/>
  <c r="C149" i="18"/>
  <c r="C150" i="18"/>
  <c r="D150" i="18" s="1"/>
  <c r="C151" i="18"/>
  <c r="D151" i="18" s="1"/>
  <c r="C152" i="18"/>
  <c r="D152" i="18" s="1"/>
  <c r="C153" i="18"/>
  <c r="D153" i="18" s="1"/>
  <c r="C154" i="18"/>
  <c r="D154" i="18" s="1"/>
  <c r="C155" i="18"/>
  <c r="D155" i="18" s="1"/>
  <c r="C156" i="18"/>
  <c r="C142" i="18"/>
  <c r="C128" i="18"/>
  <c r="D128" i="18" s="1"/>
  <c r="C129" i="18"/>
  <c r="C130" i="18"/>
  <c r="C131" i="18"/>
  <c r="C132" i="18"/>
  <c r="D132" i="18" s="1"/>
  <c r="C133" i="18"/>
  <c r="C134" i="18"/>
  <c r="C135" i="18"/>
  <c r="C136" i="18"/>
  <c r="C137" i="18"/>
  <c r="C138" i="18"/>
  <c r="C139" i="18"/>
  <c r="C140" i="18"/>
  <c r="D140" i="18" s="1"/>
  <c r="C141" i="18"/>
  <c r="C127" i="18"/>
  <c r="D127" i="18" s="1"/>
  <c r="C113" i="18"/>
  <c r="D113" i="18" s="1"/>
  <c r="C114" i="18"/>
  <c r="D114" i="18" s="1"/>
  <c r="C115" i="18"/>
  <c r="C116" i="18"/>
  <c r="C117" i="18"/>
  <c r="C118" i="18"/>
  <c r="C119" i="18"/>
  <c r="C120" i="18"/>
  <c r="C121" i="18"/>
  <c r="C122" i="18"/>
  <c r="C123" i="18"/>
  <c r="C124" i="18"/>
  <c r="C125" i="18"/>
  <c r="D125" i="18" s="1"/>
  <c r="C126" i="18"/>
  <c r="C112" i="18"/>
  <c r="C98" i="18"/>
  <c r="D98" i="18" s="1"/>
  <c r="C99" i="18"/>
  <c r="C100" i="18"/>
  <c r="D100" i="18" s="1"/>
  <c r="C101" i="18"/>
  <c r="C102" i="18"/>
  <c r="C103" i="18"/>
  <c r="C104" i="18"/>
  <c r="D104" i="18" s="1"/>
  <c r="C105" i="18"/>
  <c r="D105" i="18" s="1"/>
  <c r="C106" i="18"/>
  <c r="C107" i="18"/>
  <c r="C108" i="18"/>
  <c r="C109" i="18"/>
  <c r="C110" i="18"/>
  <c r="C111" i="18"/>
  <c r="C97" i="18"/>
  <c r="D97" i="18" s="1"/>
  <c r="C83" i="18"/>
  <c r="D83" i="18" s="1"/>
  <c r="C84" i="18"/>
  <c r="D84" i="18" s="1"/>
  <c r="C85" i="18"/>
  <c r="D85" i="18" s="1"/>
  <c r="C86" i="18"/>
  <c r="D86" i="18" s="1"/>
  <c r="C87" i="18"/>
  <c r="C88" i="18"/>
  <c r="C89" i="18"/>
  <c r="C90" i="18"/>
  <c r="C91" i="18"/>
  <c r="C92" i="18"/>
  <c r="D92" i="18" s="1"/>
  <c r="C93" i="18"/>
  <c r="D93" i="18" s="1"/>
  <c r="C94" i="18"/>
  <c r="C95" i="18"/>
  <c r="C96" i="18"/>
  <c r="D96" i="18" s="1"/>
  <c r="C82" i="18"/>
  <c r="D82" i="18" s="1"/>
  <c r="D68" i="18"/>
  <c r="D69" i="18"/>
  <c r="D70" i="18"/>
  <c r="D75" i="18"/>
  <c r="D81" i="18"/>
  <c r="C38" i="18"/>
  <c r="D38" i="18" s="1"/>
  <c r="C39" i="18"/>
  <c r="C40" i="18"/>
  <c r="C41" i="18"/>
  <c r="C42" i="18"/>
  <c r="C43" i="18"/>
  <c r="C44" i="18"/>
  <c r="D44" i="18" s="1"/>
  <c r="C45" i="18"/>
  <c r="C46" i="18"/>
  <c r="C47" i="18"/>
  <c r="C48" i="18"/>
  <c r="C49" i="18"/>
  <c r="C50" i="18"/>
  <c r="D50" i="18" s="1"/>
  <c r="C51" i="18"/>
  <c r="D51" i="18" s="1"/>
  <c r="C37" i="18"/>
  <c r="D37" i="18" s="1"/>
  <c r="C23" i="18"/>
  <c r="C24" i="18"/>
  <c r="D24" i="18" s="1"/>
  <c r="C25" i="18"/>
  <c r="C26" i="18"/>
  <c r="D26" i="18" s="1"/>
  <c r="C27" i="18"/>
  <c r="C28" i="18"/>
  <c r="D28" i="18" s="1"/>
  <c r="C29" i="18"/>
  <c r="C30" i="18"/>
  <c r="C31" i="18"/>
  <c r="D31" i="18" s="1"/>
  <c r="C32" i="18"/>
  <c r="C33" i="18"/>
  <c r="D33" i="18" s="1"/>
  <c r="C34" i="18"/>
  <c r="D34" i="18" s="1"/>
  <c r="C35" i="18"/>
  <c r="C36" i="18"/>
  <c r="C22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6" i="18"/>
  <c r="D6" i="18" s="1"/>
  <c r="K7" i="20"/>
  <c r="L8" i="20"/>
  <c r="M9" i="20"/>
  <c r="N10" i="20"/>
  <c r="L12" i="20"/>
  <c r="M13" i="20"/>
  <c r="D14" i="20"/>
  <c r="K15" i="20"/>
  <c r="L16" i="20"/>
  <c r="B5" i="17"/>
  <c r="C5" i="17" s="1"/>
  <c r="B6" i="17"/>
  <c r="C6" i="17" s="1"/>
  <c r="B7" i="17"/>
  <c r="C7" i="17" s="1"/>
  <c r="B8" i="17"/>
  <c r="C8" i="17" s="1"/>
  <c r="B9" i="17"/>
  <c r="C9" i="17" s="1"/>
  <c r="B10" i="17"/>
  <c r="C10" i="17" s="1"/>
  <c r="B11" i="17"/>
  <c r="B12" i="17"/>
  <c r="B13" i="17"/>
  <c r="B14" i="17"/>
  <c r="B15" i="17"/>
  <c r="B16" i="17"/>
  <c r="B17" i="17"/>
  <c r="B4" i="17"/>
  <c r="C4" i="17" s="1"/>
  <c r="N9" i="20"/>
  <c r="K11" i="20"/>
  <c r="E17" i="17" l="1"/>
  <c r="C17" i="17"/>
  <c r="N16" i="17"/>
  <c r="C16" i="17"/>
  <c r="N15" i="17"/>
  <c r="C15" i="17"/>
  <c r="N12" i="17"/>
  <c r="C12" i="17"/>
  <c r="M14" i="17"/>
  <c r="C14" i="17"/>
  <c r="F13" i="17"/>
  <c r="C13" i="17"/>
  <c r="O18" i="18"/>
  <c r="D18" i="18"/>
  <c r="O14" i="18"/>
  <c r="D14" i="18"/>
  <c r="O10" i="18"/>
  <c r="D10" i="18"/>
  <c r="E22" i="18"/>
  <c r="D22" i="18"/>
  <c r="G49" i="18"/>
  <c r="D49" i="18"/>
  <c r="E45" i="18"/>
  <c r="D45" i="18"/>
  <c r="G41" i="18"/>
  <c r="D41" i="18"/>
  <c r="G67" i="18"/>
  <c r="D67" i="18"/>
  <c r="J94" i="18"/>
  <c r="D94" i="18"/>
  <c r="E90" i="18"/>
  <c r="D90" i="18"/>
  <c r="G109" i="18"/>
  <c r="D109" i="18"/>
  <c r="G101" i="18"/>
  <c r="D101" i="18"/>
  <c r="G112" i="18"/>
  <c r="D112" i="18"/>
  <c r="F124" i="18"/>
  <c r="D124" i="18"/>
  <c r="G120" i="18"/>
  <c r="D120" i="18"/>
  <c r="J116" i="18"/>
  <c r="D116" i="18"/>
  <c r="G139" i="18"/>
  <c r="D139" i="18"/>
  <c r="F135" i="18"/>
  <c r="D135" i="18"/>
  <c r="G131" i="18"/>
  <c r="D131" i="18"/>
  <c r="G142" i="18"/>
  <c r="D142" i="18"/>
  <c r="E169" i="18"/>
  <c r="D169" i="18"/>
  <c r="G165" i="18"/>
  <c r="D165" i="18"/>
  <c r="L172" i="18"/>
  <c r="D172" i="18"/>
  <c r="F180" i="18"/>
  <c r="D180" i="18"/>
  <c r="G176" i="18"/>
  <c r="D176" i="18"/>
  <c r="F191" i="18"/>
  <c r="D191" i="18"/>
  <c r="M214" i="18"/>
  <c r="D214" i="18"/>
  <c r="E27" i="18"/>
  <c r="D27" i="18"/>
  <c r="F23" i="18"/>
  <c r="D23" i="18"/>
  <c r="J46" i="18"/>
  <c r="D46" i="18"/>
  <c r="E42" i="18"/>
  <c r="D42" i="18"/>
  <c r="H76" i="18"/>
  <c r="D76" i="18"/>
  <c r="G30" i="18"/>
  <c r="D30" i="18"/>
  <c r="E79" i="18"/>
  <c r="D79" i="18"/>
  <c r="O17" i="18"/>
  <c r="D17" i="18"/>
  <c r="O13" i="18"/>
  <c r="D13" i="18"/>
  <c r="O9" i="18"/>
  <c r="D9" i="18"/>
  <c r="G29" i="18"/>
  <c r="D29" i="18"/>
  <c r="H25" i="18"/>
  <c r="D25" i="18"/>
  <c r="H48" i="18"/>
  <c r="D48" i="18"/>
  <c r="G40" i="18"/>
  <c r="D40" i="18"/>
  <c r="F78" i="18"/>
  <c r="D78" i="18"/>
  <c r="F74" i="18"/>
  <c r="D74" i="18"/>
  <c r="F89" i="18"/>
  <c r="D89" i="18"/>
  <c r="G108" i="18"/>
  <c r="D108" i="18"/>
  <c r="F123" i="18"/>
  <c r="D123" i="18"/>
  <c r="G119" i="18"/>
  <c r="D119" i="18"/>
  <c r="H115" i="18"/>
  <c r="D115" i="18"/>
  <c r="H138" i="18"/>
  <c r="D138" i="18"/>
  <c r="F134" i="18"/>
  <c r="D134" i="18"/>
  <c r="G130" i="18"/>
  <c r="D130" i="18"/>
  <c r="K149" i="18"/>
  <c r="D149" i="18"/>
  <c r="I145" i="18"/>
  <c r="D145" i="18"/>
  <c r="F168" i="18"/>
  <c r="D168" i="18"/>
  <c r="G164" i="18"/>
  <c r="D164" i="18"/>
  <c r="H160" i="18"/>
  <c r="D160" i="18"/>
  <c r="F179" i="18"/>
  <c r="D179" i="18"/>
  <c r="G175" i="18"/>
  <c r="D175" i="18"/>
  <c r="H198" i="18"/>
  <c r="D198" i="18"/>
  <c r="F190" i="18"/>
  <c r="D190" i="18"/>
  <c r="H213" i="18"/>
  <c r="D213" i="18"/>
  <c r="I209" i="18"/>
  <c r="D209" i="18"/>
  <c r="O19" i="18"/>
  <c r="D19" i="18"/>
  <c r="O11" i="18"/>
  <c r="D11" i="18"/>
  <c r="F80" i="18"/>
  <c r="D80" i="18"/>
  <c r="O20" i="18"/>
  <c r="D20" i="18"/>
  <c r="O16" i="18"/>
  <c r="D16" i="18"/>
  <c r="O12" i="18"/>
  <c r="D12" i="18"/>
  <c r="O8" i="18"/>
  <c r="D8" i="18"/>
  <c r="E36" i="18"/>
  <c r="D36" i="18"/>
  <c r="E32" i="18"/>
  <c r="D32" i="18"/>
  <c r="E47" i="18"/>
  <c r="D47" i="18"/>
  <c r="E43" i="18"/>
  <c r="D43" i="18"/>
  <c r="E39" i="18"/>
  <c r="D39" i="18"/>
  <c r="F77" i="18"/>
  <c r="D77" i="18"/>
  <c r="F73" i="18"/>
  <c r="D73" i="18"/>
  <c r="F88" i="18"/>
  <c r="D88" i="18"/>
  <c r="F111" i="18"/>
  <c r="D111" i="18"/>
  <c r="F107" i="18"/>
  <c r="D107" i="18"/>
  <c r="F103" i="18"/>
  <c r="D103" i="18"/>
  <c r="G99" i="18"/>
  <c r="D99" i="18"/>
  <c r="E126" i="18"/>
  <c r="D126" i="18"/>
  <c r="F122" i="18"/>
  <c r="D122" i="18"/>
  <c r="F118" i="18"/>
  <c r="D118" i="18"/>
  <c r="F141" i="18"/>
  <c r="D141" i="18"/>
  <c r="E137" i="18"/>
  <c r="D137" i="18"/>
  <c r="F133" i="18"/>
  <c r="D133" i="18"/>
  <c r="F129" i="18"/>
  <c r="D129" i="18"/>
  <c r="E156" i="18"/>
  <c r="D156" i="18"/>
  <c r="F144" i="18"/>
  <c r="D144" i="18"/>
  <c r="E167" i="18"/>
  <c r="D167" i="18"/>
  <c r="G163" i="18"/>
  <c r="D163" i="18"/>
  <c r="E178" i="18"/>
  <c r="D178" i="18"/>
  <c r="G174" i="18"/>
  <c r="D174" i="18"/>
  <c r="I201" i="18"/>
  <c r="D201" i="18"/>
  <c r="E189" i="18"/>
  <c r="D189" i="18"/>
  <c r="F216" i="18"/>
  <c r="D216" i="18"/>
  <c r="F212" i="18"/>
  <c r="D212" i="18"/>
  <c r="O15" i="18"/>
  <c r="D15" i="18"/>
  <c r="O7" i="18"/>
  <c r="D7" i="18"/>
  <c r="I35" i="18"/>
  <c r="D35" i="18"/>
  <c r="F95" i="18"/>
  <c r="D95" i="18"/>
  <c r="H91" i="18"/>
  <c r="D91" i="18"/>
  <c r="E87" i="18"/>
  <c r="D87" i="18"/>
  <c r="E110" i="18"/>
  <c r="D110" i="18"/>
  <c r="E106" i="18"/>
  <c r="D106" i="18"/>
  <c r="E102" i="18"/>
  <c r="D102" i="18"/>
  <c r="E121" i="18"/>
  <c r="D121" i="18"/>
  <c r="E117" i="18"/>
  <c r="D117" i="18"/>
  <c r="K136" i="18"/>
  <c r="D136" i="18"/>
  <c r="F147" i="18"/>
  <c r="D147" i="18"/>
  <c r="F162" i="18"/>
  <c r="D162" i="18"/>
  <c r="F158" i="18"/>
  <c r="D158" i="18"/>
  <c r="J177" i="18"/>
  <c r="D177" i="18"/>
  <c r="F200" i="18"/>
  <c r="D200" i="18"/>
  <c r="F188" i="18"/>
  <c r="D188" i="18"/>
  <c r="F215" i="18"/>
  <c r="D215" i="18"/>
  <c r="K211" i="18"/>
  <c r="D211" i="18"/>
  <c r="E202" i="18"/>
  <c r="D202" i="18"/>
  <c r="O203" i="18"/>
  <c r="D203" i="18"/>
  <c r="M204" i="18"/>
  <c r="D204" i="18"/>
  <c r="O205" i="18"/>
  <c r="D205" i="18"/>
  <c r="L206" i="18"/>
  <c r="D206" i="18"/>
  <c r="F207" i="18"/>
  <c r="D207" i="18"/>
  <c r="H72" i="18"/>
  <c r="D72" i="18"/>
  <c r="N71" i="18"/>
  <c r="D71" i="18"/>
  <c r="C18" i="17"/>
  <c r="C11" i="17"/>
  <c r="F14" i="17"/>
  <c r="N14" i="17"/>
  <c r="F153" i="18"/>
  <c r="J14" i="17"/>
  <c r="E197" i="18"/>
  <c r="E164" i="18"/>
  <c r="E159" i="18"/>
  <c r="F114" i="18"/>
  <c r="E212" i="18"/>
  <c r="E118" i="18"/>
  <c r="E124" i="18"/>
  <c r="E34" i="18"/>
  <c r="G209" i="18"/>
  <c r="G150" i="18"/>
  <c r="G78" i="18"/>
  <c r="E180" i="18"/>
  <c r="E148" i="18"/>
  <c r="F130" i="18"/>
  <c r="F96" i="18"/>
  <c r="G187" i="18"/>
  <c r="I86" i="18"/>
  <c r="H153" i="18"/>
  <c r="E175" i="18"/>
  <c r="E74" i="18"/>
  <c r="F175" i="18"/>
  <c r="H104" i="18"/>
  <c r="K160" i="18"/>
  <c r="N17" i="17"/>
  <c r="K17" i="17"/>
  <c r="G17" i="17"/>
  <c r="M17" i="17"/>
  <c r="I17" i="17"/>
  <c r="M13" i="17"/>
  <c r="L13" i="17"/>
  <c r="H13" i="17"/>
  <c r="D13" i="17"/>
  <c r="J13" i="17"/>
  <c r="N13" i="17"/>
  <c r="E191" i="18"/>
  <c r="E28" i="18"/>
  <c r="F169" i="18"/>
  <c r="F67" i="18"/>
  <c r="F30" i="18"/>
  <c r="I150" i="18"/>
  <c r="K45" i="18"/>
  <c r="D14" i="17"/>
  <c r="H14" i="17"/>
  <c r="L14" i="17"/>
  <c r="E135" i="18"/>
  <c r="E85" i="18"/>
  <c r="F164" i="18"/>
  <c r="F108" i="18"/>
  <c r="F85" i="18"/>
  <c r="F25" i="18"/>
  <c r="G198" i="18"/>
  <c r="G182" i="18"/>
  <c r="G160" i="18"/>
  <c r="G89" i="18"/>
  <c r="H22" i="18"/>
  <c r="H175" i="18"/>
  <c r="I134" i="18"/>
  <c r="E186" i="18"/>
  <c r="E153" i="18"/>
  <c r="E129" i="18"/>
  <c r="E107" i="18"/>
  <c r="F119" i="18"/>
  <c r="F41" i="18"/>
  <c r="G214" i="18"/>
  <c r="G193" i="18"/>
  <c r="H214" i="18"/>
  <c r="H164" i="18"/>
  <c r="N31" i="18"/>
  <c r="O31" i="18"/>
  <c r="M31" i="18"/>
  <c r="L31" i="18"/>
  <c r="K31" i="18"/>
  <c r="G31" i="18"/>
  <c r="J31" i="18"/>
  <c r="I31" i="18"/>
  <c r="H31" i="18"/>
  <c r="O50" i="18"/>
  <c r="N50" i="18"/>
  <c r="M50" i="18"/>
  <c r="L50" i="18"/>
  <c r="K50" i="18"/>
  <c r="G50" i="18"/>
  <c r="J50" i="18"/>
  <c r="I50" i="18"/>
  <c r="H50" i="18"/>
  <c r="O38" i="18"/>
  <c r="N38" i="18"/>
  <c r="M38" i="18"/>
  <c r="L38" i="18"/>
  <c r="K38" i="18"/>
  <c r="G38" i="18"/>
  <c r="H38" i="18"/>
  <c r="N68" i="18"/>
  <c r="O68" i="18"/>
  <c r="M68" i="18"/>
  <c r="L68" i="18"/>
  <c r="K68" i="18"/>
  <c r="G68" i="18"/>
  <c r="J68" i="18"/>
  <c r="I68" i="18"/>
  <c r="H68" i="18"/>
  <c r="M83" i="18"/>
  <c r="O83" i="18"/>
  <c r="N83" i="18"/>
  <c r="K83" i="18"/>
  <c r="L83" i="18"/>
  <c r="J83" i="18"/>
  <c r="I83" i="18"/>
  <c r="G83" i="18"/>
  <c r="O98" i="18"/>
  <c r="N98" i="18"/>
  <c r="M98" i="18"/>
  <c r="K98" i="18"/>
  <c r="L98" i="18"/>
  <c r="J98" i="18"/>
  <c r="I98" i="18"/>
  <c r="G98" i="18"/>
  <c r="O113" i="18"/>
  <c r="N113" i="18"/>
  <c r="L113" i="18"/>
  <c r="J113" i="18"/>
  <c r="I113" i="18"/>
  <c r="K113" i="18"/>
  <c r="G113" i="18"/>
  <c r="F113" i="18"/>
  <c r="M113" i="18"/>
  <c r="H113" i="18"/>
  <c r="N128" i="18"/>
  <c r="L128" i="18"/>
  <c r="O128" i="18"/>
  <c r="M128" i="18"/>
  <c r="J128" i="18"/>
  <c r="I128" i="18"/>
  <c r="G128" i="18"/>
  <c r="F128" i="18"/>
  <c r="K128" i="18"/>
  <c r="H128" i="18"/>
  <c r="N151" i="18"/>
  <c r="L151" i="18"/>
  <c r="K151" i="18"/>
  <c r="O151" i="18"/>
  <c r="M151" i="18"/>
  <c r="I151" i="18"/>
  <c r="G151" i="18"/>
  <c r="E151" i="18"/>
  <c r="J151" i="18"/>
  <c r="H151" i="18"/>
  <c r="O166" i="18"/>
  <c r="L166" i="18"/>
  <c r="N166" i="18"/>
  <c r="K166" i="18"/>
  <c r="M166" i="18"/>
  <c r="I166" i="18"/>
  <c r="G166" i="18"/>
  <c r="E166" i="18"/>
  <c r="H166" i="18"/>
  <c r="O185" i="18"/>
  <c r="M185" i="18"/>
  <c r="L185" i="18"/>
  <c r="N185" i="18"/>
  <c r="G185" i="18"/>
  <c r="E185" i="18"/>
  <c r="H185" i="18"/>
  <c r="I185" i="18"/>
  <c r="O173" i="18"/>
  <c r="N173" i="18"/>
  <c r="L173" i="18"/>
  <c r="K173" i="18"/>
  <c r="M173" i="18"/>
  <c r="I173" i="18"/>
  <c r="G173" i="18"/>
  <c r="E173" i="18"/>
  <c r="J173" i="18"/>
  <c r="H173" i="18"/>
  <c r="O196" i="18"/>
  <c r="M196" i="18"/>
  <c r="L196" i="18"/>
  <c r="N196" i="18"/>
  <c r="G196" i="18"/>
  <c r="E196" i="18"/>
  <c r="H196" i="18"/>
  <c r="I196" i="18"/>
  <c r="E140" i="18"/>
  <c r="E113" i="18"/>
  <c r="E95" i="18"/>
  <c r="E23" i="18"/>
  <c r="F196" i="18"/>
  <c r="F46" i="18"/>
  <c r="H80" i="18"/>
  <c r="J166" i="18"/>
  <c r="E14" i="17"/>
  <c r="G14" i="17"/>
  <c r="I14" i="17"/>
  <c r="K14" i="17"/>
  <c r="O22" i="18"/>
  <c r="N22" i="18"/>
  <c r="K22" i="18"/>
  <c r="J22" i="18"/>
  <c r="M22" i="18"/>
  <c r="L22" i="18"/>
  <c r="I22" i="18"/>
  <c r="O34" i="18"/>
  <c r="N34" i="18"/>
  <c r="M34" i="18"/>
  <c r="L34" i="18"/>
  <c r="J34" i="18"/>
  <c r="I34" i="18"/>
  <c r="H34" i="18"/>
  <c r="O30" i="18"/>
  <c r="N30" i="18"/>
  <c r="M30" i="18"/>
  <c r="J30" i="18"/>
  <c r="I30" i="18"/>
  <c r="L30" i="18"/>
  <c r="H30" i="18"/>
  <c r="K30" i="18"/>
  <c r="O26" i="18"/>
  <c r="N26" i="18"/>
  <c r="M26" i="18"/>
  <c r="J26" i="18"/>
  <c r="I26" i="18"/>
  <c r="L26" i="18"/>
  <c r="H26" i="18"/>
  <c r="K26" i="18"/>
  <c r="O37" i="18"/>
  <c r="N37" i="18"/>
  <c r="M37" i="18"/>
  <c r="J37" i="18"/>
  <c r="I37" i="18"/>
  <c r="L37" i="18"/>
  <c r="H37" i="18"/>
  <c r="K37" i="18"/>
  <c r="O49" i="18"/>
  <c r="N49" i="18"/>
  <c r="M49" i="18"/>
  <c r="J49" i="18"/>
  <c r="I49" i="18"/>
  <c r="L49" i="18"/>
  <c r="K49" i="18"/>
  <c r="H49" i="18"/>
  <c r="O45" i="18"/>
  <c r="N45" i="18"/>
  <c r="M45" i="18"/>
  <c r="L45" i="18"/>
  <c r="J45" i="18"/>
  <c r="I45" i="18"/>
  <c r="H45" i="18"/>
  <c r="O41" i="18"/>
  <c r="N41" i="18"/>
  <c r="M41" i="18"/>
  <c r="J41" i="18"/>
  <c r="I41" i="18"/>
  <c r="H41" i="18"/>
  <c r="L41" i="18"/>
  <c r="K41" i="18"/>
  <c r="O67" i="18"/>
  <c r="N67" i="18"/>
  <c r="M67" i="18"/>
  <c r="J67" i="18"/>
  <c r="I67" i="18"/>
  <c r="H67" i="18"/>
  <c r="L67" i="18"/>
  <c r="K67" i="18"/>
  <c r="O79" i="18"/>
  <c r="N79" i="18"/>
  <c r="K79" i="18"/>
  <c r="L79" i="18"/>
  <c r="M79" i="18"/>
  <c r="G79" i="18"/>
  <c r="F79" i="18"/>
  <c r="J79" i="18"/>
  <c r="I79" i="18"/>
  <c r="H79" i="18"/>
  <c r="O75" i="18"/>
  <c r="N75" i="18"/>
  <c r="K75" i="18"/>
  <c r="M75" i="18"/>
  <c r="L75" i="18"/>
  <c r="G75" i="18"/>
  <c r="F75" i="18"/>
  <c r="H75" i="18"/>
  <c r="O82" i="18"/>
  <c r="N82" i="18"/>
  <c r="K82" i="18"/>
  <c r="L82" i="18"/>
  <c r="M82" i="18"/>
  <c r="G82" i="18"/>
  <c r="F82" i="18"/>
  <c r="J82" i="18"/>
  <c r="I82" i="18"/>
  <c r="H82" i="18"/>
  <c r="O94" i="18"/>
  <c r="N94" i="18"/>
  <c r="K94" i="18"/>
  <c r="L94" i="18"/>
  <c r="M94" i="18"/>
  <c r="G94" i="18"/>
  <c r="F94" i="18"/>
  <c r="H94" i="18"/>
  <c r="O90" i="18"/>
  <c r="N90" i="18"/>
  <c r="K90" i="18"/>
  <c r="L90" i="18"/>
  <c r="M90" i="18"/>
  <c r="G90" i="18"/>
  <c r="F90" i="18"/>
  <c r="J90" i="18"/>
  <c r="I90" i="18"/>
  <c r="H90" i="18"/>
  <c r="O86" i="18"/>
  <c r="N86" i="18"/>
  <c r="M86" i="18"/>
  <c r="K86" i="18"/>
  <c r="L86" i="18"/>
  <c r="G86" i="18"/>
  <c r="F86" i="18"/>
  <c r="H86" i="18"/>
  <c r="O97" i="18"/>
  <c r="N97" i="18"/>
  <c r="M97" i="18"/>
  <c r="K97" i="18"/>
  <c r="L97" i="18"/>
  <c r="G97" i="18"/>
  <c r="F97" i="18"/>
  <c r="H97" i="18"/>
  <c r="O109" i="18"/>
  <c r="N109" i="18"/>
  <c r="M109" i="18"/>
  <c r="K109" i="18"/>
  <c r="H109" i="18"/>
  <c r="L109" i="18"/>
  <c r="J109" i="18"/>
  <c r="I109" i="18"/>
  <c r="O105" i="18"/>
  <c r="N105" i="18"/>
  <c r="M105" i="18"/>
  <c r="K105" i="18"/>
  <c r="L105" i="18"/>
  <c r="H105" i="18"/>
  <c r="O101" i="18"/>
  <c r="N101" i="18"/>
  <c r="M101" i="18"/>
  <c r="L101" i="18"/>
  <c r="K101" i="18"/>
  <c r="H101" i="18"/>
  <c r="J101" i="18"/>
  <c r="I101" i="18"/>
  <c r="O112" i="18"/>
  <c r="N112" i="18"/>
  <c r="M112" i="18"/>
  <c r="L112" i="18"/>
  <c r="K112" i="18"/>
  <c r="H112" i="18"/>
  <c r="J112" i="18"/>
  <c r="I112" i="18"/>
  <c r="O124" i="18"/>
  <c r="N124" i="18"/>
  <c r="L124" i="18"/>
  <c r="K124" i="18"/>
  <c r="M124" i="18"/>
  <c r="H124" i="18"/>
  <c r="O120" i="18"/>
  <c r="N120" i="18"/>
  <c r="M120" i="18"/>
  <c r="K120" i="18"/>
  <c r="H120" i="18"/>
  <c r="J120" i="18"/>
  <c r="I120" i="18"/>
  <c r="L120" i="18"/>
  <c r="O116" i="18"/>
  <c r="N116" i="18"/>
  <c r="M116" i="18"/>
  <c r="K116" i="18"/>
  <c r="L116" i="18"/>
  <c r="H116" i="18"/>
  <c r="O127" i="18"/>
  <c r="N127" i="18"/>
  <c r="M127" i="18"/>
  <c r="K127" i="18"/>
  <c r="L127" i="18"/>
  <c r="H127" i="18"/>
  <c r="O139" i="18"/>
  <c r="N139" i="18"/>
  <c r="M139" i="18"/>
  <c r="K139" i="18"/>
  <c r="H139" i="18"/>
  <c r="L139" i="18"/>
  <c r="J139" i="18"/>
  <c r="O135" i="18"/>
  <c r="N135" i="18"/>
  <c r="M135" i="18"/>
  <c r="L135" i="18"/>
  <c r="K135" i="18"/>
  <c r="I135" i="18"/>
  <c r="H135" i="18"/>
  <c r="O131" i="18"/>
  <c r="N131" i="18"/>
  <c r="M131" i="18"/>
  <c r="K131" i="18"/>
  <c r="L131" i="18"/>
  <c r="H131" i="18"/>
  <c r="J131" i="18"/>
  <c r="I131" i="18"/>
  <c r="O142" i="18"/>
  <c r="N142" i="18"/>
  <c r="M142" i="18"/>
  <c r="K142" i="18"/>
  <c r="H142" i="18"/>
  <c r="J142" i="18"/>
  <c r="I142" i="18"/>
  <c r="L142" i="18"/>
  <c r="O154" i="18"/>
  <c r="N154" i="18"/>
  <c r="K154" i="18"/>
  <c r="M154" i="18"/>
  <c r="J154" i="18"/>
  <c r="L154" i="18"/>
  <c r="H154" i="18"/>
  <c r="I154" i="18"/>
  <c r="O150" i="18"/>
  <c r="N150" i="18"/>
  <c r="K150" i="18"/>
  <c r="M150" i="18"/>
  <c r="J150" i="18"/>
  <c r="H150" i="18"/>
  <c r="F146" i="18"/>
  <c r="L146" i="18"/>
  <c r="I146" i="18"/>
  <c r="H146" i="18"/>
  <c r="N157" i="18"/>
  <c r="O157" i="18"/>
  <c r="K157" i="18"/>
  <c r="L157" i="18"/>
  <c r="J157" i="18"/>
  <c r="M157" i="18"/>
  <c r="I157" i="18"/>
  <c r="H157" i="18"/>
  <c r="O169" i="18"/>
  <c r="N169" i="18"/>
  <c r="M169" i="18"/>
  <c r="K169" i="18"/>
  <c r="J169" i="18"/>
  <c r="H169" i="18"/>
  <c r="I169" i="18"/>
  <c r="L169" i="18"/>
  <c r="O165" i="18"/>
  <c r="N165" i="18"/>
  <c r="K165" i="18"/>
  <c r="M165" i="18"/>
  <c r="J165" i="18"/>
  <c r="L165" i="18"/>
  <c r="H165" i="18"/>
  <c r="I165" i="18"/>
  <c r="O161" i="18"/>
  <c r="N161" i="18"/>
  <c r="K161" i="18"/>
  <c r="M161" i="18"/>
  <c r="J161" i="18"/>
  <c r="H161" i="18"/>
  <c r="L161" i="18"/>
  <c r="O172" i="18"/>
  <c r="N172" i="18"/>
  <c r="K172" i="18"/>
  <c r="M172" i="18"/>
  <c r="J172" i="18"/>
  <c r="H172" i="18"/>
  <c r="N184" i="18"/>
  <c r="O184" i="18"/>
  <c r="M184" i="18"/>
  <c r="L184" i="18"/>
  <c r="K184" i="18"/>
  <c r="J184" i="18"/>
  <c r="H184" i="18"/>
  <c r="I184" i="18"/>
  <c r="O180" i="18"/>
  <c r="N180" i="18"/>
  <c r="M180" i="18"/>
  <c r="K180" i="18"/>
  <c r="J180" i="18"/>
  <c r="L180" i="18"/>
  <c r="H180" i="18"/>
  <c r="I180" i="18"/>
  <c r="O176" i="18"/>
  <c r="N176" i="18"/>
  <c r="K176" i="18"/>
  <c r="M176" i="18"/>
  <c r="J176" i="18"/>
  <c r="L176" i="18"/>
  <c r="H176" i="18"/>
  <c r="I176" i="18"/>
  <c r="O187" i="18"/>
  <c r="N187" i="18"/>
  <c r="M187" i="18"/>
  <c r="K187" i="18"/>
  <c r="J187" i="18"/>
  <c r="L187" i="18"/>
  <c r="H187" i="18"/>
  <c r="I187" i="18"/>
  <c r="O199" i="18"/>
  <c r="N199" i="18"/>
  <c r="M199" i="18"/>
  <c r="K199" i="18"/>
  <c r="J199" i="18"/>
  <c r="H199" i="18"/>
  <c r="I199" i="18"/>
  <c r="O195" i="18"/>
  <c r="N195" i="18"/>
  <c r="L195" i="18"/>
  <c r="K195" i="18"/>
  <c r="J195" i="18"/>
  <c r="H195" i="18"/>
  <c r="I195" i="18"/>
  <c r="M195" i="18"/>
  <c r="O191" i="18"/>
  <c r="N191" i="18"/>
  <c r="M191" i="18"/>
  <c r="K191" i="18"/>
  <c r="J191" i="18"/>
  <c r="H191" i="18"/>
  <c r="I191" i="18"/>
  <c r="L191" i="18"/>
  <c r="I202" i="18"/>
  <c r="O202" i="18"/>
  <c r="M202" i="18"/>
  <c r="K202" i="18"/>
  <c r="J202" i="18"/>
  <c r="L202" i="18"/>
  <c r="O214" i="18"/>
  <c r="N214" i="18"/>
  <c r="K214" i="18"/>
  <c r="J214" i="18"/>
  <c r="I214" i="18"/>
  <c r="L214" i="18"/>
  <c r="O210" i="18"/>
  <c r="N210" i="18"/>
  <c r="K210" i="18"/>
  <c r="J210" i="18"/>
  <c r="M210" i="18"/>
  <c r="I210" i="18"/>
  <c r="L210" i="18"/>
  <c r="E216" i="18"/>
  <c r="E210" i="18"/>
  <c r="E201" i="18"/>
  <c r="E195" i="18"/>
  <c r="E190" i="18"/>
  <c r="E184" i="18"/>
  <c r="E179" i="18"/>
  <c r="E174" i="18"/>
  <c r="E168" i="18"/>
  <c r="E163" i="18"/>
  <c r="E157" i="18"/>
  <c r="E152" i="18"/>
  <c r="E144" i="18"/>
  <c r="E139" i="18"/>
  <c r="E133" i="18"/>
  <c r="E128" i="18"/>
  <c r="E122" i="18"/>
  <c r="E112" i="18"/>
  <c r="E111" i="18"/>
  <c r="E101" i="18"/>
  <c r="E94" i="18"/>
  <c r="E89" i="18"/>
  <c r="E83" i="18"/>
  <c r="E78" i="18"/>
  <c r="E72" i="18"/>
  <c r="E49" i="18"/>
  <c r="E38" i="18"/>
  <c r="F22" i="18"/>
  <c r="F211" i="18"/>
  <c r="F195" i="18"/>
  <c r="F184" i="18"/>
  <c r="F173" i="18"/>
  <c r="F157" i="18"/>
  <c r="F151" i="18"/>
  <c r="F145" i="18"/>
  <c r="F139" i="18"/>
  <c r="F112" i="18"/>
  <c r="F101" i="18"/>
  <c r="F84" i="18"/>
  <c r="F50" i="18"/>
  <c r="F45" i="18"/>
  <c r="F40" i="18"/>
  <c r="F34" i="18"/>
  <c r="F29" i="18"/>
  <c r="G213" i="18"/>
  <c r="G207" i="18"/>
  <c r="G197" i="18"/>
  <c r="G191" i="18"/>
  <c r="G186" i="18"/>
  <c r="G180" i="18"/>
  <c r="G169" i="18"/>
  <c r="G159" i="18"/>
  <c r="G149" i="18"/>
  <c r="G138" i="18"/>
  <c r="G96" i="18"/>
  <c r="G88" i="18"/>
  <c r="G77" i="18"/>
  <c r="G48" i="18"/>
  <c r="H149" i="18"/>
  <c r="H98" i="18"/>
  <c r="H87" i="18"/>
  <c r="I189" i="18"/>
  <c r="I178" i="18"/>
  <c r="I161" i="18"/>
  <c r="I127" i="18"/>
  <c r="I105" i="18"/>
  <c r="I38" i="18"/>
  <c r="J211" i="18"/>
  <c r="J185" i="18"/>
  <c r="J158" i="18"/>
  <c r="J135" i="18"/>
  <c r="J86" i="18"/>
  <c r="K188" i="18"/>
  <c r="K34" i="18"/>
  <c r="L150" i="18"/>
  <c r="M146" i="18"/>
  <c r="O27" i="18"/>
  <c r="N27" i="18"/>
  <c r="M27" i="18"/>
  <c r="L27" i="18"/>
  <c r="K27" i="18"/>
  <c r="G27" i="18"/>
  <c r="H27" i="18"/>
  <c r="N46" i="18"/>
  <c r="M46" i="18"/>
  <c r="L46" i="18"/>
  <c r="K46" i="18"/>
  <c r="O46" i="18"/>
  <c r="G46" i="18"/>
  <c r="H46" i="18"/>
  <c r="O76" i="18"/>
  <c r="M76" i="18"/>
  <c r="N76" i="18"/>
  <c r="K76" i="18"/>
  <c r="L76" i="18"/>
  <c r="J76" i="18"/>
  <c r="I76" i="18"/>
  <c r="G76" i="18"/>
  <c r="O91" i="18"/>
  <c r="N91" i="18"/>
  <c r="M91" i="18"/>
  <c r="K91" i="18"/>
  <c r="L91" i="18"/>
  <c r="J91" i="18"/>
  <c r="I91" i="18"/>
  <c r="G91" i="18"/>
  <c r="N106" i="18"/>
  <c r="L106" i="18"/>
  <c r="M106" i="18"/>
  <c r="O106" i="18"/>
  <c r="J106" i="18"/>
  <c r="I106" i="18"/>
  <c r="G106" i="18"/>
  <c r="F106" i="18"/>
  <c r="K106" i="18"/>
  <c r="H106" i="18"/>
  <c r="N117" i="18"/>
  <c r="L117" i="18"/>
  <c r="O117" i="18"/>
  <c r="M117" i="18"/>
  <c r="J117" i="18"/>
  <c r="I117" i="18"/>
  <c r="G117" i="18"/>
  <c r="F117" i="18"/>
  <c r="K117" i="18"/>
  <c r="H117" i="18"/>
  <c r="O140" i="18"/>
  <c r="N140" i="18"/>
  <c r="L140" i="18"/>
  <c r="M140" i="18"/>
  <c r="J140" i="18"/>
  <c r="I140" i="18"/>
  <c r="K140" i="18"/>
  <c r="G140" i="18"/>
  <c r="F140" i="18"/>
  <c r="H140" i="18"/>
  <c r="N132" i="18"/>
  <c r="O132" i="18"/>
  <c r="L132" i="18"/>
  <c r="M132" i="18"/>
  <c r="J132" i="18"/>
  <c r="I132" i="18"/>
  <c r="G132" i="18"/>
  <c r="F132" i="18"/>
  <c r="H132" i="18"/>
  <c r="K132" i="18"/>
  <c r="O155" i="18"/>
  <c r="L155" i="18"/>
  <c r="N155" i="18"/>
  <c r="K155" i="18"/>
  <c r="M155" i="18"/>
  <c r="I155" i="18"/>
  <c r="G155" i="18"/>
  <c r="E155" i="18"/>
  <c r="H155" i="18"/>
  <c r="N143" i="18"/>
  <c r="O143" i="18"/>
  <c r="L143" i="18"/>
  <c r="M143" i="18"/>
  <c r="J143" i="18"/>
  <c r="I143" i="18"/>
  <c r="G143" i="18"/>
  <c r="F143" i="18"/>
  <c r="H143" i="18"/>
  <c r="K143" i="18"/>
  <c r="O170" i="18"/>
  <c r="L170" i="18"/>
  <c r="M170" i="18"/>
  <c r="K170" i="18"/>
  <c r="N170" i="18"/>
  <c r="I170" i="18"/>
  <c r="G170" i="18"/>
  <c r="E170" i="18"/>
  <c r="J170" i="18"/>
  <c r="H170" i="18"/>
  <c r="E50" i="18"/>
  <c r="F185" i="18"/>
  <c r="F91" i="18"/>
  <c r="F35" i="18"/>
  <c r="G171" i="18"/>
  <c r="I193" i="18"/>
  <c r="I182" i="18"/>
  <c r="I167" i="18"/>
  <c r="I46" i="18"/>
  <c r="J188" i="18"/>
  <c r="J27" i="18"/>
  <c r="K196" i="18"/>
  <c r="D17" i="17"/>
  <c r="E13" i="17"/>
  <c r="F17" i="17"/>
  <c r="G13" i="17"/>
  <c r="H17" i="17"/>
  <c r="I13" i="17"/>
  <c r="J17" i="17"/>
  <c r="K13" i="17"/>
  <c r="L17" i="17"/>
  <c r="O33" i="18"/>
  <c r="M33" i="18"/>
  <c r="L33" i="18"/>
  <c r="K33" i="18"/>
  <c r="N33" i="18"/>
  <c r="E33" i="18"/>
  <c r="J33" i="18"/>
  <c r="I33" i="18"/>
  <c r="O29" i="18"/>
  <c r="M29" i="18"/>
  <c r="N29" i="18"/>
  <c r="L29" i="18"/>
  <c r="K29" i="18"/>
  <c r="J29" i="18"/>
  <c r="I29" i="18"/>
  <c r="E29" i="18"/>
  <c r="O25" i="18"/>
  <c r="M25" i="18"/>
  <c r="N25" i="18"/>
  <c r="L25" i="18"/>
  <c r="K25" i="18"/>
  <c r="E25" i="18"/>
  <c r="J25" i="18"/>
  <c r="I25" i="18"/>
  <c r="O48" i="18"/>
  <c r="M48" i="18"/>
  <c r="N48" i="18"/>
  <c r="L48" i="18"/>
  <c r="K48" i="18"/>
  <c r="J48" i="18"/>
  <c r="I48" i="18"/>
  <c r="E48" i="18"/>
  <c r="O44" i="18"/>
  <c r="M44" i="18"/>
  <c r="L44" i="18"/>
  <c r="K44" i="18"/>
  <c r="E44" i="18"/>
  <c r="J44" i="18"/>
  <c r="I44" i="18"/>
  <c r="O40" i="18"/>
  <c r="M40" i="18"/>
  <c r="N40" i="18"/>
  <c r="L40" i="18"/>
  <c r="K40" i="18"/>
  <c r="J40" i="18"/>
  <c r="I40" i="18"/>
  <c r="E40" i="18"/>
  <c r="O78" i="18"/>
  <c r="N78" i="18"/>
  <c r="M78" i="18"/>
  <c r="L78" i="18"/>
  <c r="J78" i="18"/>
  <c r="I78" i="18"/>
  <c r="K78" i="18"/>
  <c r="H78" i="18"/>
  <c r="N74" i="18"/>
  <c r="M74" i="18"/>
  <c r="O74" i="18"/>
  <c r="L74" i="18"/>
  <c r="J74" i="18"/>
  <c r="I74" i="18"/>
  <c r="H74" i="18"/>
  <c r="M70" i="18"/>
  <c r="L70" i="18"/>
  <c r="H70" i="18"/>
  <c r="N93" i="18"/>
  <c r="O93" i="18"/>
  <c r="L93" i="18"/>
  <c r="M93" i="18"/>
  <c r="J93" i="18"/>
  <c r="I93" i="18"/>
  <c r="K93" i="18"/>
  <c r="H93" i="18"/>
  <c r="N89" i="18"/>
  <c r="L89" i="18"/>
  <c r="M89" i="18"/>
  <c r="J89" i="18"/>
  <c r="I89" i="18"/>
  <c r="O89" i="18"/>
  <c r="K89" i="18"/>
  <c r="H89" i="18"/>
  <c r="O85" i="18"/>
  <c r="N85" i="18"/>
  <c r="L85" i="18"/>
  <c r="M85" i="18"/>
  <c r="J85" i="18"/>
  <c r="I85" i="18"/>
  <c r="H85" i="18"/>
  <c r="O108" i="18"/>
  <c r="M108" i="18"/>
  <c r="K108" i="18"/>
  <c r="N108" i="18"/>
  <c r="L108" i="18"/>
  <c r="J108" i="18"/>
  <c r="I108" i="18"/>
  <c r="E108" i="18"/>
  <c r="M104" i="18"/>
  <c r="O104" i="18"/>
  <c r="N104" i="18"/>
  <c r="K104" i="18"/>
  <c r="L104" i="18"/>
  <c r="J104" i="18"/>
  <c r="I104" i="18"/>
  <c r="E104" i="18"/>
  <c r="M100" i="18"/>
  <c r="N100" i="18"/>
  <c r="O100" i="18"/>
  <c r="J100" i="18"/>
  <c r="I100" i="18"/>
  <c r="E100" i="18"/>
  <c r="O123" i="18"/>
  <c r="M123" i="18"/>
  <c r="K123" i="18"/>
  <c r="L123" i="18"/>
  <c r="N123" i="18"/>
  <c r="J123" i="18"/>
  <c r="I123" i="18"/>
  <c r="E123" i="18"/>
  <c r="O119" i="18"/>
  <c r="M119" i="18"/>
  <c r="K119" i="18"/>
  <c r="N119" i="18"/>
  <c r="L119" i="18"/>
  <c r="J119" i="18"/>
  <c r="I119" i="18"/>
  <c r="E119" i="18"/>
  <c r="M115" i="18"/>
  <c r="O115" i="18"/>
  <c r="N115" i="18"/>
  <c r="K115" i="18"/>
  <c r="L115" i="18"/>
  <c r="J115" i="18"/>
  <c r="I115" i="18"/>
  <c r="E115" i="18"/>
  <c r="M138" i="18"/>
  <c r="N138" i="18"/>
  <c r="K138" i="18"/>
  <c r="L138" i="18"/>
  <c r="O138" i="18"/>
  <c r="J138" i="18"/>
  <c r="E138" i="18"/>
  <c r="I138" i="18"/>
  <c r="O134" i="18"/>
  <c r="M134" i="18"/>
  <c r="K134" i="18"/>
  <c r="L134" i="18"/>
  <c r="J134" i="18"/>
  <c r="N134" i="18"/>
  <c r="E134" i="18"/>
  <c r="O130" i="18"/>
  <c r="M130" i="18"/>
  <c r="K130" i="18"/>
  <c r="N130" i="18"/>
  <c r="L130" i="18"/>
  <c r="J130" i="18"/>
  <c r="I130" i="18"/>
  <c r="E130" i="18"/>
  <c r="O153" i="18"/>
  <c r="N153" i="18"/>
  <c r="M153" i="18"/>
  <c r="L153" i="18"/>
  <c r="K153" i="18"/>
  <c r="I153" i="18"/>
  <c r="J153" i="18"/>
  <c r="O149" i="18"/>
  <c r="N149" i="18"/>
  <c r="M149" i="18"/>
  <c r="L149" i="18"/>
  <c r="J149" i="18"/>
  <c r="I149" i="18"/>
  <c r="O145" i="18"/>
  <c r="M145" i="18"/>
  <c r="K145" i="18"/>
  <c r="L145" i="18"/>
  <c r="J145" i="18"/>
  <c r="N145" i="18"/>
  <c r="E145" i="18"/>
  <c r="N168" i="18"/>
  <c r="M168" i="18"/>
  <c r="O168" i="18"/>
  <c r="L168" i="18"/>
  <c r="J168" i="18"/>
  <c r="I168" i="18"/>
  <c r="K168" i="18"/>
  <c r="O164" i="18"/>
  <c r="N164" i="18"/>
  <c r="M164" i="18"/>
  <c r="L164" i="18"/>
  <c r="K164" i="18"/>
  <c r="I164" i="18"/>
  <c r="J164" i="18"/>
  <c r="O160" i="18"/>
  <c r="N160" i="18"/>
  <c r="M160" i="18"/>
  <c r="L160" i="18"/>
  <c r="J160" i="18"/>
  <c r="I160" i="18"/>
  <c r="N183" i="18"/>
  <c r="M183" i="18"/>
  <c r="O183" i="18"/>
  <c r="L183" i="18"/>
  <c r="I183" i="18"/>
  <c r="K183" i="18"/>
  <c r="J183" i="18"/>
  <c r="N179" i="18"/>
  <c r="M179" i="18"/>
  <c r="O179" i="18"/>
  <c r="L179" i="18"/>
  <c r="J179" i="18"/>
  <c r="I179" i="18"/>
  <c r="K179" i="18"/>
  <c r="O175" i="18"/>
  <c r="N175" i="18"/>
  <c r="M175" i="18"/>
  <c r="L175" i="18"/>
  <c r="K175" i="18"/>
  <c r="I175" i="18"/>
  <c r="J175" i="18"/>
  <c r="N198" i="18"/>
  <c r="M198" i="18"/>
  <c r="O198" i="18"/>
  <c r="L198" i="18"/>
  <c r="K198" i="18"/>
  <c r="J198" i="18"/>
  <c r="I198" i="18"/>
  <c r="N194" i="18"/>
  <c r="M194" i="18"/>
  <c r="O194" i="18"/>
  <c r="L194" i="18"/>
  <c r="I194" i="18"/>
  <c r="K194" i="18"/>
  <c r="J194" i="18"/>
  <c r="N190" i="18"/>
  <c r="M190" i="18"/>
  <c r="O190" i="18"/>
  <c r="L190" i="18"/>
  <c r="K190" i="18"/>
  <c r="J190" i="18"/>
  <c r="I190" i="18"/>
  <c r="N213" i="18"/>
  <c r="O213" i="18"/>
  <c r="M213" i="18"/>
  <c r="L213" i="18"/>
  <c r="K213" i="18"/>
  <c r="J213" i="18"/>
  <c r="F213" i="18"/>
  <c r="N209" i="18"/>
  <c r="M209" i="18"/>
  <c r="O209" i="18"/>
  <c r="L209" i="18"/>
  <c r="F209" i="18"/>
  <c r="K209" i="18"/>
  <c r="J209" i="18"/>
  <c r="H209" i="18"/>
  <c r="E214" i="18"/>
  <c r="E209" i="18"/>
  <c r="E199" i="18"/>
  <c r="E194" i="18"/>
  <c r="E183" i="18"/>
  <c r="E172" i="18"/>
  <c r="E161" i="18"/>
  <c r="E150" i="18"/>
  <c r="E143" i="18"/>
  <c r="E132" i="18"/>
  <c r="E127" i="18"/>
  <c r="E116" i="18"/>
  <c r="E105" i="18"/>
  <c r="E98" i="18"/>
  <c r="E93" i="18"/>
  <c r="E82" i="18"/>
  <c r="E76" i="18"/>
  <c r="E68" i="18"/>
  <c r="E37" i="18"/>
  <c r="E31" i="18"/>
  <c r="E26" i="18"/>
  <c r="F210" i="18"/>
  <c r="F199" i="18"/>
  <c r="F194" i="18"/>
  <c r="F183" i="18"/>
  <c r="F177" i="18"/>
  <c r="F172" i="18"/>
  <c r="F166" i="18"/>
  <c r="F161" i="18"/>
  <c r="F155" i="18"/>
  <c r="F150" i="18"/>
  <c r="F138" i="18"/>
  <c r="F127" i="18"/>
  <c r="F116" i="18"/>
  <c r="F105" i="18"/>
  <c r="F100" i="18"/>
  <c r="F93" i="18"/>
  <c r="F83" i="18"/>
  <c r="F72" i="18"/>
  <c r="F49" i="18"/>
  <c r="F44" i="18"/>
  <c r="F38" i="18"/>
  <c r="F33" i="18"/>
  <c r="F27" i="18"/>
  <c r="G22" i="18"/>
  <c r="G211" i="18"/>
  <c r="G201" i="18"/>
  <c r="G195" i="18"/>
  <c r="G190" i="18"/>
  <c r="G184" i="18"/>
  <c r="G179" i="18"/>
  <c r="G168" i="18"/>
  <c r="G157" i="18"/>
  <c r="G154" i="18"/>
  <c r="G146" i="18"/>
  <c r="G135" i="18"/>
  <c r="G127" i="18"/>
  <c r="G124" i="18"/>
  <c r="G116" i="18"/>
  <c r="G105" i="18"/>
  <c r="G93" i="18"/>
  <c r="G85" i="18"/>
  <c r="G74" i="18"/>
  <c r="G45" i="18"/>
  <c r="G37" i="18"/>
  <c r="G34" i="18"/>
  <c r="G26" i="18"/>
  <c r="H210" i="18"/>
  <c r="H194" i="18"/>
  <c r="H183" i="18"/>
  <c r="H145" i="18"/>
  <c r="H134" i="18"/>
  <c r="H123" i="18"/>
  <c r="H83" i="18"/>
  <c r="H44" i="18"/>
  <c r="H33" i="18"/>
  <c r="I172" i="18"/>
  <c r="I124" i="18"/>
  <c r="I97" i="18"/>
  <c r="I75" i="18"/>
  <c r="J155" i="18"/>
  <c r="J127" i="18"/>
  <c r="J105" i="18"/>
  <c r="J38" i="18"/>
  <c r="K185" i="18"/>
  <c r="K85" i="18"/>
  <c r="N35" i="18"/>
  <c r="M35" i="18"/>
  <c r="L35" i="18"/>
  <c r="K35" i="18"/>
  <c r="O35" i="18"/>
  <c r="G35" i="18"/>
  <c r="H35" i="18"/>
  <c r="O23" i="18"/>
  <c r="N23" i="18"/>
  <c r="M23" i="18"/>
  <c r="L23" i="18"/>
  <c r="K23" i="18"/>
  <c r="G23" i="18"/>
  <c r="J23" i="18"/>
  <c r="I23" i="18"/>
  <c r="H23" i="18"/>
  <c r="N42" i="18"/>
  <c r="O42" i="18"/>
  <c r="M42" i="18"/>
  <c r="L42" i="18"/>
  <c r="K42" i="18"/>
  <c r="G42" i="18"/>
  <c r="J42" i="18"/>
  <c r="I42" i="18"/>
  <c r="H42" i="18"/>
  <c r="O80" i="18"/>
  <c r="M80" i="18"/>
  <c r="N80" i="18"/>
  <c r="K80" i="18"/>
  <c r="L80" i="18"/>
  <c r="J80" i="18"/>
  <c r="I80" i="18"/>
  <c r="G80" i="18"/>
  <c r="O72" i="18"/>
  <c r="M72" i="18"/>
  <c r="N72" i="18"/>
  <c r="K72" i="18"/>
  <c r="L72" i="18"/>
  <c r="J72" i="18"/>
  <c r="I72" i="18"/>
  <c r="G72" i="18"/>
  <c r="N95" i="18"/>
  <c r="O95" i="18"/>
  <c r="K95" i="18"/>
  <c r="L95" i="18"/>
  <c r="M95" i="18"/>
  <c r="J95" i="18"/>
  <c r="I95" i="18"/>
  <c r="G95" i="18"/>
  <c r="O87" i="18"/>
  <c r="N87" i="18"/>
  <c r="M87" i="18"/>
  <c r="K87" i="18"/>
  <c r="L87" i="18"/>
  <c r="J87" i="18"/>
  <c r="I87" i="18"/>
  <c r="G87" i="18"/>
  <c r="N110" i="18"/>
  <c r="O110" i="18"/>
  <c r="L110" i="18"/>
  <c r="M110" i="18"/>
  <c r="J110" i="18"/>
  <c r="I110" i="18"/>
  <c r="G110" i="18"/>
  <c r="F110" i="18"/>
  <c r="H110" i="18"/>
  <c r="K110" i="18"/>
  <c r="O102" i="18"/>
  <c r="N102" i="18"/>
  <c r="L102" i="18"/>
  <c r="M102" i="18"/>
  <c r="J102" i="18"/>
  <c r="I102" i="18"/>
  <c r="K102" i="18"/>
  <c r="G102" i="18"/>
  <c r="F102" i="18"/>
  <c r="H102" i="18"/>
  <c r="O125" i="18"/>
  <c r="N125" i="18"/>
  <c r="M125" i="18"/>
  <c r="L125" i="18"/>
  <c r="J125" i="18"/>
  <c r="I125" i="18"/>
  <c r="G125" i="18"/>
  <c r="F125" i="18"/>
  <c r="H125" i="18"/>
  <c r="N121" i="18"/>
  <c r="O121" i="18"/>
  <c r="L121" i="18"/>
  <c r="M121" i="18"/>
  <c r="J121" i="18"/>
  <c r="I121" i="18"/>
  <c r="G121" i="18"/>
  <c r="F121" i="18"/>
  <c r="H121" i="18"/>
  <c r="K121" i="18"/>
  <c r="O136" i="18"/>
  <c r="N136" i="18"/>
  <c r="M136" i="18"/>
  <c r="L136" i="18"/>
  <c r="J136" i="18"/>
  <c r="I136" i="18"/>
  <c r="G136" i="18"/>
  <c r="F136" i="18"/>
  <c r="H136" i="18"/>
  <c r="K147" i="18"/>
  <c r="M147" i="18"/>
  <c r="L147" i="18"/>
  <c r="I147" i="18"/>
  <c r="G147" i="18"/>
  <c r="H147" i="18"/>
  <c r="N162" i="18"/>
  <c r="L162" i="18"/>
  <c r="O162" i="18"/>
  <c r="K162" i="18"/>
  <c r="I162" i="18"/>
  <c r="M162" i="18"/>
  <c r="G162" i="18"/>
  <c r="E162" i="18"/>
  <c r="J162" i="18"/>
  <c r="H162" i="18"/>
  <c r="O158" i="18"/>
  <c r="M158" i="18"/>
  <c r="L158" i="18"/>
  <c r="K158" i="18"/>
  <c r="I158" i="18"/>
  <c r="G158" i="18"/>
  <c r="E158" i="18"/>
  <c r="N158" i="18"/>
  <c r="H158" i="18"/>
  <c r="O181" i="18"/>
  <c r="L181" i="18"/>
  <c r="M181" i="18"/>
  <c r="K181" i="18"/>
  <c r="N181" i="18"/>
  <c r="G181" i="18"/>
  <c r="E181" i="18"/>
  <c r="J181" i="18"/>
  <c r="H181" i="18"/>
  <c r="I181" i="18"/>
  <c r="O177" i="18"/>
  <c r="L177" i="18"/>
  <c r="N177" i="18"/>
  <c r="K177" i="18"/>
  <c r="M177" i="18"/>
  <c r="I177" i="18"/>
  <c r="G177" i="18"/>
  <c r="E177" i="18"/>
  <c r="H177" i="18"/>
  <c r="O200" i="18"/>
  <c r="N200" i="18"/>
  <c r="L200" i="18"/>
  <c r="M200" i="18"/>
  <c r="G200" i="18"/>
  <c r="E200" i="18"/>
  <c r="K200" i="18"/>
  <c r="J200" i="18"/>
  <c r="H200" i="18"/>
  <c r="I200" i="18"/>
  <c r="O192" i="18"/>
  <c r="L192" i="18"/>
  <c r="M192" i="18"/>
  <c r="N192" i="18"/>
  <c r="G192" i="18"/>
  <c r="E192" i="18"/>
  <c r="K192" i="18"/>
  <c r="J192" i="18"/>
  <c r="H192" i="18"/>
  <c r="I192" i="18"/>
  <c r="O188" i="18"/>
  <c r="L188" i="18"/>
  <c r="N188" i="18"/>
  <c r="M188" i="18"/>
  <c r="G188" i="18"/>
  <c r="E188" i="18"/>
  <c r="H188" i="18"/>
  <c r="I188" i="18"/>
  <c r="O215" i="18"/>
  <c r="N215" i="18"/>
  <c r="M215" i="18"/>
  <c r="L215" i="18"/>
  <c r="H215" i="18"/>
  <c r="E215" i="18"/>
  <c r="K215" i="18"/>
  <c r="J215" i="18"/>
  <c r="I215" i="18"/>
  <c r="O211" i="18"/>
  <c r="N211" i="18"/>
  <c r="M211" i="18"/>
  <c r="L211" i="18"/>
  <c r="H211" i="18"/>
  <c r="E211" i="18"/>
  <c r="I211" i="18"/>
  <c r="O207" i="18"/>
  <c r="N207" i="18"/>
  <c r="L207" i="18"/>
  <c r="M207" i="18"/>
  <c r="H207" i="18"/>
  <c r="E207" i="18"/>
  <c r="K207" i="18"/>
  <c r="J207" i="18"/>
  <c r="I207" i="18"/>
  <c r="O36" i="18"/>
  <c r="N36" i="18"/>
  <c r="M36" i="18"/>
  <c r="L36" i="18"/>
  <c r="K36" i="18"/>
  <c r="J36" i="18"/>
  <c r="I36" i="18"/>
  <c r="F36" i="18"/>
  <c r="G36" i="18"/>
  <c r="H36" i="18"/>
  <c r="O32" i="18"/>
  <c r="N32" i="18"/>
  <c r="M32" i="18"/>
  <c r="L32" i="18"/>
  <c r="K32" i="18"/>
  <c r="J32" i="18"/>
  <c r="I32" i="18"/>
  <c r="F32" i="18"/>
  <c r="G32" i="18"/>
  <c r="H32" i="18"/>
  <c r="O28" i="18"/>
  <c r="N28" i="18"/>
  <c r="L28" i="18"/>
  <c r="K28" i="18"/>
  <c r="M28" i="18"/>
  <c r="J28" i="18"/>
  <c r="I28" i="18"/>
  <c r="F28" i="18"/>
  <c r="G28" i="18"/>
  <c r="H28" i="18"/>
  <c r="O24" i="18"/>
  <c r="N24" i="18"/>
  <c r="L24" i="18"/>
  <c r="K24" i="18"/>
  <c r="M24" i="18"/>
  <c r="J24" i="18"/>
  <c r="I24" i="18"/>
  <c r="F24" i="18"/>
  <c r="G24" i="18"/>
  <c r="H24" i="18"/>
  <c r="O51" i="18"/>
  <c r="N51" i="18"/>
  <c r="L51" i="18"/>
  <c r="K51" i="18"/>
  <c r="M51" i="18"/>
  <c r="J51" i="18"/>
  <c r="I51" i="18"/>
  <c r="F51" i="18"/>
  <c r="G51" i="18"/>
  <c r="H51" i="18"/>
  <c r="O47" i="18"/>
  <c r="N47" i="18"/>
  <c r="M47" i="18"/>
  <c r="L47" i="18"/>
  <c r="K47" i="18"/>
  <c r="J47" i="18"/>
  <c r="I47" i="18"/>
  <c r="F47" i="18"/>
  <c r="G47" i="18"/>
  <c r="H47" i="18"/>
  <c r="O43" i="18"/>
  <c r="N43" i="18"/>
  <c r="M43" i="18"/>
  <c r="L43" i="18"/>
  <c r="K43" i="18"/>
  <c r="J43" i="18"/>
  <c r="I43" i="18"/>
  <c r="F43" i="18"/>
  <c r="G43" i="18"/>
  <c r="H43" i="18"/>
  <c r="O39" i="18"/>
  <c r="N39" i="18"/>
  <c r="L39" i="18"/>
  <c r="K39" i="18"/>
  <c r="M39" i="18"/>
  <c r="J39" i="18"/>
  <c r="I39" i="18"/>
  <c r="F39" i="18"/>
  <c r="G39" i="18"/>
  <c r="H39" i="18"/>
  <c r="O81" i="18"/>
  <c r="M81" i="18"/>
  <c r="N81" i="18"/>
  <c r="K81" i="18"/>
  <c r="L81" i="18"/>
  <c r="H81" i="18"/>
  <c r="E81" i="18"/>
  <c r="J81" i="18"/>
  <c r="I81" i="18"/>
  <c r="O77" i="18"/>
  <c r="M77" i="18"/>
  <c r="N77" i="18"/>
  <c r="L77" i="18"/>
  <c r="K77" i="18"/>
  <c r="J77" i="18"/>
  <c r="I77" i="18"/>
  <c r="H77" i="18"/>
  <c r="E77" i="18"/>
  <c r="O73" i="18"/>
  <c r="M73" i="18"/>
  <c r="N73" i="18"/>
  <c r="L73" i="18"/>
  <c r="K73" i="18"/>
  <c r="H73" i="18"/>
  <c r="E73" i="18"/>
  <c r="J73" i="18"/>
  <c r="I73" i="18"/>
  <c r="K69" i="18"/>
  <c r="O69" i="18"/>
  <c r="M69" i="18"/>
  <c r="F69" i="18"/>
  <c r="O96" i="18"/>
  <c r="M96" i="18"/>
  <c r="N96" i="18"/>
  <c r="K96" i="18"/>
  <c r="L96" i="18"/>
  <c r="J96" i="18"/>
  <c r="I96" i="18"/>
  <c r="H96" i="18"/>
  <c r="E96" i="18"/>
  <c r="O92" i="18"/>
  <c r="M92" i="18"/>
  <c r="N92" i="18"/>
  <c r="K92" i="18"/>
  <c r="L92" i="18"/>
  <c r="H92" i="18"/>
  <c r="E92" i="18"/>
  <c r="J92" i="18"/>
  <c r="I92" i="18"/>
  <c r="M88" i="18"/>
  <c r="O88" i="18"/>
  <c r="N88" i="18"/>
  <c r="L88" i="18"/>
  <c r="K88" i="18"/>
  <c r="J88" i="18"/>
  <c r="I88" i="18"/>
  <c r="H88" i="18"/>
  <c r="E88" i="18"/>
  <c r="M84" i="18"/>
  <c r="O84" i="18"/>
  <c r="L84" i="18"/>
  <c r="K84" i="18"/>
  <c r="N84" i="18"/>
  <c r="H84" i="18"/>
  <c r="E84" i="18"/>
  <c r="J84" i="18"/>
  <c r="I84" i="18"/>
  <c r="N111" i="18"/>
  <c r="O111" i="18"/>
  <c r="K111" i="18"/>
  <c r="L111" i="18"/>
  <c r="M111" i="18"/>
  <c r="G111" i="18"/>
  <c r="J111" i="18"/>
  <c r="I111" i="18"/>
  <c r="H111" i="18"/>
  <c r="O107" i="18"/>
  <c r="N107" i="18"/>
  <c r="K107" i="18"/>
  <c r="L107" i="18"/>
  <c r="M107" i="18"/>
  <c r="J107" i="18"/>
  <c r="I107" i="18"/>
  <c r="G107" i="18"/>
  <c r="H107" i="18"/>
  <c r="O103" i="18"/>
  <c r="N103" i="18"/>
  <c r="M103" i="18"/>
  <c r="K103" i="18"/>
  <c r="L103" i="18"/>
  <c r="G103" i="18"/>
  <c r="J103" i="18"/>
  <c r="I103" i="18"/>
  <c r="H103" i="18"/>
  <c r="N99" i="18"/>
  <c r="M99" i="18"/>
  <c r="O99" i="18"/>
  <c r="J99" i="18"/>
  <c r="I99" i="18"/>
  <c r="O126" i="18"/>
  <c r="N126" i="18"/>
  <c r="K126" i="18"/>
  <c r="M126" i="18"/>
  <c r="L126" i="18"/>
  <c r="J126" i="18"/>
  <c r="I126" i="18"/>
  <c r="G126" i="18"/>
  <c r="H126" i="18"/>
  <c r="N122" i="18"/>
  <c r="K122" i="18"/>
  <c r="L122" i="18"/>
  <c r="M122" i="18"/>
  <c r="O122" i="18"/>
  <c r="G122" i="18"/>
  <c r="J122" i="18"/>
  <c r="I122" i="18"/>
  <c r="H122" i="18"/>
  <c r="O118" i="18"/>
  <c r="N118" i="18"/>
  <c r="K118" i="18"/>
  <c r="L118" i="18"/>
  <c r="M118" i="18"/>
  <c r="J118" i="18"/>
  <c r="I118" i="18"/>
  <c r="G118" i="18"/>
  <c r="H118" i="18"/>
  <c r="O114" i="18"/>
  <c r="N114" i="18"/>
  <c r="M114" i="18"/>
  <c r="K114" i="18"/>
  <c r="L114" i="18"/>
  <c r="G114" i="18"/>
  <c r="J114" i="18"/>
  <c r="I114" i="18"/>
  <c r="H114" i="18"/>
  <c r="O141" i="18"/>
  <c r="N141" i="18"/>
  <c r="M141" i="18"/>
  <c r="K141" i="18"/>
  <c r="L141" i="18"/>
  <c r="I141" i="18"/>
  <c r="G141" i="18"/>
  <c r="J141" i="18"/>
  <c r="H141" i="18"/>
  <c r="O137" i="18"/>
  <c r="N137" i="18"/>
  <c r="K137" i="18"/>
  <c r="M137" i="18"/>
  <c r="L137" i="18"/>
  <c r="J137" i="18"/>
  <c r="I137" i="18"/>
  <c r="G137" i="18"/>
  <c r="H137" i="18"/>
  <c r="N133" i="18"/>
  <c r="K133" i="18"/>
  <c r="L133" i="18"/>
  <c r="O133" i="18"/>
  <c r="M133" i="18"/>
  <c r="G133" i="18"/>
  <c r="J133" i="18"/>
  <c r="I133" i="18"/>
  <c r="H133" i="18"/>
  <c r="O129" i="18"/>
  <c r="N129" i="18"/>
  <c r="K129" i="18"/>
  <c r="L129" i="18"/>
  <c r="J129" i="18"/>
  <c r="I129" i="18"/>
  <c r="G129" i="18"/>
  <c r="M129" i="18"/>
  <c r="H129" i="18"/>
  <c r="O156" i="18"/>
  <c r="N156" i="18"/>
  <c r="L156" i="18"/>
  <c r="K156" i="18"/>
  <c r="M156" i="18"/>
  <c r="J156" i="18"/>
  <c r="F156" i="18"/>
  <c r="G156" i="18"/>
  <c r="H156" i="18"/>
  <c r="O152" i="18"/>
  <c r="N152" i="18"/>
  <c r="M152" i="18"/>
  <c r="L152" i="18"/>
  <c r="K152" i="18"/>
  <c r="J152" i="18"/>
  <c r="I152" i="18"/>
  <c r="F152" i="18"/>
  <c r="G152" i="18"/>
  <c r="H152" i="18"/>
  <c r="O148" i="18"/>
  <c r="N148" i="18"/>
  <c r="M148" i="18"/>
  <c r="L148" i="18"/>
  <c r="K148" i="18"/>
  <c r="J148" i="18"/>
  <c r="F148" i="18"/>
  <c r="I148" i="18"/>
  <c r="G148" i="18"/>
  <c r="H148" i="18"/>
  <c r="N144" i="18"/>
  <c r="K144" i="18"/>
  <c r="O144" i="18"/>
  <c r="L144" i="18"/>
  <c r="M144" i="18"/>
  <c r="G144" i="18"/>
  <c r="J144" i="18"/>
  <c r="I144" i="18"/>
  <c r="H144" i="18"/>
  <c r="O171" i="18"/>
  <c r="N171" i="18"/>
  <c r="L171" i="18"/>
  <c r="M171" i="18"/>
  <c r="K171" i="18"/>
  <c r="J171" i="18"/>
  <c r="F171" i="18"/>
  <c r="I171" i="18"/>
  <c r="H171" i="18"/>
  <c r="O167" i="18"/>
  <c r="N167" i="18"/>
  <c r="L167" i="18"/>
  <c r="M167" i="18"/>
  <c r="K167" i="18"/>
  <c r="J167" i="18"/>
  <c r="F167" i="18"/>
  <c r="H167" i="18"/>
  <c r="O163" i="18"/>
  <c r="N163" i="18"/>
  <c r="M163" i="18"/>
  <c r="L163" i="18"/>
  <c r="K163" i="18"/>
  <c r="J163" i="18"/>
  <c r="I163" i="18"/>
  <c r="F163" i="18"/>
  <c r="H163" i="18"/>
  <c r="O159" i="18"/>
  <c r="N159" i="18"/>
  <c r="M159" i="18"/>
  <c r="L159" i="18"/>
  <c r="K159" i="18"/>
  <c r="J159" i="18"/>
  <c r="F159" i="18"/>
  <c r="I159" i="18"/>
  <c r="H159" i="18"/>
  <c r="O186" i="18"/>
  <c r="N186" i="18"/>
  <c r="M186" i="18"/>
  <c r="L186" i="18"/>
  <c r="K186" i="18"/>
  <c r="J186" i="18"/>
  <c r="F186" i="18"/>
  <c r="H186" i="18"/>
  <c r="O182" i="18"/>
  <c r="N182" i="18"/>
  <c r="L182" i="18"/>
  <c r="M182" i="18"/>
  <c r="K182" i="18"/>
  <c r="J182" i="18"/>
  <c r="F182" i="18"/>
  <c r="H182" i="18"/>
  <c r="O178" i="18"/>
  <c r="N178" i="18"/>
  <c r="L178" i="18"/>
  <c r="K178" i="18"/>
  <c r="J178" i="18"/>
  <c r="F178" i="18"/>
  <c r="M178" i="18"/>
  <c r="H178" i="18"/>
  <c r="O174" i="18"/>
  <c r="N174" i="18"/>
  <c r="M174" i="18"/>
  <c r="L174" i="18"/>
  <c r="K174" i="18"/>
  <c r="J174" i="18"/>
  <c r="I174" i="18"/>
  <c r="F174" i="18"/>
  <c r="H174" i="18"/>
  <c r="N201" i="18"/>
  <c r="O201" i="18"/>
  <c r="M201" i="18"/>
  <c r="L201" i="18"/>
  <c r="K201" i="18"/>
  <c r="J201" i="18"/>
  <c r="F201" i="18"/>
  <c r="H201" i="18"/>
  <c r="N197" i="18"/>
  <c r="O197" i="18"/>
  <c r="M197" i="18"/>
  <c r="L197" i="18"/>
  <c r="K197" i="18"/>
  <c r="J197" i="18"/>
  <c r="F197" i="18"/>
  <c r="H197" i="18"/>
  <c r="N193" i="18"/>
  <c r="O193" i="18"/>
  <c r="L193" i="18"/>
  <c r="M193" i="18"/>
  <c r="K193" i="18"/>
  <c r="J193" i="18"/>
  <c r="F193" i="18"/>
  <c r="H193" i="18"/>
  <c r="O189" i="18"/>
  <c r="N189" i="18"/>
  <c r="L189" i="18"/>
  <c r="M189" i="18"/>
  <c r="K189" i="18"/>
  <c r="J189" i="18"/>
  <c r="F189" i="18"/>
  <c r="H189" i="18"/>
  <c r="O216" i="18"/>
  <c r="N216" i="18"/>
  <c r="M216" i="18"/>
  <c r="L216" i="18"/>
  <c r="K216" i="18"/>
  <c r="J216" i="18"/>
  <c r="G216" i="18"/>
  <c r="H216" i="18"/>
  <c r="I216" i="18"/>
  <c r="O212" i="18"/>
  <c r="M212" i="18"/>
  <c r="L212" i="18"/>
  <c r="K212" i="18"/>
  <c r="J212" i="18"/>
  <c r="G212" i="18"/>
  <c r="H212" i="18"/>
  <c r="N212" i="18"/>
  <c r="I212" i="18"/>
  <c r="O208" i="18"/>
  <c r="L208" i="18"/>
  <c r="N208" i="18"/>
  <c r="M208" i="18"/>
  <c r="K208" i="18"/>
  <c r="J208" i="18"/>
  <c r="G208" i="18"/>
  <c r="H208" i="18"/>
  <c r="I208" i="18"/>
  <c r="E213" i="18"/>
  <c r="E208" i="18"/>
  <c r="E198" i="18"/>
  <c r="E193" i="18"/>
  <c r="E187" i="18"/>
  <c r="E182" i="18"/>
  <c r="E176" i="18"/>
  <c r="E171" i="18"/>
  <c r="E165" i="18"/>
  <c r="E160" i="18"/>
  <c r="E154" i="18"/>
  <c r="E149" i="18"/>
  <c r="E142" i="18"/>
  <c r="E141" i="18"/>
  <c r="E136" i="18"/>
  <c r="E131" i="18"/>
  <c r="E125" i="18"/>
  <c r="E120" i="18"/>
  <c r="E114" i="18"/>
  <c r="E109" i="18"/>
  <c r="E103" i="18"/>
  <c r="E97" i="18"/>
  <c r="E91" i="18"/>
  <c r="E86" i="18"/>
  <c r="E80" i="18"/>
  <c r="E75" i="18"/>
  <c r="E67" i="18"/>
  <c r="E51" i="18"/>
  <c r="E46" i="18"/>
  <c r="E41" i="18"/>
  <c r="E35" i="18"/>
  <c r="E30" i="18"/>
  <c r="E24" i="18"/>
  <c r="F214" i="18"/>
  <c r="F208" i="18"/>
  <c r="F198" i="18"/>
  <c r="F192" i="18"/>
  <c r="F187" i="18"/>
  <c r="F181" i="18"/>
  <c r="F176" i="18"/>
  <c r="F170" i="18"/>
  <c r="F165" i="18"/>
  <c r="F160" i="18"/>
  <c r="F154" i="18"/>
  <c r="F149" i="18"/>
  <c r="F142" i="18"/>
  <c r="F137" i="18"/>
  <c r="F131" i="18"/>
  <c r="F126" i="18"/>
  <c r="F120" i="18"/>
  <c r="F115" i="18"/>
  <c r="F109" i="18"/>
  <c r="F104" i="18"/>
  <c r="F98" i="18"/>
  <c r="F92" i="18"/>
  <c r="F87" i="18"/>
  <c r="F81" i="18"/>
  <c r="F76" i="18"/>
  <c r="F68" i="18"/>
  <c r="F48" i="18"/>
  <c r="F42" i="18"/>
  <c r="F37" i="18"/>
  <c r="F31" i="18"/>
  <c r="F26" i="18"/>
  <c r="G215" i="18"/>
  <c r="G210" i="18"/>
  <c r="G199" i="18"/>
  <c r="G194" i="18"/>
  <c r="G189" i="18"/>
  <c r="G183" i="18"/>
  <c r="G178" i="18"/>
  <c r="G172" i="18"/>
  <c r="G167" i="18"/>
  <c r="G161" i="18"/>
  <c r="G153" i="18"/>
  <c r="G145" i="18"/>
  <c r="G134" i="18"/>
  <c r="G123" i="18"/>
  <c r="G115" i="18"/>
  <c r="G104" i="18"/>
  <c r="G92" i="18"/>
  <c r="G84" i="18"/>
  <c r="G81" i="18"/>
  <c r="G73" i="18"/>
  <c r="G44" i="18"/>
  <c r="G33" i="18"/>
  <c r="G25" i="18"/>
  <c r="H190" i="18"/>
  <c r="H179" i="18"/>
  <c r="H168" i="18"/>
  <c r="H130" i="18"/>
  <c r="H119" i="18"/>
  <c r="H108" i="18"/>
  <c r="H95" i="18"/>
  <c r="H40" i="18"/>
  <c r="H29" i="18"/>
  <c r="I213" i="18"/>
  <c r="I197" i="18"/>
  <c r="I186" i="18"/>
  <c r="I156" i="18"/>
  <c r="I139" i="18"/>
  <c r="I116" i="18"/>
  <c r="I94" i="18"/>
  <c r="I27" i="18"/>
  <c r="J196" i="18"/>
  <c r="J146" i="18"/>
  <c r="J124" i="18"/>
  <c r="J97" i="18"/>
  <c r="J75" i="18"/>
  <c r="J35" i="18"/>
  <c r="K125" i="18"/>
  <c r="K74" i="18"/>
  <c r="L199" i="18"/>
  <c r="N44" i="18"/>
  <c r="N202" i="18"/>
  <c r="F202" i="18"/>
  <c r="G202" i="18"/>
  <c r="H202" i="18"/>
  <c r="O206" i="18"/>
  <c r="G206" i="18"/>
  <c r="J206" i="18"/>
  <c r="M206" i="18"/>
  <c r="I206" i="18"/>
  <c r="N206" i="18"/>
  <c r="E206" i="18"/>
  <c r="H206" i="18"/>
  <c r="K206" i="18"/>
  <c r="F206" i="18"/>
  <c r="H204" i="18"/>
  <c r="M203" i="18"/>
  <c r="E203" i="18"/>
  <c r="L203" i="18"/>
  <c r="E204" i="18"/>
  <c r="J204" i="18"/>
  <c r="I204" i="18"/>
  <c r="N204" i="18"/>
  <c r="G205" i="18"/>
  <c r="E205" i="18"/>
  <c r="K205" i="18"/>
  <c r="I205" i="18"/>
  <c r="J205" i="18"/>
  <c r="F205" i="18"/>
  <c r="H205" i="18"/>
  <c r="M205" i="18"/>
  <c r="N205" i="18"/>
  <c r="L205" i="18"/>
  <c r="O204" i="18"/>
  <c r="G204" i="18"/>
  <c r="F204" i="18"/>
  <c r="K204" i="18"/>
  <c r="L204" i="18"/>
  <c r="F203" i="18"/>
  <c r="G203" i="18"/>
  <c r="H203" i="18"/>
  <c r="I203" i="18"/>
  <c r="N203" i="18"/>
  <c r="J203" i="18"/>
  <c r="K203" i="18"/>
  <c r="E147" i="18"/>
  <c r="O147" i="18"/>
  <c r="J147" i="18"/>
  <c r="N147" i="18"/>
  <c r="K146" i="18"/>
  <c r="N146" i="18"/>
  <c r="O146" i="18"/>
  <c r="E146" i="18"/>
  <c r="G100" i="18"/>
  <c r="K100" i="18"/>
  <c r="L100" i="18"/>
  <c r="H100" i="18"/>
  <c r="E99" i="18"/>
  <c r="H99" i="18"/>
  <c r="K99" i="18"/>
  <c r="F99" i="18"/>
  <c r="L99" i="18"/>
  <c r="J69" i="18"/>
  <c r="E69" i="18"/>
  <c r="G69" i="18"/>
  <c r="L69" i="18"/>
  <c r="N69" i="18"/>
  <c r="H69" i="18"/>
  <c r="I69" i="18"/>
  <c r="O70" i="18"/>
  <c r="F70" i="18"/>
  <c r="J70" i="18"/>
  <c r="N70" i="18"/>
  <c r="G70" i="18"/>
  <c r="K70" i="18"/>
  <c r="E70" i="18"/>
  <c r="I70" i="18"/>
  <c r="F71" i="18"/>
  <c r="G71" i="18"/>
  <c r="I71" i="18"/>
  <c r="K71" i="18"/>
  <c r="L71" i="18"/>
  <c r="O71" i="18"/>
  <c r="E71" i="18"/>
  <c r="H71" i="18"/>
  <c r="J71" i="18"/>
  <c r="M71" i="18"/>
  <c r="N14" i="20"/>
  <c r="D10" i="20"/>
  <c r="D16" i="17"/>
  <c r="D12" i="17"/>
  <c r="E16" i="17"/>
  <c r="E12" i="17"/>
  <c r="F16" i="17"/>
  <c r="F12" i="17"/>
  <c r="G16" i="17"/>
  <c r="G12" i="17"/>
  <c r="H16" i="17"/>
  <c r="H12" i="17"/>
  <c r="I16" i="17"/>
  <c r="I12" i="17"/>
  <c r="J16" i="17"/>
  <c r="J12" i="17"/>
  <c r="K16" i="17"/>
  <c r="K12" i="17"/>
  <c r="L16" i="17"/>
  <c r="L12" i="17"/>
  <c r="M16" i="17"/>
  <c r="M12" i="17"/>
  <c r="D15" i="17"/>
  <c r="E15" i="17"/>
  <c r="F15" i="17"/>
  <c r="G15" i="17"/>
  <c r="H15" i="17"/>
  <c r="I15" i="17"/>
  <c r="J15" i="17"/>
  <c r="K15" i="17"/>
  <c r="L15" i="17"/>
  <c r="M15" i="17"/>
  <c r="E20" i="18"/>
  <c r="E16" i="18"/>
  <c r="E12" i="18"/>
  <c r="E8" i="18"/>
  <c r="F20" i="18"/>
  <c r="F16" i="18"/>
  <c r="F12" i="18"/>
  <c r="F8" i="18"/>
  <c r="G20" i="18"/>
  <c r="G16" i="18"/>
  <c r="G12" i="18"/>
  <c r="G8" i="18"/>
  <c r="H20" i="18"/>
  <c r="H16" i="18"/>
  <c r="H12" i="18"/>
  <c r="H8" i="18"/>
  <c r="I20" i="18"/>
  <c r="I16" i="18"/>
  <c r="I12" i="18"/>
  <c r="I8" i="18"/>
  <c r="J20" i="18"/>
  <c r="J16" i="18"/>
  <c r="J12" i="18"/>
  <c r="J8" i="18"/>
  <c r="K20" i="18"/>
  <c r="K16" i="18"/>
  <c r="K12" i="18"/>
  <c r="K8" i="18"/>
  <c r="L20" i="18"/>
  <c r="L16" i="18"/>
  <c r="L12" i="18"/>
  <c r="L8" i="18"/>
  <c r="M20" i="18"/>
  <c r="M16" i="18"/>
  <c r="M12" i="18"/>
  <c r="M8" i="18"/>
  <c r="N20" i="18"/>
  <c r="N16" i="18"/>
  <c r="N12" i="18"/>
  <c r="N8" i="18"/>
  <c r="E19" i="18"/>
  <c r="E15" i="18"/>
  <c r="E11" i="18"/>
  <c r="E7" i="18"/>
  <c r="F19" i="18"/>
  <c r="F15" i="18"/>
  <c r="F11" i="18"/>
  <c r="F7" i="18"/>
  <c r="G19" i="18"/>
  <c r="G15" i="18"/>
  <c r="G11" i="18"/>
  <c r="G7" i="18"/>
  <c r="H19" i="18"/>
  <c r="H15" i="18"/>
  <c r="H11" i="18"/>
  <c r="H7" i="18"/>
  <c r="I19" i="18"/>
  <c r="I15" i="18"/>
  <c r="I11" i="18"/>
  <c r="I7" i="18"/>
  <c r="J19" i="18"/>
  <c r="J15" i="18"/>
  <c r="J11" i="18"/>
  <c r="J7" i="18"/>
  <c r="K19" i="18"/>
  <c r="K15" i="18"/>
  <c r="K11" i="18"/>
  <c r="K7" i="18"/>
  <c r="L19" i="18"/>
  <c r="L15" i="18"/>
  <c r="L11" i="18"/>
  <c r="L7" i="18"/>
  <c r="M19" i="18"/>
  <c r="M15" i="18"/>
  <c r="M11" i="18"/>
  <c r="M7" i="18"/>
  <c r="N19" i="18"/>
  <c r="N15" i="18"/>
  <c r="N11" i="18"/>
  <c r="N7" i="18"/>
  <c r="E18" i="18"/>
  <c r="E14" i="18"/>
  <c r="E10" i="18"/>
  <c r="F18" i="18"/>
  <c r="F14" i="18"/>
  <c r="F10" i="18"/>
  <c r="G18" i="18"/>
  <c r="G14" i="18"/>
  <c r="G10" i="18"/>
  <c r="H18" i="18"/>
  <c r="H14" i="18"/>
  <c r="H10" i="18"/>
  <c r="I18" i="18"/>
  <c r="I14" i="18"/>
  <c r="I10" i="18"/>
  <c r="J18" i="18"/>
  <c r="J14" i="18"/>
  <c r="J10" i="18"/>
  <c r="K18" i="18"/>
  <c r="K14" i="18"/>
  <c r="K10" i="18"/>
  <c r="L18" i="18"/>
  <c r="L14" i="18"/>
  <c r="L10" i="18"/>
  <c r="M18" i="18"/>
  <c r="M14" i="18"/>
  <c r="M10" i="18"/>
  <c r="N18" i="18"/>
  <c r="N14" i="18"/>
  <c r="N10" i="18"/>
  <c r="E17" i="18"/>
  <c r="E13" i="18"/>
  <c r="E9" i="18"/>
  <c r="F17" i="18"/>
  <c r="F13" i="18"/>
  <c r="F9" i="18"/>
  <c r="G17" i="18"/>
  <c r="G13" i="18"/>
  <c r="G9" i="18"/>
  <c r="H17" i="18"/>
  <c r="H13" i="18"/>
  <c r="H9" i="18"/>
  <c r="I17" i="18"/>
  <c r="I13" i="18"/>
  <c r="I9" i="18"/>
  <c r="J17" i="18"/>
  <c r="J13" i="18"/>
  <c r="J9" i="18"/>
  <c r="K17" i="18"/>
  <c r="K13" i="18"/>
  <c r="K9" i="18"/>
  <c r="L17" i="18"/>
  <c r="L13" i="18"/>
  <c r="L9" i="18"/>
  <c r="M17" i="18"/>
  <c r="M13" i="18"/>
  <c r="M9" i="18"/>
  <c r="N17" i="18"/>
  <c r="N13" i="18"/>
  <c r="N9" i="18"/>
  <c r="F16" i="20"/>
  <c r="F12" i="20"/>
  <c r="I16" i="20"/>
  <c r="L7" i="20"/>
  <c r="M8" i="20"/>
  <c r="E7" i="20"/>
  <c r="F8" i="20"/>
  <c r="H14" i="20"/>
  <c r="I12" i="20"/>
  <c r="J13" i="20"/>
  <c r="K14" i="20"/>
  <c r="M16" i="20"/>
  <c r="G7" i="20"/>
  <c r="H10" i="20"/>
  <c r="I8" i="20"/>
  <c r="J9" i="20"/>
  <c r="K10" i="20"/>
  <c r="M12" i="20"/>
  <c r="N13" i="20"/>
  <c r="E15" i="20"/>
  <c r="E11" i="20"/>
  <c r="D13" i="20"/>
  <c r="D9" i="20"/>
  <c r="E14" i="20"/>
  <c r="E10" i="20"/>
  <c r="F15" i="20"/>
  <c r="F11" i="20"/>
  <c r="F7" i="20"/>
  <c r="G14" i="20"/>
  <c r="G10" i="20"/>
  <c r="H13" i="20"/>
  <c r="H9" i="20"/>
  <c r="I15" i="20"/>
  <c r="I11" i="20"/>
  <c r="I7" i="20"/>
  <c r="J16" i="20"/>
  <c r="J12" i="20"/>
  <c r="J8" i="20"/>
  <c r="K13" i="20"/>
  <c r="K9" i="20"/>
  <c r="L14" i="20"/>
  <c r="L10" i="20"/>
  <c r="M15" i="20"/>
  <c r="M11" i="20"/>
  <c r="M7" i="20"/>
  <c r="N16" i="20"/>
  <c r="N12" i="20"/>
  <c r="N8" i="20"/>
  <c r="G15" i="20"/>
  <c r="G11" i="20"/>
  <c r="D16" i="20"/>
  <c r="D12" i="20"/>
  <c r="D8" i="20"/>
  <c r="E13" i="20"/>
  <c r="E9" i="20"/>
  <c r="F14" i="20"/>
  <c r="F10" i="20"/>
  <c r="G13" i="20"/>
  <c r="G9" i="20"/>
  <c r="H16" i="20"/>
  <c r="H12" i="20"/>
  <c r="H8" i="20"/>
  <c r="I14" i="20"/>
  <c r="I10" i="20"/>
  <c r="J15" i="20"/>
  <c r="J11" i="20"/>
  <c r="J7" i="20"/>
  <c r="K16" i="20"/>
  <c r="K12" i="20"/>
  <c r="K8" i="20"/>
  <c r="L13" i="20"/>
  <c r="L9" i="20"/>
  <c r="M14" i="20"/>
  <c r="M10" i="20"/>
  <c r="N15" i="20"/>
  <c r="N11" i="20"/>
  <c r="N7" i="20"/>
  <c r="L15" i="20"/>
  <c r="L11" i="20"/>
  <c r="D15" i="20"/>
  <c r="D11" i="20"/>
  <c r="D7" i="20"/>
  <c r="E16" i="20"/>
  <c r="E12" i="20"/>
  <c r="E8" i="20"/>
  <c r="F13" i="20"/>
  <c r="F9" i="20"/>
  <c r="G16" i="20"/>
  <c r="G12" i="20"/>
  <c r="G8" i="20"/>
  <c r="H15" i="20"/>
  <c r="H11" i="20"/>
  <c r="H7" i="20"/>
  <c r="I13" i="20"/>
  <c r="I9" i="20"/>
  <c r="J14" i="20"/>
  <c r="J10" i="20"/>
  <c r="J33" i="66"/>
  <c r="J33" i="65"/>
  <c r="J33" i="64"/>
  <c r="J33" i="63"/>
  <c r="J33" i="62"/>
  <c r="J33" i="61"/>
  <c r="J33" i="60"/>
  <c r="P40" i="18" l="1"/>
  <c r="R40" i="18" s="1"/>
  <c r="P45" i="18"/>
  <c r="R45" i="18" s="1"/>
  <c r="P176" i="18"/>
  <c r="R176" i="18" s="1"/>
  <c r="P143" i="18"/>
  <c r="R143" i="18" s="1"/>
  <c r="O17" i="17"/>
  <c r="P17" i="17" s="1"/>
  <c r="P166" i="18"/>
  <c r="R166" i="18" s="1"/>
  <c r="P162" i="18"/>
  <c r="P173" i="18"/>
  <c r="R173" i="18" s="1"/>
  <c r="P82" i="18"/>
  <c r="P97" i="18"/>
  <c r="P114" i="18"/>
  <c r="P165" i="18"/>
  <c r="R165" i="18" s="1"/>
  <c r="P159" i="18"/>
  <c r="R159" i="18" s="1"/>
  <c r="P129" i="18"/>
  <c r="P85" i="18"/>
  <c r="R85" i="18" s="1"/>
  <c r="P157" i="18"/>
  <c r="R157" i="18" s="1"/>
  <c r="P172" i="18"/>
  <c r="P191" i="18"/>
  <c r="P130" i="18"/>
  <c r="R130" i="18" s="1"/>
  <c r="P115" i="18"/>
  <c r="P24" i="18"/>
  <c r="P144" i="18"/>
  <c r="R144" i="18" s="1"/>
  <c r="P187" i="18"/>
  <c r="P84" i="18"/>
  <c r="P39" i="18"/>
  <c r="R39" i="18" s="1"/>
  <c r="P42" i="18"/>
  <c r="R42" i="18" s="1"/>
  <c r="P145" i="18"/>
  <c r="R145" i="18" s="1"/>
  <c r="P161" i="18"/>
  <c r="R161" i="18" s="1"/>
  <c r="P142" i="18"/>
  <c r="P44" i="18"/>
  <c r="R44" i="18" s="1"/>
  <c r="P174" i="18"/>
  <c r="R174" i="18" s="1"/>
  <c r="P26" i="18"/>
  <c r="P43" i="18"/>
  <c r="R43" i="18" s="1"/>
  <c r="P68" i="18"/>
  <c r="P38" i="18"/>
  <c r="P70" i="18"/>
  <c r="P69" i="18"/>
  <c r="P99" i="18"/>
  <c r="R99" i="18" s="1"/>
  <c r="P188" i="18"/>
  <c r="R188" i="18" s="1"/>
  <c r="P67" i="18"/>
  <c r="R67" i="18" s="1"/>
  <c r="P128" i="18"/>
  <c r="O14" i="17"/>
  <c r="P14" i="17" s="1"/>
  <c r="P98" i="18"/>
  <c r="P100" i="18"/>
  <c r="P192" i="18"/>
  <c r="R192" i="18" s="1"/>
  <c r="P23" i="18"/>
  <c r="P25" i="18"/>
  <c r="P41" i="18"/>
  <c r="P112" i="18"/>
  <c r="R112" i="18" s="1"/>
  <c r="P163" i="18"/>
  <c r="O13" i="17"/>
  <c r="P13" i="17" s="1"/>
  <c r="P113" i="18"/>
  <c r="R113" i="18" s="1"/>
  <c r="P160" i="18"/>
  <c r="R160" i="18" s="1"/>
  <c r="P175" i="18"/>
  <c r="R175" i="18" s="1"/>
  <c r="P190" i="18"/>
  <c r="P83" i="18"/>
  <c r="P158" i="18"/>
  <c r="R158" i="18" s="1"/>
  <c r="P116" i="18"/>
  <c r="R116" i="18" s="1"/>
  <c r="P127" i="18"/>
  <c r="P189" i="18"/>
  <c r="P27" i="18"/>
  <c r="R27" i="18" s="1"/>
  <c r="P37" i="18"/>
  <c r="R37" i="18" s="1"/>
  <c r="P117" i="18"/>
  <c r="R117" i="18" s="1"/>
  <c r="P164" i="18"/>
  <c r="R164" i="18" s="1"/>
  <c r="P202" i="18"/>
  <c r="P206" i="18"/>
  <c r="R206" i="18" s="1"/>
  <c r="P205" i="18"/>
  <c r="R205" i="18" s="1"/>
  <c r="P204" i="18"/>
  <c r="R204" i="18" s="1"/>
  <c r="P203" i="18"/>
  <c r="R203" i="18" s="1"/>
  <c r="P147" i="18"/>
  <c r="P146" i="18"/>
  <c r="R146" i="18" s="1"/>
  <c r="P71" i="18"/>
  <c r="R71" i="18" s="1"/>
  <c r="O15" i="17"/>
  <c r="P15" i="17" s="1"/>
  <c r="O12" i="17"/>
  <c r="P12" i="17" s="1"/>
  <c r="O16" i="17"/>
  <c r="P16" i="17" s="1"/>
  <c r="P7" i="18"/>
  <c r="P12" i="18"/>
  <c r="P9" i="18"/>
  <c r="P11" i="18"/>
  <c r="R11" i="18" s="1"/>
  <c r="P10" i="18"/>
  <c r="P8" i="18"/>
  <c r="J33" i="69"/>
  <c r="C33" i="69"/>
  <c r="C33" i="68"/>
  <c r="J33" i="68"/>
  <c r="J33" i="67"/>
  <c r="C33" i="67"/>
  <c r="Q9" i="18" l="1"/>
  <c r="Q71" i="18"/>
  <c r="Q204" i="18"/>
  <c r="Q164" i="18"/>
  <c r="Q189" i="18"/>
  <c r="Q83" i="18"/>
  <c r="Q160" i="18"/>
  <c r="Q112" i="18"/>
  <c r="Q192" i="18"/>
  <c r="Q128" i="18"/>
  <c r="Q69" i="18"/>
  <c r="Q43" i="18"/>
  <c r="Q142" i="18"/>
  <c r="Q39" i="18"/>
  <c r="Q24" i="18"/>
  <c r="Q191" i="18"/>
  <c r="Q129" i="18"/>
  <c r="Q97" i="18"/>
  <c r="Q166" i="18"/>
  <c r="Q143" i="18"/>
  <c r="Q12" i="18"/>
  <c r="Q146" i="18"/>
  <c r="Q205" i="18"/>
  <c r="Q117" i="18"/>
  <c r="Q127" i="18"/>
  <c r="Q113" i="18"/>
  <c r="Q41" i="18"/>
  <c r="Q100" i="18"/>
  <c r="Q67" i="18"/>
  <c r="Q70" i="18"/>
  <c r="Q26" i="18"/>
  <c r="Q161" i="18"/>
  <c r="Q84" i="18"/>
  <c r="Q115" i="18"/>
  <c r="Q172" i="18"/>
  <c r="Q159" i="18"/>
  <c r="Q82" i="18"/>
  <c r="Q176" i="18"/>
  <c r="Q10" i="18"/>
  <c r="Q7" i="18"/>
  <c r="Q147" i="18"/>
  <c r="Q206" i="18"/>
  <c r="Q37" i="18"/>
  <c r="Q116" i="18"/>
  <c r="Q190" i="18"/>
  <c r="Q25" i="18"/>
  <c r="Q98" i="18"/>
  <c r="Q188" i="18"/>
  <c r="Q38" i="18"/>
  <c r="Q174" i="18"/>
  <c r="Q145" i="18"/>
  <c r="Q187" i="18"/>
  <c r="Q130" i="18"/>
  <c r="Q157" i="18"/>
  <c r="Q165" i="18"/>
  <c r="Q173" i="18"/>
  <c r="Q45" i="18"/>
  <c r="Q8" i="18"/>
  <c r="Q11" i="18"/>
  <c r="Q203" i="18"/>
  <c r="Q202" i="18"/>
  <c r="Q27" i="18"/>
  <c r="Q158" i="18"/>
  <c r="Q175" i="18"/>
  <c r="Q163" i="18"/>
  <c r="Q23" i="18"/>
  <c r="Q99" i="18"/>
  <c r="Q68" i="18"/>
  <c r="Q44" i="18"/>
  <c r="Q42" i="18"/>
  <c r="Q144" i="18"/>
  <c r="Q85" i="18"/>
  <c r="Q114" i="18"/>
  <c r="Q162" i="18"/>
  <c r="Q40" i="18"/>
  <c r="O7" i="20"/>
  <c r="P7" i="20" s="1"/>
  <c r="O16" i="20"/>
  <c r="P16" i="20" s="1"/>
  <c r="O12" i="20"/>
  <c r="P12" i="20" s="1"/>
  <c r="O8" i="20"/>
  <c r="P8" i="20" s="1"/>
  <c r="O14" i="20"/>
  <c r="P14" i="20" s="1"/>
  <c r="O10" i="20"/>
  <c r="P10" i="20" s="1"/>
  <c r="O9" i="20"/>
  <c r="P9" i="20" s="1"/>
  <c r="O15" i="20"/>
  <c r="P15" i="20" s="1"/>
  <c r="O11" i="20"/>
  <c r="P11" i="20" s="1"/>
  <c r="O13" i="20"/>
  <c r="P13" i="20" s="1"/>
  <c r="D3" i="56"/>
  <c r="B1" i="56"/>
  <c r="I9" i="68" l="1"/>
  <c r="C9" i="67"/>
  <c r="E5" i="83"/>
  <c r="E16" i="81" s="1"/>
  <c r="B4" i="16"/>
  <c r="B6" i="16"/>
  <c r="B7" i="16"/>
  <c r="O5" i="83"/>
  <c r="J33" i="40"/>
  <c r="I9" i="40"/>
  <c r="C9" i="64"/>
  <c r="C33" i="64"/>
  <c r="K4" i="1"/>
  <c r="I9" i="64"/>
  <c r="C6" i="64" s="1"/>
  <c r="I9" i="66"/>
  <c r="C6" i="66" s="1"/>
  <c r="I9" i="65"/>
  <c r="I9" i="63"/>
  <c r="C6" i="63" s="1"/>
  <c r="H40" i="1"/>
  <c r="J32" i="60" s="1"/>
  <c r="I9" i="62"/>
  <c r="C9" i="62"/>
  <c r="C33" i="62"/>
  <c r="I9" i="61"/>
  <c r="C6" i="61" s="1"/>
  <c r="C9" i="61"/>
  <c r="C33" i="61"/>
  <c r="C5" i="61" s="1"/>
  <c r="I9" i="60"/>
  <c r="I9" i="69"/>
  <c r="C6" i="69" s="1"/>
  <c r="C33" i="66"/>
  <c r="C9" i="66"/>
  <c r="C33" i="65"/>
  <c r="C9" i="65"/>
  <c r="C33" i="63"/>
  <c r="C9" i="63"/>
  <c r="C33" i="60"/>
  <c r="C9" i="60"/>
  <c r="C33" i="59"/>
  <c r="C9" i="59"/>
  <c r="I9" i="59"/>
  <c r="C9" i="40"/>
  <c r="C33" i="40"/>
  <c r="O5" i="1"/>
  <c r="P5" i="1" s="1"/>
  <c r="N4" i="1"/>
  <c r="D4" i="1"/>
  <c r="C4" i="1"/>
  <c r="E4" i="1"/>
  <c r="F4" i="1"/>
  <c r="G4" i="1"/>
  <c r="H4" i="1"/>
  <c r="I4" i="1"/>
  <c r="J4" i="1"/>
  <c r="L4" i="1"/>
  <c r="M4" i="1"/>
  <c r="N40" i="1"/>
  <c r="J32" i="66" s="1"/>
  <c r="N33" i="66" s="1"/>
  <c r="O20" i="1"/>
  <c r="P20" i="1" s="1"/>
  <c r="D19" i="1"/>
  <c r="D40" i="1"/>
  <c r="J32" i="68" s="1"/>
  <c r="E19" i="1"/>
  <c r="E40" i="1"/>
  <c r="J32" i="69" s="1"/>
  <c r="C40" i="1"/>
  <c r="J32" i="67" s="1"/>
  <c r="N33" i="67" s="1"/>
  <c r="N45" i="67" s="1"/>
  <c r="N46" i="67" s="1"/>
  <c r="N47" i="67" s="1"/>
  <c r="N48" i="67" s="1"/>
  <c r="N49" i="67" s="1"/>
  <c r="N50" i="67" s="1"/>
  <c r="N51" i="67" s="1"/>
  <c r="N52" i="67" s="1"/>
  <c r="F40" i="1"/>
  <c r="J32" i="40" s="1"/>
  <c r="G40" i="1"/>
  <c r="J32" i="59" s="1"/>
  <c r="I40" i="1"/>
  <c r="J32" i="61" s="1"/>
  <c r="J40" i="1"/>
  <c r="J32" i="62" s="1"/>
  <c r="K40" i="1"/>
  <c r="J32" i="63" s="1"/>
  <c r="L40" i="1"/>
  <c r="J32" i="64" s="1"/>
  <c r="M40" i="1"/>
  <c r="J32" i="65" s="1"/>
  <c r="F19" i="1"/>
  <c r="G19" i="1"/>
  <c r="H19" i="1"/>
  <c r="C19" i="1"/>
  <c r="I19" i="1"/>
  <c r="J19" i="1"/>
  <c r="K19" i="1"/>
  <c r="L19" i="1"/>
  <c r="M19" i="1"/>
  <c r="N19" i="1"/>
  <c r="B19" i="21"/>
  <c r="B18" i="21"/>
  <c r="B17" i="21"/>
  <c r="B16" i="21"/>
  <c r="B15" i="21"/>
  <c r="B14" i="21"/>
  <c r="B13" i="21"/>
  <c r="B12" i="21"/>
  <c r="B11" i="21"/>
  <c r="B9" i="21"/>
  <c r="B8" i="21"/>
  <c r="B7" i="21"/>
  <c r="B5" i="21"/>
  <c r="B202" i="18"/>
  <c r="B187" i="18"/>
  <c r="B172" i="18"/>
  <c r="B157" i="18"/>
  <c r="B142" i="18"/>
  <c r="B127" i="18"/>
  <c r="B112" i="18"/>
  <c r="B97" i="18"/>
  <c r="B37" i="18"/>
  <c r="B22" i="18"/>
  <c r="O42" i="1"/>
  <c r="P42" i="1" s="1"/>
  <c r="O41" i="1"/>
  <c r="P41" i="1" s="1"/>
  <c r="O53" i="1"/>
  <c r="P53" i="1" s="1"/>
  <c r="B53" i="1"/>
  <c r="O52" i="1"/>
  <c r="P52" i="1" s="1"/>
  <c r="B52" i="1"/>
  <c r="O51" i="1"/>
  <c r="P51" i="1" s="1"/>
  <c r="B51" i="1"/>
  <c r="O50" i="1"/>
  <c r="P50" i="1" s="1"/>
  <c r="B50" i="1"/>
  <c r="O49" i="1"/>
  <c r="P49" i="1" s="1"/>
  <c r="B49" i="1"/>
  <c r="O48" i="1"/>
  <c r="P48" i="1" s="1"/>
  <c r="B48" i="1"/>
  <c r="O47" i="1"/>
  <c r="P47" i="1" s="1"/>
  <c r="B47" i="1"/>
  <c r="O46" i="1"/>
  <c r="P46" i="1" s="1"/>
  <c r="B46" i="1"/>
  <c r="O45" i="1"/>
  <c r="P45" i="1" s="1"/>
  <c r="B45" i="1"/>
  <c r="O43" i="1"/>
  <c r="P43" i="1" s="1"/>
  <c r="B43" i="1"/>
  <c r="B42" i="1"/>
  <c r="B41" i="1"/>
  <c r="B19" i="1"/>
  <c r="C9" i="69"/>
  <c r="C5" i="69" s="1"/>
  <c r="C5" i="67"/>
  <c r="C9" i="68"/>
  <c r="I9" i="67"/>
  <c r="C6" i="67" s="1"/>
  <c r="C5" i="66" l="1"/>
  <c r="C5" i="65"/>
  <c r="C5" i="63"/>
  <c r="C5" i="60"/>
  <c r="C5" i="59"/>
  <c r="C5" i="40"/>
  <c r="M17" i="16"/>
  <c r="M18" i="21" s="1"/>
  <c r="N33" i="65"/>
  <c r="L17" i="16"/>
  <c r="L18" i="21" s="1"/>
  <c r="N33" i="64"/>
  <c r="N45" i="64" s="1"/>
  <c r="K17" i="16"/>
  <c r="K18" i="21" s="1"/>
  <c r="N33" i="63"/>
  <c r="J17" i="16"/>
  <c r="J18" i="21" s="1"/>
  <c r="N33" i="62"/>
  <c r="N45" i="62" s="1"/>
  <c r="I17" i="16"/>
  <c r="N33" i="61"/>
  <c r="H17" i="16"/>
  <c r="N33" i="60"/>
  <c r="N45" i="60" s="1"/>
  <c r="N35" i="59"/>
  <c r="N36" i="59" s="1"/>
  <c r="N37" i="59" s="1"/>
  <c r="N38" i="59" s="1"/>
  <c r="N39" i="59" s="1"/>
  <c r="N40" i="59" s="1"/>
  <c r="N41" i="59" s="1"/>
  <c r="N42" i="59" s="1"/>
  <c r="N43" i="59" s="1"/>
  <c r="N44" i="59" s="1"/>
  <c r="N46" i="59" s="1"/>
  <c r="N47" i="59" s="1"/>
  <c r="N48" i="59" s="1"/>
  <c r="N49" i="59" s="1"/>
  <c r="N50" i="59" s="1"/>
  <c r="N51" i="59" s="1"/>
  <c r="N52" i="59" s="1"/>
  <c r="N53" i="59" s="1"/>
  <c r="N54" i="59" s="1"/>
  <c r="N55" i="59" s="1"/>
  <c r="N56" i="59" s="1"/>
  <c r="N57" i="59" s="1"/>
  <c r="N58" i="59" s="1"/>
  <c r="N59" i="59" s="1"/>
  <c r="N60" i="59" s="1"/>
  <c r="N61" i="59" s="1"/>
  <c r="N62" i="59" s="1"/>
  <c r="N63" i="59" s="1"/>
  <c r="N64" i="59" s="1"/>
  <c r="N65" i="59" s="1"/>
  <c r="N66" i="59" s="1"/>
  <c r="N67" i="59" s="1"/>
  <c r="N68" i="59" s="1"/>
  <c r="N69" i="59" s="1"/>
  <c r="N70" i="59" s="1"/>
  <c r="N71" i="59" s="1"/>
  <c r="N72" i="59" s="1"/>
  <c r="N73" i="59" s="1"/>
  <c r="N74" i="59" s="1"/>
  <c r="N75" i="59" s="1"/>
  <c r="N76" i="59" s="1"/>
  <c r="N77" i="59" s="1"/>
  <c r="N78" i="59" s="1"/>
  <c r="N79" i="59" s="1"/>
  <c r="N80" i="59" s="1"/>
  <c r="N81" i="59" s="1"/>
  <c r="N82" i="59" s="1"/>
  <c r="N83" i="59" s="1"/>
  <c r="N84" i="59" s="1"/>
  <c r="N85" i="59" s="1"/>
  <c r="N86" i="59" s="1"/>
  <c r="N87" i="59" s="1"/>
  <c r="N88" i="59" s="1"/>
  <c r="N89" i="59" s="1"/>
  <c r="N90" i="59" s="1"/>
  <c r="N91" i="59" s="1"/>
  <c r="N92" i="59" s="1"/>
  <c r="N93" i="59" s="1"/>
  <c r="N94" i="59" s="1"/>
  <c r="N33" i="59"/>
  <c r="N45" i="59" s="1"/>
  <c r="E17" i="16"/>
  <c r="N33" i="69"/>
  <c r="N45" i="69" s="1"/>
  <c r="D17" i="16"/>
  <c r="D18" i="21" s="1"/>
  <c r="N33" i="68"/>
  <c r="N45" i="68" s="1"/>
  <c r="N46" i="68" s="1"/>
  <c r="N47" i="68" s="1"/>
  <c r="N48" i="68" s="1"/>
  <c r="N35" i="40"/>
  <c r="N36" i="40" s="1"/>
  <c r="N37" i="40" s="1"/>
  <c r="N38" i="40" s="1"/>
  <c r="N39" i="40" s="1"/>
  <c r="N40" i="40" s="1"/>
  <c r="N41" i="40" s="1"/>
  <c r="N42" i="40" s="1"/>
  <c r="N43" i="40" s="1"/>
  <c r="N44" i="40" s="1"/>
  <c r="N46" i="40" s="1"/>
  <c r="N47" i="40" s="1"/>
  <c r="N48" i="40" s="1"/>
  <c r="N49" i="40" s="1"/>
  <c r="N50" i="40" s="1"/>
  <c r="N51" i="40" s="1"/>
  <c r="N52" i="40" s="1"/>
  <c r="N53" i="40" s="1"/>
  <c r="N54" i="40" s="1"/>
  <c r="N55" i="40" s="1"/>
  <c r="N56" i="40" s="1"/>
  <c r="N57" i="40" s="1"/>
  <c r="N58" i="40" s="1"/>
  <c r="N59" i="40" s="1"/>
  <c r="N60" i="40" s="1"/>
  <c r="N61" i="40" s="1"/>
  <c r="N62" i="40" s="1"/>
  <c r="N63" i="40" s="1"/>
  <c r="N64" i="40" s="1"/>
  <c r="N65" i="40" s="1"/>
  <c r="N66" i="40" s="1"/>
  <c r="N67" i="40" s="1"/>
  <c r="N68" i="40" s="1"/>
  <c r="N69" i="40" s="1"/>
  <c r="N70" i="40" s="1"/>
  <c r="N71" i="40" s="1"/>
  <c r="N72" i="40" s="1"/>
  <c r="N73" i="40" s="1"/>
  <c r="N74" i="40" s="1"/>
  <c r="N75" i="40" s="1"/>
  <c r="N76" i="40" s="1"/>
  <c r="N77" i="40" s="1"/>
  <c r="N78" i="40" s="1"/>
  <c r="N79" i="40" s="1"/>
  <c r="N80" i="40" s="1"/>
  <c r="N81" i="40" s="1"/>
  <c r="N82" i="40" s="1"/>
  <c r="N83" i="40" s="1"/>
  <c r="N84" i="40" s="1"/>
  <c r="N85" i="40" s="1"/>
  <c r="N86" i="40" s="1"/>
  <c r="N87" i="40" s="1"/>
  <c r="N88" i="40" s="1"/>
  <c r="N89" i="40" s="1"/>
  <c r="N90" i="40" s="1"/>
  <c r="N91" i="40" s="1"/>
  <c r="N92" i="40" s="1"/>
  <c r="N93" i="40" s="1"/>
  <c r="N94" i="40" s="1"/>
  <c r="N33" i="40"/>
  <c r="J54" i="1"/>
  <c r="J55" i="1" s="1"/>
  <c r="N17" i="16"/>
  <c r="N6" i="16"/>
  <c r="L54" i="1"/>
  <c r="L55" i="1" s="1"/>
  <c r="C54" i="1"/>
  <c r="C55" i="1" s="1"/>
  <c r="N35" i="65"/>
  <c r="N36" i="65" s="1"/>
  <c r="N37" i="65" s="1"/>
  <c r="N38" i="65" s="1"/>
  <c r="N39" i="65" s="1"/>
  <c r="N40" i="65" s="1"/>
  <c r="N41" i="65" s="1"/>
  <c r="N42" i="65" s="1"/>
  <c r="N43" i="65" s="1"/>
  <c r="N44" i="65" s="1"/>
  <c r="N46" i="65" s="1"/>
  <c r="N47" i="65" s="1"/>
  <c r="N48" i="65" s="1"/>
  <c r="N49" i="65" s="1"/>
  <c r="N50" i="65" s="1"/>
  <c r="N51" i="65" s="1"/>
  <c r="N52" i="65" s="1"/>
  <c r="N53" i="65" s="1"/>
  <c r="N54" i="65" s="1"/>
  <c r="N55" i="65" s="1"/>
  <c r="N56" i="65" s="1"/>
  <c r="N57" i="65" s="1"/>
  <c r="N58" i="65" s="1"/>
  <c r="N59" i="65" s="1"/>
  <c r="N60" i="65" s="1"/>
  <c r="N61" i="65" s="1"/>
  <c r="N62" i="65" s="1"/>
  <c r="N63" i="65" s="1"/>
  <c r="N64" i="65" s="1"/>
  <c r="N65" i="65" s="1"/>
  <c r="N66" i="65" s="1"/>
  <c r="N67" i="65" s="1"/>
  <c r="N68" i="65" s="1"/>
  <c r="N69" i="65" s="1"/>
  <c r="N70" i="65" s="1"/>
  <c r="N71" i="65" s="1"/>
  <c r="N72" i="65" s="1"/>
  <c r="N73" i="65" s="1"/>
  <c r="N74" i="65" s="1"/>
  <c r="N75" i="65" s="1"/>
  <c r="N76" i="65" s="1"/>
  <c r="N77" i="65" s="1"/>
  <c r="N78" i="65" s="1"/>
  <c r="N79" i="65" s="1"/>
  <c r="N80" i="65" s="1"/>
  <c r="N81" i="65" s="1"/>
  <c r="N82" i="65" s="1"/>
  <c r="N83" i="65" s="1"/>
  <c r="N84" i="65" s="1"/>
  <c r="N85" i="65" s="1"/>
  <c r="N86" i="65" s="1"/>
  <c r="N87" i="65" s="1"/>
  <c r="N88" i="65" s="1"/>
  <c r="N89" i="65" s="1"/>
  <c r="N90" i="65" s="1"/>
  <c r="N91" i="65" s="1"/>
  <c r="N92" i="65" s="1"/>
  <c r="N93" i="65" s="1"/>
  <c r="N94" i="65" s="1"/>
  <c r="N54" i="1"/>
  <c r="N55" i="1" s="1"/>
  <c r="G54" i="1"/>
  <c r="G55" i="1" s="1"/>
  <c r="H54" i="1"/>
  <c r="H55" i="1" s="1"/>
  <c r="N35" i="66"/>
  <c r="N36" i="66" s="1"/>
  <c r="N37" i="66" s="1"/>
  <c r="N38" i="66" s="1"/>
  <c r="N39" i="66" s="1"/>
  <c r="N40" i="66" s="1"/>
  <c r="N41" i="66" s="1"/>
  <c r="N42" i="66" s="1"/>
  <c r="N43" i="66" s="1"/>
  <c r="N44" i="66" s="1"/>
  <c r="N46" i="66" s="1"/>
  <c r="N47" i="66" s="1"/>
  <c r="N48" i="66" s="1"/>
  <c r="N49" i="66" s="1"/>
  <c r="N50" i="66" s="1"/>
  <c r="N51" i="66" s="1"/>
  <c r="N52" i="66" s="1"/>
  <c r="N53" i="66" s="1"/>
  <c r="N54" i="66" s="1"/>
  <c r="N55" i="66" s="1"/>
  <c r="N56" i="66" s="1"/>
  <c r="N57" i="66" s="1"/>
  <c r="N58" i="66" s="1"/>
  <c r="N59" i="66" s="1"/>
  <c r="N60" i="66" s="1"/>
  <c r="N61" i="66" s="1"/>
  <c r="N62" i="66" s="1"/>
  <c r="N63" i="66" s="1"/>
  <c r="N64" i="66" s="1"/>
  <c r="N65" i="66" s="1"/>
  <c r="N66" i="66" s="1"/>
  <c r="N67" i="66" s="1"/>
  <c r="N68" i="66" s="1"/>
  <c r="N69" i="66" s="1"/>
  <c r="N70" i="66" s="1"/>
  <c r="N71" i="66" s="1"/>
  <c r="N72" i="66" s="1"/>
  <c r="N73" i="66" s="1"/>
  <c r="N74" i="66" s="1"/>
  <c r="N75" i="66" s="1"/>
  <c r="N76" i="66" s="1"/>
  <c r="N77" i="66" s="1"/>
  <c r="N78" i="66" s="1"/>
  <c r="N79" i="66" s="1"/>
  <c r="N80" i="66" s="1"/>
  <c r="N81" i="66" s="1"/>
  <c r="N82" i="66" s="1"/>
  <c r="N83" i="66" s="1"/>
  <c r="N84" i="66" s="1"/>
  <c r="N85" i="66" s="1"/>
  <c r="N86" i="66" s="1"/>
  <c r="N87" i="66" s="1"/>
  <c r="N88" i="66" s="1"/>
  <c r="N89" i="66" s="1"/>
  <c r="N90" i="66" s="1"/>
  <c r="N91" i="66" s="1"/>
  <c r="N92" i="66" s="1"/>
  <c r="N93" i="66" s="1"/>
  <c r="N94" i="66" s="1"/>
  <c r="E54" i="1"/>
  <c r="E55" i="1" s="1"/>
  <c r="N35" i="69"/>
  <c r="N36" i="69" s="1"/>
  <c r="N37" i="69" s="1"/>
  <c r="N38" i="69" s="1"/>
  <c r="N39" i="69" s="1"/>
  <c r="N40" i="69" s="1"/>
  <c r="N41" i="69" s="1"/>
  <c r="N42" i="69" s="1"/>
  <c r="N43" i="69" s="1"/>
  <c r="N44" i="69" s="1"/>
  <c r="N47" i="69" s="1"/>
  <c r="N48" i="69" s="1"/>
  <c r="N49" i="69" s="1"/>
  <c r="N50" i="69" s="1"/>
  <c r="N51" i="69" s="1"/>
  <c r="N52" i="69" s="1"/>
  <c r="N53" i="69" s="1"/>
  <c r="N54" i="69" s="1"/>
  <c r="N55" i="69" s="1"/>
  <c r="N56" i="69" s="1"/>
  <c r="N57" i="69" s="1"/>
  <c r="N58" i="69" s="1"/>
  <c r="N59" i="69" s="1"/>
  <c r="N60" i="69" s="1"/>
  <c r="N61" i="69" s="1"/>
  <c r="N62" i="69" s="1"/>
  <c r="N63" i="69" s="1"/>
  <c r="N64" i="69" s="1"/>
  <c r="N65" i="69" s="1"/>
  <c r="N66" i="69" s="1"/>
  <c r="N67" i="69" s="1"/>
  <c r="N68" i="69" s="1"/>
  <c r="N69" i="69" s="1"/>
  <c r="N70" i="69" s="1"/>
  <c r="N71" i="69" s="1"/>
  <c r="N72" i="69" s="1"/>
  <c r="N73" i="69" s="1"/>
  <c r="N74" i="69" s="1"/>
  <c r="N75" i="69" s="1"/>
  <c r="N76" i="69" s="1"/>
  <c r="N77" i="69" s="1"/>
  <c r="N78" i="69" s="1"/>
  <c r="N79" i="69" s="1"/>
  <c r="N80" i="69" s="1"/>
  <c r="N81" i="69" s="1"/>
  <c r="N82" i="69" s="1"/>
  <c r="N83" i="69" s="1"/>
  <c r="N84" i="69" s="1"/>
  <c r="N85" i="69" s="1"/>
  <c r="N86" i="69" s="1"/>
  <c r="N87" i="69" s="1"/>
  <c r="N88" i="69" s="1"/>
  <c r="N89" i="69" s="1"/>
  <c r="N90" i="69" s="1"/>
  <c r="N91" i="69" s="1"/>
  <c r="N92" i="69" s="1"/>
  <c r="N93" i="69" s="1"/>
  <c r="N94" i="69" s="1"/>
  <c r="M54" i="1"/>
  <c r="M55" i="1" s="1"/>
  <c r="I54" i="1"/>
  <c r="I55" i="1" s="1"/>
  <c r="N35" i="60"/>
  <c r="N36" i="60" s="1"/>
  <c r="N37" i="60" s="1"/>
  <c r="N38" i="60" s="1"/>
  <c r="N39" i="60" s="1"/>
  <c r="N40" i="60" s="1"/>
  <c r="N41" i="60" s="1"/>
  <c r="N42" i="60" s="1"/>
  <c r="N43" i="60" s="1"/>
  <c r="N44" i="60" s="1"/>
  <c r="N46" i="60" s="1"/>
  <c r="N47" i="60" s="1"/>
  <c r="N48" i="60" s="1"/>
  <c r="N49" i="60" s="1"/>
  <c r="N50" i="60" s="1"/>
  <c r="N51" i="60" s="1"/>
  <c r="N52" i="60" s="1"/>
  <c r="N53" i="60" s="1"/>
  <c r="N54" i="60" s="1"/>
  <c r="N55" i="60" s="1"/>
  <c r="N56" i="60" s="1"/>
  <c r="N57" i="60" s="1"/>
  <c r="N58" i="60" s="1"/>
  <c r="N59" i="60" s="1"/>
  <c r="N60" i="60" s="1"/>
  <c r="N61" i="60" s="1"/>
  <c r="N62" i="60" s="1"/>
  <c r="N63" i="60" s="1"/>
  <c r="N64" i="60" s="1"/>
  <c r="N65" i="60" s="1"/>
  <c r="N66" i="60" s="1"/>
  <c r="N67" i="60" s="1"/>
  <c r="N68" i="60" s="1"/>
  <c r="N69" i="60" s="1"/>
  <c r="N70" i="60" s="1"/>
  <c r="N71" i="60" s="1"/>
  <c r="N72" i="60" s="1"/>
  <c r="N73" i="60" s="1"/>
  <c r="N74" i="60" s="1"/>
  <c r="N75" i="60" s="1"/>
  <c r="N76" i="60" s="1"/>
  <c r="N77" i="60" s="1"/>
  <c r="N78" i="60" s="1"/>
  <c r="N79" i="60" s="1"/>
  <c r="N80" i="60" s="1"/>
  <c r="N81" i="60" s="1"/>
  <c r="N82" i="60" s="1"/>
  <c r="N83" i="60" s="1"/>
  <c r="N84" i="60" s="1"/>
  <c r="N85" i="60" s="1"/>
  <c r="N86" i="60" s="1"/>
  <c r="N87" i="60" s="1"/>
  <c r="N88" i="60" s="1"/>
  <c r="N89" i="60" s="1"/>
  <c r="N90" i="60" s="1"/>
  <c r="N91" i="60" s="1"/>
  <c r="N92" i="60" s="1"/>
  <c r="N93" i="60" s="1"/>
  <c r="N94" i="60" s="1"/>
  <c r="N35" i="63"/>
  <c r="N36" i="63" s="1"/>
  <c r="N37" i="63" s="1"/>
  <c r="N38" i="63" s="1"/>
  <c r="N39" i="63" s="1"/>
  <c r="N40" i="63" s="1"/>
  <c r="N41" i="63" s="1"/>
  <c r="N42" i="63" s="1"/>
  <c r="N43" i="63" s="1"/>
  <c r="N44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O40" i="1"/>
  <c r="P40" i="1" s="1"/>
  <c r="N35" i="67"/>
  <c r="N36" i="67" s="1"/>
  <c r="N37" i="67" s="1"/>
  <c r="N38" i="67" s="1"/>
  <c r="N39" i="67" s="1"/>
  <c r="N40" i="67" s="1"/>
  <c r="N41" i="67" s="1"/>
  <c r="N42" i="67" s="1"/>
  <c r="N43" i="67" s="1"/>
  <c r="N44" i="67" s="1"/>
  <c r="C17" i="16"/>
  <c r="D54" i="1"/>
  <c r="D55" i="1" s="1"/>
  <c r="F17" i="16"/>
  <c r="F54" i="1"/>
  <c r="F55" i="1" s="1"/>
  <c r="K54" i="1"/>
  <c r="K55" i="1" s="1"/>
  <c r="N35" i="62"/>
  <c r="N36" i="62" s="1"/>
  <c r="N37" i="62" s="1"/>
  <c r="N38" i="62" s="1"/>
  <c r="N39" i="62" s="1"/>
  <c r="N40" i="62" s="1"/>
  <c r="N41" i="62" s="1"/>
  <c r="N42" i="62" s="1"/>
  <c r="N43" i="62" s="1"/>
  <c r="N44" i="62" s="1"/>
  <c r="N46" i="62" s="1"/>
  <c r="N47" i="62" s="1"/>
  <c r="N48" i="62" s="1"/>
  <c r="N49" i="62" s="1"/>
  <c r="N50" i="62" s="1"/>
  <c r="N51" i="62" s="1"/>
  <c r="N52" i="62" s="1"/>
  <c r="N53" i="62" s="1"/>
  <c r="N54" i="62" s="1"/>
  <c r="N55" i="62" s="1"/>
  <c r="N56" i="62" s="1"/>
  <c r="N57" i="62" s="1"/>
  <c r="N58" i="62" s="1"/>
  <c r="N59" i="62" s="1"/>
  <c r="N60" i="62" s="1"/>
  <c r="N61" i="62" s="1"/>
  <c r="N62" i="62" s="1"/>
  <c r="N63" i="62" s="1"/>
  <c r="N64" i="62" s="1"/>
  <c r="N65" i="62" s="1"/>
  <c r="N66" i="62" s="1"/>
  <c r="N67" i="62" s="1"/>
  <c r="N68" i="62" s="1"/>
  <c r="N69" i="62" s="1"/>
  <c r="N70" i="62" s="1"/>
  <c r="N71" i="62" s="1"/>
  <c r="N72" i="62" s="1"/>
  <c r="N73" i="62" s="1"/>
  <c r="N74" i="62" s="1"/>
  <c r="N75" i="62" s="1"/>
  <c r="N76" i="62" s="1"/>
  <c r="N77" i="62" s="1"/>
  <c r="N78" i="62" s="1"/>
  <c r="N79" i="62" s="1"/>
  <c r="N80" i="62" s="1"/>
  <c r="N81" i="62" s="1"/>
  <c r="N82" i="62" s="1"/>
  <c r="N83" i="62" s="1"/>
  <c r="N84" i="62" s="1"/>
  <c r="N85" i="62" s="1"/>
  <c r="N86" i="62" s="1"/>
  <c r="N87" i="62" s="1"/>
  <c r="N88" i="62" s="1"/>
  <c r="N89" i="62" s="1"/>
  <c r="N90" i="62" s="1"/>
  <c r="N91" i="62" s="1"/>
  <c r="N92" i="62" s="1"/>
  <c r="N93" i="62" s="1"/>
  <c r="N94" i="62" s="1"/>
  <c r="N35" i="64"/>
  <c r="N36" i="64" s="1"/>
  <c r="N37" i="64" s="1"/>
  <c r="N38" i="64" s="1"/>
  <c r="N39" i="64" s="1"/>
  <c r="N40" i="64" s="1"/>
  <c r="N41" i="64" s="1"/>
  <c r="N42" i="64" s="1"/>
  <c r="N43" i="64" s="1"/>
  <c r="N44" i="64" s="1"/>
  <c r="N46" i="64" s="1"/>
  <c r="N47" i="64" s="1"/>
  <c r="N48" i="64" s="1"/>
  <c r="N49" i="64" s="1"/>
  <c r="N50" i="64" s="1"/>
  <c r="N51" i="64" s="1"/>
  <c r="N52" i="64" s="1"/>
  <c r="N53" i="64" s="1"/>
  <c r="N54" i="64" s="1"/>
  <c r="N55" i="64" s="1"/>
  <c r="N56" i="64" s="1"/>
  <c r="N57" i="64" s="1"/>
  <c r="N58" i="64" s="1"/>
  <c r="N59" i="64" s="1"/>
  <c r="N60" i="64" s="1"/>
  <c r="N61" i="64" s="1"/>
  <c r="N62" i="64" s="1"/>
  <c r="N63" i="64" s="1"/>
  <c r="N64" i="64" s="1"/>
  <c r="N65" i="64" s="1"/>
  <c r="N66" i="64" s="1"/>
  <c r="N67" i="64" s="1"/>
  <c r="N68" i="64" s="1"/>
  <c r="N69" i="64" s="1"/>
  <c r="N70" i="64" s="1"/>
  <c r="N71" i="64" s="1"/>
  <c r="N72" i="64" s="1"/>
  <c r="N73" i="64" s="1"/>
  <c r="N74" i="64" s="1"/>
  <c r="N75" i="64" s="1"/>
  <c r="N76" i="64" s="1"/>
  <c r="N77" i="64" s="1"/>
  <c r="N78" i="64" s="1"/>
  <c r="N79" i="64" s="1"/>
  <c r="N80" i="64" s="1"/>
  <c r="N81" i="64" s="1"/>
  <c r="N82" i="64" s="1"/>
  <c r="N83" i="64" s="1"/>
  <c r="N84" i="64" s="1"/>
  <c r="N85" i="64" s="1"/>
  <c r="N86" i="64" s="1"/>
  <c r="N87" i="64" s="1"/>
  <c r="N88" i="64" s="1"/>
  <c r="N89" i="64" s="1"/>
  <c r="N90" i="64" s="1"/>
  <c r="N91" i="64" s="1"/>
  <c r="N92" i="64" s="1"/>
  <c r="N93" i="64" s="1"/>
  <c r="N94" i="64" s="1"/>
  <c r="N35" i="61"/>
  <c r="N36" i="61" s="1"/>
  <c r="N37" i="61" s="1"/>
  <c r="N38" i="61" s="1"/>
  <c r="N39" i="61" s="1"/>
  <c r="N40" i="61" s="1"/>
  <c r="N41" i="61" s="1"/>
  <c r="N42" i="61" s="1"/>
  <c r="N43" i="61" s="1"/>
  <c r="N44" i="61" s="1"/>
  <c r="N46" i="61" s="1"/>
  <c r="N47" i="61" s="1"/>
  <c r="N48" i="61" s="1"/>
  <c r="N49" i="61" s="1"/>
  <c r="N50" i="61" s="1"/>
  <c r="N51" i="61" s="1"/>
  <c r="N52" i="61" s="1"/>
  <c r="N53" i="61" s="1"/>
  <c r="N54" i="61" s="1"/>
  <c r="N55" i="61" s="1"/>
  <c r="N56" i="61" s="1"/>
  <c r="N57" i="61" s="1"/>
  <c r="N58" i="61" s="1"/>
  <c r="N59" i="61" s="1"/>
  <c r="N60" i="61" s="1"/>
  <c r="N61" i="61" s="1"/>
  <c r="N62" i="61" s="1"/>
  <c r="N63" i="61" s="1"/>
  <c r="N64" i="61" s="1"/>
  <c r="N65" i="61" s="1"/>
  <c r="N66" i="61" s="1"/>
  <c r="N67" i="61" s="1"/>
  <c r="N68" i="61" s="1"/>
  <c r="N69" i="61" s="1"/>
  <c r="N70" i="61" s="1"/>
  <c r="N71" i="61" s="1"/>
  <c r="N72" i="61" s="1"/>
  <c r="N73" i="61" s="1"/>
  <c r="N74" i="61" s="1"/>
  <c r="N75" i="61" s="1"/>
  <c r="N76" i="61" s="1"/>
  <c r="N77" i="61" s="1"/>
  <c r="N78" i="61" s="1"/>
  <c r="N79" i="61" s="1"/>
  <c r="N80" i="61" s="1"/>
  <c r="N81" i="61" s="1"/>
  <c r="N82" i="61" s="1"/>
  <c r="N83" i="61" s="1"/>
  <c r="N84" i="61" s="1"/>
  <c r="N85" i="61" s="1"/>
  <c r="N86" i="61" s="1"/>
  <c r="N87" i="61" s="1"/>
  <c r="N88" i="61" s="1"/>
  <c r="N89" i="61" s="1"/>
  <c r="N90" i="61" s="1"/>
  <c r="N91" i="61" s="1"/>
  <c r="N92" i="61" s="1"/>
  <c r="N93" i="61" s="1"/>
  <c r="N94" i="61" s="1"/>
  <c r="C4" i="16"/>
  <c r="C5" i="21" s="1"/>
  <c r="O4" i="1"/>
  <c r="P4" i="1" s="1"/>
  <c r="C6" i="40"/>
  <c r="C7" i="40" s="1"/>
  <c r="C5" i="64"/>
  <c r="C7" i="64" s="1"/>
  <c r="B24" i="16"/>
  <c r="C10" i="16"/>
  <c r="C11" i="21" s="1"/>
  <c r="B20" i="16"/>
  <c r="C6" i="16"/>
  <c r="B32" i="16"/>
  <c r="C18" i="16"/>
  <c r="C19" i="21" s="1"/>
  <c r="B27" i="16"/>
  <c r="C13" i="16"/>
  <c r="C14" i="21" s="1"/>
  <c r="B23" i="16"/>
  <c r="C9" i="16"/>
  <c r="B30" i="16"/>
  <c r="C16" i="16"/>
  <c r="C17" i="21" s="1"/>
  <c r="B26" i="16"/>
  <c r="C12" i="16"/>
  <c r="B22" i="16"/>
  <c r="C8" i="16"/>
  <c r="B29" i="16"/>
  <c r="C15" i="16"/>
  <c r="C16" i="21" s="1"/>
  <c r="B21" i="16"/>
  <c r="C7" i="16"/>
  <c r="B28" i="16"/>
  <c r="C14" i="16"/>
  <c r="B25" i="16"/>
  <c r="C11" i="16"/>
  <c r="Q4" i="94"/>
  <c r="C7" i="66"/>
  <c r="C5" i="62"/>
  <c r="P132" i="18"/>
  <c r="P150" i="18"/>
  <c r="P199" i="18"/>
  <c r="P152" i="18"/>
  <c r="P186" i="18"/>
  <c r="P122" i="18"/>
  <c r="P169" i="18"/>
  <c r="P29" i="18"/>
  <c r="P78" i="18"/>
  <c r="P138" i="18"/>
  <c r="P118" i="18"/>
  <c r="P134" i="18"/>
  <c r="P94" i="18"/>
  <c r="P50" i="18"/>
  <c r="P214" i="18"/>
  <c r="P198" i="18"/>
  <c r="P179" i="18"/>
  <c r="P102" i="18"/>
  <c r="P75" i="18"/>
  <c r="P46" i="18"/>
  <c r="P201" i="18"/>
  <c r="P131" i="18"/>
  <c r="R131" i="18" s="1"/>
  <c r="P120" i="18"/>
  <c r="P109" i="18"/>
  <c r="P36" i="18"/>
  <c r="P208" i="18"/>
  <c r="P181" i="18"/>
  <c r="P170" i="18"/>
  <c r="P16" i="18"/>
  <c r="P33" i="18"/>
  <c r="P195" i="18"/>
  <c r="P183" i="18"/>
  <c r="P96" i="18"/>
  <c r="P148" i="18"/>
  <c r="P182" i="18"/>
  <c r="P141" i="18"/>
  <c r="P49" i="18"/>
  <c r="P137" i="18"/>
  <c r="P123" i="18"/>
  <c r="P210" i="18"/>
  <c r="P136" i="18"/>
  <c r="P215" i="18"/>
  <c r="P213" i="18"/>
  <c r="P167" i="18"/>
  <c r="P105" i="18"/>
  <c r="P79" i="18"/>
  <c r="P47" i="18"/>
  <c r="P30" i="18"/>
  <c r="P177" i="18"/>
  <c r="P155" i="18"/>
  <c r="P95" i="18"/>
  <c r="P72" i="18"/>
  <c r="P18" i="18"/>
  <c r="P28" i="18"/>
  <c r="P125" i="18"/>
  <c r="P86" i="18"/>
  <c r="P34" i="18"/>
  <c r="P93" i="18"/>
  <c r="P194" i="18"/>
  <c r="P92" i="18"/>
  <c r="P197" i="18"/>
  <c r="P119" i="18"/>
  <c r="P107" i="18"/>
  <c r="P31" i="18"/>
  <c r="P76" i="18"/>
  <c r="P110" i="18"/>
  <c r="P89" i="18"/>
  <c r="P48" i="18"/>
  <c r="P32" i="18"/>
  <c r="P211" i="18"/>
  <c r="P209" i="18"/>
  <c r="P139" i="18"/>
  <c r="P101" i="18"/>
  <c r="P74" i="18"/>
  <c r="P35" i="18"/>
  <c r="P81" i="18"/>
  <c r="P77" i="18"/>
  <c r="P73" i="18"/>
  <c r="P216" i="18"/>
  <c r="P200" i="18"/>
  <c r="P151" i="18"/>
  <c r="P91" i="18"/>
  <c r="P51" i="18"/>
  <c r="P19" i="18"/>
  <c r="P14" i="18"/>
  <c r="P17" i="18"/>
  <c r="P140" i="18"/>
  <c r="P154" i="18"/>
  <c r="P184" i="18"/>
  <c r="P104" i="18"/>
  <c r="P153" i="18"/>
  <c r="P171" i="18"/>
  <c r="P193" i="18"/>
  <c r="P111" i="18"/>
  <c r="P133" i="18"/>
  <c r="P103" i="18"/>
  <c r="P180" i="18"/>
  <c r="P108" i="18"/>
  <c r="P90" i="18"/>
  <c r="P126" i="18"/>
  <c r="P168" i="18"/>
  <c r="P149" i="18"/>
  <c r="P121" i="18"/>
  <c r="P106" i="18"/>
  <c r="P80" i="18"/>
  <c r="P207" i="18"/>
  <c r="R207" i="18" s="1"/>
  <c r="P178" i="18"/>
  <c r="P156" i="18"/>
  <c r="P135" i="18"/>
  <c r="P124" i="18"/>
  <c r="P88" i="18"/>
  <c r="P212" i="18"/>
  <c r="P196" i="18"/>
  <c r="P185" i="18"/>
  <c r="P87" i="18"/>
  <c r="P20" i="18"/>
  <c r="P15" i="18"/>
  <c r="P13" i="18"/>
  <c r="O19" i="1"/>
  <c r="P19" i="1" s="1"/>
  <c r="J13" i="16"/>
  <c r="J14" i="21" s="1"/>
  <c r="F13" i="16"/>
  <c r="N13" i="16"/>
  <c r="N14" i="21" s="1"/>
  <c r="I13" i="16"/>
  <c r="I14" i="21" s="1"/>
  <c r="E13" i="16"/>
  <c r="M13" i="16"/>
  <c r="M14" i="21" s="1"/>
  <c r="H13" i="16"/>
  <c r="H14" i="21" s="1"/>
  <c r="D13" i="16"/>
  <c r="L13" i="16"/>
  <c r="L14" i="21" s="1"/>
  <c r="K13" i="16"/>
  <c r="K14" i="21" s="1"/>
  <c r="L14" i="16"/>
  <c r="K14" i="16"/>
  <c r="K15" i="21" s="1"/>
  <c r="J14" i="16"/>
  <c r="F14" i="16"/>
  <c r="F15" i="21" s="1"/>
  <c r="H14" i="16"/>
  <c r="H15" i="21" s="1"/>
  <c r="D14" i="16"/>
  <c r="D15" i="21" s="1"/>
  <c r="N14" i="16"/>
  <c r="I14" i="16"/>
  <c r="I15" i="21" s="1"/>
  <c r="E14" i="16"/>
  <c r="E15" i="21" s="1"/>
  <c r="M14" i="16"/>
  <c r="M15" i="21" s="1"/>
  <c r="L10" i="16"/>
  <c r="L11" i="21" s="1"/>
  <c r="K10" i="16"/>
  <c r="K11" i="21" s="1"/>
  <c r="E10" i="16"/>
  <c r="E11" i="21" s="1"/>
  <c r="J10" i="16"/>
  <c r="J11" i="21" s="1"/>
  <c r="F10" i="16"/>
  <c r="F11" i="21" s="1"/>
  <c r="N10" i="16"/>
  <c r="N11" i="21" s="1"/>
  <c r="I10" i="16"/>
  <c r="I11" i="21" s="1"/>
  <c r="H10" i="16"/>
  <c r="H11" i="21" s="1"/>
  <c r="D10" i="16"/>
  <c r="D11" i="21" s="1"/>
  <c r="M10" i="16"/>
  <c r="M11" i="21" s="1"/>
  <c r="K6" i="16"/>
  <c r="H6" i="16"/>
  <c r="J6" i="16"/>
  <c r="F6" i="16"/>
  <c r="I6" i="16"/>
  <c r="E6" i="16"/>
  <c r="D6" i="16"/>
  <c r="M6" i="16"/>
  <c r="L6" i="16"/>
  <c r="J9" i="16"/>
  <c r="J10" i="21" s="1"/>
  <c r="F9" i="16"/>
  <c r="F10" i="21" s="1"/>
  <c r="D9" i="16"/>
  <c r="D10" i="21" s="1"/>
  <c r="N9" i="16"/>
  <c r="N10" i="21" s="1"/>
  <c r="I9" i="16"/>
  <c r="I10" i="21" s="1"/>
  <c r="E9" i="16"/>
  <c r="E10" i="21" s="1"/>
  <c r="M9" i="16"/>
  <c r="M10" i="21" s="1"/>
  <c r="H9" i="16"/>
  <c r="H10" i="21" s="1"/>
  <c r="L9" i="16"/>
  <c r="L10" i="21" s="1"/>
  <c r="K9" i="16"/>
  <c r="K10" i="21" s="1"/>
  <c r="N16" i="16"/>
  <c r="N17" i="21" s="1"/>
  <c r="I16" i="16"/>
  <c r="I17" i="21" s="1"/>
  <c r="E16" i="16"/>
  <c r="E17" i="21" s="1"/>
  <c r="F16" i="16"/>
  <c r="F17" i="21" s="1"/>
  <c r="M16" i="16"/>
  <c r="M17" i="21" s="1"/>
  <c r="H16" i="16"/>
  <c r="H17" i="21" s="1"/>
  <c r="D16" i="16"/>
  <c r="D17" i="21" s="1"/>
  <c r="L16" i="16"/>
  <c r="L17" i="21" s="1"/>
  <c r="K16" i="16"/>
  <c r="K17" i="21" s="1"/>
  <c r="J16" i="16"/>
  <c r="J17" i="21" s="1"/>
  <c r="N12" i="16"/>
  <c r="N13" i="21" s="1"/>
  <c r="I12" i="16"/>
  <c r="E12" i="16"/>
  <c r="E13" i="21" s="1"/>
  <c r="M12" i="16"/>
  <c r="M13" i="21" s="1"/>
  <c r="H12" i="16"/>
  <c r="H13" i="21" s="1"/>
  <c r="D12" i="16"/>
  <c r="D13" i="21" s="1"/>
  <c r="L12" i="16"/>
  <c r="L13" i="21" s="1"/>
  <c r="K12" i="16"/>
  <c r="K13" i="21" s="1"/>
  <c r="F12" i="16"/>
  <c r="F13" i="21" s="1"/>
  <c r="J12" i="16"/>
  <c r="J13" i="21" s="1"/>
  <c r="N8" i="16"/>
  <c r="N9" i="21" s="1"/>
  <c r="I8" i="16"/>
  <c r="I9" i="21" s="1"/>
  <c r="E8" i="16"/>
  <c r="M8" i="16"/>
  <c r="M9" i="21" s="1"/>
  <c r="H8" i="16"/>
  <c r="H9" i="21" s="1"/>
  <c r="D8" i="16"/>
  <c r="F8" i="16"/>
  <c r="F9" i="21" s="1"/>
  <c r="L8" i="16"/>
  <c r="K8" i="16"/>
  <c r="K9" i="21" s="1"/>
  <c r="J8" i="16"/>
  <c r="J9" i="21" s="1"/>
  <c r="M4" i="16"/>
  <c r="M5" i="21" s="1"/>
  <c r="L4" i="16"/>
  <c r="L5" i="21" s="1"/>
  <c r="H4" i="16"/>
  <c r="H5" i="21" s="1"/>
  <c r="D4" i="16"/>
  <c r="D5" i="21" s="1"/>
  <c r="I4" i="16"/>
  <c r="I5" i="21" s="1"/>
  <c r="E4" i="16"/>
  <c r="E5" i="21" s="1"/>
  <c r="K4" i="16"/>
  <c r="K5" i="21" s="1"/>
  <c r="F4" i="16"/>
  <c r="F5" i="21" s="1"/>
  <c r="J4" i="16"/>
  <c r="J5" i="21" s="1"/>
  <c r="N4" i="16"/>
  <c r="N5" i="21" s="1"/>
  <c r="L18" i="16"/>
  <c r="L19" i="21" s="1"/>
  <c r="J18" i="16"/>
  <c r="J19" i="21" s="1"/>
  <c r="F18" i="16"/>
  <c r="F19" i="21" s="1"/>
  <c r="N18" i="16"/>
  <c r="N19" i="21" s="1"/>
  <c r="I18" i="16"/>
  <c r="I19" i="21" s="1"/>
  <c r="E18" i="16"/>
  <c r="E19" i="21" s="1"/>
  <c r="D18" i="16"/>
  <c r="D19" i="21" s="1"/>
  <c r="M18" i="16"/>
  <c r="M19" i="21" s="1"/>
  <c r="H18" i="16"/>
  <c r="H19" i="21" s="1"/>
  <c r="K18" i="16"/>
  <c r="K19" i="21" s="1"/>
  <c r="M15" i="16"/>
  <c r="M16" i="21" s="1"/>
  <c r="H15" i="16"/>
  <c r="H16" i="21" s="1"/>
  <c r="D15" i="16"/>
  <c r="I15" i="16"/>
  <c r="I16" i="21" s="1"/>
  <c r="E15" i="16"/>
  <c r="E16" i="21" s="1"/>
  <c r="L15" i="16"/>
  <c r="L16" i="21" s="1"/>
  <c r="K15" i="16"/>
  <c r="K16" i="21" s="1"/>
  <c r="J15" i="16"/>
  <c r="J16" i="21" s="1"/>
  <c r="F15" i="16"/>
  <c r="F16" i="21" s="1"/>
  <c r="N15" i="16"/>
  <c r="N16" i="21" s="1"/>
  <c r="M11" i="16"/>
  <c r="M12" i="21" s="1"/>
  <c r="H11" i="16"/>
  <c r="H12" i="21" s="1"/>
  <c r="D11" i="16"/>
  <c r="L11" i="16"/>
  <c r="L12" i="21" s="1"/>
  <c r="K11" i="16"/>
  <c r="K12" i="21" s="1"/>
  <c r="I11" i="16"/>
  <c r="I12" i="21" s="1"/>
  <c r="J11" i="16"/>
  <c r="J12" i="21" s="1"/>
  <c r="F11" i="16"/>
  <c r="F12" i="21" s="1"/>
  <c r="E11" i="16"/>
  <c r="E12" i="21" s="1"/>
  <c r="N11" i="16"/>
  <c r="N12" i="21" s="1"/>
  <c r="M7" i="16"/>
  <c r="M8" i="21" s="1"/>
  <c r="H7" i="16"/>
  <c r="H8" i="21" s="1"/>
  <c r="D7" i="16"/>
  <c r="L7" i="16"/>
  <c r="L8" i="21" s="1"/>
  <c r="K7" i="16"/>
  <c r="K8" i="21" s="1"/>
  <c r="E7" i="16"/>
  <c r="J7" i="16"/>
  <c r="J8" i="21" s="1"/>
  <c r="F7" i="16"/>
  <c r="F8" i="21" s="1"/>
  <c r="I7" i="16"/>
  <c r="I8" i="21" s="1"/>
  <c r="N7" i="16"/>
  <c r="N8" i="21" s="1"/>
  <c r="O6" i="18"/>
  <c r="N6" i="18"/>
  <c r="M6" i="18"/>
  <c r="L6" i="18"/>
  <c r="K6" i="18"/>
  <c r="J6" i="18"/>
  <c r="I6" i="18"/>
  <c r="H6" i="18"/>
  <c r="G6" i="18"/>
  <c r="F6" i="18"/>
  <c r="E6" i="18"/>
  <c r="F6" i="20"/>
  <c r="G6" i="20"/>
  <c r="F5" i="20"/>
  <c r="G5" i="20"/>
  <c r="N4" i="17"/>
  <c r="M4" i="17"/>
  <c r="L4" i="17"/>
  <c r="K4" i="17"/>
  <c r="J4" i="17"/>
  <c r="I4" i="17"/>
  <c r="H4" i="17"/>
  <c r="G4" i="17"/>
  <c r="F4" i="17"/>
  <c r="E4" i="17"/>
  <c r="D4" i="17"/>
  <c r="N11" i="17"/>
  <c r="M11" i="17"/>
  <c r="L11" i="17"/>
  <c r="K11" i="17"/>
  <c r="J11" i="17"/>
  <c r="I11" i="17"/>
  <c r="H11" i="17"/>
  <c r="G11" i="17"/>
  <c r="F11" i="17"/>
  <c r="E11" i="17"/>
  <c r="D11" i="17"/>
  <c r="K10" i="17"/>
  <c r="H10" i="17"/>
  <c r="N10" i="17"/>
  <c r="L10" i="17"/>
  <c r="J10" i="17"/>
  <c r="G10" i="17"/>
  <c r="E10" i="17"/>
  <c r="M10" i="17"/>
  <c r="I10" i="17"/>
  <c r="F10" i="17"/>
  <c r="D10" i="17"/>
  <c r="M6" i="17"/>
  <c r="I6" i="17"/>
  <c r="F6" i="17"/>
  <c r="D6" i="17"/>
  <c r="L6" i="17"/>
  <c r="H6" i="17"/>
  <c r="E6" i="17"/>
  <c r="N6" i="17"/>
  <c r="K6" i="17"/>
  <c r="J6" i="17"/>
  <c r="G6" i="17"/>
  <c r="N8" i="17"/>
  <c r="M8" i="17"/>
  <c r="L8" i="17"/>
  <c r="K8" i="17"/>
  <c r="J8" i="17"/>
  <c r="I8" i="17"/>
  <c r="H8" i="17"/>
  <c r="G8" i="17"/>
  <c r="F8" i="17"/>
  <c r="E8" i="17"/>
  <c r="D8" i="17"/>
  <c r="N7" i="17"/>
  <c r="M7" i="17"/>
  <c r="L7" i="17"/>
  <c r="K7" i="17"/>
  <c r="J7" i="17"/>
  <c r="I7" i="17"/>
  <c r="H7" i="17"/>
  <c r="G7" i="17"/>
  <c r="F7" i="17"/>
  <c r="E7" i="17"/>
  <c r="D7" i="17"/>
  <c r="N9" i="17"/>
  <c r="M9" i="17"/>
  <c r="L9" i="17"/>
  <c r="K9" i="17"/>
  <c r="J9" i="17"/>
  <c r="I9" i="17"/>
  <c r="H9" i="17"/>
  <c r="G9" i="17"/>
  <c r="F9" i="17"/>
  <c r="E9" i="17"/>
  <c r="D9" i="17"/>
  <c r="N5" i="17"/>
  <c r="M5" i="17"/>
  <c r="L5" i="17"/>
  <c r="K5" i="17"/>
  <c r="J5" i="17"/>
  <c r="I5" i="17"/>
  <c r="H5" i="17"/>
  <c r="G5" i="17"/>
  <c r="F5" i="17"/>
  <c r="E5" i="17"/>
  <c r="D5" i="17"/>
  <c r="K6" i="20"/>
  <c r="L6" i="20"/>
  <c r="H6" i="20"/>
  <c r="D6" i="20"/>
  <c r="M6" i="20"/>
  <c r="I6" i="20"/>
  <c r="E6" i="20"/>
  <c r="N6" i="20"/>
  <c r="J6" i="20"/>
  <c r="N4" i="20"/>
  <c r="J4" i="20"/>
  <c r="F4" i="20"/>
  <c r="K4" i="20"/>
  <c r="G4" i="20"/>
  <c r="L4" i="20"/>
  <c r="H4" i="20"/>
  <c r="D4" i="20"/>
  <c r="M4" i="20"/>
  <c r="I4" i="20"/>
  <c r="E4" i="20"/>
  <c r="L5" i="20"/>
  <c r="H5" i="20"/>
  <c r="D5" i="20"/>
  <c r="M5" i="20"/>
  <c r="I5" i="20"/>
  <c r="E5" i="20"/>
  <c r="N5" i="20"/>
  <c r="J5" i="20"/>
  <c r="K5" i="20"/>
  <c r="C6" i="65"/>
  <c r="C7" i="65" s="1"/>
  <c r="C7" i="63"/>
  <c r="C6" i="62"/>
  <c r="C7" i="61"/>
  <c r="C6" i="60"/>
  <c r="C7" i="60" s="1"/>
  <c r="J33" i="59"/>
  <c r="C7" i="69"/>
  <c r="C6" i="68"/>
  <c r="C5" i="68"/>
  <c r="R12" i="56"/>
  <c r="C7" i="67"/>
  <c r="Q12" i="56"/>
  <c r="N35" i="68"/>
  <c r="N36" i="68" s="1"/>
  <c r="N37" i="68" s="1"/>
  <c r="N38" i="68" s="1"/>
  <c r="N39" i="68" s="1"/>
  <c r="N40" i="68" s="1"/>
  <c r="N41" i="68" s="1"/>
  <c r="N42" i="68" s="1"/>
  <c r="N43" i="68" s="1"/>
  <c r="N44" i="68" s="1"/>
  <c r="C7" i="62" l="1"/>
  <c r="J18" i="20"/>
  <c r="I18" i="20"/>
  <c r="L18" i="20"/>
  <c r="H18" i="21"/>
  <c r="G18" i="20"/>
  <c r="E18" i="21"/>
  <c r="M18" i="20"/>
  <c r="N18" i="20"/>
  <c r="D18" i="20"/>
  <c r="K18" i="20"/>
  <c r="E18" i="20"/>
  <c r="H18" i="20"/>
  <c r="F18" i="20"/>
  <c r="I18" i="21"/>
  <c r="L22" i="16"/>
  <c r="L9" i="21"/>
  <c r="I26" i="16"/>
  <c r="I13" i="21"/>
  <c r="N28" i="16"/>
  <c r="N15" i="21"/>
  <c r="J28" i="16"/>
  <c r="J15" i="21"/>
  <c r="E14" i="21"/>
  <c r="D25" i="16"/>
  <c r="D12" i="21"/>
  <c r="D27" i="16"/>
  <c r="D14" i="21"/>
  <c r="F18" i="21"/>
  <c r="L28" i="16"/>
  <c r="L15" i="21"/>
  <c r="D16" i="21"/>
  <c r="F27" i="16"/>
  <c r="F14" i="21"/>
  <c r="N18" i="21"/>
  <c r="C28" i="16"/>
  <c r="C15" i="21"/>
  <c r="C26" i="16"/>
  <c r="C13" i="21"/>
  <c r="C25" i="16"/>
  <c r="C12" i="21"/>
  <c r="C18" i="21"/>
  <c r="L20" i="20"/>
  <c r="G19" i="20"/>
  <c r="C10" i="21"/>
  <c r="O54" i="1"/>
  <c r="P54" i="1" s="1"/>
  <c r="G12" i="16"/>
  <c r="G17" i="16"/>
  <c r="G18" i="21" s="1"/>
  <c r="E20" i="20"/>
  <c r="J7" i="21"/>
  <c r="I20" i="20"/>
  <c r="I19" i="20"/>
  <c r="L19" i="20"/>
  <c r="J19" i="20"/>
  <c r="M19" i="20"/>
  <c r="K19" i="20"/>
  <c r="F19" i="20"/>
  <c r="N19" i="20"/>
  <c r="D19" i="20"/>
  <c r="E19" i="20"/>
  <c r="H19" i="20"/>
  <c r="E7" i="21"/>
  <c r="D18" i="17"/>
  <c r="F18" i="17"/>
  <c r="J18" i="17"/>
  <c r="G18" i="17"/>
  <c r="K18" i="17"/>
  <c r="H18" i="17"/>
  <c r="Q212" i="18"/>
  <c r="Q106" i="18"/>
  <c r="Q180" i="18"/>
  <c r="Q154" i="18"/>
  <c r="Q216" i="18"/>
  <c r="Q211" i="18"/>
  <c r="Q107" i="18"/>
  <c r="Q136" i="18"/>
  <c r="Q183" i="18"/>
  <c r="Q208" i="18"/>
  <c r="Q198" i="18"/>
  <c r="Q78" i="18"/>
  <c r="Q122" i="18"/>
  <c r="Q87" i="18"/>
  <c r="Q126" i="18"/>
  <c r="Q153" i="18"/>
  <c r="Q91" i="18"/>
  <c r="Q105" i="18"/>
  <c r="Q13" i="18"/>
  <c r="Q135" i="18"/>
  <c r="Q121" i="18"/>
  <c r="Q90" i="18"/>
  <c r="Q103" i="18"/>
  <c r="Q171" i="18"/>
  <c r="Q104" i="18"/>
  <c r="Q140" i="18"/>
  <c r="Q19" i="18"/>
  <c r="Q151" i="18"/>
  <c r="Q73" i="18"/>
  <c r="Q35" i="18"/>
  <c r="Q139" i="18"/>
  <c r="Q110" i="18"/>
  <c r="Q197" i="18"/>
  <c r="Q86" i="18"/>
  <c r="Q18" i="18"/>
  <c r="Q155" i="18"/>
  <c r="Q30" i="18"/>
  <c r="Q210" i="18"/>
  <c r="Q137" i="18"/>
  <c r="Q182" i="18"/>
  <c r="Q36" i="18"/>
  <c r="Q120" i="18"/>
  <c r="Q102" i="18"/>
  <c r="Q214" i="18"/>
  <c r="Q118" i="18"/>
  <c r="Q186" i="18"/>
  <c r="Q132" i="18"/>
  <c r="Q124" i="18"/>
  <c r="Q193" i="18"/>
  <c r="Q14" i="18"/>
  <c r="Q89" i="18"/>
  <c r="Q194" i="18"/>
  <c r="Q95" i="18"/>
  <c r="Q215" i="18"/>
  <c r="Q141" i="18"/>
  <c r="Q109" i="18"/>
  <c r="Q75" i="18"/>
  <c r="Q134" i="18"/>
  <c r="Q150" i="18"/>
  <c r="Q15" i="18"/>
  <c r="Q185" i="18"/>
  <c r="Q88" i="18"/>
  <c r="Q156" i="18"/>
  <c r="Q207" i="18"/>
  <c r="Q149" i="18"/>
  <c r="Q133" i="18"/>
  <c r="Q77" i="18"/>
  <c r="Q74" i="18"/>
  <c r="Q32" i="18"/>
  <c r="Q76" i="18"/>
  <c r="Q93" i="18"/>
  <c r="Q125" i="18"/>
  <c r="Q177" i="18"/>
  <c r="Q47" i="18"/>
  <c r="Q167" i="18"/>
  <c r="Q49" i="18"/>
  <c r="Q148" i="18"/>
  <c r="Q16" i="18"/>
  <c r="Q170" i="18"/>
  <c r="Q131" i="18"/>
  <c r="Q46" i="18"/>
  <c r="Q50" i="18"/>
  <c r="Q29" i="18"/>
  <c r="Q152" i="18"/>
  <c r="Q20" i="18"/>
  <c r="Q196" i="18"/>
  <c r="Q178" i="18"/>
  <c r="Q80" i="18"/>
  <c r="Q168" i="18"/>
  <c r="Q108" i="18"/>
  <c r="Q111" i="18"/>
  <c r="Q184" i="18"/>
  <c r="Q17" i="18"/>
  <c r="Q51" i="18"/>
  <c r="Q200" i="18"/>
  <c r="Q81" i="18"/>
  <c r="Q101" i="18"/>
  <c r="Q209" i="18"/>
  <c r="Q48" i="18"/>
  <c r="Q31" i="18"/>
  <c r="Q119" i="18"/>
  <c r="Q92" i="18"/>
  <c r="Q34" i="18"/>
  <c r="Q28" i="18"/>
  <c r="Q72" i="18"/>
  <c r="Q79" i="18"/>
  <c r="Q213" i="18"/>
  <c r="Q123" i="18"/>
  <c r="Q96" i="18"/>
  <c r="Q195" i="18"/>
  <c r="Q33" i="18"/>
  <c r="Q181" i="18"/>
  <c r="Q201" i="18"/>
  <c r="Q179" i="18"/>
  <c r="Q94" i="18"/>
  <c r="Q138" i="18"/>
  <c r="Q169" i="18"/>
  <c r="Q199" i="18"/>
  <c r="G4" i="16"/>
  <c r="G5" i="21" s="1"/>
  <c r="G18" i="16"/>
  <c r="G19" i="21" s="1"/>
  <c r="G8" i="16"/>
  <c r="G15" i="16"/>
  <c r="G16" i="16"/>
  <c r="G17" i="21" s="1"/>
  <c r="G7" i="16"/>
  <c r="G8" i="21" s="1"/>
  <c r="C7" i="68"/>
  <c r="N18" i="17"/>
  <c r="M18" i="17"/>
  <c r="L18" i="17"/>
  <c r="I18" i="17"/>
  <c r="G11" i="16"/>
  <c r="G10" i="16"/>
  <c r="G11" i="21" s="1"/>
  <c r="G14" i="16"/>
  <c r="G6" i="16"/>
  <c r="G13" i="16"/>
  <c r="G9" i="16"/>
  <c r="G10" i="21" s="1"/>
  <c r="E18" i="17"/>
  <c r="K20" i="20"/>
  <c r="H20" i="20"/>
  <c r="G20" i="20"/>
  <c r="C20" i="20"/>
  <c r="J20" i="20"/>
  <c r="M20" i="20"/>
  <c r="N20" i="20"/>
  <c r="D20" i="20"/>
  <c r="F20" i="20"/>
  <c r="E8" i="21"/>
  <c r="N25" i="16"/>
  <c r="J22" i="16"/>
  <c r="J26" i="16"/>
  <c r="K26" i="16"/>
  <c r="M26" i="16"/>
  <c r="L7" i="21"/>
  <c r="I7" i="21"/>
  <c r="H7" i="21"/>
  <c r="N24" i="16"/>
  <c r="M28" i="16"/>
  <c r="D28" i="16"/>
  <c r="K27" i="16"/>
  <c r="H27" i="16"/>
  <c r="D9" i="21"/>
  <c r="E9" i="21"/>
  <c r="E26" i="16"/>
  <c r="M7" i="21"/>
  <c r="N7" i="21"/>
  <c r="N20" i="16"/>
  <c r="C7" i="21"/>
  <c r="E28" i="16"/>
  <c r="M27" i="16"/>
  <c r="N27" i="16"/>
  <c r="F25" i="16"/>
  <c r="H25" i="16"/>
  <c r="H22" i="16"/>
  <c r="I22" i="16"/>
  <c r="D26" i="16"/>
  <c r="F7" i="21"/>
  <c r="H24" i="16"/>
  <c r="J24" i="16"/>
  <c r="K24" i="16"/>
  <c r="I28" i="16"/>
  <c r="F28" i="16"/>
  <c r="K28" i="16"/>
  <c r="J25" i="16"/>
  <c r="K25" i="16"/>
  <c r="M25" i="16"/>
  <c r="H26" i="16"/>
  <c r="N26" i="16"/>
  <c r="L24" i="16"/>
  <c r="C9" i="21"/>
  <c r="C8" i="21"/>
  <c r="N15" i="56"/>
  <c r="P15" i="56"/>
  <c r="O5" i="17"/>
  <c r="P5" i="17" s="1"/>
  <c r="O10" i="17"/>
  <c r="P10" i="17" s="1"/>
  <c r="J20" i="17"/>
  <c r="J4" i="21" s="1"/>
  <c r="N5" i="18"/>
  <c r="K5" i="18"/>
  <c r="O5" i="18"/>
  <c r="L5" i="18"/>
  <c r="E5" i="18"/>
  <c r="H5" i="18"/>
  <c r="G5" i="18"/>
  <c r="P22" i="18"/>
  <c r="P6" i="18"/>
  <c r="I5" i="18"/>
  <c r="J5" i="18"/>
  <c r="M5" i="18"/>
  <c r="F5" i="18"/>
  <c r="L15" i="56"/>
  <c r="J15" i="56"/>
  <c r="O9" i="17"/>
  <c r="P9" i="17" s="1"/>
  <c r="O7" i="17"/>
  <c r="P7" i="17" s="1"/>
  <c r="O8" i="17"/>
  <c r="P8" i="17" s="1"/>
  <c r="O11" i="17"/>
  <c r="P11" i="17" s="1"/>
  <c r="O6" i="17"/>
  <c r="P6" i="17" s="1"/>
  <c r="D21" i="18"/>
  <c r="D5" i="18"/>
  <c r="E15" i="56"/>
  <c r="I5" i="16"/>
  <c r="I21" i="16" s="1"/>
  <c r="K15" i="56"/>
  <c r="N5" i="16"/>
  <c r="N19" i="16" s="1"/>
  <c r="I20" i="17"/>
  <c r="I4" i="21" s="1"/>
  <c r="H20" i="17"/>
  <c r="L20" i="17"/>
  <c r="L4" i="21" s="1"/>
  <c r="E20" i="17"/>
  <c r="E4" i="21" s="1"/>
  <c r="M20" i="17"/>
  <c r="M21" i="18"/>
  <c r="D20" i="17"/>
  <c r="D4" i="21" s="1"/>
  <c r="O4" i="17"/>
  <c r="P4" i="17" s="1"/>
  <c r="N20" i="17"/>
  <c r="N4" i="21" s="1"/>
  <c r="C20" i="17"/>
  <c r="C4" i="21" s="1"/>
  <c r="K20" i="17"/>
  <c r="K4" i="21" s="1"/>
  <c r="F20" i="17"/>
  <c r="F4" i="21" s="1"/>
  <c r="G20" i="17"/>
  <c r="C17" i="20"/>
  <c r="C19" i="20"/>
  <c r="O6" i="20"/>
  <c r="P6" i="20" s="1"/>
  <c r="L17" i="20"/>
  <c r="J17" i="20"/>
  <c r="N17" i="20"/>
  <c r="F17" i="20"/>
  <c r="O5" i="20"/>
  <c r="P5" i="20" s="1"/>
  <c r="L21" i="18"/>
  <c r="O15" i="56"/>
  <c r="M5" i="16"/>
  <c r="M23" i="16" s="1"/>
  <c r="L5" i="16"/>
  <c r="L29" i="16" s="1"/>
  <c r="K5" i="16"/>
  <c r="K32" i="16" s="1"/>
  <c r="K7" i="21"/>
  <c r="M15" i="56"/>
  <c r="J5" i="16"/>
  <c r="J32" i="16" s="1"/>
  <c r="J21" i="18"/>
  <c r="H17" i="20"/>
  <c r="H5" i="16"/>
  <c r="H30" i="16" s="1"/>
  <c r="C6" i="59"/>
  <c r="C7" i="59" s="1"/>
  <c r="F5" i="16"/>
  <c r="F19" i="16" s="1"/>
  <c r="H15" i="56"/>
  <c r="E17" i="20"/>
  <c r="G15" i="56"/>
  <c r="E5" i="16"/>
  <c r="E19" i="16" s="1"/>
  <c r="F15" i="56"/>
  <c r="D17" i="20"/>
  <c r="C5" i="16"/>
  <c r="C30" i="16" s="1"/>
  <c r="F21" i="18"/>
  <c r="O21" i="18"/>
  <c r="N21" i="18"/>
  <c r="I21" i="18"/>
  <c r="K21" i="18"/>
  <c r="E21" i="18"/>
  <c r="H21" i="18"/>
  <c r="G21" i="18"/>
  <c r="I17" i="20"/>
  <c r="M17" i="20"/>
  <c r="O4" i="20"/>
  <c r="P4" i="20" s="1"/>
  <c r="G17" i="20"/>
  <c r="K17" i="20"/>
  <c r="D8" i="21"/>
  <c r="D7" i="21"/>
  <c r="D5" i="16"/>
  <c r="D22" i="16" s="1"/>
  <c r="I21" i="20" l="1"/>
  <c r="I24" i="20" s="1"/>
  <c r="I23" i="20"/>
  <c r="H24" i="20"/>
  <c r="H22" i="20"/>
  <c r="H23" i="20"/>
  <c r="H21" i="20"/>
  <c r="F26" i="16"/>
  <c r="F24" i="20"/>
  <c r="F21" i="20"/>
  <c r="F22" i="20"/>
  <c r="F23" i="20"/>
  <c r="E21" i="20"/>
  <c r="E24" i="20" s="1"/>
  <c r="E23" i="20"/>
  <c r="E22" i="20"/>
  <c r="D24" i="20"/>
  <c r="D21" i="20"/>
  <c r="D23" i="20"/>
  <c r="D22" i="20"/>
  <c r="C21" i="20"/>
  <c r="C22" i="20" s="1"/>
  <c r="G21" i="20"/>
  <c r="G23" i="20" s="1"/>
  <c r="G22" i="20"/>
  <c r="N21" i="20"/>
  <c r="N23" i="20" s="1"/>
  <c r="M24" i="16"/>
  <c r="M20" i="16"/>
  <c r="M22" i="16"/>
  <c r="M21" i="20"/>
  <c r="M22" i="20" s="1"/>
  <c r="L27" i="16"/>
  <c r="L26" i="16"/>
  <c r="L20" i="16"/>
  <c r="L25" i="16"/>
  <c r="L21" i="20"/>
  <c r="L23" i="20" s="1"/>
  <c r="L24" i="20"/>
  <c r="K22" i="16"/>
  <c r="K20" i="16"/>
  <c r="K21" i="20"/>
  <c r="K22" i="20" s="1"/>
  <c r="K24" i="20"/>
  <c r="J20" i="16"/>
  <c r="J21" i="20"/>
  <c r="I27" i="16"/>
  <c r="I25" i="16"/>
  <c r="I24" i="16"/>
  <c r="I20" i="16"/>
  <c r="H20" i="16"/>
  <c r="E27" i="16"/>
  <c r="E25" i="16"/>
  <c r="E20" i="16"/>
  <c r="F20" i="16"/>
  <c r="F23" i="16"/>
  <c r="N23" i="16"/>
  <c r="M29" i="16"/>
  <c r="L23" i="16"/>
  <c r="K23" i="16"/>
  <c r="I23" i="16"/>
  <c r="I29" i="16"/>
  <c r="J23" i="16"/>
  <c r="H23" i="16"/>
  <c r="E23" i="16"/>
  <c r="C23" i="16"/>
  <c r="D20" i="16"/>
  <c r="N29" i="16"/>
  <c r="K29" i="16"/>
  <c r="J29" i="16"/>
  <c r="H29" i="16"/>
  <c r="F29" i="16"/>
  <c r="E29" i="16"/>
  <c r="D29" i="16"/>
  <c r="I31" i="16"/>
  <c r="N31" i="16"/>
  <c r="M19" i="16"/>
  <c r="O14" i="56" s="1"/>
  <c r="M31" i="16"/>
  <c r="K31" i="16"/>
  <c r="J31" i="16"/>
  <c r="H31" i="16"/>
  <c r="F31" i="16"/>
  <c r="E31" i="16"/>
  <c r="D31" i="16"/>
  <c r="C31" i="16"/>
  <c r="J27" i="16"/>
  <c r="H28" i="16"/>
  <c r="L30" i="16"/>
  <c r="L31" i="16"/>
  <c r="G22" i="16"/>
  <c r="G9" i="21"/>
  <c r="O9" i="21" s="1"/>
  <c r="P9" i="21" s="1"/>
  <c r="G28" i="16"/>
  <c r="G15" i="21"/>
  <c r="O15" i="21" s="1"/>
  <c r="P15" i="21" s="1"/>
  <c r="G26" i="16"/>
  <c r="G13" i="21"/>
  <c r="O13" i="21" s="1"/>
  <c r="P13" i="21" s="1"/>
  <c r="G27" i="16"/>
  <c r="G14" i="21"/>
  <c r="O14" i="21" s="1"/>
  <c r="P14" i="21" s="1"/>
  <c r="G25" i="16"/>
  <c r="G12" i="21"/>
  <c r="O12" i="21" s="1"/>
  <c r="P12" i="21" s="1"/>
  <c r="G16" i="21"/>
  <c r="O16" i="21" s="1"/>
  <c r="P16" i="21" s="1"/>
  <c r="E21" i="17"/>
  <c r="I21" i="17"/>
  <c r="H21" i="17"/>
  <c r="F21" i="17"/>
  <c r="L21" i="17"/>
  <c r="K21" i="17"/>
  <c r="M21" i="17"/>
  <c r="G21" i="17"/>
  <c r="N21" i="17"/>
  <c r="J21" i="17"/>
  <c r="C29" i="16"/>
  <c r="O10" i="21"/>
  <c r="P10" i="21" s="1"/>
  <c r="G24" i="16"/>
  <c r="O11" i="21"/>
  <c r="P11" i="21" s="1"/>
  <c r="I30" i="16"/>
  <c r="F32" i="16"/>
  <c r="L32" i="16"/>
  <c r="K21" i="16"/>
  <c r="K30" i="16"/>
  <c r="E30" i="16"/>
  <c r="N30" i="16"/>
  <c r="H32" i="16"/>
  <c r="H21" i="16"/>
  <c r="C27" i="16"/>
  <c r="N32" i="16"/>
  <c r="M21" i="16"/>
  <c r="M32" i="16"/>
  <c r="M30" i="16"/>
  <c r="L21" i="16"/>
  <c r="J30" i="16"/>
  <c r="J21" i="16"/>
  <c r="I32" i="16"/>
  <c r="O17" i="16"/>
  <c r="P17" i="16" s="1"/>
  <c r="F30" i="16"/>
  <c r="E32" i="16"/>
  <c r="D30" i="16"/>
  <c r="D32" i="16"/>
  <c r="C32" i="16"/>
  <c r="O17" i="21"/>
  <c r="P17" i="21" s="1"/>
  <c r="O13" i="56"/>
  <c r="M4" i="21"/>
  <c r="J13" i="56"/>
  <c r="H4" i="21"/>
  <c r="G19" i="17"/>
  <c r="G22" i="17" s="1"/>
  <c r="G23" i="17" s="1"/>
  <c r="G4" i="21"/>
  <c r="F24" i="16"/>
  <c r="F21" i="16"/>
  <c r="F22" i="16"/>
  <c r="E22" i="16"/>
  <c r="E24" i="16"/>
  <c r="E21" i="16"/>
  <c r="D21" i="16"/>
  <c r="D24" i="16"/>
  <c r="C19" i="16"/>
  <c r="C24" i="16"/>
  <c r="C21" i="16"/>
  <c r="N22" i="16"/>
  <c r="N21" i="16"/>
  <c r="Q6" i="18"/>
  <c r="Q22" i="18"/>
  <c r="O18" i="21"/>
  <c r="P18" i="21" s="1"/>
  <c r="O6" i="16"/>
  <c r="P6" i="16" s="1"/>
  <c r="O20" i="20"/>
  <c r="P20" i="20" s="1"/>
  <c r="E19" i="17"/>
  <c r="E22" i="17" s="1"/>
  <c r="E23" i="17" s="1"/>
  <c r="H13" i="56"/>
  <c r="F19" i="17"/>
  <c r="F22" i="17" s="1"/>
  <c r="F23" i="17" s="1"/>
  <c r="P13" i="56"/>
  <c r="N19" i="17"/>
  <c r="N22" i="17" s="1"/>
  <c r="N23" i="17" s="1"/>
  <c r="C20" i="16"/>
  <c r="C22" i="16"/>
  <c r="G13" i="56"/>
  <c r="M19" i="17"/>
  <c r="M22" i="17" s="1"/>
  <c r="H19" i="17"/>
  <c r="H22" i="17" s="1"/>
  <c r="M13" i="56"/>
  <c r="K19" i="17"/>
  <c r="K22" i="17" s="1"/>
  <c r="D23" i="16"/>
  <c r="I19" i="17"/>
  <c r="I22" i="17" s="1"/>
  <c r="I23" i="17" s="1"/>
  <c r="E13" i="56"/>
  <c r="C19" i="17"/>
  <c r="C22" i="17" s="1"/>
  <c r="D19" i="17"/>
  <c r="D22" i="17" s="1"/>
  <c r="N13" i="56"/>
  <c r="L19" i="17"/>
  <c r="L22" i="17" s="1"/>
  <c r="L13" i="56"/>
  <c r="J19" i="17"/>
  <c r="J22" i="17" s="1"/>
  <c r="J4" i="18"/>
  <c r="K13" i="56"/>
  <c r="N4" i="18"/>
  <c r="K4" i="18"/>
  <c r="H4" i="18"/>
  <c r="M4" i="18"/>
  <c r="O4" i="18"/>
  <c r="E4" i="18"/>
  <c r="D4" i="18"/>
  <c r="L4" i="18"/>
  <c r="I4" i="18"/>
  <c r="G4" i="18"/>
  <c r="P5" i="18"/>
  <c r="F4" i="18"/>
  <c r="O19" i="21"/>
  <c r="P19" i="21" s="1"/>
  <c r="I6" i="21"/>
  <c r="I20" i="21" s="1"/>
  <c r="H14" i="56"/>
  <c r="H19" i="56" s="1"/>
  <c r="O4" i="16"/>
  <c r="L19" i="16"/>
  <c r="N14" i="56" s="1"/>
  <c r="N6" i="21"/>
  <c r="N20" i="21" s="1"/>
  <c r="I19" i="16"/>
  <c r="K14" i="56" s="1"/>
  <c r="K19" i="56" s="1"/>
  <c r="J19" i="16"/>
  <c r="L14" i="56" s="1"/>
  <c r="G14" i="56"/>
  <c r="G19" i="56" s="1"/>
  <c r="K16" i="56"/>
  <c r="H19" i="16"/>
  <c r="J14" i="56" s="1"/>
  <c r="K19" i="16"/>
  <c r="M14" i="56" s="1"/>
  <c r="D19" i="16"/>
  <c r="D21" i="17"/>
  <c r="C21" i="17"/>
  <c r="O19" i="20"/>
  <c r="P14" i="56"/>
  <c r="O15" i="16"/>
  <c r="P16" i="56"/>
  <c r="F13" i="56"/>
  <c r="O20" i="17"/>
  <c r="P20" i="17" s="1"/>
  <c r="O18" i="17"/>
  <c r="I13" i="56"/>
  <c r="O8" i="21"/>
  <c r="P8" i="21" s="1"/>
  <c r="M6" i="21"/>
  <c r="O16" i="56"/>
  <c r="L6" i="21"/>
  <c r="L20" i="21" s="1"/>
  <c r="N16" i="56"/>
  <c r="K6" i="21"/>
  <c r="K20" i="21" s="1"/>
  <c r="M16" i="56"/>
  <c r="L16" i="56"/>
  <c r="J6" i="21"/>
  <c r="J20" i="21" s="1"/>
  <c r="H6" i="21"/>
  <c r="J16" i="56"/>
  <c r="O7" i="16"/>
  <c r="O12" i="16"/>
  <c r="O11" i="16"/>
  <c r="O16" i="16"/>
  <c r="O10" i="16"/>
  <c r="O9" i="16"/>
  <c r="O14" i="16"/>
  <c r="O13" i="16"/>
  <c r="O18" i="16"/>
  <c r="O8" i="16"/>
  <c r="G7" i="21"/>
  <c r="O7" i="21" s="1"/>
  <c r="P7" i="21" s="1"/>
  <c r="G5" i="16"/>
  <c r="G19" i="16" s="1"/>
  <c r="I15" i="56"/>
  <c r="R15" i="56" s="1"/>
  <c r="O5" i="21"/>
  <c r="P5" i="21" s="1"/>
  <c r="H16" i="56"/>
  <c r="F6" i="21"/>
  <c r="F20" i="21" s="1"/>
  <c r="E6" i="21"/>
  <c r="E20" i="21" s="1"/>
  <c r="G16" i="56"/>
  <c r="C6" i="21"/>
  <c r="C20" i="21" s="1"/>
  <c r="E16" i="56"/>
  <c r="P21" i="18"/>
  <c r="O17" i="20"/>
  <c r="P17" i="20" s="1"/>
  <c r="F16" i="56"/>
  <c r="D6" i="21"/>
  <c r="D20" i="21" s="1"/>
  <c r="L23" i="17" l="1"/>
  <c r="I22" i="20"/>
  <c r="H20" i="21"/>
  <c r="C24" i="20"/>
  <c r="C23" i="20"/>
  <c r="G24" i="20"/>
  <c r="N24" i="20"/>
  <c r="N22" i="20"/>
  <c r="R115" i="18"/>
  <c r="R83" i="18"/>
  <c r="M23" i="20"/>
  <c r="M24" i="20"/>
  <c r="M20" i="21"/>
  <c r="L22" i="20"/>
  <c r="R52" i="18"/>
  <c r="R68" i="18"/>
  <c r="O21" i="20"/>
  <c r="P21" i="20" s="1"/>
  <c r="K23" i="20"/>
  <c r="J23" i="20"/>
  <c r="J24" i="20"/>
  <c r="J22" i="20"/>
  <c r="R97" i="18"/>
  <c r="R128" i="18"/>
  <c r="R25" i="18"/>
  <c r="R84" i="18"/>
  <c r="R24" i="18"/>
  <c r="R190" i="18"/>
  <c r="G20" i="16"/>
  <c r="R26" i="18"/>
  <c r="R98" i="18"/>
  <c r="R70" i="18"/>
  <c r="R114" i="18"/>
  <c r="G23" i="16"/>
  <c r="R163" i="18"/>
  <c r="R69" i="18"/>
  <c r="G29" i="16"/>
  <c r="R55" i="18"/>
  <c r="R191" i="18"/>
  <c r="R82" i="18"/>
  <c r="R56" i="18"/>
  <c r="R142" i="18"/>
  <c r="R189" i="18"/>
  <c r="R187" i="18"/>
  <c r="R129" i="18"/>
  <c r="G31" i="16"/>
  <c r="R12" i="18"/>
  <c r="R20" i="18"/>
  <c r="R19" i="18"/>
  <c r="R16" i="18"/>
  <c r="R13" i="18"/>
  <c r="R15" i="18"/>
  <c r="R14" i="18"/>
  <c r="R18" i="18"/>
  <c r="R17" i="18"/>
  <c r="R60" i="18"/>
  <c r="R66" i="18"/>
  <c r="R65" i="18"/>
  <c r="R61" i="18"/>
  <c r="R62" i="18"/>
  <c r="R57" i="18"/>
  <c r="R64" i="18"/>
  <c r="R59" i="18"/>
  <c r="R58" i="18"/>
  <c r="R63" i="18"/>
  <c r="R147" i="18"/>
  <c r="R100" i="18"/>
  <c r="R126" i="18"/>
  <c r="R48" i="18"/>
  <c r="R72" i="18"/>
  <c r="R141" i="18"/>
  <c r="R46" i="18"/>
  <c r="R152" i="18"/>
  <c r="R180" i="18"/>
  <c r="R101" i="18"/>
  <c r="R105" i="18"/>
  <c r="R179" i="18"/>
  <c r="R133" i="18"/>
  <c r="R89" i="18"/>
  <c r="R47" i="18"/>
  <c r="R195" i="18"/>
  <c r="R214" i="18"/>
  <c r="R196" i="18"/>
  <c r="R32" i="18"/>
  <c r="R186" i="18"/>
  <c r="R153" i="18"/>
  <c r="R108" i="18"/>
  <c r="R91" i="18"/>
  <c r="R110" i="18"/>
  <c r="R155" i="18"/>
  <c r="R148" i="18"/>
  <c r="R50" i="18"/>
  <c r="R139" i="18"/>
  <c r="R95" i="18"/>
  <c r="R102" i="18"/>
  <c r="R212" i="18"/>
  <c r="R103" i="18"/>
  <c r="R200" i="18"/>
  <c r="R31" i="18"/>
  <c r="R30" i="18"/>
  <c r="R183" i="18"/>
  <c r="R198" i="18"/>
  <c r="R193" i="18"/>
  <c r="R76" i="18"/>
  <c r="R49" i="18"/>
  <c r="R87" i="18"/>
  <c r="R140" i="18"/>
  <c r="R107" i="18"/>
  <c r="R213" i="18"/>
  <c r="R181" i="18"/>
  <c r="R118" i="18"/>
  <c r="R168" i="18"/>
  <c r="R34" i="18"/>
  <c r="R201" i="18"/>
  <c r="R132" i="18"/>
  <c r="R216" i="18"/>
  <c r="R185" i="18"/>
  <c r="R111" i="18"/>
  <c r="R73" i="18"/>
  <c r="R119" i="18"/>
  <c r="R79" i="18"/>
  <c r="R33" i="18"/>
  <c r="R138" i="18"/>
  <c r="R106" i="18"/>
  <c r="R210" i="18"/>
  <c r="R29" i="18"/>
  <c r="R77" i="18"/>
  <c r="R36" i="18"/>
  <c r="R35" i="18"/>
  <c r="R182" i="18"/>
  <c r="R199" i="18"/>
  <c r="R136" i="18"/>
  <c r="R90" i="18"/>
  <c r="R149" i="18"/>
  <c r="R211" i="18"/>
  <c r="R137" i="18"/>
  <c r="R156" i="18"/>
  <c r="R171" i="18"/>
  <c r="R81" i="18"/>
  <c r="R92" i="18"/>
  <c r="R167" i="18"/>
  <c r="R170" i="18"/>
  <c r="R134" i="18"/>
  <c r="R135" i="18"/>
  <c r="R197" i="18"/>
  <c r="R96" i="18"/>
  <c r="R178" i="18"/>
  <c r="R51" i="18"/>
  <c r="R194" i="18"/>
  <c r="R123" i="18"/>
  <c r="R120" i="18"/>
  <c r="R169" i="18"/>
  <c r="R184" i="18"/>
  <c r="R177" i="18"/>
  <c r="R94" i="18"/>
  <c r="R88" i="18"/>
  <c r="R209" i="18"/>
  <c r="R124" i="18"/>
  <c r="R104" i="18"/>
  <c r="R74" i="18"/>
  <c r="R93" i="18"/>
  <c r="R215" i="18"/>
  <c r="R208" i="18"/>
  <c r="R122" i="18"/>
  <c r="R154" i="18"/>
  <c r="R86" i="18"/>
  <c r="R109" i="18"/>
  <c r="R80" i="18"/>
  <c r="R121" i="18"/>
  <c r="R125" i="18"/>
  <c r="R75" i="18"/>
  <c r="R151" i="18"/>
  <c r="R78" i="18"/>
  <c r="R28" i="18"/>
  <c r="R150" i="18"/>
  <c r="R7" i="18"/>
  <c r="R10" i="18"/>
  <c r="R9" i="18"/>
  <c r="R8" i="18"/>
  <c r="R6" i="18"/>
  <c r="R38" i="18"/>
  <c r="R172" i="18"/>
  <c r="R202" i="18"/>
  <c r="R162" i="18"/>
  <c r="R23" i="18"/>
  <c r="R22" i="18"/>
  <c r="R127" i="18"/>
  <c r="R41" i="18"/>
  <c r="R53" i="18"/>
  <c r="H23" i="17"/>
  <c r="J23" i="17"/>
  <c r="M23" i="17"/>
  <c r="K23" i="17"/>
  <c r="I33" i="16"/>
  <c r="J33" i="16"/>
  <c r="L33" i="16"/>
  <c r="M33" i="16"/>
  <c r="H33" i="16"/>
  <c r="K33" i="16"/>
  <c r="G21" i="16"/>
  <c r="G32" i="16"/>
  <c r="G30" i="16"/>
  <c r="O17" i="56"/>
  <c r="O18" i="56" s="1"/>
  <c r="D33" i="16"/>
  <c r="E33" i="16"/>
  <c r="F33" i="16"/>
  <c r="N33" i="16"/>
  <c r="P20" i="56"/>
  <c r="Q5" i="18"/>
  <c r="Q21" i="18"/>
  <c r="H25" i="20"/>
  <c r="O19" i="17"/>
  <c r="O22" i="17" s="1"/>
  <c r="O18" i="20"/>
  <c r="P15" i="16"/>
  <c r="P16" i="16"/>
  <c r="P7" i="16"/>
  <c r="I25" i="20"/>
  <c r="P8" i="16"/>
  <c r="P10" i="16"/>
  <c r="P13" i="16"/>
  <c r="P9" i="16"/>
  <c r="P11" i="16"/>
  <c r="L25" i="20"/>
  <c r="E25" i="20"/>
  <c r="K25" i="20"/>
  <c r="P14" i="16"/>
  <c r="P12" i="16"/>
  <c r="D23" i="17"/>
  <c r="G25" i="20"/>
  <c r="F25" i="20"/>
  <c r="H20" i="56"/>
  <c r="H21" i="56" s="1"/>
  <c r="C23" i="17"/>
  <c r="C33" i="16"/>
  <c r="H17" i="56"/>
  <c r="H18" i="56" s="1"/>
  <c r="K20" i="56"/>
  <c r="K21" i="56" s="1"/>
  <c r="O19" i="56"/>
  <c r="K17" i="56"/>
  <c r="K18" i="56" s="1"/>
  <c r="G20" i="56"/>
  <c r="G21" i="56" s="1"/>
  <c r="P4" i="16"/>
  <c r="P4" i="18"/>
  <c r="P18" i="16"/>
  <c r="G17" i="56"/>
  <c r="G18" i="56" s="1"/>
  <c r="O20" i="56"/>
  <c r="M17" i="56"/>
  <c r="M18" i="56" s="1"/>
  <c r="M19" i="56"/>
  <c r="M20" i="56"/>
  <c r="I14" i="56"/>
  <c r="P18" i="17"/>
  <c r="O21" i="17"/>
  <c r="P19" i="20"/>
  <c r="P17" i="56"/>
  <c r="P18" i="56" s="1"/>
  <c r="P19" i="56"/>
  <c r="O4" i="21"/>
  <c r="P4" i="21" s="1"/>
  <c r="Q13" i="56"/>
  <c r="R13" i="56"/>
  <c r="N19" i="56"/>
  <c r="N20" i="56"/>
  <c r="N17" i="56"/>
  <c r="N18" i="56" s="1"/>
  <c r="L19" i="56"/>
  <c r="L20" i="56"/>
  <c r="L17" i="56"/>
  <c r="L18" i="56" s="1"/>
  <c r="J19" i="56"/>
  <c r="J20" i="56"/>
  <c r="J17" i="56"/>
  <c r="J18" i="56" s="1"/>
  <c r="Q15" i="56"/>
  <c r="G6" i="21"/>
  <c r="G20" i="21" s="1"/>
  <c r="I16" i="56"/>
  <c r="R16" i="56" s="1"/>
  <c r="O5" i="16"/>
  <c r="O20" i="16" s="1"/>
  <c r="F14" i="56"/>
  <c r="M25" i="20" l="1"/>
  <c r="O24" i="20"/>
  <c r="O22" i="20"/>
  <c r="O23" i="20"/>
  <c r="O25" i="16"/>
  <c r="O26" i="16"/>
  <c r="O28" i="16"/>
  <c r="O29" i="16"/>
  <c r="P21" i="56"/>
  <c r="O27" i="16"/>
  <c r="M21" i="56"/>
  <c r="J21" i="56"/>
  <c r="G33" i="16"/>
  <c r="O21" i="56"/>
  <c r="N21" i="56"/>
  <c r="L21" i="56"/>
  <c r="I20" i="56"/>
  <c r="O32" i="16"/>
  <c r="O30" i="16"/>
  <c r="P19" i="17"/>
  <c r="O24" i="16"/>
  <c r="O21" i="16"/>
  <c r="R21" i="18"/>
  <c r="R5" i="18"/>
  <c r="Q4" i="18"/>
  <c r="N25" i="20"/>
  <c r="J25" i="20"/>
  <c r="D25" i="20"/>
  <c r="C25" i="20"/>
  <c r="P18" i="20"/>
  <c r="O23" i="16"/>
  <c r="O22" i="16"/>
  <c r="O23" i="17"/>
  <c r="I17" i="56"/>
  <c r="I18" i="56" s="1"/>
  <c r="I19" i="56"/>
  <c r="P5" i="16"/>
  <c r="O19" i="16"/>
  <c r="O6" i="21"/>
  <c r="P6" i="21" s="1"/>
  <c r="Q16" i="56"/>
  <c r="O20" i="21"/>
  <c r="P20" i="21" s="1"/>
  <c r="F20" i="56"/>
  <c r="F19" i="56"/>
  <c r="F17" i="56"/>
  <c r="R4" i="18" l="1"/>
  <c r="I21" i="56"/>
  <c r="O33" i="16"/>
  <c r="O25" i="20"/>
  <c r="P19" i="16"/>
  <c r="F18" i="56"/>
  <c r="F21" i="56"/>
  <c r="E17" i="81" l="1"/>
  <c r="F14" i="81" l="1"/>
  <c r="F15" i="81"/>
  <c r="F16" i="81"/>
  <c r="F3" i="81"/>
  <c r="F17" i="81" l="1"/>
  <c r="E14" i="56" l="1"/>
  <c r="E20" i="56" s="1"/>
  <c r="R14" i="56" l="1"/>
  <c r="Q14" i="56"/>
  <c r="E19" i="56"/>
  <c r="E17" i="56"/>
  <c r="Q20" i="56" l="1"/>
  <c r="Q19" i="56"/>
  <c r="R17" i="56"/>
  <c r="E18" i="56"/>
  <c r="Q17" i="56"/>
  <c r="E21" i="56"/>
  <c r="Q21" i="56" l="1"/>
  <c r="Q18" i="56"/>
  <c r="R18" i="56"/>
  <c r="R4" i="94" l="1"/>
  <c r="E11" i="97" l="1"/>
  <c r="F11" i="97" l="1"/>
  <c r="E12" i="97"/>
  <c r="F12" i="97" s="1"/>
  <c r="E13" i="97" l="1"/>
  <c r="F13" i="97" s="1"/>
  <c r="E14" i="97" l="1"/>
  <c r="F14" i="97" s="1"/>
  <c r="E15" i="97" l="1"/>
  <c r="F15" i="97" s="1"/>
  <c r="E16" i="97" l="1"/>
  <c r="F16" i="97" s="1"/>
  <c r="E17" i="97" l="1"/>
  <c r="F17" i="97" s="1"/>
  <c r="E18" i="97" l="1"/>
  <c r="F18" i="97" s="1"/>
  <c r="E19" i="97" l="1"/>
  <c r="F19" i="97" s="1"/>
  <c r="E20" i="97" l="1"/>
  <c r="F20" i="97" l="1"/>
  <c r="F6" i="97" s="1"/>
  <c r="E6" i="97"/>
  <c r="K7" i="99" l="1"/>
  <c r="G6" i="97" l="1"/>
  <c r="L7" i="99" s="1"/>
  <c r="L4" i="99" s="1"/>
  <c r="H6" i="97" l="1"/>
  <c r="M7" i="99" s="1"/>
  <c r="M4" i="99" s="1"/>
  <c r="F5" i="81" s="1"/>
  <c r="F6" i="81" l="1"/>
  <c r="E10" i="81" s="1"/>
  <c r="F7" i="81" l="1"/>
  <c r="F10" i="81"/>
  <c r="I12" i="81"/>
  <c r="I13" i="81" s="1"/>
  <c r="I15" i="81" l="1"/>
  <c r="I14" i="81"/>
  <c r="J7" i="9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R3" authorId="0" shapeId="0" xr:uid="{B0E2EE51-4FAC-4F7D-B3FF-090715E782A5}">
      <text>
        <r>
          <rPr>
            <b/>
            <sz val="9"/>
            <color indexed="81"/>
            <rFont val="돋움"/>
            <family val="3"/>
            <charset val="129"/>
          </rPr>
          <t>연도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N33" authorId="0" shapeId="0" xr:uid="{F55F4263-4DAB-40CE-B933-93E80D18B647}">
      <text>
        <r>
          <rPr>
            <b/>
            <sz val="9"/>
            <color indexed="81"/>
            <rFont val="돋움"/>
            <family val="3"/>
            <charset val="129"/>
          </rPr>
          <t>소비성지출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예산에서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고정지출을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제외한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변동지출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C20" authorId="0" shapeId="0" xr:uid="{B090A292-D70C-4301-8A2F-1C78032A6364}">
      <text>
        <r>
          <rPr>
            <b/>
            <sz val="9"/>
            <color indexed="81"/>
            <rFont val="돋움"/>
            <family val="3"/>
            <charset val="129"/>
          </rPr>
          <t>수입이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플러스이면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예산보다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수입이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증가</t>
        </r>
        <r>
          <rPr>
            <b/>
            <sz val="9"/>
            <color indexed="81"/>
            <rFont val="Tahoma"/>
            <family val="2"/>
          </rPr>
          <t xml:space="preserve">,
</t>
        </r>
        <r>
          <rPr>
            <b/>
            <sz val="9"/>
            <color indexed="81"/>
            <rFont val="돋움"/>
            <family val="3"/>
            <charset val="129"/>
          </rPr>
          <t>소비성지출이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플러스이면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예산보다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소비
</t>
        </r>
        <r>
          <rPr>
            <b/>
            <sz val="9"/>
            <color indexed="81"/>
            <rFont val="Tahoma"/>
            <family val="2"/>
          </rPr>
          <t xml:space="preserve">=&gt; </t>
        </r>
        <r>
          <rPr>
            <b/>
            <sz val="9"/>
            <color indexed="81"/>
            <rFont val="돋움"/>
            <family val="3"/>
            <charset val="129"/>
          </rPr>
          <t>총계는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금액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총계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금액이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예산보다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실천을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했다는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뜻</t>
        </r>
        <r>
          <rPr>
            <b/>
            <sz val="9"/>
            <color indexed="81"/>
            <rFont val="Tahoma"/>
            <family val="2"/>
          </rPr>
          <t xml:space="preserve">! </t>
        </r>
        <r>
          <rPr>
            <b/>
            <sz val="9"/>
            <color indexed="81"/>
            <rFont val="돋움"/>
            <family val="3"/>
            <charset val="129"/>
          </rPr>
          <t>마이너스가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R5" authorId="0" shapeId="0" xr:uid="{E9784809-0E1A-40FD-A682-23B2D4515EB0}">
      <text>
        <r>
          <rPr>
            <b/>
            <sz val="9"/>
            <color indexed="81"/>
            <rFont val="돋움"/>
            <family val="3"/>
            <charset val="129"/>
          </rPr>
          <t>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저축성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메인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화면에서도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</text>
    </comment>
    <comment ref="R10" authorId="0" shapeId="0" xr:uid="{F2C291FD-1F66-4979-B1A1-2E599EB2E086}">
      <text>
        <r>
          <rPr>
            <b/>
            <sz val="9"/>
            <color indexed="81"/>
            <rFont val="돋움"/>
            <family val="3"/>
            <charset val="129"/>
          </rPr>
          <t>저축성지출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금액의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
장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돋움"/>
            <family val="3"/>
            <charset val="129"/>
          </rPr>
          <t>단기별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저축비율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파악에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용이</t>
        </r>
      </text>
    </comment>
    <comment ref="R21" authorId="0" shapeId="0" xr:uid="{3124696E-4AD2-4B7C-BB29-0D54389EE1AD}">
      <text>
        <r>
          <rPr>
            <b/>
            <sz val="9"/>
            <color indexed="81"/>
            <rFont val="돋움"/>
            <family val="3"/>
            <charset val="129"/>
          </rPr>
          <t>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소비성지출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메인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화면에서도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</text>
    </comment>
    <comment ref="R23" authorId="0" shapeId="0" xr:uid="{1FBD1DD5-DFD0-4BD8-92AD-8A49A5A2783A}">
      <text>
        <r>
          <rPr>
            <b/>
            <sz val="9"/>
            <color indexed="81"/>
            <rFont val="돋움"/>
            <family val="3"/>
            <charset val="129"/>
          </rPr>
          <t>소비성지출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항목의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D10" authorId="0" shapeId="0" xr:uid="{24EDAAB8-70CC-4C3E-A5E6-123CE56A0F29}">
      <text>
        <r>
          <rPr>
            <b/>
            <sz val="9"/>
            <color indexed="81"/>
            <rFont val="돋움"/>
            <family val="3"/>
            <charset val="129"/>
          </rPr>
          <t>전년도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순자산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L6" authorId="0" shapeId="0" xr:uid="{9D95E741-320F-45F7-86C1-5BF44E6657DB}">
      <text>
        <r>
          <rPr>
            <b/>
            <sz val="9"/>
            <color indexed="81"/>
            <rFont val="돋움"/>
            <family val="3"/>
            <charset val="129"/>
          </rPr>
          <t>일반과세는</t>
        </r>
        <r>
          <rPr>
            <b/>
            <sz val="9"/>
            <color indexed="81"/>
            <rFont val="Tahoma"/>
            <family val="2"/>
          </rPr>
          <t xml:space="preserve"> 15.4%
</t>
        </r>
        <r>
          <rPr>
            <b/>
            <sz val="9"/>
            <color indexed="81"/>
            <rFont val="돋움"/>
            <family val="3"/>
            <charset val="129"/>
          </rPr>
          <t>비과세인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우대세율은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은행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개인마다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입력해주세요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Mki J</author>
  </authors>
  <commentList>
    <comment ref="B6" authorId="0" shapeId="0" xr:uid="{2F1A0DEC-4FFA-418A-A890-62A6165B9008}">
      <text>
        <r>
          <rPr>
            <b/>
            <sz val="9"/>
            <color indexed="81"/>
            <rFont val="돋움"/>
            <family val="3"/>
            <charset val="129"/>
          </rPr>
          <t>거치기간 포함 총 상환 기간</t>
        </r>
      </text>
    </comment>
    <comment ref="D6" authorId="0" shapeId="0" xr:uid="{AE10907C-59B1-444F-A077-A9F3EA7E9C3F}">
      <text>
        <r>
          <rPr>
            <b/>
            <sz val="9"/>
            <color indexed="81"/>
            <rFont val="돋움"/>
            <family val="3"/>
            <charset val="129"/>
          </rPr>
          <t>거치기간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없을시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
개월수로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72567B-F4D5-4155-90DB-EB61A390FC0F}" keepAlive="1" name="쿼리 - 표1" description="통합 문서의 '표1' 쿼리에 대한 연결입니다." type="5" refreshedVersion="8" background="1" saveData="1">
    <dbPr connection="Provider=Microsoft.Mashup.OleDb.1;Data Source=$Workbook$;Location=표1;Extended Properties=&quot;&quot;" command="SELECT * FROM [표1]"/>
  </connection>
</connections>
</file>

<file path=xl/sharedStrings.xml><?xml version="1.0" encoding="utf-8"?>
<sst xmlns="http://schemas.openxmlformats.org/spreadsheetml/2006/main" count="1058" uniqueCount="362">
  <si>
    <t>날짜</t>
    <phoneticPr fontId="3" type="noConversion"/>
  </si>
  <si>
    <t>수입</t>
    <phoneticPr fontId="3" type="noConversion"/>
  </si>
  <si>
    <t>금액</t>
    <phoneticPr fontId="3" type="noConversion"/>
  </si>
  <si>
    <t>이월</t>
  </si>
  <si>
    <t>급여</t>
  </si>
  <si>
    <t>계</t>
    <phoneticPr fontId="3" type="noConversion"/>
  </si>
  <si>
    <t>의류</t>
  </si>
  <si>
    <t>식비</t>
    <phoneticPr fontId="3" type="noConversion"/>
  </si>
  <si>
    <t>퇴직연금</t>
  </si>
  <si>
    <t>대분류</t>
    <phoneticPr fontId="3" type="noConversion"/>
  </si>
  <si>
    <t>구분</t>
    <phoneticPr fontId="3" type="noConversion"/>
  </si>
  <si>
    <t>저축성지출</t>
    <phoneticPr fontId="3" type="noConversion"/>
  </si>
  <si>
    <t>주거비</t>
    <phoneticPr fontId="3" type="noConversion"/>
  </si>
  <si>
    <t>생활용품비</t>
    <phoneticPr fontId="3" type="noConversion"/>
  </si>
  <si>
    <t>의류비</t>
    <phoneticPr fontId="3" type="noConversion"/>
  </si>
  <si>
    <t>미용비</t>
    <phoneticPr fontId="3" type="noConversion"/>
  </si>
  <si>
    <t>문화생활비</t>
    <phoneticPr fontId="3" type="noConversion"/>
  </si>
  <si>
    <t>통신비</t>
    <phoneticPr fontId="3" type="noConversion"/>
  </si>
  <si>
    <t>이자</t>
  </si>
  <si>
    <t>예/적금</t>
  </si>
  <si>
    <t>가구/가전</t>
  </si>
  <si>
    <t>화장품구입</t>
  </si>
  <si>
    <t>핸드폰</t>
  </si>
  <si>
    <t>주택청약</t>
  </si>
  <si>
    <t>외식</t>
  </si>
  <si>
    <t>주방/욕실</t>
  </si>
  <si>
    <t>패션잡화</t>
  </si>
  <si>
    <t>의약품</t>
  </si>
  <si>
    <t>인터넷</t>
  </si>
  <si>
    <t>간식</t>
  </si>
  <si>
    <t>세탁비</t>
  </si>
  <si>
    <t>영양제</t>
  </si>
  <si>
    <t>비상금</t>
  </si>
  <si>
    <t>기타 의류</t>
  </si>
  <si>
    <t>투자</t>
  </si>
  <si>
    <t>커피숍</t>
  </si>
  <si>
    <t>기타 식비</t>
  </si>
  <si>
    <t>축의금</t>
  </si>
  <si>
    <t>조의금</t>
  </si>
  <si>
    <t>기부금</t>
  </si>
  <si>
    <t>모임회비</t>
  </si>
  <si>
    <t>선물</t>
  </si>
  <si>
    <t>기타 경조사</t>
  </si>
  <si>
    <t>소분류</t>
    <phoneticPr fontId="3" type="noConversion"/>
  </si>
  <si>
    <t>내용</t>
    <phoneticPr fontId="3" type="noConversion"/>
  </si>
  <si>
    <t>1월</t>
    <phoneticPr fontId="3" type="noConversion"/>
  </si>
  <si>
    <t>헤어샵</t>
    <phoneticPr fontId="3" type="noConversion"/>
  </si>
  <si>
    <t>의료비</t>
    <phoneticPr fontId="3" type="noConversion"/>
  </si>
  <si>
    <t>경조사회비</t>
    <phoneticPr fontId="3" type="noConversion"/>
  </si>
  <si>
    <t>2월</t>
  </si>
  <si>
    <t>2월</t>
    <phoneticPr fontId="3" type="noConversion"/>
  </si>
  <si>
    <t>3월</t>
  </si>
  <si>
    <t>3월</t>
    <phoneticPr fontId="3" type="noConversion"/>
  </si>
  <si>
    <t>4월</t>
  </si>
  <si>
    <t>4월</t>
    <phoneticPr fontId="3" type="noConversion"/>
  </si>
  <si>
    <t>5월</t>
  </si>
  <si>
    <t>5월</t>
    <phoneticPr fontId="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</si>
  <si>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</si>
  <si>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</si>
  <si>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</si>
  <si>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</si>
  <si>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</si>
  <si>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</si>
  <si>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</si>
  <si>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</si>
  <si>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차액</t>
    <phoneticPr fontId="3" type="noConversion"/>
  </si>
  <si>
    <t>6월</t>
    <phoneticPr fontId="3" type="noConversion"/>
  </si>
  <si>
    <t>7월</t>
    <phoneticPr fontId="3" type="noConversion"/>
  </si>
  <si>
    <t>8월</t>
    <phoneticPr fontId="3" type="noConversion"/>
  </si>
  <si>
    <t>9월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</si>
  <si>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</si>
  <si>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</si>
  <si>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</si>
  <si>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소비성지출</t>
    <phoneticPr fontId="3" type="noConversion"/>
  </si>
  <si>
    <t>원금</t>
    <phoneticPr fontId="3" type="noConversion"/>
  </si>
  <si>
    <t>과세</t>
    <phoneticPr fontId="3" type="noConversion"/>
  </si>
  <si>
    <t>이율</t>
    <phoneticPr fontId="3" type="noConversion"/>
  </si>
  <si>
    <t>회차</t>
    <phoneticPr fontId="3" type="noConversion"/>
  </si>
  <si>
    <t>가입기간</t>
    <phoneticPr fontId="3" type="noConversion"/>
  </si>
  <si>
    <t>은행</t>
  </si>
  <si>
    <t>비고</t>
  </si>
  <si>
    <t>남은기간</t>
    <phoneticPr fontId="3" type="noConversion"/>
  </si>
  <si>
    <t>종류</t>
    <phoneticPr fontId="3" type="noConversion"/>
  </si>
  <si>
    <t>계좌명</t>
    <phoneticPr fontId="3" type="noConversion"/>
  </si>
  <si>
    <t>월별 순수입 및 총지출</t>
    <phoneticPr fontId="3" type="noConversion"/>
  </si>
  <si>
    <t>비고</t>
    <phoneticPr fontId="3" type="noConversion"/>
  </si>
  <si>
    <t>처분소득</t>
    <phoneticPr fontId="3" type="noConversion"/>
  </si>
  <si>
    <t>잔액</t>
    <phoneticPr fontId="3" type="noConversion"/>
  </si>
  <si>
    <t>현재금액</t>
    <phoneticPr fontId="3" type="noConversion"/>
  </si>
  <si>
    <t>총계</t>
    <phoneticPr fontId="3" type="noConversion"/>
  </si>
  <si>
    <t>이월</t>
    <phoneticPr fontId="3" type="noConversion"/>
  </si>
  <si>
    <t>순수입</t>
    <phoneticPr fontId="3" type="noConversion"/>
  </si>
  <si>
    <t>총지출</t>
    <phoneticPr fontId="3" type="noConversion"/>
  </si>
  <si>
    <t>부수익</t>
    <phoneticPr fontId="3" type="noConversion"/>
  </si>
  <si>
    <t>이월금 제외</t>
    <phoneticPr fontId="3" type="noConversion"/>
  </si>
  <si>
    <t>고정수입</t>
    <phoneticPr fontId="3" type="noConversion"/>
  </si>
  <si>
    <t>총 수입</t>
    <phoneticPr fontId="3" type="noConversion"/>
  </si>
  <si>
    <t>총 지출</t>
    <phoneticPr fontId="3" type="noConversion"/>
  </si>
  <si>
    <t>└ 연간 항목별 지출</t>
    <phoneticPr fontId="3" type="noConversion"/>
  </si>
  <si>
    <t>└ 연간 세부항목별 지출</t>
    <phoneticPr fontId="3" type="noConversion"/>
  </si>
  <si>
    <t>▷ 수입</t>
    <phoneticPr fontId="3" type="noConversion"/>
  </si>
  <si>
    <t>▷ 지출</t>
    <phoneticPr fontId="3" type="noConversion"/>
  </si>
  <si>
    <t>술/회식</t>
    <phoneticPr fontId="3" type="noConversion"/>
  </si>
  <si>
    <t>계좌번호</t>
    <phoneticPr fontId="3" type="noConversion"/>
  </si>
  <si>
    <t>용도</t>
    <phoneticPr fontId="3" type="noConversion"/>
  </si>
  <si>
    <t>가입일</t>
    <phoneticPr fontId="3" type="noConversion"/>
  </si>
  <si>
    <t>만기일</t>
    <phoneticPr fontId="3" type="noConversion"/>
  </si>
  <si>
    <t>기간</t>
    <phoneticPr fontId="3" type="noConversion"/>
  </si>
  <si>
    <t>장기</t>
    <phoneticPr fontId="3" type="noConversion"/>
  </si>
  <si>
    <t>단기</t>
    <phoneticPr fontId="3" type="noConversion"/>
  </si>
  <si>
    <t>비율</t>
    <phoneticPr fontId="3" type="noConversion"/>
  </si>
  <si>
    <t>예상수령액</t>
    <phoneticPr fontId="3" type="noConversion"/>
  </si>
  <si>
    <t xml:space="preserve">- </t>
    <phoneticPr fontId="3" type="noConversion"/>
  </si>
  <si>
    <t>투자수익</t>
    <phoneticPr fontId="3" type="noConversion"/>
  </si>
  <si>
    <r>
      <rPr>
        <sz val="10"/>
        <color theme="2" tint="-0.499984740745262"/>
        <rFont val="맑은 고딕"/>
        <family val="3"/>
        <charset val="129"/>
      </rPr>
      <t xml:space="preserve">▷ </t>
    </r>
    <r>
      <rPr>
        <sz val="10"/>
        <color theme="2" tint="-0.499984740745262"/>
        <rFont val="맑은 고딕"/>
        <family val="3"/>
        <charset val="129"/>
        <scheme val="minor"/>
      </rPr>
      <t>항목설정</t>
    </r>
    <phoneticPr fontId="3" type="noConversion"/>
  </si>
  <si>
    <r>
      <rPr>
        <sz val="10"/>
        <color theme="2" tint="-0.499984740745262"/>
        <rFont val="맑은 고딕"/>
        <family val="3"/>
        <charset val="129"/>
      </rPr>
      <t xml:space="preserve">└ </t>
    </r>
    <r>
      <rPr>
        <sz val="10"/>
        <color theme="2" tint="-0.499984740745262"/>
        <rFont val="맑은 고딕"/>
        <family val="3"/>
        <charset val="129"/>
        <scheme val="minor"/>
      </rPr>
      <t>연간 항목별 수입</t>
    </r>
    <phoneticPr fontId="3" type="noConversion"/>
  </si>
  <si>
    <t>현재 잔액</t>
    <phoneticPr fontId="3" type="noConversion"/>
  </si>
  <si>
    <t>지출</t>
    <phoneticPr fontId="3" type="noConversion"/>
  </si>
  <si>
    <t>기타 용돈</t>
    <phoneticPr fontId="3" type="noConversion"/>
  </si>
  <si>
    <t>현금</t>
    <phoneticPr fontId="3" type="noConversion"/>
  </si>
  <si>
    <t>영화/관람</t>
    <phoneticPr fontId="3" type="noConversion"/>
  </si>
  <si>
    <t>여가</t>
    <phoneticPr fontId="3" type="noConversion"/>
  </si>
  <si>
    <t>여행</t>
    <phoneticPr fontId="3" type="noConversion"/>
  </si>
  <si>
    <t>병원</t>
    <phoneticPr fontId="3" type="noConversion"/>
  </si>
  <si>
    <t>필수지출</t>
    <phoneticPr fontId="3" type="noConversion"/>
  </si>
  <si>
    <t>신용카드 합계</t>
    <phoneticPr fontId="3" type="noConversion"/>
  </si>
  <si>
    <t>체크카드 합계</t>
    <phoneticPr fontId="3" type="noConversion"/>
  </si>
  <si>
    <t>주소득계</t>
    <phoneticPr fontId="3" type="noConversion"/>
  </si>
  <si>
    <t>부소득계</t>
    <phoneticPr fontId="3" type="noConversion"/>
  </si>
  <si>
    <t>수당</t>
    <phoneticPr fontId="3" type="noConversion"/>
  </si>
  <si>
    <t>상여</t>
    <phoneticPr fontId="3" type="noConversion"/>
  </si>
  <si>
    <t>주소득율</t>
    <phoneticPr fontId="3" type="noConversion"/>
  </si>
  <si>
    <t>부소득율</t>
    <phoneticPr fontId="3" type="noConversion"/>
  </si>
  <si>
    <t>유류비</t>
    <phoneticPr fontId="3" type="noConversion"/>
  </si>
  <si>
    <t>자동차세</t>
    <phoneticPr fontId="3" type="noConversion"/>
  </si>
  <si>
    <t>자동차보험</t>
    <phoneticPr fontId="3" type="noConversion"/>
  </si>
  <si>
    <t>자동차할부</t>
    <phoneticPr fontId="3" type="noConversion"/>
  </si>
  <si>
    <t>기타 유지비</t>
    <phoneticPr fontId="3" type="noConversion"/>
  </si>
  <si>
    <t>택시</t>
    <phoneticPr fontId="3" type="noConversion"/>
  </si>
  <si>
    <t>기차</t>
    <phoneticPr fontId="3" type="noConversion"/>
  </si>
  <si>
    <t>항공</t>
    <phoneticPr fontId="3" type="noConversion"/>
  </si>
  <si>
    <t>기타 교통</t>
    <phoneticPr fontId="3" type="noConversion"/>
  </si>
  <si>
    <t>IPTV</t>
    <phoneticPr fontId="3" type="noConversion"/>
  </si>
  <si>
    <t>우편/택배</t>
    <phoneticPr fontId="3" type="noConversion"/>
  </si>
  <si>
    <t>기타 통신</t>
    <phoneticPr fontId="3" type="noConversion"/>
  </si>
  <si>
    <t>월세</t>
    <phoneticPr fontId="3" type="noConversion"/>
  </si>
  <si>
    <t>대출이자</t>
    <phoneticPr fontId="3" type="noConversion"/>
  </si>
  <si>
    <t>관리비</t>
    <phoneticPr fontId="3" type="noConversion"/>
  </si>
  <si>
    <t>수도세</t>
    <phoneticPr fontId="3" type="noConversion"/>
  </si>
  <si>
    <t>전기세</t>
    <phoneticPr fontId="3" type="noConversion"/>
  </si>
  <si>
    <t>기타 주거비</t>
    <phoneticPr fontId="3" type="noConversion"/>
  </si>
  <si>
    <t>학교</t>
    <phoneticPr fontId="3" type="noConversion"/>
  </si>
  <si>
    <t>학원</t>
    <phoneticPr fontId="3" type="noConversion"/>
  </si>
  <si>
    <t>도서</t>
    <phoneticPr fontId="3" type="noConversion"/>
  </si>
  <si>
    <t>강의</t>
    <phoneticPr fontId="3" type="noConversion"/>
  </si>
  <si>
    <t>가스비</t>
    <phoneticPr fontId="3" type="noConversion"/>
  </si>
  <si>
    <t>재산세</t>
    <phoneticPr fontId="3" type="noConversion"/>
  </si>
  <si>
    <t>신용카드 비율</t>
    <phoneticPr fontId="3" type="noConversion"/>
  </si>
  <si>
    <t>체크카드 비율</t>
    <phoneticPr fontId="3" type="noConversion"/>
  </si>
  <si>
    <t>저축비율</t>
    <phoneticPr fontId="3" type="noConversion"/>
  </si>
  <si>
    <t>소비비율</t>
    <phoneticPr fontId="3" type="noConversion"/>
  </si>
  <si>
    <t>용돈지출</t>
    <phoneticPr fontId="3" type="noConversion"/>
  </si>
  <si>
    <t>계</t>
    <phoneticPr fontId="3" type="noConversion"/>
  </si>
  <si>
    <t>현금 합계</t>
    <phoneticPr fontId="3" type="noConversion"/>
  </si>
  <si>
    <t>현금 비율</t>
    <phoneticPr fontId="3" type="noConversion"/>
  </si>
  <si>
    <t>세전이자</t>
    <phoneticPr fontId="3" type="noConversion"/>
  </si>
  <si>
    <t>세후이자</t>
    <phoneticPr fontId="3" type="noConversion"/>
  </si>
  <si>
    <t>기타 생활용품</t>
    <phoneticPr fontId="3" type="noConversion"/>
  </si>
  <si>
    <t>첫째 용돈</t>
    <phoneticPr fontId="3" type="noConversion"/>
  </si>
  <si>
    <t>둘째 용돈</t>
    <phoneticPr fontId="3" type="noConversion"/>
  </si>
  <si>
    <t>친정 용돈</t>
    <phoneticPr fontId="3" type="noConversion"/>
  </si>
  <si>
    <t>시댁 용돈</t>
    <phoneticPr fontId="3" type="noConversion"/>
  </si>
  <si>
    <t>현재 잔액</t>
    <phoneticPr fontId="3" type="noConversion"/>
  </si>
  <si>
    <t>비상금1</t>
    <phoneticPr fontId="3" type="noConversion"/>
  </si>
  <si>
    <t>비상금2</t>
    <phoneticPr fontId="3" type="noConversion"/>
  </si>
  <si>
    <t>비상금3</t>
    <phoneticPr fontId="3" type="noConversion"/>
  </si>
  <si>
    <t>◀  항목</t>
    <phoneticPr fontId="3" type="noConversion"/>
  </si>
  <si>
    <t>◀  예산</t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</si>
  <si>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10월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</si>
  <si>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11월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</si>
  <si>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09월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</si>
  <si>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08월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</si>
  <si>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07월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</si>
  <si>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06월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</si>
  <si>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05월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</si>
  <si>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04월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</si>
  <si>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03월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</si>
  <si>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02월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</si>
  <si>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01월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</si>
  <si>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r>
      <rPr>
        <b/>
        <sz val="16"/>
        <color theme="2" tint="-0.499984740745262"/>
        <rFont val="맑은 고딕"/>
        <family val="3"/>
        <charset val="129"/>
        <scheme val="minor"/>
      </rPr>
      <t>◀</t>
    </r>
    <r>
      <rPr>
        <b/>
        <sz val="12"/>
        <color theme="2" tint="-0.499984740745262"/>
        <rFont val="맑은 고딕"/>
        <family val="3"/>
        <charset val="129"/>
        <scheme val="minor"/>
      </rPr>
      <t xml:space="preserve">                    12월                    </t>
    </r>
    <r>
      <rPr>
        <b/>
        <sz val="16"/>
        <color theme="2" tint="-0.499984740745262"/>
        <rFont val="맑은 고딕"/>
        <family val="3"/>
        <charset val="129"/>
        <scheme val="minor"/>
      </rPr>
      <t>▶</t>
    </r>
    <phoneticPr fontId="3" type="noConversion"/>
  </si>
  <si>
    <t>◀  결산</t>
    <phoneticPr fontId="3" type="noConversion"/>
  </si>
  <si>
    <t>◀  연간 항목별 수입</t>
    <phoneticPr fontId="3" type="noConversion"/>
  </si>
  <si>
    <t>◀  연간 항목별 지출</t>
    <phoneticPr fontId="3" type="noConversion"/>
  </si>
  <si>
    <t>◀  연간 세부항목별 지출</t>
    <phoneticPr fontId="3" type="noConversion"/>
  </si>
  <si>
    <t>◀  보유 계좌 현황</t>
    <phoneticPr fontId="3" type="noConversion"/>
  </si>
  <si>
    <t>No.</t>
    <phoneticPr fontId="3" type="noConversion"/>
  </si>
  <si>
    <t>기타 교육</t>
    <phoneticPr fontId="3" type="noConversion"/>
  </si>
  <si>
    <t>기타 자기계발</t>
    <phoneticPr fontId="3" type="noConversion"/>
  </si>
  <si>
    <t>부가수입</t>
    <phoneticPr fontId="3" type="noConversion"/>
  </si>
  <si>
    <t>◀  연간 카드별 지출</t>
    <phoneticPr fontId="3" type="noConversion"/>
  </si>
  <si>
    <t>지출구분</t>
    <phoneticPr fontId="3" type="noConversion"/>
  </si>
  <si>
    <t>가입기간</t>
    <phoneticPr fontId="3" type="noConversion"/>
  </si>
  <si>
    <t>남은기간</t>
    <phoneticPr fontId="3" type="noConversion"/>
  </si>
  <si>
    <t>가입일</t>
    <phoneticPr fontId="3" type="noConversion"/>
  </si>
  <si>
    <t>만기일</t>
    <phoneticPr fontId="3" type="noConversion"/>
  </si>
  <si>
    <t>은행</t>
    <phoneticPr fontId="3" type="noConversion"/>
  </si>
  <si>
    <t>예금명</t>
    <phoneticPr fontId="3" type="noConversion"/>
  </si>
  <si>
    <t>적금명</t>
    <phoneticPr fontId="3" type="noConversion"/>
  </si>
  <si>
    <t>중기</t>
    <phoneticPr fontId="3" type="noConversion"/>
  </si>
  <si>
    <t>예금관리</t>
    <phoneticPr fontId="3" type="noConversion"/>
  </si>
  <si>
    <t>계좌현황</t>
    <phoneticPr fontId="3" type="noConversion"/>
  </si>
  <si>
    <t>비상금관리</t>
    <phoneticPr fontId="3" type="noConversion"/>
  </si>
  <si>
    <t>적금관리</t>
    <phoneticPr fontId="3" type="noConversion"/>
  </si>
  <si>
    <t>총계</t>
    <phoneticPr fontId="3" type="noConversion"/>
  </si>
  <si>
    <t>월 적립액</t>
    <phoneticPr fontId="3" type="noConversion"/>
  </si>
  <si>
    <t>방식</t>
    <phoneticPr fontId="3" type="noConversion"/>
  </si>
  <si>
    <t>◀  예금관리</t>
    <phoneticPr fontId="3" type="noConversion"/>
  </si>
  <si>
    <t>◀  적금관리</t>
    <phoneticPr fontId="3" type="noConversion"/>
  </si>
  <si>
    <t>◀  비상금관리</t>
    <phoneticPr fontId="3" type="noConversion"/>
  </si>
  <si>
    <t>기간</t>
    <phoneticPr fontId="3" type="noConversion"/>
  </si>
  <si>
    <t>3년이상 예적금 등</t>
    <phoneticPr fontId="3" type="noConversion"/>
  </si>
  <si>
    <t>입출금, 비상금, 3년미만 예적금 등</t>
    <phoneticPr fontId="3" type="noConversion"/>
  </si>
  <si>
    <t>◀  자산현황</t>
    <phoneticPr fontId="3" type="noConversion"/>
  </si>
  <si>
    <t>└ 연간 카드별 지출</t>
    <phoneticPr fontId="3" type="noConversion"/>
  </si>
  <si>
    <t>대출명</t>
    <phoneticPr fontId="3" type="noConversion"/>
  </si>
  <si>
    <t>대출금액</t>
    <phoneticPr fontId="3" type="noConversion"/>
  </si>
  <si>
    <t>대출일</t>
    <phoneticPr fontId="3" type="noConversion"/>
  </si>
  <si>
    <t>상환방법</t>
    <phoneticPr fontId="3" type="noConversion"/>
  </si>
  <si>
    <t>원리금균등상환</t>
  </si>
  <si>
    <t>총 상환금액</t>
    <phoneticPr fontId="3" type="noConversion"/>
  </si>
  <si>
    <t>상환일</t>
    <phoneticPr fontId="3" type="noConversion"/>
  </si>
  <si>
    <t>상환만기일</t>
    <phoneticPr fontId="3" type="noConversion"/>
  </si>
  <si>
    <t>연이자율</t>
    <phoneticPr fontId="3" type="noConversion"/>
  </si>
  <si>
    <t>총 대출이자</t>
    <phoneticPr fontId="3" type="noConversion"/>
  </si>
  <si>
    <t>납입원금</t>
    <phoneticPr fontId="3" type="noConversion"/>
  </si>
  <si>
    <t>월상환금</t>
    <phoneticPr fontId="3" type="noConversion"/>
  </si>
  <si>
    <t>대출잔금</t>
    <phoneticPr fontId="3" type="noConversion"/>
  </si>
  <si>
    <t>누적상환금</t>
    <phoneticPr fontId="3" type="noConversion"/>
  </si>
  <si>
    <t>현재누적상환금</t>
    <phoneticPr fontId="3" type="noConversion"/>
  </si>
  <si>
    <t>현재대출잔금</t>
    <phoneticPr fontId="3" type="noConversion"/>
  </si>
  <si>
    <t>부채</t>
    <phoneticPr fontId="3" type="noConversion"/>
  </si>
  <si>
    <t>금융자산 총계</t>
    <phoneticPr fontId="3" type="noConversion"/>
  </si>
  <si>
    <t>부동자산</t>
    <phoneticPr fontId="3" type="noConversion"/>
  </si>
  <si>
    <t>부채관리</t>
    <phoneticPr fontId="3" type="noConversion"/>
  </si>
  <si>
    <t>부동자산 총계</t>
    <phoneticPr fontId="3" type="noConversion"/>
  </si>
  <si>
    <t>순자산</t>
    <phoneticPr fontId="3" type="noConversion"/>
  </si>
  <si>
    <t>전세보증금</t>
    <phoneticPr fontId="3" type="noConversion"/>
  </si>
  <si>
    <t>자동차(추정)</t>
    <phoneticPr fontId="3" type="noConversion"/>
  </si>
  <si>
    <t>◀  부채관리</t>
    <phoneticPr fontId="3" type="noConversion"/>
  </si>
  <si>
    <t>금융자산</t>
    <phoneticPr fontId="3" type="noConversion"/>
  </si>
  <si>
    <t>내용</t>
    <phoneticPr fontId="3" type="noConversion"/>
  </si>
  <si>
    <t>금액</t>
    <phoneticPr fontId="3" type="noConversion"/>
  </si>
  <si>
    <t>비율</t>
    <phoneticPr fontId="3" type="noConversion"/>
  </si>
  <si>
    <t>계</t>
    <phoneticPr fontId="3" type="noConversion"/>
  </si>
  <si>
    <t>No.</t>
    <phoneticPr fontId="3" type="noConversion"/>
  </si>
  <si>
    <t>순자산 대비 부채비율</t>
    <phoneticPr fontId="3" type="noConversion"/>
  </si>
  <si>
    <t>순자산 증가율</t>
    <phoneticPr fontId="3" type="noConversion"/>
  </si>
  <si>
    <t>전년도 순자산</t>
    <phoneticPr fontId="3" type="noConversion"/>
  </si>
  <si>
    <t>현재 순자산</t>
    <phoneticPr fontId="3" type="noConversion"/>
  </si>
  <si>
    <t>현재저축액</t>
    <phoneticPr fontId="3" type="noConversion"/>
  </si>
  <si>
    <t>만기시 원금</t>
    <phoneticPr fontId="3" type="noConversion"/>
  </si>
  <si>
    <t>교육계발비</t>
    <phoneticPr fontId="3" type="noConversion"/>
  </si>
  <si>
    <t>유류교통비</t>
    <phoneticPr fontId="3" type="noConversion"/>
  </si>
  <si>
    <t>계좌이체</t>
    <phoneticPr fontId="3" type="noConversion"/>
  </si>
  <si>
    <t>기타 수입</t>
    <phoneticPr fontId="3" type="noConversion"/>
  </si>
  <si>
    <t>수입 지출 차액</t>
    <phoneticPr fontId="3" type="noConversion"/>
  </si>
  <si>
    <t>지출 총계</t>
    <phoneticPr fontId="3" type="noConversion"/>
  </si>
  <si>
    <t>수입 총계</t>
    <phoneticPr fontId="3" type="noConversion"/>
  </si>
  <si>
    <t>오피스/문구</t>
    <phoneticPr fontId="3" type="noConversion"/>
  </si>
  <si>
    <t>부모님 용돈</t>
    <phoneticPr fontId="3" type="noConversion"/>
  </si>
  <si>
    <t>◀  대출1</t>
    <phoneticPr fontId="3" type="noConversion"/>
  </si>
  <si>
    <t>◀  대출2</t>
    <phoneticPr fontId="3" type="noConversion"/>
  </si>
  <si>
    <t>대출금액</t>
    <phoneticPr fontId="3" type="noConversion"/>
  </si>
  <si>
    <t>비율</t>
    <phoneticPr fontId="3" type="noConversion"/>
  </si>
  <si>
    <t>▷ 자산현황</t>
  </si>
  <si>
    <t>▷ 결산</t>
  </si>
  <si>
    <t>▷ 예산</t>
  </si>
  <si>
    <t>반려동물비</t>
    <phoneticPr fontId="3" type="noConversion"/>
  </si>
  <si>
    <t>사료/간식</t>
    <phoneticPr fontId="3" type="noConversion"/>
  </si>
  <si>
    <t>용품/장난감</t>
    <phoneticPr fontId="3" type="noConversion"/>
  </si>
  <si>
    <t>미용</t>
    <phoneticPr fontId="3" type="noConversion"/>
  </si>
  <si>
    <t>병원/접종</t>
    <phoneticPr fontId="3" type="noConversion"/>
  </si>
  <si>
    <t>기타 반려동물</t>
    <phoneticPr fontId="3" type="noConversion"/>
  </si>
  <si>
    <t>월목표저축액</t>
    <phoneticPr fontId="3" type="noConversion"/>
  </si>
  <si>
    <t>월목표저축률</t>
    <phoneticPr fontId="3" type="noConversion"/>
  </si>
  <si>
    <t>월별 리포트</t>
    <phoneticPr fontId="3" type="noConversion"/>
  </si>
  <si>
    <t>지출 내용</t>
    <phoneticPr fontId="3" type="noConversion"/>
  </si>
  <si>
    <t>이번달 목표</t>
    <phoneticPr fontId="3" type="noConversion"/>
  </si>
  <si>
    <t>월간 항목별 지출 차트</t>
    <phoneticPr fontId="3" type="noConversion"/>
  </si>
  <si>
    <t>신한체크</t>
    <phoneticPr fontId="3" type="noConversion"/>
  </si>
  <si>
    <t>현대신용</t>
    <phoneticPr fontId="3" type="noConversion"/>
  </si>
  <si>
    <t>버스/지하철</t>
    <phoneticPr fontId="3" type="noConversion"/>
  </si>
  <si>
    <t>기타 미용</t>
    <phoneticPr fontId="3" type="noConversion"/>
  </si>
  <si>
    <t>OTT</t>
    <phoneticPr fontId="3" type="noConversion"/>
  </si>
  <si>
    <t>기타 문화생활</t>
    <phoneticPr fontId="3" type="noConversion"/>
  </si>
  <si>
    <t>기타 저축</t>
    <phoneticPr fontId="3" type="noConversion"/>
  </si>
  <si>
    <t>기타 의료비</t>
    <phoneticPr fontId="3" type="noConversion"/>
  </si>
  <si>
    <t>보험료</t>
    <phoneticPr fontId="3" type="noConversion"/>
  </si>
  <si>
    <t>주담대 이자</t>
    <phoneticPr fontId="3" type="noConversion"/>
  </si>
  <si>
    <t>주담대 원금</t>
    <phoneticPr fontId="3" type="noConversion"/>
  </si>
  <si>
    <t>저축성지출 계</t>
    <phoneticPr fontId="3" type="noConversion"/>
  </si>
  <si>
    <t>소비성지출 계</t>
    <phoneticPr fontId="3" type="noConversion"/>
  </si>
  <si>
    <t>기관명</t>
    <phoneticPr fontId="3" type="noConversion"/>
  </si>
  <si>
    <t>실 지출</t>
    <phoneticPr fontId="3" type="noConversion"/>
  </si>
  <si>
    <t>예산 잔액</t>
    <phoneticPr fontId="3" type="noConversion"/>
  </si>
  <si>
    <t>변동지출 예산</t>
    <phoneticPr fontId="3" type="noConversion"/>
  </si>
  <si>
    <t>총 예산</t>
    <phoneticPr fontId="3" type="noConversion"/>
  </si>
  <si>
    <t>실지출 계</t>
    <phoneticPr fontId="3" type="noConversion"/>
  </si>
  <si>
    <t>고정지출 작성칸</t>
    <phoneticPr fontId="3" type="noConversion"/>
  </si>
  <si>
    <t>목표금액</t>
    <phoneticPr fontId="3" type="noConversion"/>
  </si>
  <si>
    <t>시작금액</t>
    <phoneticPr fontId="3" type="noConversion"/>
  </si>
  <si>
    <t>필요금액</t>
    <phoneticPr fontId="3" type="noConversion"/>
  </si>
  <si>
    <t>시작일</t>
    <phoneticPr fontId="3" type="noConversion"/>
  </si>
  <si>
    <t>목표일</t>
    <phoneticPr fontId="3" type="noConversion"/>
  </si>
  <si>
    <t>현재일</t>
    <phoneticPr fontId="3" type="noConversion"/>
  </si>
  <si>
    <t>총 기간</t>
    <phoneticPr fontId="3" type="noConversion"/>
  </si>
  <si>
    <t>모은금액</t>
    <phoneticPr fontId="3" type="noConversion"/>
  </si>
  <si>
    <t>남은금액</t>
    <phoneticPr fontId="3" type="noConversion"/>
  </si>
  <si>
    <t>달성률</t>
    <phoneticPr fontId="3" type="noConversion"/>
  </si>
  <si>
    <t>월 목표저축액</t>
    <phoneticPr fontId="3" type="noConversion"/>
  </si>
  <si>
    <t>저축계획</t>
    <phoneticPr fontId="3" type="noConversion"/>
  </si>
  <si>
    <t>상환기간(개월)</t>
    <phoneticPr fontId="3" type="noConversion"/>
  </si>
  <si>
    <t>남은기간(개월)</t>
    <phoneticPr fontId="3" type="noConversion"/>
  </si>
  <si>
    <t xml:space="preserve"> </t>
    <phoneticPr fontId="3" type="noConversion"/>
  </si>
  <si>
    <t>3년 초과, 주택청약, 퇴직연금 등</t>
    <phoneticPr fontId="3" type="noConversion"/>
  </si>
  <si>
    <t>기타 잡지출</t>
    <phoneticPr fontId="3" type="noConversion"/>
  </si>
  <si>
    <t>멤버십</t>
    <phoneticPr fontId="3" type="noConversion"/>
  </si>
  <si>
    <t>소비 계</t>
    <phoneticPr fontId="3" type="noConversion"/>
  </si>
  <si>
    <t>시장/마트</t>
    <phoneticPr fontId="3" type="noConversion"/>
  </si>
  <si>
    <t>◀  대출3</t>
    <phoneticPr fontId="3" type="noConversion"/>
  </si>
  <si>
    <t>탭다 엑셀 양식 사용 안내</t>
    <phoneticPr fontId="3" type="noConversion"/>
  </si>
  <si>
    <t>탭다 블로그 내 엑셀 양식은</t>
    <phoneticPr fontId="3" type="noConversion"/>
  </si>
  <si>
    <r>
      <t xml:space="preserve">사용 범위를 준수할 경우 모두 </t>
    </r>
    <r>
      <rPr>
        <b/>
        <sz val="12"/>
        <color rgb="FFC00000"/>
        <rFont val="맑은 고딕"/>
        <family val="3"/>
        <charset val="129"/>
        <scheme val="minor"/>
      </rPr>
      <t>무료</t>
    </r>
    <r>
      <rPr>
        <sz val="12"/>
        <color theme="1"/>
        <rFont val="맑은 고딕"/>
        <family val="2"/>
        <charset val="129"/>
        <scheme val="minor"/>
      </rPr>
      <t xml:space="preserve">입니다. </t>
    </r>
  </si>
  <si>
    <t>금지 사항 적발 시 관련법에 의거 제재 및 법적 처벌을 받을 수 있습니다.</t>
    <phoneticPr fontId="3" type="noConversion"/>
  </si>
  <si>
    <t>O</t>
    <phoneticPr fontId="3" type="noConversion"/>
  </si>
  <si>
    <t>X</t>
    <phoneticPr fontId="3" type="noConversion"/>
  </si>
  <si>
    <t>개인적 비상업적 용도의 사용</t>
    <phoneticPr fontId="3" type="noConversion"/>
  </si>
  <si>
    <t>디자인 무단 도용 및 판매 금지</t>
    <phoneticPr fontId="3" type="noConversion"/>
  </si>
  <si>
    <t>온라인 및 오프라인 이용 가능</t>
    <phoneticPr fontId="3" type="noConversion"/>
  </si>
  <si>
    <t>재배포(개인적, 비상업적 용도라도) 금지</t>
    <phoneticPr fontId="3" type="noConversion"/>
  </si>
  <si>
    <t>회사원 개인의 회사 내부 보고, 제출, 공유용</t>
    <phoneticPr fontId="3" type="noConversion"/>
  </si>
  <si>
    <t>외부 유출, 대외적 게시 금지</t>
    <phoneticPr fontId="3" type="noConversion"/>
  </si>
  <si>
    <t>비영리 단체에서의 사용</t>
    <phoneticPr fontId="3" type="noConversion"/>
  </si>
  <si>
    <t>영리 목적의 강의에 사용 금지</t>
    <phoneticPr fontId="3" type="noConversion"/>
  </si>
  <si>
    <t>기타 이에 준하는 모든 상업적 유사 행위 금지</t>
    <phoneticPr fontId="3" type="noConversion"/>
  </si>
  <si>
    <t>탭다의 최신 소식을 가장 빨리 받는 방법!</t>
    <phoneticPr fontId="3" type="noConversion"/>
  </si>
  <si>
    <t>카카오톡 친구 검색에서 '탭다'를 찾아 친구 추가하기!</t>
    <phoneticPr fontId="3" type="noConversion"/>
  </si>
  <si>
    <t>탭다 블로그 북마크 또는 즐겨찾기 http://tabda.tistory.com</t>
    <phoneticPr fontId="3" type="noConversion"/>
  </si>
  <si>
    <t>탭다 엑셀 양식이 마음에 드셨나요?</t>
    <phoneticPr fontId="3" type="noConversion"/>
  </si>
  <si>
    <r>
      <t xml:space="preserve">지금 블로그, SNS에 </t>
    </r>
    <r>
      <rPr>
        <b/>
        <sz val="12"/>
        <color rgb="FFC00000"/>
        <rFont val="맑은 고딕"/>
        <family val="3"/>
        <charset val="129"/>
        <scheme val="minor"/>
      </rPr>
      <t>탭다를 홍보해주세요.</t>
    </r>
    <phoneticPr fontId="3" type="noConversion"/>
  </si>
  <si>
    <t>#탭다, #무료엑셀양식, #고퀄리티, #개이득</t>
    <phoneticPr fontId="3" type="noConversion"/>
  </si>
  <si>
    <t>여러분들의 우쭈쭈는 저에게 큰 힘이 됩니다.</t>
    <phoneticPr fontId="3" type="noConversion"/>
  </si>
  <si>
    <t>탭다 엑셀 양식이 유용하셨나요?</t>
    <phoneticPr fontId="3" type="noConversion"/>
  </si>
  <si>
    <t>앞으로도 고퀄리티 엑셀 양식이 꾸준히</t>
    <phoneticPr fontId="3" type="noConversion"/>
  </si>
  <si>
    <r>
      <t xml:space="preserve">만들어질 수 있도록 </t>
    </r>
    <r>
      <rPr>
        <b/>
        <sz val="12"/>
        <color rgb="FFC00000"/>
        <rFont val="맑은 고딕"/>
        <family val="3"/>
        <charset val="129"/>
        <scheme val="minor"/>
      </rPr>
      <t>탭다를 후원해주세요.</t>
    </r>
    <phoneticPr fontId="3" type="noConversion"/>
  </si>
  <si>
    <t>여러분들의 피드백에 더 나은 컨텐츠 제작으로 보답하겠습니다.</t>
    <phoneticPr fontId="3" type="noConversion"/>
  </si>
  <si>
    <r>
      <t>네이버 페이 포인트 선물하기 : mkjang0202</t>
    </r>
    <r>
      <rPr>
        <b/>
        <sz val="10"/>
        <color theme="1"/>
        <rFont val="맑은 고딕"/>
        <family val="3"/>
        <charset val="129"/>
        <scheme val="minor"/>
      </rPr>
      <t>(네이버 앱→메뉴→네이버 페이→포인트 선물)</t>
    </r>
    <phoneticPr fontId="3" type="noConversion"/>
  </si>
  <si>
    <t>계좌 후원 : 국민은행 240802-04-160014 장*경</t>
    <phoneticPr fontId="3" type="noConversion"/>
  </si>
  <si>
    <t>문의 : 카카오톡 1:1 오픈채팅에서 '탭다' 검색</t>
    <phoneticPr fontId="3" type="noConversion"/>
  </si>
  <si>
    <t xml:space="preserve">    오픈채팅 입장 링크 및 QR코드 →</t>
    <phoneticPr fontId="3" type="noConversion"/>
  </si>
  <si>
    <t>https://open.kakao.com/o/s3L8L5Tb</t>
    <phoneticPr fontId="3" type="noConversion"/>
  </si>
  <si>
    <t>거치기간(개월)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</si>
</sst>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_-* #,##0_-;\-* #,##0_-;_-* &quot;-&quot;??_-;_-@_-"/>
    <numFmt numFmtId="177" formatCode="0.0%"/>
    <numFmt numFmtId="178" formatCode="General&quot;개월&quot;"/>
    <numFmt numFmtId="179" formatCode="General&quot;개&quot;&quot;월&quot;"/>
    <numFmt numFmtId="180" formatCode="yyyy\.mm\.dd;@"/>
    <numFmt numFmtId="181" formatCode="0_ "/>
    <numFmt numFmtId="182" formatCode="[$NZD]\ #,##0.0"/>
    <numFmt numFmtId="183" formatCode="[$NZD]\ #,##0.0_);[Red]\([$NZD]\ #,##0.0\)"/>
    <numFmt numFmtId="184" formatCode="_-[$NZD]\ * #,##0.0_-;\-[$NZD]\ * #,##0.0_-;_-[$NZD]\ * &quot;-&quot;?_-;_-@_-"/>
    <numFmt numFmtId="185" formatCode="_-[$NZD]\ * #,##0.00_-;\-[$NZD]\ * #,##0.00_-;_-[$NZD]\ * &quot;-&quot;??_-;_-@_-"/>
    <numFmt numFmtId="186" formatCode="[$NZD]\ #,##0.00_);[Red]\([$NZD]\ #,##0.00\)"/>
    <numFmt numFmtId="187" formatCode="[$NZD]\ #,##0.00"/>
    <numFmt numFmtId="188" formatCode="_-[$NZD]\ * #,##0.00_-;\-[$NZD]\ * #,##0.00_-;_-[$NZD]\ * &quot;-&quot;?_-;_-@_-"/>
    <numFmt numFmtId="189" formatCode="[$$-C09]#,##0.00"/>
    <numFmt numFmtId="190" formatCode="[$$-C09]#,##0.00;[Red]\-[$$-C09]#,##0.00"/>
  </numFmts>
  <fonts count="49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 tint="0.34998626667073579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1"/>
      <color theme="2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theme="2" tint="-0.74999237037263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2" tint="-0.499984740745262"/>
      <name val="맑은 고딕"/>
      <family val="3"/>
      <charset val="129"/>
      <scheme val="minor"/>
    </font>
    <font>
      <b/>
      <sz val="12"/>
      <color theme="2" tint="-0.499984740745262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5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</font>
    <font>
      <b/>
      <sz val="9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2" tint="-0.749992370372631"/>
      <name val="맑은 고딕"/>
      <family val="3"/>
      <charset val="129"/>
      <scheme val="minor"/>
    </font>
    <font>
      <b/>
      <sz val="16"/>
      <color theme="2" tint="-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11"/>
      <color theme="2" tint="-0.499984740745262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26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rgb="FFC0000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u/>
      <sz val="10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72">
    <border>
      <left/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</cellStyleXfs>
  <cellXfs count="634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 indent="1"/>
    </xf>
    <xf numFmtId="0" fontId="7" fillId="0" borderId="0" xfId="0" applyFont="1">
      <alignment vertical="center"/>
    </xf>
    <xf numFmtId="0" fontId="6" fillId="0" borderId="10" xfId="0" applyFont="1" applyBorder="1">
      <alignment vertical="center"/>
    </xf>
    <xf numFmtId="0" fontId="6" fillId="0" borderId="10" xfId="0" applyFont="1" applyBorder="1" applyAlignment="1">
      <alignment horizontal="left" vertical="center" indent="1"/>
    </xf>
    <xf numFmtId="14" fontId="7" fillId="4" borderId="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 indent="1"/>
    </xf>
    <xf numFmtId="41" fontId="7" fillId="4" borderId="2" xfId="1" applyFont="1" applyFill="1" applyBorder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left" vertical="center" indent="1"/>
    </xf>
    <xf numFmtId="41" fontId="7" fillId="4" borderId="4" xfId="1" applyFont="1" applyFill="1" applyBorder="1">
      <alignment vertical="center"/>
    </xf>
    <xf numFmtId="0" fontId="0" fillId="5" borderId="0" xfId="0" applyFill="1">
      <alignment vertical="center"/>
    </xf>
    <xf numFmtId="0" fontId="4" fillId="4" borderId="1" xfId="0" applyFont="1" applyFill="1" applyBorder="1" applyAlignment="1">
      <alignment horizontal="center" vertical="center"/>
    </xf>
    <xf numFmtId="41" fontId="4" fillId="4" borderId="8" xfId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41" fontId="9" fillId="2" borderId="9" xfId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41" fontId="9" fillId="2" borderId="21" xfId="1" applyFont="1" applyFill="1" applyBorder="1" applyAlignment="1">
      <alignment horizontal="center" vertical="center"/>
    </xf>
    <xf numFmtId="41" fontId="9" fillId="2" borderId="20" xfId="1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41" fontId="9" fillId="2" borderId="23" xfId="1" applyFont="1" applyFill="1" applyBorder="1" applyAlignment="1">
      <alignment horizontal="center" vertical="center"/>
    </xf>
    <xf numFmtId="41" fontId="9" fillId="2" borderId="22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177" fontId="4" fillId="0" borderId="0" xfId="2" applyNumberFormat="1" applyFont="1">
      <alignment vertical="center"/>
    </xf>
    <xf numFmtId="0" fontId="8" fillId="0" borderId="0" xfId="0" applyFont="1" applyAlignment="1"/>
    <xf numFmtId="0" fontId="7" fillId="2" borderId="5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41" fontId="7" fillId="4" borderId="7" xfId="1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7" fillId="4" borderId="3" xfId="0" applyFont="1" applyFill="1" applyBorder="1" applyAlignment="1">
      <alignment horizontal="center" vertical="center"/>
    </xf>
    <xf numFmtId="41" fontId="7" fillId="4" borderId="8" xfId="1" applyFont="1" applyFill="1" applyBorder="1">
      <alignment vertical="center"/>
    </xf>
    <xf numFmtId="41" fontId="7" fillId="4" borderId="7" xfId="1" applyFont="1" applyFill="1" applyBorder="1">
      <alignment vertical="center"/>
    </xf>
    <xf numFmtId="14" fontId="7" fillId="4" borderId="7" xfId="0" applyNumberFormat="1" applyFont="1" applyFill="1" applyBorder="1" applyAlignment="1">
      <alignment horizontal="center" vertical="center"/>
    </xf>
    <xf numFmtId="41" fontId="7" fillId="4" borderId="12" xfId="1" applyFont="1" applyFill="1" applyBorder="1">
      <alignment vertical="center"/>
    </xf>
    <xf numFmtId="0" fontId="11" fillId="0" borderId="0" xfId="0" applyFont="1">
      <alignment vertical="center"/>
    </xf>
    <xf numFmtId="14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1" fontId="10" fillId="0" borderId="0" xfId="1" applyFont="1">
      <alignment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41" fontId="7" fillId="4" borderId="45" xfId="1" applyFont="1" applyFill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5" borderId="0" xfId="0" applyFont="1" applyFill="1">
      <alignment vertical="center"/>
    </xf>
    <xf numFmtId="0" fontId="14" fillId="5" borderId="0" xfId="0" applyFont="1" applyFill="1" applyAlignment="1">
      <alignment horizontal="center" vertical="center"/>
    </xf>
    <xf numFmtId="0" fontId="6" fillId="5" borderId="0" xfId="0" applyFont="1" applyFill="1">
      <alignment vertical="center"/>
    </xf>
    <xf numFmtId="0" fontId="15" fillId="5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12" fillId="0" borderId="0" xfId="1" applyFont="1" applyAlignment="1">
      <alignment horizontal="center" vertical="center"/>
    </xf>
    <xf numFmtId="41" fontId="7" fillId="4" borderId="8" xfId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3" fillId="3" borderId="10" xfId="0" applyFont="1" applyFill="1" applyBorder="1">
      <alignment vertical="center"/>
    </xf>
    <xf numFmtId="0" fontId="16" fillId="5" borderId="0" xfId="0" applyFont="1" applyFill="1" applyAlignment="1">
      <alignment horizontal="center" vertical="center"/>
    </xf>
    <xf numFmtId="41" fontId="17" fillId="0" borderId="0" xfId="0" applyNumberFormat="1" applyFont="1">
      <alignment vertical="center"/>
    </xf>
    <xf numFmtId="41" fontId="18" fillId="0" borderId="10" xfId="1" applyFont="1" applyBorder="1">
      <alignment vertical="center"/>
    </xf>
    <xf numFmtId="41" fontId="18" fillId="0" borderId="10" xfId="0" applyNumberFormat="1" applyFont="1" applyBorder="1">
      <alignment vertical="center"/>
    </xf>
    <xf numFmtId="41" fontId="7" fillId="4" borderId="2" xfId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0" borderId="0" xfId="1" applyNumberFormat="1" applyFont="1" applyAlignment="1">
      <alignment horizontal="left" vertical="center"/>
    </xf>
    <xf numFmtId="41" fontId="15" fillId="5" borderId="0" xfId="1" applyFont="1" applyFill="1">
      <alignment vertical="center"/>
    </xf>
    <xf numFmtId="41" fontId="12" fillId="0" borderId="0" xfId="1" applyFont="1" applyAlignment="1">
      <alignment horizontal="left" vertical="center"/>
    </xf>
    <xf numFmtId="14" fontId="7" fillId="0" borderId="46" xfId="0" applyNumberFormat="1" applyFont="1" applyBorder="1" applyAlignment="1">
      <alignment horizontal="center" vertical="center"/>
    </xf>
    <xf numFmtId="0" fontId="7" fillId="0" borderId="46" xfId="0" applyFont="1" applyBorder="1" applyAlignment="1">
      <alignment horizontal="left" vertical="center" indent="1"/>
    </xf>
    <xf numFmtId="41" fontId="7" fillId="0" borderId="46" xfId="1" applyFont="1" applyBorder="1">
      <alignment vertical="center"/>
    </xf>
    <xf numFmtId="0" fontId="7" fillId="0" borderId="46" xfId="0" applyFont="1" applyBorder="1" applyAlignment="1">
      <alignment horizontal="center" vertical="center"/>
    </xf>
    <xf numFmtId="41" fontId="14" fillId="0" borderId="0" xfId="0" applyNumberFormat="1" applyFont="1">
      <alignment vertical="center"/>
    </xf>
    <xf numFmtId="0" fontId="12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left" vertical="center" indent="1"/>
    </xf>
    <xf numFmtId="41" fontId="12" fillId="0" borderId="10" xfId="1" applyFont="1" applyBorder="1">
      <alignment vertical="center"/>
    </xf>
    <xf numFmtId="0" fontId="12" fillId="0" borderId="0" xfId="0" applyFont="1" applyAlignment="1">
      <alignment horizontal="left" vertical="center" indent="1"/>
    </xf>
    <xf numFmtId="41" fontId="18" fillId="0" borderId="10" xfId="0" applyNumberFormat="1" applyFont="1" applyBorder="1" applyAlignment="1">
      <alignment horizontal="center" vertical="center"/>
    </xf>
    <xf numFmtId="41" fontId="18" fillId="0" borderId="0" xfId="1" applyFont="1" applyAlignment="1">
      <alignment horizontal="center" vertical="center"/>
    </xf>
    <xf numFmtId="14" fontId="16" fillId="5" borderId="10" xfId="0" applyNumberFormat="1" applyFont="1" applyFill="1" applyBorder="1" applyAlignment="1">
      <alignment horizontal="center" vertical="center"/>
    </xf>
    <xf numFmtId="14" fontId="16" fillId="5" borderId="0" xfId="0" applyNumberFormat="1" applyFont="1" applyFill="1" applyAlignment="1">
      <alignment horizontal="center" vertical="center"/>
    </xf>
    <xf numFmtId="41" fontId="18" fillId="0" borderId="26" xfId="0" applyNumberFormat="1" applyFont="1" applyBorder="1">
      <alignment vertical="center"/>
    </xf>
    <xf numFmtId="41" fontId="15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5" fillId="5" borderId="0" xfId="0" applyFont="1" applyFill="1">
      <alignment vertical="center"/>
    </xf>
    <xf numFmtId="0" fontId="0" fillId="4" borderId="0" xfId="0" applyFill="1">
      <alignment vertical="center"/>
    </xf>
    <xf numFmtId="0" fontId="22" fillId="4" borderId="0" xfId="0" applyFont="1" applyFill="1">
      <alignment vertical="center"/>
    </xf>
    <xf numFmtId="0" fontId="23" fillId="0" borderId="0" xfId="0" applyFont="1">
      <alignment vertical="center"/>
    </xf>
    <xf numFmtId="0" fontId="7" fillId="4" borderId="4" xfId="1" applyNumberFormat="1" applyFont="1" applyFill="1" applyBorder="1" applyAlignment="1">
      <alignment horizontal="left" vertical="center" indent="1"/>
    </xf>
    <xf numFmtId="0" fontId="7" fillId="4" borderId="2" xfId="1" applyNumberFormat="1" applyFont="1" applyFill="1" applyBorder="1" applyAlignment="1">
      <alignment horizontal="left" vertical="center" indent="1"/>
    </xf>
    <xf numFmtId="14" fontId="7" fillId="4" borderId="11" xfId="0" applyNumberFormat="1" applyFont="1" applyFill="1" applyBorder="1" applyAlignment="1">
      <alignment horizontal="center" vertical="center"/>
    </xf>
    <xf numFmtId="41" fontId="7" fillId="4" borderId="52" xfId="1" applyFont="1" applyFill="1" applyBorder="1">
      <alignment vertical="center"/>
    </xf>
    <xf numFmtId="0" fontId="7" fillId="4" borderId="12" xfId="0" applyFont="1" applyFill="1" applyBorder="1" applyAlignment="1">
      <alignment horizontal="left" vertical="center" indent="1"/>
    </xf>
    <xf numFmtId="0" fontId="7" fillId="4" borderId="52" xfId="1" applyNumberFormat="1" applyFont="1" applyFill="1" applyBorder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4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46" xfId="1" applyNumberFormat="1" applyFont="1" applyBorder="1" applyAlignment="1">
      <alignment horizontal="left" vertical="center" indent="1"/>
    </xf>
    <xf numFmtId="41" fontId="6" fillId="0" borderId="0" xfId="0" applyNumberFormat="1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41" fontId="20" fillId="0" borderId="0" xfId="1" applyFont="1">
      <alignment vertical="center"/>
    </xf>
    <xf numFmtId="14" fontId="20" fillId="0" borderId="0" xfId="0" applyNumberFormat="1" applyFont="1" applyAlignment="1">
      <alignment horizontal="center" vertical="center"/>
    </xf>
    <xf numFmtId="179" fontId="20" fillId="0" borderId="0" xfId="0" applyNumberFormat="1" applyFont="1" applyAlignment="1">
      <alignment horizontal="center" vertical="center"/>
    </xf>
    <xf numFmtId="41" fontId="20" fillId="0" borderId="0" xfId="0" applyNumberFormat="1" applyFont="1">
      <alignment vertical="center"/>
    </xf>
    <xf numFmtId="0" fontId="24" fillId="0" borderId="0" xfId="0" applyFont="1">
      <alignment vertical="center"/>
    </xf>
    <xf numFmtId="41" fontId="12" fillId="0" borderId="0" xfId="0" applyNumberFormat="1" applyFont="1">
      <alignment vertical="center"/>
    </xf>
    <xf numFmtId="0" fontId="1" fillId="0" borderId="0" xfId="0" applyFont="1" applyAlignment="1">
      <alignment horizontal="left" vertical="center"/>
    </xf>
    <xf numFmtId="41" fontId="12" fillId="0" borderId="10" xfId="0" applyNumberFormat="1" applyFont="1" applyBorder="1" applyAlignment="1">
      <alignment horizontal="left" vertical="center" indent="1"/>
    </xf>
    <xf numFmtId="0" fontId="6" fillId="4" borderId="0" xfId="0" applyFont="1" applyFill="1">
      <alignment vertical="center"/>
    </xf>
    <xf numFmtId="0" fontId="25" fillId="4" borderId="0" xfId="0" applyFont="1" applyFill="1">
      <alignment vertical="center"/>
    </xf>
    <xf numFmtId="0" fontId="25" fillId="4" borderId="0" xfId="0" applyFont="1" applyFill="1" applyAlignment="1">
      <alignment horizontal="left" vertical="center" indent="1"/>
    </xf>
    <xf numFmtId="0" fontId="12" fillId="4" borderId="3" xfId="0" applyFont="1" applyFill="1" applyBorder="1" applyAlignment="1">
      <alignment horizontal="center" vertical="center"/>
    </xf>
    <xf numFmtId="41" fontId="12" fillId="4" borderId="8" xfId="1" applyFont="1" applyFill="1" applyBorder="1">
      <alignment vertical="center"/>
    </xf>
    <xf numFmtId="41" fontId="12" fillId="4" borderId="7" xfId="0" applyNumberFormat="1" applyFont="1" applyFill="1" applyBorder="1">
      <alignment vertical="center"/>
    </xf>
    <xf numFmtId="10" fontId="12" fillId="4" borderId="7" xfId="2" applyNumberFormat="1" applyFont="1" applyFill="1" applyBorder="1" applyAlignment="1">
      <alignment horizontal="right" vertical="center" indent="1"/>
    </xf>
    <xf numFmtId="10" fontId="12" fillId="4" borderId="7" xfId="0" applyNumberFormat="1" applyFont="1" applyFill="1" applyBorder="1" applyAlignment="1">
      <alignment horizontal="right" vertical="center" indent="1"/>
    </xf>
    <xf numFmtId="0" fontId="0" fillId="6" borderId="0" xfId="0" applyFill="1">
      <alignment vertical="center"/>
    </xf>
    <xf numFmtId="0" fontId="12" fillId="4" borderId="11" xfId="0" applyFont="1" applyFill="1" applyBorder="1" applyAlignment="1">
      <alignment horizontal="center" vertical="center"/>
    </xf>
    <xf numFmtId="41" fontId="12" fillId="4" borderId="12" xfId="0" applyNumberFormat="1" applyFont="1" applyFill="1" applyBorder="1">
      <alignment vertical="center"/>
    </xf>
    <xf numFmtId="10" fontId="12" fillId="4" borderId="45" xfId="2" applyNumberFormat="1" applyFont="1" applyFill="1" applyBorder="1" applyAlignment="1">
      <alignment horizontal="right" vertical="center" indent="1"/>
    </xf>
    <xf numFmtId="180" fontId="12" fillId="0" borderId="0" xfId="1" applyNumberFormat="1" applyFont="1" applyAlignment="1">
      <alignment horizontal="center" vertical="center"/>
    </xf>
    <xf numFmtId="41" fontId="5" fillId="5" borderId="0" xfId="1" applyFont="1" applyFill="1" applyAlignment="1">
      <alignment horizontal="left" vertical="center" indent="1"/>
    </xf>
    <xf numFmtId="14" fontId="12" fillId="0" borderId="0" xfId="0" applyNumberFormat="1" applyFont="1" applyAlignment="1">
      <alignment horizontal="center" vertical="center"/>
    </xf>
    <xf numFmtId="38" fontId="12" fillId="0" borderId="0" xfId="1" applyNumberFormat="1" applyFont="1" applyAlignment="1">
      <alignment horizontal="right" vertical="center" indent="1"/>
    </xf>
    <xf numFmtId="14" fontId="11" fillId="5" borderId="0" xfId="0" applyNumberFormat="1" applyFont="1" applyFill="1" applyAlignment="1">
      <alignment horizontal="center" vertical="center"/>
    </xf>
    <xf numFmtId="180" fontId="12" fillId="0" borderId="0" xfId="0" applyNumberFormat="1" applyFont="1" applyAlignment="1">
      <alignment horizontal="left" vertical="center" indent="1"/>
    </xf>
    <xf numFmtId="41" fontId="27" fillId="5" borderId="0" xfId="1" applyFont="1" applyFill="1">
      <alignment vertical="center"/>
    </xf>
    <xf numFmtId="41" fontId="27" fillId="5" borderId="0" xfId="1" applyFont="1" applyFill="1" applyAlignment="1">
      <alignment horizontal="center" vertical="center"/>
    </xf>
    <xf numFmtId="0" fontId="24" fillId="5" borderId="0" xfId="0" applyFont="1" applyFill="1">
      <alignment vertical="center"/>
    </xf>
    <xf numFmtId="14" fontId="7" fillId="0" borderId="26" xfId="0" applyNumberFormat="1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6" xfId="0" applyFont="1" applyBorder="1" applyAlignment="1">
      <alignment horizontal="left" vertical="center" indent="1"/>
    </xf>
    <xf numFmtId="41" fontId="7" fillId="0" borderId="26" xfId="1" applyFont="1" applyBorder="1">
      <alignment vertical="center"/>
    </xf>
    <xf numFmtId="0" fontId="7" fillId="0" borderId="10" xfId="0" applyFont="1" applyBorder="1">
      <alignment vertical="center"/>
    </xf>
    <xf numFmtId="41" fontId="7" fillId="0" borderId="10" xfId="1" applyFont="1" applyBorder="1">
      <alignment vertical="center"/>
    </xf>
    <xf numFmtId="41" fontId="4" fillId="0" borderId="0" xfId="1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41" fontId="4" fillId="0" borderId="0" xfId="0" applyNumberFormat="1" applyFont="1">
      <alignment vertical="center"/>
    </xf>
    <xf numFmtId="41" fontId="14" fillId="0" borderId="0" xfId="1" applyFont="1" applyFill="1" applyBorder="1">
      <alignment vertical="center"/>
    </xf>
    <xf numFmtId="41" fontId="4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87" fontId="18" fillId="0" borderId="0" xfId="0" applyNumberFormat="1" applyFont="1">
      <alignment vertical="center"/>
    </xf>
    <xf numFmtId="41" fontId="18" fillId="0" borderId="0" xfId="1" applyFont="1" applyFill="1" applyBorder="1">
      <alignment vertical="center"/>
    </xf>
    <xf numFmtId="187" fontId="6" fillId="0" borderId="0" xfId="0" applyNumberFormat="1" applyFont="1">
      <alignment vertical="center"/>
    </xf>
    <xf numFmtId="3" fontId="6" fillId="0" borderId="0" xfId="1" applyNumberFormat="1" applyFont="1" applyFill="1" applyBorder="1">
      <alignment vertical="center"/>
    </xf>
    <xf numFmtId="187" fontId="17" fillId="0" borderId="0" xfId="0" applyNumberFormat="1" applyFont="1">
      <alignment vertical="center"/>
    </xf>
    <xf numFmtId="41" fontId="6" fillId="0" borderId="0" xfId="1" applyFont="1" applyFill="1" applyBorder="1">
      <alignment vertical="center"/>
    </xf>
    <xf numFmtId="182" fontId="18" fillId="0" borderId="0" xfId="1" applyNumberFormat="1" applyFont="1" applyFill="1" applyBorder="1">
      <alignment vertical="center"/>
    </xf>
    <xf numFmtId="41" fontId="18" fillId="0" borderId="0" xfId="1" applyFont="1" applyFill="1" applyBorder="1" applyAlignment="1">
      <alignment horizontal="center" vertical="center"/>
    </xf>
    <xf numFmtId="186" fontId="7" fillId="0" borderId="0" xfId="1" applyNumberFormat="1" applyFont="1" applyFill="1" applyBorder="1">
      <alignment vertical="center"/>
    </xf>
    <xf numFmtId="188" fontId="7" fillId="0" borderId="0" xfId="1" applyNumberFormat="1" applyFont="1" applyFill="1" applyBorder="1">
      <alignment vertical="center"/>
    </xf>
    <xf numFmtId="41" fontId="7" fillId="0" borderId="0" xfId="1" applyFont="1" applyFill="1" applyBorder="1">
      <alignment vertical="center"/>
    </xf>
    <xf numFmtId="183" fontId="7" fillId="0" borderId="0" xfId="1" applyNumberFormat="1" applyFont="1" applyFill="1" applyBorder="1">
      <alignment vertical="center"/>
    </xf>
    <xf numFmtId="0" fontId="7" fillId="0" borderId="0" xfId="1" applyNumberFormat="1" applyFont="1" applyFill="1" applyBorder="1" applyAlignment="1">
      <alignment horizontal="left" vertical="center" indent="1"/>
    </xf>
    <xf numFmtId="184" fontId="7" fillId="0" borderId="0" xfId="1" applyNumberFormat="1" applyFont="1" applyFill="1" applyBorder="1">
      <alignment vertical="center"/>
    </xf>
    <xf numFmtId="187" fontId="18" fillId="0" borderId="0" xfId="1" applyNumberFormat="1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187" fontId="18" fillId="0" borderId="0" xfId="0" applyNumberFormat="1" applyFont="1" applyAlignment="1">
      <alignment horizontal="center" vertical="center"/>
    </xf>
    <xf numFmtId="183" fontId="12" fillId="0" borderId="0" xfId="1" applyNumberFormat="1" applyFont="1" applyFill="1" applyBorder="1">
      <alignment vertical="center"/>
    </xf>
    <xf numFmtId="184" fontId="12" fillId="0" borderId="0" xfId="1" applyNumberFormat="1" applyFont="1" applyFill="1" applyBorder="1">
      <alignment vertical="center"/>
    </xf>
    <xf numFmtId="41" fontId="12" fillId="0" borderId="0" xfId="1" applyFont="1" applyFill="1" applyBorder="1">
      <alignment vertical="center"/>
    </xf>
    <xf numFmtId="41" fontId="16" fillId="0" borderId="0" xfId="1" applyFont="1" applyFill="1" applyBorder="1" applyAlignment="1">
      <alignment horizontal="center" vertical="center"/>
    </xf>
    <xf numFmtId="185" fontId="7" fillId="0" borderId="0" xfId="1" applyNumberFormat="1" applyFont="1" applyFill="1" applyBorder="1">
      <alignment vertical="center"/>
    </xf>
    <xf numFmtId="182" fontId="18" fillId="0" borderId="0" xfId="0" applyNumberFormat="1" applyFont="1">
      <alignment vertical="center"/>
    </xf>
    <xf numFmtId="187" fontId="12" fillId="0" borderId="0" xfId="0" applyNumberFormat="1" applyFont="1">
      <alignment vertical="center"/>
    </xf>
    <xf numFmtId="187" fontId="15" fillId="0" borderId="0" xfId="1" applyNumberFormat="1" applyFont="1" applyFill="1" applyBorder="1">
      <alignment vertical="center"/>
    </xf>
    <xf numFmtId="182" fontId="18" fillId="0" borderId="0" xfId="0" applyNumberFormat="1" applyFont="1" applyAlignment="1">
      <alignment horizontal="center" vertical="center"/>
    </xf>
    <xf numFmtId="186" fontId="12" fillId="0" borderId="0" xfId="1" applyNumberFormat="1" applyFont="1" applyFill="1" applyBorder="1">
      <alignment vertical="center"/>
    </xf>
    <xf numFmtId="186" fontId="12" fillId="0" borderId="0" xfId="0" applyNumberFormat="1" applyFont="1" applyAlignment="1">
      <alignment horizontal="center" vertical="center"/>
    </xf>
    <xf numFmtId="187" fontId="15" fillId="0" borderId="0" xfId="0" applyNumberFormat="1" applyFont="1">
      <alignment vertical="center"/>
    </xf>
    <xf numFmtId="187" fontId="18" fillId="0" borderId="0" xfId="1" applyNumberFormat="1" applyFont="1" applyFill="1" applyBorder="1">
      <alignment vertical="center"/>
    </xf>
    <xf numFmtId="188" fontId="12" fillId="0" borderId="0" xfId="1" applyNumberFormat="1" applyFont="1" applyFill="1" applyBorder="1">
      <alignment vertical="center"/>
    </xf>
    <xf numFmtId="188" fontId="12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187" fontId="21" fillId="0" borderId="0" xfId="0" applyNumberFormat="1" applyFont="1">
      <alignment vertical="center"/>
    </xf>
    <xf numFmtId="41" fontId="21" fillId="0" borderId="0" xfId="1" applyFont="1" applyFill="1" applyBorder="1">
      <alignment vertical="center"/>
    </xf>
    <xf numFmtId="187" fontId="24" fillId="0" borderId="0" xfId="0" applyNumberFormat="1" applyFont="1">
      <alignment vertical="center"/>
    </xf>
    <xf numFmtId="3" fontId="24" fillId="0" borderId="0" xfId="1" applyNumberFormat="1" applyFont="1" applyFill="1" applyBorder="1">
      <alignment vertical="center"/>
    </xf>
    <xf numFmtId="41" fontId="24" fillId="0" borderId="0" xfId="1" applyFont="1" applyFill="1" applyBorder="1">
      <alignment vertical="center"/>
    </xf>
    <xf numFmtId="0" fontId="29" fillId="0" borderId="0" xfId="0" applyFont="1">
      <alignment vertical="center"/>
    </xf>
    <xf numFmtId="187" fontId="29" fillId="0" borderId="0" xfId="0" applyNumberFormat="1" applyFont="1">
      <alignment vertical="center"/>
    </xf>
    <xf numFmtId="187" fontId="21" fillId="0" borderId="0" xfId="1" applyNumberFormat="1" applyFont="1" applyFill="1" applyBorder="1">
      <alignment vertical="center"/>
    </xf>
    <xf numFmtId="41" fontId="21" fillId="0" borderId="0" xfId="1" applyFont="1" applyFill="1" applyBorder="1" applyAlignment="1">
      <alignment horizontal="center" vertical="center"/>
    </xf>
    <xf numFmtId="41" fontId="27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87" fontId="29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87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 indent="1"/>
    </xf>
    <xf numFmtId="186" fontId="30" fillId="0" borderId="0" xfId="1" applyNumberFormat="1" applyFont="1" applyFill="1" applyBorder="1">
      <alignment vertical="center"/>
    </xf>
    <xf numFmtId="0" fontId="30" fillId="0" borderId="0" xfId="0" applyFont="1">
      <alignment vertical="center"/>
    </xf>
    <xf numFmtId="188" fontId="30" fillId="0" borderId="0" xfId="1" applyNumberFormat="1" applyFont="1" applyFill="1" applyBorder="1">
      <alignment vertical="center"/>
    </xf>
    <xf numFmtId="41" fontId="30" fillId="0" borderId="0" xfId="1" applyFont="1" applyFill="1" applyBorder="1">
      <alignment vertical="center"/>
    </xf>
    <xf numFmtId="0" fontId="30" fillId="0" borderId="0" xfId="1" applyNumberFormat="1" applyFont="1" applyFill="1" applyBorder="1" applyAlignment="1">
      <alignment horizontal="left" vertical="center" indent="1"/>
    </xf>
    <xf numFmtId="187" fontId="21" fillId="0" borderId="0" xfId="1" applyNumberFormat="1" applyFont="1" applyFill="1" applyBorder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187" fontId="21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left" vertical="center" indent="1"/>
    </xf>
    <xf numFmtId="186" fontId="29" fillId="0" borderId="0" xfId="1" applyNumberFormat="1" applyFont="1" applyFill="1" applyBorder="1">
      <alignment vertical="center"/>
    </xf>
    <xf numFmtId="188" fontId="29" fillId="0" borderId="0" xfId="1" applyNumberFormat="1" applyFont="1" applyFill="1" applyBorder="1">
      <alignment vertical="center"/>
    </xf>
    <xf numFmtId="41" fontId="29" fillId="0" borderId="0" xfId="1" applyFont="1" applyFill="1" applyBorder="1">
      <alignment vertical="center"/>
    </xf>
    <xf numFmtId="186" fontId="29" fillId="0" borderId="0" xfId="0" applyNumberFormat="1" applyFont="1" applyAlignment="1">
      <alignment horizontal="center" vertical="center"/>
    </xf>
    <xf numFmtId="188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28" fillId="0" borderId="54" xfId="0" applyFont="1" applyBorder="1">
      <alignment vertical="center"/>
    </xf>
    <xf numFmtId="0" fontId="24" fillId="0" borderId="54" xfId="0" applyFont="1" applyBorder="1">
      <alignment vertical="center"/>
    </xf>
    <xf numFmtId="183" fontId="30" fillId="0" borderId="0" xfId="1" applyNumberFormat="1" applyFont="1" applyFill="1" applyBorder="1">
      <alignment vertical="center"/>
    </xf>
    <xf numFmtId="184" fontId="30" fillId="0" borderId="0" xfId="1" applyNumberFormat="1" applyFont="1" applyFill="1" applyBorder="1">
      <alignment vertical="center"/>
    </xf>
    <xf numFmtId="184" fontId="29" fillId="0" borderId="0" xfId="1" applyNumberFormat="1" applyFont="1" applyFill="1" applyBorder="1">
      <alignment vertical="center"/>
    </xf>
    <xf numFmtId="183" fontId="29" fillId="0" borderId="0" xfId="1" applyNumberFormat="1" applyFont="1" applyFill="1" applyBorder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1" fontId="4" fillId="0" borderId="0" xfId="1" applyFont="1" applyFill="1" applyBorder="1" applyAlignment="1">
      <alignment horizontal="center" vertical="center"/>
    </xf>
    <xf numFmtId="41" fontId="9" fillId="0" borderId="0" xfId="1" applyFont="1" applyFill="1" applyBorder="1" applyAlignment="1">
      <alignment horizontal="center" vertical="center"/>
    </xf>
    <xf numFmtId="176" fontId="9" fillId="0" borderId="0" xfId="1" applyNumberFormat="1" applyFont="1" applyFill="1" applyBorder="1" applyAlignment="1">
      <alignment horizontal="center" vertical="center"/>
    </xf>
    <xf numFmtId="189" fontId="18" fillId="0" borderId="0" xfId="0" applyNumberFormat="1" applyFont="1">
      <alignment vertical="center"/>
    </xf>
    <xf numFmtId="189" fontId="6" fillId="0" borderId="0" xfId="0" applyNumberFormat="1" applyFont="1">
      <alignment vertical="center"/>
    </xf>
    <xf numFmtId="38" fontId="6" fillId="0" borderId="0" xfId="1" applyNumberFormat="1" applyFont="1" applyFill="1" applyBorder="1">
      <alignment vertical="center"/>
    </xf>
    <xf numFmtId="189" fontId="17" fillId="0" borderId="0" xfId="0" applyNumberFormat="1" applyFont="1">
      <alignment vertical="center"/>
    </xf>
    <xf numFmtId="189" fontId="12" fillId="0" borderId="0" xfId="0" applyNumberFormat="1" applyFont="1">
      <alignment vertical="center"/>
    </xf>
    <xf numFmtId="189" fontId="18" fillId="0" borderId="0" xfId="1" applyNumberFormat="1" applyFont="1" applyFill="1" applyBorder="1">
      <alignment vertical="center"/>
    </xf>
    <xf numFmtId="189" fontId="7" fillId="0" borderId="0" xfId="1" applyNumberFormat="1" applyFont="1" applyFill="1" applyBorder="1">
      <alignment vertical="center"/>
    </xf>
    <xf numFmtId="189" fontId="18" fillId="0" borderId="0" xfId="1" applyNumberFormat="1" applyFont="1" applyFill="1" applyBorder="1" applyAlignment="1">
      <alignment horizontal="center" vertical="center"/>
    </xf>
    <xf numFmtId="189" fontId="18" fillId="0" borderId="0" xfId="0" applyNumberFormat="1" applyFont="1" applyAlignment="1">
      <alignment horizontal="center" vertical="center"/>
    </xf>
    <xf numFmtId="190" fontId="18" fillId="0" borderId="0" xfId="1" applyNumberFormat="1" applyFont="1" applyFill="1" applyBorder="1">
      <alignment vertical="center"/>
    </xf>
    <xf numFmtId="190" fontId="7" fillId="0" borderId="0" xfId="1" applyNumberFormat="1" applyFont="1" applyFill="1" applyBorder="1">
      <alignment vertical="center"/>
    </xf>
    <xf numFmtId="190" fontId="18" fillId="0" borderId="0" xfId="1" applyNumberFormat="1" applyFont="1" applyFill="1" applyBorder="1" applyAlignment="1">
      <alignment horizontal="center" vertical="center"/>
    </xf>
    <xf numFmtId="190" fontId="18" fillId="0" borderId="0" xfId="0" applyNumberFormat="1" applyFont="1" applyAlignment="1">
      <alignment horizontal="center" vertical="center"/>
    </xf>
    <xf numFmtId="190" fontId="18" fillId="0" borderId="0" xfId="0" applyNumberFormat="1" applyFont="1">
      <alignment vertical="center"/>
    </xf>
    <xf numFmtId="190" fontId="6" fillId="0" borderId="0" xfId="0" applyNumberFormat="1" applyFont="1">
      <alignment vertical="center"/>
    </xf>
    <xf numFmtId="190" fontId="17" fillId="0" borderId="0" xfId="0" applyNumberFormat="1" applyFont="1">
      <alignment vertical="center"/>
    </xf>
    <xf numFmtId="190" fontId="12" fillId="0" borderId="0" xfId="0" applyNumberFormat="1" applyFont="1">
      <alignment vertical="center"/>
    </xf>
    <xf numFmtId="177" fontId="7" fillId="4" borderId="3" xfId="2" applyNumberFormat="1" applyFont="1" applyFill="1" applyBorder="1" applyAlignment="1">
      <alignment horizontal="right" vertical="center" indent="1"/>
    </xf>
    <xf numFmtId="38" fontId="12" fillId="0" borderId="0" xfId="1" applyNumberFormat="1" applyFont="1" applyFill="1" applyBorder="1" applyAlignment="1">
      <alignment horizontal="right" vertical="center" indent="1"/>
    </xf>
    <xf numFmtId="41" fontId="12" fillId="0" borderId="0" xfId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9" fillId="4" borderId="5" xfId="0" applyFont="1" applyFill="1" applyBorder="1" applyAlignment="1">
      <alignment horizontal="center" vertical="center"/>
    </xf>
    <xf numFmtId="41" fontId="9" fillId="4" borderId="9" xfId="1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41" fontId="7" fillId="4" borderId="14" xfId="1" applyFont="1" applyFill="1" applyBorder="1" applyAlignment="1">
      <alignment horizontal="center" vertical="center"/>
    </xf>
    <xf numFmtId="41" fontId="9" fillId="4" borderId="9" xfId="0" applyNumberFormat="1" applyFont="1" applyFill="1" applyBorder="1" applyAlignment="1">
      <alignment horizontal="center" vertical="center"/>
    </xf>
    <xf numFmtId="41" fontId="9" fillId="2" borderId="22" xfId="0" applyNumberFormat="1" applyFont="1" applyFill="1" applyBorder="1" applyAlignment="1">
      <alignment horizontal="center" vertical="center"/>
    </xf>
    <xf numFmtId="176" fontId="9" fillId="2" borderId="20" xfId="0" applyNumberFormat="1" applyFont="1" applyFill="1" applyBorder="1" applyAlignment="1">
      <alignment horizontal="center" vertical="center"/>
    </xf>
    <xf numFmtId="0" fontId="7" fillId="4" borderId="3" xfId="2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left" vertical="center" wrapText="1"/>
    </xf>
    <xf numFmtId="0" fontId="7" fillId="2" borderId="1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41" fontId="7" fillId="0" borderId="0" xfId="1" applyFont="1" applyBorder="1">
      <alignment vertical="center"/>
    </xf>
    <xf numFmtId="41" fontId="12" fillId="0" borderId="0" xfId="1" applyFont="1" applyBorder="1">
      <alignment vertical="center"/>
    </xf>
    <xf numFmtId="14" fontId="0" fillId="0" borderId="0" xfId="0" applyNumberFormat="1" applyAlignment="1">
      <alignment horizontal="center" vertical="center"/>
    </xf>
    <xf numFmtId="14" fontId="7" fillId="4" borderId="8" xfId="1" applyNumberFormat="1" applyFont="1" applyFill="1" applyBorder="1" applyAlignment="1">
      <alignment horizontal="center" vertical="center"/>
    </xf>
    <xf numFmtId="14" fontId="7" fillId="0" borderId="0" xfId="1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7" fillId="0" borderId="0" xfId="1" applyNumberFormat="1" applyFont="1" applyAlignment="1">
      <alignment horizontal="center" vertical="center"/>
    </xf>
    <xf numFmtId="0" fontId="7" fillId="4" borderId="13" xfId="2" applyNumberFormat="1" applyFont="1" applyFill="1" applyBorder="1" applyAlignment="1">
      <alignment horizontal="center" vertical="center"/>
    </xf>
    <xf numFmtId="0" fontId="7" fillId="4" borderId="14" xfId="2" applyNumberFormat="1" applyFont="1" applyFill="1" applyBorder="1" applyAlignment="1">
      <alignment horizontal="center" vertical="center"/>
    </xf>
    <xf numFmtId="14" fontId="7" fillId="4" borderId="14" xfId="2" applyNumberFormat="1" applyFont="1" applyFill="1" applyBorder="1" applyAlignment="1">
      <alignment horizontal="center" vertical="center"/>
    </xf>
    <xf numFmtId="0" fontId="7" fillId="2" borderId="63" xfId="0" applyFont="1" applyFill="1" applyBorder="1" applyAlignment="1">
      <alignment horizontal="center" vertical="center"/>
    </xf>
    <xf numFmtId="0" fontId="7" fillId="2" borderId="53" xfId="0" applyFont="1" applyFill="1" applyBorder="1" applyAlignment="1">
      <alignment horizontal="center" vertical="center"/>
    </xf>
    <xf numFmtId="41" fontId="7" fillId="4" borderId="57" xfId="1" applyFont="1" applyFill="1" applyBorder="1">
      <alignment vertical="center"/>
    </xf>
    <xf numFmtId="0" fontId="7" fillId="2" borderId="44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41" fontId="7" fillId="4" borderId="37" xfId="0" applyNumberFormat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7" fillId="0" borderId="0" xfId="1" applyFont="1" applyAlignment="1">
      <alignment horizontal="center" vertical="center"/>
    </xf>
    <xf numFmtId="0" fontId="7" fillId="2" borderId="9" xfId="1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41" fontId="7" fillId="4" borderId="43" xfId="1" applyFont="1" applyFill="1" applyBorder="1">
      <alignment vertical="center"/>
    </xf>
    <xf numFmtId="41" fontId="7" fillId="4" borderId="35" xfId="0" applyNumberFormat="1" applyFont="1" applyFill="1" applyBorder="1" applyAlignment="1">
      <alignment horizontal="center" vertical="center"/>
    </xf>
    <xf numFmtId="41" fontId="7" fillId="4" borderId="6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vertical="center" wrapText="1" shrinkToFit="1"/>
    </xf>
    <xf numFmtId="14" fontId="7" fillId="4" borderId="7" xfId="1" applyNumberFormat="1" applyFont="1" applyFill="1" applyBorder="1" applyAlignment="1">
      <alignment horizontal="center" vertical="center"/>
    </xf>
    <xf numFmtId="181" fontId="7" fillId="4" borderId="7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 shrinkToFit="1"/>
    </xf>
    <xf numFmtId="0" fontId="7" fillId="2" borderId="9" xfId="0" applyFont="1" applyFill="1" applyBorder="1" applyAlignment="1">
      <alignment horizontal="center" vertical="center" wrapText="1" shrinkToFit="1"/>
    </xf>
    <xf numFmtId="0" fontId="7" fillId="2" borderId="6" xfId="0" applyFont="1" applyFill="1" applyBorder="1" applyAlignment="1">
      <alignment horizontal="center" vertical="center" wrapText="1" shrinkToFit="1"/>
    </xf>
    <xf numFmtId="41" fontId="7" fillId="0" borderId="46" xfId="1" applyFont="1" applyFill="1" applyBorder="1">
      <alignment vertical="center"/>
    </xf>
    <xf numFmtId="176" fontId="7" fillId="0" borderId="46" xfId="0" applyNumberFormat="1" applyFont="1" applyBorder="1">
      <alignment vertical="center"/>
    </xf>
    <xf numFmtId="176" fontId="7" fillId="0" borderId="0" xfId="0" applyNumberFormat="1" applyFont="1">
      <alignment vertical="center"/>
    </xf>
    <xf numFmtId="0" fontId="7" fillId="4" borderId="1" xfId="2" applyNumberFormat="1" applyFont="1" applyFill="1" applyBorder="1" applyAlignment="1">
      <alignment horizontal="center" vertical="center"/>
    </xf>
    <xf numFmtId="41" fontId="7" fillId="4" borderId="14" xfId="1" applyFont="1" applyFill="1" applyBorder="1">
      <alignment vertical="center"/>
    </xf>
    <xf numFmtId="0" fontId="10" fillId="2" borderId="6" xfId="0" applyFont="1" applyFill="1" applyBorder="1" applyAlignment="1">
      <alignment horizontal="center" vertical="center"/>
    </xf>
    <xf numFmtId="14" fontId="7" fillId="4" borderId="15" xfId="2" applyNumberFormat="1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4" borderId="27" xfId="2" applyNumberFormat="1" applyFont="1" applyFill="1" applyBorder="1" applyAlignment="1">
      <alignment horizontal="center" vertical="center"/>
    </xf>
    <xf numFmtId="41" fontId="7" fillId="2" borderId="9" xfId="1" applyFont="1" applyFill="1" applyBorder="1">
      <alignment vertical="center"/>
    </xf>
    <xf numFmtId="9" fontId="7" fillId="2" borderId="6" xfId="0" applyNumberFormat="1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41" fontId="7" fillId="2" borderId="56" xfId="1" applyFont="1" applyFill="1" applyBorder="1" applyAlignment="1">
      <alignment horizontal="center" vertical="center"/>
    </xf>
    <xf numFmtId="9" fontId="7" fillId="2" borderId="57" xfId="2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41" fontId="7" fillId="4" borderId="45" xfId="1" applyFont="1" applyFill="1" applyBorder="1" applyAlignment="1">
      <alignment horizontal="center" vertical="center"/>
    </xf>
    <xf numFmtId="9" fontId="7" fillId="4" borderId="44" xfId="2" applyFont="1" applyFill="1" applyBorder="1" applyAlignment="1">
      <alignment horizontal="center" vertical="center"/>
    </xf>
    <xf numFmtId="41" fontId="7" fillId="4" borderId="42" xfId="1" applyFont="1" applyFill="1" applyBorder="1" applyAlignment="1">
      <alignment horizontal="center" vertical="center"/>
    </xf>
    <xf numFmtId="9" fontId="7" fillId="4" borderId="43" xfId="2" applyFont="1" applyFill="1" applyBorder="1" applyAlignment="1">
      <alignment horizontal="center" vertical="center"/>
    </xf>
    <xf numFmtId="9" fontId="7" fillId="0" borderId="0" xfId="2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2" borderId="6" xfId="1" applyNumberFormat="1" applyFont="1" applyFill="1" applyBorder="1" applyAlignment="1">
      <alignment horizontal="center" vertical="center"/>
    </xf>
    <xf numFmtId="38" fontId="7" fillId="4" borderId="7" xfId="1" applyNumberFormat="1" applyFont="1" applyFill="1" applyBorder="1" applyAlignment="1">
      <alignment horizontal="right" vertical="center" indent="1"/>
    </xf>
    <xf numFmtId="0" fontId="7" fillId="0" borderId="0" xfId="0" applyFont="1" applyAlignment="1">
      <alignment horizontal="left" vertical="center"/>
    </xf>
    <xf numFmtId="38" fontId="7" fillId="4" borderId="8" xfId="1" applyNumberFormat="1" applyFont="1" applyFill="1" applyBorder="1" applyAlignment="1">
      <alignment horizontal="right" vertical="center" indent="1"/>
    </xf>
    <xf numFmtId="38" fontId="7" fillId="0" borderId="0" xfId="1" applyNumberFormat="1" applyFont="1" applyAlignment="1">
      <alignment horizontal="right" vertical="center" indent="1"/>
    </xf>
    <xf numFmtId="41" fontId="7" fillId="4" borderId="3" xfId="1" applyFont="1" applyFill="1" applyBorder="1" applyAlignment="1">
      <alignment vertical="center"/>
    </xf>
    <xf numFmtId="0" fontId="7" fillId="7" borderId="3" xfId="2" applyNumberFormat="1" applyFont="1" applyFill="1" applyBorder="1" applyAlignment="1">
      <alignment horizontal="center" vertical="center"/>
    </xf>
    <xf numFmtId="178" fontId="7" fillId="7" borderId="8" xfId="1" applyNumberFormat="1" applyFont="1" applyFill="1" applyBorder="1" applyAlignment="1">
      <alignment horizontal="center" vertical="center"/>
    </xf>
    <xf numFmtId="41" fontId="7" fillId="7" borderId="8" xfId="1" applyFont="1" applyFill="1" applyBorder="1">
      <alignment vertical="center"/>
    </xf>
    <xf numFmtId="41" fontId="7" fillId="7" borderId="4" xfId="1" applyFont="1" applyFill="1" applyBorder="1" applyAlignment="1">
      <alignment horizontal="center" vertical="center"/>
    </xf>
    <xf numFmtId="41" fontId="7" fillId="7" borderId="2" xfId="1" applyFont="1" applyFill="1" applyBorder="1" applyAlignment="1">
      <alignment horizontal="center" vertical="center"/>
    </xf>
    <xf numFmtId="14" fontId="7" fillId="7" borderId="8" xfId="1" applyNumberFormat="1" applyFont="1" applyFill="1" applyBorder="1" applyAlignment="1">
      <alignment horizontal="center" vertical="center"/>
    </xf>
    <xf numFmtId="0" fontId="7" fillId="7" borderId="8" xfId="2" applyNumberFormat="1" applyFont="1" applyFill="1" applyBorder="1" applyAlignment="1">
      <alignment horizontal="center" vertical="center"/>
    </xf>
    <xf numFmtId="41" fontId="7" fillId="7" borderId="8" xfId="1" applyFont="1" applyFill="1" applyBorder="1" applyAlignment="1">
      <alignment horizontal="right" vertical="center" indent="1"/>
    </xf>
    <xf numFmtId="178" fontId="7" fillId="7" borderId="7" xfId="1" applyNumberFormat="1" applyFont="1" applyFill="1" applyBorder="1" applyAlignment="1">
      <alignment horizontal="center" vertical="center"/>
    </xf>
    <xf numFmtId="41" fontId="7" fillId="7" borderId="7" xfId="1" applyFont="1" applyFill="1" applyBorder="1">
      <alignment vertical="center"/>
    </xf>
    <xf numFmtId="41" fontId="7" fillId="7" borderId="1" xfId="1" applyFont="1" applyFill="1" applyBorder="1" applyAlignment="1">
      <alignment horizontal="right" vertical="center" indent="1"/>
    </xf>
    <xf numFmtId="41" fontId="7" fillId="7" borderId="7" xfId="1" applyFont="1" applyFill="1" applyBorder="1" applyAlignment="1">
      <alignment horizontal="right" vertical="center" indent="1"/>
    </xf>
    <xf numFmtId="0" fontId="7" fillId="7" borderId="14" xfId="1" applyNumberFormat="1" applyFont="1" applyFill="1" applyBorder="1" applyAlignment="1">
      <alignment horizontal="center" vertical="center"/>
    </xf>
    <xf numFmtId="41" fontId="7" fillId="7" borderId="4" xfId="1" applyFont="1" applyFill="1" applyBorder="1">
      <alignment vertical="center"/>
    </xf>
    <xf numFmtId="176" fontId="7" fillId="7" borderId="4" xfId="0" applyNumberFormat="1" applyFont="1" applyFill="1" applyBorder="1">
      <alignment vertical="center"/>
    </xf>
    <xf numFmtId="41" fontId="7" fillId="7" borderId="8" xfId="0" applyNumberFormat="1" applyFont="1" applyFill="1" applyBorder="1" applyAlignment="1">
      <alignment horizontal="center" vertical="center"/>
    </xf>
    <xf numFmtId="14" fontId="7" fillId="7" borderId="3" xfId="0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0" fillId="2" borderId="55" xfId="0" applyFont="1" applyFill="1" applyBorder="1" applyAlignment="1">
      <alignment horizontal="center" vertical="center"/>
    </xf>
    <xf numFmtId="41" fontId="7" fillId="4" borderId="3" xfId="1" applyFont="1" applyFill="1" applyBorder="1" applyAlignment="1">
      <alignment horizontal="center" vertical="center"/>
    </xf>
    <xf numFmtId="41" fontId="10" fillId="2" borderId="49" xfId="1" applyFont="1" applyFill="1" applyBorder="1" applyAlignment="1">
      <alignment horizontal="center" vertical="center"/>
    </xf>
    <xf numFmtId="41" fontId="10" fillId="2" borderId="10" xfId="1" applyFont="1" applyFill="1" applyBorder="1" applyAlignment="1">
      <alignment horizontal="center" vertical="center"/>
    </xf>
    <xf numFmtId="41" fontId="7" fillId="4" borderId="13" xfId="1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41" fontId="7" fillId="4" borderId="27" xfId="1" applyFont="1" applyFill="1" applyBorder="1" applyAlignment="1">
      <alignment horizontal="center" vertical="center"/>
    </xf>
    <xf numFmtId="41" fontId="10" fillId="2" borderId="47" xfId="1" applyFont="1" applyFill="1" applyBorder="1" applyAlignment="1">
      <alignment horizontal="center" vertical="center"/>
    </xf>
    <xf numFmtId="41" fontId="10" fillId="2" borderId="25" xfId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41" fontId="7" fillId="4" borderId="49" xfId="1" applyFont="1" applyFill="1" applyBorder="1" applyAlignment="1">
      <alignment horizontal="center" vertical="center"/>
    </xf>
    <xf numFmtId="41" fontId="7" fillId="4" borderId="4" xfId="1" applyFont="1" applyFill="1" applyBorder="1" applyAlignment="1">
      <alignment horizontal="center" vertical="center"/>
    </xf>
    <xf numFmtId="0" fontId="7" fillId="4" borderId="33" xfId="0" applyFont="1" applyFill="1" applyBorder="1" applyAlignment="1">
      <alignment horizontal="center" vertical="center"/>
    </xf>
    <xf numFmtId="41" fontId="7" fillId="4" borderId="60" xfId="1" applyFont="1" applyFill="1" applyBorder="1" applyAlignment="1">
      <alignment horizontal="center" vertical="center"/>
    </xf>
    <xf numFmtId="41" fontId="7" fillId="4" borderId="43" xfId="1" applyFont="1" applyFill="1" applyBorder="1" applyAlignment="1">
      <alignment horizontal="center" vertical="center"/>
    </xf>
    <xf numFmtId="41" fontId="10" fillId="2" borderId="60" xfId="1" applyFont="1" applyFill="1" applyBorder="1" applyAlignment="1">
      <alignment horizontal="center" vertical="center"/>
    </xf>
    <xf numFmtId="41" fontId="10" fillId="2" borderId="33" xfId="1" applyFont="1" applyFill="1" applyBorder="1" applyAlignment="1">
      <alignment horizontal="center" vertical="center"/>
    </xf>
    <xf numFmtId="41" fontId="10" fillId="2" borderId="55" xfId="1" applyFont="1" applyFill="1" applyBorder="1" applyAlignment="1">
      <alignment horizontal="center" vertical="center"/>
    </xf>
    <xf numFmtId="41" fontId="10" fillId="2" borderId="9" xfId="1" applyFont="1" applyFill="1" applyBorder="1" applyAlignment="1">
      <alignment horizontal="center" vertical="center"/>
    </xf>
    <xf numFmtId="41" fontId="10" fillId="2" borderId="6" xfId="1" applyFont="1" applyFill="1" applyBorder="1" applyAlignment="1">
      <alignment horizontal="center" vertical="center"/>
    </xf>
    <xf numFmtId="41" fontId="10" fillId="2" borderId="24" xfId="1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center" vertical="center"/>
    </xf>
    <xf numFmtId="9" fontId="7" fillId="4" borderId="47" xfId="2" applyFont="1" applyFill="1" applyBorder="1" applyAlignment="1">
      <alignment horizontal="center" vertical="center"/>
    </xf>
    <xf numFmtId="9" fontId="7" fillId="4" borderId="45" xfId="2" applyFont="1" applyFill="1" applyBorder="1" applyAlignment="1">
      <alignment horizontal="center" vertical="center"/>
    </xf>
    <xf numFmtId="9" fontId="7" fillId="4" borderId="29" xfId="2" applyFont="1" applyFill="1" applyBorder="1" applyAlignment="1">
      <alignment horizontal="center" vertical="center"/>
    </xf>
    <xf numFmtId="9" fontId="10" fillId="2" borderId="62" xfId="2" applyFont="1" applyFill="1" applyBorder="1" applyAlignment="1">
      <alignment horizontal="center" vertical="center"/>
    </xf>
    <xf numFmtId="9" fontId="7" fillId="4" borderId="62" xfId="2" applyFont="1" applyFill="1" applyBorder="1" applyAlignment="1">
      <alignment horizontal="center" vertical="center"/>
    </xf>
    <xf numFmtId="9" fontId="7" fillId="4" borderId="7" xfId="2" applyFont="1" applyFill="1" applyBorder="1" applyAlignment="1">
      <alignment horizontal="center" vertical="center"/>
    </xf>
    <xf numFmtId="9" fontId="7" fillId="4" borderId="31" xfId="2" applyFont="1" applyFill="1" applyBorder="1" applyAlignment="1">
      <alignment horizontal="center" vertical="center"/>
    </xf>
    <xf numFmtId="41" fontId="10" fillId="2" borderId="26" xfId="1" applyFont="1" applyFill="1" applyBorder="1" applyAlignment="1">
      <alignment horizontal="center" vertical="center"/>
    </xf>
    <xf numFmtId="9" fontId="7" fillId="4" borderId="60" xfId="2" applyFont="1" applyFill="1" applyBorder="1" applyAlignment="1">
      <alignment horizontal="center" vertical="center"/>
    </xf>
    <xf numFmtId="9" fontId="7" fillId="4" borderId="42" xfId="2" applyFont="1" applyFill="1" applyBorder="1" applyAlignment="1">
      <alignment horizontal="center" vertical="center"/>
    </xf>
    <xf numFmtId="9" fontId="7" fillId="4" borderId="41" xfId="2" applyFont="1" applyFill="1" applyBorder="1" applyAlignment="1">
      <alignment horizontal="center" vertical="center"/>
    </xf>
    <xf numFmtId="9" fontId="10" fillId="2" borderId="36" xfId="2" applyFont="1" applyFill="1" applyBorder="1" applyAlignment="1">
      <alignment horizontal="center" vertical="center"/>
    </xf>
    <xf numFmtId="9" fontId="10" fillId="2" borderId="43" xfId="2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9" fontId="7" fillId="4" borderId="55" xfId="2" applyFont="1" applyFill="1" applyBorder="1" applyAlignment="1">
      <alignment horizontal="center" vertical="center"/>
    </xf>
    <xf numFmtId="9" fontId="7" fillId="4" borderId="9" xfId="2" applyFont="1" applyFill="1" applyBorder="1" applyAlignment="1">
      <alignment horizontal="center" vertical="center"/>
    </xf>
    <xf numFmtId="9" fontId="7" fillId="4" borderId="28" xfId="2" applyFont="1" applyFill="1" applyBorder="1" applyAlignment="1">
      <alignment horizontal="center" vertical="center"/>
    </xf>
    <xf numFmtId="9" fontId="10" fillId="2" borderId="48" xfId="2" applyFont="1" applyFill="1" applyBorder="1" applyAlignment="1">
      <alignment horizontal="center" vertical="center"/>
    </xf>
    <xf numFmtId="41" fontId="10" fillId="2" borderId="57" xfId="1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/>
    </xf>
    <xf numFmtId="41" fontId="7" fillId="4" borderId="35" xfId="1" applyFont="1" applyFill="1" applyBorder="1" applyAlignment="1">
      <alignment horizontal="center" vertical="center"/>
    </xf>
    <xf numFmtId="0" fontId="10" fillId="2" borderId="50" xfId="0" applyFont="1" applyFill="1" applyBorder="1" applyAlignment="1">
      <alignment horizontal="center" vertical="center"/>
    </xf>
    <xf numFmtId="41" fontId="10" fillId="2" borderId="37" xfId="1" applyFont="1" applyFill="1" applyBorder="1" applyAlignment="1">
      <alignment horizontal="center" vertical="center"/>
    </xf>
    <xf numFmtId="41" fontId="10" fillId="2" borderId="56" xfId="1" applyFont="1" applyFill="1" applyBorder="1" applyAlignment="1">
      <alignment horizontal="center" vertical="center"/>
    </xf>
    <xf numFmtId="41" fontId="10" fillId="2" borderId="48" xfId="1" applyFont="1" applyFill="1" applyBorder="1" applyAlignment="1">
      <alignment horizontal="center" vertical="center"/>
    </xf>
    <xf numFmtId="41" fontId="10" fillId="2" borderId="58" xfId="1" applyFont="1" applyFill="1" applyBorder="1" applyAlignment="1">
      <alignment horizontal="center" vertical="center"/>
    </xf>
    <xf numFmtId="9" fontId="7" fillId="4" borderId="27" xfId="2" applyFont="1" applyFill="1" applyBorder="1" applyAlignment="1">
      <alignment horizontal="center" vertical="center"/>
    </xf>
    <xf numFmtId="9" fontId="10" fillId="2" borderId="47" xfId="2" applyFont="1" applyFill="1" applyBorder="1" applyAlignment="1">
      <alignment horizontal="center" vertical="center"/>
    </xf>
    <xf numFmtId="9" fontId="7" fillId="4" borderId="35" xfId="2" applyFont="1" applyFill="1" applyBorder="1" applyAlignment="1">
      <alignment horizontal="center" vertical="center"/>
    </xf>
    <xf numFmtId="9" fontId="10" fillId="2" borderId="60" xfId="2" applyFont="1" applyFill="1" applyBorder="1" applyAlignment="1">
      <alignment horizontal="center" vertical="center"/>
    </xf>
    <xf numFmtId="9" fontId="10" fillId="2" borderId="35" xfId="2" applyFont="1" applyFill="1" applyBorder="1" applyAlignment="1">
      <alignment horizontal="center" vertical="center"/>
    </xf>
    <xf numFmtId="41" fontId="7" fillId="2" borderId="33" xfId="1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41" fontId="10" fillId="4" borderId="5" xfId="1" applyFont="1" applyFill="1" applyBorder="1" applyAlignment="1">
      <alignment horizontal="center" vertical="center"/>
    </xf>
    <xf numFmtId="41" fontId="10" fillId="2" borderId="20" xfId="1" applyFont="1" applyFill="1" applyBorder="1" applyAlignment="1">
      <alignment horizontal="center" vertical="center"/>
    </xf>
    <xf numFmtId="41" fontId="10" fillId="2" borderId="21" xfId="1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41" fontId="10" fillId="2" borderId="40" xfId="1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41" fontId="10" fillId="2" borderId="5" xfId="1" applyFont="1" applyFill="1" applyBorder="1" applyAlignment="1">
      <alignment horizontal="center" vertical="center"/>
    </xf>
    <xf numFmtId="41" fontId="10" fillId="2" borderId="28" xfId="1" applyFont="1" applyFill="1" applyBorder="1" applyAlignment="1">
      <alignment horizontal="center" vertical="center"/>
    </xf>
    <xf numFmtId="176" fontId="10" fillId="2" borderId="20" xfId="1" applyNumberFormat="1" applyFont="1" applyFill="1" applyBorder="1" applyAlignment="1">
      <alignment horizontal="center" vertical="center"/>
    </xf>
    <xf numFmtId="9" fontId="7" fillId="4" borderId="3" xfId="2" applyFont="1" applyFill="1" applyBorder="1" applyAlignment="1">
      <alignment horizontal="center" vertical="center"/>
    </xf>
    <xf numFmtId="9" fontId="7" fillId="4" borderId="30" xfId="2" applyFont="1" applyFill="1" applyBorder="1" applyAlignment="1">
      <alignment horizontal="center" vertical="center"/>
    </xf>
    <xf numFmtId="9" fontId="10" fillId="2" borderId="3" xfId="2" applyFont="1" applyFill="1" applyBorder="1" applyAlignment="1">
      <alignment horizontal="center" vertical="center"/>
    </xf>
    <xf numFmtId="41" fontId="10" fillId="2" borderId="38" xfId="1" applyFont="1" applyFill="1" applyBorder="1" applyAlignment="1">
      <alignment horizontal="center" vertical="center"/>
    </xf>
    <xf numFmtId="41" fontId="10" fillId="2" borderId="61" xfId="1" applyFont="1" applyFill="1" applyBorder="1" applyAlignment="1">
      <alignment horizontal="center" vertical="center"/>
    </xf>
    <xf numFmtId="9" fontId="7" fillId="4" borderId="5" xfId="2" applyFont="1" applyFill="1" applyBorder="1" applyAlignment="1">
      <alignment horizontal="center" vertical="center"/>
    </xf>
    <xf numFmtId="9" fontId="10" fillId="2" borderId="5" xfId="2" applyFont="1" applyFill="1" applyBorder="1" applyAlignment="1">
      <alignment horizontal="center" vertical="center"/>
    </xf>
    <xf numFmtId="41" fontId="10" fillId="4" borderId="55" xfId="1" applyFont="1" applyFill="1" applyBorder="1" applyAlignment="1">
      <alignment horizontal="center" vertical="center"/>
    </xf>
    <xf numFmtId="41" fontId="10" fillId="4" borderId="16" xfId="1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41" fontId="10" fillId="2" borderId="36" xfId="1" applyFont="1" applyFill="1" applyBorder="1" applyAlignment="1">
      <alignment horizontal="center" vertical="center"/>
    </xf>
    <xf numFmtId="0" fontId="12" fillId="2" borderId="5" xfId="0" applyFont="1" applyFill="1" applyBorder="1">
      <alignment vertical="center"/>
    </xf>
    <xf numFmtId="41" fontId="12" fillId="4" borderId="8" xfId="0" applyNumberFormat="1" applyFont="1" applyFill="1" applyBorder="1">
      <alignment vertical="center"/>
    </xf>
    <xf numFmtId="41" fontId="12" fillId="4" borderId="4" xfId="0" applyNumberFormat="1" applyFont="1" applyFill="1" applyBorder="1">
      <alignment vertical="center"/>
    </xf>
    <xf numFmtId="41" fontId="12" fillId="4" borderId="2" xfId="0" applyNumberFormat="1" applyFont="1" applyFill="1" applyBorder="1">
      <alignment vertical="center"/>
    </xf>
    <xf numFmtId="41" fontId="12" fillId="4" borderId="52" xfId="0" applyNumberFormat="1" applyFont="1" applyFill="1" applyBorder="1">
      <alignment vertical="center"/>
    </xf>
    <xf numFmtId="10" fontId="12" fillId="4" borderId="44" xfId="2" applyNumberFormat="1" applyFont="1" applyFill="1" applyBorder="1">
      <alignment vertical="center"/>
    </xf>
    <xf numFmtId="10" fontId="12" fillId="4" borderId="2" xfId="2" applyNumberFormat="1" applyFont="1" applyFill="1" applyBorder="1">
      <alignment vertical="center"/>
    </xf>
    <xf numFmtId="10" fontId="12" fillId="4" borderId="2" xfId="0" applyNumberFormat="1" applyFont="1" applyFill="1" applyBorder="1">
      <alignment vertical="center"/>
    </xf>
    <xf numFmtId="0" fontId="10" fillId="2" borderId="22" xfId="0" applyFont="1" applyFill="1" applyBorder="1" applyAlignment="1">
      <alignment horizontal="center" vertical="center"/>
    </xf>
    <xf numFmtId="41" fontId="10" fillId="2" borderId="23" xfId="1" applyFont="1" applyFill="1" applyBorder="1" applyAlignment="1">
      <alignment horizontal="center" vertical="center"/>
    </xf>
    <xf numFmtId="41" fontId="10" fillId="2" borderId="51" xfId="1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41" fontId="10" fillId="7" borderId="9" xfId="1" applyFont="1" applyFill="1" applyBorder="1" applyAlignment="1">
      <alignment horizontal="center" vertical="center"/>
    </xf>
    <xf numFmtId="41" fontId="10" fillId="7" borderId="28" xfId="1" applyFont="1" applyFill="1" applyBorder="1" applyAlignment="1">
      <alignment horizontal="center" vertical="center"/>
    </xf>
    <xf numFmtId="41" fontId="10" fillId="7" borderId="22" xfId="1" applyFont="1" applyFill="1" applyBorder="1" applyAlignment="1">
      <alignment horizontal="center" vertical="center"/>
    </xf>
    <xf numFmtId="41" fontId="10" fillId="7" borderId="20" xfId="1" applyFont="1" applyFill="1" applyBorder="1" applyAlignment="1">
      <alignment horizontal="center" vertical="center"/>
    </xf>
    <xf numFmtId="41" fontId="10" fillId="7" borderId="24" xfId="1" applyFont="1" applyFill="1" applyBorder="1" applyAlignment="1">
      <alignment horizontal="center" vertical="center"/>
    </xf>
    <xf numFmtId="9" fontId="7" fillId="7" borderId="4" xfId="2" applyFont="1" applyFill="1" applyBorder="1" applyAlignment="1">
      <alignment horizontal="center" vertical="center"/>
    </xf>
    <xf numFmtId="41" fontId="7" fillId="7" borderId="14" xfId="1" applyFont="1" applyFill="1" applyBorder="1">
      <alignment vertical="center"/>
    </xf>
    <xf numFmtId="41" fontId="7" fillId="7" borderId="8" xfId="1" applyFont="1" applyFill="1" applyBorder="1" applyAlignment="1">
      <alignment vertical="center"/>
    </xf>
    <xf numFmtId="9" fontId="10" fillId="7" borderId="4" xfId="2" applyFont="1" applyFill="1" applyBorder="1" applyAlignment="1">
      <alignment horizontal="center" vertical="center"/>
    </xf>
    <xf numFmtId="41" fontId="7" fillId="7" borderId="2" xfId="0" applyNumberFormat="1" applyFont="1" applyFill="1" applyBorder="1">
      <alignment vertical="center"/>
    </xf>
    <xf numFmtId="41" fontId="7" fillId="7" borderId="52" xfId="0" applyNumberFormat="1" applyFont="1" applyFill="1" applyBorder="1" applyAlignment="1">
      <alignment horizontal="center" vertical="center"/>
    </xf>
    <xf numFmtId="41" fontId="10" fillId="7" borderId="44" xfId="0" applyNumberFormat="1" applyFont="1" applyFill="1" applyBorder="1" applyAlignment="1">
      <alignment horizontal="center" vertical="center"/>
    </xf>
    <xf numFmtId="9" fontId="10" fillId="7" borderId="43" xfId="2" applyFont="1" applyFill="1" applyBorder="1" applyAlignment="1">
      <alignment horizontal="center" vertical="center"/>
    </xf>
    <xf numFmtId="9" fontId="7" fillId="7" borderId="44" xfId="2" applyFont="1" applyFill="1" applyBorder="1" applyAlignment="1">
      <alignment horizontal="center" vertical="center"/>
    </xf>
    <xf numFmtId="9" fontId="7" fillId="7" borderId="43" xfId="2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1" fontId="7" fillId="4" borderId="47" xfId="1" applyFont="1" applyFill="1" applyBorder="1" applyAlignment="1">
      <alignment horizontal="center" vertical="center"/>
    </xf>
    <xf numFmtId="41" fontId="7" fillId="4" borderId="29" xfId="1" applyFont="1" applyFill="1" applyBorder="1" applyAlignment="1">
      <alignment horizontal="center" vertical="center"/>
    </xf>
    <xf numFmtId="41" fontId="10" fillId="4" borderId="9" xfId="1" applyFont="1" applyFill="1" applyBorder="1" applyAlignment="1">
      <alignment horizontal="center" vertical="center"/>
    </xf>
    <xf numFmtId="41" fontId="10" fillId="4" borderId="6" xfId="1" applyFont="1" applyFill="1" applyBorder="1" applyAlignment="1">
      <alignment horizontal="center" vertical="center"/>
    </xf>
    <xf numFmtId="41" fontId="10" fillId="7" borderId="9" xfId="1" applyFont="1" applyFill="1" applyBorder="1">
      <alignment vertical="center"/>
    </xf>
    <xf numFmtId="41" fontId="10" fillId="7" borderId="22" xfId="1" applyFont="1" applyFill="1" applyBorder="1">
      <alignment vertical="center"/>
    </xf>
    <xf numFmtId="41" fontId="10" fillId="7" borderId="24" xfId="1" applyFont="1" applyFill="1" applyBorder="1">
      <alignment vertical="center"/>
    </xf>
    <xf numFmtId="178" fontId="7" fillId="0" borderId="46" xfId="1" applyNumberFormat="1" applyFont="1" applyBorder="1" applyAlignment="1">
      <alignment vertical="center"/>
    </xf>
    <xf numFmtId="178" fontId="7" fillId="0" borderId="0" xfId="1" applyNumberFormat="1" applyFont="1" applyAlignment="1">
      <alignment vertical="center"/>
    </xf>
    <xf numFmtId="14" fontId="7" fillId="0" borderId="0" xfId="0" applyNumberFormat="1" applyFont="1">
      <alignment vertical="center"/>
    </xf>
    <xf numFmtId="0" fontId="7" fillId="7" borderId="1" xfId="2" applyNumberFormat="1" applyFont="1" applyFill="1" applyBorder="1" applyAlignment="1">
      <alignment horizontal="center" vertical="center"/>
    </xf>
    <xf numFmtId="14" fontId="7" fillId="7" borderId="7" xfId="2" applyNumberFormat="1" applyFont="1" applyFill="1" applyBorder="1" applyAlignment="1">
      <alignment horizontal="center" vertical="center"/>
    </xf>
    <xf numFmtId="178" fontId="7" fillId="4" borderId="8" xfId="1" applyNumberFormat="1" applyFont="1" applyFill="1" applyBorder="1" applyAlignment="1">
      <alignment horizontal="center" vertical="center"/>
    </xf>
    <xf numFmtId="178" fontId="7" fillId="4" borderId="7" xfId="1" applyNumberFormat="1" applyFont="1" applyFill="1" applyBorder="1" applyAlignment="1">
      <alignment horizontal="center" vertical="center"/>
    </xf>
    <xf numFmtId="41" fontId="7" fillId="4" borderId="3" xfId="1" applyFont="1" applyFill="1" applyBorder="1" applyAlignment="1">
      <alignment horizontal="right" vertical="center" indent="1"/>
    </xf>
    <xf numFmtId="41" fontId="7" fillId="4" borderId="8" xfId="1" applyFont="1" applyFill="1" applyBorder="1" applyAlignment="1">
      <alignment horizontal="right" vertical="center" indent="1"/>
    </xf>
    <xf numFmtId="0" fontId="7" fillId="7" borderId="39" xfId="2" applyNumberFormat="1" applyFont="1" applyFill="1" applyBorder="1" applyAlignment="1">
      <alignment horizontal="center" vertical="center"/>
    </xf>
    <xf numFmtId="14" fontId="7" fillId="7" borderId="63" xfId="2" applyNumberFormat="1" applyFont="1" applyFill="1" applyBorder="1" applyAlignment="1">
      <alignment horizontal="center" vertical="center"/>
    </xf>
    <xf numFmtId="14" fontId="7" fillId="7" borderId="53" xfId="2" applyNumberFormat="1" applyFont="1" applyFill="1" applyBorder="1" applyAlignment="1">
      <alignment horizontal="center" vertical="center"/>
    </xf>
    <xf numFmtId="178" fontId="7" fillId="7" borderId="63" xfId="1" applyNumberFormat="1" applyFont="1" applyFill="1" applyBorder="1" applyAlignment="1">
      <alignment horizontal="center" vertical="center"/>
    </xf>
    <xf numFmtId="41" fontId="7" fillId="7" borderId="63" xfId="1" applyFont="1" applyFill="1" applyBorder="1">
      <alignment vertical="center"/>
    </xf>
    <xf numFmtId="41" fontId="7" fillId="7" borderId="39" xfId="1" applyFont="1" applyFill="1" applyBorder="1" applyAlignment="1">
      <alignment horizontal="right" vertical="center" indent="1"/>
    </xf>
    <xf numFmtId="41" fontId="7" fillId="7" borderId="63" xfId="1" applyFont="1" applyFill="1" applyBorder="1" applyAlignment="1">
      <alignment horizontal="right" vertical="center" indent="1"/>
    </xf>
    <xf numFmtId="0" fontId="7" fillId="7" borderId="7" xfId="2" applyNumberFormat="1" applyFont="1" applyFill="1" applyBorder="1" applyAlignment="1">
      <alignment horizontal="center" vertical="center"/>
    </xf>
    <xf numFmtId="14" fontId="7" fillId="7" borderId="2" xfId="2" applyNumberFormat="1" applyFont="1" applyFill="1" applyBorder="1" applyAlignment="1">
      <alignment horizontal="center" vertical="center"/>
    </xf>
    <xf numFmtId="41" fontId="7" fillId="7" borderId="63" xfId="1" applyFont="1" applyFill="1" applyBorder="1" applyAlignment="1">
      <alignment horizontal="center" vertical="center"/>
    </xf>
    <xf numFmtId="41" fontId="7" fillId="7" borderId="7" xfId="1" applyFont="1" applyFill="1" applyBorder="1" applyAlignment="1">
      <alignment horizontal="center" vertical="center"/>
    </xf>
    <xf numFmtId="41" fontId="7" fillId="7" borderId="53" xfId="1" applyFont="1" applyFill="1" applyBorder="1" applyAlignment="1">
      <alignment horizontal="center" vertical="center"/>
    </xf>
    <xf numFmtId="0" fontId="7" fillId="4" borderId="44" xfId="1" applyNumberFormat="1" applyFont="1" applyFill="1" applyBorder="1">
      <alignment vertical="center"/>
    </xf>
    <xf numFmtId="0" fontId="7" fillId="4" borderId="2" xfId="1" applyNumberFormat="1" applyFont="1" applyFill="1" applyBorder="1">
      <alignment vertical="center"/>
    </xf>
    <xf numFmtId="0" fontId="7" fillId="4" borderId="4" xfId="1" applyNumberFormat="1" applyFont="1" applyFill="1" applyBorder="1">
      <alignment vertical="center"/>
    </xf>
    <xf numFmtId="0" fontId="7" fillId="0" borderId="46" xfId="1" applyNumberFormat="1" applyFont="1" applyBorder="1">
      <alignment vertical="center"/>
    </xf>
    <xf numFmtId="14" fontId="7" fillId="4" borderId="37" xfId="0" applyNumberFormat="1" applyFont="1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7" fillId="4" borderId="42" xfId="0" applyFont="1" applyFill="1" applyBorder="1" applyAlignment="1">
      <alignment horizontal="left" vertical="center" indent="1"/>
    </xf>
    <xf numFmtId="41" fontId="7" fillId="4" borderId="56" xfId="1" applyFont="1" applyFill="1" applyBorder="1">
      <alignment vertical="center"/>
    </xf>
    <xf numFmtId="41" fontId="7" fillId="7" borderId="56" xfId="1" applyFont="1" applyFill="1" applyBorder="1">
      <alignment vertical="center"/>
    </xf>
    <xf numFmtId="0" fontId="7" fillId="4" borderId="43" xfId="1" applyNumberFormat="1" applyFont="1" applyFill="1" applyBorder="1" applyAlignment="1">
      <alignment horizontal="left" vertical="center" indent="1"/>
    </xf>
    <xf numFmtId="14" fontId="7" fillId="4" borderId="35" xfId="0" applyNumberFormat="1" applyFont="1" applyFill="1" applyBorder="1" applyAlignment="1">
      <alignment horizontal="center" vertical="center"/>
    </xf>
    <xf numFmtId="41" fontId="7" fillId="4" borderId="42" xfId="1" applyFont="1" applyFill="1" applyBorder="1">
      <alignment vertical="center"/>
    </xf>
    <xf numFmtId="41" fontId="7" fillId="7" borderId="42" xfId="1" applyFont="1" applyFill="1" applyBorder="1">
      <alignment vertical="center"/>
    </xf>
    <xf numFmtId="14" fontId="7" fillId="4" borderId="13" xfId="0" applyNumberFormat="1" applyFont="1" applyFill="1" applyBorder="1" applyAlignment="1">
      <alignment horizontal="center" vertical="center"/>
    </xf>
    <xf numFmtId="0" fontId="7" fillId="4" borderId="43" xfId="1" applyNumberFormat="1" applyFont="1" applyFill="1" applyBorder="1">
      <alignment vertical="center"/>
    </xf>
    <xf numFmtId="0" fontId="7" fillId="4" borderId="57" xfId="1" applyNumberFormat="1" applyFont="1" applyFill="1" applyBorder="1">
      <alignment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5" xfId="1" applyNumberFormat="1" applyFont="1" applyFill="1" applyBorder="1">
      <alignment vertical="center"/>
    </xf>
    <xf numFmtId="14" fontId="7" fillId="4" borderId="27" xfId="0" applyNumberFormat="1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left" vertical="center" indent="1"/>
    </xf>
    <xf numFmtId="41" fontId="7" fillId="7" borderId="45" xfId="1" applyFont="1" applyFill="1" applyBorder="1">
      <alignment vertical="center"/>
    </xf>
    <xf numFmtId="177" fontId="0" fillId="5" borderId="0" xfId="2" applyNumberFormat="1" applyFont="1" applyFill="1">
      <alignment vertical="center"/>
    </xf>
    <xf numFmtId="177" fontId="0" fillId="0" borderId="0" xfId="2" applyNumberFormat="1" applyFont="1">
      <alignment vertical="center"/>
    </xf>
    <xf numFmtId="177" fontId="10" fillId="2" borderId="38" xfId="2" applyNumberFormat="1" applyFont="1" applyFill="1" applyBorder="1" applyAlignment="1">
      <alignment horizontal="center" vertical="center"/>
    </xf>
    <xf numFmtId="177" fontId="10" fillId="2" borderId="20" xfId="2" applyNumberFormat="1" applyFont="1" applyFill="1" applyBorder="1" applyAlignment="1">
      <alignment horizontal="center" vertical="center"/>
    </xf>
    <xf numFmtId="177" fontId="10" fillId="2" borderId="21" xfId="2" applyNumberFormat="1" applyFont="1" applyFill="1" applyBorder="1" applyAlignment="1">
      <alignment horizontal="center" vertical="center"/>
    </xf>
    <xf numFmtId="177" fontId="10" fillId="2" borderId="36" xfId="2" applyNumberFormat="1" applyFont="1" applyFill="1" applyBorder="1" applyAlignment="1">
      <alignment horizontal="center" vertical="center"/>
    </xf>
    <xf numFmtId="0" fontId="10" fillId="2" borderId="20" xfId="2" applyNumberFormat="1" applyFont="1" applyFill="1" applyBorder="1" applyAlignment="1">
      <alignment horizontal="center" vertical="center"/>
    </xf>
    <xf numFmtId="9" fontId="12" fillId="4" borderId="7" xfId="2" applyFont="1" applyFill="1" applyBorder="1" applyAlignment="1">
      <alignment horizontal="right" vertical="center" indent="1"/>
    </xf>
    <xf numFmtId="0" fontId="34" fillId="0" borderId="0" xfId="0" applyFont="1">
      <alignment vertical="center"/>
    </xf>
    <xf numFmtId="0" fontId="25" fillId="4" borderId="0" xfId="0" applyFont="1" applyFill="1" applyAlignment="1">
      <alignment horizontal="center" vertical="center"/>
    </xf>
    <xf numFmtId="0" fontId="7" fillId="4" borderId="65" xfId="0" applyFont="1" applyFill="1" applyBorder="1" applyAlignment="1">
      <alignment horizontal="center" vertical="center"/>
    </xf>
    <xf numFmtId="41" fontId="7" fillId="4" borderId="1" xfId="1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66" xfId="0" applyFont="1" applyFill="1" applyBorder="1" applyAlignment="1">
      <alignment horizontal="center" vertical="center"/>
    </xf>
    <xf numFmtId="41" fontId="7" fillId="4" borderId="37" xfId="1" applyFont="1" applyFill="1" applyBorder="1" applyAlignment="1">
      <alignment horizontal="center" vertical="center"/>
    </xf>
    <xf numFmtId="41" fontId="10" fillId="2" borderId="67" xfId="1" applyFont="1" applyFill="1" applyBorder="1" applyAlignment="1">
      <alignment horizontal="center" vertical="center"/>
    </xf>
    <xf numFmtId="177" fontId="10" fillId="2" borderId="67" xfId="2" applyNumberFormat="1" applyFont="1" applyFill="1" applyBorder="1" applyAlignment="1">
      <alignment horizontal="center" vertical="center"/>
    </xf>
    <xf numFmtId="0" fontId="10" fillId="2" borderId="68" xfId="0" applyFont="1" applyFill="1" applyBorder="1" applyAlignment="1">
      <alignment horizontal="center" vertical="center"/>
    </xf>
    <xf numFmtId="0" fontId="7" fillId="4" borderId="68" xfId="0" applyFont="1" applyFill="1" applyBorder="1" applyAlignment="1">
      <alignment horizontal="center" vertical="center"/>
    </xf>
    <xf numFmtId="0" fontId="7" fillId="4" borderId="69" xfId="0" applyFont="1" applyFill="1" applyBorder="1" applyAlignment="1">
      <alignment horizontal="center" vertical="center"/>
    </xf>
    <xf numFmtId="41" fontId="35" fillId="0" borderId="0" xfId="1" applyFont="1" applyFill="1" applyAlignment="1">
      <alignment horizontal="center" vertical="center"/>
    </xf>
    <xf numFmtId="0" fontId="12" fillId="0" borderId="26" xfId="0" quotePrefix="1" applyFont="1" applyBorder="1">
      <alignment vertical="center"/>
    </xf>
    <xf numFmtId="0" fontId="12" fillId="0" borderId="26" xfId="0" applyFont="1" applyBorder="1">
      <alignment vertical="center"/>
    </xf>
    <xf numFmtId="0" fontId="12" fillId="0" borderId="10" xfId="0" quotePrefix="1" applyFont="1" applyBorder="1">
      <alignment vertical="center"/>
    </xf>
    <xf numFmtId="0" fontId="12" fillId="0" borderId="10" xfId="0" applyFont="1" applyBorder="1">
      <alignment vertical="center"/>
    </xf>
    <xf numFmtId="0" fontId="12" fillId="0" borderId="0" xfId="0" quotePrefix="1" applyFont="1">
      <alignment vertical="center"/>
    </xf>
    <xf numFmtId="0" fontId="7" fillId="0" borderId="3" xfId="0" applyFont="1" applyBorder="1" applyAlignment="1">
      <alignment horizontal="center" vertical="center"/>
    </xf>
    <xf numFmtId="41" fontId="7" fillId="0" borderId="4" xfId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9" fontId="7" fillId="0" borderId="52" xfId="0" applyNumberFormat="1" applyFont="1" applyBorder="1" applyAlignment="1">
      <alignment horizontal="center" vertical="center"/>
    </xf>
    <xf numFmtId="0" fontId="7" fillId="4" borderId="46" xfId="0" applyFont="1" applyFill="1" applyBorder="1" applyAlignment="1">
      <alignment horizontal="center" vertical="center"/>
    </xf>
    <xf numFmtId="0" fontId="10" fillId="2" borderId="53" xfId="0" applyFont="1" applyFill="1" applyBorder="1" applyAlignment="1">
      <alignment horizontal="center" vertical="center"/>
    </xf>
    <xf numFmtId="0" fontId="7" fillId="4" borderId="53" xfId="0" applyFont="1" applyFill="1" applyBorder="1" applyAlignment="1">
      <alignment horizontal="center" vertical="center"/>
    </xf>
    <xf numFmtId="0" fontId="7" fillId="4" borderId="52" xfId="0" applyFont="1" applyFill="1" applyBorder="1" applyAlignment="1">
      <alignment horizontal="center" vertical="center"/>
    </xf>
    <xf numFmtId="0" fontId="10" fillId="2" borderId="70" xfId="0" applyFont="1" applyFill="1" applyBorder="1" applyAlignment="1">
      <alignment horizontal="center" vertical="center"/>
    </xf>
    <xf numFmtId="0" fontId="7" fillId="4" borderId="70" xfId="0" applyFont="1" applyFill="1" applyBorder="1" applyAlignment="1">
      <alignment horizontal="center" vertical="center"/>
    </xf>
    <xf numFmtId="0" fontId="7" fillId="4" borderId="62" xfId="0" applyFont="1" applyFill="1" applyBorder="1" applyAlignment="1">
      <alignment horizontal="center" vertical="center"/>
    </xf>
    <xf numFmtId="0" fontId="10" fillId="2" borderId="63" xfId="0" applyFont="1" applyFill="1" applyBorder="1" applyAlignment="1">
      <alignment horizontal="center" vertical="center"/>
    </xf>
    <xf numFmtId="0" fontId="7" fillId="4" borderId="6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59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8" fontId="7" fillId="7" borderId="3" xfId="2" applyNumberFormat="1" applyFont="1" applyFill="1" applyBorder="1" applyAlignment="1">
      <alignment horizontal="center" vertical="center"/>
    </xf>
    <xf numFmtId="178" fontId="7" fillId="7" borderId="8" xfId="2" applyNumberFormat="1" applyFont="1" applyFill="1" applyBorder="1" applyAlignment="1">
      <alignment horizontal="center" vertical="center"/>
    </xf>
    <xf numFmtId="41" fontId="18" fillId="0" borderId="0" xfId="1" applyFont="1">
      <alignment vertical="center"/>
    </xf>
    <xf numFmtId="0" fontId="10" fillId="2" borderId="5" xfId="0" applyFont="1" applyFill="1" applyBorder="1" applyAlignment="1">
      <alignment horizontal="center" vertical="center"/>
    </xf>
    <xf numFmtId="41" fontId="10" fillId="2" borderId="6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177" fontId="12" fillId="4" borderId="45" xfId="2" applyNumberFormat="1" applyFont="1" applyFill="1" applyBorder="1" applyAlignment="1">
      <alignment horizontal="right" vertical="center" indent="1"/>
    </xf>
    <xf numFmtId="177" fontId="12" fillId="4" borderId="7" xfId="2" applyNumberFormat="1" applyFont="1" applyFill="1" applyBorder="1" applyAlignment="1">
      <alignment horizontal="right" vertical="center" indent="1"/>
    </xf>
    <xf numFmtId="41" fontId="7" fillId="7" borderId="2" xfId="1" applyFont="1" applyFill="1" applyBorder="1">
      <alignment vertical="center"/>
    </xf>
    <xf numFmtId="14" fontId="7" fillId="7" borderId="4" xfId="0" applyNumberFormat="1" applyFont="1" applyFill="1" applyBorder="1" applyAlignment="1">
      <alignment horizontal="center" vertical="center"/>
    </xf>
    <xf numFmtId="178" fontId="7" fillId="7" borderId="2" xfId="1" applyNumberFormat="1" applyFont="1" applyFill="1" applyBorder="1" applyAlignment="1">
      <alignment horizontal="center" vertical="center"/>
    </xf>
    <xf numFmtId="9" fontId="7" fillId="7" borderId="52" xfId="2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42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0" fillId="0" borderId="71" xfId="0" applyBorder="1">
      <alignment vertical="center"/>
    </xf>
    <xf numFmtId="0" fontId="38" fillId="0" borderId="0" xfId="3" applyAlignme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0" fontId="0" fillId="0" borderId="0" xfId="0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10" fontId="7" fillId="4" borderId="14" xfId="2" applyNumberFormat="1" applyFont="1" applyFill="1" applyBorder="1" applyAlignment="1">
      <alignment horizontal="right" vertical="center" indent="1"/>
    </xf>
    <xf numFmtId="178" fontId="7" fillId="4" borderId="8" xfId="2" applyNumberFormat="1" applyFont="1" applyFill="1" applyBorder="1" applyAlignment="1">
      <alignment horizontal="center" vertical="center"/>
    </xf>
    <xf numFmtId="0" fontId="47" fillId="0" borderId="0" xfId="3" applyFont="1" applyAlignment="1" applyProtection="1">
      <alignment horizontal="right" vertical="center"/>
      <protection locked="0"/>
    </xf>
    <xf numFmtId="0" fontId="48" fillId="0" borderId="0" xfId="3" applyFont="1" applyAlignment="1" applyProtection="1">
      <alignment horizontal="right" vertical="center"/>
      <protection locked="0"/>
    </xf>
    <xf numFmtId="0" fontId="42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71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1" xfId="0" applyFont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5" fillId="0" borderId="10" xfId="0" quotePrefix="1" applyFont="1" applyBorder="1" applyAlignment="1">
      <alignment horizontal="left" vertical="center"/>
    </xf>
    <xf numFmtId="0" fontId="15" fillId="0" borderId="26" xfId="0" quotePrefix="1" applyFont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0" fontId="15" fillId="0" borderId="26" xfId="0" applyFont="1" applyBorder="1" applyAlignment="1">
      <alignment horizontal="left" vertical="center"/>
    </xf>
    <xf numFmtId="0" fontId="13" fillId="3" borderId="0" xfId="0" applyFont="1" applyFill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>
      <alignment vertical="center"/>
    </xf>
    <xf numFmtId="0" fontId="15" fillId="0" borderId="26" xfId="0" applyFont="1" applyBorder="1">
      <alignment vertical="center"/>
    </xf>
    <xf numFmtId="0" fontId="15" fillId="0" borderId="10" xfId="0" quotePrefix="1" applyFont="1" applyBorder="1">
      <alignment vertical="center"/>
    </xf>
    <xf numFmtId="0" fontId="15" fillId="0" borderId="26" xfId="0" quotePrefix="1" applyFont="1" applyBorder="1">
      <alignment vertical="center"/>
    </xf>
    <xf numFmtId="0" fontId="5" fillId="5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45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4" borderId="44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43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78" fontId="10" fillId="2" borderId="64" xfId="0" applyNumberFormat="1" applyFont="1" applyFill="1" applyBorder="1" applyAlignment="1">
      <alignment horizontal="center" vertical="center"/>
    </xf>
    <xf numFmtId="178" fontId="10" fillId="2" borderId="50" xfId="0" applyNumberFormat="1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78" fontId="10" fillId="2" borderId="32" xfId="0" applyNumberFormat="1" applyFont="1" applyFill="1" applyBorder="1" applyAlignment="1">
      <alignment horizontal="center" vertical="center"/>
    </xf>
    <xf numFmtId="178" fontId="10" fillId="2" borderId="34" xfId="0" applyNumberFormat="1" applyFont="1" applyFill="1" applyBorder="1" applyAlignment="1">
      <alignment horizontal="center" vertical="center"/>
    </xf>
    <xf numFmtId="177" fontId="7" fillId="4" borderId="8" xfId="2" applyNumberFormat="1" applyFont="1" applyFill="1" applyBorder="1" applyAlignment="1">
      <alignment horizontal="right" vertical="center" indent="1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1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지출</c:v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1월</c:v>
              </c:pt>
              <c:pt idx="1">
                <c:v>2월</c:v>
              </c:pt>
              <c:pt idx="2">
                <c:v>3월</c:v>
              </c:pt>
              <c:pt idx="3">
                <c:v>4월</c:v>
              </c:pt>
              <c:pt idx="4">
                <c:v>5월</c:v>
              </c:pt>
              <c:pt idx="5">
                <c:v>6월</c:v>
              </c:pt>
              <c:pt idx="6">
                <c:v>7월</c:v>
              </c:pt>
              <c:pt idx="7">
                <c:v>8월</c:v>
              </c:pt>
              <c:pt idx="8">
                <c:v>9월</c:v>
              </c:pt>
              <c:pt idx="9">
                <c:v>10월</c:v>
              </c:pt>
              <c:pt idx="10">
                <c:v>11월</c:v>
              </c:pt>
              <c:pt idx="11">
                <c:v>12월</c:v>
              </c:pt>
            </c:strLit>
          </c:cat>
          <c:val>
            <c:numRef>
              <c:f>연간_항목별지출!$C$19:$N$19</c:f>
              <c:numCache>
                <c:formatCode>_(* #,##0_);_(* \(#,##0\);_(*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C-4F97-8FB9-7EE26104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8"/>
        <c:axId val="659353192"/>
        <c:axId val="659359096"/>
      </c:barChart>
      <c:lineChart>
        <c:grouping val="standard"/>
        <c:varyColors val="0"/>
        <c:ser>
          <c:idx val="1"/>
          <c:order val="1"/>
          <c:tx>
            <c:v>순수입</c:v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1월</c:v>
              </c:pt>
              <c:pt idx="1">
                <c:v>2월</c:v>
              </c:pt>
              <c:pt idx="2">
                <c:v>3월</c:v>
              </c:pt>
              <c:pt idx="3">
                <c:v>4월</c:v>
              </c:pt>
              <c:pt idx="4">
                <c:v>5월</c:v>
              </c:pt>
              <c:pt idx="5">
                <c:v>6월</c:v>
              </c:pt>
              <c:pt idx="6">
                <c:v>7월</c:v>
              </c:pt>
              <c:pt idx="7">
                <c:v>8월</c:v>
              </c:pt>
              <c:pt idx="8">
                <c:v>9월</c:v>
              </c:pt>
              <c:pt idx="9">
                <c:v>10월</c:v>
              </c:pt>
              <c:pt idx="10">
                <c:v>11월</c:v>
              </c:pt>
              <c:pt idx="11">
                <c:v>12월</c:v>
              </c:pt>
            </c:strLit>
          </c:cat>
          <c:val>
            <c:numRef>
              <c:f>연간_항목별수입!$C$20:$N$20</c:f>
              <c:numCache>
                <c:formatCode>_(* #,##0_);_(* \(#,##0\);_(*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0C-4F97-8FB9-7EE26104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53192"/>
        <c:axId val="659359096"/>
      </c:lineChart>
      <c:catAx>
        <c:axId val="659353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59096"/>
        <c:crosses val="autoZero"/>
        <c:auto val="1"/>
        <c:lblAlgn val="ctr"/>
        <c:lblOffset val="100"/>
        <c:noMultiLvlLbl val="0"/>
      </c:catAx>
      <c:valAx>
        <c:axId val="65935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35319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0776576763030072"/>
          <c:y val="2.2099447513812154E-2"/>
          <c:w val="0.17777777777777778"/>
          <c:h val="6.2155131161091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연간_항목별지출!$C$4:$C$19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E-48FD-BF50-7FC864D83E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연간_항목별지출!$D$4:$D$19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1A0-9B48-40641EED49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연간_항목별지출!$E$4:$E$19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4-4022-B1DE-D9C9397BAA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연간_항목별지출!$F$4:$F$19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A-4C1E-BD36-D7C2272E24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연간_항목별지출!$G$4:$G$19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C-4364-BE69-D8CBD7D830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연간_항목별지출!$H$4:$H$19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00A-A360-A052C1DDF5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연간_항목별지출!$I$4:$I$19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C-4156-8A97-500B673DC2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연간_항목별지출!$J$4:$J$19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9-48DF-ADDB-F0030507FD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연간_항목별지출!$K$4:$K$19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D-41B9-8F20-BCBADDDF14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연간_항목별지출!$L$4:$L$19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9-4601-A382-95965F3C08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연간_항목별지출!$M$4:$M$19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B-444B-B723-9F82CBD939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연간_항목별지출!$B$4:$B$19</c:f>
              <c:strCache>
                <c:ptCount val="16"/>
                <c:pt idx="0">
                  <c:v>저축성지출</c:v>
                </c:pt>
                <c:pt idx="1">
                  <c:v>소비성지출</c:v>
                </c:pt>
                <c:pt idx="2">
                  <c:v>식비</c:v>
                </c:pt>
                <c:pt idx="3">
                  <c:v>주거비</c:v>
                </c:pt>
                <c:pt idx="4">
                  <c:v>생활용품비</c:v>
                </c:pt>
                <c:pt idx="5">
                  <c:v>반려동물비</c:v>
                </c:pt>
                <c:pt idx="6">
                  <c:v>의류비</c:v>
                </c:pt>
                <c:pt idx="7">
                  <c:v>미용비</c:v>
                </c:pt>
                <c:pt idx="8">
                  <c:v>교육계발비</c:v>
                </c:pt>
                <c:pt idx="9">
                  <c:v>문화생활비</c:v>
                </c:pt>
                <c:pt idx="10">
                  <c:v>의료비</c:v>
                </c:pt>
                <c:pt idx="11">
                  <c:v>유류교통비</c:v>
                </c:pt>
                <c:pt idx="12">
                  <c:v>통신비</c:v>
                </c:pt>
                <c:pt idx="13">
                  <c:v>경조사회비</c:v>
                </c:pt>
                <c:pt idx="14">
                  <c:v>용돈지출</c:v>
                </c:pt>
                <c:pt idx="15">
                  <c:v>총계</c:v>
                </c:pt>
              </c:strCache>
            </c:strRef>
          </c:cat>
          <c:val>
            <c:numRef>
              <c:f>연간_항목별지출!$N$4:$N$19</c:f>
              <c:numCache>
                <c:formatCode>_(* #,##0_);_(* \(#,##0\);_(* "-"_);_(@_)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3-42CC-BAC9-2D554963CE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2738568"/>
        <c:axId val="512741520"/>
      </c:barChart>
      <c:catAx>
        <c:axId val="51273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41520"/>
        <c:crosses val="autoZero"/>
        <c:auto val="1"/>
        <c:lblAlgn val="ctr"/>
        <c:lblOffset val="100"/>
        <c:noMultiLvlLbl val="0"/>
      </c:catAx>
      <c:valAx>
        <c:axId val="5127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273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&lt;</a:t>
            </a:r>
            <a:r>
              <a:rPr lang="ko-KR" altLang="en-US"/>
              <a:t>금융자산</a:t>
            </a:r>
            <a:r>
              <a:rPr lang="ko-KR" altLang="en-US" baseline="0"/>
              <a:t> 현황</a:t>
            </a:r>
            <a:r>
              <a:rPr lang="en-US" altLang="ko-KR" baseline="0"/>
              <a:t>&gt;</a:t>
            </a:r>
            <a:endParaRPr lang="ko-KR" altLang="en-US"/>
          </a:p>
        </c:rich>
      </c:tx>
      <c:layout>
        <c:manualLayout>
          <c:xMode val="edge"/>
          <c:yMode val="edge"/>
          <c:x val="5.1159667541557347E-2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40547944006999126"/>
          <c:y val="4.5329751841220518E-2"/>
          <c:w val="0.56094816272965875"/>
          <c:h val="0.93491360454943129"/>
        </c:manualLayout>
      </c:layout>
      <c:pieChart>
        <c:varyColors val="1"/>
        <c:ser>
          <c:idx val="0"/>
          <c:order val="0"/>
          <c:tx>
            <c:strRef>
              <c:f>자산현황!$E$13</c:f>
              <c:strCache>
                <c:ptCount val="1"/>
                <c:pt idx="0">
                  <c:v>금액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55-4A76-900D-6AD692E8D431}"/>
              </c:ext>
            </c:extLst>
          </c:dPt>
          <c:dPt>
            <c:idx val="1"/>
            <c:bubble3D val="0"/>
            <c:explosion val="1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55-4A76-900D-6AD692E8D431}"/>
              </c:ext>
            </c:extLst>
          </c:dPt>
          <c:dPt>
            <c:idx val="2"/>
            <c:bubble3D val="0"/>
            <c:explosion val="1"/>
            <c:spPr>
              <a:solidFill>
                <a:srgbClr val="5F5F5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89-489B-B5B1-D92881B39B0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455-4A76-900D-6AD692E8D4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자산현황!$B$14:$B$16</c:f>
              <c:strCache>
                <c:ptCount val="3"/>
                <c:pt idx="0">
                  <c:v>장기</c:v>
                </c:pt>
                <c:pt idx="1">
                  <c:v>중기</c:v>
                </c:pt>
                <c:pt idx="2">
                  <c:v>단기</c:v>
                </c:pt>
              </c:strCache>
            </c:strRef>
          </c:cat>
          <c:val>
            <c:numRef>
              <c:f>자산현황!$E$14:$E$16</c:f>
              <c:numCache>
                <c:formatCode>_(* #,##0_);_(* \(#,##0\);_(* "-"_);_(@_)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9-4940-90B8-9D421B6DEA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5734710580532275E-2"/>
          <c:y val="0.69579754035762253"/>
          <c:w val="9.7165692998052652E-2"/>
          <c:h val="0.225754088431253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&lt;</a:t>
            </a:r>
            <a:r>
              <a:rPr lang="ko-KR"/>
              <a:t>전체 자산 현황</a:t>
            </a:r>
            <a:r>
              <a:rPr lang="en-US" altLang="ko-KR"/>
              <a:t>&gt;</a:t>
            </a:r>
            <a:endParaRPr lang="ko-KR"/>
          </a:p>
        </c:rich>
      </c:tx>
      <c:layout>
        <c:manualLayout>
          <c:xMode val="edge"/>
          <c:yMode val="edge"/>
          <c:x val="5.231934652654123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38899221106566295"/>
          <c:y val="2.409558180227472E-2"/>
          <c:w val="0.56923787603628084"/>
          <c:h val="0.9487295858850977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1F-4933-8AC6-D65442E629B1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1F-4933-8AC6-D65442E629B1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1F-4933-8AC6-D65442E629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자산현황!$D$3:$D$5</c:f>
              <c:strCache>
                <c:ptCount val="3"/>
                <c:pt idx="0">
                  <c:v>금융자산 총계</c:v>
                </c:pt>
                <c:pt idx="1">
                  <c:v>부동자산 총계</c:v>
                </c:pt>
                <c:pt idx="2">
                  <c:v>부채</c:v>
                </c:pt>
              </c:strCache>
            </c:strRef>
          </c:cat>
          <c:val>
            <c:numRef>
              <c:f>자산현황!$F$3:$F$5</c:f>
              <c:numCache>
                <c:formatCode>_(* #,##0_);_(* \(#,##0\);_(* "-"_);_(@_)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9-461E-9682-16252F1B561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8550975186127556E-2"/>
          <c:y val="0.69116797900262472"/>
          <c:w val="0.20622678434832711"/>
          <c:h val="0.2556836077308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200026</xdr:colOff>
      <xdr:row>28</xdr:row>
      <xdr:rowOff>38099</xdr:rowOff>
    </xdr:from>
    <xdr:to>
      <xdr:col>10</xdr:col>
      <xdr:colOff>314326</xdr:colOff>
      <xdr:row>31</xdr:row>
      <xdr:rowOff>66674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D2145EE-2B72-414F-B16C-C9C66836F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1" y="6229349"/>
          <a:ext cx="800100" cy="800100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26</xdr:row>
      <xdr:rowOff>76200</xdr:rowOff>
    </xdr:from>
    <xdr:to>
      <xdr:col>10</xdr:col>
      <xdr:colOff>495300</xdr:colOff>
      <xdr:row>31</xdr:row>
      <xdr:rowOff>152400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2A2D424-D4E7-4F3B-94E4-29A5799AB4A7}"/>
            </a:ext>
          </a:extLst>
        </xdr:cNvPr>
        <xdr:cNvSpPr/>
      </xdr:nvSpPr>
      <xdr:spPr>
        <a:xfrm>
          <a:off x="581025" y="5857875"/>
          <a:ext cx="6515100" cy="12573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1</xdr:rowOff>
    </xdr:from>
    <xdr:to>
      <xdr:col>18</xdr:col>
      <xdr:colOff>0</xdr:colOff>
      <xdr:row>38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85725</xdr:colOff>
      <xdr:row>10</xdr:row>
      <xdr:rowOff>0</xdr:rowOff>
    </xdr:from>
    <xdr:to>
      <xdr:col>4</xdr:col>
      <xdr:colOff>742950</xdr:colOff>
      <xdr:row>11</xdr:row>
      <xdr:rowOff>0</xdr:rowOff>
    </xdr:to>
    <xdr:sp macro="[0]!이동1월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457575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85725</xdr:colOff>
      <xdr:row>10</xdr:row>
      <xdr:rowOff>0</xdr:rowOff>
    </xdr:from>
    <xdr:to>
      <xdr:col>5</xdr:col>
      <xdr:colOff>742950</xdr:colOff>
      <xdr:row>11</xdr:row>
      <xdr:rowOff>0</xdr:rowOff>
    </xdr:to>
    <xdr:sp macro="[0]!이동2월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26720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95250</xdr:colOff>
      <xdr:row>10</xdr:row>
      <xdr:rowOff>0</xdr:rowOff>
    </xdr:from>
    <xdr:to>
      <xdr:col>6</xdr:col>
      <xdr:colOff>752475</xdr:colOff>
      <xdr:row>11</xdr:row>
      <xdr:rowOff>0</xdr:rowOff>
    </xdr:to>
    <xdr:sp macro="[0]!이동3월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8635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9</xdr:row>
      <xdr:rowOff>304800</xdr:rowOff>
    </xdr:from>
    <xdr:to>
      <xdr:col>7</xdr:col>
      <xdr:colOff>742950</xdr:colOff>
      <xdr:row>10</xdr:row>
      <xdr:rowOff>304800</xdr:rowOff>
    </xdr:to>
    <xdr:sp macro="[0]!이동4월" textlink="">
      <xdr:nvSpPr>
        <xdr:cNvPr id="20" name="직사각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886450" y="3228975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85725</xdr:colOff>
      <xdr:row>10</xdr:row>
      <xdr:rowOff>0</xdr:rowOff>
    </xdr:from>
    <xdr:to>
      <xdr:col>8</xdr:col>
      <xdr:colOff>742950</xdr:colOff>
      <xdr:row>11</xdr:row>
      <xdr:rowOff>0</xdr:rowOff>
    </xdr:to>
    <xdr:sp macro="[0]!이동5월" textlink="">
      <xdr:nvSpPr>
        <xdr:cNvPr id="21" name="직사각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696075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10</xdr:row>
      <xdr:rowOff>0</xdr:rowOff>
    </xdr:from>
    <xdr:to>
      <xdr:col>9</xdr:col>
      <xdr:colOff>742950</xdr:colOff>
      <xdr:row>11</xdr:row>
      <xdr:rowOff>0</xdr:rowOff>
    </xdr:to>
    <xdr:sp macro="[0]!이동6월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50570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10</xdr:row>
      <xdr:rowOff>0</xdr:rowOff>
    </xdr:from>
    <xdr:to>
      <xdr:col>10</xdr:col>
      <xdr:colOff>733425</xdr:colOff>
      <xdr:row>11</xdr:row>
      <xdr:rowOff>0</xdr:rowOff>
    </xdr:to>
    <xdr:sp macro="[0]!이동7월" textlink="">
      <xdr:nvSpPr>
        <xdr:cNvPr id="23" name="직사각형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30580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10</xdr:row>
      <xdr:rowOff>0</xdr:rowOff>
    </xdr:from>
    <xdr:to>
      <xdr:col>11</xdr:col>
      <xdr:colOff>742950</xdr:colOff>
      <xdr:row>11</xdr:row>
      <xdr:rowOff>0</xdr:rowOff>
    </xdr:to>
    <xdr:sp macro="[0]!이동8월" textlink="">
      <xdr:nvSpPr>
        <xdr:cNvPr id="24" name="직사각형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12495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10</xdr:row>
      <xdr:rowOff>0</xdr:rowOff>
    </xdr:from>
    <xdr:to>
      <xdr:col>12</xdr:col>
      <xdr:colOff>742950</xdr:colOff>
      <xdr:row>11</xdr:row>
      <xdr:rowOff>0</xdr:rowOff>
    </xdr:to>
    <xdr:sp macro="[0]!이동9월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934575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10</xdr:row>
      <xdr:rowOff>0</xdr:rowOff>
    </xdr:from>
    <xdr:to>
      <xdr:col>13</xdr:col>
      <xdr:colOff>733425</xdr:colOff>
      <xdr:row>11</xdr:row>
      <xdr:rowOff>0</xdr:rowOff>
    </xdr:to>
    <xdr:sp macro="[0]!이동10월" textlink="">
      <xdr:nvSpPr>
        <xdr:cNvPr id="26" name="직사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734675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85725</xdr:colOff>
      <xdr:row>10</xdr:row>
      <xdr:rowOff>0</xdr:rowOff>
    </xdr:from>
    <xdr:to>
      <xdr:col>14</xdr:col>
      <xdr:colOff>742950</xdr:colOff>
      <xdr:row>11</xdr:row>
      <xdr:rowOff>0</xdr:rowOff>
    </xdr:to>
    <xdr:sp macro="[0]!이동11월" textlink="">
      <xdr:nvSpPr>
        <xdr:cNvPr id="27" name="직사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553825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85725</xdr:colOff>
      <xdr:row>10</xdr:row>
      <xdr:rowOff>0</xdr:rowOff>
    </xdr:from>
    <xdr:to>
      <xdr:col>15</xdr:col>
      <xdr:colOff>742950</xdr:colOff>
      <xdr:row>11</xdr:row>
      <xdr:rowOff>0</xdr:rowOff>
    </xdr:to>
    <xdr:sp macro="[0]!이동12월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363450" y="32385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28575</xdr:colOff>
      <xdr:row>2</xdr:row>
      <xdr:rowOff>28575</xdr:rowOff>
    </xdr:from>
    <xdr:to>
      <xdr:col>1</xdr:col>
      <xdr:colOff>647700</xdr:colOff>
      <xdr:row>2</xdr:row>
      <xdr:rowOff>238125</xdr:rowOff>
    </xdr:to>
    <xdr:sp macro="" textlink="">
      <xdr:nvSpPr>
        <xdr:cNvPr id="30" name="사각형: 둥근 모서리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66800" y="752475"/>
          <a:ext cx="619125" cy="209550"/>
        </a:xfrm>
        <a:prstGeom prst="roundRect">
          <a:avLst/>
        </a:prstGeom>
        <a:noFill/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>
    <xdr:from>
      <xdr:col>0</xdr:col>
      <xdr:colOff>352424</xdr:colOff>
      <xdr:row>3</xdr:row>
      <xdr:rowOff>0</xdr:rowOff>
    </xdr:from>
    <xdr:to>
      <xdr:col>1</xdr:col>
      <xdr:colOff>790574</xdr:colOff>
      <xdr:row>3</xdr:row>
      <xdr:rowOff>314324</xdr:rowOff>
    </xdr:to>
    <xdr:sp macro="[0]!이동_항목" textlink="">
      <xdr:nvSpPr>
        <xdr:cNvPr id="31" name="직사각형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38224" y="1104900"/>
          <a:ext cx="79057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1419225</xdr:colOff>
      <xdr:row>5</xdr:row>
      <xdr:rowOff>314324</xdr:rowOff>
    </xdr:to>
    <xdr:sp macro="[0]!이동_항목별수입" textlink="">
      <xdr:nvSpPr>
        <xdr:cNvPr id="32" name="직사각형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038225" y="1733550"/>
          <a:ext cx="141922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1419225</xdr:colOff>
      <xdr:row>7</xdr:row>
      <xdr:rowOff>314324</xdr:rowOff>
    </xdr:to>
    <xdr:sp macro="[0]!이동_카드별지출" textlink="">
      <xdr:nvSpPr>
        <xdr:cNvPr id="33" name="직사각형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038225" y="2362200"/>
          <a:ext cx="141922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1419225</xdr:colOff>
      <xdr:row>8</xdr:row>
      <xdr:rowOff>314324</xdr:rowOff>
    </xdr:to>
    <xdr:sp macro="[0]!이동_항목별지출" textlink="">
      <xdr:nvSpPr>
        <xdr:cNvPr id="34" name="직사각형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38225" y="2676525"/>
          <a:ext cx="141922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1714500</xdr:colOff>
      <xdr:row>9</xdr:row>
      <xdr:rowOff>314324</xdr:rowOff>
    </xdr:to>
    <xdr:sp macro="[0]!이동_세부항목별지출" textlink="">
      <xdr:nvSpPr>
        <xdr:cNvPr id="35" name="직사각형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38225" y="2990850"/>
          <a:ext cx="1714500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1</xdr:rowOff>
    </xdr:from>
    <xdr:to>
      <xdr:col>1</xdr:col>
      <xdr:colOff>561975</xdr:colOff>
      <xdr:row>12</xdr:row>
      <xdr:rowOff>0</xdr:rowOff>
    </xdr:to>
    <xdr:sp macro="[0]!이동_예산" textlink="">
      <xdr:nvSpPr>
        <xdr:cNvPr id="37" name="직사각형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038225" y="3619501"/>
          <a:ext cx="56197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609600</xdr:colOff>
      <xdr:row>12</xdr:row>
      <xdr:rowOff>314324</xdr:rowOff>
    </xdr:to>
    <xdr:sp macro="[0]!이동_결산" textlink="">
      <xdr:nvSpPr>
        <xdr:cNvPr id="38" name="직사각형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352425" y="3867150"/>
          <a:ext cx="609600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9524</xdr:colOff>
      <xdr:row>40</xdr:row>
      <xdr:rowOff>0</xdr:rowOff>
    </xdr:from>
    <xdr:to>
      <xdr:col>17</xdr:col>
      <xdr:colOff>809624</xdr:colOff>
      <xdr:row>52</xdr:row>
      <xdr:rowOff>0</xdr:rowOff>
    </xdr:to>
    <xdr:graphicFrame macro="">
      <xdr:nvGraphicFramePr>
        <xdr:cNvPr id="181" name="차트 180">
          <a:extLst>
            <a:ext uri="{FF2B5EF4-FFF2-40B4-BE49-F238E27FC236}">
              <a16:creationId xmlns:a16="http://schemas.microsoft.com/office/drawing/2014/main" id="{84A63FED-5E0C-4BF3-86C3-2D11DCBEF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53</xdr:row>
      <xdr:rowOff>0</xdr:rowOff>
    </xdr:from>
    <xdr:to>
      <xdr:col>18</xdr:col>
      <xdr:colOff>0</xdr:colOff>
      <xdr:row>65</xdr:row>
      <xdr:rowOff>0</xdr:rowOff>
    </xdr:to>
    <xdr:graphicFrame macro="">
      <xdr:nvGraphicFramePr>
        <xdr:cNvPr id="182" name="차트 181">
          <a:extLst>
            <a:ext uri="{FF2B5EF4-FFF2-40B4-BE49-F238E27FC236}">
              <a16:creationId xmlns:a16="http://schemas.microsoft.com/office/drawing/2014/main" id="{524D68C8-5785-44CF-A819-B3098284C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66</xdr:row>
      <xdr:rowOff>0</xdr:rowOff>
    </xdr:from>
    <xdr:to>
      <xdr:col>18</xdr:col>
      <xdr:colOff>0</xdr:colOff>
      <xdr:row>78</xdr:row>
      <xdr:rowOff>0</xdr:rowOff>
    </xdr:to>
    <xdr:graphicFrame macro="">
      <xdr:nvGraphicFramePr>
        <xdr:cNvPr id="183" name="차트 182">
          <a:extLst>
            <a:ext uri="{FF2B5EF4-FFF2-40B4-BE49-F238E27FC236}">
              <a16:creationId xmlns:a16="http://schemas.microsoft.com/office/drawing/2014/main" id="{FB2D4A05-5643-4626-B084-2253ABEAC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79</xdr:row>
      <xdr:rowOff>0</xdr:rowOff>
    </xdr:from>
    <xdr:to>
      <xdr:col>18</xdr:col>
      <xdr:colOff>0</xdr:colOff>
      <xdr:row>91</xdr:row>
      <xdr:rowOff>0</xdr:rowOff>
    </xdr:to>
    <xdr:graphicFrame macro="">
      <xdr:nvGraphicFramePr>
        <xdr:cNvPr id="184" name="차트 183">
          <a:extLst>
            <a:ext uri="{FF2B5EF4-FFF2-40B4-BE49-F238E27FC236}">
              <a16:creationId xmlns:a16="http://schemas.microsoft.com/office/drawing/2014/main" id="{C902387C-D618-4CFE-9783-F7B467AFF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92</xdr:row>
      <xdr:rowOff>0</xdr:rowOff>
    </xdr:from>
    <xdr:to>
      <xdr:col>18</xdr:col>
      <xdr:colOff>0</xdr:colOff>
      <xdr:row>104</xdr:row>
      <xdr:rowOff>0</xdr:rowOff>
    </xdr:to>
    <xdr:graphicFrame macro="">
      <xdr:nvGraphicFramePr>
        <xdr:cNvPr id="185" name="차트 184">
          <a:extLst>
            <a:ext uri="{FF2B5EF4-FFF2-40B4-BE49-F238E27FC236}">
              <a16:creationId xmlns:a16="http://schemas.microsoft.com/office/drawing/2014/main" id="{33B1B91A-48DB-476B-8D2E-5F611E7D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105</xdr:row>
      <xdr:rowOff>0</xdr:rowOff>
    </xdr:from>
    <xdr:to>
      <xdr:col>18</xdr:col>
      <xdr:colOff>0</xdr:colOff>
      <xdr:row>117</xdr:row>
      <xdr:rowOff>0</xdr:rowOff>
    </xdr:to>
    <xdr:graphicFrame macro="">
      <xdr:nvGraphicFramePr>
        <xdr:cNvPr id="186" name="차트 185">
          <a:extLst>
            <a:ext uri="{FF2B5EF4-FFF2-40B4-BE49-F238E27FC236}">
              <a16:creationId xmlns:a16="http://schemas.microsoft.com/office/drawing/2014/main" id="{B15C58C2-800C-4813-8BC7-85F3F19F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118</xdr:row>
      <xdr:rowOff>0</xdr:rowOff>
    </xdr:from>
    <xdr:to>
      <xdr:col>18</xdr:col>
      <xdr:colOff>0</xdr:colOff>
      <xdr:row>130</xdr:row>
      <xdr:rowOff>0</xdr:rowOff>
    </xdr:to>
    <xdr:graphicFrame macro="">
      <xdr:nvGraphicFramePr>
        <xdr:cNvPr id="187" name="차트 186">
          <a:extLst>
            <a:ext uri="{FF2B5EF4-FFF2-40B4-BE49-F238E27FC236}">
              <a16:creationId xmlns:a16="http://schemas.microsoft.com/office/drawing/2014/main" id="{02A4C7C1-AB39-481F-B5A2-5A619230F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131</xdr:row>
      <xdr:rowOff>0</xdr:rowOff>
    </xdr:from>
    <xdr:to>
      <xdr:col>18</xdr:col>
      <xdr:colOff>0</xdr:colOff>
      <xdr:row>143</xdr:row>
      <xdr:rowOff>0</xdr:rowOff>
    </xdr:to>
    <xdr:graphicFrame macro="">
      <xdr:nvGraphicFramePr>
        <xdr:cNvPr id="188" name="차트 187">
          <a:extLst>
            <a:ext uri="{FF2B5EF4-FFF2-40B4-BE49-F238E27FC236}">
              <a16:creationId xmlns:a16="http://schemas.microsoft.com/office/drawing/2014/main" id="{C67B2234-BABA-4ED0-A534-C87E60264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144</xdr:row>
      <xdr:rowOff>0</xdr:rowOff>
    </xdr:from>
    <xdr:to>
      <xdr:col>18</xdr:col>
      <xdr:colOff>0</xdr:colOff>
      <xdr:row>156</xdr:row>
      <xdr:rowOff>0</xdr:rowOff>
    </xdr:to>
    <xdr:graphicFrame macro="">
      <xdr:nvGraphicFramePr>
        <xdr:cNvPr id="189" name="차트 188">
          <a:extLst>
            <a:ext uri="{FF2B5EF4-FFF2-40B4-BE49-F238E27FC236}">
              <a16:creationId xmlns:a16="http://schemas.microsoft.com/office/drawing/2014/main" id="{C7326B2F-4D83-4683-B1EF-54B114A09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157</xdr:row>
      <xdr:rowOff>0</xdr:rowOff>
    </xdr:from>
    <xdr:to>
      <xdr:col>18</xdr:col>
      <xdr:colOff>0</xdr:colOff>
      <xdr:row>169</xdr:row>
      <xdr:rowOff>0</xdr:rowOff>
    </xdr:to>
    <xdr:graphicFrame macro="">
      <xdr:nvGraphicFramePr>
        <xdr:cNvPr id="190" name="차트 189">
          <a:extLst>
            <a:ext uri="{FF2B5EF4-FFF2-40B4-BE49-F238E27FC236}">
              <a16:creationId xmlns:a16="http://schemas.microsoft.com/office/drawing/2014/main" id="{413E377E-7240-4E59-A3BA-0EA87B142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170</xdr:row>
      <xdr:rowOff>0</xdr:rowOff>
    </xdr:from>
    <xdr:to>
      <xdr:col>18</xdr:col>
      <xdr:colOff>0</xdr:colOff>
      <xdr:row>182</xdr:row>
      <xdr:rowOff>0</xdr:rowOff>
    </xdr:to>
    <xdr:graphicFrame macro="">
      <xdr:nvGraphicFramePr>
        <xdr:cNvPr id="191" name="차트 190">
          <a:extLst>
            <a:ext uri="{FF2B5EF4-FFF2-40B4-BE49-F238E27FC236}">
              <a16:creationId xmlns:a16="http://schemas.microsoft.com/office/drawing/2014/main" id="{09AAC815-F7A4-4130-824B-B36CB835B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183</xdr:row>
      <xdr:rowOff>0</xdr:rowOff>
    </xdr:from>
    <xdr:to>
      <xdr:col>18</xdr:col>
      <xdr:colOff>0</xdr:colOff>
      <xdr:row>195</xdr:row>
      <xdr:rowOff>0</xdr:rowOff>
    </xdr:to>
    <xdr:graphicFrame macro="">
      <xdr:nvGraphicFramePr>
        <xdr:cNvPr id="192" name="차트 191">
          <a:extLst>
            <a:ext uri="{FF2B5EF4-FFF2-40B4-BE49-F238E27FC236}">
              <a16:creationId xmlns:a16="http://schemas.microsoft.com/office/drawing/2014/main" id="{EDBD83C8-1CFC-44F5-9D69-BF1F749B9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40</xdr:row>
      <xdr:rowOff>0</xdr:rowOff>
    </xdr:from>
    <xdr:to>
      <xdr:col>4</xdr:col>
      <xdr:colOff>0</xdr:colOff>
      <xdr:row>41</xdr:row>
      <xdr:rowOff>0</xdr:rowOff>
    </xdr:to>
    <xdr:sp macro="[0]!차트1월" textlink="">
      <xdr:nvSpPr>
        <xdr:cNvPr id="193" name="직사각형 192">
          <a:extLst>
            <a:ext uri="{FF2B5EF4-FFF2-40B4-BE49-F238E27FC236}">
              <a16:creationId xmlns:a16="http://schemas.microsoft.com/office/drawing/2014/main" id="{5D06D044-C593-4132-BCB4-5FB1C26C463C}"/>
            </a:ext>
          </a:extLst>
        </xdr:cNvPr>
        <xdr:cNvSpPr/>
      </xdr:nvSpPr>
      <xdr:spPr>
        <a:xfrm>
          <a:off x="352425" y="723900"/>
          <a:ext cx="80962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0</xdr:rowOff>
    </xdr:to>
    <xdr:sp macro="[0]!차트2월" textlink="">
      <xdr:nvSpPr>
        <xdr:cNvPr id="194" name="직사각형 193">
          <a:extLst>
            <a:ext uri="{FF2B5EF4-FFF2-40B4-BE49-F238E27FC236}">
              <a16:creationId xmlns:a16="http://schemas.microsoft.com/office/drawing/2014/main" id="{87CD260A-8E7D-4B73-91C1-2D6716C6520F}"/>
            </a:ext>
          </a:extLst>
        </xdr:cNvPr>
        <xdr:cNvSpPr/>
      </xdr:nvSpPr>
      <xdr:spPr>
        <a:xfrm>
          <a:off x="2562225" y="1298257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</xdr:row>
      <xdr:rowOff>0</xdr:rowOff>
    </xdr:from>
    <xdr:to>
      <xdr:col>4</xdr:col>
      <xdr:colOff>0</xdr:colOff>
      <xdr:row>52</xdr:row>
      <xdr:rowOff>0</xdr:rowOff>
    </xdr:to>
    <xdr:sp macro="[0]!차트12월" textlink="">
      <xdr:nvSpPr>
        <xdr:cNvPr id="204" name="직사각형 203">
          <a:extLst>
            <a:ext uri="{FF2B5EF4-FFF2-40B4-BE49-F238E27FC236}">
              <a16:creationId xmlns:a16="http://schemas.microsoft.com/office/drawing/2014/main" id="{E66F52FB-EE58-445C-A532-2CCFAF8CC150}"/>
            </a:ext>
          </a:extLst>
        </xdr:cNvPr>
        <xdr:cNvSpPr/>
      </xdr:nvSpPr>
      <xdr:spPr>
        <a:xfrm>
          <a:off x="2562225" y="1612582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4</xdr:col>
      <xdr:colOff>0</xdr:colOff>
      <xdr:row>54</xdr:row>
      <xdr:rowOff>0</xdr:rowOff>
    </xdr:to>
    <xdr:sp macro="[0]!차트1월" textlink="">
      <xdr:nvSpPr>
        <xdr:cNvPr id="205" name="직사각형 204">
          <a:extLst>
            <a:ext uri="{FF2B5EF4-FFF2-40B4-BE49-F238E27FC236}">
              <a16:creationId xmlns:a16="http://schemas.microsoft.com/office/drawing/2014/main" id="{F5C1AD21-CCAE-4DDE-8469-9D3626251079}"/>
            </a:ext>
          </a:extLst>
        </xdr:cNvPr>
        <xdr:cNvSpPr/>
      </xdr:nvSpPr>
      <xdr:spPr>
        <a:xfrm>
          <a:off x="352425" y="723900"/>
          <a:ext cx="80962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</xdr:row>
      <xdr:rowOff>0</xdr:rowOff>
    </xdr:from>
    <xdr:to>
      <xdr:col>4</xdr:col>
      <xdr:colOff>0</xdr:colOff>
      <xdr:row>55</xdr:row>
      <xdr:rowOff>0</xdr:rowOff>
    </xdr:to>
    <xdr:sp macro="[0]!차트2월" textlink="">
      <xdr:nvSpPr>
        <xdr:cNvPr id="206" name="직사각형 205">
          <a:extLst>
            <a:ext uri="{FF2B5EF4-FFF2-40B4-BE49-F238E27FC236}">
              <a16:creationId xmlns:a16="http://schemas.microsoft.com/office/drawing/2014/main" id="{09A6E2F6-05BF-47A0-A7E1-E3AA0C8E7420}"/>
            </a:ext>
          </a:extLst>
        </xdr:cNvPr>
        <xdr:cNvSpPr/>
      </xdr:nvSpPr>
      <xdr:spPr>
        <a:xfrm>
          <a:off x="2562225" y="1818322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</xdr:row>
      <xdr:rowOff>0</xdr:rowOff>
    </xdr:from>
    <xdr:to>
      <xdr:col>4</xdr:col>
      <xdr:colOff>0</xdr:colOff>
      <xdr:row>56</xdr:row>
      <xdr:rowOff>0</xdr:rowOff>
    </xdr:to>
    <xdr:sp macro="[0]!차트3월" textlink="">
      <xdr:nvSpPr>
        <xdr:cNvPr id="207" name="직사각형 206">
          <a:extLst>
            <a:ext uri="{FF2B5EF4-FFF2-40B4-BE49-F238E27FC236}">
              <a16:creationId xmlns:a16="http://schemas.microsoft.com/office/drawing/2014/main" id="{8372BD37-62D5-42C8-AD30-65B75903F5A9}"/>
            </a:ext>
          </a:extLst>
        </xdr:cNvPr>
        <xdr:cNvSpPr/>
      </xdr:nvSpPr>
      <xdr:spPr>
        <a:xfrm>
          <a:off x="2562225" y="184975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</xdr:row>
      <xdr:rowOff>0</xdr:rowOff>
    </xdr:from>
    <xdr:to>
      <xdr:col>4</xdr:col>
      <xdr:colOff>0</xdr:colOff>
      <xdr:row>57</xdr:row>
      <xdr:rowOff>0</xdr:rowOff>
    </xdr:to>
    <xdr:sp macro="[0]!차트4월" textlink="">
      <xdr:nvSpPr>
        <xdr:cNvPr id="208" name="직사각형 207">
          <a:extLst>
            <a:ext uri="{FF2B5EF4-FFF2-40B4-BE49-F238E27FC236}">
              <a16:creationId xmlns:a16="http://schemas.microsoft.com/office/drawing/2014/main" id="{DF5B623B-282C-4A38-AC3E-350D627634BD}"/>
            </a:ext>
          </a:extLst>
        </xdr:cNvPr>
        <xdr:cNvSpPr/>
      </xdr:nvSpPr>
      <xdr:spPr>
        <a:xfrm>
          <a:off x="2562225" y="1881187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4</xdr:col>
      <xdr:colOff>0</xdr:colOff>
      <xdr:row>58</xdr:row>
      <xdr:rowOff>0</xdr:rowOff>
    </xdr:to>
    <xdr:sp macro="[0]!차트5월" textlink="">
      <xdr:nvSpPr>
        <xdr:cNvPr id="209" name="직사각형 208">
          <a:extLst>
            <a:ext uri="{FF2B5EF4-FFF2-40B4-BE49-F238E27FC236}">
              <a16:creationId xmlns:a16="http://schemas.microsoft.com/office/drawing/2014/main" id="{B5D77FEE-8A81-4317-ADCD-602DCE3E510E}"/>
            </a:ext>
          </a:extLst>
        </xdr:cNvPr>
        <xdr:cNvSpPr/>
      </xdr:nvSpPr>
      <xdr:spPr>
        <a:xfrm>
          <a:off x="2562225" y="1912620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</xdr:row>
      <xdr:rowOff>0</xdr:rowOff>
    </xdr:from>
    <xdr:to>
      <xdr:col>4</xdr:col>
      <xdr:colOff>0</xdr:colOff>
      <xdr:row>59</xdr:row>
      <xdr:rowOff>0</xdr:rowOff>
    </xdr:to>
    <xdr:sp macro="[0]!차트6월" textlink="">
      <xdr:nvSpPr>
        <xdr:cNvPr id="210" name="직사각형 209">
          <a:extLst>
            <a:ext uri="{FF2B5EF4-FFF2-40B4-BE49-F238E27FC236}">
              <a16:creationId xmlns:a16="http://schemas.microsoft.com/office/drawing/2014/main" id="{53D74F3A-993F-4377-AF8B-7A167FB4C6BB}"/>
            </a:ext>
          </a:extLst>
        </xdr:cNvPr>
        <xdr:cNvSpPr/>
      </xdr:nvSpPr>
      <xdr:spPr>
        <a:xfrm>
          <a:off x="2562225" y="1944052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</xdr:row>
      <xdr:rowOff>0</xdr:rowOff>
    </xdr:from>
    <xdr:to>
      <xdr:col>4</xdr:col>
      <xdr:colOff>0</xdr:colOff>
      <xdr:row>60</xdr:row>
      <xdr:rowOff>0</xdr:rowOff>
    </xdr:to>
    <xdr:sp macro="[0]!차트7월" textlink="">
      <xdr:nvSpPr>
        <xdr:cNvPr id="211" name="직사각형 210">
          <a:extLst>
            <a:ext uri="{FF2B5EF4-FFF2-40B4-BE49-F238E27FC236}">
              <a16:creationId xmlns:a16="http://schemas.microsoft.com/office/drawing/2014/main" id="{438EC4AA-4C76-4BC5-B7DA-475B04D59346}"/>
            </a:ext>
          </a:extLst>
        </xdr:cNvPr>
        <xdr:cNvSpPr/>
      </xdr:nvSpPr>
      <xdr:spPr>
        <a:xfrm>
          <a:off x="2562225" y="197548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</xdr:row>
      <xdr:rowOff>0</xdr:rowOff>
    </xdr:from>
    <xdr:to>
      <xdr:col>4</xdr:col>
      <xdr:colOff>0</xdr:colOff>
      <xdr:row>61</xdr:row>
      <xdr:rowOff>0</xdr:rowOff>
    </xdr:to>
    <xdr:sp macro="[0]!차트8월" textlink="">
      <xdr:nvSpPr>
        <xdr:cNvPr id="212" name="직사각형 211">
          <a:extLst>
            <a:ext uri="{FF2B5EF4-FFF2-40B4-BE49-F238E27FC236}">
              <a16:creationId xmlns:a16="http://schemas.microsoft.com/office/drawing/2014/main" id="{5B84CE0B-633D-4D40-9B3C-FC52071667E4}"/>
            </a:ext>
          </a:extLst>
        </xdr:cNvPr>
        <xdr:cNvSpPr/>
      </xdr:nvSpPr>
      <xdr:spPr>
        <a:xfrm>
          <a:off x="2562225" y="2006917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</xdr:row>
      <xdr:rowOff>0</xdr:rowOff>
    </xdr:from>
    <xdr:to>
      <xdr:col>4</xdr:col>
      <xdr:colOff>0</xdr:colOff>
      <xdr:row>62</xdr:row>
      <xdr:rowOff>0</xdr:rowOff>
    </xdr:to>
    <xdr:sp macro="[0]!차트9월" textlink="">
      <xdr:nvSpPr>
        <xdr:cNvPr id="213" name="직사각형 212">
          <a:extLst>
            <a:ext uri="{FF2B5EF4-FFF2-40B4-BE49-F238E27FC236}">
              <a16:creationId xmlns:a16="http://schemas.microsoft.com/office/drawing/2014/main" id="{34B2A58F-86FE-4473-A85C-6A821DF7805E}"/>
            </a:ext>
          </a:extLst>
        </xdr:cNvPr>
        <xdr:cNvSpPr/>
      </xdr:nvSpPr>
      <xdr:spPr>
        <a:xfrm>
          <a:off x="2562225" y="2038350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</xdr:row>
      <xdr:rowOff>0</xdr:rowOff>
    </xdr:from>
    <xdr:to>
      <xdr:col>4</xdr:col>
      <xdr:colOff>0</xdr:colOff>
      <xdr:row>63</xdr:row>
      <xdr:rowOff>0</xdr:rowOff>
    </xdr:to>
    <xdr:sp macro="[0]!차트10월" textlink="">
      <xdr:nvSpPr>
        <xdr:cNvPr id="214" name="직사각형 213">
          <a:extLst>
            <a:ext uri="{FF2B5EF4-FFF2-40B4-BE49-F238E27FC236}">
              <a16:creationId xmlns:a16="http://schemas.microsoft.com/office/drawing/2014/main" id="{531FDCC4-7B36-4F12-8621-8E3DEBC3CDE9}"/>
            </a:ext>
          </a:extLst>
        </xdr:cNvPr>
        <xdr:cNvSpPr/>
      </xdr:nvSpPr>
      <xdr:spPr>
        <a:xfrm>
          <a:off x="2562225" y="2069782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</xdr:row>
      <xdr:rowOff>0</xdr:rowOff>
    </xdr:from>
    <xdr:to>
      <xdr:col>4</xdr:col>
      <xdr:colOff>0</xdr:colOff>
      <xdr:row>64</xdr:row>
      <xdr:rowOff>0</xdr:rowOff>
    </xdr:to>
    <xdr:sp macro="[0]!차트11월" textlink="">
      <xdr:nvSpPr>
        <xdr:cNvPr id="215" name="직사각형 214">
          <a:extLst>
            <a:ext uri="{FF2B5EF4-FFF2-40B4-BE49-F238E27FC236}">
              <a16:creationId xmlns:a16="http://schemas.microsoft.com/office/drawing/2014/main" id="{87422036-B424-464E-84CC-38181303C6F1}"/>
            </a:ext>
          </a:extLst>
        </xdr:cNvPr>
        <xdr:cNvSpPr/>
      </xdr:nvSpPr>
      <xdr:spPr>
        <a:xfrm>
          <a:off x="2562225" y="210121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</xdr:row>
      <xdr:rowOff>0</xdr:rowOff>
    </xdr:from>
    <xdr:to>
      <xdr:col>4</xdr:col>
      <xdr:colOff>0</xdr:colOff>
      <xdr:row>65</xdr:row>
      <xdr:rowOff>0</xdr:rowOff>
    </xdr:to>
    <xdr:sp macro="[0]!차트12월" textlink="">
      <xdr:nvSpPr>
        <xdr:cNvPr id="216" name="직사각형 215">
          <a:extLst>
            <a:ext uri="{FF2B5EF4-FFF2-40B4-BE49-F238E27FC236}">
              <a16:creationId xmlns:a16="http://schemas.microsoft.com/office/drawing/2014/main" id="{BB1406F1-84F2-402A-B9EA-7E3457CF6037}"/>
            </a:ext>
          </a:extLst>
        </xdr:cNvPr>
        <xdr:cNvSpPr/>
      </xdr:nvSpPr>
      <xdr:spPr>
        <a:xfrm>
          <a:off x="2562225" y="21326475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</xdr:row>
      <xdr:rowOff>0</xdr:rowOff>
    </xdr:from>
    <xdr:to>
      <xdr:col>4</xdr:col>
      <xdr:colOff>0</xdr:colOff>
      <xdr:row>67</xdr:row>
      <xdr:rowOff>0</xdr:rowOff>
    </xdr:to>
    <xdr:sp macro="[0]!차트1월" textlink="">
      <xdr:nvSpPr>
        <xdr:cNvPr id="217" name="직사각형 216">
          <a:extLst>
            <a:ext uri="{FF2B5EF4-FFF2-40B4-BE49-F238E27FC236}">
              <a16:creationId xmlns:a16="http://schemas.microsoft.com/office/drawing/2014/main" id="{87410F9A-0160-4919-93C9-7469CF7CA36D}"/>
            </a:ext>
          </a:extLst>
        </xdr:cNvPr>
        <xdr:cNvSpPr/>
      </xdr:nvSpPr>
      <xdr:spPr>
        <a:xfrm>
          <a:off x="2562225" y="2333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</xdr:row>
      <xdr:rowOff>0</xdr:rowOff>
    </xdr:from>
    <xdr:to>
      <xdr:col>4</xdr:col>
      <xdr:colOff>0</xdr:colOff>
      <xdr:row>68</xdr:row>
      <xdr:rowOff>0</xdr:rowOff>
    </xdr:to>
    <xdr:sp macro="[0]!차트2월" textlink="">
      <xdr:nvSpPr>
        <xdr:cNvPr id="218" name="직사각형 217">
          <a:extLst>
            <a:ext uri="{FF2B5EF4-FFF2-40B4-BE49-F238E27FC236}">
              <a16:creationId xmlns:a16="http://schemas.microsoft.com/office/drawing/2014/main" id="{3E304DE4-0594-4C51-BE72-9CC6DB061005}"/>
            </a:ext>
          </a:extLst>
        </xdr:cNvPr>
        <xdr:cNvSpPr/>
      </xdr:nvSpPr>
      <xdr:spPr>
        <a:xfrm>
          <a:off x="2562225" y="2371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</xdr:row>
      <xdr:rowOff>0</xdr:rowOff>
    </xdr:from>
    <xdr:to>
      <xdr:col>4</xdr:col>
      <xdr:colOff>0</xdr:colOff>
      <xdr:row>69</xdr:row>
      <xdr:rowOff>0</xdr:rowOff>
    </xdr:to>
    <xdr:sp macro="[0]!차트3월" textlink="">
      <xdr:nvSpPr>
        <xdr:cNvPr id="219" name="직사각형 218">
          <a:extLst>
            <a:ext uri="{FF2B5EF4-FFF2-40B4-BE49-F238E27FC236}">
              <a16:creationId xmlns:a16="http://schemas.microsoft.com/office/drawing/2014/main" id="{DF8576D7-2BB2-4506-B366-AE321DF0A99C}"/>
            </a:ext>
          </a:extLst>
        </xdr:cNvPr>
        <xdr:cNvSpPr/>
      </xdr:nvSpPr>
      <xdr:spPr>
        <a:xfrm>
          <a:off x="2562225" y="2409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</xdr:row>
      <xdr:rowOff>0</xdr:rowOff>
    </xdr:from>
    <xdr:to>
      <xdr:col>4</xdr:col>
      <xdr:colOff>0</xdr:colOff>
      <xdr:row>70</xdr:row>
      <xdr:rowOff>0</xdr:rowOff>
    </xdr:to>
    <xdr:sp macro="[0]!차트4월" textlink="">
      <xdr:nvSpPr>
        <xdr:cNvPr id="220" name="직사각형 219">
          <a:extLst>
            <a:ext uri="{FF2B5EF4-FFF2-40B4-BE49-F238E27FC236}">
              <a16:creationId xmlns:a16="http://schemas.microsoft.com/office/drawing/2014/main" id="{C603F29C-6384-4DA0-ADAA-FA4D29662CC8}"/>
            </a:ext>
          </a:extLst>
        </xdr:cNvPr>
        <xdr:cNvSpPr/>
      </xdr:nvSpPr>
      <xdr:spPr>
        <a:xfrm>
          <a:off x="2562225" y="2447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</xdr:row>
      <xdr:rowOff>0</xdr:rowOff>
    </xdr:from>
    <xdr:to>
      <xdr:col>4</xdr:col>
      <xdr:colOff>0</xdr:colOff>
      <xdr:row>71</xdr:row>
      <xdr:rowOff>0</xdr:rowOff>
    </xdr:to>
    <xdr:sp macro="[0]!차트5월" textlink="">
      <xdr:nvSpPr>
        <xdr:cNvPr id="221" name="직사각형 220">
          <a:extLst>
            <a:ext uri="{FF2B5EF4-FFF2-40B4-BE49-F238E27FC236}">
              <a16:creationId xmlns:a16="http://schemas.microsoft.com/office/drawing/2014/main" id="{0919C840-641D-4BD8-AA94-B1D15EF40D53}"/>
            </a:ext>
          </a:extLst>
        </xdr:cNvPr>
        <xdr:cNvSpPr/>
      </xdr:nvSpPr>
      <xdr:spPr>
        <a:xfrm>
          <a:off x="2562225" y="2486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4</xdr:col>
      <xdr:colOff>0</xdr:colOff>
      <xdr:row>72</xdr:row>
      <xdr:rowOff>0</xdr:rowOff>
    </xdr:to>
    <xdr:sp macro="[0]!차트6월" textlink="">
      <xdr:nvSpPr>
        <xdr:cNvPr id="222" name="직사각형 221">
          <a:extLst>
            <a:ext uri="{FF2B5EF4-FFF2-40B4-BE49-F238E27FC236}">
              <a16:creationId xmlns:a16="http://schemas.microsoft.com/office/drawing/2014/main" id="{CA2047BD-4B1E-46C7-9812-0C9399A43333}"/>
            </a:ext>
          </a:extLst>
        </xdr:cNvPr>
        <xdr:cNvSpPr/>
      </xdr:nvSpPr>
      <xdr:spPr>
        <a:xfrm>
          <a:off x="2562225" y="2524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</xdr:row>
      <xdr:rowOff>0</xdr:rowOff>
    </xdr:from>
    <xdr:to>
      <xdr:col>4</xdr:col>
      <xdr:colOff>0</xdr:colOff>
      <xdr:row>73</xdr:row>
      <xdr:rowOff>0</xdr:rowOff>
    </xdr:to>
    <xdr:sp macro="[0]!차트7월" textlink="">
      <xdr:nvSpPr>
        <xdr:cNvPr id="223" name="직사각형 222">
          <a:extLst>
            <a:ext uri="{FF2B5EF4-FFF2-40B4-BE49-F238E27FC236}">
              <a16:creationId xmlns:a16="http://schemas.microsoft.com/office/drawing/2014/main" id="{B22C2807-0310-4A28-AB1C-1BAEC6C0D7C8}"/>
            </a:ext>
          </a:extLst>
        </xdr:cNvPr>
        <xdr:cNvSpPr/>
      </xdr:nvSpPr>
      <xdr:spPr>
        <a:xfrm>
          <a:off x="2562225" y="2562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</xdr:row>
      <xdr:rowOff>0</xdr:rowOff>
    </xdr:from>
    <xdr:to>
      <xdr:col>4</xdr:col>
      <xdr:colOff>0</xdr:colOff>
      <xdr:row>74</xdr:row>
      <xdr:rowOff>0</xdr:rowOff>
    </xdr:to>
    <xdr:sp macro="[0]!차트8월" textlink="">
      <xdr:nvSpPr>
        <xdr:cNvPr id="224" name="직사각형 223">
          <a:extLst>
            <a:ext uri="{FF2B5EF4-FFF2-40B4-BE49-F238E27FC236}">
              <a16:creationId xmlns:a16="http://schemas.microsoft.com/office/drawing/2014/main" id="{7978A3B3-38BF-4C4B-9770-EBB1EC0EDB12}"/>
            </a:ext>
          </a:extLst>
        </xdr:cNvPr>
        <xdr:cNvSpPr/>
      </xdr:nvSpPr>
      <xdr:spPr>
        <a:xfrm>
          <a:off x="2562225" y="2600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</xdr:row>
      <xdr:rowOff>0</xdr:rowOff>
    </xdr:from>
    <xdr:to>
      <xdr:col>4</xdr:col>
      <xdr:colOff>0</xdr:colOff>
      <xdr:row>75</xdr:row>
      <xdr:rowOff>0</xdr:rowOff>
    </xdr:to>
    <xdr:sp macro="[0]!차트9월" textlink="">
      <xdr:nvSpPr>
        <xdr:cNvPr id="225" name="직사각형 224">
          <a:extLst>
            <a:ext uri="{FF2B5EF4-FFF2-40B4-BE49-F238E27FC236}">
              <a16:creationId xmlns:a16="http://schemas.microsoft.com/office/drawing/2014/main" id="{227739DA-1CAA-43CA-AF99-A6C290596950}"/>
            </a:ext>
          </a:extLst>
        </xdr:cNvPr>
        <xdr:cNvSpPr/>
      </xdr:nvSpPr>
      <xdr:spPr>
        <a:xfrm>
          <a:off x="2562225" y="2638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</xdr:row>
      <xdr:rowOff>0</xdr:rowOff>
    </xdr:from>
    <xdr:to>
      <xdr:col>4</xdr:col>
      <xdr:colOff>0</xdr:colOff>
      <xdr:row>76</xdr:row>
      <xdr:rowOff>0</xdr:rowOff>
    </xdr:to>
    <xdr:sp macro="[0]!차트10월" textlink="">
      <xdr:nvSpPr>
        <xdr:cNvPr id="226" name="직사각형 225">
          <a:extLst>
            <a:ext uri="{FF2B5EF4-FFF2-40B4-BE49-F238E27FC236}">
              <a16:creationId xmlns:a16="http://schemas.microsoft.com/office/drawing/2014/main" id="{F957AD35-7B36-49F0-8D4C-BAB29F803654}"/>
            </a:ext>
          </a:extLst>
        </xdr:cNvPr>
        <xdr:cNvSpPr/>
      </xdr:nvSpPr>
      <xdr:spPr>
        <a:xfrm>
          <a:off x="2562225" y="2676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</xdr:row>
      <xdr:rowOff>0</xdr:rowOff>
    </xdr:from>
    <xdr:to>
      <xdr:col>4</xdr:col>
      <xdr:colOff>0</xdr:colOff>
      <xdr:row>77</xdr:row>
      <xdr:rowOff>0</xdr:rowOff>
    </xdr:to>
    <xdr:sp macro="[0]!차트11월" textlink="">
      <xdr:nvSpPr>
        <xdr:cNvPr id="227" name="직사각형 226">
          <a:extLst>
            <a:ext uri="{FF2B5EF4-FFF2-40B4-BE49-F238E27FC236}">
              <a16:creationId xmlns:a16="http://schemas.microsoft.com/office/drawing/2014/main" id="{CFD9E399-C2F6-450B-BA70-3F699B8B1008}"/>
            </a:ext>
          </a:extLst>
        </xdr:cNvPr>
        <xdr:cNvSpPr/>
      </xdr:nvSpPr>
      <xdr:spPr>
        <a:xfrm>
          <a:off x="2562225" y="2714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</xdr:row>
      <xdr:rowOff>0</xdr:rowOff>
    </xdr:from>
    <xdr:to>
      <xdr:col>4</xdr:col>
      <xdr:colOff>0</xdr:colOff>
      <xdr:row>78</xdr:row>
      <xdr:rowOff>0</xdr:rowOff>
    </xdr:to>
    <xdr:sp macro="[0]!차트12월" textlink="">
      <xdr:nvSpPr>
        <xdr:cNvPr id="228" name="직사각형 227">
          <a:extLst>
            <a:ext uri="{FF2B5EF4-FFF2-40B4-BE49-F238E27FC236}">
              <a16:creationId xmlns:a16="http://schemas.microsoft.com/office/drawing/2014/main" id="{491EBCB7-E7A6-4A29-95CB-61714D44B2EA}"/>
            </a:ext>
          </a:extLst>
        </xdr:cNvPr>
        <xdr:cNvSpPr/>
      </xdr:nvSpPr>
      <xdr:spPr>
        <a:xfrm>
          <a:off x="2562225" y="2752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</xdr:row>
      <xdr:rowOff>0</xdr:rowOff>
    </xdr:from>
    <xdr:to>
      <xdr:col>4</xdr:col>
      <xdr:colOff>0</xdr:colOff>
      <xdr:row>80</xdr:row>
      <xdr:rowOff>0</xdr:rowOff>
    </xdr:to>
    <xdr:sp macro="[0]!차트1월" textlink="">
      <xdr:nvSpPr>
        <xdr:cNvPr id="229" name="직사각형 228">
          <a:extLst>
            <a:ext uri="{FF2B5EF4-FFF2-40B4-BE49-F238E27FC236}">
              <a16:creationId xmlns:a16="http://schemas.microsoft.com/office/drawing/2014/main" id="{D47F9962-0DD1-4202-9ABD-E3BA4C0F62F9}"/>
            </a:ext>
          </a:extLst>
        </xdr:cNvPr>
        <xdr:cNvSpPr/>
      </xdr:nvSpPr>
      <xdr:spPr>
        <a:xfrm>
          <a:off x="2562225" y="2790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</xdr:row>
      <xdr:rowOff>0</xdr:rowOff>
    </xdr:from>
    <xdr:to>
      <xdr:col>4</xdr:col>
      <xdr:colOff>0</xdr:colOff>
      <xdr:row>81</xdr:row>
      <xdr:rowOff>0</xdr:rowOff>
    </xdr:to>
    <xdr:sp macro="[0]!차트2월" textlink="">
      <xdr:nvSpPr>
        <xdr:cNvPr id="230" name="직사각형 229">
          <a:extLst>
            <a:ext uri="{FF2B5EF4-FFF2-40B4-BE49-F238E27FC236}">
              <a16:creationId xmlns:a16="http://schemas.microsoft.com/office/drawing/2014/main" id="{FBF41EF3-7D78-4304-A878-C2E0DCCAA407}"/>
            </a:ext>
          </a:extLst>
        </xdr:cNvPr>
        <xdr:cNvSpPr/>
      </xdr:nvSpPr>
      <xdr:spPr>
        <a:xfrm>
          <a:off x="2562225" y="2828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</xdr:row>
      <xdr:rowOff>0</xdr:rowOff>
    </xdr:from>
    <xdr:to>
      <xdr:col>4</xdr:col>
      <xdr:colOff>0</xdr:colOff>
      <xdr:row>82</xdr:row>
      <xdr:rowOff>0</xdr:rowOff>
    </xdr:to>
    <xdr:sp macro="[0]!차트3월" textlink="">
      <xdr:nvSpPr>
        <xdr:cNvPr id="231" name="직사각형 230">
          <a:extLst>
            <a:ext uri="{FF2B5EF4-FFF2-40B4-BE49-F238E27FC236}">
              <a16:creationId xmlns:a16="http://schemas.microsoft.com/office/drawing/2014/main" id="{F96A150C-C560-4729-AB9C-5B9819EC6BC7}"/>
            </a:ext>
          </a:extLst>
        </xdr:cNvPr>
        <xdr:cNvSpPr/>
      </xdr:nvSpPr>
      <xdr:spPr>
        <a:xfrm>
          <a:off x="2562225" y="2867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</xdr:row>
      <xdr:rowOff>0</xdr:rowOff>
    </xdr:from>
    <xdr:to>
      <xdr:col>4</xdr:col>
      <xdr:colOff>0</xdr:colOff>
      <xdr:row>83</xdr:row>
      <xdr:rowOff>0</xdr:rowOff>
    </xdr:to>
    <xdr:sp macro="[0]!차트4월" textlink="">
      <xdr:nvSpPr>
        <xdr:cNvPr id="232" name="직사각형 231">
          <a:extLst>
            <a:ext uri="{FF2B5EF4-FFF2-40B4-BE49-F238E27FC236}">
              <a16:creationId xmlns:a16="http://schemas.microsoft.com/office/drawing/2014/main" id="{6FA73B73-B413-44E9-A86A-C45D28575E90}"/>
            </a:ext>
          </a:extLst>
        </xdr:cNvPr>
        <xdr:cNvSpPr/>
      </xdr:nvSpPr>
      <xdr:spPr>
        <a:xfrm>
          <a:off x="2562225" y="2905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</xdr:row>
      <xdr:rowOff>0</xdr:rowOff>
    </xdr:from>
    <xdr:to>
      <xdr:col>4</xdr:col>
      <xdr:colOff>0</xdr:colOff>
      <xdr:row>84</xdr:row>
      <xdr:rowOff>0</xdr:rowOff>
    </xdr:to>
    <xdr:sp macro="[0]!차트5월" textlink="">
      <xdr:nvSpPr>
        <xdr:cNvPr id="233" name="직사각형 232">
          <a:extLst>
            <a:ext uri="{FF2B5EF4-FFF2-40B4-BE49-F238E27FC236}">
              <a16:creationId xmlns:a16="http://schemas.microsoft.com/office/drawing/2014/main" id="{196A377D-9671-473A-992E-0F19C1A4D50E}"/>
            </a:ext>
          </a:extLst>
        </xdr:cNvPr>
        <xdr:cNvSpPr/>
      </xdr:nvSpPr>
      <xdr:spPr>
        <a:xfrm>
          <a:off x="2562225" y="2943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</xdr:row>
      <xdr:rowOff>0</xdr:rowOff>
    </xdr:from>
    <xdr:to>
      <xdr:col>4</xdr:col>
      <xdr:colOff>0</xdr:colOff>
      <xdr:row>85</xdr:row>
      <xdr:rowOff>0</xdr:rowOff>
    </xdr:to>
    <xdr:sp macro="[0]!차트6월" textlink="">
      <xdr:nvSpPr>
        <xdr:cNvPr id="234" name="직사각형 233">
          <a:extLst>
            <a:ext uri="{FF2B5EF4-FFF2-40B4-BE49-F238E27FC236}">
              <a16:creationId xmlns:a16="http://schemas.microsoft.com/office/drawing/2014/main" id="{CF469ACC-A615-47EE-8DFA-A050D3DE9F3E}"/>
            </a:ext>
          </a:extLst>
        </xdr:cNvPr>
        <xdr:cNvSpPr/>
      </xdr:nvSpPr>
      <xdr:spPr>
        <a:xfrm>
          <a:off x="2562225" y="2981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</xdr:row>
      <xdr:rowOff>0</xdr:rowOff>
    </xdr:from>
    <xdr:to>
      <xdr:col>4</xdr:col>
      <xdr:colOff>0</xdr:colOff>
      <xdr:row>86</xdr:row>
      <xdr:rowOff>0</xdr:rowOff>
    </xdr:to>
    <xdr:sp macro="[0]!차트7월" textlink="">
      <xdr:nvSpPr>
        <xdr:cNvPr id="235" name="직사각형 234">
          <a:extLst>
            <a:ext uri="{FF2B5EF4-FFF2-40B4-BE49-F238E27FC236}">
              <a16:creationId xmlns:a16="http://schemas.microsoft.com/office/drawing/2014/main" id="{9B274170-D295-4BB4-A6E8-4A303E3E6FD6}"/>
            </a:ext>
          </a:extLst>
        </xdr:cNvPr>
        <xdr:cNvSpPr/>
      </xdr:nvSpPr>
      <xdr:spPr>
        <a:xfrm>
          <a:off x="2562225" y="3019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</xdr:row>
      <xdr:rowOff>0</xdr:rowOff>
    </xdr:from>
    <xdr:to>
      <xdr:col>4</xdr:col>
      <xdr:colOff>0</xdr:colOff>
      <xdr:row>87</xdr:row>
      <xdr:rowOff>0</xdr:rowOff>
    </xdr:to>
    <xdr:sp macro="[0]!차트8월" textlink="">
      <xdr:nvSpPr>
        <xdr:cNvPr id="236" name="직사각형 235">
          <a:extLst>
            <a:ext uri="{FF2B5EF4-FFF2-40B4-BE49-F238E27FC236}">
              <a16:creationId xmlns:a16="http://schemas.microsoft.com/office/drawing/2014/main" id="{9D107E82-14C8-4629-A066-ADF5CF0C11B1}"/>
            </a:ext>
          </a:extLst>
        </xdr:cNvPr>
        <xdr:cNvSpPr/>
      </xdr:nvSpPr>
      <xdr:spPr>
        <a:xfrm>
          <a:off x="2562225" y="3057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</xdr:row>
      <xdr:rowOff>0</xdr:rowOff>
    </xdr:from>
    <xdr:to>
      <xdr:col>4</xdr:col>
      <xdr:colOff>0</xdr:colOff>
      <xdr:row>88</xdr:row>
      <xdr:rowOff>0</xdr:rowOff>
    </xdr:to>
    <xdr:sp macro="[0]!차트9월" textlink="">
      <xdr:nvSpPr>
        <xdr:cNvPr id="237" name="직사각형 236">
          <a:extLst>
            <a:ext uri="{FF2B5EF4-FFF2-40B4-BE49-F238E27FC236}">
              <a16:creationId xmlns:a16="http://schemas.microsoft.com/office/drawing/2014/main" id="{7BE7D512-22F0-473A-8027-CF2AB453DCBC}"/>
            </a:ext>
          </a:extLst>
        </xdr:cNvPr>
        <xdr:cNvSpPr/>
      </xdr:nvSpPr>
      <xdr:spPr>
        <a:xfrm>
          <a:off x="2562225" y="3095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</xdr:row>
      <xdr:rowOff>0</xdr:rowOff>
    </xdr:from>
    <xdr:to>
      <xdr:col>4</xdr:col>
      <xdr:colOff>0</xdr:colOff>
      <xdr:row>89</xdr:row>
      <xdr:rowOff>0</xdr:rowOff>
    </xdr:to>
    <xdr:sp macro="[0]!차트10월" textlink="">
      <xdr:nvSpPr>
        <xdr:cNvPr id="238" name="직사각형 237">
          <a:extLst>
            <a:ext uri="{FF2B5EF4-FFF2-40B4-BE49-F238E27FC236}">
              <a16:creationId xmlns:a16="http://schemas.microsoft.com/office/drawing/2014/main" id="{A9C794D9-ACDF-4BB6-AA29-EE2DBC5F4FC9}"/>
            </a:ext>
          </a:extLst>
        </xdr:cNvPr>
        <xdr:cNvSpPr/>
      </xdr:nvSpPr>
      <xdr:spPr>
        <a:xfrm>
          <a:off x="2562225" y="3133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</xdr:row>
      <xdr:rowOff>0</xdr:rowOff>
    </xdr:from>
    <xdr:to>
      <xdr:col>4</xdr:col>
      <xdr:colOff>0</xdr:colOff>
      <xdr:row>90</xdr:row>
      <xdr:rowOff>0</xdr:rowOff>
    </xdr:to>
    <xdr:sp macro="[0]!차트11월" textlink="">
      <xdr:nvSpPr>
        <xdr:cNvPr id="239" name="직사각형 238">
          <a:extLst>
            <a:ext uri="{FF2B5EF4-FFF2-40B4-BE49-F238E27FC236}">
              <a16:creationId xmlns:a16="http://schemas.microsoft.com/office/drawing/2014/main" id="{2E4C5359-6BA8-4E1D-9DCA-03F024285D0F}"/>
            </a:ext>
          </a:extLst>
        </xdr:cNvPr>
        <xdr:cNvSpPr/>
      </xdr:nvSpPr>
      <xdr:spPr>
        <a:xfrm>
          <a:off x="2562225" y="3171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</xdr:row>
      <xdr:rowOff>0</xdr:rowOff>
    </xdr:from>
    <xdr:to>
      <xdr:col>4</xdr:col>
      <xdr:colOff>0</xdr:colOff>
      <xdr:row>91</xdr:row>
      <xdr:rowOff>0</xdr:rowOff>
    </xdr:to>
    <xdr:sp macro="[0]!차트12월" textlink="">
      <xdr:nvSpPr>
        <xdr:cNvPr id="240" name="직사각형 239">
          <a:extLst>
            <a:ext uri="{FF2B5EF4-FFF2-40B4-BE49-F238E27FC236}">
              <a16:creationId xmlns:a16="http://schemas.microsoft.com/office/drawing/2014/main" id="{8F7011C6-B11B-4C3D-B926-0A3FF4F56814}"/>
            </a:ext>
          </a:extLst>
        </xdr:cNvPr>
        <xdr:cNvSpPr/>
      </xdr:nvSpPr>
      <xdr:spPr>
        <a:xfrm>
          <a:off x="2562225" y="3209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92</xdr:row>
      <xdr:rowOff>0</xdr:rowOff>
    </xdr:from>
    <xdr:to>
      <xdr:col>4</xdr:col>
      <xdr:colOff>0</xdr:colOff>
      <xdr:row>93</xdr:row>
      <xdr:rowOff>0</xdr:rowOff>
    </xdr:to>
    <xdr:sp macro="[0]!차트1월" textlink="">
      <xdr:nvSpPr>
        <xdr:cNvPr id="241" name="직사각형 240">
          <a:extLst>
            <a:ext uri="{FF2B5EF4-FFF2-40B4-BE49-F238E27FC236}">
              <a16:creationId xmlns:a16="http://schemas.microsoft.com/office/drawing/2014/main" id="{0C6BF84F-C6F2-4269-8B0D-8F5E19B74104}"/>
            </a:ext>
          </a:extLst>
        </xdr:cNvPr>
        <xdr:cNvSpPr/>
      </xdr:nvSpPr>
      <xdr:spPr>
        <a:xfrm>
          <a:off x="2562225" y="3286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93</xdr:row>
      <xdr:rowOff>0</xdr:rowOff>
    </xdr:from>
    <xdr:to>
      <xdr:col>4</xdr:col>
      <xdr:colOff>0</xdr:colOff>
      <xdr:row>94</xdr:row>
      <xdr:rowOff>0</xdr:rowOff>
    </xdr:to>
    <xdr:sp macro="[0]!차트2월" textlink="">
      <xdr:nvSpPr>
        <xdr:cNvPr id="242" name="직사각형 241">
          <a:extLst>
            <a:ext uri="{FF2B5EF4-FFF2-40B4-BE49-F238E27FC236}">
              <a16:creationId xmlns:a16="http://schemas.microsoft.com/office/drawing/2014/main" id="{0FC7E398-845E-4E42-89A6-ACB5422527CC}"/>
            </a:ext>
          </a:extLst>
        </xdr:cNvPr>
        <xdr:cNvSpPr/>
      </xdr:nvSpPr>
      <xdr:spPr>
        <a:xfrm>
          <a:off x="2562225" y="3324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4</xdr:col>
      <xdr:colOff>0</xdr:colOff>
      <xdr:row>95</xdr:row>
      <xdr:rowOff>0</xdr:rowOff>
    </xdr:to>
    <xdr:sp macro="[0]!차트3월" textlink="">
      <xdr:nvSpPr>
        <xdr:cNvPr id="243" name="직사각형 242">
          <a:extLst>
            <a:ext uri="{FF2B5EF4-FFF2-40B4-BE49-F238E27FC236}">
              <a16:creationId xmlns:a16="http://schemas.microsoft.com/office/drawing/2014/main" id="{3D8DEFF4-2EAC-48E8-870A-1432E1A52FBC}"/>
            </a:ext>
          </a:extLst>
        </xdr:cNvPr>
        <xdr:cNvSpPr/>
      </xdr:nvSpPr>
      <xdr:spPr>
        <a:xfrm>
          <a:off x="2562225" y="3362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95</xdr:row>
      <xdr:rowOff>0</xdr:rowOff>
    </xdr:from>
    <xdr:to>
      <xdr:col>4</xdr:col>
      <xdr:colOff>0</xdr:colOff>
      <xdr:row>96</xdr:row>
      <xdr:rowOff>0</xdr:rowOff>
    </xdr:to>
    <xdr:sp macro="[0]!차트4월" textlink="">
      <xdr:nvSpPr>
        <xdr:cNvPr id="244" name="직사각형 243">
          <a:extLst>
            <a:ext uri="{FF2B5EF4-FFF2-40B4-BE49-F238E27FC236}">
              <a16:creationId xmlns:a16="http://schemas.microsoft.com/office/drawing/2014/main" id="{DC1BEA73-5F57-4DD7-B667-B0EA814AF939}"/>
            </a:ext>
          </a:extLst>
        </xdr:cNvPr>
        <xdr:cNvSpPr/>
      </xdr:nvSpPr>
      <xdr:spPr>
        <a:xfrm>
          <a:off x="2562225" y="3400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96</xdr:row>
      <xdr:rowOff>0</xdr:rowOff>
    </xdr:from>
    <xdr:to>
      <xdr:col>4</xdr:col>
      <xdr:colOff>0</xdr:colOff>
      <xdr:row>97</xdr:row>
      <xdr:rowOff>0</xdr:rowOff>
    </xdr:to>
    <xdr:sp macro="[0]!차트5월" textlink="">
      <xdr:nvSpPr>
        <xdr:cNvPr id="245" name="직사각형 244">
          <a:extLst>
            <a:ext uri="{FF2B5EF4-FFF2-40B4-BE49-F238E27FC236}">
              <a16:creationId xmlns:a16="http://schemas.microsoft.com/office/drawing/2014/main" id="{BAC6DBD9-ED2F-4FB0-8D04-839FF5EB6325}"/>
            </a:ext>
          </a:extLst>
        </xdr:cNvPr>
        <xdr:cNvSpPr/>
      </xdr:nvSpPr>
      <xdr:spPr>
        <a:xfrm>
          <a:off x="2562225" y="3438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97</xdr:row>
      <xdr:rowOff>0</xdr:rowOff>
    </xdr:from>
    <xdr:to>
      <xdr:col>4</xdr:col>
      <xdr:colOff>0</xdr:colOff>
      <xdr:row>98</xdr:row>
      <xdr:rowOff>0</xdr:rowOff>
    </xdr:to>
    <xdr:sp macro="[0]!차트6월" textlink="">
      <xdr:nvSpPr>
        <xdr:cNvPr id="246" name="직사각형 245">
          <a:extLst>
            <a:ext uri="{FF2B5EF4-FFF2-40B4-BE49-F238E27FC236}">
              <a16:creationId xmlns:a16="http://schemas.microsoft.com/office/drawing/2014/main" id="{D34ED9CC-F3FD-40DC-8E76-5B3A518B9EFC}"/>
            </a:ext>
          </a:extLst>
        </xdr:cNvPr>
        <xdr:cNvSpPr/>
      </xdr:nvSpPr>
      <xdr:spPr>
        <a:xfrm>
          <a:off x="2562225" y="3476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98</xdr:row>
      <xdr:rowOff>0</xdr:rowOff>
    </xdr:from>
    <xdr:to>
      <xdr:col>4</xdr:col>
      <xdr:colOff>0</xdr:colOff>
      <xdr:row>99</xdr:row>
      <xdr:rowOff>0</xdr:rowOff>
    </xdr:to>
    <xdr:sp macro="[0]!차트7월" textlink="">
      <xdr:nvSpPr>
        <xdr:cNvPr id="247" name="직사각형 246">
          <a:extLst>
            <a:ext uri="{FF2B5EF4-FFF2-40B4-BE49-F238E27FC236}">
              <a16:creationId xmlns:a16="http://schemas.microsoft.com/office/drawing/2014/main" id="{40BD8B92-9376-4F71-9E62-3EEA658AE0F8}"/>
            </a:ext>
          </a:extLst>
        </xdr:cNvPr>
        <xdr:cNvSpPr/>
      </xdr:nvSpPr>
      <xdr:spPr>
        <a:xfrm>
          <a:off x="2562225" y="3514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99</xdr:row>
      <xdr:rowOff>0</xdr:rowOff>
    </xdr:from>
    <xdr:to>
      <xdr:col>4</xdr:col>
      <xdr:colOff>0</xdr:colOff>
      <xdr:row>100</xdr:row>
      <xdr:rowOff>0</xdr:rowOff>
    </xdr:to>
    <xdr:sp macro="[0]!차트8월" textlink="">
      <xdr:nvSpPr>
        <xdr:cNvPr id="248" name="직사각형 247">
          <a:extLst>
            <a:ext uri="{FF2B5EF4-FFF2-40B4-BE49-F238E27FC236}">
              <a16:creationId xmlns:a16="http://schemas.microsoft.com/office/drawing/2014/main" id="{3805C3A3-3BF9-4A59-946E-5C0EBE02EEAE}"/>
            </a:ext>
          </a:extLst>
        </xdr:cNvPr>
        <xdr:cNvSpPr/>
      </xdr:nvSpPr>
      <xdr:spPr>
        <a:xfrm>
          <a:off x="2562225" y="3552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100</xdr:row>
      <xdr:rowOff>0</xdr:rowOff>
    </xdr:from>
    <xdr:to>
      <xdr:col>4</xdr:col>
      <xdr:colOff>0</xdr:colOff>
      <xdr:row>101</xdr:row>
      <xdr:rowOff>0</xdr:rowOff>
    </xdr:to>
    <xdr:sp macro="[0]!차트9월" textlink="">
      <xdr:nvSpPr>
        <xdr:cNvPr id="249" name="직사각형 248">
          <a:extLst>
            <a:ext uri="{FF2B5EF4-FFF2-40B4-BE49-F238E27FC236}">
              <a16:creationId xmlns:a16="http://schemas.microsoft.com/office/drawing/2014/main" id="{A7E650B4-1485-40DA-826F-30BCB7BB8C2C}"/>
            </a:ext>
          </a:extLst>
        </xdr:cNvPr>
        <xdr:cNvSpPr/>
      </xdr:nvSpPr>
      <xdr:spPr>
        <a:xfrm>
          <a:off x="2562225" y="3590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101</xdr:row>
      <xdr:rowOff>0</xdr:rowOff>
    </xdr:from>
    <xdr:to>
      <xdr:col>4</xdr:col>
      <xdr:colOff>0</xdr:colOff>
      <xdr:row>102</xdr:row>
      <xdr:rowOff>0</xdr:rowOff>
    </xdr:to>
    <xdr:sp macro="[0]!차트10월" textlink="">
      <xdr:nvSpPr>
        <xdr:cNvPr id="250" name="직사각형 249">
          <a:extLst>
            <a:ext uri="{FF2B5EF4-FFF2-40B4-BE49-F238E27FC236}">
              <a16:creationId xmlns:a16="http://schemas.microsoft.com/office/drawing/2014/main" id="{E1EA28C5-9E93-4B84-B6F3-B14DE111CFDD}"/>
            </a:ext>
          </a:extLst>
        </xdr:cNvPr>
        <xdr:cNvSpPr/>
      </xdr:nvSpPr>
      <xdr:spPr>
        <a:xfrm>
          <a:off x="2562225" y="3629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102</xdr:row>
      <xdr:rowOff>0</xdr:rowOff>
    </xdr:from>
    <xdr:to>
      <xdr:col>4</xdr:col>
      <xdr:colOff>0</xdr:colOff>
      <xdr:row>103</xdr:row>
      <xdr:rowOff>0</xdr:rowOff>
    </xdr:to>
    <xdr:sp macro="[0]!차트11월" textlink="">
      <xdr:nvSpPr>
        <xdr:cNvPr id="251" name="직사각형 250">
          <a:extLst>
            <a:ext uri="{FF2B5EF4-FFF2-40B4-BE49-F238E27FC236}">
              <a16:creationId xmlns:a16="http://schemas.microsoft.com/office/drawing/2014/main" id="{B696EF50-C54C-42E5-AF81-57ED154A6953}"/>
            </a:ext>
          </a:extLst>
        </xdr:cNvPr>
        <xdr:cNvSpPr/>
      </xdr:nvSpPr>
      <xdr:spPr>
        <a:xfrm>
          <a:off x="2562225" y="3667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103</xdr:row>
      <xdr:rowOff>0</xdr:rowOff>
    </xdr:from>
    <xdr:to>
      <xdr:col>4</xdr:col>
      <xdr:colOff>0</xdr:colOff>
      <xdr:row>104</xdr:row>
      <xdr:rowOff>0</xdr:rowOff>
    </xdr:to>
    <xdr:sp macro="[0]!차트12월" textlink="">
      <xdr:nvSpPr>
        <xdr:cNvPr id="252" name="직사각형 251">
          <a:extLst>
            <a:ext uri="{FF2B5EF4-FFF2-40B4-BE49-F238E27FC236}">
              <a16:creationId xmlns:a16="http://schemas.microsoft.com/office/drawing/2014/main" id="{2B5FC7AA-47B6-4E91-A394-98B96F37A952}"/>
            </a:ext>
          </a:extLst>
        </xdr:cNvPr>
        <xdr:cNvSpPr/>
      </xdr:nvSpPr>
      <xdr:spPr>
        <a:xfrm>
          <a:off x="2562225" y="3705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4</xdr:col>
      <xdr:colOff>0</xdr:colOff>
      <xdr:row>106</xdr:row>
      <xdr:rowOff>0</xdr:rowOff>
    </xdr:to>
    <xdr:sp macro="[0]!차트1월" textlink="">
      <xdr:nvSpPr>
        <xdr:cNvPr id="253" name="직사각형 252">
          <a:extLst>
            <a:ext uri="{FF2B5EF4-FFF2-40B4-BE49-F238E27FC236}">
              <a16:creationId xmlns:a16="http://schemas.microsoft.com/office/drawing/2014/main" id="{5904566E-DB51-4F5B-9D43-CDE2A37C6482}"/>
            </a:ext>
          </a:extLst>
        </xdr:cNvPr>
        <xdr:cNvSpPr/>
      </xdr:nvSpPr>
      <xdr:spPr>
        <a:xfrm>
          <a:off x="2562225" y="3781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106</xdr:row>
      <xdr:rowOff>0</xdr:rowOff>
    </xdr:from>
    <xdr:to>
      <xdr:col>4</xdr:col>
      <xdr:colOff>0</xdr:colOff>
      <xdr:row>107</xdr:row>
      <xdr:rowOff>0</xdr:rowOff>
    </xdr:to>
    <xdr:sp macro="[0]!차트2월" textlink="">
      <xdr:nvSpPr>
        <xdr:cNvPr id="254" name="직사각형 253">
          <a:extLst>
            <a:ext uri="{FF2B5EF4-FFF2-40B4-BE49-F238E27FC236}">
              <a16:creationId xmlns:a16="http://schemas.microsoft.com/office/drawing/2014/main" id="{9E1687B4-C3B1-4DF5-B0A1-062CB36D5FF5}"/>
            </a:ext>
          </a:extLst>
        </xdr:cNvPr>
        <xdr:cNvSpPr/>
      </xdr:nvSpPr>
      <xdr:spPr>
        <a:xfrm>
          <a:off x="2562225" y="3819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107</xdr:row>
      <xdr:rowOff>0</xdr:rowOff>
    </xdr:from>
    <xdr:to>
      <xdr:col>4</xdr:col>
      <xdr:colOff>0</xdr:colOff>
      <xdr:row>108</xdr:row>
      <xdr:rowOff>0</xdr:rowOff>
    </xdr:to>
    <xdr:sp macro="[0]!차트3월" textlink="">
      <xdr:nvSpPr>
        <xdr:cNvPr id="255" name="직사각형 254">
          <a:extLst>
            <a:ext uri="{FF2B5EF4-FFF2-40B4-BE49-F238E27FC236}">
              <a16:creationId xmlns:a16="http://schemas.microsoft.com/office/drawing/2014/main" id="{D7713300-D64E-4D8F-A902-598AA640C75C}"/>
            </a:ext>
          </a:extLst>
        </xdr:cNvPr>
        <xdr:cNvSpPr/>
      </xdr:nvSpPr>
      <xdr:spPr>
        <a:xfrm>
          <a:off x="2562225" y="3857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108</xdr:row>
      <xdr:rowOff>0</xdr:rowOff>
    </xdr:from>
    <xdr:to>
      <xdr:col>4</xdr:col>
      <xdr:colOff>0</xdr:colOff>
      <xdr:row>109</xdr:row>
      <xdr:rowOff>0</xdr:rowOff>
    </xdr:to>
    <xdr:sp macro="[0]!차트4월" textlink="">
      <xdr:nvSpPr>
        <xdr:cNvPr id="256" name="직사각형 255">
          <a:extLst>
            <a:ext uri="{FF2B5EF4-FFF2-40B4-BE49-F238E27FC236}">
              <a16:creationId xmlns:a16="http://schemas.microsoft.com/office/drawing/2014/main" id="{DB71EBC4-C3D6-4498-8996-F0F4503D381D}"/>
            </a:ext>
          </a:extLst>
        </xdr:cNvPr>
        <xdr:cNvSpPr/>
      </xdr:nvSpPr>
      <xdr:spPr>
        <a:xfrm>
          <a:off x="2562225" y="3895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109</xdr:row>
      <xdr:rowOff>0</xdr:rowOff>
    </xdr:from>
    <xdr:to>
      <xdr:col>4</xdr:col>
      <xdr:colOff>0</xdr:colOff>
      <xdr:row>110</xdr:row>
      <xdr:rowOff>0</xdr:rowOff>
    </xdr:to>
    <xdr:sp macro="[0]!차트5월" textlink="">
      <xdr:nvSpPr>
        <xdr:cNvPr id="257" name="직사각형 256">
          <a:extLst>
            <a:ext uri="{FF2B5EF4-FFF2-40B4-BE49-F238E27FC236}">
              <a16:creationId xmlns:a16="http://schemas.microsoft.com/office/drawing/2014/main" id="{3EAB8DEA-A746-45BE-8D67-4435CA025DC4}"/>
            </a:ext>
          </a:extLst>
        </xdr:cNvPr>
        <xdr:cNvSpPr/>
      </xdr:nvSpPr>
      <xdr:spPr>
        <a:xfrm>
          <a:off x="2562225" y="3933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110</xdr:row>
      <xdr:rowOff>0</xdr:rowOff>
    </xdr:from>
    <xdr:to>
      <xdr:col>4</xdr:col>
      <xdr:colOff>0</xdr:colOff>
      <xdr:row>111</xdr:row>
      <xdr:rowOff>0</xdr:rowOff>
    </xdr:to>
    <xdr:sp macro="[0]!차트6월" textlink="">
      <xdr:nvSpPr>
        <xdr:cNvPr id="258" name="직사각형 257">
          <a:extLst>
            <a:ext uri="{FF2B5EF4-FFF2-40B4-BE49-F238E27FC236}">
              <a16:creationId xmlns:a16="http://schemas.microsoft.com/office/drawing/2014/main" id="{EEB83D9D-6F0C-4864-8F22-B31B93E108E8}"/>
            </a:ext>
          </a:extLst>
        </xdr:cNvPr>
        <xdr:cNvSpPr/>
      </xdr:nvSpPr>
      <xdr:spPr>
        <a:xfrm>
          <a:off x="2562225" y="3971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111</xdr:row>
      <xdr:rowOff>0</xdr:rowOff>
    </xdr:from>
    <xdr:to>
      <xdr:col>4</xdr:col>
      <xdr:colOff>0</xdr:colOff>
      <xdr:row>112</xdr:row>
      <xdr:rowOff>0</xdr:rowOff>
    </xdr:to>
    <xdr:sp macro="[0]!차트7월" textlink="">
      <xdr:nvSpPr>
        <xdr:cNvPr id="259" name="직사각형 258">
          <a:extLst>
            <a:ext uri="{FF2B5EF4-FFF2-40B4-BE49-F238E27FC236}">
              <a16:creationId xmlns:a16="http://schemas.microsoft.com/office/drawing/2014/main" id="{E53F650D-F61C-45B8-B11A-FEB6F5BE5CBA}"/>
            </a:ext>
          </a:extLst>
        </xdr:cNvPr>
        <xdr:cNvSpPr/>
      </xdr:nvSpPr>
      <xdr:spPr>
        <a:xfrm>
          <a:off x="2562225" y="4010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112</xdr:row>
      <xdr:rowOff>0</xdr:rowOff>
    </xdr:from>
    <xdr:to>
      <xdr:col>4</xdr:col>
      <xdr:colOff>0</xdr:colOff>
      <xdr:row>113</xdr:row>
      <xdr:rowOff>0</xdr:rowOff>
    </xdr:to>
    <xdr:sp macro="[0]!차트8월" textlink="">
      <xdr:nvSpPr>
        <xdr:cNvPr id="260" name="직사각형 259">
          <a:extLst>
            <a:ext uri="{FF2B5EF4-FFF2-40B4-BE49-F238E27FC236}">
              <a16:creationId xmlns:a16="http://schemas.microsoft.com/office/drawing/2014/main" id="{532D98CA-C8A9-43C0-A1D3-940A0B0C30E8}"/>
            </a:ext>
          </a:extLst>
        </xdr:cNvPr>
        <xdr:cNvSpPr/>
      </xdr:nvSpPr>
      <xdr:spPr>
        <a:xfrm>
          <a:off x="2562225" y="4048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113</xdr:row>
      <xdr:rowOff>0</xdr:rowOff>
    </xdr:from>
    <xdr:to>
      <xdr:col>4</xdr:col>
      <xdr:colOff>0</xdr:colOff>
      <xdr:row>114</xdr:row>
      <xdr:rowOff>0</xdr:rowOff>
    </xdr:to>
    <xdr:sp macro="[0]!차트9월" textlink="">
      <xdr:nvSpPr>
        <xdr:cNvPr id="261" name="직사각형 260">
          <a:extLst>
            <a:ext uri="{FF2B5EF4-FFF2-40B4-BE49-F238E27FC236}">
              <a16:creationId xmlns:a16="http://schemas.microsoft.com/office/drawing/2014/main" id="{0DA52119-7A02-411F-86B1-4878CA4A8998}"/>
            </a:ext>
          </a:extLst>
        </xdr:cNvPr>
        <xdr:cNvSpPr/>
      </xdr:nvSpPr>
      <xdr:spPr>
        <a:xfrm>
          <a:off x="2562225" y="4086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114</xdr:row>
      <xdr:rowOff>0</xdr:rowOff>
    </xdr:from>
    <xdr:to>
      <xdr:col>4</xdr:col>
      <xdr:colOff>0</xdr:colOff>
      <xdr:row>115</xdr:row>
      <xdr:rowOff>0</xdr:rowOff>
    </xdr:to>
    <xdr:sp macro="[0]!차트10월" textlink="">
      <xdr:nvSpPr>
        <xdr:cNvPr id="262" name="직사각형 261">
          <a:extLst>
            <a:ext uri="{FF2B5EF4-FFF2-40B4-BE49-F238E27FC236}">
              <a16:creationId xmlns:a16="http://schemas.microsoft.com/office/drawing/2014/main" id="{25DE497F-9801-4736-9284-C2A15EFB67F2}"/>
            </a:ext>
          </a:extLst>
        </xdr:cNvPr>
        <xdr:cNvSpPr/>
      </xdr:nvSpPr>
      <xdr:spPr>
        <a:xfrm>
          <a:off x="2562225" y="4124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115</xdr:row>
      <xdr:rowOff>0</xdr:rowOff>
    </xdr:from>
    <xdr:to>
      <xdr:col>4</xdr:col>
      <xdr:colOff>0</xdr:colOff>
      <xdr:row>116</xdr:row>
      <xdr:rowOff>0</xdr:rowOff>
    </xdr:to>
    <xdr:sp macro="[0]!차트11월" textlink="">
      <xdr:nvSpPr>
        <xdr:cNvPr id="263" name="직사각형 262">
          <a:extLst>
            <a:ext uri="{FF2B5EF4-FFF2-40B4-BE49-F238E27FC236}">
              <a16:creationId xmlns:a16="http://schemas.microsoft.com/office/drawing/2014/main" id="{9FA9F407-69DA-4A64-9CC7-00147927C0C7}"/>
            </a:ext>
          </a:extLst>
        </xdr:cNvPr>
        <xdr:cNvSpPr/>
      </xdr:nvSpPr>
      <xdr:spPr>
        <a:xfrm>
          <a:off x="2562225" y="4162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116</xdr:row>
      <xdr:rowOff>0</xdr:rowOff>
    </xdr:from>
    <xdr:to>
      <xdr:col>4</xdr:col>
      <xdr:colOff>0</xdr:colOff>
      <xdr:row>117</xdr:row>
      <xdr:rowOff>0</xdr:rowOff>
    </xdr:to>
    <xdr:sp macro="[0]!차트12월" textlink="">
      <xdr:nvSpPr>
        <xdr:cNvPr id="264" name="직사각형 263">
          <a:extLst>
            <a:ext uri="{FF2B5EF4-FFF2-40B4-BE49-F238E27FC236}">
              <a16:creationId xmlns:a16="http://schemas.microsoft.com/office/drawing/2014/main" id="{DFEEA1C0-18DF-4BD4-B8C1-F1A0EE44057E}"/>
            </a:ext>
          </a:extLst>
        </xdr:cNvPr>
        <xdr:cNvSpPr/>
      </xdr:nvSpPr>
      <xdr:spPr>
        <a:xfrm>
          <a:off x="2562225" y="4200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118</xdr:row>
      <xdr:rowOff>0</xdr:rowOff>
    </xdr:from>
    <xdr:to>
      <xdr:col>4</xdr:col>
      <xdr:colOff>0</xdr:colOff>
      <xdr:row>119</xdr:row>
      <xdr:rowOff>0</xdr:rowOff>
    </xdr:to>
    <xdr:sp macro="[0]!차트1월" textlink="">
      <xdr:nvSpPr>
        <xdr:cNvPr id="265" name="직사각형 264">
          <a:extLst>
            <a:ext uri="{FF2B5EF4-FFF2-40B4-BE49-F238E27FC236}">
              <a16:creationId xmlns:a16="http://schemas.microsoft.com/office/drawing/2014/main" id="{1CE3D418-F13C-44BB-A990-44720E808EA3}"/>
            </a:ext>
          </a:extLst>
        </xdr:cNvPr>
        <xdr:cNvSpPr/>
      </xdr:nvSpPr>
      <xdr:spPr>
        <a:xfrm>
          <a:off x="2562225" y="4276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119</xdr:row>
      <xdr:rowOff>0</xdr:rowOff>
    </xdr:from>
    <xdr:to>
      <xdr:col>4</xdr:col>
      <xdr:colOff>0</xdr:colOff>
      <xdr:row>120</xdr:row>
      <xdr:rowOff>0</xdr:rowOff>
    </xdr:to>
    <xdr:sp macro="[0]!차트2월" textlink="">
      <xdr:nvSpPr>
        <xdr:cNvPr id="266" name="직사각형 265">
          <a:extLst>
            <a:ext uri="{FF2B5EF4-FFF2-40B4-BE49-F238E27FC236}">
              <a16:creationId xmlns:a16="http://schemas.microsoft.com/office/drawing/2014/main" id="{097C0618-00FA-4462-BC7F-33AEF492B63A}"/>
            </a:ext>
          </a:extLst>
        </xdr:cNvPr>
        <xdr:cNvSpPr/>
      </xdr:nvSpPr>
      <xdr:spPr>
        <a:xfrm>
          <a:off x="2562225" y="4314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120</xdr:row>
      <xdr:rowOff>0</xdr:rowOff>
    </xdr:from>
    <xdr:to>
      <xdr:col>4</xdr:col>
      <xdr:colOff>0</xdr:colOff>
      <xdr:row>121</xdr:row>
      <xdr:rowOff>0</xdr:rowOff>
    </xdr:to>
    <xdr:sp macro="[0]!차트3월" textlink="">
      <xdr:nvSpPr>
        <xdr:cNvPr id="267" name="직사각형 266">
          <a:extLst>
            <a:ext uri="{FF2B5EF4-FFF2-40B4-BE49-F238E27FC236}">
              <a16:creationId xmlns:a16="http://schemas.microsoft.com/office/drawing/2014/main" id="{584F73A2-5B7E-41CE-81BC-2B717D909D0A}"/>
            </a:ext>
          </a:extLst>
        </xdr:cNvPr>
        <xdr:cNvSpPr/>
      </xdr:nvSpPr>
      <xdr:spPr>
        <a:xfrm>
          <a:off x="2562225" y="4352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121</xdr:row>
      <xdr:rowOff>0</xdr:rowOff>
    </xdr:from>
    <xdr:to>
      <xdr:col>4</xdr:col>
      <xdr:colOff>0</xdr:colOff>
      <xdr:row>122</xdr:row>
      <xdr:rowOff>0</xdr:rowOff>
    </xdr:to>
    <xdr:sp macro="[0]!차트4월" textlink="">
      <xdr:nvSpPr>
        <xdr:cNvPr id="268" name="직사각형 267">
          <a:extLst>
            <a:ext uri="{FF2B5EF4-FFF2-40B4-BE49-F238E27FC236}">
              <a16:creationId xmlns:a16="http://schemas.microsoft.com/office/drawing/2014/main" id="{D391E646-F55C-4517-AB99-CEF017775B19}"/>
            </a:ext>
          </a:extLst>
        </xdr:cNvPr>
        <xdr:cNvSpPr/>
      </xdr:nvSpPr>
      <xdr:spPr>
        <a:xfrm>
          <a:off x="2562225" y="4391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122</xdr:row>
      <xdr:rowOff>0</xdr:rowOff>
    </xdr:from>
    <xdr:to>
      <xdr:col>4</xdr:col>
      <xdr:colOff>0</xdr:colOff>
      <xdr:row>123</xdr:row>
      <xdr:rowOff>0</xdr:rowOff>
    </xdr:to>
    <xdr:sp macro="[0]!차트5월" textlink="">
      <xdr:nvSpPr>
        <xdr:cNvPr id="269" name="직사각형 268">
          <a:extLst>
            <a:ext uri="{FF2B5EF4-FFF2-40B4-BE49-F238E27FC236}">
              <a16:creationId xmlns:a16="http://schemas.microsoft.com/office/drawing/2014/main" id="{88FC13AB-2B6B-440E-8BA6-7B8FAB0A9A10}"/>
            </a:ext>
          </a:extLst>
        </xdr:cNvPr>
        <xdr:cNvSpPr/>
      </xdr:nvSpPr>
      <xdr:spPr>
        <a:xfrm>
          <a:off x="2562225" y="4429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123</xdr:row>
      <xdr:rowOff>0</xdr:rowOff>
    </xdr:from>
    <xdr:to>
      <xdr:col>4</xdr:col>
      <xdr:colOff>0</xdr:colOff>
      <xdr:row>124</xdr:row>
      <xdr:rowOff>0</xdr:rowOff>
    </xdr:to>
    <xdr:sp macro="[0]!차트6월" textlink="">
      <xdr:nvSpPr>
        <xdr:cNvPr id="270" name="직사각형 269">
          <a:extLst>
            <a:ext uri="{FF2B5EF4-FFF2-40B4-BE49-F238E27FC236}">
              <a16:creationId xmlns:a16="http://schemas.microsoft.com/office/drawing/2014/main" id="{A59F3B5B-27B4-442D-B33D-E902F9E65130}"/>
            </a:ext>
          </a:extLst>
        </xdr:cNvPr>
        <xdr:cNvSpPr/>
      </xdr:nvSpPr>
      <xdr:spPr>
        <a:xfrm>
          <a:off x="2562225" y="4467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124</xdr:row>
      <xdr:rowOff>0</xdr:rowOff>
    </xdr:from>
    <xdr:to>
      <xdr:col>4</xdr:col>
      <xdr:colOff>0</xdr:colOff>
      <xdr:row>125</xdr:row>
      <xdr:rowOff>0</xdr:rowOff>
    </xdr:to>
    <xdr:sp macro="[0]!차트7월" textlink="">
      <xdr:nvSpPr>
        <xdr:cNvPr id="271" name="직사각형 270">
          <a:extLst>
            <a:ext uri="{FF2B5EF4-FFF2-40B4-BE49-F238E27FC236}">
              <a16:creationId xmlns:a16="http://schemas.microsoft.com/office/drawing/2014/main" id="{0D7DB453-316E-4DAA-BA60-2B9EACDF4C45}"/>
            </a:ext>
          </a:extLst>
        </xdr:cNvPr>
        <xdr:cNvSpPr/>
      </xdr:nvSpPr>
      <xdr:spPr>
        <a:xfrm>
          <a:off x="2562225" y="4505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125</xdr:row>
      <xdr:rowOff>0</xdr:rowOff>
    </xdr:from>
    <xdr:to>
      <xdr:col>4</xdr:col>
      <xdr:colOff>0</xdr:colOff>
      <xdr:row>126</xdr:row>
      <xdr:rowOff>0</xdr:rowOff>
    </xdr:to>
    <xdr:sp macro="[0]!차트8월" textlink="">
      <xdr:nvSpPr>
        <xdr:cNvPr id="272" name="직사각형 271">
          <a:extLst>
            <a:ext uri="{FF2B5EF4-FFF2-40B4-BE49-F238E27FC236}">
              <a16:creationId xmlns:a16="http://schemas.microsoft.com/office/drawing/2014/main" id="{6A391442-4202-4492-823C-730A25ACB29D}"/>
            </a:ext>
          </a:extLst>
        </xdr:cNvPr>
        <xdr:cNvSpPr/>
      </xdr:nvSpPr>
      <xdr:spPr>
        <a:xfrm>
          <a:off x="2562225" y="4543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126</xdr:row>
      <xdr:rowOff>0</xdr:rowOff>
    </xdr:from>
    <xdr:to>
      <xdr:col>4</xdr:col>
      <xdr:colOff>0</xdr:colOff>
      <xdr:row>127</xdr:row>
      <xdr:rowOff>0</xdr:rowOff>
    </xdr:to>
    <xdr:sp macro="[0]!차트9월" textlink="">
      <xdr:nvSpPr>
        <xdr:cNvPr id="273" name="직사각형 272">
          <a:extLst>
            <a:ext uri="{FF2B5EF4-FFF2-40B4-BE49-F238E27FC236}">
              <a16:creationId xmlns:a16="http://schemas.microsoft.com/office/drawing/2014/main" id="{3562A4B7-51EE-4414-A96F-1F4A997B1EF1}"/>
            </a:ext>
          </a:extLst>
        </xdr:cNvPr>
        <xdr:cNvSpPr/>
      </xdr:nvSpPr>
      <xdr:spPr>
        <a:xfrm>
          <a:off x="2562225" y="4581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127</xdr:row>
      <xdr:rowOff>0</xdr:rowOff>
    </xdr:from>
    <xdr:to>
      <xdr:col>4</xdr:col>
      <xdr:colOff>0</xdr:colOff>
      <xdr:row>128</xdr:row>
      <xdr:rowOff>0</xdr:rowOff>
    </xdr:to>
    <xdr:sp macro="[0]!차트10월" textlink="">
      <xdr:nvSpPr>
        <xdr:cNvPr id="274" name="직사각형 273">
          <a:extLst>
            <a:ext uri="{FF2B5EF4-FFF2-40B4-BE49-F238E27FC236}">
              <a16:creationId xmlns:a16="http://schemas.microsoft.com/office/drawing/2014/main" id="{9813D92B-2A73-4F28-B25B-2D7498C1FC53}"/>
            </a:ext>
          </a:extLst>
        </xdr:cNvPr>
        <xdr:cNvSpPr/>
      </xdr:nvSpPr>
      <xdr:spPr>
        <a:xfrm>
          <a:off x="2562225" y="4619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128</xdr:row>
      <xdr:rowOff>0</xdr:rowOff>
    </xdr:from>
    <xdr:to>
      <xdr:col>4</xdr:col>
      <xdr:colOff>0</xdr:colOff>
      <xdr:row>129</xdr:row>
      <xdr:rowOff>0</xdr:rowOff>
    </xdr:to>
    <xdr:sp macro="[0]!차트11월" textlink="">
      <xdr:nvSpPr>
        <xdr:cNvPr id="275" name="직사각형 274">
          <a:extLst>
            <a:ext uri="{FF2B5EF4-FFF2-40B4-BE49-F238E27FC236}">
              <a16:creationId xmlns:a16="http://schemas.microsoft.com/office/drawing/2014/main" id="{9E6E8CD6-0330-4095-B3F0-24340951A864}"/>
            </a:ext>
          </a:extLst>
        </xdr:cNvPr>
        <xdr:cNvSpPr/>
      </xdr:nvSpPr>
      <xdr:spPr>
        <a:xfrm>
          <a:off x="2562225" y="4657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129</xdr:row>
      <xdr:rowOff>0</xdr:rowOff>
    </xdr:from>
    <xdr:to>
      <xdr:col>4</xdr:col>
      <xdr:colOff>0</xdr:colOff>
      <xdr:row>130</xdr:row>
      <xdr:rowOff>0</xdr:rowOff>
    </xdr:to>
    <xdr:sp macro="[0]!차트12월" textlink="">
      <xdr:nvSpPr>
        <xdr:cNvPr id="276" name="직사각형 275">
          <a:extLst>
            <a:ext uri="{FF2B5EF4-FFF2-40B4-BE49-F238E27FC236}">
              <a16:creationId xmlns:a16="http://schemas.microsoft.com/office/drawing/2014/main" id="{4B974452-9D85-45A0-AF56-5BCE3CB320DE}"/>
            </a:ext>
          </a:extLst>
        </xdr:cNvPr>
        <xdr:cNvSpPr/>
      </xdr:nvSpPr>
      <xdr:spPr>
        <a:xfrm>
          <a:off x="2562225" y="4695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131</xdr:row>
      <xdr:rowOff>0</xdr:rowOff>
    </xdr:from>
    <xdr:to>
      <xdr:col>4</xdr:col>
      <xdr:colOff>0</xdr:colOff>
      <xdr:row>132</xdr:row>
      <xdr:rowOff>0</xdr:rowOff>
    </xdr:to>
    <xdr:sp macro="[0]!차트1월" textlink="">
      <xdr:nvSpPr>
        <xdr:cNvPr id="277" name="직사각형 276">
          <a:extLst>
            <a:ext uri="{FF2B5EF4-FFF2-40B4-BE49-F238E27FC236}">
              <a16:creationId xmlns:a16="http://schemas.microsoft.com/office/drawing/2014/main" id="{80D7ABF1-97F9-4278-819F-91EE7C32336A}"/>
            </a:ext>
          </a:extLst>
        </xdr:cNvPr>
        <xdr:cNvSpPr/>
      </xdr:nvSpPr>
      <xdr:spPr>
        <a:xfrm>
          <a:off x="2562225" y="4772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4</xdr:col>
      <xdr:colOff>0</xdr:colOff>
      <xdr:row>133</xdr:row>
      <xdr:rowOff>0</xdr:rowOff>
    </xdr:to>
    <xdr:sp macro="[0]!차트2월" textlink="">
      <xdr:nvSpPr>
        <xdr:cNvPr id="278" name="직사각형 277">
          <a:extLst>
            <a:ext uri="{FF2B5EF4-FFF2-40B4-BE49-F238E27FC236}">
              <a16:creationId xmlns:a16="http://schemas.microsoft.com/office/drawing/2014/main" id="{0E8989EC-6538-404B-BDF7-B7FC2768D4E4}"/>
            </a:ext>
          </a:extLst>
        </xdr:cNvPr>
        <xdr:cNvSpPr/>
      </xdr:nvSpPr>
      <xdr:spPr>
        <a:xfrm>
          <a:off x="2562225" y="4810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133</xdr:row>
      <xdr:rowOff>0</xdr:rowOff>
    </xdr:from>
    <xdr:to>
      <xdr:col>4</xdr:col>
      <xdr:colOff>0</xdr:colOff>
      <xdr:row>134</xdr:row>
      <xdr:rowOff>0</xdr:rowOff>
    </xdr:to>
    <xdr:sp macro="[0]!차트3월" textlink="">
      <xdr:nvSpPr>
        <xdr:cNvPr id="279" name="직사각형 278">
          <a:extLst>
            <a:ext uri="{FF2B5EF4-FFF2-40B4-BE49-F238E27FC236}">
              <a16:creationId xmlns:a16="http://schemas.microsoft.com/office/drawing/2014/main" id="{BDEFEB56-C180-4100-B2EF-25232BB8D3D3}"/>
            </a:ext>
          </a:extLst>
        </xdr:cNvPr>
        <xdr:cNvSpPr/>
      </xdr:nvSpPr>
      <xdr:spPr>
        <a:xfrm>
          <a:off x="2562225" y="4848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134</xdr:row>
      <xdr:rowOff>0</xdr:rowOff>
    </xdr:from>
    <xdr:to>
      <xdr:col>4</xdr:col>
      <xdr:colOff>0</xdr:colOff>
      <xdr:row>135</xdr:row>
      <xdr:rowOff>0</xdr:rowOff>
    </xdr:to>
    <xdr:sp macro="[0]!차트4월" textlink="">
      <xdr:nvSpPr>
        <xdr:cNvPr id="280" name="직사각형 279">
          <a:extLst>
            <a:ext uri="{FF2B5EF4-FFF2-40B4-BE49-F238E27FC236}">
              <a16:creationId xmlns:a16="http://schemas.microsoft.com/office/drawing/2014/main" id="{8E691401-3B39-480A-8042-75293C8D572A}"/>
            </a:ext>
          </a:extLst>
        </xdr:cNvPr>
        <xdr:cNvSpPr/>
      </xdr:nvSpPr>
      <xdr:spPr>
        <a:xfrm>
          <a:off x="2562225" y="4886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135</xdr:row>
      <xdr:rowOff>0</xdr:rowOff>
    </xdr:from>
    <xdr:to>
      <xdr:col>4</xdr:col>
      <xdr:colOff>0</xdr:colOff>
      <xdr:row>136</xdr:row>
      <xdr:rowOff>0</xdr:rowOff>
    </xdr:to>
    <xdr:sp macro="[0]!차트5월" textlink="">
      <xdr:nvSpPr>
        <xdr:cNvPr id="281" name="직사각형 280">
          <a:extLst>
            <a:ext uri="{FF2B5EF4-FFF2-40B4-BE49-F238E27FC236}">
              <a16:creationId xmlns:a16="http://schemas.microsoft.com/office/drawing/2014/main" id="{4EB5E60A-72FC-4EAA-8864-470C7A135A72}"/>
            </a:ext>
          </a:extLst>
        </xdr:cNvPr>
        <xdr:cNvSpPr/>
      </xdr:nvSpPr>
      <xdr:spPr>
        <a:xfrm>
          <a:off x="2562225" y="4924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136</xdr:row>
      <xdr:rowOff>0</xdr:rowOff>
    </xdr:from>
    <xdr:to>
      <xdr:col>4</xdr:col>
      <xdr:colOff>0</xdr:colOff>
      <xdr:row>137</xdr:row>
      <xdr:rowOff>0</xdr:rowOff>
    </xdr:to>
    <xdr:sp macro="[0]!차트6월" textlink="">
      <xdr:nvSpPr>
        <xdr:cNvPr id="282" name="직사각형 281">
          <a:extLst>
            <a:ext uri="{FF2B5EF4-FFF2-40B4-BE49-F238E27FC236}">
              <a16:creationId xmlns:a16="http://schemas.microsoft.com/office/drawing/2014/main" id="{B3BA3E8A-3BA8-43D1-AEF7-1249A9D4536F}"/>
            </a:ext>
          </a:extLst>
        </xdr:cNvPr>
        <xdr:cNvSpPr/>
      </xdr:nvSpPr>
      <xdr:spPr>
        <a:xfrm>
          <a:off x="2562225" y="4962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137</xdr:row>
      <xdr:rowOff>0</xdr:rowOff>
    </xdr:from>
    <xdr:to>
      <xdr:col>4</xdr:col>
      <xdr:colOff>0</xdr:colOff>
      <xdr:row>138</xdr:row>
      <xdr:rowOff>0</xdr:rowOff>
    </xdr:to>
    <xdr:sp macro="[0]!차트7월" textlink="">
      <xdr:nvSpPr>
        <xdr:cNvPr id="283" name="직사각형 282">
          <a:extLst>
            <a:ext uri="{FF2B5EF4-FFF2-40B4-BE49-F238E27FC236}">
              <a16:creationId xmlns:a16="http://schemas.microsoft.com/office/drawing/2014/main" id="{BADF1385-0BF0-4B23-8309-0F71A8F4F150}"/>
            </a:ext>
          </a:extLst>
        </xdr:cNvPr>
        <xdr:cNvSpPr/>
      </xdr:nvSpPr>
      <xdr:spPr>
        <a:xfrm>
          <a:off x="2562225" y="5000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138</xdr:row>
      <xdr:rowOff>0</xdr:rowOff>
    </xdr:from>
    <xdr:to>
      <xdr:col>4</xdr:col>
      <xdr:colOff>0</xdr:colOff>
      <xdr:row>139</xdr:row>
      <xdr:rowOff>0</xdr:rowOff>
    </xdr:to>
    <xdr:sp macro="[0]!차트8월" textlink="">
      <xdr:nvSpPr>
        <xdr:cNvPr id="284" name="직사각형 283">
          <a:extLst>
            <a:ext uri="{FF2B5EF4-FFF2-40B4-BE49-F238E27FC236}">
              <a16:creationId xmlns:a16="http://schemas.microsoft.com/office/drawing/2014/main" id="{32E7F629-B7C0-4E92-8323-03761586306A}"/>
            </a:ext>
          </a:extLst>
        </xdr:cNvPr>
        <xdr:cNvSpPr/>
      </xdr:nvSpPr>
      <xdr:spPr>
        <a:xfrm>
          <a:off x="2562225" y="5038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139</xdr:row>
      <xdr:rowOff>0</xdr:rowOff>
    </xdr:from>
    <xdr:to>
      <xdr:col>4</xdr:col>
      <xdr:colOff>0</xdr:colOff>
      <xdr:row>140</xdr:row>
      <xdr:rowOff>0</xdr:rowOff>
    </xdr:to>
    <xdr:sp macro="[0]!차트9월" textlink="">
      <xdr:nvSpPr>
        <xdr:cNvPr id="285" name="직사각형 284">
          <a:extLst>
            <a:ext uri="{FF2B5EF4-FFF2-40B4-BE49-F238E27FC236}">
              <a16:creationId xmlns:a16="http://schemas.microsoft.com/office/drawing/2014/main" id="{244F615E-CA50-4F1B-B4D5-29F4F8FD0708}"/>
            </a:ext>
          </a:extLst>
        </xdr:cNvPr>
        <xdr:cNvSpPr/>
      </xdr:nvSpPr>
      <xdr:spPr>
        <a:xfrm>
          <a:off x="2562225" y="5076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140</xdr:row>
      <xdr:rowOff>0</xdr:rowOff>
    </xdr:from>
    <xdr:to>
      <xdr:col>4</xdr:col>
      <xdr:colOff>0</xdr:colOff>
      <xdr:row>141</xdr:row>
      <xdr:rowOff>0</xdr:rowOff>
    </xdr:to>
    <xdr:sp macro="[0]!차트10월" textlink="">
      <xdr:nvSpPr>
        <xdr:cNvPr id="286" name="직사각형 285">
          <a:extLst>
            <a:ext uri="{FF2B5EF4-FFF2-40B4-BE49-F238E27FC236}">
              <a16:creationId xmlns:a16="http://schemas.microsoft.com/office/drawing/2014/main" id="{BAC427D4-ABD2-4CA7-8AAE-274A4A46F110}"/>
            </a:ext>
          </a:extLst>
        </xdr:cNvPr>
        <xdr:cNvSpPr/>
      </xdr:nvSpPr>
      <xdr:spPr>
        <a:xfrm>
          <a:off x="2562225" y="5114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141</xdr:row>
      <xdr:rowOff>0</xdr:rowOff>
    </xdr:from>
    <xdr:to>
      <xdr:col>4</xdr:col>
      <xdr:colOff>0</xdr:colOff>
      <xdr:row>142</xdr:row>
      <xdr:rowOff>0</xdr:rowOff>
    </xdr:to>
    <xdr:sp macro="[0]!차트11월" textlink="">
      <xdr:nvSpPr>
        <xdr:cNvPr id="287" name="직사각형 286">
          <a:extLst>
            <a:ext uri="{FF2B5EF4-FFF2-40B4-BE49-F238E27FC236}">
              <a16:creationId xmlns:a16="http://schemas.microsoft.com/office/drawing/2014/main" id="{B77BA243-AF16-4766-A691-C7A0FE38E163}"/>
            </a:ext>
          </a:extLst>
        </xdr:cNvPr>
        <xdr:cNvSpPr/>
      </xdr:nvSpPr>
      <xdr:spPr>
        <a:xfrm>
          <a:off x="2562225" y="5153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142</xdr:row>
      <xdr:rowOff>0</xdr:rowOff>
    </xdr:from>
    <xdr:to>
      <xdr:col>4</xdr:col>
      <xdr:colOff>0</xdr:colOff>
      <xdr:row>143</xdr:row>
      <xdr:rowOff>0</xdr:rowOff>
    </xdr:to>
    <xdr:sp macro="[0]!차트12월" textlink="">
      <xdr:nvSpPr>
        <xdr:cNvPr id="288" name="직사각형 287">
          <a:extLst>
            <a:ext uri="{FF2B5EF4-FFF2-40B4-BE49-F238E27FC236}">
              <a16:creationId xmlns:a16="http://schemas.microsoft.com/office/drawing/2014/main" id="{23631CC9-4E0F-49EE-9085-23EDACA561C6}"/>
            </a:ext>
          </a:extLst>
        </xdr:cNvPr>
        <xdr:cNvSpPr/>
      </xdr:nvSpPr>
      <xdr:spPr>
        <a:xfrm>
          <a:off x="2562225" y="5191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144</xdr:row>
      <xdr:rowOff>0</xdr:rowOff>
    </xdr:from>
    <xdr:to>
      <xdr:col>4</xdr:col>
      <xdr:colOff>0</xdr:colOff>
      <xdr:row>145</xdr:row>
      <xdr:rowOff>0</xdr:rowOff>
    </xdr:to>
    <xdr:sp macro="[0]!차트1월" textlink="">
      <xdr:nvSpPr>
        <xdr:cNvPr id="289" name="직사각형 288">
          <a:extLst>
            <a:ext uri="{FF2B5EF4-FFF2-40B4-BE49-F238E27FC236}">
              <a16:creationId xmlns:a16="http://schemas.microsoft.com/office/drawing/2014/main" id="{E814A7AE-5275-4D0B-9BE0-36F765947196}"/>
            </a:ext>
          </a:extLst>
        </xdr:cNvPr>
        <xdr:cNvSpPr/>
      </xdr:nvSpPr>
      <xdr:spPr>
        <a:xfrm>
          <a:off x="2562225" y="5267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145</xdr:row>
      <xdr:rowOff>0</xdr:rowOff>
    </xdr:from>
    <xdr:to>
      <xdr:col>4</xdr:col>
      <xdr:colOff>0</xdr:colOff>
      <xdr:row>146</xdr:row>
      <xdr:rowOff>0</xdr:rowOff>
    </xdr:to>
    <xdr:sp macro="[0]!차트2월" textlink="">
      <xdr:nvSpPr>
        <xdr:cNvPr id="290" name="직사각형 289">
          <a:extLst>
            <a:ext uri="{FF2B5EF4-FFF2-40B4-BE49-F238E27FC236}">
              <a16:creationId xmlns:a16="http://schemas.microsoft.com/office/drawing/2014/main" id="{578759BE-8FD3-453F-B5AA-89B8EDD6A945}"/>
            </a:ext>
          </a:extLst>
        </xdr:cNvPr>
        <xdr:cNvSpPr/>
      </xdr:nvSpPr>
      <xdr:spPr>
        <a:xfrm>
          <a:off x="2562225" y="5305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146</xdr:row>
      <xdr:rowOff>0</xdr:rowOff>
    </xdr:from>
    <xdr:to>
      <xdr:col>4</xdr:col>
      <xdr:colOff>0</xdr:colOff>
      <xdr:row>147</xdr:row>
      <xdr:rowOff>0</xdr:rowOff>
    </xdr:to>
    <xdr:sp macro="[0]!차트3월" textlink="">
      <xdr:nvSpPr>
        <xdr:cNvPr id="291" name="직사각형 290">
          <a:extLst>
            <a:ext uri="{FF2B5EF4-FFF2-40B4-BE49-F238E27FC236}">
              <a16:creationId xmlns:a16="http://schemas.microsoft.com/office/drawing/2014/main" id="{949D2520-83FD-4929-8440-10664020B7AD}"/>
            </a:ext>
          </a:extLst>
        </xdr:cNvPr>
        <xdr:cNvSpPr/>
      </xdr:nvSpPr>
      <xdr:spPr>
        <a:xfrm>
          <a:off x="2562225" y="5343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147</xdr:row>
      <xdr:rowOff>0</xdr:rowOff>
    </xdr:from>
    <xdr:to>
      <xdr:col>4</xdr:col>
      <xdr:colOff>0</xdr:colOff>
      <xdr:row>148</xdr:row>
      <xdr:rowOff>0</xdr:rowOff>
    </xdr:to>
    <xdr:sp macro="[0]!차트4월" textlink="">
      <xdr:nvSpPr>
        <xdr:cNvPr id="292" name="직사각형 291">
          <a:extLst>
            <a:ext uri="{FF2B5EF4-FFF2-40B4-BE49-F238E27FC236}">
              <a16:creationId xmlns:a16="http://schemas.microsoft.com/office/drawing/2014/main" id="{DA80A097-975A-4D8B-BF02-346B62E7A511}"/>
            </a:ext>
          </a:extLst>
        </xdr:cNvPr>
        <xdr:cNvSpPr/>
      </xdr:nvSpPr>
      <xdr:spPr>
        <a:xfrm>
          <a:off x="2562225" y="5381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4</xdr:col>
      <xdr:colOff>0</xdr:colOff>
      <xdr:row>149</xdr:row>
      <xdr:rowOff>0</xdr:rowOff>
    </xdr:to>
    <xdr:sp macro="[0]!차트5월" textlink="">
      <xdr:nvSpPr>
        <xdr:cNvPr id="293" name="직사각형 292">
          <a:extLst>
            <a:ext uri="{FF2B5EF4-FFF2-40B4-BE49-F238E27FC236}">
              <a16:creationId xmlns:a16="http://schemas.microsoft.com/office/drawing/2014/main" id="{2BFEF5A5-A084-410C-81D2-41D01193FEFA}"/>
            </a:ext>
          </a:extLst>
        </xdr:cNvPr>
        <xdr:cNvSpPr/>
      </xdr:nvSpPr>
      <xdr:spPr>
        <a:xfrm>
          <a:off x="2562225" y="5419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149</xdr:row>
      <xdr:rowOff>0</xdr:rowOff>
    </xdr:from>
    <xdr:to>
      <xdr:col>4</xdr:col>
      <xdr:colOff>0</xdr:colOff>
      <xdr:row>150</xdr:row>
      <xdr:rowOff>0</xdr:rowOff>
    </xdr:to>
    <xdr:sp macro="[0]!차트6월" textlink="">
      <xdr:nvSpPr>
        <xdr:cNvPr id="294" name="직사각형 293">
          <a:extLst>
            <a:ext uri="{FF2B5EF4-FFF2-40B4-BE49-F238E27FC236}">
              <a16:creationId xmlns:a16="http://schemas.microsoft.com/office/drawing/2014/main" id="{D314755E-B01F-4E01-9B2A-2241514FDB3D}"/>
            </a:ext>
          </a:extLst>
        </xdr:cNvPr>
        <xdr:cNvSpPr/>
      </xdr:nvSpPr>
      <xdr:spPr>
        <a:xfrm>
          <a:off x="2562225" y="5457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150</xdr:row>
      <xdr:rowOff>0</xdr:rowOff>
    </xdr:from>
    <xdr:to>
      <xdr:col>4</xdr:col>
      <xdr:colOff>0</xdr:colOff>
      <xdr:row>151</xdr:row>
      <xdr:rowOff>0</xdr:rowOff>
    </xdr:to>
    <xdr:sp macro="[0]!차트7월" textlink="">
      <xdr:nvSpPr>
        <xdr:cNvPr id="295" name="직사각형 294">
          <a:extLst>
            <a:ext uri="{FF2B5EF4-FFF2-40B4-BE49-F238E27FC236}">
              <a16:creationId xmlns:a16="http://schemas.microsoft.com/office/drawing/2014/main" id="{E9E9BAE3-791A-4BE1-9A1A-7023C5527931}"/>
            </a:ext>
          </a:extLst>
        </xdr:cNvPr>
        <xdr:cNvSpPr/>
      </xdr:nvSpPr>
      <xdr:spPr>
        <a:xfrm>
          <a:off x="2562225" y="5495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9525</xdr:colOff>
      <xdr:row>150</xdr:row>
      <xdr:rowOff>371475</xdr:rowOff>
    </xdr:from>
    <xdr:to>
      <xdr:col>4</xdr:col>
      <xdr:colOff>9525</xdr:colOff>
      <xdr:row>151</xdr:row>
      <xdr:rowOff>371475</xdr:rowOff>
    </xdr:to>
    <xdr:sp macro="[0]!차트8월" textlink="">
      <xdr:nvSpPr>
        <xdr:cNvPr id="296" name="직사각형 295">
          <a:extLst>
            <a:ext uri="{FF2B5EF4-FFF2-40B4-BE49-F238E27FC236}">
              <a16:creationId xmlns:a16="http://schemas.microsoft.com/office/drawing/2014/main" id="{333ED4F1-FD50-428F-9316-607C3BBA77BD}"/>
            </a:ext>
          </a:extLst>
        </xdr:cNvPr>
        <xdr:cNvSpPr/>
      </xdr:nvSpPr>
      <xdr:spPr>
        <a:xfrm>
          <a:off x="2571750" y="55330725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152</xdr:row>
      <xdr:rowOff>0</xdr:rowOff>
    </xdr:from>
    <xdr:to>
      <xdr:col>4</xdr:col>
      <xdr:colOff>0</xdr:colOff>
      <xdr:row>153</xdr:row>
      <xdr:rowOff>0</xdr:rowOff>
    </xdr:to>
    <xdr:sp macro="[0]!차트9월" textlink="">
      <xdr:nvSpPr>
        <xdr:cNvPr id="297" name="직사각형 296">
          <a:extLst>
            <a:ext uri="{FF2B5EF4-FFF2-40B4-BE49-F238E27FC236}">
              <a16:creationId xmlns:a16="http://schemas.microsoft.com/office/drawing/2014/main" id="{2C440A66-78C1-4A7D-904F-35E6254A7879}"/>
            </a:ext>
          </a:extLst>
        </xdr:cNvPr>
        <xdr:cNvSpPr/>
      </xdr:nvSpPr>
      <xdr:spPr>
        <a:xfrm>
          <a:off x="2562225" y="5572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153</xdr:row>
      <xdr:rowOff>0</xdr:rowOff>
    </xdr:from>
    <xdr:to>
      <xdr:col>4</xdr:col>
      <xdr:colOff>0</xdr:colOff>
      <xdr:row>154</xdr:row>
      <xdr:rowOff>0</xdr:rowOff>
    </xdr:to>
    <xdr:sp macro="[0]!차트10월" textlink="">
      <xdr:nvSpPr>
        <xdr:cNvPr id="298" name="직사각형 297">
          <a:extLst>
            <a:ext uri="{FF2B5EF4-FFF2-40B4-BE49-F238E27FC236}">
              <a16:creationId xmlns:a16="http://schemas.microsoft.com/office/drawing/2014/main" id="{4598BE5A-8ED2-4ACB-B7D3-11370B4818F8}"/>
            </a:ext>
          </a:extLst>
        </xdr:cNvPr>
        <xdr:cNvSpPr/>
      </xdr:nvSpPr>
      <xdr:spPr>
        <a:xfrm>
          <a:off x="2562225" y="5610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154</xdr:row>
      <xdr:rowOff>0</xdr:rowOff>
    </xdr:from>
    <xdr:to>
      <xdr:col>4</xdr:col>
      <xdr:colOff>0</xdr:colOff>
      <xdr:row>155</xdr:row>
      <xdr:rowOff>0</xdr:rowOff>
    </xdr:to>
    <xdr:sp macro="[0]!차트11월" textlink="">
      <xdr:nvSpPr>
        <xdr:cNvPr id="299" name="직사각형 298">
          <a:extLst>
            <a:ext uri="{FF2B5EF4-FFF2-40B4-BE49-F238E27FC236}">
              <a16:creationId xmlns:a16="http://schemas.microsoft.com/office/drawing/2014/main" id="{44079EC9-2CBB-4B6C-89EA-6F9D71688496}"/>
            </a:ext>
          </a:extLst>
        </xdr:cNvPr>
        <xdr:cNvSpPr/>
      </xdr:nvSpPr>
      <xdr:spPr>
        <a:xfrm>
          <a:off x="2562225" y="5648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155</xdr:row>
      <xdr:rowOff>0</xdr:rowOff>
    </xdr:from>
    <xdr:to>
      <xdr:col>4</xdr:col>
      <xdr:colOff>0</xdr:colOff>
      <xdr:row>156</xdr:row>
      <xdr:rowOff>0</xdr:rowOff>
    </xdr:to>
    <xdr:sp macro="[0]!차트12월" textlink="">
      <xdr:nvSpPr>
        <xdr:cNvPr id="300" name="직사각형 299">
          <a:extLst>
            <a:ext uri="{FF2B5EF4-FFF2-40B4-BE49-F238E27FC236}">
              <a16:creationId xmlns:a16="http://schemas.microsoft.com/office/drawing/2014/main" id="{A677E83D-F46A-48FD-BDF6-1078A40D2767}"/>
            </a:ext>
          </a:extLst>
        </xdr:cNvPr>
        <xdr:cNvSpPr/>
      </xdr:nvSpPr>
      <xdr:spPr>
        <a:xfrm>
          <a:off x="2562225" y="5686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157</xdr:row>
      <xdr:rowOff>0</xdr:rowOff>
    </xdr:from>
    <xdr:to>
      <xdr:col>4</xdr:col>
      <xdr:colOff>0</xdr:colOff>
      <xdr:row>158</xdr:row>
      <xdr:rowOff>0</xdr:rowOff>
    </xdr:to>
    <xdr:sp macro="[0]!차트1월" textlink="">
      <xdr:nvSpPr>
        <xdr:cNvPr id="301" name="직사각형 300">
          <a:extLst>
            <a:ext uri="{FF2B5EF4-FFF2-40B4-BE49-F238E27FC236}">
              <a16:creationId xmlns:a16="http://schemas.microsoft.com/office/drawing/2014/main" id="{E83A3217-CFE2-45DA-A343-3F9892356416}"/>
            </a:ext>
          </a:extLst>
        </xdr:cNvPr>
        <xdr:cNvSpPr/>
      </xdr:nvSpPr>
      <xdr:spPr>
        <a:xfrm>
          <a:off x="2562225" y="5762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158</xdr:row>
      <xdr:rowOff>0</xdr:rowOff>
    </xdr:from>
    <xdr:to>
      <xdr:col>4</xdr:col>
      <xdr:colOff>0</xdr:colOff>
      <xdr:row>159</xdr:row>
      <xdr:rowOff>0</xdr:rowOff>
    </xdr:to>
    <xdr:sp macro="[0]!차트2월" textlink="">
      <xdr:nvSpPr>
        <xdr:cNvPr id="302" name="직사각형 301">
          <a:extLst>
            <a:ext uri="{FF2B5EF4-FFF2-40B4-BE49-F238E27FC236}">
              <a16:creationId xmlns:a16="http://schemas.microsoft.com/office/drawing/2014/main" id="{0075CF03-C38E-4BBE-B168-53384B03DF86}"/>
            </a:ext>
          </a:extLst>
        </xdr:cNvPr>
        <xdr:cNvSpPr/>
      </xdr:nvSpPr>
      <xdr:spPr>
        <a:xfrm>
          <a:off x="2562225" y="5800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159</xdr:row>
      <xdr:rowOff>0</xdr:rowOff>
    </xdr:from>
    <xdr:to>
      <xdr:col>4</xdr:col>
      <xdr:colOff>0</xdr:colOff>
      <xdr:row>160</xdr:row>
      <xdr:rowOff>0</xdr:rowOff>
    </xdr:to>
    <xdr:sp macro="[0]!차트3월" textlink="">
      <xdr:nvSpPr>
        <xdr:cNvPr id="303" name="직사각형 302">
          <a:extLst>
            <a:ext uri="{FF2B5EF4-FFF2-40B4-BE49-F238E27FC236}">
              <a16:creationId xmlns:a16="http://schemas.microsoft.com/office/drawing/2014/main" id="{5FBF53F3-F0DF-447A-A87D-87AC4703A0B3}"/>
            </a:ext>
          </a:extLst>
        </xdr:cNvPr>
        <xdr:cNvSpPr/>
      </xdr:nvSpPr>
      <xdr:spPr>
        <a:xfrm>
          <a:off x="2562225" y="5838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160</xdr:row>
      <xdr:rowOff>0</xdr:rowOff>
    </xdr:from>
    <xdr:to>
      <xdr:col>4</xdr:col>
      <xdr:colOff>0</xdr:colOff>
      <xdr:row>161</xdr:row>
      <xdr:rowOff>0</xdr:rowOff>
    </xdr:to>
    <xdr:sp macro="[0]!차트4월" textlink="">
      <xdr:nvSpPr>
        <xdr:cNvPr id="304" name="직사각형 303">
          <a:extLst>
            <a:ext uri="{FF2B5EF4-FFF2-40B4-BE49-F238E27FC236}">
              <a16:creationId xmlns:a16="http://schemas.microsoft.com/office/drawing/2014/main" id="{62BB2AFF-704D-48C2-B599-DA85C995C5C2}"/>
            </a:ext>
          </a:extLst>
        </xdr:cNvPr>
        <xdr:cNvSpPr/>
      </xdr:nvSpPr>
      <xdr:spPr>
        <a:xfrm>
          <a:off x="2562225" y="5876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161</xdr:row>
      <xdr:rowOff>0</xdr:rowOff>
    </xdr:from>
    <xdr:to>
      <xdr:col>4</xdr:col>
      <xdr:colOff>0</xdr:colOff>
      <xdr:row>162</xdr:row>
      <xdr:rowOff>0</xdr:rowOff>
    </xdr:to>
    <xdr:sp macro="[0]!차트5월" textlink="">
      <xdr:nvSpPr>
        <xdr:cNvPr id="305" name="직사각형 304">
          <a:extLst>
            <a:ext uri="{FF2B5EF4-FFF2-40B4-BE49-F238E27FC236}">
              <a16:creationId xmlns:a16="http://schemas.microsoft.com/office/drawing/2014/main" id="{E03A598C-2FD3-4A6C-996D-F25E590399E3}"/>
            </a:ext>
          </a:extLst>
        </xdr:cNvPr>
        <xdr:cNvSpPr/>
      </xdr:nvSpPr>
      <xdr:spPr>
        <a:xfrm>
          <a:off x="2562225" y="5915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162</xdr:row>
      <xdr:rowOff>0</xdr:rowOff>
    </xdr:from>
    <xdr:to>
      <xdr:col>4</xdr:col>
      <xdr:colOff>0</xdr:colOff>
      <xdr:row>163</xdr:row>
      <xdr:rowOff>0</xdr:rowOff>
    </xdr:to>
    <xdr:sp macro="[0]!차트6월" textlink="">
      <xdr:nvSpPr>
        <xdr:cNvPr id="306" name="직사각형 305">
          <a:extLst>
            <a:ext uri="{FF2B5EF4-FFF2-40B4-BE49-F238E27FC236}">
              <a16:creationId xmlns:a16="http://schemas.microsoft.com/office/drawing/2014/main" id="{77B4AAD0-6A30-4B1D-9CD0-1D5850AE9426}"/>
            </a:ext>
          </a:extLst>
        </xdr:cNvPr>
        <xdr:cNvSpPr/>
      </xdr:nvSpPr>
      <xdr:spPr>
        <a:xfrm>
          <a:off x="2562225" y="5953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163</xdr:row>
      <xdr:rowOff>0</xdr:rowOff>
    </xdr:from>
    <xdr:to>
      <xdr:col>4</xdr:col>
      <xdr:colOff>0</xdr:colOff>
      <xdr:row>164</xdr:row>
      <xdr:rowOff>0</xdr:rowOff>
    </xdr:to>
    <xdr:sp macro="[0]!차트7월" textlink="">
      <xdr:nvSpPr>
        <xdr:cNvPr id="307" name="직사각형 306">
          <a:extLst>
            <a:ext uri="{FF2B5EF4-FFF2-40B4-BE49-F238E27FC236}">
              <a16:creationId xmlns:a16="http://schemas.microsoft.com/office/drawing/2014/main" id="{5A687972-4EE1-4E36-987E-0D5296D4AD70}"/>
            </a:ext>
          </a:extLst>
        </xdr:cNvPr>
        <xdr:cNvSpPr/>
      </xdr:nvSpPr>
      <xdr:spPr>
        <a:xfrm>
          <a:off x="2562225" y="5991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164</xdr:row>
      <xdr:rowOff>0</xdr:rowOff>
    </xdr:from>
    <xdr:to>
      <xdr:col>4</xdr:col>
      <xdr:colOff>0</xdr:colOff>
      <xdr:row>165</xdr:row>
      <xdr:rowOff>0</xdr:rowOff>
    </xdr:to>
    <xdr:sp macro="[0]!차트8월" textlink="">
      <xdr:nvSpPr>
        <xdr:cNvPr id="308" name="직사각형 307">
          <a:extLst>
            <a:ext uri="{FF2B5EF4-FFF2-40B4-BE49-F238E27FC236}">
              <a16:creationId xmlns:a16="http://schemas.microsoft.com/office/drawing/2014/main" id="{A36E3AC4-BA3E-404E-8FBF-5B6F6672E20B}"/>
            </a:ext>
          </a:extLst>
        </xdr:cNvPr>
        <xdr:cNvSpPr/>
      </xdr:nvSpPr>
      <xdr:spPr>
        <a:xfrm>
          <a:off x="2562225" y="6029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165</xdr:row>
      <xdr:rowOff>0</xdr:rowOff>
    </xdr:from>
    <xdr:to>
      <xdr:col>4</xdr:col>
      <xdr:colOff>0</xdr:colOff>
      <xdr:row>166</xdr:row>
      <xdr:rowOff>0</xdr:rowOff>
    </xdr:to>
    <xdr:sp macro="[0]!차트9월" textlink="">
      <xdr:nvSpPr>
        <xdr:cNvPr id="309" name="직사각형 308">
          <a:extLst>
            <a:ext uri="{FF2B5EF4-FFF2-40B4-BE49-F238E27FC236}">
              <a16:creationId xmlns:a16="http://schemas.microsoft.com/office/drawing/2014/main" id="{237908DE-82B2-441D-9C2E-C6C3E8C0415C}"/>
            </a:ext>
          </a:extLst>
        </xdr:cNvPr>
        <xdr:cNvSpPr/>
      </xdr:nvSpPr>
      <xdr:spPr>
        <a:xfrm>
          <a:off x="2562225" y="6067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166</xdr:row>
      <xdr:rowOff>0</xdr:rowOff>
    </xdr:from>
    <xdr:to>
      <xdr:col>4</xdr:col>
      <xdr:colOff>0</xdr:colOff>
      <xdr:row>167</xdr:row>
      <xdr:rowOff>0</xdr:rowOff>
    </xdr:to>
    <xdr:sp macro="[0]!차트10월" textlink="">
      <xdr:nvSpPr>
        <xdr:cNvPr id="310" name="직사각형 309">
          <a:extLst>
            <a:ext uri="{FF2B5EF4-FFF2-40B4-BE49-F238E27FC236}">
              <a16:creationId xmlns:a16="http://schemas.microsoft.com/office/drawing/2014/main" id="{556C3F0F-0E1F-4680-B4CC-FFED6270BA86}"/>
            </a:ext>
          </a:extLst>
        </xdr:cNvPr>
        <xdr:cNvSpPr/>
      </xdr:nvSpPr>
      <xdr:spPr>
        <a:xfrm>
          <a:off x="2562225" y="6105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167</xdr:row>
      <xdr:rowOff>0</xdr:rowOff>
    </xdr:from>
    <xdr:to>
      <xdr:col>4</xdr:col>
      <xdr:colOff>0</xdr:colOff>
      <xdr:row>168</xdr:row>
      <xdr:rowOff>0</xdr:rowOff>
    </xdr:to>
    <xdr:sp macro="[0]!차트11월" textlink="">
      <xdr:nvSpPr>
        <xdr:cNvPr id="311" name="직사각형 310">
          <a:extLst>
            <a:ext uri="{FF2B5EF4-FFF2-40B4-BE49-F238E27FC236}">
              <a16:creationId xmlns:a16="http://schemas.microsoft.com/office/drawing/2014/main" id="{F0D4AC4B-637B-40D8-8909-FEBF9373E3F2}"/>
            </a:ext>
          </a:extLst>
        </xdr:cNvPr>
        <xdr:cNvSpPr/>
      </xdr:nvSpPr>
      <xdr:spPr>
        <a:xfrm>
          <a:off x="2562225" y="6143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168</xdr:row>
      <xdr:rowOff>0</xdr:rowOff>
    </xdr:from>
    <xdr:to>
      <xdr:col>4</xdr:col>
      <xdr:colOff>0</xdr:colOff>
      <xdr:row>169</xdr:row>
      <xdr:rowOff>0</xdr:rowOff>
    </xdr:to>
    <xdr:sp macro="[0]!차트12월" textlink="">
      <xdr:nvSpPr>
        <xdr:cNvPr id="312" name="직사각형 311">
          <a:extLst>
            <a:ext uri="{FF2B5EF4-FFF2-40B4-BE49-F238E27FC236}">
              <a16:creationId xmlns:a16="http://schemas.microsoft.com/office/drawing/2014/main" id="{B397E4CA-74E0-4618-A32A-136B3C55CAEF}"/>
            </a:ext>
          </a:extLst>
        </xdr:cNvPr>
        <xdr:cNvSpPr/>
      </xdr:nvSpPr>
      <xdr:spPr>
        <a:xfrm>
          <a:off x="2562225" y="6181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170</xdr:row>
      <xdr:rowOff>0</xdr:rowOff>
    </xdr:from>
    <xdr:to>
      <xdr:col>4</xdr:col>
      <xdr:colOff>0</xdr:colOff>
      <xdr:row>171</xdr:row>
      <xdr:rowOff>0</xdr:rowOff>
    </xdr:to>
    <xdr:sp macro="[0]!차트1월" textlink="">
      <xdr:nvSpPr>
        <xdr:cNvPr id="313" name="직사각형 312">
          <a:extLst>
            <a:ext uri="{FF2B5EF4-FFF2-40B4-BE49-F238E27FC236}">
              <a16:creationId xmlns:a16="http://schemas.microsoft.com/office/drawing/2014/main" id="{94961034-D00D-463B-9029-DE550857C53D}"/>
            </a:ext>
          </a:extLst>
        </xdr:cNvPr>
        <xdr:cNvSpPr/>
      </xdr:nvSpPr>
      <xdr:spPr>
        <a:xfrm>
          <a:off x="2562225" y="6257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171</xdr:row>
      <xdr:rowOff>0</xdr:rowOff>
    </xdr:from>
    <xdr:to>
      <xdr:col>4</xdr:col>
      <xdr:colOff>0</xdr:colOff>
      <xdr:row>172</xdr:row>
      <xdr:rowOff>0</xdr:rowOff>
    </xdr:to>
    <xdr:sp macro="[0]!차트2월" textlink="">
      <xdr:nvSpPr>
        <xdr:cNvPr id="314" name="직사각형 313">
          <a:extLst>
            <a:ext uri="{FF2B5EF4-FFF2-40B4-BE49-F238E27FC236}">
              <a16:creationId xmlns:a16="http://schemas.microsoft.com/office/drawing/2014/main" id="{506E7A92-9BCB-4F89-9F38-CD65ED0C92DA}"/>
            </a:ext>
          </a:extLst>
        </xdr:cNvPr>
        <xdr:cNvSpPr/>
      </xdr:nvSpPr>
      <xdr:spPr>
        <a:xfrm>
          <a:off x="2562225" y="6296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172</xdr:row>
      <xdr:rowOff>0</xdr:rowOff>
    </xdr:from>
    <xdr:to>
      <xdr:col>4</xdr:col>
      <xdr:colOff>0</xdr:colOff>
      <xdr:row>173</xdr:row>
      <xdr:rowOff>0</xdr:rowOff>
    </xdr:to>
    <xdr:sp macro="[0]!차트3월" textlink="">
      <xdr:nvSpPr>
        <xdr:cNvPr id="315" name="직사각형 314">
          <a:extLst>
            <a:ext uri="{FF2B5EF4-FFF2-40B4-BE49-F238E27FC236}">
              <a16:creationId xmlns:a16="http://schemas.microsoft.com/office/drawing/2014/main" id="{9361B80F-7816-4B0E-9436-802ACF02352A}"/>
            </a:ext>
          </a:extLst>
        </xdr:cNvPr>
        <xdr:cNvSpPr/>
      </xdr:nvSpPr>
      <xdr:spPr>
        <a:xfrm>
          <a:off x="2562225" y="6334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173</xdr:row>
      <xdr:rowOff>0</xdr:rowOff>
    </xdr:from>
    <xdr:to>
      <xdr:col>4</xdr:col>
      <xdr:colOff>0</xdr:colOff>
      <xdr:row>174</xdr:row>
      <xdr:rowOff>0</xdr:rowOff>
    </xdr:to>
    <xdr:sp macro="[0]!차트4월" textlink="">
      <xdr:nvSpPr>
        <xdr:cNvPr id="316" name="직사각형 315">
          <a:extLst>
            <a:ext uri="{FF2B5EF4-FFF2-40B4-BE49-F238E27FC236}">
              <a16:creationId xmlns:a16="http://schemas.microsoft.com/office/drawing/2014/main" id="{6DA0D38A-1EFC-4F41-80D2-354D5921DF40}"/>
            </a:ext>
          </a:extLst>
        </xdr:cNvPr>
        <xdr:cNvSpPr/>
      </xdr:nvSpPr>
      <xdr:spPr>
        <a:xfrm>
          <a:off x="2562225" y="6372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174</xdr:row>
      <xdr:rowOff>0</xdr:rowOff>
    </xdr:from>
    <xdr:to>
      <xdr:col>4</xdr:col>
      <xdr:colOff>0</xdr:colOff>
      <xdr:row>175</xdr:row>
      <xdr:rowOff>0</xdr:rowOff>
    </xdr:to>
    <xdr:sp macro="[0]!차트5월" textlink="">
      <xdr:nvSpPr>
        <xdr:cNvPr id="317" name="직사각형 316">
          <a:extLst>
            <a:ext uri="{FF2B5EF4-FFF2-40B4-BE49-F238E27FC236}">
              <a16:creationId xmlns:a16="http://schemas.microsoft.com/office/drawing/2014/main" id="{FBFAFC78-8B76-4C7C-B8BC-86408B796150}"/>
            </a:ext>
          </a:extLst>
        </xdr:cNvPr>
        <xdr:cNvSpPr/>
      </xdr:nvSpPr>
      <xdr:spPr>
        <a:xfrm>
          <a:off x="2562225" y="6410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175</xdr:row>
      <xdr:rowOff>0</xdr:rowOff>
    </xdr:from>
    <xdr:to>
      <xdr:col>4</xdr:col>
      <xdr:colOff>0</xdr:colOff>
      <xdr:row>176</xdr:row>
      <xdr:rowOff>0</xdr:rowOff>
    </xdr:to>
    <xdr:sp macro="[0]!차트6월" textlink="">
      <xdr:nvSpPr>
        <xdr:cNvPr id="318" name="직사각형 317">
          <a:extLst>
            <a:ext uri="{FF2B5EF4-FFF2-40B4-BE49-F238E27FC236}">
              <a16:creationId xmlns:a16="http://schemas.microsoft.com/office/drawing/2014/main" id="{4DF661FC-B75E-4713-9136-0220140B0E61}"/>
            </a:ext>
          </a:extLst>
        </xdr:cNvPr>
        <xdr:cNvSpPr/>
      </xdr:nvSpPr>
      <xdr:spPr>
        <a:xfrm>
          <a:off x="2562225" y="6448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176</xdr:row>
      <xdr:rowOff>0</xdr:rowOff>
    </xdr:from>
    <xdr:to>
      <xdr:col>4</xdr:col>
      <xdr:colOff>0</xdr:colOff>
      <xdr:row>177</xdr:row>
      <xdr:rowOff>0</xdr:rowOff>
    </xdr:to>
    <xdr:sp macro="[0]!차트7월" textlink="">
      <xdr:nvSpPr>
        <xdr:cNvPr id="319" name="직사각형 318">
          <a:extLst>
            <a:ext uri="{FF2B5EF4-FFF2-40B4-BE49-F238E27FC236}">
              <a16:creationId xmlns:a16="http://schemas.microsoft.com/office/drawing/2014/main" id="{7E877A87-72C0-4694-8200-10D243A2293F}"/>
            </a:ext>
          </a:extLst>
        </xdr:cNvPr>
        <xdr:cNvSpPr/>
      </xdr:nvSpPr>
      <xdr:spPr>
        <a:xfrm>
          <a:off x="2562225" y="6486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4</xdr:col>
      <xdr:colOff>0</xdr:colOff>
      <xdr:row>178</xdr:row>
      <xdr:rowOff>0</xdr:rowOff>
    </xdr:to>
    <xdr:sp macro="[0]!차트8월" textlink="">
      <xdr:nvSpPr>
        <xdr:cNvPr id="320" name="직사각형 319">
          <a:extLst>
            <a:ext uri="{FF2B5EF4-FFF2-40B4-BE49-F238E27FC236}">
              <a16:creationId xmlns:a16="http://schemas.microsoft.com/office/drawing/2014/main" id="{B5F94C06-F29F-4C3B-B0BA-53935F52792C}"/>
            </a:ext>
          </a:extLst>
        </xdr:cNvPr>
        <xdr:cNvSpPr/>
      </xdr:nvSpPr>
      <xdr:spPr>
        <a:xfrm>
          <a:off x="2562225" y="6524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178</xdr:row>
      <xdr:rowOff>0</xdr:rowOff>
    </xdr:from>
    <xdr:to>
      <xdr:col>4</xdr:col>
      <xdr:colOff>0</xdr:colOff>
      <xdr:row>179</xdr:row>
      <xdr:rowOff>0</xdr:rowOff>
    </xdr:to>
    <xdr:sp macro="[0]!차트9월" textlink="">
      <xdr:nvSpPr>
        <xdr:cNvPr id="321" name="직사각형 320">
          <a:extLst>
            <a:ext uri="{FF2B5EF4-FFF2-40B4-BE49-F238E27FC236}">
              <a16:creationId xmlns:a16="http://schemas.microsoft.com/office/drawing/2014/main" id="{9A2B6731-1F1C-4558-84E8-E54E4F502B1D}"/>
            </a:ext>
          </a:extLst>
        </xdr:cNvPr>
        <xdr:cNvSpPr/>
      </xdr:nvSpPr>
      <xdr:spPr>
        <a:xfrm>
          <a:off x="2562225" y="6562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179</xdr:row>
      <xdr:rowOff>0</xdr:rowOff>
    </xdr:from>
    <xdr:to>
      <xdr:col>4</xdr:col>
      <xdr:colOff>0</xdr:colOff>
      <xdr:row>180</xdr:row>
      <xdr:rowOff>0</xdr:rowOff>
    </xdr:to>
    <xdr:sp macro="[0]!차트10월" textlink="">
      <xdr:nvSpPr>
        <xdr:cNvPr id="322" name="직사각형 321">
          <a:extLst>
            <a:ext uri="{FF2B5EF4-FFF2-40B4-BE49-F238E27FC236}">
              <a16:creationId xmlns:a16="http://schemas.microsoft.com/office/drawing/2014/main" id="{BB089A6D-851B-4864-AF46-CBEF5D255F65}"/>
            </a:ext>
          </a:extLst>
        </xdr:cNvPr>
        <xdr:cNvSpPr/>
      </xdr:nvSpPr>
      <xdr:spPr>
        <a:xfrm>
          <a:off x="2562225" y="6600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180</xdr:row>
      <xdr:rowOff>0</xdr:rowOff>
    </xdr:from>
    <xdr:to>
      <xdr:col>4</xdr:col>
      <xdr:colOff>0</xdr:colOff>
      <xdr:row>181</xdr:row>
      <xdr:rowOff>0</xdr:rowOff>
    </xdr:to>
    <xdr:sp macro="[0]!차트11월" textlink="">
      <xdr:nvSpPr>
        <xdr:cNvPr id="323" name="직사각형 322">
          <a:extLst>
            <a:ext uri="{FF2B5EF4-FFF2-40B4-BE49-F238E27FC236}">
              <a16:creationId xmlns:a16="http://schemas.microsoft.com/office/drawing/2014/main" id="{F9FE869E-DF80-491B-BBBB-DD8FFCD4399D}"/>
            </a:ext>
          </a:extLst>
        </xdr:cNvPr>
        <xdr:cNvSpPr/>
      </xdr:nvSpPr>
      <xdr:spPr>
        <a:xfrm>
          <a:off x="2562225" y="6638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181</xdr:row>
      <xdr:rowOff>0</xdr:rowOff>
    </xdr:from>
    <xdr:to>
      <xdr:col>4</xdr:col>
      <xdr:colOff>0</xdr:colOff>
      <xdr:row>182</xdr:row>
      <xdr:rowOff>0</xdr:rowOff>
    </xdr:to>
    <xdr:sp macro="[0]!차트12월" textlink="">
      <xdr:nvSpPr>
        <xdr:cNvPr id="324" name="직사각형 323">
          <a:extLst>
            <a:ext uri="{FF2B5EF4-FFF2-40B4-BE49-F238E27FC236}">
              <a16:creationId xmlns:a16="http://schemas.microsoft.com/office/drawing/2014/main" id="{B6FA6852-7574-4FE4-B517-EFB2D390BA0B}"/>
            </a:ext>
          </a:extLst>
        </xdr:cNvPr>
        <xdr:cNvSpPr/>
      </xdr:nvSpPr>
      <xdr:spPr>
        <a:xfrm>
          <a:off x="2562225" y="6677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183</xdr:row>
      <xdr:rowOff>0</xdr:rowOff>
    </xdr:from>
    <xdr:to>
      <xdr:col>4</xdr:col>
      <xdr:colOff>0</xdr:colOff>
      <xdr:row>184</xdr:row>
      <xdr:rowOff>0</xdr:rowOff>
    </xdr:to>
    <xdr:sp macro="[0]!차트1월" textlink="">
      <xdr:nvSpPr>
        <xdr:cNvPr id="325" name="직사각형 324">
          <a:extLst>
            <a:ext uri="{FF2B5EF4-FFF2-40B4-BE49-F238E27FC236}">
              <a16:creationId xmlns:a16="http://schemas.microsoft.com/office/drawing/2014/main" id="{291F1F70-4B13-4CBC-9044-DC74B7B98DE5}"/>
            </a:ext>
          </a:extLst>
        </xdr:cNvPr>
        <xdr:cNvSpPr/>
      </xdr:nvSpPr>
      <xdr:spPr>
        <a:xfrm>
          <a:off x="2562225" y="6753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184</xdr:row>
      <xdr:rowOff>0</xdr:rowOff>
    </xdr:from>
    <xdr:to>
      <xdr:col>4</xdr:col>
      <xdr:colOff>0</xdr:colOff>
      <xdr:row>185</xdr:row>
      <xdr:rowOff>0</xdr:rowOff>
    </xdr:to>
    <xdr:sp macro="[0]!차트2월" textlink="">
      <xdr:nvSpPr>
        <xdr:cNvPr id="326" name="직사각형 325">
          <a:extLst>
            <a:ext uri="{FF2B5EF4-FFF2-40B4-BE49-F238E27FC236}">
              <a16:creationId xmlns:a16="http://schemas.microsoft.com/office/drawing/2014/main" id="{F201B4C4-3386-4015-8044-603A756AFA25}"/>
            </a:ext>
          </a:extLst>
        </xdr:cNvPr>
        <xdr:cNvSpPr/>
      </xdr:nvSpPr>
      <xdr:spPr>
        <a:xfrm>
          <a:off x="2562225" y="6791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185</xdr:row>
      <xdr:rowOff>0</xdr:rowOff>
    </xdr:from>
    <xdr:to>
      <xdr:col>4</xdr:col>
      <xdr:colOff>0</xdr:colOff>
      <xdr:row>186</xdr:row>
      <xdr:rowOff>0</xdr:rowOff>
    </xdr:to>
    <xdr:sp macro="[0]!차트3월" textlink="">
      <xdr:nvSpPr>
        <xdr:cNvPr id="327" name="직사각형 326">
          <a:extLst>
            <a:ext uri="{FF2B5EF4-FFF2-40B4-BE49-F238E27FC236}">
              <a16:creationId xmlns:a16="http://schemas.microsoft.com/office/drawing/2014/main" id="{3BE992EF-45DB-4296-AE63-A5B3732D0362}"/>
            </a:ext>
          </a:extLst>
        </xdr:cNvPr>
        <xdr:cNvSpPr/>
      </xdr:nvSpPr>
      <xdr:spPr>
        <a:xfrm>
          <a:off x="2562225" y="68294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186</xdr:row>
      <xdr:rowOff>0</xdr:rowOff>
    </xdr:from>
    <xdr:to>
      <xdr:col>4</xdr:col>
      <xdr:colOff>0</xdr:colOff>
      <xdr:row>187</xdr:row>
      <xdr:rowOff>0</xdr:rowOff>
    </xdr:to>
    <xdr:sp macro="[0]!차트4월" textlink="">
      <xdr:nvSpPr>
        <xdr:cNvPr id="328" name="직사각형 327">
          <a:extLst>
            <a:ext uri="{FF2B5EF4-FFF2-40B4-BE49-F238E27FC236}">
              <a16:creationId xmlns:a16="http://schemas.microsoft.com/office/drawing/2014/main" id="{AC6D4BBD-62CF-441A-8CF1-E0D93DAF6986}"/>
            </a:ext>
          </a:extLst>
        </xdr:cNvPr>
        <xdr:cNvSpPr/>
      </xdr:nvSpPr>
      <xdr:spPr>
        <a:xfrm>
          <a:off x="2562225" y="68675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187</xdr:row>
      <xdr:rowOff>0</xdr:rowOff>
    </xdr:from>
    <xdr:to>
      <xdr:col>4</xdr:col>
      <xdr:colOff>0</xdr:colOff>
      <xdr:row>188</xdr:row>
      <xdr:rowOff>0</xdr:rowOff>
    </xdr:to>
    <xdr:sp macro="[0]!차트5월" textlink="">
      <xdr:nvSpPr>
        <xdr:cNvPr id="329" name="직사각형 328">
          <a:extLst>
            <a:ext uri="{FF2B5EF4-FFF2-40B4-BE49-F238E27FC236}">
              <a16:creationId xmlns:a16="http://schemas.microsoft.com/office/drawing/2014/main" id="{4DDBAC24-391B-4423-878A-CEEDFB63C732}"/>
            </a:ext>
          </a:extLst>
        </xdr:cNvPr>
        <xdr:cNvSpPr/>
      </xdr:nvSpPr>
      <xdr:spPr>
        <a:xfrm>
          <a:off x="2562225" y="69056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188</xdr:row>
      <xdr:rowOff>0</xdr:rowOff>
    </xdr:from>
    <xdr:to>
      <xdr:col>4</xdr:col>
      <xdr:colOff>0</xdr:colOff>
      <xdr:row>189</xdr:row>
      <xdr:rowOff>0</xdr:rowOff>
    </xdr:to>
    <xdr:sp macro="[0]!차트6월" textlink="">
      <xdr:nvSpPr>
        <xdr:cNvPr id="330" name="직사각형 329">
          <a:extLst>
            <a:ext uri="{FF2B5EF4-FFF2-40B4-BE49-F238E27FC236}">
              <a16:creationId xmlns:a16="http://schemas.microsoft.com/office/drawing/2014/main" id="{D8F749C3-0A3A-4635-8E48-99AB586B2892}"/>
            </a:ext>
          </a:extLst>
        </xdr:cNvPr>
        <xdr:cNvSpPr/>
      </xdr:nvSpPr>
      <xdr:spPr>
        <a:xfrm>
          <a:off x="2562225" y="69437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189</xdr:row>
      <xdr:rowOff>0</xdr:rowOff>
    </xdr:from>
    <xdr:to>
      <xdr:col>4</xdr:col>
      <xdr:colOff>0</xdr:colOff>
      <xdr:row>190</xdr:row>
      <xdr:rowOff>0</xdr:rowOff>
    </xdr:to>
    <xdr:sp macro="[0]!차트7월" textlink="">
      <xdr:nvSpPr>
        <xdr:cNvPr id="331" name="직사각형 330">
          <a:extLst>
            <a:ext uri="{FF2B5EF4-FFF2-40B4-BE49-F238E27FC236}">
              <a16:creationId xmlns:a16="http://schemas.microsoft.com/office/drawing/2014/main" id="{CD39A13B-E86E-4DEA-8809-E90023AE77A2}"/>
            </a:ext>
          </a:extLst>
        </xdr:cNvPr>
        <xdr:cNvSpPr/>
      </xdr:nvSpPr>
      <xdr:spPr>
        <a:xfrm>
          <a:off x="2562225" y="69818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190</xdr:row>
      <xdr:rowOff>0</xdr:rowOff>
    </xdr:from>
    <xdr:to>
      <xdr:col>4</xdr:col>
      <xdr:colOff>0</xdr:colOff>
      <xdr:row>191</xdr:row>
      <xdr:rowOff>0</xdr:rowOff>
    </xdr:to>
    <xdr:sp macro="[0]!차트8월" textlink="">
      <xdr:nvSpPr>
        <xdr:cNvPr id="332" name="직사각형 331">
          <a:extLst>
            <a:ext uri="{FF2B5EF4-FFF2-40B4-BE49-F238E27FC236}">
              <a16:creationId xmlns:a16="http://schemas.microsoft.com/office/drawing/2014/main" id="{885E2F2D-617E-4800-A54F-46F1F29B8D71}"/>
            </a:ext>
          </a:extLst>
        </xdr:cNvPr>
        <xdr:cNvSpPr/>
      </xdr:nvSpPr>
      <xdr:spPr>
        <a:xfrm>
          <a:off x="2562225" y="70199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191</xdr:row>
      <xdr:rowOff>0</xdr:rowOff>
    </xdr:from>
    <xdr:to>
      <xdr:col>4</xdr:col>
      <xdr:colOff>0</xdr:colOff>
      <xdr:row>192</xdr:row>
      <xdr:rowOff>0</xdr:rowOff>
    </xdr:to>
    <xdr:sp macro="[0]!차트9월" textlink="">
      <xdr:nvSpPr>
        <xdr:cNvPr id="333" name="직사각형 332">
          <a:extLst>
            <a:ext uri="{FF2B5EF4-FFF2-40B4-BE49-F238E27FC236}">
              <a16:creationId xmlns:a16="http://schemas.microsoft.com/office/drawing/2014/main" id="{56237EB6-5C81-4CEF-9CA6-26D18108245B}"/>
            </a:ext>
          </a:extLst>
        </xdr:cNvPr>
        <xdr:cNvSpPr/>
      </xdr:nvSpPr>
      <xdr:spPr>
        <a:xfrm>
          <a:off x="2562225" y="70580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192</xdr:row>
      <xdr:rowOff>0</xdr:rowOff>
    </xdr:from>
    <xdr:to>
      <xdr:col>4</xdr:col>
      <xdr:colOff>0</xdr:colOff>
      <xdr:row>193</xdr:row>
      <xdr:rowOff>0</xdr:rowOff>
    </xdr:to>
    <xdr:sp macro="[0]!차트10월" textlink="">
      <xdr:nvSpPr>
        <xdr:cNvPr id="334" name="직사각형 333">
          <a:extLst>
            <a:ext uri="{FF2B5EF4-FFF2-40B4-BE49-F238E27FC236}">
              <a16:creationId xmlns:a16="http://schemas.microsoft.com/office/drawing/2014/main" id="{D0BE4A4A-9D3B-4F86-94A1-E940151747E1}"/>
            </a:ext>
          </a:extLst>
        </xdr:cNvPr>
        <xdr:cNvSpPr/>
      </xdr:nvSpPr>
      <xdr:spPr>
        <a:xfrm>
          <a:off x="2562225" y="70961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193</xdr:row>
      <xdr:rowOff>0</xdr:rowOff>
    </xdr:from>
    <xdr:to>
      <xdr:col>4</xdr:col>
      <xdr:colOff>0</xdr:colOff>
      <xdr:row>194</xdr:row>
      <xdr:rowOff>0</xdr:rowOff>
    </xdr:to>
    <xdr:sp macro="[0]!차트11월" textlink="">
      <xdr:nvSpPr>
        <xdr:cNvPr id="335" name="직사각형 334">
          <a:extLst>
            <a:ext uri="{FF2B5EF4-FFF2-40B4-BE49-F238E27FC236}">
              <a16:creationId xmlns:a16="http://schemas.microsoft.com/office/drawing/2014/main" id="{D95BCAF9-2FB2-411A-9D50-A38517D8647D}"/>
            </a:ext>
          </a:extLst>
        </xdr:cNvPr>
        <xdr:cNvSpPr/>
      </xdr:nvSpPr>
      <xdr:spPr>
        <a:xfrm>
          <a:off x="2562225" y="71342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194</xdr:row>
      <xdr:rowOff>0</xdr:rowOff>
    </xdr:from>
    <xdr:to>
      <xdr:col>4</xdr:col>
      <xdr:colOff>0</xdr:colOff>
      <xdr:row>195</xdr:row>
      <xdr:rowOff>0</xdr:rowOff>
    </xdr:to>
    <xdr:sp macro="[0]!차트12월" textlink="">
      <xdr:nvSpPr>
        <xdr:cNvPr id="336" name="직사각형 335">
          <a:extLst>
            <a:ext uri="{FF2B5EF4-FFF2-40B4-BE49-F238E27FC236}">
              <a16:creationId xmlns:a16="http://schemas.microsoft.com/office/drawing/2014/main" id="{A3926404-4B68-46F3-8BE3-604E45CA4EC2}"/>
            </a:ext>
          </a:extLst>
        </xdr:cNvPr>
        <xdr:cNvSpPr/>
      </xdr:nvSpPr>
      <xdr:spPr>
        <a:xfrm>
          <a:off x="2562225" y="71723250"/>
          <a:ext cx="809625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[0]!차트11월" textlink="">
      <xdr:nvSpPr>
        <xdr:cNvPr id="337" name="직사각형 336">
          <a:extLst>
            <a:ext uri="{FF2B5EF4-FFF2-40B4-BE49-F238E27FC236}">
              <a16:creationId xmlns:a16="http://schemas.microsoft.com/office/drawing/2014/main" id="{B27391BA-7A0F-4A4A-8A83-CB0088606D57}"/>
            </a:ext>
          </a:extLst>
        </xdr:cNvPr>
        <xdr:cNvSpPr/>
      </xdr:nvSpPr>
      <xdr:spPr>
        <a:xfrm>
          <a:off x="10658475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0</xdr:colOff>
      <xdr:row>50</xdr:row>
      <xdr:rowOff>0</xdr:rowOff>
    </xdr:to>
    <xdr:sp macro="[0]!차트10월" textlink="">
      <xdr:nvSpPr>
        <xdr:cNvPr id="338" name="직사각형 337">
          <a:extLst>
            <a:ext uri="{FF2B5EF4-FFF2-40B4-BE49-F238E27FC236}">
              <a16:creationId xmlns:a16="http://schemas.microsoft.com/office/drawing/2014/main" id="{16B845A4-6133-4A83-96C2-790C45B082C4}"/>
            </a:ext>
          </a:extLst>
        </xdr:cNvPr>
        <xdr:cNvSpPr/>
      </xdr:nvSpPr>
      <xdr:spPr>
        <a:xfrm>
          <a:off x="9848850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</xdr:row>
      <xdr:rowOff>0</xdr:rowOff>
    </xdr:from>
    <xdr:to>
      <xdr:col>4</xdr:col>
      <xdr:colOff>0</xdr:colOff>
      <xdr:row>49</xdr:row>
      <xdr:rowOff>0</xdr:rowOff>
    </xdr:to>
    <xdr:sp macro="[0]!차트9월" textlink="">
      <xdr:nvSpPr>
        <xdr:cNvPr id="339" name="직사각형 338">
          <a:extLst>
            <a:ext uri="{FF2B5EF4-FFF2-40B4-BE49-F238E27FC236}">
              <a16:creationId xmlns:a16="http://schemas.microsoft.com/office/drawing/2014/main" id="{06AC75B8-BD4C-4E9E-93B1-311B4A7352C1}"/>
            </a:ext>
          </a:extLst>
        </xdr:cNvPr>
        <xdr:cNvSpPr/>
      </xdr:nvSpPr>
      <xdr:spPr>
        <a:xfrm>
          <a:off x="9039225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</xdr:row>
      <xdr:rowOff>0</xdr:rowOff>
    </xdr:from>
    <xdr:to>
      <xdr:col>4</xdr:col>
      <xdr:colOff>0</xdr:colOff>
      <xdr:row>48</xdr:row>
      <xdr:rowOff>0</xdr:rowOff>
    </xdr:to>
    <xdr:sp macro="[0]!차트8월" textlink="">
      <xdr:nvSpPr>
        <xdr:cNvPr id="340" name="직사각형 339">
          <a:extLst>
            <a:ext uri="{FF2B5EF4-FFF2-40B4-BE49-F238E27FC236}">
              <a16:creationId xmlns:a16="http://schemas.microsoft.com/office/drawing/2014/main" id="{770D3AA5-1825-4500-9015-3B565E1085C3}"/>
            </a:ext>
          </a:extLst>
        </xdr:cNvPr>
        <xdr:cNvSpPr/>
      </xdr:nvSpPr>
      <xdr:spPr>
        <a:xfrm>
          <a:off x="8229600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sp macro="[0]!차트7월" textlink="">
      <xdr:nvSpPr>
        <xdr:cNvPr id="341" name="직사각형 340">
          <a:extLst>
            <a:ext uri="{FF2B5EF4-FFF2-40B4-BE49-F238E27FC236}">
              <a16:creationId xmlns:a16="http://schemas.microsoft.com/office/drawing/2014/main" id="{038184E3-E3F0-44DC-91C2-5A831EF483D8}"/>
            </a:ext>
          </a:extLst>
        </xdr:cNvPr>
        <xdr:cNvSpPr/>
      </xdr:nvSpPr>
      <xdr:spPr>
        <a:xfrm>
          <a:off x="7419975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0</xdr:rowOff>
    </xdr:to>
    <xdr:sp macro="[0]!차트6월" textlink="">
      <xdr:nvSpPr>
        <xdr:cNvPr id="342" name="직사각형 341">
          <a:extLst>
            <a:ext uri="{FF2B5EF4-FFF2-40B4-BE49-F238E27FC236}">
              <a16:creationId xmlns:a16="http://schemas.microsoft.com/office/drawing/2014/main" id="{C5D783C4-A725-4CFF-9637-FF7CB6EC9573}"/>
            </a:ext>
          </a:extLst>
        </xdr:cNvPr>
        <xdr:cNvSpPr/>
      </xdr:nvSpPr>
      <xdr:spPr>
        <a:xfrm>
          <a:off x="6610350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</xdr:row>
      <xdr:rowOff>0</xdr:rowOff>
    </xdr:from>
    <xdr:to>
      <xdr:col>4</xdr:col>
      <xdr:colOff>0</xdr:colOff>
      <xdr:row>45</xdr:row>
      <xdr:rowOff>0</xdr:rowOff>
    </xdr:to>
    <xdr:sp macro="[0]!차트5월" textlink="">
      <xdr:nvSpPr>
        <xdr:cNvPr id="343" name="직사각형 342">
          <a:extLst>
            <a:ext uri="{FF2B5EF4-FFF2-40B4-BE49-F238E27FC236}">
              <a16:creationId xmlns:a16="http://schemas.microsoft.com/office/drawing/2014/main" id="{25D2ED02-08EF-4B3E-AD1A-3E63C3B16925}"/>
            </a:ext>
          </a:extLst>
        </xdr:cNvPr>
        <xdr:cNvSpPr/>
      </xdr:nvSpPr>
      <xdr:spPr>
        <a:xfrm>
          <a:off x="5800725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</xdr:row>
      <xdr:rowOff>0</xdr:rowOff>
    </xdr:from>
    <xdr:to>
      <xdr:col>4</xdr:col>
      <xdr:colOff>0</xdr:colOff>
      <xdr:row>44</xdr:row>
      <xdr:rowOff>0</xdr:rowOff>
    </xdr:to>
    <xdr:sp macro="[0]!차트4월" textlink="">
      <xdr:nvSpPr>
        <xdr:cNvPr id="344" name="직사각형 343">
          <a:extLst>
            <a:ext uri="{FF2B5EF4-FFF2-40B4-BE49-F238E27FC236}">
              <a16:creationId xmlns:a16="http://schemas.microsoft.com/office/drawing/2014/main" id="{DC0B7F4F-0B2B-4213-8902-3462CA63FF43}"/>
            </a:ext>
          </a:extLst>
        </xdr:cNvPr>
        <xdr:cNvSpPr/>
      </xdr:nvSpPr>
      <xdr:spPr>
        <a:xfrm>
          <a:off x="4991100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0</xdr:rowOff>
    </xdr:to>
    <xdr:sp macro="[0]!차트3월" textlink="">
      <xdr:nvSpPr>
        <xdr:cNvPr id="345" name="직사각형 344">
          <a:extLst>
            <a:ext uri="{FF2B5EF4-FFF2-40B4-BE49-F238E27FC236}">
              <a16:creationId xmlns:a16="http://schemas.microsoft.com/office/drawing/2014/main" id="{B4B42CB9-92E9-464E-AD39-34519853B6AF}"/>
            </a:ext>
          </a:extLst>
        </xdr:cNvPr>
        <xdr:cNvSpPr/>
      </xdr:nvSpPr>
      <xdr:spPr>
        <a:xfrm>
          <a:off x="4181475" y="12668250"/>
          <a:ext cx="8096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10</xdr:row>
      <xdr:rowOff>1</xdr:rowOff>
    </xdr:from>
    <xdr:to>
      <xdr:col>1</xdr:col>
      <xdr:colOff>561975</xdr:colOff>
      <xdr:row>11</xdr:row>
      <xdr:rowOff>0</xdr:rowOff>
    </xdr:to>
    <xdr:sp macro="[0]!이동_예산" textlink="">
      <xdr:nvSpPr>
        <xdr:cNvPr id="3" name="직사각형 2">
          <a:extLst>
            <a:ext uri="{FF2B5EF4-FFF2-40B4-BE49-F238E27FC236}">
              <a16:creationId xmlns:a16="http://schemas.microsoft.com/office/drawing/2014/main" id="{C540BF51-6874-4E5F-8642-D1DEDE080BDF}"/>
            </a:ext>
          </a:extLst>
        </xdr:cNvPr>
        <xdr:cNvSpPr/>
      </xdr:nvSpPr>
      <xdr:spPr>
        <a:xfrm>
          <a:off x="352425" y="3552826"/>
          <a:ext cx="56197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609600</xdr:colOff>
      <xdr:row>11</xdr:row>
      <xdr:rowOff>314324</xdr:rowOff>
    </xdr:to>
    <xdr:sp macro="[0]!이동_결산" textlink="">
      <xdr:nvSpPr>
        <xdr:cNvPr id="4" name="직사각형 3">
          <a:extLst>
            <a:ext uri="{FF2B5EF4-FFF2-40B4-BE49-F238E27FC236}">
              <a16:creationId xmlns:a16="http://schemas.microsoft.com/office/drawing/2014/main" id="{D5C501AE-4D90-4829-BB58-CCAC63BBE4BA}"/>
            </a:ext>
          </a:extLst>
        </xdr:cNvPr>
        <xdr:cNvSpPr/>
      </xdr:nvSpPr>
      <xdr:spPr>
        <a:xfrm>
          <a:off x="352425" y="3867150"/>
          <a:ext cx="609600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352424</xdr:colOff>
      <xdr:row>12</xdr:row>
      <xdr:rowOff>0</xdr:rowOff>
    </xdr:from>
    <xdr:to>
      <xdr:col>1</xdr:col>
      <xdr:colOff>923924</xdr:colOff>
      <xdr:row>12</xdr:row>
      <xdr:rowOff>314324</xdr:rowOff>
    </xdr:to>
    <xdr:sp macro="[0]!이동_자산현황" textlink="">
      <xdr:nvSpPr>
        <xdr:cNvPr id="5" name="직사각형 4">
          <a:extLst>
            <a:ext uri="{FF2B5EF4-FFF2-40B4-BE49-F238E27FC236}">
              <a16:creationId xmlns:a16="http://schemas.microsoft.com/office/drawing/2014/main" id="{E5FF245A-A0C0-4876-93FC-C7B5610651F1}"/>
            </a:ext>
          </a:extLst>
        </xdr:cNvPr>
        <xdr:cNvSpPr/>
      </xdr:nvSpPr>
      <xdr:spPr>
        <a:xfrm>
          <a:off x="352424" y="4181475"/>
          <a:ext cx="923925" cy="3143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168683</xdr:colOff>
      <xdr:row>0</xdr:row>
      <xdr:rowOff>180744</xdr:rowOff>
    </xdr:from>
    <xdr:to>
      <xdr:col>1</xdr:col>
      <xdr:colOff>300038</xdr:colOff>
      <xdr:row>0</xdr:row>
      <xdr:rowOff>338291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 flipH="1">
          <a:off x="508012" y="193840"/>
          <a:ext cx="157547" cy="1313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276928</xdr:colOff>
      <xdr:row>1</xdr:row>
      <xdr:rowOff>19675</xdr:rowOff>
    </xdr:from>
    <xdr:to>
      <xdr:col>10</xdr:col>
      <xdr:colOff>424882</xdr:colOff>
      <xdr:row>1</xdr:row>
      <xdr:rowOff>195147</xdr:rowOff>
    </xdr:to>
    <xdr:sp macro="[0]!이동2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5400000">
          <a:off x="9142586" y="245101"/>
          <a:ext cx="175472" cy="1479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313110</xdr:colOff>
      <xdr:row>1</xdr:row>
      <xdr:rowOff>23232</xdr:rowOff>
    </xdr:from>
    <xdr:to>
      <xdr:col>7</xdr:col>
      <xdr:colOff>462753</xdr:colOff>
      <xdr:row>1</xdr:row>
      <xdr:rowOff>207275</xdr:rowOff>
    </xdr:to>
    <xdr:sp macro="[0]!이동12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 flipH="1">
          <a:off x="6508327" y="252099"/>
          <a:ext cx="184043" cy="1496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15925" y="211667"/>
          <a:ext cx="822325" cy="211666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  <xdr:twoCellAnchor>
    <xdr:from>
      <xdr:col>15</xdr:col>
      <xdr:colOff>52917</xdr:colOff>
      <xdr:row>34</xdr:row>
      <xdr:rowOff>1</xdr:rowOff>
    </xdr:from>
    <xdr:to>
      <xdr:col>16</xdr:col>
      <xdr:colOff>624417</xdr:colOff>
      <xdr:row>43</xdr:row>
      <xdr:rowOff>190500</xdr:rowOff>
    </xdr:to>
    <xdr:sp macro="" textlink="">
      <xdr:nvSpPr>
        <xdr:cNvPr id="5" name="오른쪽 중괄호 4">
          <a:extLst>
            <a:ext uri="{FF2B5EF4-FFF2-40B4-BE49-F238E27FC236}">
              <a16:creationId xmlns:a16="http://schemas.microsoft.com/office/drawing/2014/main" id="{0D858329-A9A6-803A-1F4D-ACA9B42D9800}"/>
            </a:ext>
          </a:extLst>
        </xdr:cNvPr>
        <xdr:cNvSpPr/>
      </xdr:nvSpPr>
      <xdr:spPr>
        <a:xfrm>
          <a:off x="15515167" y="7143751"/>
          <a:ext cx="920750" cy="2095499"/>
        </a:xfrm>
        <a:prstGeom prst="rightBrace">
          <a:avLst>
            <a:gd name="adj1" fmla="val 19343"/>
            <a:gd name="adj2" fmla="val 45455"/>
          </a:avLst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272733</xdr:colOff>
      <xdr:row>1</xdr:row>
      <xdr:rowOff>623</xdr:rowOff>
    </xdr:from>
    <xdr:to>
      <xdr:col>10</xdr:col>
      <xdr:colOff>427381</xdr:colOff>
      <xdr:row>1</xdr:row>
      <xdr:rowOff>203485</xdr:rowOff>
    </xdr:to>
    <xdr:sp macro="[0]!이동3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152150" y="212290"/>
          <a:ext cx="154648" cy="2028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288550</xdr:colOff>
      <xdr:row>0</xdr:row>
      <xdr:rowOff>209488</xdr:rowOff>
    </xdr:from>
    <xdr:to>
      <xdr:col>7</xdr:col>
      <xdr:colOff>465665</xdr:colOff>
      <xdr:row>1</xdr:row>
      <xdr:rowOff>204154</xdr:rowOff>
    </xdr:to>
    <xdr:sp macro="[0]!이동1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flipH="1">
          <a:off x="6500967" y="209488"/>
          <a:ext cx="177115" cy="2063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283713</xdr:colOff>
      <xdr:row>1</xdr:row>
      <xdr:rowOff>20052</xdr:rowOff>
    </xdr:from>
    <xdr:to>
      <xdr:col>10</xdr:col>
      <xdr:colOff>416648</xdr:colOff>
      <xdr:row>1</xdr:row>
      <xdr:rowOff>201025</xdr:rowOff>
    </xdr:to>
    <xdr:sp macro="[0]!이동4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163130" y="231719"/>
          <a:ext cx="132935" cy="18097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311370</xdr:colOff>
      <xdr:row>1</xdr:row>
      <xdr:rowOff>10025</xdr:rowOff>
    </xdr:from>
    <xdr:to>
      <xdr:col>7</xdr:col>
      <xdr:colOff>448623</xdr:colOff>
      <xdr:row>1</xdr:row>
      <xdr:rowOff>201025</xdr:rowOff>
    </xdr:to>
    <xdr:sp macro="[0]!이동2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6523787" y="221692"/>
          <a:ext cx="137253" cy="19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265889</xdr:colOff>
      <xdr:row>0</xdr:row>
      <xdr:rowOff>202457</xdr:rowOff>
    </xdr:from>
    <xdr:to>
      <xdr:col>10</xdr:col>
      <xdr:colOff>444501</xdr:colOff>
      <xdr:row>2</xdr:row>
      <xdr:rowOff>21167</xdr:rowOff>
    </xdr:to>
    <xdr:sp macro="[0]!이동5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145306" y="202457"/>
          <a:ext cx="178612" cy="2420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300510</xdr:colOff>
      <xdr:row>1</xdr:row>
      <xdr:rowOff>3403</xdr:rowOff>
    </xdr:from>
    <xdr:to>
      <xdr:col>7</xdr:col>
      <xdr:colOff>469890</xdr:colOff>
      <xdr:row>1</xdr:row>
      <xdr:rowOff>206597</xdr:rowOff>
    </xdr:to>
    <xdr:sp macro="[0]!이동3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flipH="1">
          <a:off x="6512927" y="215070"/>
          <a:ext cx="169380" cy="2031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276473</xdr:colOff>
      <xdr:row>1</xdr:row>
      <xdr:rowOff>5050</xdr:rowOff>
    </xdr:from>
    <xdr:to>
      <xdr:col>10</xdr:col>
      <xdr:colOff>444501</xdr:colOff>
      <xdr:row>2</xdr:row>
      <xdr:rowOff>1</xdr:rowOff>
    </xdr:to>
    <xdr:sp macro="[0]!이동6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155890" y="216717"/>
          <a:ext cx="168028" cy="2066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251832</xdr:colOff>
      <xdr:row>0</xdr:row>
      <xdr:rowOff>201083</xdr:rowOff>
    </xdr:from>
    <xdr:to>
      <xdr:col>7</xdr:col>
      <xdr:colOff>455082</xdr:colOff>
      <xdr:row>2</xdr:row>
      <xdr:rowOff>5513</xdr:rowOff>
    </xdr:to>
    <xdr:sp macro="[0]!이동4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flipH="1">
          <a:off x="6464249" y="201083"/>
          <a:ext cx="203250" cy="2277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276473</xdr:colOff>
      <xdr:row>1</xdr:row>
      <xdr:rowOff>5050</xdr:rowOff>
    </xdr:from>
    <xdr:to>
      <xdr:col>10</xdr:col>
      <xdr:colOff>455083</xdr:colOff>
      <xdr:row>2</xdr:row>
      <xdr:rowOff>2</xdr:rowOff>
    </xdr:to>
    <xdr:sp macro="[0]!이동7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155890" y="216717"/>
          <a:ext cx="178610" cy="20661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264583</xdr:colOff>
      <xdr:row>0</xdr:row>
      <xdr:rowOff>211666</xdr:rowOff>
    </xdr:from>
    <xdr:to>
      <xdr:col>7</xdr:col>
      <xdr:colOff>455081</xdr:colOff>
      <xdr:row>2</xdr:row>
      <xdr:rowOff>0</xdr:rowOff>
    </xdr:to>
    <xdr:sp macro="[0]!이동5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flipH="1">
          <a:off x="6477000" y="211666"/>
          <a:ext cx="190498" cy="2116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276472</xdr:colOff>
      <xdr:row>1</xdr:row>
      <xdr:rowOff>10583</xdr:rowOff>
    </xdr:from>
    <xdr:to>
      <xdr:col>10</xdr:col>
      <xdr:colOff>465667</xdr:colOff>
      <xdr:row>2</xdr:row>
      <xdr:rowOff>16096</xdr:rowOff>
    </xdr:to>
    <xdr:sp macro="[0]!이동8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155889" y="222250"/>
          <a:ext cx="189195" cy="2171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262418</xdr:colOff>
      <xdr:row>1</xdr:row>
      <xdr:rowOff>21166</xdr:rowOff>
    </xdr:from>
    <xdr:to>
      <xdr:col>7</xdr:col>
      <xdr:colOff>455083</xdr:colOff>
      <xdr:row>2</xdr:row>
      <xdr:rowOff>5513</xdr:rowOff>
    </xdr:to>
    <xdr:sp macro="[0]!이동6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flipH="1">
          <a:off x="6474835" y="232833"/>
          <a:ext cx="192665" cy="1960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276471</xdr:colOff>
      <xdr:row>0</xdr:row>
      <xdr:rowOff>201084</xdr:rowOff>
    </xdr:from>
    <xdr:to>
      <xdr:col>10</xdr:col>
      <xdr:colOff>455082</xdr:colOff>
      <xdr:row>1</xdr:row>
      <xdr:rowOff>206596</xdr:rowOff>
    </xdr:to>
    <xdr:sp macro="[0]!이동9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155888" y="201084"/>
          <a:ext cx="178611" cy="2171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262415</xdr:colOff>
      <xdr:row>0</xdr:row>
      <xdr:rowOff>201084</xdr:rowOff>
    </xdr:from>
    <xdr:to>
      <xdr:col>7</xdr:col>
      <xdr:colOff>455081</xdr:colOff>
      <xdr:row>1</xdr:row>
      <xdr:rowOff>196013</xdr:rowOff>
    </xdr:to>
    <xdr:sp macro="[0]!이동7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 flipH="1">
          <a:off x="6474832" y="201084"/>
          <a:ext cx="192666" cy="20659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276473</xdr:colOff>
      <xdr:row>1</xdr:row>
      <xdr:rowOff>1</xdr:rowOff>
    </xdr:from>
    <xdr:to>
      <xdr:col>10</xdr:col>
      <xdr:colOff>476250</xdr:colOff>
      <xdr:row>2</xdr:row>
      <xdr:rowOff>10584</xdr:rowOff>
    </xdr:to>
    <xdr:sp macro="[0]!이동10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155890" y="211668"/>
          <a:ext cx="199777" cy="2222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262407</xdr:colOff>
      <xdr:row>0</xdr:row>
      <xdr:rowOff>211666</xdr:rowOff>
    </xdr:from>
    <xdr:to>
      <xdr:col>7</xdr:col>
      <xdr:colOff>455082</xdr:colOff>
      <xdr:row>1</xdr:row>
      <xdr:rowOff>206595</xdr:rowOff>
    </xdr:to>
    <xdr:sp macro="[0]!이동8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 flipH="1">
          <a:off x="6474824" y="211666"/>
          <a:ext cx="192675" cy="20659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276472</xdr:colOff>
      <xdr:row>0</xdr:row>
      <xdr:rowOff>201083</xdr:rowOff>
    </xdr:from>
    <xdr:to>
      <xdr:col>10</xdr:col>
      <xdr:colOff>476249</xdr:colOff>
      <xdr:row>2</xdr:row>
      <xdr:rowOff>5513</xdr:rowOff>
    </xdr:to>
    <xdr:sp macro="[0]!이동11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155889" y="201083"/>
          <a:ext cx="199777" cy="2277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262413</xdr:colOff>
      <xdr:row>0</xdr:row>
      <xdr:rowOff>190501</xdr:rowOff>
    </xdr:from>
    <xdr:to>
      <xdr:col>7</xdr:col>
      <xdr:colOff>465666</xdr:colOff>
      <xdr:row>2</xdr:row>
      <xdr:rowOff>5514</xdr:rowOff>
    </xdr:to>
    <xdr:sp macro="[0]!이동9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 flipH="1">
          <a:off x="6474830" y="190501"/>
          <a:ext cx="203253" cy="23834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276472</xdr:colOff>
      <xdr:row>0</xdr:row>
      <xdr:rowOff>190500</xdr:rowOff>
    </xdr:from>
    <xdr:to>
      <xdr:col>10</xdr:col>
      <xdr:colOff>465665</xdr:colOff>
      <xdr:row>2</xdr:row>
      <xdr:rowOff>16096</xdr:rowOff>
    </xdr:to>
    <xdr:sp macro="[0]!이동12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155889" y="190500"/>
          <a:ext cx="189193" cy="24892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262410</xdr:colOff>
      <xdr:row>1</xdr:row>
      <xdr:rowOff>0</xdr:rowOff>
    </xdr:from>
    <xdr:to>
      <xdr:col>7</xdr:col>
      <xdr:colOff>444499</xdr:colOff>
      <xdr:row>2</xdr:row>
      <xdr:rowOff>5513</xdr:rowOff>
    </xdr:to>
    <xdr:sp macro="[0]!이동10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flipH="1">
          <a:off x="6474827" y="211667"/>
          <a:ext cx="182089" cy="2171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276472</xdr:colOff>
      <xdr:row>0</xdr:row>
      <xdr:rowOff>211666</xdr:rowOff>
    </xdr:from>
    <xdr:to>
      <xdr:col>10</xdr:col>
      <xdr:colOff>476250</xdr:colOff>
      <xdr:row>1</xdr:row>
      <xdr:rowOff>196012</xdr:rowOff>
    </xdr:to>
    <xdr:sp macro="[0]!이동1월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155889" y="211666"/>
          <a:ext cx="199778" cy="1960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262413</xdr:colOff>
      <xdr:row>1</xdr:row>
      <xdr:rowOff>10583</xdr:rowOff>
    </xdr:from>
    <xdr:to>
      <xdr:col>7</xdr:col>
      <xdr:colOff>455082</xdr:colOff>
      <xdr:row>2</xdr:row>
      <xdr:rowOff>5513</xdr:rowOff>
    </xdr:to>
    <xdr:sp macro="[0]!이동11월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flipH="1">
          <a:off x="6474830" y="222250"/>
          <a:ext cx="192669" cy="20659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1</xdr:row>
      <xdr:rowOff>0</xdr:rowOff>
    </xdr:from>
    <xdr:to>
      <xdr:col>2</xdr:col>
      <xdr:colOff>0</xdr:colOff>
      <xdr:row>2</xdr:row>
      <xdr:rowOff>0</xdr:rowOff>
    </xdr:to>
    <xdr:sp macro="[0]!메인이동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9100" y="209550"/>
          <a:ext cx="619125" cy="209550"/>
        </a:xfrm>
        <a:prstGeom prst="roundRect">
          <a:avLst/>
        </a:prstGeom>
        <a:solidFill>
          <a:sysClr val="window" lastClr="FFFFFF"/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MAIN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29380</xdr:colOff>
      <xdr:row>0</xdr:row>
      <xdr:rowOff>182183</xdr:rowOff>
    </xdr:from>
    <xdr:to>
      <xdr:col>1</xdr:col>
      <xdr:colOff>190500</xdr:colOff>
      <xdr:row>0</xdr:row>
      <xdr:rowOff>342900</xdr:rowOff>
    </xdr:to>
    <xdr:sp macro="[0]!메인이동" textlink="">
      <xdr:nvSpPr>
        <xdr:cNvPr id="4" name="직사각형 3">
          <a:extLst>
            <a:ext uri="{FF2B5EF4-FFF2-40B4-BE49-F238E27FC236}">
              <a16:creationId xmlns:a16="http://schemas.microsoft.com/office/drawing/2014/main" id="{70798D7E-1BF5-4EF9-87B3-24F2D991B09C}"/>
            </a:ext>
          </a:extLst>
        </xdr:cNvPr>
        <xdr:cNvSpPr/>
      </xdr:nvSpPr>
      <xdr:spPr>
        <a:xfrm rot="16200000" flipH="1">
          <a:off x="382006" y="181982"/>
          <a:ext cx="160717" cy="161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180975</xdr:rowOff>
    </xdr:from>
    <xdr:to>
      <xdr:col>1</xdr:col>
      <xdr:colOff>185200</xdr:colOff>
      <xdr:row>0</xdr:row>
      <xdr:rowOff>373856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 flipH="1">
          <a:off x="381000" y="18097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161925</xdr:rowOff>
    </xdr:from>
    <xdr:to>
      <xdr:col>1</xdr:col>
      <xdr:colOff>185200</xdr:colOff>
      <xdr:row>0</xdr:row>
      <xdr:rowOff>354806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 flipH="1">
          <a:off x="381000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2</xdr:col>
      <xdr:colOff>38100</xdr:colOff>
      <xdr:row>2</xdr:row>
      <xdr:rowOff>28575</xdr:rowOff>
    </xdr:from>
    <xdr:to>
      <xdr:col>2</xdr:col>
      <xdr:colOff>704850</xdr:colOff>
      <xdr:row>2</xdr:row>
      <xdr:rowOff>352425</xdr:rowOff>
    </xdr:to>
    <xdr:sp macro="[0]!이동1월" textlink="">
      <xdr:nvSpPr>
        <xdr:cNvPr id="3" name="직사각형 2">
          <a:extLst>
            <a:ext uri="{FF2B5EF4-FFF2-40B4-BE49-F238E27FC236}">
              <a16:creationId xmlns:a16="http://schemas.microsoft.com/office/drawing/2014/main" id="{2222BDD2-825C-4983-ADC8-B45F7DD71522}"/>
            </a:ext>
          </a:extLst>
        </xdr:cNvPr>
        <xdr:cNvSpPr/>
      </xdr:nvSpPr>
      <xdr:spPr>
        <a:xfrm>
          <a:off x="1362075" y="762000"/>
          <a:ext cx="6667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</xdr:row>
      <xdr:rowOff>28575</xdr:rowOff>
    </xdr:from>
    <xdr:to>
      <xdr:col>3</xdr:col>
      <xdr:colOff>685800</xdr:colOff>
      <xdr:row>2</xdr:row>
      <xdr:rowOff>342900</xdr:rowOff>
    </xdr:to>
    <xdr:sp macro="[0]!이동2월" textlink="">
      <xdr:nvSpPr>
        <xdr:cNvPr id="6" name="직사각형 5">
          <a:extLst>
            <a:ext uri="{FF2B5EF4-FFF2-40B4-BE49-F238E27FC236}">
              <a16:creationId xmlns:a16="http://schemas.microsoft.com/office/drawing/2014/main" id="{9FEFBCD0-E75E-4A5D-AE11-D27C3D246068}"/>
            </a:ext>
          </a:extLst>
        </xdr:cNvPr>
        <xdr:cNvSpPr/>
      </xdr:nvSpPr>
      <xdr:spPr>
        <a:xfrm>
          <a:off x="20859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2</xdr:row>
      <xdr:rowOff>28575</xdr:rowOff>
    </xdr:from>
    <xdr:to>
      <xdr:col>4</xdr:col>
      <xdr:colOff>685800</xdr:colOff>
      <xdr:row>2</xdr:row>
      <xdr:rowOff>342900</xdr:rowOff>
    </xdr:to>
    <xdr:sp macro="[0]!이동3월" textlink="">
      <xdr:nvSpPr>
        <xdr:cNvPr id="7" name="직사각형 6">
          <a:extLst>
            <a:ext uri="{FF2B5EF4-FFF2-40B4-BE49-F238E27FC236}">
              <a16:creationId xmlns:a16="http://schemas.microsoft.com/office/drawing/2014/main" id="{3919F065-6D05-415B-9252-623726F2B011}"/>
            </a:ext>
          </a:extLst>
        </xdr:cNvPr>
        <xdr:cNvSpPr/>
      </xdr:nvSpPr>
      <xdr:spPr>
        <a:xfrm>
          <a:off x="28098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38100</xdr:colOff>
      <xdr:row>2</xdr:row>
      <xdr:rowOff>28575</xdr:rowOff>
    </xdr:from>
    <xdr:to>
      <xdr:col>5</xdr:col>
      <xdr:colOff>685800</xdr:colOff>
      <xdr:row>2</xdr:row>
      <xdr:rowOff>342900</xdr:rowOff>
    </xdr:to>
    <xdr:sp macro="[0]!이동4월" textlink="">
      <xdr:nvSpPr>
        <xdr:cNvPr id="8" name="직사각형 7">
          <a:extLst>
            <a:ext uri="{FF2B5EF4-FFF2-40B4-BE49-F238E27FC236}">
              <a16:creationId xmlns:a16="http://schemas.microsoft.com/office/drawing/2014/main" id="{0178D0D2-51DD-43A8-802D-288D72808ECE}"/>
            </a:ext>
          </a:extLst>
        </xdr:cNvPr>
        <xdr:cNvSpPr/>
      </xdr:nvSpPr>
      <xdr:spPr>
        <a:xfrm>
          <a:off x="35337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2</xdr:row>
      <xdr:rowOff>28575</xdr:rowOff>
    </xdr:from>
    <xdr:to>
      <xdr:col>6</xdr:col>
      <xdr:colOff>685800</xdr:colOff>
      <xdr:row>2</xdr:row>
      <xdr:rowOff>342900</xdr:rowOff>
    </xdr:to>
    <xdr:sp macro="[0]!이동5월" textlink="">
      <xdr:nvSpPr>
        <xdr:cNvPr id="9" name="직사각형 8">
          <a:extLst>
            <a:ext uri="{FF2B5EF4-FFF2-40B4-BE49-F238E27FC236}">
              <a16:creationId xmlns:a16="http://schemas.microsoft.com/office/drawing/2014/main" id="{E770390A-42B2-426A-B56E-97C0EB42BE1B}"/>
            </a:ext>
          </a:extLst>
        </xdr:cNvPr>
        <xdr:cNvSpPr/>
      </xdr:nvSpPr>
      <xdr:spPr>
        <a:xfrm>
          <a:off x="42576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</xdr:row>
      <xdr:rowOff>28575</xdr:rowOff>
    </xdr:from>
    <xdr:to>
      <xdr:col>7</xdr:col>
      <xdr:colOff>685800</xdr:colOff>
      <xdr:row>2</xdr:row>
      <xdr:rowOff>342900</xdr:rowOff>
    </xdr:to>
    <xdr:sp macro="[0]!이동6월" textlink="">
      <xdr:nvSpPr>
        <xdr:cNvPr id="10" name="직사각형 9">
          <a:extLst>
            <a:ext uri="{FF2B5EF4-FFF2-40B4-BE49-F238E27FC236}">
              <a16:creationId xmlns:a16="http://schemas.microsoft.com/office/drawing/2014/main" id="{2A289E38-8B2E-49E3-8C6D-6A948B0F5993}"/>
            </a:ext>
          </a:extLst>
        </xdr:cNvPr>
        <xdr:cNvSpPr/>
      </xdr:nvSpPr>
      <xdr:spPr>
        <a:xfrm>
          <a:off x="49815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38099</xdr:colOff>
      <xdr:row>2</xdr:row>
      <xdr:rowOff>28575</xdr:rowOff>
    </xdr:from>
    <xdr:to>
      <xdr:col>8</xdr:col>
      <xdr:colOff>695324</xdr:colOff>
      <xdr:row>2</xdr:row>
      <xdr:rowOff>342900</xdr:rowOff>
    </xdr:to>
    <xdr:sp macro="[0]!이동7월" textlink="">
      <xdr:nvSpPr>
        <xdr:cNvPr id="11" name="직사각형 10">
          <a:extLst>
            <a:ext uri="{FF2B5EF4-FFF2-40B4-BE49-F238E27FC236}">
              <a16:creationId xmlns:a16="http://schemas.microsoft.com/office/drawing/2014/main" id="{24B9C855-B472-4156-A803-9232BC6E700E}"/>
            </a:ext>
          </a:extLst>
        </xdr:cNvPr>
        <xdr:cNvSpPr/>
      </xdr:nvSpPr>
      <xdr:spPr>
        <a:xfrm>
          <a:off x="57054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38099</xdr:colOff>
      <xdr:row>2</xdr:row>
      <xdr:rowOff>28575</xdr:rowOff>
    </xdr:from>
    <xdr:to>
      <xdr:col>9</xdr:col>
      <xdr:colOff>695324</xdr:colOff>
      <xdr:row>2</xdr:row>
      <xdr:rowOff>342900</xdr:rowOff>
    </xdr:to>
    <xdr:sp macro="[0]!이동8월" textlink="">
      <xdr:nvSpPr>
        <xdr:cNvPr id="12" name="직사각형 11">
          <a:extLst>
            <a:ext uri="{FF2B5EF4-FFF2-40B4-BE49-F238E27FC236}">
              <a16:creationId xmlns:a16="http://schemas.microsoft.com/office/drawing/2014/main" id="{9629CEA4-2840-4DE6-813F-8873025DE5A4}"/>
            </a:ext>
          </a:extLst>
        </xdr:cNvPr>
        <xdr:cNvSpPr/>
      </xdr:nvSpPr>
      <xdr:spPr>
        <a:xfrm>
          <a:off x="64293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2</xdr:row>
      <xdr:rowOff>28575</xdr:rowOff>
    </xdr:from>
    <xdr:to>
      <xdr:col>10</xdr:col>
      <xdr:colOff>695324</xdr:colOff>
      <xdr:row>2</xdr:row>
      <xdr:rowOff>342900</xdr:rowOff>
    </xdr:to>
    <xdr:sp macro="[0]!이동9월" textlink="">
      <xdr:nvSpPr>
        <xdr:cNvPr id="13" name="직사각형 12">
          <a:extLst>
            <a:ext uri="{FF2B5EF4-FFF2-40B4-BE49-F238E27FC236}">
              <a16:creationId xmlns:a16="http://schemas.microsoft.com/office/drawing/2014/main" id="{7B156345-3C2B-492A-8F5C-EA511F696255}"/>
            </a:ext>
          </a:extLst>
        </xdr:cNvPr>
        <xdr:cNvSpPr/>
      </xdr:nvSpPr>
      <xdr:spPr>
        <a:xfrm>
          <a:off x="71532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38099</xdr:colOff>
      <xdr:row>2</xdr:row>
      <xdr:rowOff>28575</xdr:rowOff>
    </xdr:from>
    <xdr:to>
      <xdr:col>11</xdr:col>
      <xdr:colOff>695324</xdr:colOff>
      <xdr:row>2</xdr:row>
      <xdr:rowOff>342900</xdr:rowOff>
    </xdr:to>
    <xdr:sp macro="[0]!이동10월" textlink="">
      <xdr:nvSpPr>
        <xdr:cNvPr id="14" name="직사각형 13">
          <a:extLst>
            <a:ext uri="{FF2B5EF4-FFF2-40B4-BE49-F238E27FC236}">
              <a16:creationId xmlns:a16="http://schemas.microsoft.com/office/drawing/2014/main" id="{12061AC3-86B4-4BF7-81F1-EB4F317147B8}"/>
            </a:ext>
          </a:extLst>
        </xdr:cNvPr>
        <xdr:cNvSpPr/>
      </xdr:nvSpPr>
      <xdr:spPr>
        <a:xfrm>
          <a:off x="78771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38099</xdr:colOff>
      <xdr:row>2</xdr:row>
      <xdr:rowOff>28575</xdr:rowOff>
    </xdr:from>
    <xdr:to>
      <xdr:col>12</xdr:col>
      <xdr:colOff>695324</xdr:colOff>
      <xdr:row>2</xdr:row>
      <xdr:rowOff>342900</xdr:rowOff>
    </xdr:to>
    <xdr:sp macro="[0]!이동11월" textlink="">
      <xdr:nvSpPr>
        <xdr:cNvPr id="15" name="직사각형 14">
          <a:extLst>
            <a:ext uri="{FF2B5EF4-FFF2-40B4-BE49-F238E27FC236}">
              <a16:creationId xmlns:a16="http://schemas.microsoft.com/office/drawing/2014/main" id="{60DBEF5D-FA0C-4073-B767-4FCCB208EA19}"/>
            </a:ext>
          </a:extLst>
        </xdr:cNvPr>
        <xdr:cNvSpPr/>
      </xdr:nvSpPr>
      <xdr:spPr>
        <a:xfrm>
          <a:off x="86010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38099</xdr:colOff>
      <xdr:row>2</xdr:row>
      <xdr:rowOff>28575</xdr:rowOff>
    </xdr:from>
    <xdr:to>
      <xdr:col>13</xdr:col>
      <xdr:colOff>695324</xdr:colOff>
      <xdr:row>2</xdr:row>
      <xdr:rowOff>342900</xdr:rowOff>
    </xdr:to>
    <xdr:sp macro="[0]!이동12월" textlink="">
      <xdr:nvSpPr>
        <xdr:cNvPr id="16" name="직사각형 15">
          <a:extLst>
            <a:ext uri="{FF2B5EF4-FFF2-40B4-BE49-F238E27FC236}">
              <a16:creationId xmlns:a16="http://schemas.microsoft.com/office/drawing/2014/main" id="{3CAB28DE-5F06-4601-8CDB-1193A240F1A5}"/>
            </a:ext>
          </a:extLst>
        </xdr:cNvPr>
        <xdr:cNvSpPr/>
      </xdr:nvSpPr>
      <xdr:spPr>
        <a:xfrm>
          <a:off x="93249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180975</xdr:rowOff>
    </xdr:from>
    <xdr:to>
      <xdr:col>1</xdr:col>
      <xdr:colOff>185200</xdr:colOff>
      <xdr:row>0</xdr:row>
      <xdr:rowOff>373856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 flipH="1">
          <a:off x="381000" y="18097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2</xdr:col>
      <xdr:colOff>28575</xdr:colOff>
      <xdr:row>2</xdr:row>
      <xdr:rowOff>28575</xdr:rowOff>
    </xdr:from>
    <xdr:to>
      <xdr:col>2</xdr:col>
      <xdr:colOff>695325</xdr:colOff>
      <xdr:row>2</xdr:row>
      <xdr:rowOff>352425</xdr:rowOff>
    </xdr:to>
    <xdr:sp macro="[0]!이동1월" textlink="">
      <xdr:nvSpPr>
        <xdr:cNvPr id="3" name="직사각형 2">
          <a:extLst>
            <a:ext uri="{FF2B5EF4-FFF2-40B4-BE49-F238E27FC236}">
              <a16:creationId xmlns:a16="http://schemas.microsoft.com/office/drawing/2014/main" id="{7F4A212E-CEBF-4A98-975D-7ADBF310A7ED}"/>
            </a:ext>
          </a:extLst>
        </xdr:cNvPr>
        <xdr:cNvSpPr/>
      </xdr:nvSpPr>
      <xdr:spPr>
        <a:xfrm>
          <a:off x="1352550" y="762000"/>
          <a:ext cx="6667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2</xdr:row>
      <xdr:rowOff>28575</xdr:rowOff>
    </xdr:from>
    <xdr:to>
      <xdr:col>3</xdr:col>
      <xdr:colOff>676275</xdr:colOff>
      <xdr:row>2</xdr:row>
      <xdr:rowOff>342900</xdr:rowOff>
    </xdr:to>
    <xdr:sp macro="[0]!이동2월" textlink="">
      <xdr:nvSpPr>
        <xdr:cNvPr id="4" name="직사각형 3">
          <a:extLst>
            <a:ext uri="{FF2B5EF4-FFF2-40B4-BE49-F238E27FC236}">
              <a16:creationId xmlns:a16="http://schemas.microsoft.com/office/drawing/2014/main" id="{CCC3C791-A142-4BC4-84CE-C3D8EFC63AF1}"/>
            </a:ext>
          </a:extLst>
        </xdr:cNvPr>
        <xdr:cNvSpPr/>
      </xdr:nvSpPr>
      <xdr:spPr>
        <a:xfrm>
          <a:off x="2076450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28575</xdr:colOff>
      <xdr:row>2</xdr:row>
      <xdr:rowOff>28575</xdr:rowOff>
    </xdr:from>
    <xdr:to>
      <xdr:col>4</xdr:col>
      <xdr:colOff>676275</xdr:colOff>
      <xdr:row>2</xdr:row>
      <xdr:rowOff>342900</xdr:rowOff>
    </xdr:to>
    <xdr:sp macro="[0]!이동3월" textlink="">
      <xdr:nvSpPr>
        <xdr:cNvPr id="5" name="직사각형 4">
          <a:extLst>
            <a:ext uri="{FF2B5EF4-FFF2-40B4-BE49-F238E27FC236}">
              <a16:creationId xmlns:a16="http://schemas.microsoft.com/office/drawing/2014/main" id="{A3400DC2-CEF6-4C60-A1D5-9CC7BDCB1F56}"/>
            </a:ext>
          </a:extLst>
        </xdr:cNvPr>
        <xdr:cNvSpPr/>
      </xdr:nvSpPr>
      <xdr:spPr>
        <a:xfrm>
          <a:off x="2800350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28575</xdr:colOff>
      <xdr:row>2</xdr:row>
      <xdr:rowOff>28575</xdr:rowOff>
    </xdr:from>
    <xdr:to>
      <xdr:col>5</xdr:col>
      <xdr:colOff>676275</xdr:colOff>
      <xdr:row>2</xdr:row>
      <xdr:rowOff>342900</xdr:rowOff>
    </xdr:to>
    <xdr:sp macro="[0]!이동4월" textlink="">
      <xdr:nvSpPr>
        <xdr:cNvPr id="6" name="직사각형 5">
          <a:extLst>
            <a:ext uri="{FF2B5EF4-FFF2-40B4-BE49-F238E27FC236}">
              <a16:creationId xmlns:a16="http://schemas.microsoft.com/office/drawing/2014/main" id="{91810700-C0EB-4542-97FD-216CDD7FF03B}"/>
            </a:ext>
          </a:extLst>
        </xdr:cNvPr>
        <xdr:cNvSpPr/>
      </xdr:nvSpPr>
      <xdr:spPr>
        <a:xfrm>
          <a:off x="3524250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2</xdr:row>
      <xdr:rowOff>28575</xdr:rowOff>
    </xdr:from>
    <xdr:to>
      <xdr:col>6</xdr:col>
      <xdr:colOff>676275</xdr:colOff>
      <xdr:row>2</xdr:row>
      <xdr:rowOff>342900</xdr:rowOff>
    </xdr:to>
    <xdr:sp macro="[0]!이동5월" textlink="">
      <xdr:nvSpPr>
        <xdr:cNvPr id="7" name="직사각형 6">
          <a:extLst>
            <a:ext uri="{FF2B5EF4-FFF2-40B4-BE49-F238E27FC236}">
              <a16:creationId xmlns:a16="http://schemas.microsoft.com/office/drawing/2014/main" id="{275A6070-ABF1-4F7F-BC82-8844D0089328}"/>
            </a:ext>
          </a:extLst>
        </xdr:cNvPr>
        <xdr:cNvSpPr/>
      </xdr:nvSpPr>
      <xdr:spPr>
        <a:xfrm>
          <a:off x="4248150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28575</xdr:colOff>
      <xdr:row>2</xdr:row>
      <xdr:rowOff>28575</xdr:rowOff>
    </xdr:from>
    <xdr:to>
      <xdr:col>7</xdr:col>
      <xdr:colOff>676275</xdr:colOff>
      <xdr:row>2</xdr:row>
      <xdr:rowOff>342900</xdr:rowOff>
    </xdr:to>
    <xdr:sp macro="[0]!이동6월" textlink="">
      <xdr:nvSpPr>
        <xdr:cNvPr id="8" name="직사각형 7">
          <a:extLst>
            <a:ext uri="{FF2B5EF4-FFF2-40B4-BE49-F238E27FC236}">
              <a16:creationId xmlns:a16="http://schemas.microsoft.com/office/drawing/2014/main" id="{5CCC5495-A980-44E0-B309-BC6E9A89CAB8}"/>
            </a:ext>
          </a:extLst>
        </xdr:cNvPr>
        <xdr:cNvSpPr/>
      </xdr:nvSpPr>
      <xdr:spPr>
        <a:xfrm>
          <a:off x="4972050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28574</xdr:colOff>
      <xdr:row>2</xdr:row>
      <xdr:rowOff>28575</xdr:rowOff>
    </xdr:from>
    <xdr:to>
      <xdr:col>8</xdr:col>
      <xdr:colOff>685799</xdr:colOff>
      <xdr:row>2</xdr:row>
      <xdr:rowOff>342900</xdr:rowOff>
    </xdr:to>
    <xdr:sp macro="[0]!이동7월" textlink="">
      <xdr:nvSpPr>
        <xdr:cNvPr id="9" name="직사각형 8">
          <a:extLst>
            <a:ext uri="{FF2B5EF4-FFF2-40B4-BE49-F238E27FC236}">
              <a16:creationId xmlns:a16="http://schemas.microsoft.com/office/drawing/2014/main" id="{F6519162-AE1F-4C4B-9BC7-9FB3077DEBED}"/>
            </a:ext>
          </a:extLst>
        </xdr:cNvPr>
        <xdr:cNvSpPr/>
      </xdr:nvSpPr>
      <xdr:spPr>
        <a:xfrm>
          <a:off x="56959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28574</xdr:colOff>
      <xdr:row>2</xdr:row>
      <xdr:rowOff>28575</xdr:rowOff>
    </xdr:from>
    <xdr:to>
      <xdr:col>9</xdr:col>
      <xdr:colOff>685799</xdr:colOff>
      <xdr:row>2</xdr:row>
      <xdr:rowOff>342900</xdr:rowOff>
    </xdr:to>
    <xdr:sp macro="[0]!이동8월" textlink="">
      <xdr:nvSpPr>
        <xdr:cNvPr id="10" name="직사각형 9">
          <a:extLst>
            <a:ext uri="{FF2B5EF4-FFF2-40B4-BE49-F238E27FC236}">
              <a16:creationId xmlns:a16="http://schemas.microsoft.com/office/drawing/2014/main" id="{94E5C5AE-48C6-47A9-BE43-877EB64F9A94}"/>
            </a:ext>
          </a:extLst>
        </xdr:cNvPr>
        <xdr:cNvSpPr/>
      </xdr:nvSpPr>
      <xdr:spPr>
        <a:xfrm>
          <a:off x="64198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28574</xdr:colOff>
      <xdr:row>2</xdr:row>
      <xdr:rowOff>28575</xdr:rowOff>
    </xdr:from>
    <xdr:to>
      <xdr:col>10</xdr:col>
      <xdr:colOff>685799</xdr:colOff>
      <xdr:row>2</xdr:row>
      <xdr:rowOff>342900</xdr:rowOff>
    </xdr:to>
    <xdr:sp macro="[0]!이동9월" textlink="">
      <xdr:nvSpPr>
        <xdr:cNvPr id="11" name="직사각형 10">
          <a:extLst>
            <a:ext uri="{FF2B5EF4-FFF2-40B4-BE49-F238E27FC236}">
              <a16:creationId xmlns:a16="http://schemas.microsoft.com/office/drawing/2014/main" id="{A510C709-B2EF-489C-99F6-5EB0C9FBC7A7}"/>
            </a:ext>
          </a:extLst>
        </xdr:cNvPr>
        <xdr:cNvSpPr/>
      </xdr:nvSpPr>
      <xdr:spPr>
        <a:xfrm>
          <a:off x="71437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28574</xdr:colOff>
      <xdr:row>2</xdr:row>
      <xdr:rowOff>28575</xdr:rowOff>
    </xdr:from>
    <xdr:to>
      <xdr:col>11</xdr:col>
      <xdr:colOff>685799</xdr:colOff>
      <xdr:row>2</xdr:row>
      <xdr:rowOff>342900</xdr:rowOff>
    </xdr:to>
    <xdr:sp macro="[0]!이동10월" textlink="">
      <xdr:nvSpPr>
        <xdr:cNvPr id="12" name="직사각형 11">
          <a:extLst>
            <a:ext uri="{FF2B5EF4-FFF2-40B4-BE49-F238E27FC236}">
              <a16:creationId xmlns:a16="http://schemas.microsoft.com/office/drawing/2014/main" id="{23300E70-677B-4E58-AC31-FC6ADAAA50C1}"/>
            </a:ext>
          </a:extLst>
        </xdr:cNvPr>
        <xdr:cNvSpPr/>
      </xdr:nvSpPr>
      <xdr:spPr>
        <a:xfrm>
          <a:off x="78676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28574</xdr:colOff>
      <xdr:row>2</xdr:row>
      <xdr:rowOff>28575</xdr:rowOff>
    </xdr:from>
    <xdr:to>
      <xdr:col>12</xdr:col>
      <xdr:colOff>685799</xdr:colOff>
      <xdr:row>2</xdr:row>
      <xdr:rowOff>342900</xdr:rowOff>
    </xdr:to>
    <xdr:sp macro="[0]!이동11월" textlink="">
      <xdr:nvSpPr>
        <xdr:cNvPr id="13" name="직사각형 12">
          <a:extLst>
            <a:ext uri="{FF2B5EF4-FFF2-40B4-BE49-F238E27FC236}">
              <a16:creationId xmlns:a16="http://schemas.microsoft.com/office/drawing/2014/main" id="{FF8FA285-B7C4-4C08-B0B4-8FF48A65A0BC}"/>
            </a:ext>
          </a:extLst>
        </xdr:cNvPr>
        <xdr:cNvSpPr/>
      </xdr:nvSpPr>
      <xdr:spPr>
        <a:xfrm>
          <a:off x="85915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28574</xdr:colOff>
      <xdr:row>2</xdr:row>
      <xdr:rowOff>28575</xdr:rowOff>
    </xdr:from>
    <xdr:to>
      <xdr:col>13</xdr:col>
      <xdr:colOff>685799</xdr:colOff>
      <xdr:row>2</xdr:row>
      <xdr:rowOff>342900</xdr:rowOff>
    </xdr:to>
    <xdr:sp macro="[0]!이동12월" textlink="">
      <xdr:nvSpPr>
        <xdr:cNvPr id="14" name="직사각형 13">
          <a:extLst>
            <a:ext uri="{FF2B5EF4-FFF2-40B4-BE49-F238E27FC236}">
              <a16:creationId xmlns:a16="http://schemas.microsoft.com/office/drawing/2014/main" id="{3BC46F54-E023-4327-84B6-C3114105170B}"/>
            </a:ext>
          </a:extLst>
        </xdr:cNvPr>
        <xdr:cNvSpPr/>
      </xdr:nvSpPr>
      <xdr:spPr>
        <a:xfrm>
          <a:off x="9315449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161925</xdr:rowOff>
    </xdr:from>
    <xdr:to>
      <xdr:col>1</xdr:col>
      <xdr:colOff>175675</xdr:colOff>
      <xdr:row>0</xdr:row>
      <xdr:rowOff>354806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 flipH="1">
          <a:off x="37147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2</xdr:col>
      <xdr:colOff>38100</xdr:colOff>
      <xdr:row>2</xdr:row>
      <xdr:rowOff>28575</xdr:rowOff>
    </xdr:from>
    <xdr:to>
      <xdr:col>2</xdr:col>
      <xdr:colOff>704850</xdr:colOff>
      <xdr:row>2</xdr:row>
      <xdr:rowOff>352425</xdr:rowOff>
    </xdr:to>
    <xdr:sp macro="[0]!이동1월" textlink="">
      <xdr:nvSpPr>
        <xdr:cNvPr id="3" name="직사각형 2">
          <a:extLst>
            <a:ext uri="{FF2B5EF4-FFF2-40B4-BE49-F238E27FC236}">
              <a16:creationId xmlns:a16="http://schemas.microsoft.com/office/drawing/2014/main" id="{455DA213-BB38-43DF-B538-E60522A19A74}"/>
            </a:ext>
          </a:extLst>
        </xdr:cNvPr>
        <xdr:cNvSpPr/>
      </xdr:nvSpPr>
      <xdr:spPr>
        <a:xfrm>
          <a:off x="1362075" y="762000"/>
          <a:ext cx="6667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</xdr:row>
      <xdr:rowOff>28575</xdr:rowOff>
    </xdr:from>
    <xdr:to>
      <xdr:col>3</xdr:col>
      <xdr:colOff>685800</xdr:colOff>
      <xdr:row>2</xdr:row>
      <xdr:rowOff>342900</xdr:rowOff>
    </xdr:to>
    <xdr:sp macro="[0]!이동2월" textlink="">
      <xdr:nvSpPr>
        <xdr:cNvPr id="4" name="직사각형 3">
          <a:extLst>
            <a:ext uri="{FF2B5EF4-FFF2-40B4-BE49-F238E27FC236}">
              <a16:creationId xmlns:a16="http://schemas.microsoft.com/office/drawing/2014/main" id="{434384EF-B436-4237-ADB8-E4EAF0DAF1AB}"/>
            </a:ext>
          </a:extLst>
        </xdr:cNvPr>
        <xdr:cNvSpPr/>
      </xdr:nvSpPr>
      <xdr:spPr>
        <a:xfrm>
          <a:off x="20859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2</xdr:row>
      <xdr:rowOff>28575</xdr:rowOff>
    </xdr:from>
    <xdr:to>
      <xdr:col>4</xdr:col>
      <xdr:colOff>685800</xdr:colOff>
      <xdr:row>2</xdr:row>
      <xdr:rowOff>342900</xdr:rowOff>
    </xdr:to>
    <xdr:sp macro="[0]!이동3월" textlink="">
      <xdr:nvSpPr>
        <xdr:cNvPr id="5" name="직사각형 4">
          <a:extLst>
            <a:ext uri="{FF2B5EF4-FFF2-40B4-BE49-F238E27FC236}">
              <a16:creationId xmlns:a16="http://schemas.microsoft.com/office/drawing/2014/main" id="{7A27B654-C8DC-4261-AEC4-F2C65A13EBF9}"/>
            </a:ext>
          </a:extLst>
        </xdr:cNvPr>
        <xdr:cNvSpPr/>
      </xdr:nvSpPr>
      <xdr:spPr>
        <a:xfrm>
          <a:off x="28098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38100</xdr:colOff>
      <xdr:row>2</xdr:row>
      <xdr:rowOff>28575</xdr:rowOff>
    </xdr:from>
    <xdr:to>
      <xdr:col>5</xdr:col>
      <xdr:colOff>685800</xdr:colOff>
      <xdr:row>2</xdr:row>
      <xdr:rowOff>342900</xdr:rowOff>
    </xdr:to>
    <xdr:sp macro="[0]!이동4월" textlink="">
      <xdr:nvSpPr>
        <xdr:cNvPr id="6" name="직사각형 5">
          <a:extLst>
            <a:ext uri="{FF2B5EF4-FFF2-40B4-BE49-F238E27FC236}">
              <a16:creationId xmlns:a16="http://schemas.microsoft.com/office/drawing/2014/main" id="{412B2006-F0CD-473F-9428-39A577723175}"/>
            </a:ext>
          </a:extLst>
        </xdr:cNvPr>
        <xdr:cNvSpPr/>
      </xdr:nvSpPr>
      <xdr:spPr>
        <a:xfrm>
          <a:off x="35337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2</xdr:row>
      <xdr:rowOff>28575</xdr:rowOff>
    </xdr:from>
    <xdr:to>
      <xdr:col>6</xdr:col>
      <xdr:colOff>685800</xdr:colOff>
      <xdr:row>2</xdr:row>
      <xdr:rowOff>342900</xdr:rowOff>
    </xdr:to>
    <xdr:sp macro="[0]!이동5월" textlink="">
      <xdr:nvSpPr>
        <xdr:cNvPr id="7" name="직사각형 6">
          <a:extLst>
            <a:ext uri="{FF2B5EF4-FFF2-40B4-BE49-F238E27FC236}">
              <a16:creationId xmlns:a16="http://schemas.microsoft.com/office/drawing/2014/main" id="{5DFD7B58-249F-477D-BEEE-187185FC62B1}"/>
            </a:ext>
          </a:extLst>
        </xdr:cNvPr>
        <xdr:cNvSpPr/>
      </xdr:nvSpPr>
      <xdr:spPr>
        <a:xfrm>
          <a:off x="42576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</xdr:row>
      <xdr:rowOff>28575</xdr:rowOff>
    </xdr:from>
    <xdr:to>
      <xdr:col>7</xdr:col>
      <xdr:colOff>685800</xdr:colOff>
      <xdr:row>2</xdr:row>
      <xdr:rowOff>342900</xdr:rowOff>
    </xdr:to>
    <xdr:sp macro="[0]!이동6월" textlink="">
      <xdr:nvSpPr>
        <xdr:cNvPr id="8" name="직사각형 7">
          <a:extLst>
            <a:ext uri="{FF2B5EF4-FFF2-40B4-BE49-F238E27FC236}">
              <a16:creationId xmlns:a16="http://schemas.microsoft.com/office/drawing/2014/main" id="{022B7D0A-1D37-400D-965D-7E940504FE7C}"/>
            </a:ext>
          </a:extLst>
        </xdr:cNvPr>
        <xdr:cNvSpPr/>
      </xdr:nvSpPr>
      <xdr:spPr>
        <a:xfrm>
          <a:off x="49815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38099</xdr:colOff>
      <xdr:row>2</xdr:row>
      <xdr:rowOff>28575</xdr:rowOff>
    </xdr:from>
    <xdr:to>
      <xdr:col>8</xdr:col>
      <xdr:colOff>695324</xdr:colOff>
      <xdr:row>2</xdr:row>
      <xdr:rowOff>342900</xdr:rowOff>
    </xdr:to>
    <xdr:sp macro="[0]!이동7월" textlink="">
      <xdr:nvSpPr>
        <xdr:cNvPr id="9" name="직사각형 8">
          <a:extLst>
            <a:ext uri="{FF2B5EF4-FFF2-40B4-BE49-F238E27FC236}">
              <a16:creationId xmlns:a16="http://schemas.microsoft.com/office/drawing/2014/main" id="{13E51BC9-4A47-4072-A5D1-115F48CE6892}"/>
            </a:ext>
          </a:extLst>
        </xdr:cNvPr>
        <xdr:cNvSpPr/>
      </xdr:nvSpPr>
      <xdr:spPr>
        <a:xfrm>
          <a:off x="57054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38099</xdr:colOff>
      <xdr:row>2</xdr:row>
      <xdr:rowOff>28575</xdr:rowOff>
    </xdr:from>
    <xdr:to>
      <xdr:col>9</xdr:col>
      <xdr:colOff>695324</xdr:colOff>
      <xdr:row>2</xdr:row>
      <xdr:rowOff>342900</xdr:rowOff>
    </xdr:to>
    <xdr:sp macro="[0]!이동8월" textlink="">
      <xdr:nvSpPr>
        <xdr:cNvPr id="10" name="직사각형 9">
          <a:extLst>
            <a:ext uri="{FF2B5EF4-FFF2-40B4-BE49-F238E27FC236}">
              <a16:creationId xmlns:a16="http://schemas.microsoft.com/office/drawing/2014/main" id="{10619DBF-A924-4E5C-B5B1-420930EE54F3}"/>
            </a:ext>
          </a:extLst>
        </xdr:cNvPr>
        <xdr:cNvSpPr/>
      </xdr:nvSpPr>
      <xdr:spPr>
        <a:xfrm>
          <a:off x="64293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2</xdr:row>
      <xdr:rowOff>28575</xdr:rowOff>
    </xdr:from>
    <xdr:to>
      <xdr:col>10</xdr:col>
      <xdr:colOff>695324</xdr:colOff>
      <xdr:row>2</xdr:row>
      <xdr:rowOff>342900</xdr:rowOff>
    </xdr:to>
    <xdr:sp macro="[0]!이동9월" textlink="">
      <xdr:nvSpPr>
        <xdr:cNvPr id="11" name="직사각형 10">
          <a:extLst>
            <a:ext uri="{FF2B5EF4-FFF2-40B4-BE49-F238E27FC236}">
              <a16:creationId xmlns:a16="http://schemas.microsoft.com/office/drawing/2014/main" id="{FCC2F742-E45C-4BE5-8BA0-5BC5E7082B14}"/>
            </a:ext>
          </a:extLst>
        </xdr:cNvPr>
        <xdr:cNvSpPr/>
      </xdr:nvSpPr>
      <xdr:spPr>
        <a:xfrm>
          <a:off x="71532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38099</xdr:colOff>
      <xdr:row>2</xdr:row>
      <xdr:rowOff>28575</xdr:rowOff>
    </xdr:from>
    <xdr:to>
      <xdr:col>11</xdr:col>
      <xdr:colOff>695324</xdr:colOff>
      <xdr:row>2</xdr:row>
      <xdr:rowOff>342900</xdr:rowOff>
    </xdr:to>
    <xdr:sp macro="[0]!이동10월" textlink="">
      <xdr:nvSpPr>
        <xdr:cNvPr id="12" name="직사각형 11">
          <a:extLst>
            <a:ext uri="{FF2B5EF4-FFF2-40B4-BE49-F238E27FC236}">
              <a16:creationId xmlns:a16="http://schemas.microsoft.com/office/drawing/2014/main" id="{D63737FF-E130-418F-8EAA-2BBCC30D5E05}"/>
            </a:ext>
          </a:extLst>
        </xdr:cNvPr>
        <xdr:cNvSpPr/>
      </xdr:nvSpPr>
      <xdr:spPr>
        <a:xfrm>
          <a:off x="78771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38099</xdr:colOff>
      <xdr:row>2</xdr:row>
      <xdr:rowOff>28575</xdr:rowOff>
    </xdr:from>
    <xdr:to>
      <xdr:col>12</xdr:col>
      <xdr:colOff>695324</xdr:colOff>
      <xdr:row>2</xdr:row>
      <xdr:rowOff>342900</xdr:rowOff>
    </xdr:to>
    <xdr:sp macro="[0]!이동11월" textlink="">
      <xdr:nvSpPr>
        <xdr:cNvPr id="13" name="직사각형 12">
          <a:extLst>
            <a:ext uri="{FF2B5EF4-FFF2-40B4-BE49-F238E27FC236}">
              <a16:creationId xmlns:a16="http://schemas.microsoft.com/office/drawing/2014/main" id="{84594988-A3B2-4E7F-B0BA-04E31CF7B025}"/>
            </a:ext>
          </a:extLst>
        </xdr:cNvPr>
        <xdr:cNvSpPr/>
      </xdr:nvSpPr>
      <xdr:spPr>
        <a:xfrm>
          <a:off x="86010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38099</xdr:colOff>
      <xdr:row>2</xdr:row>
      <xdr:rowOff>28575</xdr:rowOff>
    </xdr:from>
    <xdr:to>
      <xdr:col>13</xdr:col>
      <xdr:colOff>695324</xdr:colOff>
      <xdr:row>2</xdr:row>
      <xdr:rowOff>342900</xdr:rowOff>
    </xdr:to>
    <xdr:sp macro="[0]!이동12월" textlink="">
      <xdr:nvSpPr>
        <xdr:cNvPr id="14" name="직사각형 13">
          <a:extLst>
            <a:ext uri="{FF2B5EF4-FFF2-40B4-BE49-F238E27FC236}">
              <a16:creationId xmlns:a16="http://schemas.microsoft.com/office/drawing/2014/main" id="{4C46E6CC-EF63-468B-9DBB-996D06660DB7}"/>
            </a:ext>
          </a:extLst>
        </xdr:cNvPr>
        <xdr:cNvSpPr/>
      </xdr:nvSpPr>
      <xdr:spPr>
        <a:xfrm>
          <a:off x="93249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152400</xdr:rowOff>
    </xdr:from>
    <xdr:to>
      <xdr:col>1</xdr:col>
      <xdr:colOff>191143</xdr:colOff>
      <xdr:row>0</xdr:row>
      <xdr:rowOff>364331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 flipH="1">
          <a:off x="371474" y="152400"/>
          <a:ext cx="172094" cy="21193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3</xdr:col>
      <xdr:colOff>38100</xdr:colOff>
      <xdr:row>2</xdr:row>
      <xdr:rowOff>28575</xdr:rowOff>
    </xdr:from>
    <xdr:to>
      <xdr:col>3</xdr:col>
      <xdr:colOff>704850</xdr:colOff>
      <xdr:row>2</xdr:row>
      <xdr:rowOff>352425</xdr:rowOff>
    </xdr:to>
    <xdr:sp macro="[0]!이동1월" textlink="">
      <xdr:nvSpPr>
        <xdr:cNvPr id="3" name="직사각형 2">
          <a:extLst>
            <a:ext uri="{FF2B5EF4-FFF2-40B4-BE49-F238E27FC236}">
              <a16:creationId xmlns:a16="http://schemas.microsoft.com/office/drawing/2014/main" id="{DCCC9576-1DE6-4050-814C-0753F44EC9A5}"/>
            </a:ext>
          </a:extLst>
        </xdr:cNvPr>
        <xdr:cNvSpPr/>
      </xdr:nvSpPr>
      <xdr:spPr>
        <a:xfrm>
          <a:off x="2085975" y="762000"/>
          <a:ext cx="6667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2</xdr:row>
      <xdr:rowOff>28575</xdr:rowOff>
    </xdr:from>
    <xdr:to>
      <xdr:col>4</xdr:col>
      <xdr:colOff>685800</xdr:colOff>
      <xdr:row>2</xdr:row>
      <xdr:rowOff>342900</xdr:rowOff>
    </xdr:to>
    <xdr:sp macro="[0]!이동2월" textlink="">
      <xdr:nvSpPr>
        <xdr:cNvPr id="4" name="직사각형 3">
          <a:extLst>
            <a:ext uri="{FF2B5EF4-FFF2-40B4-BE49-F238E27FC236}">
              <a16:creationId xmlns:a16="http://schemas.microsoft.com/office/drawing/2014/main" id="{9484B562-E284-4BA5-A9D6-627F418BCACD}"/>
            </a:ext>
          </a:extLst>
        </xdr:cNvPr>
        <xdr:cNvSpPr/>
      </xdr:nvSpPr>
      <xdr:spPr>
        <a:xfrm>
          <a:off x="28098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38100</xdr:colOff>
      <xdr:row>2</xdr:row>
      <xdr:rowOff>28575</xdr:rowOff>
    </xdr:from>
    <xdr:to>
      <xdr:col>5</xdr:col>
      <xdr:colOff>685800</xdr:colOff>
      <xdr:row>2</xdr:row>
      <xdr:rowOff>342900</xdr:rowOff>
    </xdr:to>
    <xdr:sp macro="[0]!이동3월" textlink="">
      <xdr:nvSpPr>
        <xdr:cNvPr id="5" name="직사각형 4">
          <a:extLst>
            <a:ext uri="{FF2B5EF4-FFF2-40B4-BE49-F238E27FC236}">
              <a16:creationId xmlns:a16="http://schemas.microsoft.com/office/drawing/2014/main" id="{77C5BABE-7637-4E47-BA31-278444A9C806}"/>
            </a:ext>
          </a:extLst>
        </xdr:cNvPr>
        <xdr:cNvSpPr/>
      </xdr:nvSpPr>
      <xdr:spPr>
        <a:xfrm>
          <a:off x="35337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2</xdr:row>
      <xdr:rowOff>28575</xdr:rowOff>
    </xdr:from>
    <xdr:to>
      <xdr:col>6</xdr:col>
      <xdr:colOff>685800</xdr:colOff>
      <xdr:row>2</xdr:row>
      <xdr:rowOff>342900</xdr:rowOff>
    </xdr:to>
    <xdr:sp macro="[0]!이동4월" textlink="">
      <xdr:nvSpPr>
        <xdr:cNvPr id="6" name="직사각형 5">
          <a:extLst>
            <a:ext uri="{FF2B5EF4-FFF2-40B4-BE49-F238E27FC236}">
              <a16:creationId xmlns:a16="http://schemas.microsoft.com/office/drawing/2014/main" id="{A398BA1A-91E1-4C4E-A76D-F519D0F0BAF6}"/>
            </a:ext>
          </a:extLst>
        </xdr:cNvPr>
        <xdr:cNvSpPr/>
      </xdr:nvSpPr>
      <xdr:spPr>
        <a:xfrm>
          <a:off x="42576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</xdr:row>
      <xdr:rowOff>28575</xdr:rowOff>
    </xdr:from>
    <xdr:to>
      <xdr:col>7</xdr:col>
      <xdr:colOff>685800</xdr:colOff>
      <xdr:row>2</xdr:row>
      <xdr:rowOff>342900</xdr:rowOff>
    </xdr:to>
    <xdr:sp macro="[0]!이동5월" textlink="">
      <xdr:nvSpPr>
        <xdr:cNvPr id="7" name="직사각형 6">
          <a:extLst>
            <a:ext uri="{FF2B5EF4-FFF2-40B4-BE49-F238E27FC236}">
              <a16:creationId xmlns:a16="http://schemas.microsoft.com/office/drawing/2014/main" id="{E00C4220-83AD-4FD7-B7B2-B9B50E2D553C}"/>
            </a:ext>
          </a:extLst>
        </xdr:cNvPr>
        <xdr:cNvSpPr/>
      </xdr:nvSpPr>
      <xdr:spPr>
        <a:xfrm>
          <a:off x="49815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</xdr:colOff>
      <xdr:row>2</xdr:row>
      <xdr:rowOff>28575</xdr:rowOff>
    </xdr:from>
    <xdr:to>
      <xdr:col>8</xdr:col>
      <xdr:colOff>685800</xdr:colOff>
      <xdr:row>2</xdr:row>
      <xdr:rowOff>342900</xdr:rowOff>
    </xdr:to>
    <xdr:sp macro="[0]!이동6월" textlink="">
      <xdr:nvSpPr>
        <xdr:cNvPr id="8" name="직사각형 7">
          <a:extLst>
            <a:ext uri="{FF2B5EF4-FFF2-40B4-BE49-F238E27FC236}">
              <a16:creationId xmlns:a16="http://schemas.microsoft.com/office/drawing/2014/main" id="{AD178590-0926-4EB7-872C-A99F696B385E}"/>
            </a:ext>
          </a:extLst>
        </xdr:cNvPr>
        <xdr:cNvSpPr/>
      </xdr:nvSpPr>
      <xdr:spPr>
        <a:xfrm>
          <a:off x="5705475" y="762000"/>
          <a:ext cx="6477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38099</xdr:colOff>
      <xdr:row>2</xdr:row>
      <xdr:rowOff>28575</xdr:rowOff>
    </xdr:from>
    <xdr:to>
      <xdr:col>9</xdr:col>
      <xdr:colOff>695324</xdr:colOff>
      <xdr:row>2</xdr:row>
      <xdr:rowOff>342900</xdr:rowOff>
    </xdr:to>
    <xdr:sp macro="[0]!이동7월" textlink="">
      <xdr:nvSpPr>
        <xdr:cNvPr id="9" name="직사각형 8">
          <a:extLst>
            <a:ext uri="{FF2B5EF4-FFF2-40B4-BE49-F238E27FC236}">
              <a16:creationId xmlns:a16="http://schemas.microsoft.com/office/drawing/2014/main" id="{AEFBF0D1-91EB-43BA-BEC9-F1CD1DF021BB}"/>
            </a:ext>
          </a:extLst>
        </xdr:cNvPr>
        <xdr:cNvSpPr/>
      </xdr:nvSpPr>
      <xdr:spPr>
        <a:xfrm>
          <a:off x="64293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2</xdr:row>
      <xdr:rowOff>28575</xdr:rowOff>
    </xdr:from>
    <xdr:to>
      <xdr:col>10</xdr:col>
      <xdr:colOff>695324</xdr:colOff>
      <xdr:row>2</xdr:row>
      <xdr:rowOff>342900</xdr:rowOff>
    </xdr:to>
    <xdr:sp macro="[0]!이동8월" textlink="">
      <xdr:nvSpPr>
        <xdr:cNvPr id="10" name="직사각형 9">
          <a:extLst>
            <a:ext uri="{FF2B5EF4-FFF2-40B4-BE49-F238E27FC236}">
              <a16:creationId xmlns:a16="http://schemas.microsoft.com/office/drawing/2014/main" id="{FE290E30-A57D-4A30-8AAF-6DD93D644C5C}"/>
            </a:ext>
          </a:extLst>
        </xdr:cNvPr>
        <xdr:cNvSpPr/>
      </xdr:nvSpPr>
      <xdr:spPr>
        <a:xfrm>
          <a:off x="71532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38099</xdr:colOff>
      <xdr:row>2</xdr:row>
      <xdr:rowOff>28575</xdr:rowOff>
    </xdr:from>
    <xdr:to>
      <xdr:col>11</xdr:col>
      <xdr:colOff>695324</xdr:colOff>
      <xdr:row>2</xdr:row>
      <xdr:rowOff>342900</xdr:rowOff>
    </xdr:to>
    <xdr:sp macro="[0]!이동9월" textlink="">
      <xdr:nvSpPr>
        <xdr:cNvPr id="11" name="직사각형 10">
          <a:extLst>
            <a:ext uri="{FF2B5EF4-FFF2-40B4-BE49-F238E27FC236}">
              <a16:creationId xmlns:a16="http://schemas.microsoft.com/office/drawing/2014/main" id="{53ABC184-B62E-45E7-AE6D-8E92D115B2CB}"/>
            </a:ext>
          </a:extLst>
        </xdr:cNvPr>
        <xdr:cNvSpPr/>
      </xdr:nvSpPr>
      <xdr:spPr>
        <a:xfrm>
          <a:off x="78771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38099</xdr:colOff>
      <xdr:row>2</xdr:row>
      <xdr:rowOff>28575</xdr:rowOff>
    </xdr:from>
    <xdr:to>
      <xdr:col>12</xdr:col>
      <xdr:colOff>695324</xdr:colOff>
      <xdr:row>2</xdr:row>
      <xdr:rowOff>342900</xdr:rowOff>
    </xdr:to>
    <xdr:sp macro="[0]!이동10월" textlink="">
      <xdr:nvSpPr>
        <xdr:cNvPr id="12" name="직사각형 11">
          <a:extLst>
            <a:ext uri="{FF2B5EF4-FFF2-40B4-BE49-F238E27FC236}">
              <a16:creationId xmlns:a16="http://schemas.microsoft.com/office/drawing/2014/main" id="{EE644E02-6330-4CCB-8C83-C82EB94ADD94}"/>
            </a:ext>
          </a:extLst>
        </xdr:cNvPr>
        <xdr:cNvSpPr/>
      </xdr:nvSpPr>
      <xdr:spPr>
        <a:xfrm>
          <a:off x="86010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38099</xdr:colOff>
      <xdr:row>2</xdr:row>
      <xdr:rowOff>28575</xdr:rowOff>
    </xdr:from>
    <xdr:to>
      <xdr:col>13</xdr:col>
      <xdr:colOff>695324</xdr:colOff>
      <xdr:row>2</xdr:row>
      <xdr:rowOff>342900</xdr:rowOff>
    </xdr:to>
    <xdr:sp macro="[0]!이동11월" textlink="">
      <xdr:nvSpPr>
        <xdr:cNvPr id="13" name="직사각형 12">
          <a:extLst>
            <a:ext uri="{FF2B5EF4-FFF2-40B4-BE49-F238E27FC236}">
              <a16:creationId xmlns:a16="http://schemas.microsoft.com/office/drawing/2014/main" id="{A3616A7B-6E74-4AA9-8B0B-276A66BAE94C}"/>
            </a:ext>
          </a:extLst>
        </xdr:cNvPr>
        <xdr:cNvSpPr/>
      </xdr:nvSpPr>
      <xdr:spPr>
        <a:xfrm>
          <a:off x="93249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38099</xdr:colOff>
      <xdr:row>2</xdr:row>
      <xdr:rowOff>28575</xdr:rowOff>
    </xdr:from>
    <xdr:to>
      <xdr:col>14</xdr:col>
      <xdr:colOff>695324</xdr:colOff>
      <xdr:row>2</xdr:row>
      <xdr:rowOff>342900</xdr:rowOff>
    </xdr:to>
    <xdr:sp macro="[0]!이동12월" textlink="">
      <xdr:nvSpPr>
        <xdr:cNvPr id="14" name="직사각형 13">
          <a:extLst>
            <a:ext uri="{FF2B5EF4-FFF2-40B4-BE49-F238E27FC236}">
              <a16:creationId xmlns:a16="http://schemas.microsoft.com/office/drawing/2014/main" id="{0C1AFA0A-155D-46C4-BCD9-981563C2AD59}"/>
            </a:ext>
          </a:extLst>
        </xdr:cNvPr>
        <xdr:cNvSpPr/>
      </xdr:nvSpPr>
      <xdr:spPr>
        <a:xfrm>
          <a:off x="10048874" y="762000"/>
          <a:ext cx="65722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161925</xdr:rowOff>
    </xdr:from>
    <xdr:to>
      <xdr:col>1</xdr:col>
      <xdr:colOff>185200</xdr:colOff>
      <xdr:row>0</xdr:row>
      <xdr:rowOff>354806</xdr:rowOff>
    </xdr:to>
    <xdr:sp macro="[0]!메인이동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 flipH="1">
          <a:off x="381000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1</xdr:col>
      <xdr:colOff>28575</xdr:colOff>
      <xdr:row>2</xdr:row>
      <xdr:rowOff>19050</xdr:rowOff>
    </xdr:from>
    <xdr:to>
      <xdr:col>1</xdr:col>
      <xdr:colOff>847725</xdr:colOff>
      <xdr:row>2</xdr:row>
      <xdr:rowOff>285750</xdr:rowOff>
    </xdr:to>
    <xdr:sp macro="[0]!이동_계좌현황" textlink="">
      <xdr:nvSpPr>
        <xdr:cNvPr id="3" name="직사각형 2">
          <a:extLst>
            <a:ext uri="{FF2B5EF4-FFF2-40B4-BE49-F238E27FC236}">
              <a16:creationId xmlns:a16="http://schemas.microsoft.com/office/drawing/2014/main" id="{A1DBAF8F-74A5-45AA-8BDB-14AF5F22A98E}"/>
            </a:ext>
          </a:extLst>
        </xdr:cNvPr>
        <xdr:cNvSpPr/>
      </xdr:nvSpPr>
      <xdr:spPr>
        <a:xfrm>
          <a:off x="381000" y="742950"/>
          <a:ext cx="819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28575</xdr:colOff>
      <xdr:row>3</xdr:row>
      <xdr:rowOff>19050</xdr:rowOff>
    </xdr:from>
    <xdr:to>
      <xdr:col>1</xdr:col>
      <xdr:colOff>847725</xdr:colOff>
      <xdr:row>3</xdr:row>
      <xdr:rowOff>285750</xdr:rowOff>
    </xdr:to>
    <xdr:sp macro="[0]!이동_비상금관리" textlink="">
      <xdr:nvSpPr>
        <xdr:cNvPr id="4" name="직사각형 3">
          <a:extLst>
            <a:ext uri="{FF2B5EF4-FFF2-40B4-BE49-F238E27FC236}">
              <a16:creationId xmlns:a16="http://schemas.microsoft.com/office/drawing/2014/main" id="{F9C35BEA-6921-4573-A80F-1B16350D67C2}"/>
            </a:ext>
          </a:extLst>
        </xdr:cNvPr>
        <xdr:cNvSpPr/>
      </xdr:nvSpPr>
      <xdr:spPr>
        <a:xfrm>
          <a:off x="381000" y="1057275"/>
          <a:ext cx="819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38100</xdr:colOff>
      <xdr:row>5</xdr:row>
      <xdr:rowOff>19050</xdr:rowOff>
    </xdr:from>
    <xdr:to>
      <xdr:col>1</xdr:col>
      <xdr:colOff>857250</xdr:colOff>
      <xdr:row>5</xdr:row>
      <xdr:rowOff>285750</xdr:rowOff>
    </xdr:to>
    <xdr:sp macro="[0]!이동_적금관리" textlink="">
      <xdr:nvSpPr>
        <xdr:cNvPr id="5" name="직사각형 4">
          <a:extLst>
            <a:ext uri="{FF2B5EF4-FFF2-40B4-BE49-F238E27FC236}">
              <a16:creationId xmlns:a16="http://schemas.microsoft.com/office/drawing/2014/main" id="{19F4958F-9A57-4860-8DBB-92E8D463B6DC}"/>
            </a:ext>
          </a:extLst>
        </xdr:cNvPr>
        <xdr:cNvSpPr/>
      </xdr:nvSpPr>
      <xdr:spPr>
        <a:xfrm>
          <a:off x="390525" y="1685925"/>
          <a:ext cx="819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38100</xdr:colOff>
      <xdr:row>4</xdr:row>
      <xdr:rowOff>19050</xdr:rowOff>
    </xdr:from>
    <xdr:to>
      <xdr:col>1</xdr:col>
      <xdr:colOff>857250</xdr:colOff>
      <xdr:row>4</xdr:row>
      <xdr:rowOff>285750</xdr:rowOff>
    </xdr:to>
    <xdr:sp macro="[0]!이동_예금관리" textlink="">
      <xdr:nvSpPr>
        <xdr:cNvPr id="6" name="직사각형 5">
          <a:extLst>
            <a:ext uri="{FF2B5EF4-FFF2-40B4-BE49-F238E27FC236}">
              <a16:creationId xmlns:a16="http://schemas.microsoft.com/office/drawing/2014/main" id="{E4581B96-208A-476B-B249-FE0F95EB873E}"/>
            </a:ext>
          </a:extLst>
        </xdr:cNvPr>
        <xdr:cNvSpPr/>
      </xdr:nvSpPr>
      <xdr:spPr>
        <a:xfrm>
          <a:off x="390525" y="1371600"/>
          <a:ext cx="819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15</xdr:col>
      <xdr:colOff>0</xdr:colOff>
      <xdr:row>21</xdr:row>
      <xdr:rowOff>19050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B95B54D8-730D-4B09-8FA5-A827173E1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742951</xdr:colOff>
      <xdr:row>2</xdr:row>
      <xdr:rowOff>0</xdr:rowOff>
    </xdr:from>
    <xdr:to>
      <xdr:col>15</xdr:col>
      <xdr:colOff>0</xdr:colOff>
      <xdr:row>10</xdr:row>
      <xdr:rowOff>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2EA73B84-2520-4077-25FE-1634B71CF00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6</xdr:row>
      <xdr:rowOff>19050</xdr:rowOff>
    </xdr:from>
    <xdr:to>
      <xdr:col>1</xdr:col>
      <xdr:colOff>857250</xdr:colOff>
      <xdr:row>6</xdr:row>
      <xdr:rowOff>285750</xdr:rowOff>
    </xdr:to>
    <xdr:sp macro="[0]!이동_부채관리" textlink="">
      <xdr:nvSpPr>
        <xdr:cNvPr id="11" name="직사각형 10">
          <a:extLst>
            <a:ext uri="{FF2B5EF4-FFF2-40B4-BE49-F238E27FC236}">
              <a16:creationId xmlns:a16="http://schemas.microsoft.com/office/drawing/2014/main" id="{6F4717A9-6C27-4322-8ACE-3F15398ED111}"/>
            </a:ext>
          </a:extLst>
        </xdr:cNvPr>
        <xdr:cNvSpPr/>
      </xdr:nvSpPr>
      <xdr:spPr>
        <a:xfrm>
          <a:off x="390525" y="2314575"/>
          <a:ext cx="819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161925</xdr:rowOff>
    </xdr:from>
    <xdr:to>
      <xdr:col>1</xdr:col>
      <xdr:colOff>185200</xdr:colOff>
      <xdr:row>0</xdr:row>
      <xdr:rowOff>354806</xdr:rowOff>
    </xdr:to>
    <xdr:sp macro="[0]!이동_자산현황" textlink="">
      <xdr:nvSpPr>
        <xdr:cNvPr id="2" name="직사각형 1">
          <a:extLst>
            <a:ext uri="{FF2B5EF4-FFF2-40B4-BE49-F238E27FC236}">
              <a16:creationId xmlns:a16="http://schemas.microsoft.com/office/drawing/2014/main" id="{2C20EAF7-E91A-4689-A6C6-C3837BBE4B03}"/>
            </a:ext>
          </a:extLst>
        </xdr:cNvPr>
        <xdr:cNvSpPr/>
      </xdr:nvSpPr>
      <xdr:spPr>
        <a:xfrm flipH="1">
          <a:off x="381000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161925</xdr:rowOff>
    </xdr:from>
    <xdr:to>
      <xdr:col>1</xdr:col>
      <xdr:colOff>185200</xdr:colOff>
      <xdr:row>0</xdr:row>
      <xdr:rowOff>354806</xdr:rowOff>
    </xdr:to>
    <xdr:sp macro="[0]!이동_자산현황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 flipH="1">
          <a:off x="381000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161925</xdr:rowOff>
    </xdr:from>
    <xdr:to>
      <xdr:col>1</xdr:col>
      <xdr:colOff>175675</xdr:colOff>
      <xdr:row>0</xdr:row>
      <xdr:rowOff>354806</xdr:rowOff>
    </xdr:to>
    <xdr:sp macro="[0]!이동_자산현황" textlink="">
      <xdr:nvSpPr>
        <xdr:cNvPr id="2" name="직사각형 1">
          <a:extLst>
            <a:ext uri="{FF2B5EF4-FFF2-40B4-BE49-F238E27FC236}">
              <a16:creationId xmlns:a16="http://schemas.microsoft.com/office/drawing/2014/main" id="{CA79BA1C-1F5C-4FD9-B494-045A84918AD9}"/>
            </a:ext>
          </a:extLst>
        </xdr:cNvPr>
        <xdr:cNvSpPr/>
      </xdr:nvSpPr>
      <xdr:spPr>
        <a:xfrm flipH="1">
          <a:off x="37147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161925</xdr:rowOff>
    </xdr:from>
    <xdr:to>
      <xdr:col>1</xdr:col>
      <xdr:colOff>175675</xdr:colOff>
      <xdr:row>0</xdr:row>
      <xdr:rowOff>354806</xdr:rowOff>
    </xdr:to>
    <xdr:sp macro="[0]!이동_자산현황" textlink="">
      <xdr:nvSpPr>
        <xdr:cNvPr id="2" name="직사각형 1">
          <a:extLst>
            <a:ext uri="{FF2B5EF4-FFF2-40B4-BE49-F238E27FC236}">
              <a16:creationId xmlns:a16="http://schemas.microsoft.com/office/drawing/2014/main" id="{F28A4C54-BEA5-4FDE-A6E0-983208693A26}"/>
            </a:ext>
          </a:extLst>
        </xdr:cNvPr>
        <xdr:cNvSpPr/>
      </xdr:nvSpPr>
      <xdr:spPr>
        <a:xfrm flipH="1">
          <a:off x="37147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161925</xdr:rowOff>
    </xdr:from>
    <xdr:to>
      <xdr:col>1</xdr:col>
      <xdr:colOff>175675</xdr:colOff>
      <xdr:row>0</xdr:row>
      <xdr:rowOff>354806</xdr:rowOff>
    </xdr:to>
    <xdr:sp macro="[0]!이동_자산현황" textlink="">
      <xdr:nvSpPr>
        <xdr:cNvPr id="2" name="직사각형 1">
          <a:extLst>
            <a:ext uri="{FF2B5EF4-FFF2-40B4-BE49-F238E27FC236}">
              <a16:creationId xmlns:a16="http://schemas.microsoft.com/office/drawing/2014/main" id="{562662F5-E2BE-487A-BCFE-6CD38EA4C43C}"/>
            </a:ext>
          </a:extLst>
        </xdr:cNvPr>
        <xdr:cNvSpPr/>
      </xdr:nvSpPr>
      <xdr:spPr>
        <a:xfrm flipH="1">
          <a:off x="37147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3</xdr:col>
      <xdr:colOff>76200</xdr:colOff>
      <xdr:row>6</xdr:row>
      <xdr:rowOff>57150</xdr:rowOff>
    </xdr:from>
    <xdr:to>
      <xdr:col>3</xdr:col>
      <xdr:colOff>1504950</xdr:colOff>
      <xdr:row>6</xdr:row>
      <xdr:rowOff>257175</xdr:rowOff>
    </xdr:to>
    <xdr:sp macro="[0]!이동_대출1" textlink="">
      <xdr:nvSpPr>
        <xdr:cNvPr id="3" name="직사각형 2">
          <a:extLst>
            <a:ext uri="{FF2B5EF4-FFF2-40B4-BE49-F238E27FC236}">
              <a16:creationId xmlns:a16="http://schemas.microsoft.com/office/drawing/2014/main" id="{1EB85DDB-6AE4-4B79-A2A4-9FB6B4CEE5FB}"/>
            </a:ext>
          </a:extLst>
        </xdr:cNvPr>
        <xdr:cNvSpPr/>
      </xdr:nvSpPr>
      <xdr:spPr>
        <a:xfrm>
          <a:off x="1590675" y="1933575"/>
          <a:ext cx="14287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76200</xdr:colOff>
      <xdr:row>7</xdr:row>
      <xdr:rowOff>61913</xdr:rowOff>
    </xdr:from>
    <xdr:to>
      <xdr:col>3</xdr:col>
      <xdr:colOff>1504950</xdr:colOff>
      <xdr:row>7</xdr:row>
      <xdr:rowOff>261938</xdr:rowOff>
    </xdr:to>
    <xdr:sp macro="[0]!이동_대출2" textlink="">
      <xdr:nvSpPr>
        <xdr:cNvPr id="4" name="직사각형 3">
          <a:extLst>
            <a:ext uri="{FF2B5EF4-FFF2-40B4-BE49-F238E27FC236}">
              <a16:creationId xmlns:a16="http://schemas.microsoft.com/office/drawing/2014/main" id="{9F67EDA9-9DB4-4251-A3F4-D3343A9C78A8}"/>
            </a:ext>
          </a:extLst>
        </xdr:cNvPr>
        <xdr:cNvSpPr/>
      </xdr:nvSpPr>
      <xdr:spPr>
        <a:xfrm>
          <a:off x="1590675" y="2252663"/>
          <a:ext cx="14287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76200</xdr:colOff>
      <xdr:row>8</xdr:row>
      <xdr:rowOff>66675</xdr:rowOff>
    </xdr:from>
    <xdr:to>
      <xdr:col>3</xdr:col>
      <xdr:colOff>1504950</xdr:colOff>
      <xdr:row>8</xdr:row>
      <xdr:rowOff>266700</xdr:rowOff>
    </xdr:to>
    <xdr:sp macro="[0]!이동_대출3" textlink="">
      <xdr:nvSpPr>
        <xdr:cNvPr id="5" name="직사각형 4">
          <a:extLst>
            <a:ext uri="{FF2B5EF4-FFF2-40B4-BE49-F238E27FC236}">
              <a16:creationId xmlns:a16="http://schemas.microsoft.com/office/drawing/2014/main" id="{ADCE659B-104D-4C15-B3B6-6F07735C5B22}"/>
            </a:ext>
          </a:extLst>
        </xdr:cNvPr>
        <xdr:cNvSpPr/>
      </xdr:nvSpPr>
      <xdr:spPr>
        <a:xfrm>
          <a:off x="1590675" y="2571750"/>
          <a:ext cx="14287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161925</xdr:rowOff>
    </xdr:from>
    <xdr:to>
      <xdr:col>1</xdr:col>
      <xdr:colOff>194725</xdr:colOff>
      <xdr:row>0</xdr:row>
      <xdr:rowOff>354806</xdr:rowOff>
    </xdr:to>
    <xdr:sp macro="[0]!이동_부채관리" textlink="">
      <xdr:nvSpPr>
        <xdr:cNvPr id="2" name="직사각형 1">
          <a:extLst>
            <a:ext uri="{FF2B5EF4-FFF2-40B4-BE49-F238E27FC236}">
              <a16:creationId xmlns:a16="http://schemas.microsoft.com/office/drawing/2014/main" id="{5A3A9388-7A7F-46C7-9368-9FA0BB3B759D}"/>
            </a:ext>
          </a:extLst>
        </xdr:cNvPr>
        <xdr:cNvSpPr/>
      </xdr:nvSpPr>
      <xdr:spPr>
        <a:xfrm flipH="1">
          <a:off x="39052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161925</xdr:rowOff>
    </xdr:from>
    <xdr:to>
      <xdr:col>1</xdr:col>
      <xdr:colOff>194725</xdr:colOff>
      <xdr:row>0</xdr:row>
      <xdr:rowOff>354806</xdr:rowOff>
    </xdr:to>
    <xdr:sp macro="[0]!이동_부채관리" textlink="">
      <xdr:nvSpPr>
        <xdr:cNvPr id="2" name="직사각형 1">
          <a:extLst>
            <a:ext uri="{FF2B5EF4-FFF2-40B4-BE49-F238E27FC236}">
              <a16:creationId xmlns:a16="http://schemas.microsoft.com/office/drawing/2014/main" id="{5279FE6A-C987-460C-8881-AA07D4026868}"/>
            </a:ext>
          </a:extLst>
        </xdr:cNvPr>
        <xdr:cNvSpPr/>
      </xdr:nvSpPr>
      <xdr:spPr>
        <a:xfrm flipH="1">
          <a:off x="39052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161925</xdr:rowOff>
    </xdr:from>
    <xdr:to>
      <xdr:col>1</xdr:col>
      <xdr:colOff>194725</xdr:colOff>
      <xdr:row>0</xdr:row>
      <xdr:rowOff>354806</xdr:rowOff>
    </xdr:to>
    <xdr:sp macro="[0]!이동_부채관리" textlink="">
      <xdr:nvSpPr>
        <xdr:cNvPr id="2" name="직사각형 1">
          <a:extLst>
            <a:ext uri="{FF2B5EF4-FFF2-40B4-BE49-F238E27FC236}">
              <a16:creationId xmlns:a16="http://schemas.microsoft.com/office/drawing/2014/main" id="{9807EE02-307B-46F7-9493-04167224E2C5}"/>
            </a:ext>
          </a:extLst>
        </xdr:cNvPr>
        <xdr:cNvSpPr/>
      </xdr:nvSpPr>
      <xdr:spPr>
        <a:xfrm flipH="1">
          <a:off x="390525" y="161925"/>
          <a:ext cx="156625" cy="19288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nk/Dropbox/Onedrive/&#50641;&#49472;%20&#47564;&#45380;&#45804;&#47141;/&#50656;&#53412;_&#50641;&#49472;&#47564;&#45380;&#45804;&#47141;_ver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사용안내"/>
      <sheetName val="연간"/>
      <sheetName val="달력"/>
      <sheetName val="색상"/>
      <sheetName val="일정"/>
      <sheetName val="공휴일"/>
      <sheetName val="디데이"/>
      <sheetName val="이름지정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B6" t="str">
            <v>날짜</v>
          </cell>
          <cell r="C6" t="str">
            <v>요일</v>
          </cell>
          <cell r="D6" t="str">
            <v>일정1 내용</v>
          </cell>
          <cell r="E6" t="str">
            <v>일정1 범례</v>
          </cell>
          <cell r="F6" t="str">
            <v>일정2 내용</v>
          </cell>
          <cell r="G6" t="str">
            <v>일정2 범례</v>
          </cell>
          <cell r="H6" t="str">
            <v>일정3 내용</v>
          </cell>
          <cell r="I6" t="str">
            <v>일정3 범례</v>
          </cell>
          <cell r="J6" t="str">
            <v>일정4 내용</v>
          </cell>
          <cell r="K6" t="str">
            <v>일정4 범례</v>
          </cell>
          <cell r="L6" t="str">
            <v>일정5 내용</v>
          </cell>
          <cell r="M6" t="str">
            <v>일정5 범례</v>
          </cell>
        </row>
        <row r="7">
          <cell r="B7">
            <v>44927</v>
          </cell>
          <cell r="C7" t="str">
            <v>일</v>
          </cell>
        </row>
        <row r="8">
          <cell r="B8">
            <v>44928</v>
          </cell>
          <cell r="C8" t="str">
            <v>월</v>
          </cell>
        </row>
        <row r="9">
          <cell r="B9">
            <v>44929</v>
          </cell>
          <cell r="C9" t="str">
            <v>화</v>
          </cell>
        </row>
        <row r="10">
          <cell r="B10">
            <v>44930</v>
          </cell>
          <cell r="C10" t="str">
            <v>수</v>
          </cell>
        </row>
        <row r="11">
          <cell r="B11">
            <v>44931</v>
          </cell>
          <cell r="C11" t="str">
            <v>목</v>
          </cell>
        </row>
        <row r="12">
          <cell r="B12">
            <v>44932</v>
          </cell>
          <cell r="C12" t="str">
            <v>금</v>
          </cell>
        </row>
        <row r="13">
          <cell r="B13">
            <v>44933</v>
          </cell>
          <cell r="C13" t="str">
            <v>토</v>
          </cell>
        </row>
        <row r="14">
          <cell r="B14">
            <v>44934</v>
          </cell>
          <cell r="C14" t="str">
            <v>일</v>
          </cell>
        </row>
        <row r="15">
          <cell r="B15">
            <v>44935</v>
          </cell>
          <cell r="C15" t="str">
            <v>월</v>
          </cell>
        </row>
        <row r="16">
          <cell r="B16">
            <v>44936</v>
          </cell>
          <cell r="C16" t="str">
            <v>화</v>
          </cell>
        </row>
        <row r="17">
          <cell r="B17">
            <v>44937</v>
          </cell>
          <cell r="C17" t="str">
            <v>수</v>
          </cell>
        </row>
        <row r="18">
          <cell r="B18">
            <v>44938</v>
          </cell>
          <cell r="C18" t="str">
            <v>목</v>
          </cell>
        </row>
        <row r="19">
          <cell r="B19">
            <v>44939</v>
          </cell>
          <cell r="C19" t="str">
            <v>금</v>
          </cell>
        </row>
        <row r="20">
          <cell r="B20">
            <v>44940</v>
          </cell>
          <cell r="C20" t="str">
            <v>토</v>
          </cell>
        </row>
        <row r="21">
          <cell r="B21">
            <v>44941</v>
          </cell>
          <cell r="C21" t="str">
            <v>일</v>
          </cell>
        </row>
        <row r="22">
          <cell r="B22">
            <v>44942</v>
          </cell>
          <cell r="C22" t="str">
            <v>월</v>
          </cell>
        </row>
        <row r="23">
          <cell r="B23">
            <v>44943</v>
          </cell>
          <cell r="C23" t="str">
            <v>화</v>
          </cell>
        </row>
        <row r="24">
          <cell r="B24">
            <v>44944</v>
          </cell>
          <cell r="C24" t="str">
            <v>수</v>
          </cell>
        </row>
        <row r="25">
          <cell r="B25">
            <v>44945</v>
          </cell>
          <cell r="C25" t="str">
            <v>목</v>
          </cell>
        </row>
        <row r="26">
          <cell r="B26">
            <v>44946</v>
          </cell>
          <cell r="C26" t="str">
            <v>금</v>
          </cell>
        </row>
        <row r="27">
          <cell r="B27">
            <v>44947</v>
          </cell>
          <cell r="C27" t="str">
            <v>토</v>
          </cell>
        </row>
        <row r="28">
          <cell r="B28">
            <v>44948</v>
          </cell>
          <cell r="C28" t="str">
            <v>일</v>
          </cell>
        </row>
        <row r="29">
          <cell r="B29">
            <v>44949</v>
          </cell>
          <cell r="C29" t="str">
            <v>월</v>
          </cell>
        </row>
        <row r="30">
          <cell r="B30">
            <v>44950</v>
          </cell>
          <cell r="C30" t="str">
            <v>화</v>
          </cell>
        </row>
        <row r="31">
          <cell r="B31">
            <v>44951</v>
          </cell>
          <cell r="C31" t="str">
            <v>수</v>
          </cell>
        </row>
        <row r="32">
          <cell r="B32">
            <v>44952</v>
          </cell>
          <cell r="C32" t="str">
            <v>목</v>
          </cell>
        </row>
        <row r="33">
          <cell r="B33">
            <v>44953</v>
          </cell>
          <cell r="C33" t="str">
            <v>금</v>
          </cell>
        </row>
        <row r="34">
          <cell r="B34">
            <v>44954</v>
          </cell>
          <cell r="C34" t="str">
            <v>토</v>
          </cell>
        </row>
        <row r="35">
          <cell r="B35">
            <v>44955</v>
          </cell>
          <cell r="C35" t="str">
            <v>일</v>
          </cell>
        </row>
        <row r="36">
          <cell r="B36">
            <v>44956</v>
          </cell>
          <cell r="C36" t="str">
            <v>월</v>
          </cell>
        </row>
        <row r="37">
          <cell r="B37">
            <v>44957</v>
          </cell>
          <cell r="C37" t="str">
            <v>화</v>
          </cell>
        </row>
        <row r="38">
          <cell r="B38">
            <v>44958</v>
          </cell>
          <cell r="C38" t="str">
            <v>수</v>
          </cell>
        </row>
        <row r="39">
          <cell r="B39">
            <v>44959</v>
          </cell>
          <cell r="C39" t="str">
            <v>목</v>
          </cell>
        </row>
        <row r="40">
          <cell r="B40">
            <v>44960</v>
          </cell>
          <cell r="C40" t="str">
            <v>금</v>
          </cell>
        </row>
        <row r="41">
          <cell r="B41">
            <v>44961</v>
          </cell>
          <cell r="C41" t="str">
            <v>토</v>
          </cell>
        </row>
        <row r="42">
          <cell r="B42">
            <v>44962</v>
          </cell>
          <cell r="C42" t="str">
            <v>일</v>
          </cell>
        </row>
        <row r="43">
          <cell r="B43">
            <v>44963</v>
          </cell>
          <cell r="C43" t="str">
            <v>월</v>
          </cell>
        </row>
        <row r="44">
          <cell r="B44">
            <v>44964</v>
          </cell>
          <cell r="C44" t="str">
            <v>화</v>
          </cell>
        </row>
        <row r="45">
          <cell r="B45">
            <v>44965</v>
          </cell>
          <cell r="C45" t="str">
            <v>수</v>
          </cell>
        </row>
        <row r="46">
          <cell r="B46">
            <v>44966</v>
          </cell>
          <cell r="C46" t="str">
            <v>목</v>
          </cell>
        </row>
        <row r="47">
          <cell r="B47">
            <v>44967</v>
          </cell>
          <cell r="C47" t="str">
            <v>금</v>
          </cell>
        </row>
        <row r="48">
          <cell r="B48">
            <v>44968</v>
          </cell>
          <cell r="C48" t="str">
            <v>토</v>
          </cell>
        </row>
        <row r="49">
          <cell r="B49">
            <v>44969</v>
          </cell>
          <cell r="C49" t="str">
            <v>일</v>
          </cell>
        </row>
        <row r="50">
          <cell r="B50">
            <v>44970</v>
          </cell>
          <cell r="C50" t="str">
            <v>월</v>
          </cell>
        </row>
        <row r="51">
          <cell r="B51">
            <v>44971</v>
          </cell>
          <cell r="C51" t="str">
            <v>화</v>
          </cell>
        </row>
        <row r="52">
          <cell r="B52">
            <v>44972</v>
          </cell>
          <cell r="C52" t="str">
            <v>수</v>
          </cell>
        </row>
        <row r="53">
          <cell r="B53">
            <v>44973</v>
          </cell>
          <cell r="C53" t="str">
            <v>목</v>
          </cell>
        </row>
        <row r="54">
          <cell r="B54">
            <v>44974</v>
          </cell>
          <cell r="C54" t="str">
            <v>금</v>
          </cell>
        </row>
        <row r="55">
          <cell r="B55">
            <v>44975</v>
          </cell>
          <cell r="C55" t="str">
            <v>토</v>
          </cell>
        </row>
        <row r="56">
          <cell r="B56">
            <v>44976</v>
          </cell>
          <cell r="C56" t="str">
            <v>일</v>
          </cell>
        </row>
        <row r="57">
          <cell r="B57">
            <v>44977</v>
          </cell>
          <cell r="C57" t="str">
            <v>월</v>
          </cell>
        </row>
        <row r="58">
          <cell r="B58">
            <v>44978</v>
          </cell>
          <cell r="C58" t="str">
            <v>화</v>
          </cell>
        </row>
        <row r="59">
          <cell r="B59">
            <v>44979</v>
          </cell>
          <cell r="C59" t="str">
            <v>수</v>
          </cell>
        </row>
        <row r="60">
          <cell r="B60">
            <v>44980</v>
          </cell>
          <cell r="C60" t="str">
            <v>목</v>
          </cell>
        </row>
        <row r="61">
          <cell r="B61">
            <v>44981</v>
          </cell>
          <cell r="C61" t="str">
            <v>금</v>
          </cell>
        </row>
        <row r="62">
          <cell r="B62">
            <v>44982</v>
          </cell>
          <cell r="C62" t="str">
            <v>토</v>
          </cell>
        </row>
        <row r="63">
          <cell r="B63">
            <v>44983</v>
          </cell>
          <cell r="C63" t="str">
            <v>일</v>
          </cell>
        </row>
        <row r="64">
          <cell r="B64">
            <v>44984</v>
          </cell>
          <cell r="C64" t="str">
            <v>월</v>
          </cell>
        </row>
        <row r="65">
          <cell r="B65">
            <v>44985</v>
          </cell>
          <cell r="C65" t="str">
            <v>화</v>
          </cell>
        </row>
        <row r="66">
          <cell r="B66">
            <v>44986</v>
          </cell>
          <cell r="C66" t="str">
            <v>수</v>
          </cell>
        </row>
        <row r="67">
          <cell r="B67">
            <v>44987</v>
          </cell>
          <cell r="C67" t="str">
            <v>목</v>
          </cell>
        </row>
        <row r="68">
          <cell r="B68">
            <v>44988</v>
          </cell>
          <cell r="C68" t="str">
            <v>금</v>
          </cell>
        </row>
        <row r="69">
          <cell r="B69">
            <v>44989</v>
          </cell>
          <cell r="C69" t="str">
            <v>토</v>
          </cell>
        </row>
        <row r="70">
          <cell r="B70">
            <v>44990</v>
          </cell>
          <cell r="C70" t="str">
            <v>일</v>
          </cell>
        </row>
        <row r="71">
          <cell r="B71">
            <v>44991</v>
          </cell>
          <cell r="C71" t="str">
            <v>월</v>
          </cell>
        </row>
        <row r="72">
          <cell r="B72">
            <v>44992</v>
          </cell>
          <cell r="C72" t="str">
            <v>화</v>
          </cell>
        </row>
        <row r="73">
          <cell r="B73">
            <v>44993</v>
          </cell>
          <cell r="C73" t="str">
            <v>수</v>
          </cell>
        </row>
        <row r="74">
          <cell r="B74">
            <v>44994</v>
          </cell>
          <cell r="C74" t="str">
            <v>목</v>
          </cell>
        </row>
        <row r="75">
          <cell r="B75">
            <v>44995</v>
          </cell>
          <cell r="C75" t="str">
            <v>금</v>
          </cell>
        </row>
        <row r="76">
          <cell r="B76">
            <v>44996</v>
          </cell>
          <cell r="C76" t="str">
            <v>토</v>
          </cell>
        </row>
        <row r="77">
          <cell r="B77">
            <v>44997</v>
          </cell>
          <cell r="C77" t="str">
            <v>일</v>
          </cell>
        </row>
        <row r="78">
          <cell r="B78">
            <v>44998</v>
          </cell>
          <cell r="C78" t="str">
            <v>월</v>
          </cell>
        </row>
        <row r="79">
          <cell r="B79">
            <v>44999</v>
          </cell>
          <cell r="C79" t="str">
            <v>화</v>
          </cell>
        </row>
        <row r="80">
          <cell r="B80">
            <v>45000</v>
          </cell>
          <cell r="C80" t="str">
            <v>수</v>
          </cell>
        </row>
        <row r="81">
          <cell r="B81">
            <v>45001</v>
          </cell>
          <cell r="C81" t="str">
            <v>목</v>
          </cell>
        </row>
        <row r="82">
          <cell r="B82">
            <v>45002</v>
          </cell>
          <cell r="C82" t="str">
            <v>금</v>
          </cell>
        </row>
        <row r="83">
          <cell r="B83">
            <v>45003</v>
          </cell>
          <cell r="C83" t="str">
            <v>토</v>
          </cell>
        </row>
        <row r="84">
          <cell r="B84">
            <v>45004</v>
          </cell>
          <cell r="C84" t="str">
            <v>일</v>
          </cell>
        </row>
        <row r="85">
          <cell r="B85">
            <v>45005</v>
          </cell>
          <cell r="C85" t="str">
            <v>월</v>
          </cell>
        </row>
        <row r="86">
          <cell r="B86">
            <v>45006</v>
          </cell>
          <cell r="C86" t="str">
            <v>화</v>
          </cell>
        </row>
        <row r="87">
          <cell r="B87">
            <v>45007</v>
          </cell>
          <cell r="C87" t="str">
            <v>수</v>
          </cell>
        </row>
        <row r="88">
          <cell r="B88">
            <v>45008</v>
          </cell>
          <cell r="C88" t="str">
            <v>목</v>
          </cell>
        </row>
        <row r="89">
          <cell r="B89">
            <v>45009</v>
          </cell>
          <cell r="C89" t="str">
            <v>금</v>
          </cell>
        </row>
        <row r="90">
          <cell r="B90">
            <v>45010</v>
          </cell>
          <cell r="C90" t="str">
            <v>토</v>
          </cell>
        </row>
        <row r="91">
          <cell r="B91">
            <v>45011</v>
          </cell>
          <cell r="C91" t="str">
            <v>일</v>
          </cell>
        </row>
        <row r="92">
          <cell r="B92">
            <v>45012</v>
          </cell>
          <cell r="C92" t="str">
            <v>월</v>
          </cell>
        </row>
        <row r="93">
          <cell r="B93">
            <v>45013</v>
          </cell>
          <cell r="C93" t="str">
            <v>화</v>
          </cell>
        </row>
        <row r="94">
          <cell r="B94">
            <v>45014</v>
          </cell>
          <cell r="C94" t="str">
            <v>수</v>
          </cell>
        </row>
        <row r="95">
          <cell r="B95">
            <v>45015</v>
          </cell>
          <cell r="C95" t="str">
            <v>목</v>
          </cell>
        </row>
        <row r="96">
          <cell r="B96">
            <v>45016</v>
          </cell>
          <cell r="C96" t="str">
            <v>금</v>
          </cell>
        </row>
        <row r="97">
          <cell r="B97">
            <v>45017</v>
          </cell>
          <cell r="C97" t="str">
            <v>토</v>
          </cell>
        </row>
        <row r="98">
          <cell r="B98">
            <v>45018</v>
          </cell>
          <cell r="C98" t="str">
            <v>일</v>
          </cell>
        </row>
        <row r="99">
          <cell r="B99">
            <v>45019</v>
          </cell>
          <cell r="C99" t="str">
            <v>월</v>
          </cell>
        </row>
        <row r="100">
          <cell r="B100">
            <v>45020</v>
          </cell>
          <cell r="C100" t="str">
            <v>화</v>
          </cell>
        </row>
        <row r="101">
          <cell r="B101">
            <v>45021</v>
          </cell>
          <cell r="C101" t="str">
            <v>수</v>
          </cell>
        </row>
        <row r="102">
          <cell r="B102">
            <v>45022</v>
          </cell>
          <cell r="C102" t="str">
            <v>목</v>
          </cell>
        </row>
        <row r="103">
          <cell r="B103">
            <v>45023</v>
          </cell>
          <cell r="C103" t="str">
            <v>금</v>
          </cell>
        </row>
        <row r="104">
          <cell r="B104">
            <v>45024</v>
          </cell>
          <cell r="C104" t="str">
            <v>토</v>
          </cell>
        </row>
        <row r="105">
          <cell r="B105">
            <v>45025</v>
          </cell>
          <cell r="C105" t="str">
            <v>일</v>
          </cell>
        </row>
        <row r="106">
          <cell r="B106">
            <v>45026</v>
          </cell>
          <cell r="C106" t="str">
            <v>월</v>
          </cell>
        </row>
        <row r="107">
          <cell r="B107">
            <v>45027</v>
          </cell>
          <cell r="C107" t="str">
            <v>화</v>
          </cell>
        </row>
        <row r="108">
          <cell r="B108">
            <v>45028</v>
          </cell>
          <cell r="C108" t="str">
            <v>수</v>
          </cell>
        </row>
        <row r="109">
          <cell r="B109">
            <v>45029</v>
          </cell>
          <cell r="C109" t="str">
            <v>목</v>
          </cell>
        </row>
        <row r="110">
          <cell r="B110">
            <v>45030</v>
          </cell>
          <cell r="C110" t="str">
            <v>금</v>
          </cell>
        </row>
        <row r="111">
          <cell r="B111">
            <v>45031</v>
          </cell>
          <cell r="C111" t="str">
            <v>토</v>
          </cell>
        </row>
        <row r="112">
          <cell r="B112">
            <v>45032</v>
          </cell>
          <cell r="C112" t="str">
            <v>일</v>
          </cell>
        </row>
        <row r="113">
          <cell r="B113">
            <v>45033</v>
          </cell>
          <cell r="C113" t="str">
            <v>월</v>
          </cell>
        </row>
        <row r="114">
          <cell r="B114">
            <v>45034</v>
          </cell>
          <cell r="C114" t="str">
            <v>화</v>
          </cell>
        </row>
        <row r="115">
          <cell r="B115">
            <v>45035</v>
          </cell>
          <cell r="C115" t="str">
            <v>수</v>
          </cell>
        </row>
        <row r="116">
          <cell r="B116">
            <v>45036</v>
          </cell>
          <cell r="C116" t="str">
            <v>목</v>
          </cell>
        </row>
        <row r="117">
          <cell r="B117">
            <v>45037</v>
          </cell>
          <cell r="C117" t="str">
            <v>금</v>
          </cell>
        </row>
        <row r="118">
          <cell r="B118">
            <v>45038</v>
          </cell>
          <cell r="C118" t="str">
            <v>토</v>
          </cell>
        </row>
        <row r="119">
          <cell r="B119">
            <v>45039</v>
          </cell>
          <cell r="C119" t="str">
            <v>일</v>
          </cell>
        </row>
        <row r="120">
          <cell r="B120">
            <v>45040</v>
          </cell>
          <cell r="C120" t="str">
            <v>월</v>
          </cell>
        </row>
        <row r="121">
          <cell r="B121">
            <v>45041</v>
          </cell>
          <cell r="C121" t="str">
            <v>화</v>
          </cell>
        </row>
        <row r="122">
          <cell r="B122">
            <v>45042</v>
          </cell>
          <cell r="C122" t="str">
            <v>수</v>
          </cell>
        </row>
        <row r="123">
          <cell r="B123">
            <v>45043</v>
          </cell>
          <cell r="C123" t="str">
            <v>목</v>
          </cell>
        </row>
        <row r="124">
          <cell r="B124">
            <v>45044</v>
          </cell>
          <cell r="C124" t="str">
            <v>금</v>
          </cell>
        </row>
        <row r="125">
          <cell r="B125">
            <v>45045</v>
          </cell>
          <cell r="C125" t="str">
            <v>토</v>
          </cell>
        </row>
        <row r="126">
          <cell r="B126">
            <v>45046</v>
          </cell>
          <cell r="C126" t="str">
            <v>일</v>
          </cell>
        </row>
        <row r="127">
          <cell r="B127">
            <v>45047</v>
          </cell>
          <cell r="C127" t="str">
            <v>월</v>
          </cell>
        </row>
        <row r="128">
          <cell r="B128">
            <v>45048</v>
          </cell>
          <cell r="C128" t="str">
            <v>화</v>
          </cell>
        </row>
        <row r="129">
          <cell r="B129">
            <v>45049</v>
          </cell>
          <cell r="C129" t="str">
            <v>수</v>
          </cell>
        </row>
        <row r="130">
          <cell r="B130">
            <v>45050</v>
          </cell>
          <cell r="C130" t="str">
            <v>목</v>
          </cell>
        </row>
        <row r="131">
          <cell r="B131">
            <v>45051</v>
          </cell>
          <cell r="C131" t="str">
            <v>금</v>
          </cell>
        </row>
        <row r="132">
          <cell r="B132">
            <v>45052</v>
          </cell>
          <cell r="C132" t="str">
            <v>토</v>
          </cell>
        </row>
        <row r="133">
          <cell r="B133">
            <v>45053</v>
          </cell>
          <cell r="C133" t="str">
            <v>일</v>
          </cell>
        </row>
        <row r="134">
          <cell r="B134">
            <v>45054</v>
          </cell>
          <cell r="C134" t="str">
            <v>월</v>
          </cell>
        </row>
        <row r="135">
          <cell r="B135">
            <v>45055</v>
          </cell>
          <cell r="C135" t="str">
            <v>화</v>
          </cell>
        </row>
        <row r="136">
          <cell r="B136">
            <v>45056</v>
          </cell>
          <cell r="C136" t="str">
            <v>수</v>
          </cell>
        </row>
        <row r="137">
          <cell r="B137">
            <v>45057</v>
          </cell>
          <cell r="C137" t="str">
            <v>목</v>
          </cell>
        </row>
        <row r="138">
          <cell r="B138">
            <v>45058</v>
          </cell>
          <cell r="C138" t="str">
            <v>금</v>
          </cell>
        </row>
        <row r="139">
          <cell r="B139">
            <v>45059</v>
          </cell>
          <cell r="C139" t="str">
            <v>토</v>
          </cell>
        </row>
        <row r="140">
          <cell r="B140">
            <v>45060</v>
          </cell>
          <cell r="C140" t="str">
            <v>일</v>
          </cell>
        </row>
        <row r="141">
          <cell r="B141">
            <v>45061</v>
          </cell>
          <cell r="C141" t="str">
            <v>월</v>
          </cell>
        </row>
        <row r="142">
          <cell r="B142">
            <v>45062</v>
          </cell>
          <cell r="C142" t="str">
            <v>화</v>
          </cell>
        </row>
        <row r="143">
          <cell r="B143">
            <v>45063</v>
          </cell>
          <cell r="C143" t="str">
            <v>수</v>
          </cell>
        </row>
        <row r="144">
          <cell r="B144">
            <v>45064</v>
          </cell>
          <cell r="C144" t="str">
            <v>목</v>
          </cell>
        </row>
        <row r="145">
          <cell r="B145">
            <v>45065</v>
          </cell>
          <cell r="C145" t="str">
            <v>금</v>
          </cell>
        </row>
        <row r="146">
          <cell r="B146">
            <v>45066</v>
          </cell>
          <cell r="C146" t="str">
            <v>토</v>
          </cell>
        </row>
        <row r="147">
          <cell r="B147">
            <v>45067</v>
          </cell>
          <cell r="C147" t="str">
            <v>일</v>
          </cell>
        </row>
        <row r="148">
          <cell r="B148">
            <v>45068</v>
          </cell>
          <cell r="C148" t="str">
            <v>월</v>
          </cell>
        </row>
        <row r="149">
          <cell r="B149">
            <v>45069</v>
          </cell>
          <cell r="C149" t="str">
            <v>화</v>
          </cell>
        </row>
        <row r="150">
          <cell r="B150">
            <v>45070</v>
          </cell>
          <cell r="C150" t="str">
            <v>수</v>
          </cell>
        </row>
        <row r="151">
          <cell r="B151">
            <v>45071</v>
          </cell>
          <cell r="C151" t="str">
            <v>목</v>
          </cell>
        </row>
        <row r="152">
          <cell r="B152">
            <v>45072</v>
          </cell>
          <cell r="C152" t="str">
            <v>금</v>
          </cell>
        </row>
        <row r="153">
          <cell r="B153">
            <v>45073</v>
          </cell>
          <cell r="C153" t="str">
            <v>토</v>
          </cell>
        </row>
        <row r="154">
          <cell r="B154">
            <v>45074</v>
          </cell>
          <cell r="C154" t="str">
            <v>일</v>
          </cell>
        </row>
        <row r="155">
          <cell r="B155">
            <v>45075</v>
          </cell>
          <cell r="C155" t="str">
            <v>월</v>
          </cell>
        </row>
        <row r="156">
          <cell r="B156">
            <v>45076</v>
          </cell>
          <cell r="C156" t="str">
            <v>화</v>
          </cell>
        </row>
        <row r="157">
          <cell r="B157">
            <v>45077</v>
          </cell>
          <cell r="C157" t="str">
            <v>수</v>
          </cell>
        </row>
        <row r="158">
          <cell r="B158">
            <v>45078</v>
          </cell>
          <cell r="C158" t="str">
            <v>목</v>
          </cell>
        </row>
        <row r="159">
          <cell r="B159">
            <v>45079</v>
          </cell>
          <cell r="C159" t="str">
            <v>금</v>
          </cell>
        </row>
        <row r="160">
          <cell r="B160">
            <v>45080</v>
          </cell>
          <cell r="C160" t="str">
            <v>토</v>
          </cell>
        </row>
        <row r="161">
          <cell r="B161">
            <v>45081</v>
          </cell>
          <cell r="C161" t="str">
            <v>일</v>
          </cell>
        </row>
        <row r="162">
          <cell r="B162">
            <v>45082</v>
          </cell>
          <cell r="C162" t="str">
            <v>월</v>
          </cell>
        </row>
        <row r="163">
          <cell r="B163">
            <v>45083</v>
          </cell>
          <cell r="C163" t="str">
            <v>화</v>
          </cell>
        </row>
        <row r="164">
          <cell r="B164">
            <v>45084</v>
          </cell>
          <cell r="C164" t="str">
            <v>수</v>
          </cell>
        </row>
        <row r="165">
          <cell r="B165">
            <v>45085</v>
          </cell>
          <cell r="C165" t="str">
            <v>목</v>
          </cell>
        </row>
        <row r="166">
          <cell r="B166">
            <v>45086</v>
          </cell>
          <cell r="C166" t="str">
            <v>금</v>
          </cell>
        </row>
        <row r="167">
          <cell r="B167">
            <v>45087</v>
          </cell>
          <cell r="C167" t="str">
            <v>토</v>
          </cell>
        </row>
        <row r="168">
          <cell r="B168">
            <v>45088</v>
          </cell>
          <cell r="C168" t="str">
            <v>일</v>
          </cell>
        </row>
        <row r="169">
          <cell r="B169">
            <v>45089</v>
          </cell>
          <cell r="C169" t="str">
            <v>월</v>
          </cell>
        </row>
        <row r="170">
          <cell r="B170">
            <v>45090</v>
          </cell>
          <cell r="C170" t="str">
            <v>화</v>
          </cell>
        </row>
        <row r="171">
          <cell r="B171">
            <v>45091</v>
          </cell>
          <cell r="C171" t="str">
            <v>수</v>
          </cell>
        </row>
        <row r="172">
          <cell r="B172">
            <v>45092</v>
          </cell>
          <cell r="C172" t="str">
            <v>목</v>
          </cell>
        </row>
        <row r="173">
          <cell r="B173">
            <v>45093</v>
          </cell>
          <cell r="C173" t="str">
            <v>금</v>
          </cell>
        </row>
        <row r="174">
          <cell r="B174">
            <v>45094</v>
          </cell>
          <cell r="C174" t="str">
            <v>토</v>
          </cell>
        </row>
        <row r="175">
          <cell r="B175">
            <v>45095</v>
          </cell>
          <cell r="C175" t="str">
            <v>일</v>
          </cell>
        </row>
        <row r="176">
          <cell r="B176">
            <v>45096</v>
          </cell>
          <cell r="C176" t="str">
            <v>월</v>
          </cell>
        </row>
        <row r="177">
          <cell r="B177">
            <v>45097</v>
          </cell>
          <cell r="C177" t="str">
            <v>화</v>
          </cell>
        </row>
        <row r="178">
          <cell r="B178">
            <v>45098</v>
          </cell>
          <cell r="C178" t="str">
            <v>수</v>
          </cell>
        </row>
        <row r="179">
          <cell r="B179">
            <v>45099</v>
          </cell>
          <cell r="C179" t="str">
            <v>목</v>
          </cell>
        </row>
        <row r="180">
          <cell r="B180">
            <v>45100</v>
          </cell>
          <cell r="C180" t="str">
            <v>금</v>
          </cell>
        </row>
        <row r="181">
          <cell r="B181">
            <v>45101</v>
          </cell>
          <cell r="C181" t="str">
            <v>토</v>
          </cell>
        </row>
        <row r="182">
          <cell r="B182">
            <v>45102</v>
          </cell>
          <cell r="C182" t="str">
            <v>일</v>
          </cell>
        </row>
        <row r="183">
          <cell r="B183">
            <v>45103</v>
          </cell>
          <cell r="C183" t="str">
            <v>월</v>
          </cell>
        </row>
        <row r="184">
          <cell r="B184">
            <v>45104</v>
          </cell>
          <cell r="C184" t="str">
            <v>화</v>
          </cell>
        </row>
        <row r="185">
          <cell r="B185">
            <v>45105</v>
          </cell>
          <cell r="C185" t="str">
            <v>수</v>
          </cell>
        </row>
        <row r="186">
          <cell r="B186">
            <v>45106</v>
          </cell>
          <cell r="C186" t="str">
            <v>목</v>
          </cell>
        </row>
        <row r="187">
          <cell r="B187">
            <v>45107</v>
          </cell>
          <cell r="C187" t="str">
            <v>금</v>
          </cell>
        </row>
        <row r="188">
          <cell r="B188">
            <v>45108</v>
          </cell>
          <cell r="C188" t="str">
            <v>토</v>
          </cell>
        </row>
        <row r="189">
          <cell r="B189">
            <v>45109</v>
          </cell>
          <cell r="C189" t="str">
            <v>일</v>
          </cell>
        </row>
        <row r="190">
          <cell r="B190">
            <v>45110</v>
          </cell>
          <cell r="C190" t="str">
            <v>월</v>
          </cell>
        </row>
        <row r="191">
          <cell r="B191">
            <v>45111</v>
          </cell>
          <cell r="C191" t="str">
            <v>화</v>
          </cell>
        </row>
        <row r="192">
          <cell r="B192">
            <v>45112</v>
          </cell>
          <cell r="C192" t="str">
            <v>수</v>
          </cell>
        </row>
        <row r="193">
          <cell r="B193">
            <v>45113</v>
          </cell>
          <cell r="C193" t="str">
            <v>목</v>
          </cell>
        </row>
        <row r="194">
          <cell r="B194">
            <v>45114</v>
          </cell>
          <cell r="C194" t="str">
            <v>금</v>
          </cell>
        </row>
        <row r="195">
          <cell r="B195">
            <v>45115</v>
          </cell>
          <cell r="C195" t="str">
            <v>토</v>
          </cell>
        </row>
        <row r="196">
          <cell r="B196">
            <v>45116</v>
          </cell>
          <cell r="C196" t="str">
            <v>일</v>
          </cell>
        </row>
        <row r="197">
          <cell r="B197">
            <v>45117</v>
          </cell>
          <cell r="C197" t="str">
            <v>월</v>
          </cell>
        </row>
        <row r="198">
          <cell r="B198">
            <v>45118</v>
          </cell>
          <cell r="C198" t="str">
            <v>화</v>
          </cell>
        </row>
        <row r="199">
          <cell r="B199">
            <v>45119</v>
          </cell>
          <cell r="C199" t="str">
            <v>수</v>
          </cell>
        </row>
        <row r="200">
          <cell r="B200">
            <v>45120</v>
          </cell>
          <cell r="C200" t="str">
            <v>목</v>
          </cell>
        </row>
        <row r="201">
          <cell r="B201">
            <v>45121</v>
          </cell>
          <cell r="C201" t="str">
            <v>금</v>
          </cell>
        </row>
        <row r="202">
          <cell r="B202">
            <v>45122</v>
          </cell>
          <cell r="C202" t="str">
            <v>토</v>
          </cell>
        </row>
        <row r="203">
          <cell r="B203">
            <v>45123</v>
          </cell>
          <cell r="C203" t="str">
            <v>일</v>
          </cell>
        </row>
        <row r="204">
          <cell r="B204">
            <v>45124</v>
          </cell>
          <cell r="C204" t="str">
            <v>월</v>
          </cell>
        </row>
        <row r="205">
          <cell r="B205">
            <v>45125</v>
          </cell>
          <cell r="C205" t="str">
            <v>화</v>
          </cell>
        </row>
        <row r="206">
          <cell r="B206">
            <v>45126</v>
          </cell>
          <cell r="C206" t="str">
            <v>수</v>
          </cell>
        </row>
        <row r="207">
          <cell r="B207">
            <v>45127</v>
          </cell>
          <cell r="C207" t="str">
            <v>목</v>
          </cell>
        </row>
        <row r="208">
          <cell r="B208">
            <v>45128</v>
          </cell>
          <cell r="C208" t="str">
            <v>금</v>
          </cell>
        </row>
        <row r="209">
          <cell r="B209">
            <v>45129</v>
          </cell>
          <cell r="C209" t="str">
            <v>토</v>
          </cell>
        </row>
        <row r="210">
          <cell r="B210">
            <v>45130</v>
          </cell>
          <cell r="C210" t="str">
            <v>일</v>
          </cell>
        </row>
        <row r="211">
          <cell r="B211">
            <v>45131</v>
          </cell>
          <cell r="C211" t="str">
            <v>월</v>
          </cell>
        </row>
        <row r="212">
          <cell r="B212">
            <v>45132</v>
          </cell>
          <cell r="C212" t="str">
            <v>화</v>
          </cell>
        </row>
        <row r="213">
          <cell r="B213">
            <v>45133</v>
          </cell>
          <cell r="C213" t="str">
            <v>수</v>
          </cell>
        </row>
        <row r="214">
          <cell r="B214">
            <v>45134</v>
          </cell>
          <cell r="C214" t="str">
            <v>목</v>
          </cell>
        </row>
        <row r="215">
          <cell r="B215">
            <v>45135</v>
          </cell>
          <cell r="C215" t="str">
            <v>금</v>
          </cell>
        </row>
        <row r="216">
          <cell r="B216">
            <v>45136</v>
          </cell>
          <cell r="C216" t="str">
            <v>토</v>
          </cell>
        </row>
        <row r="217">
          <cell r="B217">
            <v>45137</v>
          </cell>
          <cell r="C217" t="str">
            <v>일</v>
          </cell>
        </row>
        <row r="218">
          <cell r="B218">
            <v>45138</v>
          </cell>
          <cell r="C218" t="str">
            <v>월</v>
          </cell>
        </row>
        <row r="219">
          <cell r="B219">
            <v>45139</v>
          </cell>
          <cell r="C219" t="str">
            <v>화</v>
          </cell>
        </row>
        <row r="220">
          <cell r="B220">
            <v>45140</v>
          </cell>
          <cell r="C220" t="str">
            <v>수</v>
          </cell>
        </row>
        <row r="221">
          <cell r="B221">
            <v>45141</v>
          </cell>
          <cell r="C221" t="str">
            <v>목</v>
          </cell>
        </row>
        <row r="222">
          <cell r="B222">
            <v>45142</v>
          </cell>
          <cell r="C222" t="str">
            <v>금</v>
          </cell>
        </row>
        <row r="223">
          <cell r="B223">
            <v>45143</v>
          </cell>
          <cell r="C223" t="str">
            <v>토</v>
          </cell>
        </row>
        <row r="224">
          <cell r="B224">
            <v>45144</v>
          </cell>
          <cell r="C224" t="str">
            <v>일</v>
          </cell>
        </row>
        <row r="225">
          <cell r="B225">
            <v>45145</v>
          </cell>
          <cell r="C225" t="str">
            <v>월</v>
          </cell>
        </row>
        <row r="226">
          <cell r="B226">
            <v>45146</v>
          </cell>
          <cell r="C226" t="str">
            <v>화</v>
          </cell>
        </row>
        <row r="227">
          <cell r="B227">
            <v>45147</v>
          </cell>
          <cell r="C227" t="str">
            <v>수</v>
          </cell>
        </row>
        <row r="228">
          <cell r="B228">
            <v>45148</v>
          </cell>
          <cell r="C228" t="str">
            <v>목</v>
          </cell>
        </row>
        <row r="229">
          <cell r="B229">
            <v>45149</v>
          </cell>
          <cell r="C229" t="str">
            <v>금</v>
          </cell>
        </row>
        <row r="230">
          <cell r="B230">
            <v>45150</v>
          </cell>
          <cell r="C230" t="str">
            <v>토</v>
          </cell>
        </row>
        <row r="231">
          <cell r="B231">
            <v>45151</v>
          </cell>
          <cell r="C231" t="str">
            <v>일</v>
          </cell>
        </row>
        <row r="232">
          <cell r="B232">
            <v>45152</v>
          </cell>
          <cell r="C232" t="str">
            <v>월</v>
          </cell>
        </row>
        <row r="233">
          <cell r="B233">
            <v>45153</v>
          </cell>
          <cell r="C233" t="str">
            <v>화</v>
          </cell>
        </row>
        <row r="234">
          <cell r="B234">
            <v>45154</v>
          </cell>
          <cell r="C234" t="str">
            <v>수</v>
          </cell>
        </row>
        <row r="235">
          <cell r="B235">
            <v>45155</v>
          </cell>
          <cell r="C235" t="str">
            <v>목</v>
          </cell>
        </row>
        <row r="236">
          <cell r="B236">
            <v>45156</v>
          </cell>
          <cell r="C236" t="str">
            <v>금</v>
          </cell>
        </row>
        <row r="237">
          <cell r="B237">
            <v>45157</v>
          </cell>
          <cell r="C237" t="str">
            <v>토</v>
          </cell>
        </row>
        <row r="238">
          <cell r="B238">
            <v>45158</v>
          </cell>
          <cell r="C238" t="str">
            <v>일</v>
          </cell>
        </row>
        <row r="239">
          <cell r="B239">
            <v>45159</v>
          </cell>
          <cell r="C239" t="str">
            <v>월</v>
          </cell>
        </row>
        <row r="240">
          <cell r="B240">
            <v>45160</v>
          </cell>
          <cell r="C240" t="str">
            <v>화</v>
          </cell>
        </row>
        <row r="241">
          <cell r="B241">
            <v>45161</v>
          </cell>
          <cell r="C241" t="str">
            <v>수</v>
          </cell>
        </row>
        <row r="242">
          <cell r="B242">
            <v>45162</v>
          </cell>
          <cell r="C242" t="str">
            <v>목</v>
          </cell>
        </row>
        <row r="243">
          <cell r="B243">
            <v>45163</v>
          </cell>
          <cell r="C243" t="str">
            <v>금</v>
          </cell>
        </row>
        <row r="244">
          <cell r="B244">
            <v>45164</v>
          </cell>
          <cell r="C244" t="str">
            <v>토</v>
          </cell>
        </row>
        <row r="245">
          <cell r="B245">
            <v>45165</v>
          </cell>
          <cell r="C245" t="str">
            <v>일</v>
          </cell>
        </row>
        <row r="246">
          <cell r="B246">
            <v>45166</v>
          </cell>
          <cell r="C246" t="str">
            <v>월</v>
          </cell>
        </row>
        <row r="247">
          <cell r="B247">
            <v>45167</v>
          </cell>
          <cell r="C247" t="str">
            <v>화</v>
          </cell>
        </row>
        <row r="248">
          <cell r="B248">
            <v>45168</v>
          </cell>
          <cell r="C248" t="str">
            <v>수</v>
          </cell>
        </row>
        <row r="249">
          <cell r="B249">
            <v>45169</v>
          </cell>
          <cell r="C249" t="str">
            <v>목</v>
          </cell>
        </row>
        <row r="250">
          <cell r="B250">
            <v>45170</v>
          </cell>
          <cell r="C250" t="str">
            <v>금</v>
          </cell>
        </row>
        <row r="251">
          <cell r="B251">
            <v>45171</v>
          </cell>
          <cell r="C251" t="str">
            <v>토</v>
          </cell>
        </row>
        <row r="252">
          <cell r="B252">
            <v>45172</v>
          </cell>
          <cell r="C252" t="str">
            <v>일</v>
          </cell>
        </row>
        <row r="253">
          <cell r="B253">
            <v>45173</v>
          </cell>
          <cell r="C253" t="str">
            <v>월</v>
          </cell>
        </row>
        <row r="254">
          <cell r="B254">
            <v>45174</v>
          </cell>
          <cell r="C254" t="str">
            <v>화</v>
          </cell>
        </row>
        <row r="255">
          <cell r="B255">
            <v>45175</v>
          </cell>
          <cell r="C255" t="str">
            <v>수</v>
          </cell>
        </row>
        <row r="256">
          <cell r="B256">
            <v>45176</v>
          </cell>
          <cell r="C256" t="str">
            <v>목</v>
          </cell>
        </row>
        <row r="257">
          <cell r="B257">
            <v>45177</v>
          </cell>
          <cell r="C257" t="str">
            <v>금</v>
          </cell>
        </row>
        <row r="258">
          <cell r="B258">
            <v>45178</v>
          </cell>
          <cell r="C258" t="str">
            <v>토</v>
          </cell>
        </row>
        <row r="259">
          <cell r="B259">
            <v>45179</v>
          </cell>
          <cell r="C259" t="str">
            <v>일</v>
          </cell>
        </row>
        <row r="260">
          <cell r="B260">
            <v>45180</v>
          </cell>
          <cell r="C260" t="str">
            <v>월</v>
          </cell>
        </row>
        <row r="261">
          <cell r="B261">
            <v>45181</v>
          </cell>
          <cell r="C261" t="str">
            <v>화</v>
          </cell>
        </row>
        <row r="262">
          <cell r="B262">
            <v>45182</v>
          </cell>
          <cell r="C262" t="str">
            <v>수</v>
          </cell>
        </row>
        <row r="263">
          <cell r="B263">
            <v>45183</v>
          </cell>
          <cell r="C263" t="str">
            <v>목</v>
          </cell>
        </row>
        <row r="264">
          <cell r="B264">
            <v>45184</v>
          </cell>
          <cell r="C264" t="str">
            <v>금</v>
          </cell>
        </row>
        <row r="265">
          <cell r="B265">
            <v>45185</v>
          </cell>
          <cell r="C265" t="str">
            <v>토</v>
          </cell>
        </row>
        <row r="266">
          <cell r="B266">
            <v>45186</v>
          </cell>
          <cell r="C266" t="str">
            <v>일</v>
          </cell>
        </row>
        <row r="267">
          <cell r="B267">
            <v>45187</v>
          </cell>
          <cell r="C267" t="str">
            <v>월</v>
          </cell>
        </row>
        <row r="268">
          <cell r="B268">
            <v>45188</v>
          </cell>
          <cell r="C268" t="str">
            <v>화</v>
          </cell>
        </row>
        <row r="269">
          <cell r="B269">
            <v>45189</v>
          </cell>
          <cell r="C269" t="str">
            <v>수</v>
          </cell>
        </row>
        <row r="270">
          <cell r="B270">
            <v>45190</v>
          </cell>
          <cell r="C270" t="str">
            <v>목</v>
          </cell>
        </row>
        <row r="271">
          <cell r="B271">
            <v>45191</v>
          </cell>
          <cell r="C271" t="str">
            <v>금</v>
          </cell>
        </row>
        <row r="272">
          <cell r="B272">
            <v>45192</v>
          </cell>
          <cell r="C272" t="str">
            <v>토</v>
          </cell>
        </row>
        <row r="273">
          <cell r="B273">
            <v>45193</v>
          </cell>
          <cell r="C273" t="str">
            <v>일</v>
          </cell>
        </row>
        <row r="274">
          <cell r="B274">
            <v>45194</v>
          </cell>
          <cell r="C274" t="str">
            <v>월</v>
          </cell>
        </row>
        <row r="275">
          <cell r="B275">
            <v>45195</v>
          </cell>
          <cell r="C275" t="str">
            <v>화</v>
          </cell>
        </row>
        <row r="276">
          <cell r="B276">
            <v>45196</v>
          </cell>
          <cell r="C276" t="str">
            <v>수</v>
          </cell>
        </row>
        <row r="277">
          <cell r="B277">
            <v>45197</v>
          </cell>
          <cell r="C277" t="str">
            <v>목</v>
          </cell>
        </row>
        <row r="278">
          <cell r="B278">
            <v>45198</v>
          </cell>
          <cell r="C278" t="str">
            <v>금</v>
          </cell>
        </row>
        <row r="279">
          <cell r="B279">
            <v>45199</v>
          </cell>
          <cell r="C279" t="str">
            <v>토</v>
          </cell>
        </row>
        <row r="280">
          <cell r="B280">
            <v>45200</v>
          </cell>
          <cell r="C280" t="str">
            <v>일</v>
          </cell>
        </row>
        <row r="281">
          <cell r="B281">
            <v>45201</v>
          </cell>
          <cell r="C281" t="str">
            <v>월</v>
          </cell>
        </row>
        <row r="282">
          <cell r="B282">
            <v>45202</v>
          </cell>
          <cell r="C282" t="str">
            <v>화</v>
          </cell>
        </row>
        <row r="283">
          <cell r="B283">
            <v>45203</v>
          </cell>
          <cell r="C283" t="str">
            <v>수</v>
          </cell>
        </row>
        <row r="284">
          <cell r="B284">
            <v>45204</v>
          </cell>
          <cell r="C284" t="str">
            <v>목</v>
          </cell>
        </row>
        <row r="285">
          <cell r="B285">
            <v>45205</v>
          </cell>
          <cell r="C285" t="str">
            <v>금</v>
          </cell>
        </row>
        <row r="286">
          <cell r="B286">
            <v>45206</v>
          </cell>
          <cell r="C286" t="str">
            <v>토</v>
          </cell>
        </row>
        <row r="287">
          <cell r="B287">
            <v>45207</v>
          </cell>
          <cell r="C287" t="str">
            <v>일</v>
          </cell>
        </row>
        <row r="288">
          <cell r="B288">
            <v>45208</v>
          </cell>
          <cell r="C288" t="str">
            <v>월</v>
          </cell>
        </row>
        <row r="289">
          <cell r="B289">
            <v>45209</v>
          </cell>
          <cell r="C289" t="str">
            <v>화</v>
          </cell>
        </row>
        <row r="290">
          <cell r="B290">
            <v>45210</v>
          </cell>
          <cell r="C290" t="str">
            <v>수</v>
          </cell>
        </row>
        <row r="291">
          <cell r="B291">
            <v>45211</v>
          </cell>
          <cell r="C291" t="str">
            <v>목</v>
          </cell>
        </row>
        <row r="292">
          <cell r="B292">
            <v>45212</v>
          </cell>
          <cell r="C292" t="str">
            <v>금</v>
          </cell>
        </row>
        <row r="293">
          <cell r="B293">
            <v>45213</v>
          </cell>
          <cell r="C293" t="str">
            <v>토</v>
          </cell>
        </row>
        <row r="294">
          <cell r="B294">
            <v>45214</v>
          </cell>
          <cell r="C294" t="str">
            <v>일</v>
          </cell>
        </row>
        <row r="295">
          <cell r="B295">
            <v>45215</v>
          </cell>
          <cell r="C295" t="str">
            <v>월</v>
          </cell>
        </row>
        <row r="296">
          <cell r="B296">
            <v>45216</v>
          </cell>
          <cell r="C296" t="str">
            <v>화</v>
          </cell>
        </row>
        <row r="297">
          <cell r="B297">
            <v>45217</v>
          </cell>
          <cell r="C297" t="str">
            <v>수</v>
          </cell>
        </row>
        <row r="298">
          <cell r="B298">
            <v>45218</v>
          </cell>
          <cell r="C298" t="str">
            <v>목</v>
          </cell>
        </row>
        <row r="299">
          <cell r="B299">
            <v>45219</v>
          </cell>
          <cell r="C299" t="str">
            <v>금</v>
          </cell>
        </row>
        <row r="300">
          <cell r="B300">
            <v>45220</v>
          </cell>
          <cell r="C300" t="str">
            <v>토</v>
          </cell>
        </row>
        <row r="301">
          <cell r="B301">
            <v>45221</v>
          </cell>
          <cell r="C301" t="str">
            <v>일</v>
          </cell>
        </row>
        <row r="302">
          <cell r="B302">
            <v>45222</v>
          </cell>
          <cell r="C302" t="str">
            <v>월</v>
          </cell>
        </row>
        <row r="303">
          <cell r="B303">
            <v>45223</v>
          </cell>
          <cell r="C303" t="str">
            <v>화</v>
          </cell>
        </row>
        <row r="304">
          <cell r="B304">
            <v>45224</v>
          </cell>
          <cell r="C304" t="str">
            <v>수</v>
          </cell>
        </row>
        <row r="305">
          <cell r="B305">
            <v>45225</v>
          </cell>
          <cell r="C305" t="str">
            <v>목</v>
          </cell>
        </row>
        <row r="306">
          <cell r="B306">
            <v>45226</v>
          </cell>
          <cell r="C306" t="str">
            <v>금</v>
          </cell>
        </row>
        <row r="307">
          <cell r="B307">
            <v>45227</v>
          </cell>
          <cell r="C307" t="str">
            <v>토</v>
          </cell>
        </row>
        <row r="308">
          <cell r="B308">
            <v>45228</v>
          </cell>
          <cell r="C308" t="str">
            <v>일</v>
          </cell>
        </row>
        <row r="309">
          <cell r="B309">
            <v>45229</v>
          </cell>
          <cell r="C309" t="str">
            <v>월</v>
          </cell>
        </row>
        <row r="310">
          <cell r="B310">
            <v>45230</v>
          </cell>
          <cell r="C310" t="str">
            <v>화</v>
          </cell>
        </row>
        <row r="311">
          <cell r="B311">
            <v>45231</v>
          </cell>
          <cell r="C311" t="str">
            <v>수</v>
          </cell>
        </row>
        <row r="312">
          <cell r="B312">
            <v>45232</v>
          </cell>
          <cell r="C312" t="str">
            <v>목</v>
          </cell>
        </row>
        <row r="313">
          <cell r="B313">
            <v>45233</v>
          </cell>
          <cell r="C313" t="str">
            <v>금</v>
          </cell>
        </row>
        <row r="314">
          <cell r="B314">
            <v>45234</v>
          </cell>
          <cell r="C314" t="str">
            <v>토</v>
          </cell>
        </row>
        <row r="315">
          <cell r="B315">
            <v>45235</v>
          </cell>
          <cell r="C315" t="str">
            <v>일</v>
          </cell>
        </row>
        <row r="316">
          <cell r="B316">
            <v>45236</v>
          </cell>
          <cell r="C316" t="str">
            <v>월</v>
          </cell>
        </row>
        <row r="317">
          <cell r="B317">
            <v>45237</v>
          </cell>
          <cell r="C317" t="str">
            <v>화</v>
          </cell>
        </row>
        <row r="318">
          <cell r="B318">
            <v>45238</v>
          </cell>
          <cell r="C318" t="str">
            <v>수</v>
          </cell>
        </row>
        <row r="319">
          <cell r="B319">
            <v>45239</v>
          </cell>
          <cell r="C319" t="str">
            <v>목</v>
          </cell>
        </row>
        <row r="320">
          <cell r="B320">
            <v>45240</v>
          </cell>
          <cell r="C320" t="str">
            <v>금</v>
          </cell>
        </row>
        <row r="321">
          <cell r="B321">
            <v>45241</v>
          </cell>
          <cell r="C321" t="str">
            <v>토</v>
          </cell>
        </row>
        <row r="322">
          <cell r="B322">
            <v>45242</v>
          </cell>
          <cell r="C322" t="str">
            <v>일</v>
          </cell>
        </row>
        <row r="323">
          <cell r="B323">
            <v>45243</v>
          </cell>
          <cell r="C323" t="str">
            <v>월</v>
          </cell>
        </row>
        <row r="324">
          <cell r="B324">
            <v>45244</v>
          </cell>
          <cell r="C324" t="str">
            <v>화</v>
          </cell>
        </row>
        <row r="325">
          <cell r="B325">
            <v>45245</v>
          </cell>
          <cell r="C325" t="str">
            <v>수</v>
          </cell>
        </row>
        <row r="326">
          <cell r="B326">
            <v>45246</v>
          </cell>
          <cell r="C326" t="str">
            <v>목</v>
          </cell>
        </row>
        <row r="327">
          <cell r="B327">
            <v>45247</v>
          </cell>
          <cell r="C327" t="str">
            <v>금</v>
          </cell>
        </row>
        <row r="328">
          <cell r="B328">
            <v>45248</v>
          </cell>
          <cell r="C328" t="str">
            <v>토</v>
          </cell>
        </row>
        <row r="329">
          <cell r="B329">
            <v>45249</v>
          </cell>
          <cell r="C329" t="str">
            <v>일</v>
          </cell>
        </row>
        <row r="330">
          <cell r="B330">
            <v>45250</v>
          </cell>
          <cell r="C330" t="str">
            <v>월</v>
          </cell>
        </row>
        <row r="331">
          <cell r="B331">
            <v>45251</v>
          </cell>
          <cell r="C331" t="str">
            <v>화</v>
          </cell>
        </row>
        <row r="332">
          <cell r="B332">
            <v>45252</v>
          </cell>
          <cell r="C332" t="str">
            <v>수</v>
          </cell>
        </row>
        <row r="333">
          <cell r="B333">
            <v>45253</v>
          </cell>
          <cell r="C333" t="str">
            <v>목</v>
          </cell>
        </row>
        <row r="334">
          <cell r="B334">
            <v>45254</v>
          </cell>
          <cell r="C334" t="str">
            <v>금</v>
          </cell>
        </row>
        <row r="335">
          <cell r="B335">
            <v>45255</v>
          </cell>
          <cell r="C335" t="str">
            <v>토</v>
          </cell>
        </row>
        <row r="336">
          <cell r="B336">
            <v>45256</v>
          </cell>
          <cell r="C336" t="str">
            <v>일</v>
          </cell>
        </row>
        <row r="337">
          <cell r="B337">
            <v>45257</v>
          </cell>
          <cell r="C337" t="str">
            <v>월</v>
          </cell>
        </row>
        <row r="338">
          <cell r="B338">
            <v>45258</v>
          </cell>
          <cell r="C338" t="str">
            <v>화</v>
          </cell>
        </row>
        <row r="339">
          <cell r="B339">
            <v>45259</v>
          </cell>
          <cell r="C339" t="str">
            <v>수</v>
          </cell>
        </row>
        <row r="340">
          <cell r="B340">
            <v>45260</v>
          </cell>
          <cell r="C340" t="str">
            <v>목</v>
          </cell>
        </row>
        <row r="341">
          <cell r="B341">
            <v>45261</v>
          </cell>
          <cell r="C341" t="str">
            <v>금</v>
          </cell>
        </row>
        <row r="342">
          <cell r="B342">
            <v>45262</v>
          </cell>
          <cell r="C342" t="str">
            <v>토</v>
          </cell>
        </row>
        <row r="343">
          <cell r="B343">
            <v>45263</v>
          </cell>
          <cell r="C343" t="str">
            <v>일</v>
          </cell>
        </row>
        <row r="344">
          <cell r="B344">
            <v>45264</v>
          </cell>
          <cell r="C344" t="str">
            <v>월</v>
          </cell>
        </row>
        <row r="345">
          <cell r="B345">
            <v>45265</v>
          </cell>
          <cell r="C345" t="str">
            <v>화</v>
          </cell>
        </row>
        <row r="346">
          <cell r="B346">
            <v>45266</v>
          </cell>
          <cell r="C346" t="str">
            <v>수</v>
          </cell>
        </row>
        <row r="347">
          <cell r="B347">
            <v>45267</v>
          </cell>
          <cell r="C347" t="str">
            <v>목</v>
          </cell>
        </row>
        <row r="348">
          <cell r="B348">
            <v>45268</v>
          </cell>
          <cell r="C348" t="str">
            <v>금</v>
          </cell>
        </row>
        <row r="349">
          <cell r="B349">
            <v>45269</v>
          </cell>
          <cell r="C349" t="str">
            <v>토</v>
          </cell>
        </row>
        <row r="350">
          <cell r="B350">
            <v>45270</v>
          </cell>
          <cell r="C350" t="str">
            <v>일</v>
          </cell>
        </row>
        <row r="351">
          <cell r="B351">
            <v>45271</v>
          </cell>
          <cell r="C351" t="str">
            <v>월</v>
          </cell>
        </row>
        <row r="352">
          <cell r="B352">
            <v>45272</v>
          </cell>
          <cell r="C352" t="str">
            <v>화</v>
          </cell>
        </row>
        <row r="353">
          <cell r="B353">
            <v>45273</v>
          </cell>
          <cell r="C353" t="str">
            <v>수</v>
          </cell>
        </row>
        <row r="354">
          <cell r="B354">
            <v>45274</v>
          </cell>
          <cell r="C354" t="str">
            <v>목</v>
          </cell>
        </row>
        <row r="355">
          <cell r="B355">
            <v>45275</v>
          </cell>
          <cell r="C355" t="str">
            <v>금</v>
          </cell>
        </row>
        <row r="356">
          <cell r="B356">
            <v>45276</v>
          </cell>
          <cell r="C356" t="str">
            <v>토</v>
          </cell>
        </row>
        <row r="357">
          <cell r="B357">
            <v>45277</v>
          </cell>
          <cell r="C357" t="str">
            <v>일</v>
          </cell>
        </row>
        <row r="358">
          <cell r="B358">
            <v>45278</v>
          </cell>
          <cell r="C358" t="str">
            <v>월</v>
          </cell>
        </row>
        <row r="359">
          <cell r="B359">
            <v>45279</v>
          </cell>
          <cell r="C359" t="str">
            <v>화</v>
          </cell>
        </row>
        <row r="360">
          <cell r="B360">
            <v>45280</v>
          </cell>
          <cell r="C360" t="str">
            <v>수</v>
          </cell>
        </row>
        <row r="361">
          <cell r="B361">
            <v>45281</v>
          </cell>
          <cell r="C361" t="str">
            <v>목</v>
          </cell>
        </row>
        <row r="362">
          <cell r="B362">
            <v>45282</v>
          </cell>
          <cell r="C362" t="str">
            <v>금</v>
          </cell>
        </row>
        <row r="363">
          <cell r="B363">
            <v>45283</v>
          </cell>
          <cell r="C363" t="str">
            <v>토</v>
          </cell>
        </row>
        <row r="364">
          <cell r="B364">
            <v>45284</v>
          </cell>
          <cell r="C364" t="str">
            <v>일</v>
          </cell>
        </row>
        <row r="365">
          <cell r="B365">
            <v>45285</v>
          </cell>
          <cell r="C365" t="str">
            <v>월</v>
          </cell>
        </row>
        <row r="366">
          <cell r="B366">
            <v>45286</v>
          </cell>
          <cell r="C366" t="str">
            <v>화</v>
          </cell>
        </row>
        <row r="367">
          <cell r="B367">
            <v>45287</v>
          </cell>
          <cell r="C367" t="str">
            <v>수</v>
          </cell>
        </row>
        <row r="368">
          <cell r="B368">
            <v>45288</v>
          </cell>
          <cell r="C368" t="str">
            <v>목</v>
          </cell>
        </row>
        <row r="369">
          <cell r="B369">
            <v>45289</v>
          </cell>
          <cell r="C369" t="str">
            <v>금</v>
          </cell>
        </row>
        <row r="370">
          <cell r="B370">
            <v>45290</v>
          </cell>
          <cell r="C370" t="str">
            <v>토</v>
          </cell>
        </row>
        <row r="371">
          <cell r="B371">
            <v>45291</v>
          </cell>
          <cell r="C371" t="str">
            <v>일</v>
          </cell>
        </row>
      </sheetData>
      <sheetData sheetId="5">
        <row r="2">
          <cell r="A2">
            <v>1</v>
          </cell>
          <cell r="B2">
            <v>1</v>
          </cell>
          <cell r="C2">
            <v>44927</v>
          </cell>
          <cell r="D2" t="str">
            <v>신정</v>
          </cell>
          <cell r="E2">
            <v>1</v>
          </cell>
          <cell r="F2">
            <v>9</v>
          </cell>
          <cell r="G2">
            <v>44935</v>
          </cell>
          <cell r="H2" t="str">
            <v>친구생일</v>
          </cell>
        </row>
        <row r="3">
          <cell r="A3">
            <v>1</v>
          </cell>
          <cell r="B3">
            <v>21</v>
          </cell>
          <cell r="C3">
            <v>44947</v>
          </cell>
          <cell r="D3" t="str">
            <v>설날</v>
          </cell>
          <cell r="E3" t="str">
            <v/>
          </cell>
          <cell r="F3" t="str">
            <v/>
          </cell>
        </row>
        <row r="4">
          <cell r="A4">
            <v>1</v>
          </cell>
          <cell r="B4">
            <v>22</v>
          </cell>
          <cell r="C4">
            <v>44948</v>
          </cell>
          <cell r="D4" t="str">
            <v>설날</v>
          </cell>
          <cell r="E4" t="str">
            <v/>
          </cell>
          <cell r="F4" t="str">
            <v/>
          </cell>
        </row>
        <row r="5">
          <cell r="A5">
            <v>1</v>
          </cell>
          <cell r="B5">
            <v>23</v>
          </cell>
          <cell r="C5">
            <v>44949</v>
          </cell>
          <cell r="D5" t="str">
            <v>설날</v>
          </cell>
          <cell r="E5" t="str">
            <v/>
          </cell>
          <cell r="F5" t="str">
            <v/>
          </cell>
        </row>
        <row r="6">
          <cell r="A6">
            <v>3</v>
          </cell>
          <cell r="B6">
            <v>1</v>
          </cell>
          <cell r="C6">
            <v>44986</v>
          </cell>
          <cell r="D6" t="str">
            <v>삼일절</v>
          </cell>
          <cell r="E6" t="str">
            <v/>
          </cell>
          <cell r="F6" t="str">
            <v/>
          </cell>
        </row>
        <row r="7">
          <cell r="A7">
            <v>5</v>
          </cell>
          <cell r="B7">
            <v>5</v>
          </cell>
          <cell r="C7">
            <v>45051</v>
          </cell>
          <cell r="D7" t="str">
            <v>어린이날</v>
          </cell>
          <cell r="E7" t="str">
            <v/>
          </cell>
          <cell r="F7" t="str">
            <v/>
          </cell>
        </row>
        <row r="8">
          <cell r="A8">
            <v>5</v>
          </cell>
          <cell r="B8">
            <v>27</v>
          </cell>
          <cell r="C8">
            <v>45073</v>
          </cell>
          <cell r="D8" t="str">
            <v>석가탄신일</v>
          </cell>
          <cell r="E8" t="str">
            <v/>
          </cell>
          <cell r="F8" t="str">
            <v/>
          </cell>
        </row>
        <row r="9">
          <cell r="A9">
            <v>6</v>
          </cell>
          <cell r="B9">
            <v>6</v>
          </cell>
          <cell r="C9">
            <v>45083</v>
          </cell>
          <cell r="D9" t="str">
            <v>현충일</v>
          </cell>
          <cell r="E9" t="str">
            <v/>
          </cell>
          <cell r="F9" t="str">
            <v/>
          </cell>
        </row>
        <row r="10">
          <cell r="A10">
            <v>8</v>
          </cell>
          <cell r="B10">
            <v>15</v>
          </cell>
          <cell r="C10">
            <v>45153</v>
          </cell>
          <cell r="D10" t="str">
            <v>광복절</v>
          </cell>
          <cell r="E10" t="str">
            <v/>
          </cell>
          <cell r="F10" t="str">
            <v/>
          </cell>
        </row>
        <row r="11">
          <cell r="A11">
            <v>9</v>
          </cell>
          <cell r="B11">
            <v>28</v>
          </cell>
          <cell r="C11">
            <v>45197</v>
          </cell>
          <cell r="D11" t="str">
            <v>추석</v>
          </cell>
          <cell r="E11" t="str">
            <v/>
          </cell>
          <cell r="F11" t="str">
            <v/>
          </cell>
        </row>
        <row r="12">
          <cell r="A12">
            <v>9</v>
          </cell>
          <cell r="B12">
            <v>29</v>
          </cell>
          <cell r="C12">
            <v>45198</v>
          </cell>
          <cell r="D12" t="str">
            <v>추석</v>
          </cell>
          <cell r="E12" t="str">
            <v/>
          </cell>
          <cell r="F12" t="str">
            <v/>
          </cell>
        </row>
        <row r="13">
          <cell r="A13">
            <v>9</v>
          </cell>
          <cell r="B13">
            <v>30</v>
          </cell>
          <cell r="C13">
            <v>45199</v>
          </cell>
          <cell r="D13" t="str">
            <v>추석</v>
          </cell>
          <cell r="E13" t="str">
            <v/>
          </cell>
          <cell r="F13" t="str">
            <v/>
          </cell>
        </row>
        <row r="14">
          <cell r="A14">
            <v>10</v>
          </cell>
          <cell r="B14">
            <v>3</v>
          </cell>
          <cell r="C14">
            <v>45202</v>
          </cell>
          <cell r="D14" t="str">
            <v>개천절</v>
          </cell>
          <cell r="E14" t="str">
            <v/>
          </cell>
          <cell r="F14" t="str">
            <v/>
          </cell>
        </row>
        <row r="15">
          <cell r="A15">
            <v>10</v>
          </cell>
          <cell r="B15">
            <v>9</v>
          </cell>
          <cell r="C15">
            <v>45208</v>
          </cell>
          <cell r="D15" t="str">
            <v>한글날</v>
          </cell>
          <cell r="E15" t="str">
            <v/>
          </cell>
          <cell r="F15" t="str">
            <v/>
          </cell>
        </row>
        <row r="16">
          <cell r="A16">
            <v>12</v>
          </cell>
          <cell r="B16">
            <v>25</v>
          </cell>
          <cell r="C16">
            <v>45285</v>
          </cell>
          <cell r="D16" t="str">
            <v>성탄절</v>
          </cell>
          <cell r="E16" t="str">
            <v/>
          </cell>
          <cell r="F16" t="str">
            <v/>
          </cell>
        </row>
        <row r="17">
          <cell r="A17">
            <v>1</v>
          </cell>
          <cell r="B17">
            <v>24</v>
          </cell>
          <cell r="C17">
            <v>44950</v>
          </cell>
          <cell r="D17" t="str">
            <v>설날 대체휴일</v>
          </cell>
          <cell r="E17" t="str">
            <v/>
          </cell>
          <cell r="F17" t="str">
            <v/>
          </cell>
        </row>
        <row r="18">
          <cell r="A18" t="str">
            <v/>
          </cell>
          <cell r="B18" t="str">
            <v/>
          </cell>
          <cell r="E18" t="str">
            <v/>
          </cell>
          <cell r="F18" t="str">
            <v/>
          </cell>
        </row>
        <row r="19">
          <cell r="A19" t="str">
            <v/>
          </cell>
          <cell r="B19" t="str">
            <v/>
          </cell>
          <cell r="E19" t="str">
            <v/>
          </cell>
          <cell r="F19" t="str">
            <v/>
          </cell>
        </row>
        <row r="20">
          <cell r="A20" t="str">
            <v/>
          </cell>
          <cell r="B20" t="str">
            <v/>
          </cell>
          <cell r="E20" t="str">
            <v/>
          </cell>
          <cell r="F20" t="str">
            <v/>
          </cell>
        </row>
        <row r="21">
          <cell r="A21" t="str">
            <v/>
          </cell>
          <cell r="B21" t="str">
            <v/>
          </cell>
          <cell r="E21" t="str">
            <v/>
          </cell>
          <cell r="F21" t="str">
            <v/>
          </cell>
        </row>
        <row r="22">
          <cell r="A22" t="str">
            <v/>
          </cell>
          <cell r="B22" t="str">
            <v/>
          </cell>
          <cell r="E22" t="str">
            <v/>
          </cell>
          <cell r="F22" t="str">
            <v/>
          </cell>
        </row>
        <row r="23">
          <cell r="A23" t="str">
            <v/>
          </cell>
          <cell r="B23" t="str">
            <v/>
          </cell>
          <cell r="E23" t="str">
            <v/>
          </cell>
          <cell r="F23" t="str">
            <v/>
          </cell>
        </row>
        <row r="24">
          <cell r="A24" t="str">
            <v/>
          </cell>
          <cell r="B24" t="str">
            <v/>
          </cell>
          <cell r="E24" t="str">
            <v/>
          </cell>
          <cell r="F24" t="str">
            <v/>
          </cell>
        </row>
        <row r="25">
          <cell r="A25" t="str">
            <v/>
          </cell>
          <cell r="B25" t="str">
            <v/>
          </cell>
          <cell r="E25" t="str">
            <v/>
          </cell>
          <cell r="F25" t="str">
            <v/>
          </cell>
        </row>
        <row r="26">
          <cell r="A26" t="str">
            <v/>
          </cell>
          <cell r="B26" t="str">
            <v/>
          </cell>
          <cell r="E26" t="str">
            <v/>
          </cell>
          <cell r="F26" t="str">
            <v/>
          </cell>
        </row>
        <row r="27">
          <cell r="A27" t="str">
            <v/>
          </cell>
          <cell r="B27" t="str">
            <v/>
          </cell>
          <cell r="E27" t="str">
            <v/>
          </cell>
          <cell r="F27" t="str">
            <v/>
          </cell>
        </row>
        <row r="28">
          <cell r="A28" t="str">
            <v/>
          </cell>
          <cell r="B28" t="str">
            <v/>
          </cell>
          <cell r="E28" t="str">
            <v/>
          </cell>
          <cell r="F28" t="str">
            <v/>
          </cell>
        </row>
        <row r="29">
          <cell r="A29" t="str">
            <v/>
          </cell>
          <cell r="B29" t="str">
            <v/>
          </cell>
          <cell r="E29" t="str">
            <v/>
          </cell>
          <cell r="F29" t="str">
            <v/>
          </cell>
        </row>
      </sheetData>
      <sheetData sheetId="6" refreshError="1"/>
      <sheetData sheetId="7">
        <row r="2">
          <cell r="A2">
            <v>2010</v>
          </cell>
          <cell r="B2">
            <v>1</v>
          </cell>
          <cell r="C2">
            <v>2010</v>
          </cell>
          <cell r="D2">
            <v>40222</v>
          </cell>
          <cell r="E2" t="str">
            <v>설날</v>
          </cell>
        </row>
        <row r="3">
          <cell r="A3">
            <v>2011</v>
          </cell>
          <cell r="B3">
            <v>2</v>
          </cell>
          <cell r="C3">
            <v>2010</v>
          </cell>
          <cell r="D3">
            <v>40223</v>
          </cell>
          <cell r="E3" t="str">
            <v>설날</v>
          </cell>
        </row>
        <row r="4">
          <cell r="A4">
            <v>2012</v>
          </cell>
          <cell r="B4">
            <v>3</v>
          </cell>
          <cell r="C4">
            <v>2010</v>
          </cell>
          <cell r="D4">
            <v>40224</v>
          </cell>
          <cell r="E4" t="str">
            <v>설날</v>
          </cell>
        </row>
        <row r="5">
          <cell r="A5">
            <v>2013</v>
          </cell>
          <cell r="B5">
            <v>4</v>
          </cell>
          <cell r="C5">
            <v>2010</v>
          </cell>
          <cell r="D5">
            <v>40319</v>
          </cell>
          <cell r="E5" t="str">
            <v>석가탄신일</v>
          </cell>
        </row>
        <row r="6">
          <cell r="A6">
            <v>2014</v>
          </cell>
          <cell r="B6">
            <v>5</v>
          </cell>
          <cell r="C6">
            <v>2010</v>
          </cell>
          <cell r="D6">
            <v>40442</v>
          </cell>
          <cell r="E6" t="str">
            <v>추석</v>
          </cell>
        </row>
        <row r="7">
          <cell r="A7">
            <v>2015</v>
          </cell>
          <cell r="B7">
            <v>6</v>
          </cell>
          <cell r="C7">
            <v>2010</v>
          </cell>
          <cell r="D7">
            <v>40443</v>
          </cell>
          <cell r="E7" t="str">
            <v>추석</v>
          </cell>
        </row>
        <row r="8">
          <cell r="A8">
            <v>2016</v>
          </cell>
          <cell r="B8">
            <v>7</v>
          </cell>
          <cell r="C8">
            <v>2010</v>
          </cell>
          <cell r="D8">
            <v>40444</v>
          </cell>
          <cell r="E8" t="str">
            <v>추석</v>
          </cell>
        </row>
        <row r="9">
          <cell r="A9">
            <v>2017</v>
          </cell>
          <cell r="B9">
            <v>8</v>
          </cell>
          <cell r="C9">
            <v>2011</v>
          </cell>
          <cell r="D9">
            <v>40576</v>
          </cell>
          <cell r="E9" t="str">
            <v>설날</v>
          </cell>
        </row>
        <row r="10">
          <cell r="A10">
            <v>2018</v>
          </cell>
          <cell r="B10">
            <v>9</v>
          </cell>
          <cell r="C10">
            <v>2011</v>
          </cell>
          <cell r="D10">
            <v>40577</v>
          </cell>
          <cell r="E10" t="str">
            <v>설날</v>
          </cell>
        </row>
        <row r="11">
          <cell r="A11">
            <v>2019</v>
          </cell>
          <cell r="B11">
            <v>10</v>
          </cell>
          <cell r="C11">
            <v>2011</v>
          </cell>
          <cell r="D11">
            <v>40578</v>
          </cell>
          <cell r="E11" t="str">
            <v>설날</v>
          </cell>
        </row>
        <row r="12">
          <cell r="A12">
            <v>2020</v>
          </cell>
          <cell r="B12">
            <v>11</v>
          </cell>
          <cell r="C12">
            <v>2011</v>
          </cell>
          <cell r="D12">
            <v>40673</v>
          </cell>
          <cell r="E12" t="str">
            <v>석가탄신일</v>
          </cell>
        </row>
        <row r="13">
          <cell r="A13">
            <v>2021</v>
          </cell>
          <cell r="B13">
            <v>12</v>
          </cell>
          <cell r="C13">
            <v>2011</v>
          </cell>
          <cell r="D13">
            <v>40797</v>
          </cell>
          <cell r="E13" t="str">
            <v>추석</v>
          </cell>
        </row>
        <row r="14">
          <cell r="A14">
            <v>2022</v>
          </cell>
          <cell r="C14">
            <v>2011</v>
          </cell>
          <cell r="D14">
            <v>40798</v>
          </cell>
          <cell r="E14" t="str">
            <v>추석</v>
          </cell>
        </row>
        <row r="15">
          <cell r="A15">
            <v>2023</v>
          </cell>
          <cell r="C15">
            <v>2011</v>
          </cell>
          <cell r="D15">
            <v>40799</v>
          </cell>
          <cell r="E15" t="str">
            <v>추석</v>
          </cell>
        </row>
        <row r="16">
          <cell r="A16">
            <v>2024</v>
          </cell>
          <cell r="C16">
            <v>2012</v>
          </cell>
          <cell r="D16">
            <v>40930</v>
          </cell>
          <cell r="E16" t="str">
            <v>설날</v>
          </cell>
        </row>
        <row r="17">
          <cell r="A17">
            <v>2025</v>
          </cell>
          <cell r="C17">
            <v>2012</v>
          </cell>
          <cell r="D17">
            <v>40931</v>
          </cell>
          <cell r="E17" t="str">
            <v>설날</v>
          </cell>
        </row>
        <row r="18">
          <cell r="A18">
            <v>2026</v>
          </cell>
          <cell r="C18">
            <v>2012</v>
          </cell>
          <cell r="D18">
            <v>40932</v>
          </cell>
          <cell r="E18" t="str">
            <v>설날</v>
          </cell>
        </row>
        <row r="19">
          <cell r="A19">
            <v>2027</v>
          </cell>
          <cell r="C19">
            <v>2012</v>
          </cell>
          <cell r="D19">
            <v>41057</v>
          </cell>
          <cell r="E19" t="str">
            <v>석가탄신일</v>
          </cell>
        </row>
        <row r="20">
          <cell r="A20">
            <v>2028</v>
          </cell>
          <cell r="C20">
            <v>2012</v>
          </cell>
          <cell r="D20">
            <v>41181</v>
          </cell>
          <cell r="E20" t="str">
            <v>추석</v>
          </cell>
        </row>
        <row r="21">
          <cell r="A21">
            <v>2029</v>
          </cell>
          <cell r="C21">
            <v>2012</v>
          </cell>
          <cell r="D21">
            <v>41182</v>
          </cell>
          <cell r="E21" t="str">
            <v>추석</v>
          </cell>
        </row>
        <row r="22">
          <cell r="A22">
            <v>2030</v>
          </cell>
          <cell r="C22">
            <v>2012</v>
          </cell>
          <cell r="D22">
            <v>41183</v>
          </cell>
          <cell r="E22" t="str">
            <v>추석</v>
          </cell>
        </row>
        <row r="23">
          <cell r="A23">
            <v>2031</v>
          </cell>
          <cell r="C23">
            <v>2013</v>
          </cell>
          <cell r="D23">
            <v>41314</v>
          </cell>
          <cell r="E23" t="str">
            <v>설날</v>
          </cell>
        </row>
        <row r="24">
          <cell r="A24">
            <v>2032</v>
          </cell>
          <cell r="C24">
            <v>2013</v>
          </cell>
          <cell r="D24">
            <v>41315</v>
          </cell>
          <cell r="E24" t="str">
            <v>설날</v>
          </cell>
        </row>
        <row r="25">
          <cell r="A25">
            <v>2033</v>
          </cell>
          <cell r="C25">
            <v>2013</v>
          </cell>
          <cell r="D25">
            <v>41316</v>
          </cell>
          <cell r="E25" t="str">
            <v>설날</v>
          </cell>
        </row>
        <row r="26">
          <cell r="A26">
            <v>2034</v>
          </cell>
          <cell r="C26">
            <v>2013</v>
          </cell>
          <cell r="D26">
            <v>41411</v>
          </cell>
          <cell r="E26" t="str">
            <v>석가탄신일</v>
          </cell>
        </row>
        <row r="27">
          <cell r="A27">
            <v>2035</v>
          </cell>
          <cell r="C27">
            <v>2013</v>
          </cell>
          <cell r="D27">
            <v>41535</v>
          </cell>
          <cell r="E27" t="str">
            <v>추석</v>
          </cell>
        </row>
        <row r="28">
          <cell r="A28">
            <v>2036</v>
          </cell>
          <cell r="C28">
            <v>2013</v>
          </cell>
          <cell r="D28">
            <v>41536</v>
          </cell>
          <cell r="E28" t="str">
            <v>추석</v>
          </cell>
        </row>
        <row r="29">
          <cell r="A29">
            <v>2037</v>
          </cell>
          <cell r="C29">
            <v>2013</v>
          </cell>
          <cell r="D29">
            <v>41537</v>
          </cell>
          <cell r="E29" t="str">
            <v>추석</v>
          </cell>
        </row>
        <row r="30">
          <cell r="A30">
            <v>2038</v>
          </cell>
          <cell r="C30">
            <v>2014</v>
          </cell>
          <cell r="D30">
            <v>41669</v>
          </cell>
          <cell r="E30" t="str">
            <v>설날</v>
          </cell>
        </row>
        <row r="31">
          <cell r="A31">
            <v>2039</v>
          </cell>
          <cell r="C31">
            <v>2014</v>
          </cell>
          <cell r="D31">
            <v>41670</v>
          </cell>
          <cell r="E31" t="str">
            <v>설날</v>
          </cell>
        </row>
        <row r="32">
          <cell r="A32">
            <v>2040</v>
          </cell>
          <cell r="C32">
            <v>2014</v>
          </cell>
          <cell r="D32">
            <v>41671</v>
          </cell>
          <cell r="E32" t="str">
            <v>설날</v>
          </cell>
        </row>
        <row r="33">
          <cell r="A33">
            <v>2041</v>
          </cell>
          <cell r="C33">
            <v>2014</v>
          </cell>
          <cell r="D33">
            <v>41765</v>
          </cell>
          <cell r="E33" t="str">
            <v>석가탄신일</v>
          </cell>
        </row>
        <row r="34">
          <cell r="A34">
            <v>2042</v>
          </cell>
          <cell r="C34">
            <v>2014</v>
          </cell>
          <cell r="D34">
            <v>41889</v>
          </cell>
          <cell r="E34" t="str">
            <v>추석</v>
          </cell>
        </row>
        <row r="35">
          <cell r="A35">
            <v>2043</v>
          </cell>
          <cell r="C35">
            <v>2014</v>
          </cell>
          <cell r="D35">
            <v>41890</v>
          </cell>
          <cell r="E35" t="str">
            <v>추석</v>
          </cell>
        </row>
        <row r="36">
          <cell r="A36">
            <v>2044</v>
          </cell>
          <cell r="C36">
            <v>2014</v>
          </cell>
          <cell r="D36">
            <v>41891</v>
          </cell>
          <cell r="E36" t="str">
            <v>추석</v>
          </cell>
        </row>
        <row r="37">
          <cell r="A37">
            <v>2045</v>
          </cell>
          <cell r="C37">
            <v>2015</v>
          </cell>
          <cell r="D37">
            <v>42053</v>
          </cell>
          <cell r="E37" t="str">
            <v>설날</v>
          </cell>
        </row>
        <row r="38">
          <cell r="A38">
            <v>2046</v>
          </cell>
          <cell r="C38">
            <v>2015</v>
          </cell>
          <cell r="D38">
            <v>42054</v>
          </cell>
          <cell r="E38" t="str">
            <v>설날</v>
          </cell>
        </row>
        <row r="39">
          <cell r="A39">
            <v>2047</v>
          </cell>
          <cell r="C39">
            <v>2015</v>
          </cell>
          <cell r="D39">
            <v>42055</v>
          </cell>
          <cell r="E39" t="str">
            <v>설날</v>
          </cell>
        </row>
        <row r="40">
          <cell r="A40">
            <v>2048</v>
          </cell>
          <cell r="C40">
            <v>2015</v>
          </cell>
          <cell r="D40">
            <v>42149</v>
          </cell>
          <cell r="E40" t="str">
            <v>석가탄신일</v>
          </cell>
        </row>
        <row r="41">
          <cell r="A41">
            <v>2049</v>
          </cell>
          <cell r="C41">
            <v>2015</v>
          </cell>
          <cell r="D41">
            <v>42273</v>
          </cell>
          <cell r="E41" t="str">
            <v>추석</v>
          </cell>
        </row>
        <row r="42">
          <cell r="A42">
            <v>2050</v>
          </cell>
          <cell r="C42">
            <v>2015</v>
          </cell>
          <cell r="D42">
            <v>42274</v>
          </cell>
          <cell r="E42" t="str">
            <v>추석</v>
          </cell>
        </row>
        <row r="43">
          <cell r="A43">
            <v>2051</v>
          </cell>
          <cell r="C43">
            <v>2015</v>
          </cell>
          <cell r="D43">
            <v>42275</v>
          </cell>
          <cell r="E43" t="str">
            <v>추석</v>
          </cell>
        </row>
        <row r="44">
          <cell r="A44">
            <v>2052</v>
          </cell>
          <cell r="C44">
            <v>2016</v>
          </cell>
          <cell r="D44">
            <v>42408</v>
          </cell>
          <cell r="E44" t="str">
            <v>설날</v>
          </cell>
        </row>
        <row r="45">
          <cell r="A45">
            <v>2053</v>
          </cell>
          <cell r="C45">
            <v>2016</v>
          </cell>
          <cell r="D45">
            <v>42409</v>
          </cell>
          <cell r="E45" t="str">
            <v>설날</v>
          </cell>
        </row>
        <row r="46">
          <cell r="A46">
            <v>2054</v>
          </cell>
          <cell r="C46">
            <v>2016</v>
          </cell>
          <cell r="D46">
            <v>42410</v>
          </cell>
          <cell r="E46" t="str">
            <v>설날</v>
          </cell>
        </row>
        <row r="47">
          <cell r="A47">
            <v>2055</v>
          </cell>
          <cell r="C47">
            <v>2016</v>
          </cell>
          <cell r="D47">
            <v>42504</v>
          </cell>
          <cell r="E47" t="str">
            <v>석가탄신일</v>
          </cell>
        </row>
        <row r="48">
          <cell r="A48">
            <v>2056</v>
          </cell>
          <cell r="C48">
            <v>2016</v>
          </cell>
          <cell r="D48">
            <v>42627</v>
          </cell>
          <cell r="E48" t="str">
            <v>추석</v>
          </cell>
        </row>
        <row r="49">
          <cell r="A49">
            <v>2057</v>
          </cell>
          <cell r="C49">
            <v>2016</v>
          </cell>
          <cell r="D49">
            <v>42628</v>
          </cell>
          <cell r="E49" t="str">
            <v>추석</v>
          </cell>
        </row>
        <row r="50">
          <cell r="A50">
            <v>2058</v>
          </cell>
          <cell r="C50">
            <v>2016</v>
          </cell>
          <cell r="D50">
            <v>42629</v>
          </cell>
          <cell r="E50" t="str">
            <v>추석</v>
          </cell>
        </row>
        <row r="51">
          <cell r="A51">
            <v>2059</v>
          </cell>
          <cell r="C51">
            <v>2017</v>
          </cell>
          <cell r="D51">
            <v>42762</v>
          </cell>
          <cell r="E51" t="str">
            <v>설날</v>
          </cell>
        </row>
        <row r="52">
          <cell r="A52">
            <v>2060</v>
          </cell>
          <cell r="C52">
            <v>2017</v>
          </cell>
          <cell r="D52">
            <v>42763</v>
          </cell>
          <cell r="E52" t="str">
            <v>설날</v>
          </cell>
        </row>
        <row r="53">
          <cell r="A53">
            <v>2061</v>
          </cell>
          <cell r="C53">
            <v>2017</v>
          </cell>
          <cell r="D53">
            <v>42764</v>
          </cell>
          <cell r="E53" t="str">
            <v>설날</v>
          </cell>
        </row>
        <row r="54">
          <cell r="A54">
            <v>2062</v>
          </cell>
          <cell r="C54">
            <v>2017</v>
          </cell>
          <cell r="D54">
            <v>42858</v>
          </cell>
          <cell r="E54" t="str">
            <v>석가탄신일</v>
          </cell>
        </row>
        <row r="55">
          <cell r="A55">
            <v>2063</v>
          </cell>
          <cell r="C55">
            <v>2017</v>
          </cell>
          <cell r="D55">
            <v>43011</v>
          </cell>
          <cell r="E55" t="str">
            <v>추석</v>
          </cell>
        </row>
        <row r="56">
          <cell r="A56">
            <v>2064</v>
          </cell>
          <cell r="C56">
            <v>2017</v>
          </cell>
          <cell r="D56">
            <v>43012</v>
          </cell>
          <cell r="E56" t="str">
            <v>추석</v>
          </cell>
        </row>
        <row r="57">
          <cell r="A57">
            <v>2065</v>
          </cell>
          <cell r="C57">
            <v>2017</v>
          </cell>
          <cell r="D57">
            <v>43013</v>
          </cell>
          <cell r="E57" t="str">
            <v>추석</v>
          </cell>
        </row>
        <row r="58">
          <cell r="A58">
            <v>2066</v>
          </cell>
          <cell r="C58">
            <v>2018</v>
          </cell>
          <cell r="D58">
            <v>43146</v>
          </cell>
          <cell r="E58" t="str">
            <v>설날</v>
          </cell>
        </row>
        <row r="59">
          <cell r="A59">
            <v>2067</v>
          </cell>
          <cell r="C59">
            <v>2018</v>
          </cell>
          <cell r="D59">
            <v>43147</v>
          </cell>
          <cell r="E59" t="str">
            <v>설날</v>
          </cell>
        </row>
        <row r="60">
          <cell r="A60">
            <v>2068</v>
          </cell>
          <cell r="C60">
            <v>2018</v>
          </cell>
          <cell r="D60">
            <v>43148</v>
          </cell>
          <cell r="E60" t="str">
            <v>설날</v>
          </cell>
        </row>
        <row r="61">
          <cell r="A61">
            <v>2069</v>
          </cell>
          <cell r="C61">
            <v>2018</v>
          </cell>
          <cell r="D61">
            <v>43242</v>
          </cell>
          <cell r="E61" t="str">
            <v>석가탄신일</v>
          </cell>
        </row>
        <row r="62">
          <cell r="A62">
            <v>2070</v>
          </cell>
          <cell r="C62">
            <v>2018</v>
          </cell>
          <cell r="D62">
            <v>43366</v>
          </cell>
          <cell r="E62" t="str">
            <v>추석</v>
          </cell>
        </row>
        <row r="63">
          <cell r="A63">
            <v>2071</v>
          </cell>
          <cell r="C63">
            <v>2018</v>
          </cell>
          <cell r="D63">
            <v>43367</v>
          </cell>
          <cell r="E63" t="str">
            <v>추석</v>
          </cell>
        </row>
        <row r="64">
          <cell r="A64">
            <v>2072</v>
          </cell>
          <cell r="C64">
            <v>2018</v>
          </cell>
          <cell r="D64">
            <v>43368</v>
          </cell>
          <cell r="E64" t="str">
            <v>추석</v>
          </cell>
        </row>
        <row r="65">
          <cell r="A65">
            <v>2073</v>
          </cell>
          <cell r="C65">
            <v>2019</v>
          </cell>
          <cell r="D65">
            <v>43500</v>
          </cell>
          <cell r="E65" t="str">
            <v>설날</v>
          </cell>
        </row>
        <row r="66">
          <cell r="A66">
            <v>2074</v>
          </cell>
          <cell r="C66">
            <v>2019</v>
          </cell>
          <cell r="D66">
            <v>43501</v>
          </cell>
          <cell r="E66" t="str">
            <v>설날</v>
          </cell>
        </row>
        <row r="67">
          <cell r="A67">
            <v>2075</v>
          </cell>
          <cell r="C67">
            <v>2019</v>
          </cell>
          <cell r="D67">
            <v>43502</v>
          </cell>
          <cell r="E67" t="str">
            <v>설날</v>
          </cell>
        </row>
        <row r="68">
          <cell r="A68">
            <v>2076</v>
          </cell>
          <cell r="C68">
            <v>2019</v>
          </cell>
          <cell r="D68">
            <v>43597</v>
          </cell>
          <cell r="E68" t="str">
            <v>석가탄신일</v>
          </cell>
        </row>
        <row r="69">
          <cell r="A69">
            <v>2077</v>
          </cell>
          <cell r="C69">
            <v>2019</v>
          </cell>
          <cell r="D69">
            <v>43720</v>
          </cell>
          <cell r="E69" t="str">
            <v>추석</v>
          </cell>
        </row>
        <row r="70">
          <cell r="A70">
            <v>2078</v>
          </cell>
          <cell r="C70">
            <v>2019</v>
          </cell>
          <cell r="D70">
            <v>43721</v>
          </cell>
          <cell r="E70" t="str">
            <v>추석</v>
          </cell>
        </row>
        <row r="71">
          <cell r="A71">
            <v>2079</v>
          </cell>
          <cell r="C71">
            <v>2019</v>
          </cell>
          <cell r="D71">
            <v>43722</v>
          </cell>
          <cell r="E71" t="str">
            <v>추석</v>
          </cell>
        </row>
        <row r="72">
          <cell r="A72">
            <v>2080</v>
          </cell>
          <cell r="C72">
            <v>2020</v>
          </cell>
          <cell r="D72">
            <v>43854</v>
          </cell>
          <cell r="E72" t="str">
            <v>설날</v>
          </cell>
        </row>
        <row r="73">
          <cell r="A73">
            <v>2081</v>
          </cell>
          <cell r="C73">
            <v>2020</v>
          </cell>
          <cell r="D73">
            <v>43855</v>
          </cell>
          <cell r="E73" t="str">
            <v>설날</v>
          </cell>
        </row>
        <row r="74">
          <cell r="A74">
            <v>2082</v>
          </cell>
          <cell r="C74">
            <v>2020</v>
          </cell>
          <cell r="D74">
            <v>43856</v>
          </cell>
          <cell r="E74" t="str">
            <v>설날</v>
          </cell>
        </row>
        <row r="75">
          <cell r="A75">
            <v>2083</v>
          </cell>
          <cell r="C75">
            <v>2020</v>
          </cell>
          <cell r="D75">
            <v>43951</v>
          </cell>
          <cell r="E75" t="str">
            <v>석가탄신일</v>
          </cell>
        </row>
        <row r="76">
          <cell r="A76">
            <v>2084</v>
          </cell>
          <cell r="C76">
            <v>2020</v>
          </cell>
          <cell r="D76">
            <v>44104</v>
          </cell>
          <cell r="E76" t="str">
            <v>추석</v>
          </cell>
        </row>
        <row r="77">
          <cell r="A77">
            <v>2085</v>
          </cell>
          <cell r="C77">
            <v>2020</v>
          </cell>
          <cell r="D77">
            <v>44105</v>
          </cell>
          <cell r="E77" t="str">
            <v>추석</v>
          </cell>
        </row>
        <row r="78">
          <cell r="A78">
            <v>2086</v>
          </cell>
          <cell r="C78">
            <v>2020</v>
          </cell>
          <cell r="D78">
            <v>44106</v>
          </cell>
          <cell r="E78" t="str">
            <v>추석</v>
          </cell>
        </row>
        <row r="79">
          <cell r="A79">
            <v>2087</v>
          </cell>
          <cell r="C79">
            <v>2021</v>
          </cell>
          <cell r="D79">
            <v>44238</v>
          </cell>
          <cell r="E79" t="str">
            <v>설날</v>
          </cell>
        </row>
        <row r="80">
          <cell r="A80">
            <v>2088</v>
          </cell>
          <cell r="C80">
            <v>2021</v>
          </cell>
          <cell r="D80">
            <v>44239</v>
          </cell>
          <cell r="E80" t="str">
            <v>설날</v>
          </cell>
        </row>
        <row r="81">
          <cell r="A81">
            <v>2089</v>
          </cell>
          <cell r="C81">
            <v>2021</v>
          </cell>
          <cell r="D81">
            <v>44240</v>
          </cell>
          <cell r="E81" t="str">
            <v>설날</v>
          </cell>
        </row>
        <row r="82">
          <cell r="A82">
            <v>2090</v>
          </cell>
          <cell r="C82">
            <v>2021</v>
          </cell>
          <cell r="D82">
            <v>44335</v>
          </cell>
          <cell r="E82" t="str">
            <v>석가탄신일</v>
          </cell>
        </row>
        <row r="83">
          <cell r="A83">
            <v>2091</v>
          </cell>
          <cell r="C83">
            <v>2021</v>
          </cell>
          <cell r="D83">
            <v>44459</v>
          </cell>
          <cell r="E83" t="str">
            <v>추석</v>
          </cell>
        </row>
        <row r="84">
          <cell r="A84">
            <v>2092</v>
          </cell>
          <cell r="C84">
            <v>2021</v>
          </cell>
          <cell r="D84">
            <v>44460</v>
          </cell>
          <cell r="E84" t="str">
            <v>추석</v>
          </cell>
        </row>
        <row r="85">
          <cell r="A85">
            <v>2093</v>
          </cell>
          <cell r="C85">
            <v>2021</v>
          </cell>
          <cell r="D85">
            <v>44461</v>
          </cell>
          <cell r="E85" t="str">
            <v>추석</v>
          </cell>
        </row>
        <row r="86">
          <cell r="A86">
            <v>2094</v>
          </cell>
          <cell r="C86">
            <v>2022</v>
          </cell>
          <cell r="D86">
            <v>44592</v>
          </cell>
          <cell r="E86" t="str">
            <v>설날</v>
          </cell>
        </row>
        <row r="87">
          <cell r="A87">
            <v>2095</v>
          </cell>
          <cell r="C87">
            <v>2022</v>
          </cell>
          <cell r="D87">
            <v>44593</v>
          </cell>
          <cell r="E87" t="str">
            <v>설날</v>
          </cell>
        </row>
        <row r="88">
          <cell r="A88">
            <v>2096</v>
          </cell>
          <cell r="C88">
            <v>2022</v>
          </cell>
          <cell r="D88">
            <v>44594</v>
          </cell>
          <cell r="E88" t="str">
            <v>설날</v>
          </cell>
        </row>
        <row r="89">
          <cell r="A89">
            <v>2097</v>
          </cell>
          <cell r="C89">
            <v>2022</v>
          </cell>
          <cell r="D89">
            <v>44689</v>
          </cell>
          <cell r="E89" t="str">
            <v>석가탄신일</v>
          </cell>
        </row>
        <row r="90">
          <cell r="A90">
            <v>2098</v>
          </cell>
          <cell r="C90">
            <v>2022</v>
          </cell>
          <cell r="D90">
            <v>44813</v>
          </cell>
          <cell r="E90" t="str">
            <v>추석</v>
          </cell>
        </row>
        <row r="91">
          <cell r="A91">
            <v>2099</v>
          </cell>
          <cell r="C91">
            <v>2022</v>
          </cell>
          <cell r="D91">
            <v>44814</v>
          </cell>
          <cell r="E91" t="str">
            <v>추석</v>
          </cell>
        </row>
        <row r="92">
          <cell r="A92">
            <v>2100</v>
          </cell>
          <cell r="C92">
            <v>2022</v>
          </cell>
          <cell r="D92">
            <v>44815</v>
          </cell>
          <cell r="E92" t="str">
            <v>추석</v>
          </cell>
        </row>
        <row r="93">
          <cell r="C93">
            <v>2023</v>
          </cell>
          <cell r="D93">
            <v>44947</v>
          </cell>
          <cell r="E93" t="str">
            <v>설날</v>
          </cell>
        </row>
        <row r="94">
          <cell r="C94">
            <v>2023</v>
          </cell>
          <cell r="D94">
            <v>44948</v>
          </cell>
          <cell r="E94" t="str">
            <v>설날</v>
          </cell>
        </row>
        <row r="95">
          <cell r="C95">
            <v>2023</v>
          </cell>
          <cell r="D95">
            <v>44949</v>
          </cell>
          <cell r="E95" t="str">
            <v>설날</v>
          </cell>
        </row>
        <row r="96">
          <cell r="C96">
            <v>2023</v>
          </cell>
          <cell r="D96">
            <v>45073</v>
          </cell>
          <cell r="E96" t="str">
            <v>석가탄신일</v>
          </cell>
        </row>
        <row r="97">
          <cell r="C97">
            <v>2023</v>
          </cell>
          <cell r="D97">
            <v>45197</v>
          </cell>
          <cell r="E97" t="str">
            <v>추석</v>
          </cell>
        </row>
        <row r="98">
          <cell r="C98">
            <v>2023</v>
          </cell>
          <cell r="D98">
            <v>45198</v>
          </cell>
          <cell r="E98" t="str">
            <v>추석</v>
          </cell>
        </row>
        <row r="99">
          <cell r="C99">
            <v>2023</v>
          </cell>
          <cell r="D99">
            <v>45199</v>
          </cell>
          <cell r="E99" t="str">
            <v>추석</v>
          </cell>
        </row>
        <row r="100">
          <cell r="C100">
            <v>2024</v>
          </cell>
          <cell r="D100">
            <v>45331</v>
          </cell>
          <cell r="E100" t="str">
            <v>설날</v>
          </cell>
        </row>
        <row r="101">
          <cell r="C101">
            <v>2024</v>
          </cell>
          <cell r="D101">
            <v>45332</v>
          </cell>
          <cell r="E101" t="str">
            <v>설날</v>
          </cell>
        </row>
        <row r="102">
          <cell r="C102">
            <v>2024</v>
          </cell>
          <cell r="D102">
            <v>45333</v>
          </cell>
          <cell r="E102" t="str">
            <v>설날</v>
          </cell>
        </row>
        <row r="103">
          <cell r="C103">
            <v>2024</v>
          </cell>
          <cell r="D103">
            <v>45427</v>
          </cell>
          <cell r="E103" t="str">
            <v>석가탄신일</v>
          </cell>
        </row>
        <row r="104">
          <cell r="C104">
            <v>2024</v>
          </cell>
          <cell r="D104">
            <v>45551</v>
          </cell>
          <cell r="E104" t="str">
            <v>추석</v>
          </cell>
        </row>
        <row r="105">
          <cell r="C105">
            <v>2024</v>
          </cell>
          <cell r="D105">
            <v>45552</v>
          </cell>
          <cell r="E105" t="str">
            <v>추석</v>
          </cell>
        </row>
        <row r="106">
          <cell r="C106">
            <v>2024</v>
          </cell>
          <cell r="D106">
            <v>45553</v>
          </cell>
          <cell r="E106" t="str">
            <v>추석</v>
          </cell>
        </row>
        <row r="107">
          <cell r="C107">
            <v>2025</v>
          </cell>
          <cell r="D107">
            <v>45685</v>
          </cell>
          <cell r="E107" t="str">
            <v>설날</v>
          </cell>
        </row>
        <row r="108">
          <cell r="C108">
            <v>2025</v>
          </cell>
          <cell r="D108">
            <v>45686</v>
          </cell>
          <cell r="E108" t="str">
            <v>설날</v>
          </cell>
        </row>
        <row r="109">
          <cell r="C109">
            <v>2025</v>
          </cell>
          <cell r="D109">
            <v>45687</v>
          </cell>
          <cell r="E109" t="str">
            <v>설날</v>
          </cell>
        </row>
        <row r="110">
          <cell r="C110">
            <v>2025</v>
          </cell>
          <cell r="D110">
            <v>45782</v>
          </cell>
          <cell r="E110" t="str">
            <v>석가탄신일</v>
          </cell>
        </row>
        <row r="111">
          <cell r="C111">
            <v>2025</v>
          </cell>
          <cell r="D111">
            <v>45935</v>
          </cell>
          <cell r="E111" t="str">
            <v>추석</v>
          </cell>
        </row>
        <row r="112">
          <cell r="C112">
            <v>2025</v>
          </cell>
          <cell r="D112">
            <v>45936</v>
          </cell>
          <cell r="E112" t="str">
            <v>추석</v>
          </cell>
        </row>
        <row r="113">
          <cell r="C113">
            <v>2025</v>
          </cell>
          <cell r="D113">
            <v>45937</v>
          </cell>
          <cell r="E113" t="str">
            <v>추석</v>
          </cell>
        </row>
        <row r="114">
          <cell r="C114">
            <v>2026</v>
          </cell>
          <cell r="D114">
            <v>46069</v>
          </cell>
          <cell r="E114" t="str">
            <v>설날</v>
          </cell>
        </row>
        <row r="115">
          <cell r="C115">
            <v>2026</v>
          </cell>
          <cell r="D115">
            <v>46070</v>
          </cell>
          <cell r="E115" t="str">
            <v>설날</v>
          </cell>
        </row>
        <row r="116">
          <cell r="C116">
            <v>2026</v>
          </cell>
          <cell r="D116">
            <v>46071</v>
          </cell>
          <cell r="E116" t="str">
            <v>설날</v>
          </cell>
        </row>
        <row r="117">
          <cell r="C117">
            <v>2026</v>
          </cell>
          <cell r="D117">
            <v>46166</v>
          </cell>
          <cell r="E117" t="str">
            <v>석가탄신일</v>
          </cell>
        </row>
        <row r="118">
          <cell r="C118">
            <v>2026</v>
          </cell>
          <cell r="D118">
            <v>46289</v>
          </cell>
          <cell r="E118" t="str">
            <v>추석</v>
          </cell>
        </row>
        <row r="119">
          <cell r="C119">
            <v>2026</v>
          </cell>
          <cell r="D119">
            <v>46290</v>
          </cell>
          <cell r="E119" t="str">
            <v>추석</v>
          </cell>
        </row>
        <row r="120">
          <cell r="C120">
            <v>2026</v>
          </cell>
          <cell r="D120">
            <v>46291</v>
          </cell>
          <cell r="E120" t="str">
            <v>추석</v>
          </cell>
        </row>
        <row r="121">
          <cell r="C121">
            <v>2027</v>
          </cell>
          <cell r="D121">
            <v>46424</v>
          </cell>
          <cell r="E121" t="str">
            <v>설날</v>
          </cell>
        </row>
        <row r="122">
          <cell r="C122">
            <v>2027</v>
          </cell>
          <cell r="D122">
            <v>46425</v>
          </cell>
          <cell r="E122" t="str">
            <v>설날</v>
          </cell>
        </row>
        <row r="123">
          <cell r="C123">
            <v>2027</v>
          </cell>
          <cell r="D123">
            <v>46426</v>
          </cell>
          <cell r="E123" t="str">
            <v>설날</v>
          </cell>
        </row>
        <row r="124">
          <cell r="C124">
            <v>2027</v>
          </cell>
          <cell r="D124">
            <v>46520</v>
          </cell>
          <cell r="E124" t="str">
            <v>석가탄신일</v>
          </cell>
        </row>
        <row r="125">
          <cell r="C125">
            <v>2027</v>
          </cell>
          <cell r="D125">
            <v>46644</v>
          </cell>
          <cell r="E125" t="str">
            <v>추석</v>
          </cell>
        </row>
        <row r="126">
          <cell r="C126">
            <v>2027</v>
          </cell>
          <cell r="D126">
            <v>46645</v>
          </cell>
          <cell r="E126" t="str">
            <v>추석</v>
          </cell>
        </row>
        <row r="127">
          <cell r="C127">
            <v>2027</v>
          </cell>
          <cell r="D127">
            <v>46646</v>
          </cell>
          <cell r="E127" t="str">
            <v>추석</v>
          </cell>
        </row>
        <row r="128">
          <cell r="C128">
            <v>2028</v>
          </cell>
          <cell r="D128">
            <v>46778</v>
          </cell>
          <cell r="E128" t="str">
            <v>설날</v>
          </cell>
        </row>
        <row r="129">
          <cell r="C129">
            <v>2028</v>
          </cell>
          <cell r="D129">
            <v>46779</v>
          </cell>
          <cell r="E129" t="str">
            <v>설날</v>
          </cell>
        </row>
        <row r="130">
          <cell r="C130">
            <v>2028</v>
          </cell>
          <cell r="D130">
            <v>46780</v>
          </cell>
          <cell r="E130" t="str">
            <v>설날</v>
          </cell>
        </row>
        <row r="131">
          <cell r="C131">
            <v>2028</v>
          </cell>
          <cell r="D131">
            <v>46875</v>
          </cell>
          <cell r="E131" t="str">
            <v>석가탄신일</v>
          </cell>
        </row>
        <row r="132">
          <cell r="C132">
            <v>2028</v>
          </cell>
          <cell r="D132">
            <v>47028</v>
          </cell>
          <cell r="E132" t="str">
            <v>추석</v>
          </cell>
        </row>
        <row r="133">
          <cell r="C133">
            <v>2028</v>
          </cell>
          <cell r="D133">
            <v>47029</v>
          </cell>
          <cell r="E133" t="str">
            <v>추석</v>
          </cell>
        </row>
        <row r="134">
          <cell r="C134">
            <v>2028</v>
          </cell>
          <cell r="D134">
            <v>47030</v>
          </cell>
          <cell r="E134" t="str">
            <v>추석</v>
          </cell>
        </row>
        <row r="135">
          <cell r="C135">
            <v>2029</v>
          </cell>
          <cell r="D135">
            <v>47161</v>
          </cell>
          <cell r="E135" t="str">
            <v>설날</v>
          </cell>
        </row>
        <row r="136">
          <cell r="C136">
            <v>2029</v>
          </cell>
          <cell r="D136">
            <v>47162</v>
          </cell>
          <cell r="E136" t="str">
            <v>설날</v>
          </cell>
        </row>
        <row r="137">
          <cell r="C137">
            <v>2029</v>
          </cell>
          <cell r="D137">
            <v>47163</v>
          </cell>
          <cell r="E137" t="str">
            <v>설날</v>
          </cell>
        </row>
        <row r="138">
          <cell r="C138">
            <v>2029</v>
          </cell>
          <cell r="D138">
            <v>47258</v>
          </cell>
          <cell r="E138" t="str">
            <v>석가탄신일</v>
          </cell>
        </row>
        <row r="139">
          <cell r="C139">
            <v>2029</v>
          </cell>
          <cell r="D139">
            <v>47382</v>
          </cell>
          <cell r="E139" t="str">
            <v>추석</v>
          </cell>
        </row>
        <row r="140">
          <cell r="C140">
            <v>2029</v>
          </cell>
          <cell r="D140">
            <v>47383</v>
          </cell>
          <cell r="E140" t="str">
            <v>추석</v>
          </cell>
        </row>
        <row r="141">
          <cell r="C141">
            <v>2029</v>
          </cell>
          <cell r="D141">
            <v>47384</v>
          </cell>
          <cell r="E141" t="str">
            <v>추석</v>
          </cell>
        </row>
        <row r="142">
          <cell r="C142">
            <v>2030</v>
          </cell>
          <cell r="D142">
            <v>47516</v>
          </cell>
          <cell r="E142" t="str">
            <v>설날</v>
          </cell>
        </row>
        <row r="143">
          <cell r="C143">
            <v>2030</v>
          </cell>
          <cell r="D143">
            <v>47517</v>
          </cell>
          <cell r="E143" t="str">
            <v>설날</v>
          </cell>
        </row>
        <row r="144">
          <cell r="C144">
            <v>2030</v>
          </cell>
          <cell r="D144">
            <v>47518</v>
          </cell>
          <cell r="E144" t="str">
            <v>설날</v>
          </cell>
        </row>
        <row r="145">
          <cell r="C145">
            <v>2030</v>
          </cell>
          <cell r="D145">
            <v>47612</v>
          </cell>
          <cell r="E145" t="str">
            <v>석가탄신일</v>
          </cell>
        </row>
        <row r="146">
          <cell r="C146">
            <v>2030</v>
          </cell>
          <cell r="D146">
            <v>47737</v>
          </cell>
          <cell r="E146" t="str">
            <v>추석</v>
          </cell>
        </row>
        <row r="147">
          <cell r="C147">
            <v>2030</v>
          </cell>
          <cell r="D147">
            <v>47738</v>
          </cell>
          <cell r="E147" t="str">
            <v>추석</v>
          </cell>
        </row>
        <row r="148">
          <cell r="C148">
            <v>2030</v>
          </cell>
          <cell r="D148">
            <v>47739</v>
          </cell>
          <cell r="E148" t="str">
            <v>추석</v>
          </cell>
        </row>
        <row r="149">
          <cell r="C149">
            <v>2031</v>
          </cell>
          <cell r="D149">
            <v>47870</v>
          </cell>
          <cell r="E149" t="str">
            <v>설날</v>
          </cell>
        </row>
        <row r="150">
          <cell r="C150">
            <v>2031</v>
          </cell>
          <cell r="D150">
            <v>47871</v>
          </cell>
          <cell r="E150" t="str">
            <v>설날</v>
          </cell>
        </row>
        <row r="151">
          <cell r="C151">
            <v>2031</v>
          </cell>
          <cell r="D151">
            <v>47872</v>
          </cell>
          <cell r="E151" t="str">
            <v>설날</v>
          </cell>
        </row>
        <row r="152">
          <cell r="C152">
            <v>2031</v>
          </cell>
          <cell r="D152">
            <v>47996</v>
          </cell>
          <cell r="E152" t="str">
            <v>석가탄신일</v>
          </cell>
        </row>
        <row r="153">
          <cell r="C153">
            <v>2031</v>
          </cell>
          <cell r="D153">
            <v>48121</v>
          </cell>
          <cell r="E153" t="str">
            <v>추석</v>
          </cell>
        </row>
        <row r="154">
          <cell r="C154">
            <v>2031</v>
          </cell>
          <cell r="D154">
            <v>48122</v>
          </cell>
          <cell r="E154" t="str">
            <v>추석</v>
          </cell>
        </row>
        <row r="155">
          <cell r="C155">
            <v>2031</v>
          </cell>
          <cell r="D155">
            <v>48123</v>
          </cell>
          <cell r="E155" t="str">
            <v>추석</v>
          </cell>
        </row>
        <row r="156">
          <cell r="C156">
            <v>2032</v>
          </cell>
          <cell r="D156">
            <v>48254</v>
          </cell>
          <cell r="E156" t="str">
            <v>설날</v>
          </cell>
        </row>
        <row r="157">
          <cell r="C157">
            <v>2032</v>
          </cell>
          <cell r="D157">
            <v>48255</v>
          </cell>
          <cell r="E157" t="str">
            <v>설날</v>
          </cell>
        </row>
        <row r="158">
          <cell r="C158">
            <v>2032</v>
          </cell>
          <cell r="D158">
            <v>48256</v>
          </cell>
          <cell r="E158" t="str">
            <v>설날</v>
          </cell>
        </row>
        <row r="159">
          <cell r="C159">
            <v>2032</v>
          </cell>
          <cell r="D159">
            <v>48350</v>
          </cell>
          <cell r="E159" t="str">
            <v>석가탄신일</v>
          </cell>
        </row>
        <row r="160">
          <cell r="C160">
            <v>2032</v>
          </cell>
          <cell r="D160">
            <v>48475</v>
          </cell>
          <cell r="E160" t="str">
            <v>추석</v>
          </cell>
        </row>
        <row r="161">
          <cell r="C161">
            <v>2032</v>
          </cell>
          <cell r="D161">
            <v>48476</v>
          </cell>
          <cell r="E161" t="str">
            <v>추석</v>
          </cell>
        </row>
        <row r="162">
          <cell r="C162">
            <v>2032</v>
          </cell>
          <cell r="D162">
            <v>48477</v>
          </cell>
          <cell r="E162" t="str">
            <v>추석</v>
          </cell>
        </row>
        <row r="163">
          <cell r="C163">
            <v>2033</v>
          </cell>
          <cell r="D163">
            <v>48609</v>
          </cell>
          <cell r="E163" t="str">
            <v>설날</v>
          </cell>
        </row>
        <row r="164">
          <cell r="C164">
            <v>2033</v>
          </cell>
          <cell r="D164">
            <v>48610</v>
          </cell>
          <cell r="E164" t="str">
            <v>설날</v>
          </cell>
        </row>
        <row r="165">
          <cell r="C165">
            <v>2033</v>
          </cell>
          <cell r="D165">
            <v>48611</v>
          </cell>
          <cell r="E165" t="str">
            <v>설날</v>
          </cell>
        </row>
        <row r="166">
          <cell r="C166">
            <v>2033</v>
          </cell>
          <cell r="D166">
            <v>48705</v>
          </cell>
          <cell r="E166" t="str">
            <v>석가탄신일</v>
          </cell>
        </row>
        <row r="167">
          <cell r="C167">
            <v>2033</v>
          </cell>
          <cell r="D167">
            <v>48858</v>
          </cell>
          <cell r="E167" t="str">
            <v>추석</v>
          </cell>
        </row>
        <row r="168">
          <cell r="C168">
            <v>2033</v>
          </cell>
          <cell r="D168">
            <v>48859</v>
          </cell>
          <cell r="E168" t="str">
            <v>추석</v>
          </cell>
        </row>
        <row r="169">
          <cell r="C169">
            <v>2033</v>
          </cell>
          <cell r="D169">
            <v>48860</v>
          </cell>
          <cell r="E169" t="str">
            <v>추석</v>
          </cell>
        </row>
        <row r="170">
          <cell r="C170">
            <v>2034</v>
          </cell>
          <cell r="D170">
            <v>48993</v>
          </cell>
          <cell r="E170" t="str">
            <v>설날</v>
          </cell>
        </row>
        <row r="171">
          <cell r="C171">
            <v>2034</v>
          </cell>
          <cell r="D171">
            <v>48994</v>
          </cell>
          <cell r="E171" t="str">
            <v>설날</v>
          </cell>
        </row>
        <row r="172">
          <cell r="C172">
            <v>2034</v>
          </cell>
          <cell r="D172">
            <v>48995</v>
          </cell>
          <cell r="E172" t="str">
            <v>설날</v>
          </cell>
        </row>
        <row r="173">
          <cell r="C173">
            <v>2034</v>
          </cell>
          <cell r="D173">
            <v>49089</v>
          </cell>
          <cell r="E173" t="str">
            <v>석가탄신일</v>
          </cell>
        </row>
        <row r="174">
          <cell r="C174">
            <v>2034</v>
          </cell>
          <cell r="D174">
            <v>49213</v>
          </cell>
          <cell r="E174" t="str">
            <v>추석</v>
          </cell>
        </row>
        <row r="175">
          <cell r="C175">
            <v>2034</v>
          </cell>
          <cell r="D175">
            <v>49214</v>
          </cell>
          <cell r="E175" t="str">
            <v>추석</v>
          </cell>
        </row>
        <row r="176">
          <cell r="C176">
            <v>2034</v>
          </cell>
          <cell r="D176">
            <v>49215</v>
          </cell>
          <cell r="E176" t="str">
            <v>추석</v>
          </cell>
        </row>
        <row r="177">
          <cell r="C177">
            <v>2035</v>
          </cell>
          <cell r="D177">
            <v>49347</v>
          </cell>
          <cell r="E177" t="str">
            <v>설날</v>
          </cell>
        </row>
        <row r="178">
          <cell r="C178">
            <v>2035</v>
          </cell>
          <cell r="D178">
            <v>49348</v>
          </cell>
          <cell r="E178" t="str">
            <v>설날</v>
          </cell>
        </row>
        <row r="179">
          <cell r="C179">
            <v>2035</v>
          </cell>
          <cell r="D179">
            <v>49349</v>
          </cell>
          <cell r="E179" t="str">
            <v>설날</v>
          </cell>
        </row>
        <row r="180">
          <cell r="C180">
            <v>2035</v>
          </cell>
          <cell r="D180">
            <v>49444</v>
          </cell>
          <cell r="E180" t="str">
            <v>석가탄신일</v>
          </cell>
        </row>
        <row r="181">
          <cell r="C181">
            <v>2035</v>
          </cell>
          <cell r="D181">
            <v>49567</v>
          </cell>
          <cell r="E181" t="str">
            <v>추석</v>
          </cell>
        </row>
        <row r="182">
          <cell r="C182">
            <v>2035</v>
          </cell>
          <cell r="D182">
            <v>49568</v>
          </cell>
          <cell r="E182" t="str">
            <v>추석</v>
          </cell>
        </row>
        <row r="183">
          <cell r="C183">
            <v>2035</v>
          </cell>
          <cell r="D183">
            <v>49569</v>
          </cell>
          <cell r="E183" t="str">
            <v>추석</v>
          </cell>
        </row>
        <row r="184">
          <cell r="C184">
            <v>2036</v>
          </cell>
          <cell r="D184">
            <v>49701</v>
          </cell>
          <cell r="E184" t="str">
            <v>설날</v>
          </cell>
        </row>
        <row r="185">
          <cell r="C185">
            <v>2036</v>
          </cell>
          <cell r="D185">
            <v>49702</v>
          </cell>
          <cell r="E185" t="str">
            <v>설날</v>
          </cell>
        </row>
        <row r="186">
          <cell r="C186">
            <v>2036</v>
          </cell>
          <cell r="D186">
            <v>49703</v>
          </cell>
          <cell r="E186" t="str">
            <v>설날</v>
          </cell>
        </row>
        <row r="187">
          <cell r="C187">
            <v>2036</v>
          </cell>
          <cell r="D187">
            <v>49798</v>
          </cell>
          <cell r="E187" t="str">
            <v>석가탄신일</v>
          </cell>
        </row>
        <row r="188">
          <cell r="C188">
            <v>2036</v>
          </cell>
          <cell r="D188">
            <v>49951</v>
          </cell>
          <cell r="E188" t="str">
            <v>추석</v>
          </cell>
        </row>
        <row r="189">
          <cell r="C189">
            <v>2036</v>
          </cell>
          <cell r="D189">
            <v>49952</v>
          </cell>
          <cell r="E189" t="str">
            <v>추석</v>
          </cell>
        </row>
        <row r="190">
          <cell r="C190">
            <v>2036</v>
          </cell>
          <cell r="D190">
            <v>49953</v>
          </cell>
          <cell r="E190" t="str">
            <v>추석</v>
          </cell>
        </row>
        <row r="191">
          <cell r="C191">
            <v>2037</v>
          </cell>
          <cell r="D191">
            <v>50085</v>
          </cell>
          <cell r="E191" t="str">
            <v>설날</v>
          </cell>
        </row>
        <row r="192">
          <cell r="C192">
            <v>2037</v>
          </cell>
          <cell r="D192">
            <v>50086</v>
          </cell>
          <cell r="E192" t="str">
            <v>설날</v>
          </cell>
        </row>
        <row r="193">
          <cell r="C193">
            <v>2037</v>
          </cell>
          <cell r="D193">
            <v>50087</v>
          </cell>
          <cell r="E193" t="str">
            <v>설날</v>
          </cell>
        </row>
        <row r="194">
          <cell r="C194">
            <v>2037</v>
          </cell>
          <cell r="D194">
            <v>50182</v>
          </cell>
          <cell r="E194" t="str">
            <v>석가탄신일</v>
          </cell>
        </row>
        <row r="195">
          <cell r="C195">
            <v>2037</v>
          </cell>
          <cell r="D195">
            <v>50306</v>
          </cell>
          <cell r="E195" t="str">
            <v>추석</v>
          </cell>
        </row>
        <row r="196">
          <cell r="C196">
            <v>2037</v>
          </cell>
          <cell r="D196">
            <v>50307</v>
          </cell>
          <cell r="E196" t="str">
            <v>추석</v>
          </cell>
        </row>
        <row r="197">
          <cell r="C197">
            <v>2037</v>
          </cell>
          <cell r="D197">
            <v>50308</v>
          </cell>
          <cell r="E197" t="str">
            <v>추석</v>
          </cell>
        </row>
        <row r="198">
          <cell r="C198">
            <v>2038</v>
          </cell>
          <cell r="D198">
            <v>50439</v>
          </cell>
          <cell r="E198" t="str">
            <v>설날</v>
          </cell>
        </row>
        <row r="199">
          <cell r="C199">
            <v>2038</v>
          </cell>
          <cell r="D199">
            <v>50440</v>
          </cell>
          <cell r="E199" t="str">
            <v>설날</v>
          </cell>
        </row>
        <row r="200">
          <cell r="C200">
            <v>2038</v>
          </cell>
          <cell r="D200">
            <v>50441</v>
          </cell>
          <cell r="E200" t="str">
            <v>설날</v>
          </cell>
        </row>
        <row r="201">
          <cell r="C201">
            <v>2038</v>
          </cell>
          <cell r="D201">
            <v>50536</v>
          </cell>
          <cell r="E201" t="str">
            <v>석가탄신일</v>
          </cell>
        </row>
        <row r="202">
          <cell r="C202">
            <v>2038</v>
          </cell>
          <cell r="D202">
            <v>50660</v>
          </cell>
          <cell r="E202" t="str">
            <v>추석</v>
          </cell>
        </row>
        <row r="203">
          <cell r="C203">
            <v>2038</v>
          </cell>
          <cell r="D203">
            <v>50661</v>
          </cell>
          <cell r="E203" t="str">
            <v>추석</v>
          </cell>
        </row>
        <row r="204">
          <cell r="C204">
            <v>2038</v>
          </cell>
          <cell r="D204">
            <v>50662</v>
          </cell>
          <cell r="E204" t="str">
            <v>추석</v>
          </cell>
        </row>
        <row r="205">
          <cell r="C205">
            <v>2039</v>
          </cell>
          <cell r="D205">
            <v>50793</v>
          </cell>
          <cell r="E205" t="str">
            <v>설날</v>
          </cell>
        </row>
        <row r="206">
          <cell r="C206">
            <v>2039</v>
          </cell>
          <cell r="D206">
            <v>50794</v>
          </cell>
          <cell r="E206" t="str">
            <v>설날</v>
          </cell>
        </row>
        <row r="207">
          <cell r="C207">
            <v>2039</v>
          </cell>
          <cell r="D207">
            <v>50795</v>
          </cell>
          <cell r="E207" t="str">
            <v>설날</v>
          </cell>
        </row>
        <row r="208">
          <cell r="C208">
            <v>2039</v>
          </cell>
          <cell r="D208">
            <v>50890</v>
          </cell>
          <cell r="E208" t="str">
            <v>석가탄신일</v>
          </cell>
        </row>
        <row r="209">
          <cell r="C209">
            <v>2039</v>
          </cell>
          <cell r="D209">
            <v>51044</v>
          </cell>
          <cell r="E209" t="str">
            <v>추석</v>
          </cell>
        </row>
        <row r="210">
          <cell r="C210">
            <v>2039</v>
          </cell>
          <cell r="D210">
            <v>51045</v>
          </cell>
          <cell r="E210" t="str">
            <v>추석</v>
          </cell>
        </row>
        <row r="211">
          <cell r="C211">
            <v>2039</v>
          </cell>
          <cell r="D211">
            <v>51046</v>
          </cell>
          <cell r="E211" t="str">
            <v>추석</v>
          </cell>
        </row>
        <row r="212">
          <cell r="C212">
            <v>2040</v>
          </cell>
          <cell r="D212">
            <v>51177</v>
          </cell>
          <cell r="E212" t="str">
            <v>설날</v>
          </cell>
        </row>
        <row r="213">
          <cell r="C213">
            <v>2040</v>
          </cell>
          <cell r="D213">
            <v>51178</v>
          </cell>
          <cell r="E213" t="str">
            <v>설날</v>
          </cell>
        </row>
        <row r="214">
          <cell r="C214">
            <v>2040</v>
          </cell>
          <cell r="D214">
            <v>51179</v>
          </cell>
          <cell r="E214" t="str">
            <v>설날</v>
          </cell>
        </row>
        <row r="215">
          <cell r="C215">
            <v>2040</v>
          </cell>
          <cell r="D215">
            <v>51274</v>
          </cell>
          <cell r="E215" t="str">
            <v>석가탄신일</v>
          </cell>
        </row>
        <row r="216">
          <cell r="C216">
            <v>2040</v>
          </cell>
          <cell r="D216">
            <v>51399</v>
          </cell>
          <cell r="E216" t="str">
            <v>추석</v>
          </cell>
        </row>
        <row r="217">
          <cell r="C217">
            <v>2040</v>
          </cell>
          <cell r="D217">
            <v>51400</v>
          </cell>
          <cell r="E217" t="str">
            <v>추석</v>
          </cell>
        </row>
        <row r="218">
          <cell r="C218">
            <v>2040</v>
          </cell>
          <cell r="D218">
            <v>51401</v>
          </cell>
          <cell r="E218" t="str">
            <v>추석</v>
          </cell>
        </row>
        <row r="219">
          <cell r="C219">
            <v>2041</v>
          </cell>
          <cell r="D219">
            <v>51532</v>
          </cell>
          <cell r="E219" t="str">
            <v>설날</v>
          </cell>
        </row>
        <row r="220">
          <cell r="C220">
            <v>2041</v>
          </cell>
          <cell r="D220">
            <v>51533</v>
          </cell>
          <cell r="E220" t="str">
            <v>설날</v>
          </cell>
        </row>
        <row r="221">
          <cell r="C221">
            <v>2041</v>
          </cell>
          <cell r="D221">
            <v>51534</v>
          </cell>
          <cell r="E221" t="str">
            <v>설날</v>
          </cell>
        </row>
        <row r="222">
          <cell r="C222">
            <v>2041</v>
          </cell>
          <cell r="D222">
            <v>51628</v>
          </cell>
          <cell r="E222" t="str">
            <v>석가탄신일</v>
          </cell>
        </row>
        <row r="223">
          <cell r="C223">
            <v>2041</v>
          </cell>
          <cell r="D223">
            <v>51753</v>
          </cell>
          <cell r="E223" t="str">
            <v>추석</v>
          </cell>
        </row>
        <row r="224">
          <cell r="C224">
            <v>2041</v>
          </cell>
          <cell r="D224">
            <v>51754</v>
          </cell>
          <cell r="E224" t="str">
            <v>추석</v>
          </cell>
        </row>
        <row r="225">
          <cell r="C225">
            <v>2041</v>
          </cell>
          <cell r="D225">
            <v>51755</v>
          </cell>
          <cell r="E225" t="str">
            <v>추석</v>
          </cell>
        </row>
        <row r="226">
          <cell r="C226">
            <v>2042</v>
          </cell>
          <cell r="D226">
            <v>51887</v>
          </cell>
          <cell r="E226" t="str">
            <v>설날</v>
          </cell>
        </row>
        <row r="227">
          <cell r="C227">
            <v>2042</v>
          </cell>
          <cell r="D227">
            <v>51888</v>
          </cell>
          <cell r="E227" t="str">
            <v>설날</v>
          </cell>
        </row>
        <row r="228">
          <cell r="C228">
            <v>2042</v>
          </cell>
          <cell r="D228">
            <v>51889</v>
          </cell>
          <cell r="E228" t="str">
            <v>설날</v>
          </cell>
        </row>
        <row r="229">
          <cell r="C229">
            <v>2042</v>
          </cell>
          <cell r="D229">
            <v>52012</v>
          </cell>
          <cell r="E229" t="str">
            <v>석가탄신일</v>
          </cell>
        </row>
        <row r="230">
          <cell r="C230">
            <v>2042</v>
          </cell>
          <cell r="D230">
            <v>52136</v>
          </cell>
          <cell r="E230" t="str">
            <v>추석</v>
          </cell>
        </row>
        <row r="231">
          <cell r="C231">
            <v>2042</v>
          </cell>
          <cell r="D231">
            <v>52137</v>
          </cell>
          <cell r="E231" t="str">
            <v>추석</v>
          </cell>
        </row>
        <row r="232">
          <cell r="C232">
            <v>2042</v>
          </cell>
          <cell r="D232">
            <v>52138</v>
          </cell>
          <cell r="E232" t="str">
            <v>추석</v>
          </cell>
        </row>
        <row r="233">
          <cell r="C233">
            <v>2043</v>
          </cell>
          <cell r="D233">
            <v>52271</v>
          </cell>
          <cell r="E233" t="str">
            <v>설날</v>
          </cell>
        </row>
        <row r="234">
          <cell r="C234">
            <v>2043</v>
          </cell>
          <cell r="D234">
            <v>52272</v>
          </cell>
          <cell r="E234" t="str">
            <v>설날</v>
          </cell>
        </row>
        <row r="235">
          <cell r="C235">
            <v>2043</v>
          </cell>
          <cell r="D235">
            <v>52273</v>
          </cell>
          <cell r="E235" t="str">
            <v>설날</v>
          </cell>
        </row>
        <row r="236">
          <cell r="C236">
            <v>2043</v>
          </cell>
          <cell r="D236">
            <v>52367</v>
          </cell>
          <cell r="E236" t="str">
            <v>석가탄신일</v>
          </cell>
        </row>
        <row r="237">
          <cell r="C237">
            <v>2043</v>
          </cell>
          <cell r="D237">
            <v>52490</v>
          </cell>
          <cell r="E237" t="str">
            <v>추석</v>
          </cell>
        </row>
        <row r="238">
          <cell r="C238">
            <v>2043</v>
          </cell>
          <cell r="D238">
            <v>52491</v>
          </cell>
          <cell r="E238" t="str">
            <v>추석</v>
          </cell>
        </row>
        <row r="239">
          <cell r="C239">
            <v>2043</v>
          </cell>
          <cell r="D239">
            <v>52492</v>
          </cell>
          <cell r="E239" t="str">
            <v>추석</v>
          </cell>
        </row>
        <row r="240">
          <cell r="C240">
            <v>2044</v>
          </cell>
          <cell r="D240">
            <v>52625</v>
          </cell>
          <cell r="E240" t="str">
            <v>설날</v>
          </cell>
        </row>
        <row r="241">
          <cell r="C241">
            <v>2044</v>
          </cell>
          <cell r="D241">
            <v>52626</v>
          </cell>
          <cell r="E241" t="str">
            <v>설날</v>
          </cell>
        </row>
        <row r="242">
          <cell r="C242">
            <v>2044</v>
          </cell>
          <cell r="D242">
            <v>52627</v>
          </cell>
          <cell r="E242" t="str">
            <v>설날</v>
          </cell>
        </row>
        <row r="243">
          <cell r="C243">
            <v>2044</v>
          </cell>
          <cell r="D243">
            <v>52722</v>
          </cell>
          <cell r="E243" t="str">
            <v>석가탄신일</v>
          </cell>
        </row>
        <row r="244">
          <cell r="C244">
            <v>2044</v>
          </cell>
          <cell r="D244">
            <v>52874</v>
          </cell>
          <cell r="E244" t="str">
            <v>추석</v>
          </cell>
        </row>
        <row r="245">
          <cell r="C245">
            <v>2044</v>
          </cell>
          <cell r="D245">
            <v>52875</v>
          </cell>
          <cell r="E245" t="str">
            <v>추석</v>
          </cell>
        </row>
        <row r="246">
          <cell r="C246">
            <v>2044</v>
          </cell>
          <cell r="D246">
            <v>52876</v>
          </cell>
          <cell r="E246" t="str">
            <v>추석</v>
          </cell>
        </row>
        <row r="247">
          <cell r="C247">
            <v>2045</v>
          </cell>
          <cell r="D247">
            <v>53009</v>
          </cell>
          <cell r="E247" t="str">
            <v>설날</v>
          </cell>
        </row>
        <row r="248">
          <cell r="C248">
            <v>2045</v>
          </cell>
          <cell r="D248">
            <v>53010</v>
          </cell>
          <cell r="E248" t="str">
            <v>설날</v>
          </cell>
        </row>
        <row r="249">
          <cell r="C249">
            <v>2045</v>
          </cell>
          <cell r="D249">
            <v>53011</v>
          </cell>
          <cell r="E249" t="str">
            <v>설날</v>
          </cell>
        </row>
        <row r="250">
          <cell r="C250">
            <v>2045</v>
          </cell>
          <cell r="D250">
            <v>53106</v>
          </cell>
          <cell r="E250" t="str">
            <v>석가탄신일</v>
          </cell>
        </row>
        <row r="251">
          <cell r="C251">
            <v>2045</v>
          </cell>
          <cell r="D251">
            <v>53229</v>
          </cell>
          <cell r="E251" t="str">
            <v>추석</v>
          </cell>
        </row>
        <row r="252">
          <cell r="C252">
            <v>2045</v>
          </cell>
          <cell r="D252">
            <v>53230</v>
          </cell>
          <cell r="E252" t="str">
            <v>추석</v>
          </cell>
        </row>
        <row r="253">
          <cell r="C253">
            <v>2045</v>
          </cell>
          <cell r="D253">
            <v>53231</v>
          </cell>
          <cell r="E253" t="str">
            <v>추석</v>
          </cell>
        </row>
        <row r="254">
          <cell r="C254">
            <v>2046</v>
          </cell>
          <cell r="D254">
            <v>53363</v>
          </cell>
          <cell r="E254" t="str">
            <v>설날</v>
          </cell>
        </row>
        <row r="255">
          <cell r="C255">
            <v>2046</v>
          </cell>
          <cell r="D255">
            <v>53364</v>
          </cell>
          <cell r="E255" t="str">
            <v>설날</v>
          </cell>
        </row>
        <row r="256">
          <cell r="C256">
            <v>2046</v>
          </cell>
          <cell r="D256">
            <v>53365</v>
          </cell>
          <cell r="E256" t="str">
            <v>설날</v>
          </cell>
        </row>
        <row r="257">
          <cell r="C257">
            <v>2046</v>
          </cell>
          <cell r="D257">
            <v>53460</v>
          </cell>
          <cell r="E257" t="str">
            <v>석가탄신일</v>
          </cell>
        </row>
        <row r="258">
          <cell r="C258">
            <v>2046</v>
          </cell>
          <cell r="D258">
            <v>53584</v>
          </cell>
          <cell r="E258" t="str">
            <v>추석</v>
          </cell>
        </row>
        <row r="259">
          <cell r="C259">
            <v>2046</v>
          </cell>
          <cell r="D259">
            <v>53585</v>
          </cell>
          <cell r="E259" t="str">
            <v>추석</v>
          </cell>
        </row>
        <row r="260">
          <cell r="C260">
            <v>2046</v>
          </cell>
          <cell r="D260">
            <v>53586</v>
          </cell>
          <cell r="E260" t="str">
            <v>추석</v>
          </cell>
        </row>
        <row r="261">
          <cell r="C261">
            <v>2047</v>
          </cell>
          <cell r="D261">
            <v>53717</v>
          </cell>
          <cell r="E261" t="str">
            <v>설날</v>
          </cell>
        </row>
        <row r="262">
          <cell r="C262">
            <v>2047</v>
          </cell>
          <cell r="D262">
            <v>53718</v>
          </cell>
          <cell r="E262" t="str">
            <v>설날</v>
          </cell>
        </row>
        <row r="263">
          <cell r="C263">
            <v>2047</v>
          </cell>
          <cell r="D263">
            <v>53719</v>
          </cell>
          <cell r="E263" t="str">
            <v>설날</v>
          </cell>
        </row>
        <row r="264">
          <cell r="C264">
            <v>2047</v>
          </cell>
          <cell r="D264">
            <v>53814</v>
          </cell>
          <cell r="E264" t="str">
            <v>석가탄신일</v>
          </cell>
        </row>
        <row r="265">
          <cell r="C265">
            <v>2047</v>
          </cell>
          <cell r="D265">
            <v>53969</v>
          </cell>
          <cell r="E265" t="str">
            <v>추석</v>
          </cell>
        </row>
        <row r="266">
          <cell r="C266">
            <v>2047</v>
          </cell>
          <cell r="D266">
            <v>53970</v>
          </cell>
          <cell r="E266" t="str">
            <v>추석</v>
          </cell>
        </row>
        <row r="267">
          <cell r="C267">
            <v>2048</v>
          </cell>
          <cell r="D267">
            <v>54101</v>
          </cell>
          <cell r="E267" t="str">
            <v>설날</v>
          </cell>
        </row>
        <row r="268">
          <cell r="C268">
            <v>2048</v>
          </cell>
          <cell r="D268">
            <v>54102</v>
          </cell>
          <cell r="E268" t="str">
            <v>설날</v>
          </cell>
        </row>
        <row r="269">
          <cell r="C269">
            <v>2048</v>
          </cell>
          <cell r="D269">
            <v>54103</v>
          </cell>
          <cell r="E269" t="str">
            <v>설날</v>
          </cell>
        </row>
        <row r="270">
          <cell r="C270">
            <v>2048</v>
          </cell>
          <cell r="D270">
            <v>54198</v>
          </cell>
          <cell r="E270" t="str">
            <v>석가탄신일</v>
          </cell>
        </row>
        <row r="271">
          <cell r="C271">
            <v>2048</v>
          </cell>
          <cell r="D271">
            <v>54322</v>
          </cell>
          <cell r="E271" t="str">
            <v>추석</v>
          </cell>
        </row>
        <row r="272">
          <cell r="C272">
            <v>2048</v>
          </cell>
          <cell r="D272">
            <v>54323</v>
          </cell>
          <cell r="E272" t="str">
            <v>추석</v>
          </cell>
        </row>
        <row r="273">
          <cell r="C273">
            <v>2048</v>
          </cell>
          <cell r="D273">
            <v>54324</v>
          </cell>
          <cell r="E273" t="str">
            <v>추석</v>
          </cell>
        </row>
        <row r="274">
          <cell r="C274">
            <v>2049</v>
          </cell>
          <cell r="D274">
            <v>54455</v>
          </cell>
          <cell r="E274" t="str">
            <v>설날</v>
          </cell>
        </row>
        <row r="275">
          <cell r="C275">
            <v>2049</v>
          </cell>
          <cell r="D275">
            <v>54456</v>
          </cell>
          <cell r="E275" t="str">
            <v>설날</v>
          </cell>
        </row>
        <row r="276">
          <cell r="C276">
            <v>2049</v>
          </cell>
          <cell r="D276">
            <v>54457</v>
          </cell>
          <cell r="E276" t="str">
            <v>설날</v>
          </cell>
        </row>
        <row r="277">
          <cell r="C277">
            <v>2049</v>
          </cell>
          <cell r="D277">
            <v>54552</v>
          </cell>
          <cell r="E277" t="str">
            <v>석가탄신일</v>
          </cell>
        </row>
        <row r="278">
          <cell r="C278">
            <v>2049</v>
          </cell>
          <cell r="D278">
            <v>54676</v>
          </cell>
          <cell r="E278" t="str">
            <v>추석</v>
          </cell>
        </row>
        <row r="279">
          <cell r="C279">
            <v>2049</v>
          </cell>
          <cell r="D279">
            <v>54677</v>
          </cell>
          <cell r="E279" t="str">
            <v>추석</v>
          </cell>
        </row>
        <row r="280">
          <cell r="C280">
            <v>2049</v>
          </cell>
          <cell r="D280">
            <v>54678</v>
          </cell>
          <cell r="E280" t="str">
            <v>추석</v>
          </cell>
        </row>
        <row r="281">
          <cell r="C281">
            <v>2050</v>
          </cell>
          <cell r="D281">
            <v>54810</v>
          </cell>
          <cell r="E281" t="str">
            <v>설날</v>
          </cell>
        </row>
        <row r="282">
          <cell r="C282">
            <v>2050</v>
          </cell>
          <cell r="D282">
            <v>54811</v>
          </cell>
          <cell r="E282" t="str">
            <v>설날</v>
          </cell>
        </row>
        <row r="283">
          <cell r="C283">
            <v>2050</v>
          </cell>
          <cell r="D283">
            <v>54812</v>
          </cell>
          <cell r="E283" t="str">
            <v>설날</v>
          </cell>
        </row>
        <row r="284">
          <cell r="C284">
            <v>2050</v>
          </cell>
          <cell r="D284">
            <v>54936</v>
          </cell>
          <cell r="E284" t="str">
            <v>석가탄신일</v>
          </cell>
        </row>
        <row r="285">
          <cell r="C285">
            <v>2050</v>
          </cell>
          <cell r="D285">
            <v>55060</v>
          </cell>
          <cell r="E285" t="str">
            <v>추석</v>
          </cell>
        </row>
        <row r="286">
          <cell r="C286">
            <v>2050</v>
          </cell>
          <cell r="D286">
            <v>55061</v>
          </cell>
          <cell r="E286" t="str">
            <v>추석</v>
          </cell>
        </row>
        <row r="287">
          <cell r="C287">
            <v>2050</v>
          </cell>
          <cell r="D287">
            <v>55062</v>
          </cell>
          <cell r="E287" t="str">
            <v>추석</v>
          </cell>
        </row>
        <row r="288">
          <cell r="C288">
            <v>2051</v>
          </cell>
          <cell r="D288">
            <v>55194</v>
          </cell>
          <cell r="E288" t="str">
            <v>설날</v>
          </cell>
        </row>
        <row r="289">
          <cell r="C289">
            <v>2051</v>
          </cell>
          <cell r="D289">
            <v>55195</v>
          </cell>
          <cell r="E289" t="str">
            <v>설날</v>
          </cell>
        </row>
        <row r="290">
          <cell r="C290">
            <v>2051</v>
          </cell>
          <cell r="D290">
            <v>55196</v>
          </cell>
          <cell r="E290" t="str">
            <v>설날</v>
          </cell>
        </row>
        <row r="291">
          <cell r="C291">
            <v>2051</v>
          </cell>
          <cell r="D291">
            <v>55290</v>
          </cell>
          <cell r="E291" t="str">
            <v>석가탄신일</v>
          </cell>
        </row>
        <row r="292">
          <cell r="C292">
            <v>2051</v>
          </cell>
          <cell r="D292">
            <v>55414</v>
          </cell>
          <cell r="E292" t="str">
            <v>추석</v>
          </cell>
        </row>
        <row r="293">
          <cell r="C293">
            <v>2051</v>
          </cell>
          <cell r="D293">
            <v>55415</v>
          </cell>
          <cell r="E293" t="str">
            <v>추석</v>
          </cell>
        </row>
        <row r="294">
          <cell r="C294">
            <v>2051</v>
          </cell>
          <cell r="D294">
            <v>55416</v>
          </cell>
          <cell r="E294" t="str">
            <v>추석</v>
          </cell>
        </row>
        <row r="295">
          <cell r="C295">
            <v>2052</v>
          </cell>
          <cell r="D295">
            <v>55549</v>
          </cell>
          <cell r="E295" t="str">
            <v>설날</v>
          </cell>
        </row>
        <row r="296">
          <cell r="C296">
            <v>2052</v>
          </cell>
          <cell r="D296">
            <v>55550</v>
          </cell>
          <cell r="E296" t="str">
            <v>설날</v>
          </cell>
        </row>
        <row r="297">
          <cell r="C297">
            <v>2052</v>
          </cell>
          <cell r="D297">
            <v>55551</v>
          </cell>
          <cell r="E297" t="str">
            <v>설날</v>
          </cell>
        </row>
        <row r="298">
          <cell r="C298">
            <v>2052</v>
          </cell>
          <cell r="D298">
            <v>55645</v>
          </cell>
          <cell r="E298" t="str">
            <v>석가탄신일</v>
          </cell>
        </row>
        <row r="299">
          <cell r="C299">
            <v>2052</v>
          </cell>
          <cell r="D299">
            <v>55768</v>
          </cell>
          <cell r="E299" t="str">
            <v>추석</v>
          </cell>
        </row>
        <row r="300">
          <cell r="C300">
            <v>2052</v>
          </cell>
          <cell r="D300">
            <v>55769</v>
          </cell>
          <cell r="E300" t="str">
            <v>추석</v>
          </cell>
        </row>
        <row r="301">
          <cell r="C301">
            <v>2052</v>
          </cell>
          <cell r="D301">
            <v>55770</v>
          </cell>
          <cell r="E301" t="str">
            <v>추석</v>
          </cell>
        </row>
        <row r="302">
          <cell r="C302">
            <v>2053</v>
          </cell>
          <cell r="D302">
            <v>55933</v>
          </cell>
          <cell r="E302" t="str">
            <v>설날</v>
          </cell>
        </row>
        <row r="303">
          <cell r="C303">
            <v>2053</v>
          </cell>
          <cell r="D303">
            <v>55934</v>
          </cell>
          <cell r="E303" t="str">
            <v>설날</v>
          </cell>
        </row>
        <row r="304">
          <cell r="C304">
            <v>2053</v>
          </cell>
          <cell r="D304">
            <v>55935</v>
          </cell>
          <cell r="E304" t="str">
            <v>설날</v>
          </cell>
        </row>
        <row r="305">
          <cell r="C305">
            <v>2053</v>
          </cell>
          <cell r="D305">
            <v>56029</v>
          </cell>
          <cell r="E305" t="str">
            <v>석가탄신일</v>
          </cell>
        </row>
        <row r="306">
          <cell r="C306">
            <v>2053</v>
          </cell>
          <cell r="D306">
            <v>56152</v>
          </cell>
          <cell r="E306" t="str">
            <v>추석</v>
          </cell>
        </row>
        <row r="307">
          <cell r="C307">
            <v>2053</v>
          </cell>
          <cell r="D307">
            <v>56153</v>
          </cell>
          <cell r="E307" t="str">
            <v>추석</v>
          </cell>
        </row>
        <row r="308">
          <cell r="C308">
            <v>2053</v>
          </cell>
          <cell r="D308">
            <v>56154</v>
          </cell>
          <cell r="E308" t="str">
            <v>추석</v>
          </cell>
        </row>
        <row r="309">
          <cell r="C309">
            <v>2054</v>
          </cell>
          <cell r="D309">
            <v>56287</v>
          </cell>
          <cell r="E309" t="str">
            <v>설날</v>
          </cell>
        </row>
        <row r="310">
          <cell r="C310">
            <v>2054</v>
          </cell>
          <cell r="D310">
            <v>56288</v>
          </cell>
          <cell r="E310" t="str">
            <v>설날</v>
          </cell>
        </row>
        <row r="311">
          <cell r="C311">
            <v>2054</v>
          </cell>
          <cell r="D311">
            <v>56289</v>
          </cell>
          <cell r="E311" t="str">
            <v>설날</v>
          </cell>
        </row>
        <row r="312">
          <cell r="C312">
            <v>2054</v>
          </cell>
          <cell r="D312">
            <v>56384</v>
          </cell>
          <cell r="E312" t="str">
            <v>석가탄신일</v>
          </cell>
        </row>
        <row r="313">
          <cell r="C313">
            <v>2054</v>
          </cell>
          <cell r="D313">
            <v>56507</v>
          </cell>
          <cell r="E313" t="str">
            <v>추석</v>
          </cell>
        </row>
        <row r="314">
          <cell r="C314">
            <v>2054</v>
          </cell>
          <cell r="D314">
            <v>56508</v>
          </cell>
          <cell r="E314" t="str">
            <v>추석</v>
          </cell>
        </row>
        <row r="315">
          <cell r="C315">
            <v>2054</v>
          </cell>
          <cell r="D315">
            <v>56509</v>
          </cell>
          <cell r="E315" t="str">
            <v>추석</v>
          </cell>
        </row>
        <row r="316">
          <cell r="C316">
            <v>2055</v>
          </cell>
          <cell r="D316">
            <v>56641</v>
          </cell>
          <cell r="E316" t="str">
            <v>설날</v>
          </cell>
        </row>
        <row r="317">
          <cell r="C317">
            <v>2055</v>
          </cell>
          <cell r="D317">
            <v>56642</v>
          </cell>
          <cell r="E317" t="str">
            <v>설날</v>
          </cell>
        </row>
        <row r="318">
          <cell r="C318">
            <v>2055</v>
          </cell>
          <cell r="D318">
            <v>56643</v>
          </cell>
          <cell r="E318" t="str">
            <v>설날</v>
          </cell>
        </row>
        <row r="319">
          <cell r="C319">
            <v>2055</v>
          </cell>
          <cell r="D319">
            <v>56738</v>
          </cell>
          <cell r="E319" t="str">
            <v>석가탄신일</v>
          </cell>
        </row>
        <row r="320">
          <cell r="C320">
            <v>2055</v>
          </cell>
          <cell r="D320">
            <v>56891</v>
          </cell>
          <cell r="E320" t="str">
            <v>추석</v>
          </cell>
        </row>
        <row r="321">
          <cell r="C321">
            <v>2055</v>
          </cell>
          <cell r="D321">
            <v>56892</v>
          </cell>
          <cell r="E321" t="str">
            <v>추석</v>
          </cell>
        </row>
        <row r="322">
          <cell r="C322">
            <v>2055</v>
          </cell>
          <cell r="D322">
            <v>56893</v>
          </cell>
          <cell r="E322" t="str">
            <v>추석</v>
          </cell>
        </row>
        <row r="323">
          <cell r="C323">
            <v>2056</v>
          </cell>
          <cell r="D323">
            <v>57024</v>
          </cell>
          <cell r="E323" t="str">
            <v>설날</v>
          </cell>
        </row>
        <row r="324">
          <cell r="C324">
            <v>2056</v>
          </cell>
          <cell r="D324">
            <v>57025</v>
          </cell>
          <cell r="E324" t="str">
            <v>설날</v>
          </cell>
        </row>
        <row r="325">
          <cell r="C325">
            <v>2056</v>
          </cell>
          <cell r="D325">
            <v>57026</v>
          </cell>
          <cell r="E325" t="str">
            <v>설날</v>
          </cell>
        </row>
        <row r="326">
          <cell r="C326">
            <v>2056</v>
          </cell>
          <cell r="D326">
            <v>57122</v>
          </cell>
          <cell r="E326" t="str">
            <v>석가탄신일</v>
          </cell>
        </row>
        <row r="327">
          <cell r="C327">
            <v>2056</v>
          </cell>
          <cell r="D327">
            <v>57246</v>
          </cell>
          <cell r="E327" t="str">
            <v>추석</v>
          </cell>
        </row>
        <row r="328">
          <cell r="C328">
            <v>2056</v>
          </cell>
          <cell r="D328">
            <v>57247</v>
          </cell>
          <cell r="E328" t="str">
            <v>추석</v>
          </cell>
        </row>
        <row r="329">
          <cell r="C329">
            <v>2056</v>
          </cell>
          <cell r="D329">
            <v>57248</v>
          </cell>
          <cell r="E329" t="str">
            <v>추석</v>
          </cell>
        </row>
        <row r="330">
          <cell r="C330">
            <v>2057</v>
          </cell>
          <cell r="D330">
            <v>57379</v>
          </cell>
          <cell r="E330" t="str">
            <v>설날</v>
          </cell>
        </row>
        <row r="331">
          <cell r="C331">
            <v>2057</v>
          </cell>
          <cell r="D331">
            <v>57380</v>
          </cell>
          <cell r="E331" t="str">
            <v>설날</v>
          </cell>
        </row>
        <row r="332">
          <cell r="C332">
            <v>2057</v>
          </cell>
          <cell r="D332">
            <v>57381</v>
          </cell>
          <cell r="E332" t="str">
            <v>설날</v>
          </cell>
        </row>
        <row r="333">
          <cell r="C333">
            <v>2057</v>
          </cell>
          <cell r="D333">
            <v>57476</v>
          </cell>
          <cell r="E333" t="str">
            <v>석가탄신일</v>
          </cell>
        </row>
        <row r="334">
          <cell r="C334">
            <v>2057</v>
          </cell>
          <cell r="D334">
            <v>57600</v>
          </cell>
          <cell r="E334" t="str">
            <v>추석</v>
          </cell>
        </row>
        <row r="335">
          <cell r="C335">
            <v>2057</v>
          </cell>
          <cell r="D335">
            <v>57601</v>
          </cell>
          <cell r="E335" t="str">
            <v>추석</v>
          </cell>
        </row>
        <row r="336">
          <cell r="C336">
            <v>2057</v>
          </cell>
          <cell r="D336">
            <v>57602</v>
          </cell>
          <cell r="E336" t="str">
            <v>추석</v>
          </cell>
        </row>
        <row r="337">
          <cell r="C337">
            <v>2058</v>
          </cell>
          <cell r="D337">
            <v>57733</v>
          </cell>
          <cell r="E337" t="str">
            <v>설날</v>
          </cell>
        </row>
        <row r="338">
          <cell r="C338">
            <v>2058</v>
          </cell>
          <cell r="D338">
            <v>57734</v>
          </cell>
          <cell r="E338" t="str">
            <v>설날</v>
          </cell>
        </row>
        <row r="339">
          <cell r="C339">
            <v>2058</v>
          </cell>
          <cell r="D339">
            <v>57735</v>
          </cell>
          <cell r="E339" t="str">
            <v>설날</v>
          </cell>
        </row>
        <row r="340">
          <cell r="C340">
            <v>2058</v>
          </cell>
          <cell r="D340">
            <v>57830</v>
          </cell>
          <cell r="E340" t="str">
            <v>석가탄신일</v>
          </cell>
        </row>
        <row r="341">
          <cell r="C341">
            <v>2058</v>
          </cell>
          <cell r="D341">
            <v>57984</v>
          </cell>
          <cell r="E341" t="str">
            <v>추석</v>
          </cell>
        </row>
        <row r="342">
          <cell r="C342">
            <v>2058</v>
          </cell>
          <cell r="D342">
            <v>57985</v>
          </cell>
          <cell r="E342" t="str">
            <v>추석</v>
          </cell>
        </row>
        <row r="343">
          <cell r="C343">
            <v>2058</v>
          </cell>
          <cell r="D343">
            <v>57986</v>
          </cell>
          <cell r="E343" t="str">
            <v>추석</v>
          </cell>
        </row>
        <row r="344">
          <cell r="C344">
            <v>2059</v>
          </cell>
          <cell r="D344">
            <v>58117</v>
          </cell>
          <cell r="E344" t="str">
            <v>설날</v>
          </cell>
        </row>
        <row r="345">
          <cell r="C345">
            <v>2059</v>
          </cell>
          <cell r="D345">
            <v>58118</v>
          </cell>
          <cell r="E345" t="str">
            <v>설날</v>
          </cell>
        </row>
        <row r="346">
          <cell r="C346">
            <v>2059</v>
          </cell>
          <cell r="D346">
            <v>58119</v>
          </cell>
          <cell r="E346" t="str">
            <v>설날</v>
          </cell>
        </row>
        <row r="347">
          <cell r="C347">
            <v>2059</v>
          </cell>
          <cell r="D347">
            <v>58214</v>
          </cell>
          <cell r="E347" t="str">
            <v>석가탄신일</v>
          </cell>
        </row>
        <row r="348">
          <cell r="C348">
            <v>2059</v>
          </cell>
          <cell r="D348">
            <v>58338</v>
          </cell>
          <cell r="E348" t="str">
            <v>추석</v>
          </cell>
        </row>
        <row r="349">
          <cell r="C349">
            <v>2059</v>
          </cell>
          <cell r="D349">
            <v>58339</v>
          </cell>
          <cell r="E349" t="str">
            <v>추석</v>
          </cell>
        </row>
        <row r="350">
          <cell r="C350">
            <v>2059</v>
          </cell>
          <cell r="D350">
            <v>58340</v>
          </cell>
          <cell r="E350" t="str">
            <v>추석</v>
          </cell>
        </row>
        <row r="351">
          <cell r="C351">
            <v>2060</v>
          </cell>
          <cell r="D351">
            <v>58472</v>
          </cell>
          <cell r="E351" t="str">
            <v>설날</v>
          </cell>
        </row>
        <row r="352">
          <cell r="C352">
            <v>2060</v>
          </cell>
          <cell r="D352">
            <v>58473</v>
          </cell>
          <cell r="E352" t="str">
            <v>설날</v>
          </cell>
        </row>
        <row r="353">
          <cell r="C353">
            <v>2060</v>
          </cell>
          <cell r="D353">
            <v>58474</v>
          </cell>
          <cell r="E353" t="str">
            <v>설날</v>
          </cell>
        </row>
        <row r="354">
          <cell r="C354">
            <v>2060</v>
          </cell>
          <cell r="D354">
            <v>58568</v>
          </cell>
          <cell r="E354" t="str">
            <v>석가탄신일</v>
          </cell>
        </row>
        <row r="355">
          <cell r="C355">
            <v>2060</v>
          </cell>
          <cell r="D355">
            <v>58692</v>
          </cell>
          <cell r="E355" t="str">
            <v>추석</v>
          </cell>
        </row>
        <row r="356">
          <cell r="C356">
            <v>2060</v>
          </cell>
          <cell r="D356">
            <v>58693</v>
          </cell>
          <cell r="E356" t="str">
            <v>추석</v>
          </cell>
        </row>
        <row r="357">
          <cell r="C357">
            <v>2060</v>
          </cell>
          <cell r="D357">
            <v>58694</v>
          </cell>
          <cell r="E357" t="str">
            <v>추석</v>
          </cell>
        </row>
        <row r="358">
          <cell r="C358">
            <v>2061</v>
          </cell>
          <cell r="D358">
            <v>58827</v>
          </cell>
          <cell r="E358" t="str">
            <v>설날</v>
          </cell>
        </row>
        <row r="359">
          <cell r="C359">
            <v>2061</v>
          </cell>
          <cell r="D359">
            <v>58828</v>
          </cell>
          <cell r="E359" t="str">
            <v>설날</v>
          </cell>
        </row>
        <row r="360">
          <cell r="C360">
            <v>2061</v>
          </cell>
          <cell r="D360">
            <v>58829</v>
          </cell>
          <cell r="E360" t="str">
            <v>설날</v>
          </cell>
        </row>
        <row r="361">
          <cell r="C361">
            <v>2061</v>
          </cell>
          <cell r="D361">
            <v>58952</v>
          </cell>
          <cell r="E361" t="str">
            <v>석가탄신일</v>
          </cell>
        </row>
        <row r="362">
          <cell r="C362">
            <v>2061</v>
          </cell>
          <cell r="D362">
            <v>59076</v>
          </cell>
          <cell r="E362" t="str">
            <v>추석</v>
          </cell>
        </row>
        <row r="363">
          <cell r="C363">
            <v>2061</v>
          </cell>
          <cell r="D363">
            <v>59077</v>
          </cell>
          <cell r="E363" t="str">
            <v>추석</v>
          </cell>
        </row>
        <row r="364">
          <cell r="C364">
            <v>2061</v>
          </cell>
          <cell r="D364">
            <v>59078</v>
          </cell>
          <cell r="E364" t="str">
            <v>추석</v>
          </cell>
        </row>
        <row r="365">
          <cell r="C365">
            <v>2062</v>
          </cell>
          <cell r="D365">
            <v>59210</v>
          </cell>
          <cell r="E365" t="str">
            <v>설날</v>
          </cell>
        </row>
        <row r="366">
          <cell r="C366">
            <v>2062</v>
          </cell>
          <cell r="D366">
            <v>59211</v>
          </cell>
          <cell r="E366" t="str">
            <v>설날</v>
          </cell>
        </row>
        <row r="367">
          <cell r="C367">
            <v>2062</v>
          </cell>
          <cell r="D367">
            <v>59212</v>
          </cell>
          <cell r="E367" t="str">
            <v>설날</v>
          </cell>
        </row>
        <row r="368">
          <cell r="C368">
            <v>2062</v>
          </cell>
          <cell r="D368">
            <v>59307</v>
          </cell>
          <cell r="E368" t="str">
            <v>석가탄신일</v>
          </cell>
        </row>
        <row r="369">
          <cell r="C369">
            <v>2062</v>
          </cell>
          <cell r="D369">
            <v>59430</v>
          </cell>
          <cell r="E369" t="str">
            <v>추석</v>
          </cell>
        </row>
        <row r="370">
          <cell r="C370">
            <v>2062</v>
          </cell>
          <cell r="D370">
            <v>59431</v>
          </cell>
          <cell r="E370" t="str">
            <v>추석</v>
          </cell>
        </row>
        <row r="371">
          <cell r="C371">
            <v>2062</v>
          </cell>
          <cell r="D371">
            <v>59432</v>
          </cell>
          <cell r="E371" t="str">
            <v>추석</v>
          </cell>
        </row>
        <row r="372">
          <cell r="C372">
            <v>2063</v>
          </cell>
          <cell r="D372">
            <v>59564</v>
          </cell>
          <cell r="E372" t="str">
            <v>설날</v>
          </cell>
        </row>
        <row r="373">
          <cell r="C373">
            <v>2063</v>
          </cell>
          <cell r="D373">
            <v>59565</v>
          </cell>
          <cell r="E373" t="str">
            <v>설날</v>
          </cell>
        </row>
        <row r="374">
          <cell r="C374">
            <v>2063</v>
          </cell>
          <cell r="D374">
            <v>59566</v>
          </cell>
          <cell r="E374" t="str">
            <v>설날</v>
          </cell>
        </row>
        <row r="375">
          <cell r="C375">
            <v>2063</v>
          </cell>
          <cell r="D375">
            <v>59662</v>
          </cell>
          <cell r="E375" t="str">
            <v>석가탄신일</v>
          </cell>
        </row>
        <row r="376">
          <cell r="C376">
            <v>2063</v>
          </cell>
          <cell r="D376">
            <v>59814</v>
          </cell>
          <cell r="E376" t="str">
            <v>추석</v>
          </cell>
        </row>
        <row r="377">
          <cell r="C377">
            <v>2063</v>
          </cell>
          <cell r="D377">
            <v>59815</v>
          </cell>
          <cell r="E377" t="str">
            <v>추석</v>
          </cell>
        </row>
        <row r="378">
          <cell r="C378">
            <v>2063</v>
          </cell>
          <cell r="D378">
            <v>59816</v>
          </cell>
          <cell r="E378" t="str">
            <v>추석</v>
          </cell>
        </row>
        <row r="379">
          <cell r="C379">
            <v>2064</v>
          </cell>
          <cell r="D379">
            <v>59948</v>
          </cell>
          <cell r="E379" t="str">
            <v>설날</v>
          </cell>
        </row>
        <row r="380">
          <cell r="C380">
            <v>2064</v>
          </cell>
          <cell r="D380">
            <v>59949</v>
          </cell>
          <cell r="E380" t="str">
            <v>설날</v>
          </cell>
        </row>
        <row r="381">
          <cell r="C381">
            <v>2064</v>
          </cell>
          <cell r="D381">
            <v>59950</v>
          </cell>
          <cell r="E381" t="str">
            <v>설날</v>
          </cell>
        </row>
        <row r="382">
          <cell r="C382">
            <v>2064</v>
          </cell>
          <cell r="D382">
            <v>60045</v>
          </cell>
          <cell r="E382" t="str">
            <v>석가탄신일</v>
          </cell>
        </row>
        <row r="383">
          <cell r="C383">
            <v>2064</v>
          </cell>
          <cell r="D383">
            <v>60169</v>
          </cell>
          <cell r="E383" t="str">
            <v>추석</v>
          </cell>
        </row>
        <row r="384">
          <cell r="C384">
            <v>2064</v>
          </cell>
          <cell r="D384">
            <v>60170</v>
          </cell>
          <cell r="E384" t="str">
            <v>추석</v>
          </cell>
        </row>
        <row r="385">
          <cell r="C385">
            <v>2064</v>
          </cell>
          <cell r="D385">
            <v>60171</v>
          </cell>
          <cell r="E385" t="str">
            <v>추석</v>
          </cell>
        </row>
        <row r="386">
          <cell r="C386">
            <v>2065</v>
          </cell>
          <cell r="D386">
            <v>60302</v>
          </cell>
          <cell r="E386" t="str">
            <v>설날</v>
          </cell>
        </row>
        <row r="387">
          <cell r="C387">
            <v>2065</v>
          </cell>
          <cell r="D387">
            <v>60303</v>
          </cell>
          <cell r="E387" t="str">
            <v>설날</v>
          </cell>
        </row>
        <row r="388">
          <cell r="C388">
            <v>2065</v>
          </cell>
          <cell r="D388">
            <v>60304</v>
          </cell>
          <cell r="E388" t="str">
            <v>설날</v>
          </cell>
        </row>
        <row r="389">
          <cell r="C389">
            <v>2065</v>
          </cell>
          <cell r="D389">
            <v>60399</v>
          </cell>
          <cell r="E389" t="str">
            <v>석가탄신일</v>
          </cell>
        </row>
        <row r="390">
          <cell r="C390">
            <v>2065</v>
          </cell>
          <cell r="D390">
            <v>60524</v>
          </cell>
          <cell r="E390" t="str">
            <v>추석</v>
          </cell>
        </row>
        <row r="391">
          <cell r="C391">
            <v>2065</v>
          </cell>
          <cell r="D391">
            <v>60525</v>
          </cell>
          <cell r="E391" t="str">
            <v>추석</v>
          </cell>
        </row>
        <row r="392">
          <cell r="C392">
            <v>2065</v>
          </cell>
          <cell r="D392">
            <v>60526</v>
          </cell>
          <cell r="E392" t="str">
            <v>추석</v>
          </cell>
        </row>
        <row r="393">
          <cell r="C393">
            <v>2066</v>
          </cell>
          <cell r="D393">
            <v>60657</v>
          </cell>
          <cell r="E393" t="str">
            <v>설날</v>
          </cell>
        </row>
        <row r="394">
          <cell r="C394">
            <v>2066</v>
          </cell>
          <cell r="D394">
            <v>60658</v>
          </cell>
          <cell r="E394" t="str">
            <v>설날</v>
          </cell>
        </row>
        <row r="395">
          <cell r="C395">
            <v>2066</v>
          </cell>
          <cell r="D395">
            <v>60659</v>
          </cell>
          <cell r="E395" t="str">
            <v>설날</v>
          </cell>
        </row>
        <row r="396">
          <cell r="C396">
            <v>2066</v>
          </cell>
          <cell r="D396">
            <v>60753</v>
          </cell>
          <cell r="E396" t="str">
            <v>석가탄신일</v>
          </cell>
        </row>
        <row r="397">
          <cell r="C397">
            <v>2066</v>
          </cell>
          <cell r="D397">
            <v>60907</v>
          </cell>
          <cell r="E397" t="str">
            <v>추석</v>
          </cell>
        </row>
        <row r="398">
          <cell r="C398">
            <v>2066</v>
          </cell>
          <cell r="D398">
            <v>60908</v>
          </cell>
          <cell r="E398" t="str">
            <v>추석</v>
          </cell>
        </row>
        <row r="399">
          <cell r="C399">
            <v>2066</v>
          </cell>
          <cell r="D399">
            <v>60909</v>
          </cell>
          <cell r="E399" t="str">
            <v>추석</v>
          </cell>
        </row>
        <row r="400">
          <cell r="C400">
            <v>2067</v>
          </cell>
          <cell r="D400">
            <v>61041</v>
          </cell>
          <cell r="E400" t="str">
            <v>설날</v>
          </cell>
        </row>
        <row r="401">
          <cell r="C401">
            <v>2067</v>
          </cell>
          <cell r="D401">
            <v>61042</v>
          </cell>
          <cell r="E401" t="str">
            <v>설날</v>
          </cell>
        </row>
        <row r="402">
          <cell r="C402">
            <v>2067</v>
          </cell>
          <cell r="D402">
            <v>61043</v>
          </cell>
          <cell r="E402" t="str">
            <v>설날</v>
          </cell>
        </row>
        <row r="403">
          <cell r="C403">
            <v>2067</v>
          </cell>
          <cell r="D403">
            <v>61137</v>
          </cell>
          <cell r="E403" t="str">
            <v>석가탄신일</v>
          </cell>
        </row>
        <row r="404">
          <cell r="C404">
            <v>2067</v>
          </cell>
          <cell r="D404">
            <v>61262</v>
          </cell>
          <cell r="E404" t="str">
            <v>추석</v>
          </cell>
        </row>
        <row r="405">
          <cell r="C405">
            <v>2067</v>
          </cell>
          <cell r="D405">
            <v>61263</v>
          </cell>
          <cell r="E405" t="str">
            <v>추석</v>
          </cell>
        </row>
        <row r="406">
          <cell r="C406">
            <v>2067</v>
          </cell>
          <cell r="D406">
            <v>61264</v>
          </cell>
          <cell r="E406" t="str">
            <v>추석</v>
          </cell>
        </row>
        <row r="407">
          <cell r="C407">
            <v>2068</v>
          </cell>
          <cell r="D407">
            <v>61395</v>
          </cell>
          <cell r="E407" t="str">
            <v>설날</v>
          </cell>
        </row>
        <row r="408">
          <cell r="C408">
            <v>2068</v>
          </cell>
          <cell r="D408">
            <v>61396</v>
          </cell>
          <cell r="E408" t="str">
            <v>설날</v>
          </cell>
        </row>
        <row r="409">
          <cell r="C409">
            <v>2068</v>
          </cell>
          <cell r="D409">
            <v>61397</v>
          </cell>
          <cell r="E409" t="str">
            <v>설날</v>
          </cell>
        </row>
        <row r="410">
          <cell r="C410">
            <v>2068</v>
          </cell>
          <cell r="D410">
            <v>61492</v>
          </cell>
          <cell r="E410" t="str">
            <v>석가탄신일</v>
          </cell>
        </row>
        <row r="411">
          <cell r="C411">
            <v>2068</v>
          </cell>
          <cell r="D411">
            <v>61616</v>
          </cell>
          <cell r="E411" t="str">
            <v>추석</v>
          </cell>
        </row>
        <row r="412">
          <cell r="C412">
            <v>2068</v>
          </cell>
          <cell r="D412">
            <v>61617</v>
          </cell>
          <cell r="E412" t="str">
            <v>추석</v>
          </cell>
        </row>
        <row r="413">
          <cell r="C413">
            <v>2068</v>
          </cell>
          <cell r="D413">
            <v>61618</v>
          </cell>
          <cell r="E413" t="str">
            <v>추석</v>
          </cell>
        </row>
        <row r="414">
          <cell r="C414">
            <v>2069</v>
          </cell>
          <cell r="D414">
            <v>61750</v>
          </cell>
          <cell r="E414" t="str">
            <v>설날</v>
          </cell>
        </row>
        <row r="415">
          <cell r="C415">
            <v>2069</v>
          </cell>
          <cell r="D415">
            <v>61751</v>
          </cell>
          <cell r="E415" t="str">
            <v>설날</v>
          </cell>
        </row>
        <row r="416">
          <cell r="C416">
            <v>2069</v>
          </cell>
          <cell r="D416">
            <v>61752</v>
          </cell>
          <cell r="E416" t="str">
            <v>설날</v>
          </cell>
        </row>
        <row r="417">
          <cell r="C417">
            <v>2069</v>
          </cell>
          <cell r="D417">
            <v>61846</v>
          </cell>
          <cell r="E417" t="str">
            <v>석가탄신일</v>
          </cell>
        </row>
        <row r="418">
          <cell r="C418">
            <v>2069</v>
          </cell>
          <cell r="D418">
            <v>61999</v>
          </cell>
          <cell r="E418" t="str">
            <v>추석</v>
          </cell>
        </row>
        <row r="419">
          <cell r="C419">
            <v>2069</v>
          </cell>
          <cell r="D419">
            <v>62000</v>
          </cell>
          <cell r="E419" t="str">
            <v>추석</v>
          </cell>
        </row>
        <row r="420">
          <cell r="C420">
            <v>2069</v>
          </cell>
          <cell r="D420">
            <v>62001</v>
          </cell>
          <cell r="E420" t="str">
            <v>추석</v>
          </cell>
        </row>
        <row r="421">
          <cell r="C421">
            <v>2070</v>
          </cell>
          <cell r="D421">
            <v>62134</v>
          </cell>
          <cell r="E421" t="str">
            <v>설날</v>
          </cell>
        </row>
        <row r="422">
          <cell r="C422">
            <v>2070</v>
          </cell>
          <cell r="D422">
            <v>62135</v>
          </cell>
          <cell r="E422" t="str">
            <v>설날</v>
          </cell>
        </row>
        <row r="423">
          <cell r="C423">
            <v>2070</v>
          </cell>
          <cell r="D423">
            <v>62136</v>
          </cell>
          <cell r="E423" t="str">
            <v>설날</v>
          </cell>
        </row>
        <row r="424">
          <cell r="C424">
            <v>2070</v>
          </cell>
          <cell r="D424">
            <v>62230</v>
          </cell>
          <cell r="E424" t="str">
            <v>석가탄신일</v>
          </cell>
        </row>
        <row r="425">
          <cell r="C425">
            <v>2070</v>
          </cell>
          <cell r="D425">
            <v>62354</v>
          </cell>
          <cell r="E425" t="str">
            <v>추석</v>
          </cell>
        </row>
        <row r="426">
          <cell r="C426">
            <v>2070</v>
          </cell>
          <cell r="D426">
            <v>62355</v>
          </cell>
          <cell r="E426" t="str">
            <v>추석</v>
          </cell>
        </row>
        <row r="427">
          <cell r="C427">
            <v>2070</v>
          </cell>
          <cell r="D427">
            <v>62356</v>
          </cell>
          <cell r="E427" t="str">
            <v>추석</v>
          </cell>
        </row>
        <row r="428">
          <cell r="C428">
            <v>2071</v>
          </cell>
          <cell r="D428">
            <v>62488</v>
          </cell>
          <cell r="E428" t="str">
            <v>설날</v>
          </cell>
        </row>
        <row r="429">
          <cell r="C429">
            <v>2071</v>
          </cell>
          <cell r="D429">
            <v>62489</v>
          </cell>
          <cell r="E429" t="str">
            <v>설날</v>
          </cell>
        </row>
        <row r="430">
          <cell r="C430">
            <v>2071</v>
          </cell>
          <cell r="D430">
            <v>62490</v>
          </cell>
          <cell r="E430" t="str">
            <v>설날</v>
          </cell>
        </row>
        <row r="431">
          <cell r="C431">
            <v>2071</v>
          </cell>
          <cell r="D431">
            <v>62585</v>
          </cell>
          <cell r="E431" t="str">
            <v>석가탄신일</v>
          </cell>
        </row>
        <row r="432">
          <cell r="C432">
            <v>2071</v>
          </cell>
          <cell r="D432">
            <v>62708</v>
          </cell>
          <cell r="E432" t="str">
            <v>추석</v>
          </cell>
        </row>
        <row r="433">
          <cell r="C433">
            <v>2071</v>
          </cell>
          <cell r="D433">
            <v>62709</v>
          </cell>
          <cell r="E433" t="str">
            <v>추석</v>
          </cell>
        </row>
        <row r="434">
          <cell r="C434">
            <v>2071</v>
          </cell>
          <cell r="D434">
            <v>62710</v>
          </cell>
          <cell r="E434" t="str">
            <v>추석</v>
          </cell>
        </row>
        <row r="435">
          <cell r="C435">
            <v>2072</v>
          </cell>
          <cell r="D435">
            <v>62872</v>
          </cell>
          <cell r="E435" t="str">
            <v>설날</v>
          </cell>
        </row>
        <row r="436">
          <cell r="C436">
            <v>2072</v>
          </cell>
          <cell r="D436">
            <v>62873</v>
          </cell>
          <cell r="E436" t="str">
            <v>설날</v>
          </cell>
        </row>
        <row r="437">
          <cell r="C437">
            <v>2072</v>
          </cell>
          <cell r="D437">
            <v>62874</v>
          </cell>
          <cell r="E437" t="str">
            <v>설날</v>
          </cell>
        </row>
        <row r="438">
          <cell r="C438">
            <v>2072</v>
          </cell>
          <cell r="D438">
            <v>62969</v>
          </cell>
          <cell r="E438" t="str">
            <v>석가탄신일</v>
          </cell>
        </row>
        <row r="439">
          <cell r="C439">
            <v>2072</v>
          </cell>
          <cell r="D439">
            <v>63092</v>
          </cell>
          <cell r="E439" t="str">
            <v>추석</v>
          </cell>
        </row>
        <row r="440">
          <cell r="C440">
            <v>2072</v>
          </cell>
          <cell r="D440">
            <v>63093</v>
          </cell>
          <cell r="E440" t="str">
            <v>추석</v>
          </cell>
        </row>
        <row r="441">
          <cell r="C441">
            <v>2072</v>
          </cell>
          <cell r="D441">
            <v>63094</v>
          </cell>
          <cell r="E441" t="str">
            <v>추석</v>
          </cell>
        </row>
        <row r="442">
          <cell r="C442">
            <v>2073</v>
          </cell>
          <cell r="D442">
            <v>63226</v>
          </cell>
          <cell r="E442" t="str">
            <v>설날</v>
          </cell>
        </row>
        <row r="443">
          <cell r="C443">
            <v>2073</v>
          </cell>
          <cell r="D443">
            <v>63227</v>
          </cell>
          <cell r="E443" t="str">
            <v>설날</v>
          </cell>
        </row>
        <row r="444">
          <cell r="C444">
            <v>2073</v>
          </cell>
          <cell r="D444">
            <v>63228</v>
          </cell>
          <cell r="E444" t="str">
            <v>설날</v>
          </cell>
        </row>
        <row r="445">
          <cell r="C445">
            <v>2073</v>
          </cell>
          <cell r="D445">
            <v>63323</v>
          </cell>
          <cell r="E445" t="str">
            <v>석가탄신일</v>
          </cell>
        </row>
        <row r="446">
          <cell r="C446">
            <v>2073</v>
          </cell>
          <cell r="D446">
            <v>63447</v>
          </cell>
          <cell r="E446" t="str">
            <v>추석</v>
          </cell>
        </row>
        <row r="447">
          <cell r="C447">
            <v>2073</v>
          </cell>
          <cell r="D447">
            <v>63448</v>
          </cell>
          <cell r="E447" t="str">
            <v>추석</v>
          </cell>
        </row>
        <row r="448">
          <cell r="C448">
            <v>2073</v>
          </cell>
          <cell r="D448">
            <v>63449</v>
          </cell>
          <cell r="E448" t="str">
            <v>추석</v>
          </cell>
        </row>
        <row r="449">
          <cell r="C449">
            <v>2074</v>
          </cell>
          <cell r="D449">
            <v>63580</v>
          </cell>
          <cell r="E449" t="str">
            <v>설날</v>
          </cell>
        </row>
        <row r="450">
          <cell r="C450">
            <v>2074</v>
          </cell>
          <cell r="D450">
            <v>63581</v>
          </cell>
          <cell r="E450" t="str">
            <v>설날</v>
          </cell>
        </row>
        <row r="451">
          <cell r="C451">
            <v>2074</v>
          </cell>
          <cell r="D451">
            <v>63582</v>
          </cell>
          <cell r="E451" t="str">
            <v>설날</v>
          </cell>
        </row>
        <row r="452">
          <cell r="C452">
            <v>2074</v>
          </cell>
          <cell r="D452">
            <v>63677</v>
          </cell>
          <cell r="E452" t="str">
            <v>석가탄신일</v>
          </cell>
        </row>
        <row r="453">
          <cell r="C453">
            <v>2074</v>
          </cell>
          <cell r="D453">
            <v>63831</v>
          </cell>
          <cell r="E453" t="str">
            <v>추석</v>
          </cell>
        </row>
        <row r="454">
          <cell r="C454">
            <v>2074</v>
          </cell>
          <cell r="D454">
            <v>63832</v>
          </cell>
          <cell r="E454" t="str">
            <v>추석</v>
          </cell>
        </row>
        <row r="455">
          <cell r="C455">
            <v>2074</v>
          </cell>
          <cell r="D455">
            <v>63833</v>
          </cell>
          <cell r="E455" t="str">
            <v>추석</v>
          </cell>
        </row>
        <row r="456">
          <cell r="C456">
            <v>2075</v>
          </cell>
          <cell r="D456">
            <v>63964</v>
          </cell>
          <cell r="E456" t="str">
            <v>설날</v>
          </cell>
        </row>
        <row r="457">
          <cell r="C457">
            <v>2075</v>
          </cell>
          <cell r="D457">
            <v>63965</v>
          </cell>
          <cell r="E457" t="str">
            <v>설날</v>
          </cell>
        </row>
        <row r="458">
          <cell r="C458">
            <v>2075</v>
          </cell>
          <cell r="D458">
            <v>63966</v>
          </cell>
          <cell r="E458" t="str">
            <v>설날</v>
          </cell>
        </row>
        <row r="459">
          <cell r="C459">
            <v>2075</v>
          </cell>
          <cell r="D459">
            <v>64061</v>
          </cell>
          <cell r="E459" t="str">
            <v>석가탄신일</v>
          </cell>
        </row>
        <row r="460">
          <cell r="C460">
            <v>2075</v>
          </cell>
          <cell r="D460">
            <v>64185</v>
          </cell>
          <cell r="E460" t="str">
            <v>추석</v>
          </cell>
        </row>
        <row r="461">
          <cell r="C461">
            <v>2075</v>
          </cell>
          <cell r="D461">
            <v>64186</v>
          </cell>
          <cell r="E461" t="str">
            <v>추석</v>
          </cell>
        </row>
        <row r="462">
          <cell r="C462">
            <v>2075</v>
          </cell>
          <cell r="D462">
            <v>64187</v>
          </cell>
          <cell r="E462" t="str">
            <v>추석</v>
          </cell>
        </row>
        <row r="463">
          <cell r="C463">
            <v>2076</v>
          </cell>
          <cell r="D463">
            <v>64319</v>
          </cell>
          <cell r="E463" t="str">
            <v>설날</v>
          </cell>
        </row>
        <row r="464">
          <cell r="C464">
            <v>2076</v>
          </cell>
          <cell r="D464">
            <v>64320</v>
          </cell>
          <cell r="E464" t="str">
            <v>설날</v>
          </cell>
        </row>
        <row r="465">
          <cell r="C465">
            <v>2076</v>
          </cell>
          <cell r="D465">
            <v>64321</v>
          </cell>
          <cell r="E465" t="str">
            <v>설날</v>
          </cell>
        </row>
        <row r="466">
          <cell r="C466">
            <v>2076</v>
          </cell>
          <cell r="D466">
            <v>64415</v>
          </cell>
          <cell r="E466" t="str">
            <v>석가탄신일</v>
          </cell>
        </row>
        <row r="467">
          <cell r="C467">
            <v>2076</v>
          </cell>
          <cell r="D467">
            <v>64539</v>
          </cell>
          <cell r="E467" t="str">
            <v>추석</v>
          </cell>
        </row>
        <row r="468">
          <cell r="C468">
            <v>2076</v>
          </cell>
          <cell r="D468">
            <v>64540</v>
          </cell>
          <cell r="E468" t="str">
            <v>추석</v>
          </cell>
        </row>
        <row r="469">
          <cell r="C469">
            <v>2076</v>
          </cell>
          <cell r="D469">
            <v>64541</v>
          </cell>
          <cell r="E469" t="str">
            <v>추석</v>
          </cell>
        </row>
        <row r="470">
          <cell r="C470">
            <v>2077</v>
          </cell>
          <cell r="D470">
            <v>64673</v>
          </cell>
          <cell r="E470" t="str">
            <v>설날</v>
          </cell>
        </row>
        <row r="471">
          <cell r="C471">
            <v>2077</v>
          </cell>
          <cell r="D471">
            <v>64674</v>
          </cell>
          <cell r="E471" t="str">
            <v>설날</v>
          </cell>
        </row>
        <row r="472">
          <cell r="C472">
            <v>2077</v>
          </cell>
          <cell r="D472">
            <v>64675</v>
          </cell>
          <cell r="E472" t="str">
            <v>설날</v>
          </cell>
        </row>
        <row r="473">
          <cell r="C473">
            <v>2077</v>
          </cell>
          <cell r="D473">
            <v>64770</v>
          </cell>
          <cell r="E473" t="str">
            <v>석가탄신일</v>
          </cell>
        </row>
        <row r="474">
          <cell r="C474">
            <v>2077</v>
          </cell>
          <cell r="D474">
            <v>64923</v>
          </cell>
          <cell r="E474" t="str">
            <v>추석</v>
          </cell>
        </row>
        <row r="475">
          <cell r="C475">
            <v>2077</v>
          </cell>
          <cell r="D475">
            <v>64924</v>
          </cell>
          <cell r="E475" t="str">
            <v>추석</v>
          </cell>
        </row>
        <row r="476">
          <cell r="C476">
            <v>2077</v>
          </cell>
          <cell r="D476">
            <v>64925</v>
          </cell>
          <cell r="E476" t="str">
            <v>추석</v>
          </cell>
        </row>
        <row r="477">
          <cell r="C477">
            <v>2078</v>
          </cell>
          <cell r="D477">
            <v>65057</v>
          </cell>
          <cell r="E477" t="str">
            <v>설날</v>
          </cell>
        </row>
        <row r="478">
          <cell r="C478">
            <v>2078</v>
          </cell>
          <cell r="D478">
            <v>65058</v>
          </cell>
          <cell r="E478" t="str">
            <v>설날</v>
          </cell>
        </row>
        <row r="479">
          <cell r="C479">
            <v>2078</v>
          </cell>
          <cell r="D479">
            <v>65059</v>
          </cell>
          <cell r="E479" t="str">
            <v>설날</v>
          </cell>
        </row>
        <row r="480">
          <cell r="C480">
            <v>2078</v>
          </cell>
          <cell r="D480">
            <v>65154</v>
          </cell>
          <cell r="E480" t="str">
            <v>석가탄신일</v>
          </cell>
        </row>
        <row r="481">
          <cell r="C481">
            <v>2078</v>
          </cell>
          <cell r="D481">
            <v>65277</v>
          </cell>
          <cell r="E481" t="str">
            <v>추석</v>
          </cell>
        </row>
        <row r="482">
          <cell r="C482">
            <v>2078</v>
          </cell>
          <cell r="D482">
            <v>65278</v>
          </cell>
          <cell r="E482" t="str">
            <v>추석</v>
          </cell>
        </row>
        <row r="483">
          <cell r="C483">
            <v>2078</v>
          </cell>
          <cell r="D483">
            <v>65279</v>
          </cell>
          <cell r="E483" t="str">
            <v>추석</v>
          </cell>
        </row>
        <row r="484">
          <cell r="C484">
            <v>2079</v>
          </cell>
          <cell r="D484">
            <v>65412</v>
          </cell>
          <cell r="E484" t="str">
            <v>설날</v>
          </cell>
        </row>
        <row r="485">
          <cell r="C485">
            <v>2079</v>
          </cell>
          <cell r="D485">
            <v>65413</v>
          </cell>
          <cell r="E485" t="str">
            <v>설날</v>
          </cell>
        </row>
        <row r="486">
          <cell r="C486">
            <v>2079</v>
          </cell>
          <cell r="D486">
            <v>65414</v>
          </cell>
          <cell r="E486" t="str">
            <v>설날</v>
          </cell>
        </row>
        <row r="487">
          <cell r="C487">
            <v>2079</v>
          </cell>
          <cell r="D487">
            <v>65508</v>
          </cell>
          <cell r="E487" t="str">
            <v>석가탄신일</v>
          </cell>
        </row>
        <row r="488">
          <cell r="C488">
            <v>2079</v>
          </cell>
          <cell r="D488">
            <v>65632</v>
          </cell>
          <cell r="E488" t="str">
            <v>추석</v>
          </cell>
        </row>
        <row r="489">
          <cell r="C489">
            <v>2079</v>
          </cell>
          <cell r="D489">
            <v>65633</v>
          </cell>
          <cell r="E489" t="str">
            <v>추석</v>
          </cell>
        </row>
        <row r="490">
          <cell r="C490">
            <v>2079</v>
          </cell>
          <cell r="D490">
            <v>65634</v>
          </cell>
          <cell r="E490" t="str">
            <v>추석</v>
          </cell>
        </row>
        <row r="491">
          <cell r="C491">
            <v>2080</v>
          </cell>
          <cell r="D491">
            <v>65766</v>
          </cell>
          <cell r="E491" t="str">
            <v>설날</v>
          </cell>
        </row>
        <row r="492">
          <cell r="C492">
            <v>2080</v>
          </cell>
          <cell r="D492">
            <v>65767</v>
          </cell>
          <cell r="E492" t="str">
            <v>설날</v>
          </cell>
        </row>
        <row r="493">
          <cell r="C493">
            <v>2080</v>
          </cell>
          <cell r="D493">
            <v>65768</v>
          </cell>
          <cell r="E493" t="str">
            <v>설날</v>
          </cell>
        </row>
        <row r="494">
          <cell r="C494">
            <v>2080</v>
          </cell>
          <cell r="D494">
            <v>65892</v>
          </cell>
          <cell r="E494" t="str">
            <v>석가탄신일</v>
          </cell>
        </row>
        <row r="495">
          <cell r="C495">
            <v>2080</v>
          </cell>
          <cell r="D495">
            <v>66016</v>
          </cell>
          <cell r="E495" t="str">
            <v>추석</v>
          </cell>
        </row>
        <row r="496">
          <cell r="C496">
            <v>2080</v>
          </cell>
          <cell r="D496">
            <v>66017</v>
          </cell>
          <cell r="E496" t="str">
            <v>추석</v>
          </cell>
        </row>
        <row r="497">
          <cell r="C497">
            <v>2080</v>
          </cell>
          <cell r="D497">
            <v>66018</v>
          </cell>
          <cell r="E497" t="str">
            <v>추석</v>
          </cell>
        </row>
        <row r="498">
          <cell r="C498">
            <v>2081</v>
          </cell>
          <cell r="D498">
            <v>66150</v>
          </cell>
          <cell r="E498" t="str">
            <v>설날</v>
          </cell>
        </row>
        <row r="499">
          <cell r="C499">
            <v>2081</v>
          </cell>
          <cell r="D499">
            <v>66151</v>
          </cell>
          <cell r="E499" t="str">
            <v>설날</v>
          </cell>
        </row>
        <row r="500">
          <cell r="C500">
            <v>2081</v>
          </cell>
          <cell r="D500">
            <v>66152</v>
          </cell>
          <cell r="E500" t="str">
            <v>설날</v>
          </cell>
        </row>
        <row r="501">
          <cell r="C501">
            <v>2081</v>
          </cell>
          <cell r="D501">
            <v>66247</v>
          </cell>
          <cell r="E501" t="str">
            <v>석가탄신일</v>
          </cell>
        </row>
        <row r="502">
          <cell r="C502">
            <v>2081</v>
          </cell>
          <cell r="D502">
            <v>66370</v>
          </cell>
          <cell r="E502" t="str">
            <v>추석</v>
          </cell>
        </row>
        <row r="503">
          <cell r="C503">
            <v>2081</v>
          </cell>
          <cell r="D503">
            <v>66371</v>
          </cell>
          <cell r="E503" t="str">
            <v>추석</v>
          </cell>
        </row>
        <row r="504">
          <cell r="C504">
            <v>2081</v>
          </cell>
          <cell r="D504">
            <v>66372</v>
          </cell>
          <cell r="E504" t="str">
            <v>추석</v>
          </cell>
        </row>
        <row r="505">
          <cell r="C505">
            <v>2082</v>
          </cell>
          <cell r="D505">
            <v>66504</v>
          </cell>
          <cell r="E505" t="str">
            <v>설날</v>
          </cell>
        </row>
        <row r="506">
          <cell r="C506">
            <v>2082</v>
          </cell>
          <cell r="D506">
            <v>66505</v>
          </cell>
          <cell r="E506" t="str">
            <v>설날</v>
          </cell>
        </row>
        <row r="507">
          <cell r="C507">
            <v>2082</v>
          </cell>
          <cell r="D507">
            <v>66506</v>
          </cell>
          <cell r="E507" t="str">
            <v>설날</v>
          </cell>
        </row>
        <row r="508">
          <cell r="C508">
            <v>2082</v>
          </cell>
          <cell r="D508">
            <v>66601</v>
          </cell>
          <cell r="E508" t="str">
            <v>석가탄신일</v>
          </cell>
        </row>
        <row r="509">
          <cell r="C509">
            <v>2082</v>
          </cell>
          <cell r="D509">
            <v>66754</v>
          </cell>
          <cell r="E509" t="str">
            <v>추석</v>
          </cell>
        </row>
        <row r="510">
          <cell r="C510">
            <v>2082</v>
          </cell>
          <cell r="D510">
            <v>66755</v>
          </cell>
          <cell r="E510" t="str">
            <v>추석</v>
          </cell>
        </row>
        <row r="511">
          <cell r="C511">
            <v>2082</v>
          </cell>
          <cell r="D511">
            <v>66756</v>
          </cell>
          <cell r="E511" t="str">
            <v>추석</v>
          </cell>
        </row>
        <row r="512">
          <cell r="C512">
            <v>2083</v>
          </cell>
          <cell r="D512">
            <v>66888</v>
          </cell>
          <cell r="E512" t="str">
            <v>설날</v>
          </cell>
        </row>
        <row r="513">
          <cell r="C513">
            <v>2083</v>
          </cell>
          <cell r="D513">
            <v>66889</v>
          </cell>
          <cell r="E513" t="str">
            <v>설날</v>
          </cell>
        </row>
        <row r="514">
          <cell r="C514">
            <v>2083</v>
          </cell>
          <cell r="D514">
            <v>66890</v>
          </cell>
          <cell r="E514" t="str">
            <v>설날</v>
          </cell>
        </row>
        <row r="515">
          <cell r="C515">
            <v>2083</v>
          </cell>
          <cell r="D515">
            <v>66985</v>
          </cell>
          <cell r="E515" t="str">
            <v>석가탄신일</v>
          </cell>
        </row>
        <row r="516">
          <cell r="C516">
            <v>2083</v>
          </cell>
          <cell r="D516">
            <v>67109</v>
          </cell>
          <cell r="E516" t="str">
            <v>추석</v>
          </cell>
        </row>
        <row r="517">
          <cell r="C517">
            <v>2083</v>
          </cell>
          <cell r="D517">
            <v>67110</v>
          </cell>
          <cell r="E517" t="str">
            <v>추석</v>
          </cell>
        </row>
        <row r="518">
          <cell r="C518">
            <v>2083</v>
          </cell>
          <cell r="D518">
            <v>67111</v>
          </cell>
          <cell r="E518" t="str">
            <v>추석</v>
          </cell>
        </row>
        <row r="519">
          <cell r="C519">
            <v>2084</v>
          </cell>
          <cell r="D519">
            <v>67242</v>
          </cell>
          <cell r="E519" t="str">
            <v>설날</v>
          </cell>
        </row>
        <row r="520">
          <cell r="C520">
            <v>2084</v>
          </cell>
          <cell r="D520">
            <v>67243</v>
          </cell>
          <cell r="E520" t="str">
            <v>설날</v>
          </cell>
        </row>
        <row r="521">
          <cell r="C521">
            <v>2084</v>
          </cell>
          <cell r="D521">
            <v>67244</v>
          </cell>
          <cell r="E521" t="str">
            <v>설날</v>
          </cell>
        </row>
        <row r="522">
          <cell r="C522">
            <v>2084</v>
          </cell>
          <cell r="D522">
            <v>67339</v>
          </cell>
          <cell r="E522" t="str">
            <v>석가탄신일</v>
          </cell>
        </row>
        <row r="523">
          <cell r="C523">
            <v>2084</v>
          </cell>
          <cell r="D523">
            <v>67463</v>
          </cell>
          <cell r="E523" t="str">
            <v>추석</v>
          </cell>
        </row>
        <row r="524">
          <cell r="C524">
            <v>2084</v>
          </cell>
          <cell r="D524">
            <v>67464</v>
          </cell>
          <cell r="E524" t="str">
            <v>추석</v>
          </cell>
        </row>
        <row r="525">
          <cell r="C525">
            <v>2084</v>
          </cell>
          <cell r="D525">
            <v>67465</v>
          </cell>
          <cell r="E525" t="str">
            <v>추석</v>
          </cell>
        </row>
        <row r="526">
          <cell r="C526">
            <v>2085</v>
          </cell>
          <cell r="D526">
            <v>67597</v>
          </cell>
          <cell r="E526" t="str">
            <v>설날</v>
          </cell>
        </row>
        <row r="527">
          <cell r="C527">
            <v>2085</v>
          </cell>
          <cell r="D527">
            <v>67598</v>
          </cell>
          <cell r="E527" t="str">
            <v>설날</v>
          </cell>
        </row>
        <row r="528">
          <cell r="C528">
            <v>2085</v>
          </cell>
          <cell r="D528">
            <v>67599</v>
          </cell>
          <cell r="E528" t="str">
            <v>설날</v>
          </cell>
        </row>
        <row r="529">
          <cell r="C529">
            <v>2085</v>
          </cell>
          <cell r="D529">
            <v>67693</v>
          </cell>
          <cell r="E529" t="str">
            <v>석가탄신일</v>
          </cell>
        </row>
        <row r="530">
          <cell r="C530">
            <v>2085</v>
          </cell>
          <cell r="D530">
            <v>67847</v>
          </cell>
          <cell r="E530" t="str">
            <v>추석</v>
          </cell>
        </row>
        <row r="531">
          <cell r="C531">
            <v>2085</v>
          </cell>
          <cell r="D531">
            <v>67848</v>
          </cell>
          <cell r="E531" t="str">
            <v>추석</v>
          </cell>
        </row>
        <row r="532">
          <cell r="C532">
            <v>2085</v>
          </cell>
          <cell r="D532">
            <v>67849</v>
          </cell>
          <cell r="E532" t="str">
            <v>추석</v>
          </cell>
        </row>
        <row r="533">
          <cell r="C533">
            <v>2086</v>
          </cell>
          <cell r="D533">
            <v>67981</v>
          </cell>
          <cell r="E533" t="str">
            <v>설날</v>
          </cell>
        </row>
        <row r="534">
          <cell r="C534">
            <v>2086</v>
          </cell>
          <cell r="D534">
            <v>67982</v>
          </cell>
          <cell r="E534" t="str">
            <v>설날</v>
          </cell>
        </row>
        <row r="535">
          <cell r="C535">
            <v>2086</v>
          </cell>
          <cell r="D535">
            <v>67983</v>
          </cell>
          <cell r="E535" t="str">
            <v>설날</v>
          </cell>
        </row>
        <row r="536">
          <cell r="C536">
            <v>2086</v>
          </cell>
          <cell r="D536">
            <v>68077</v>
          </cell>
          <cell r="E536" t="str">
            <v>석가탄신일</v>
          </cell>
        </row>
        <row r="537">
          <cell r="C537">
            <v>2086</v>
          </cell>
          <cell r="D537">
            <v>68201</v>
          </cell>
          <cell r="E537" t="str">
            <v>추석</v>
          </cell>
        </row>
        <row r="538">
          <cell r="C538">
            <v>2086</v>
          </cell>
          <cell r="D538">
            <v>68202</v>
          </cell>
          <cell r="E538" t="str">
            <v>추석</v>
          </cell>
        </row>
        <row r="539">
          <cell r="C539">
            <v>2086</v>
          </cell>
          <cell r="D539">
            <v>68203</v>
          </cell>
          <cell r="E539" t="str">
            <v>추석</v>
          </cell>
        </row>
        <row r="540">
          <cell r="C540">
            <v>2087</v>
          </cell>
          <cell r="D540">
            <v>68335</v>
          </cell>
          <cell r="E540" t="str">
            <v>설날</v>
          </cell>
        </row>
        <row r="541">
          <cell r="C541">
            <v>2087</v>
          </cell>
          <cell r="D541">
            <v>68336</v>
          </cell>
          <cell r="E541" t="str">
            <v>설날</v>
          </cell>
        </row>
        <row r="542">
          <cell r="C542">
            <v>2087</v>
          </cell>
          <cell r="D542">
            <v>68337</v>
          </cell>
          <cell r="E542" t="str">
            <v>설날</v>
          </cell>
        </row>
        <row r="543">
          <cell r="C543">
            <v>2087</v>
          </cell>
          <cell r="D543">
            <v>68432</v>
          </cell>
          <cell r="E543" t="str">
            <v>석가탄신일</v>
          </cell>
        </row>
        <row r="544">
          <cell r="C544">
            <v>2087</v>
          </cell>
          <cell r="D544">
            <v>68555</v>
          </cell>
          <cell r="E544" t="str">
            <v>추석</v>
          </cell>
        </row>
        <row r="545">
          <cell r="C545">
            <v>2087</v>
          </cell>
          <cell r="D545">
            <v>68556</v>
          </cell>
          <cell r="E545" t="str">
            <v>추석</v>
          </cell>
        </row>
        <row r="546">
          <cell r="C546">
            <v>2087</v>
          </cell>
          <cell r="D546">
            <v>68557</v>
          </cell>
          <cell r="E546" t="str">
            <v>추석</v>
          </cell>
        </row>
        <row r="547">
          <cell r="C547">
            <v>2088</v>
          </cell>
          <cell r="D547">
            <v>68690</v>
          </cell>
          <cell r="E547" t="str">
            <v>설날</v>
          </cell>
        </row>
        <row r="548">
          <cell r="C548">
            <v>2088</v>
          </cell>
          <cell r="D548">
            <v>68691</v>
          </cell>
          <cell r="E548" t="str">
            <v>설날</v>
          </cell>
        </row>
        <row r="549">
          <cell r="C549">
            <v>2088</v>
          </cell>
          <cell r="D549">
            <v>68692</v>
          </cell>
          <cell r="E549" t="str">
            <v>설날</v>
          </cell>
        </row>
        <row r="550">
          <cell r="C550">
            <v>2088</v>
          </cell>
          <cell r="D550">
            <v>68786</v>
          </cell>
          <cell r="E550" t="str">
            <v>석가탄신일</v>
          </cell>
        </row>
        <row r="551">
          <cell r="C551">
            <v>2088</v>
          </cell>
          <cell r="D551">
            <v>68939</v>
          </cell>
          <cell r="E551" t="str">
            <v>추석</v>
          </cell>
        </row>
        <row r="552">
          <cell r="C552">
            <v>2088</v>
          </cell>
          <cell r="D552">
            <v>68940</v>
          </cell>
          <cell r="E552" t="str">
            <v>추석</v>
          </cell>
        </row>
        <row r="553">
          <cell r="C553">
            <v>2088</v>
          </cell>
          <cell r="D553">
            <v>68941</v>
          </cell>
          <cell r="E553" t="str">
            <v>추석</v>
          </cell>
        </row>
        <row r="554">
          <cell r="C554">
            <v>2089</v>
          </cell>
          <cell r="D554">
            <v>69074</v>
          </cell>
          <cell r="E554" t="str">
            <v>설날</v>
          </cell>
        </row>
        <row r="555">
          <cell r="C555">
            <v>2089</v>
          </cell>
          <cell r="D555">
            <v>69075</v>
          </cell>
          <cell r="E555" t="str">
            <v>설날</v>
          </cell>
        </row>
        <row r="556">
          <cell r="C556">
            <v>2089</v>
          </cell>
          <cell r="D556">
            <v>69076</v>
          </cell>
          <cell r="E556" t="str">
            <v>설날</v>
          </cell>
        </row>
        <row r="557">
          <cell r="C557">
            <v>2089</v>
          </cell>
          <cell r="D557">
            <v>69170</v>
          </cell>
          <cell r="E557" t="str">
            <v>석가탄신일</v>
          </cell>
        </row>
        <row r="558">
          <cell r="C558">
            <v>2089</v>
          </cell>
          <cell r="D558">
            <v>69294</v>
          </cell>
          <cell r="E558" t="str">
            <v>추석</v>
          </cell>
        </row>
        <row r="559">
          <cell r="C559">
            <v>2089</v>
          </cell>
          <cell r="D559">
            <v>69295</v>
          </cell>
          <cell r="E559" t="str">
            <v>추석</v>
          </cell>
        </row>
        <row r="560">
          <cell r="C560">
            <v>2089</v>
          </cell>
          <cell r="D560">
            <v>69296</v>
          </cell>
          <cell r="E560" t="str">
            <v>추석</v>
          </cell>
        </row>
        <row r="561">
          <cell r="C561">
            <v>2090</v>
          </cell>
          <cell r="D561">
            <v>69427</v>
          </cell>
          <cell r="E561" t="str">
            <v>설날</v>
          </cell>
        </row>
        <row r="562">
          <cell r="C562">
            <v>2090</v>
          </cell>
          <cell r="D562">
            <v>69428</v>
          </cell>
          <cell r="E562" t="str">
            <v>설날</v>
          </cell>
        </row>
        <row r="563">
          <cell r="C563">
            <v>2090</v>
          </cell>
          <cell r="D563">
            <v>69429</v>
          </cell>
          <cell r="E563" t="str">
            <v>설날</v>
          </cell>
        </row>
        <row r="564">
          <cell r="C564">
            <v>2090</v>
          </cell>
          <cell r="D564">
            <v>69525</v>
          </cell>
          <cell r="E564" t="str">
            <v>석가탄신일</v>
          </cell>
        </row>
        <row r="565">
          <cell r="C565">
            <v>2090</v>
          </cell>
          <cell r="D565">
            <v>69648</v>
          </cell>
          <cell r="E565" t="str">
            <v>추석</v>
          </cell>
        </row>
        <row r="566">
          <cell r="C566">
            <v>2090</v>
          </cell>
          <cell r="D566">
            <v>69649</v>
          </cell>
          <cell r="E566" t="str">
            <v>추석</v>
          </cell>
        </row>
        <row r="567">
          <cell r="C567">
            <v>2090</v>
          </cell>
          <cell r="D567">
            <v>69650</v>
          </cell>
          <cell r="E567" t="str">
            <v>추석</v>
          </cell>
        </row>
        <row r="568">
          <cell r="C568">
            <v>2091</v>
          </cell>
          <cell r="D568">
            <v>69811</v>
          </cell>
          <cell r="E568" t="str">
            <v>설날</v>
          </cell>
        </row>
        <row r="569">
          <cell r="C569">
            <v>2091</v>
          </cell>
          <cell r="D569">
            <v>69812</v>
          </cell>
          <cell r="E569" t="str">
            <v>설날</v>
          </cell>
        </row>
        <row r="570">
          <cell r="C570">
            <v>2091</v>
          </cell>
          <cell r="D570">
            <v>69813</v>
          </cell>
          <cell r="E570" t="str">
            <v>설날</v>
          </cell>
        </row>
        <row r="571">
          <cell r="C571">
            <v>2091</v>
          </cell>
          <cell r="D571">
            <v>69908</v>
          </cell>
          <cell r="E571" t="str">
            <v>석가탄신일</v>
          </cell>
        </row>
        <row r="572">
          <cell r="C572">
            <v>2091</v>
          </cell>
          <cell r="D572">
            <v>70032</v>
          </cell>
          <cell r="E572" t="str">
            <v>추석</v>
          </cell>
        </row>
        <row r="573">
          <cell r="C573">
            <v>2091</v>
          </cell>
          <cell r="D573">
            <v>70033</v>
          </cell>
          <cell r="E573" t="str">
            <v>추석</v>
          </cell>
        </row>
        <row r="574">
          <cell r="C574">
            <v>2091</v>
          </cell>
          <cell r="D574">
            <v>70034</v>
          </cell>
          <cell r="E574" t="str">
            <v>추석</v>
          </cell>
        </row>
        <row r="575">
          <cell r="C575">
            <v>2092</v>
          </cell>
          <cell r="D575">
            <v>70165</v>
          </cell>
          <cell r="E575" t="str">
            <v>설날</v>
          </cell>
        </row>
        <row r="576">
          <cell r="C576">
            <v>2092</v>
          </cell>
          <cell r="D576">
            <v>70166</v>
          </cell>
          <cell r="E576" t="str">
            <v>설날</v>
          </cell>
        </row>
        <row r="577">
          <cell r="C577">
            <v>2092</v>
          </cell>
          <cell r="D577">
            <v>70167</v>
          </cell>
          <cell r="E577" t="str">
            <v>설날</v>
          </cell>
        </row>
        <row r="578">
          <cell r="C578">
            <v>2092</v>
          </cell>
          <cell r="D578">
            <v>70262</v>
          </cell>
          <cell r="E578" t="str">
            <v>석가탄신일</v>
          </cell>
        </row>
        <row r="579">
          <cell r="C579">
            <v>2092</v>
          </cell>
          <cell r="D579">
            <v>70387</v>
          </cell>
          <cell r="E579" t="str">
            <v>추석</v>
          </cell>
        </row>
        <row r="580">
          <cell r="C580">
            <v>2092</v>
          </cell>
          <cell r="D580">
            <v>70388</v>
          </cell>
          <cell r="E580" t="str">
            <v>추석</v>
          </cell>
        </row>
        <row r="581">
          <cell r="C581">
            <v>2092</v>
          </cell>
          <cell r="D581">
            <v>70389</v>
          </cell>
          <cell r="E581" t="str">
            <v>추석</v>
          </cell>
        </row>
        <row r="582">
          <cell r="C582">
            <v>2093</v>
          </cell>
          <cell r="D582">
            <v>70520</v>
          </cell>
          <cell r="E582" t="str">
            <v>설날</v>
          </cell>
        </row>
        <row r="583">
          <cell r="C583">
            <v>2093</v>
          </cell>
          <cell r="D583">
            <v>70521</v>
          </cell>
          <cell r="E583" t="str">
            <v>설날</v>
          </cell>
        </row>
        <row r="584">
          <cell r="C584">
            <v>2093</v>
          </cell>
          <cell r="D584">
            <v>70522</v>
          </cell>
          <cell r="E584" t="str">
            <v>설날</v>
          </cell>
        </row>
        <row r="585">
          <cell r="C585">
            <v>2093</v>
          </cell>
          <cell r="D585">
            <v>70617</v>
          </cell>
          <cell r="E585" t="str">
            <v>석가탄신일</v>
          </cell>
        </row>
        <row r="586">
          <cell r="C586">
            <v>2093</v>
          </cell>
          <cell r="D586">
            <v>70771</v>
          </cell>
          <cell r="E586" t="str">
            <v>추석</v>
          </cell>
        </row>
        <row r="587">
          <cell r="C587">
            <v>2093</v>
          </cell>
          <cell r="D587">
            <v>70772</v>
          </cell>
          <cell r="E587" t="str">
            <v>추석</v>
          </cell>
        </row>
        <row r="588">
          <cell r="C588">
            <v>2093</v>
          </cell>
          <cell r="D588">
            <v>70773</v>
          </cell>
          <cell r="E588" t="str">
            <v>추석</v>
          </cell>
        </row>
        <row r="589">
          <cell r="C589">
            <v>2094</v>
          </cell>
          <cell r="D589">
            <v>70904</v>
          </cell>
          <cell r="E589" t="str">
            <v>설날</v>
          </cell>
        </row>
        <row r="590">
          <cell r="C590">
            <v>2094</v>
          </cell>
          <cell r="D590">
            <v>70905</v>
          </cell>
          <cell r="E590" t="str">
            <v>설날</v>
          </cell>
        </row>
        <row r="591">
          <cell r="C591">
            <v>2094</v>
          </cell>
          <cell r="D591">
            <v>70906</v>
          </cell>
          <cell r="E591" t="str">
            <v>설날</v>
          </cell>
        </row>
        <row r="592">
          <cell r="C592">
            <v>2094</v>
          </cell>
          <cell r="D592">
            <v>71000</v>
          </cell>
          <cell r="E592" t="str">
            <v>석가탄신일</v>
          </cell>
        </row>
        <row r="593">
          <cell r="C593">
            <v>2094</v>
          </cell>
          <cell r="D593">
            <v>71125</v>
          </cell>
          <cell r="E593" t="str">
            <v>추석</v>
          </cell>
        </row>
        <row r="594">
          <cell r="C594">
            <v>2094</v>
          </cell>
          <cell r="D594">
            <v>71126</v>
          </cell>
          <cell r="E594" t="str">
            <v>추석</v>
          </cell>
        </row>
        <row r="595">
          <cell r="C595">
            <v>2094</v>
          </cell>
          <cell r="D595">
            <v>71127</v>
          </cell>
          <cell r="E595" t="str">
            <v>추석</v>
          </cell>
        </row>
        <row r="596">
          <cell r="C596">
            <v>2095</v>
          </cell>
          <cell r="D596">
            <v>71259</v>
          </cell>
          <cell r="E596" t="str">
            <v>설날</v>
          </cell>
        </row>
        <row r="597">
          <cell r="C597">
            <v>2095</v>
          </cell>
          <cell r="D597">
            <v>71260</v>
          </cell>
          <cell r="E597" t="str">
            <v>설날</v>
          </cell>
        </row>
        <row r="598">
          <cell r="C598">
            <v>2095</v>
          </cell>
          <cell r="D598">
            <v>71261</v>
          </cell>
          <cell r="E598" t="str">
            <v>설날</v>
          </cell>
        </row>
        <row r="599">
          <cell r="C599">
            <v>2095</v>
          </cell>
          <cell r="D599">
            <v>71355</v>
          </cell>
          <cell r="E599" t="str">
            <v>석가탄신일</v>
          </cell>
        </row>
        <row r="600">
          <cell r="C600">
            <v>2095</v>
          </cell>
          <cell r="D600">
            <v>71479</v>
          </cell>
          <cell r="E600" t="str">
            <v>추석</v>
          </cell>
        </row>
        <row r="601">
          <cell r="C601">
            <v>2095</v>
          </cell>
          <cell r="D601">
            <v>71480</v>
          </cell>
          <cell r="E601" t="str">
            <v>추석</v>
          </cell>
        </row>
        <row r="602">
          <cell r="C602">
            <v>2095</v>
          </cell>
          <cell r="D602">
            <v>71481</v>
          </cell>
          <cell r="E602" t="str">
            <v>추석</v>
          </cell>
        </row>
        <row r="603">
          <cell r="C603">
            <v>2096</v>
          </cell>
          <cell r="D603">
            <v>71613</v>
          </cell>
          <cell r="E603" t="str">
            <v>설날</v>
          </cell>
        </row>
        <row r="604">
          <cell r="C604">
            <v>2096</v>
          </cell>
          <cell r="D604">
            <v>71614</v>
          </cell>
          <cell r="E604" t="str">
            <v>설날</v>
          </cell>
        </row>
        <row r="605">
          <cell r="C605">
            <v>2096</v>
          </cell>
          <cell r="D605">
            <v>71615</v>
          </cell>
          <cell r="E605" t="str">
            <v>설날</v>
          </cell>
        </row>
        <row r="606">
          <cell r="C606">
            <v>2096</v>
          </cell>
          <cell r="D606">
            <v>71710</v>
          </cell>
          <cell r="E606" t="str">
            <v>석가탄신일</v>
          </cell>
        </row>
        <row r="607">
          <cell r="C607">
            <v>2096</v>
          </cell>
          <cell r="D607">
            <v>71863</v>
          </cell>
          <cell r="E607" t="str">
            <v>추석</v>
          </cell>
        </row>
        <row r="608">
          <cell r="C608">
            <v>2096</v>
          </cell>
          <cell r="D608">
            <v>71864</v>
          </cell>
          <cell r="E608" t="str">
            <v>추석</v>
          </cell>
        </row>
        <row r="609">
          <cell r="C609">
            <v>2096</v>
          </cell>
          <cell r="D609">
            <v>71865</v>
          </cell>
          <cell r="E609" t="str">
            <v>추석</v>
          </cell>
        </row>
        <row r="610">
          <cell r="C610">
            <v>2097</v>
          </cell>
          <cell r="D610">
            <v>71997</v>
          </cell>
          <cell r="E610" t="str">
            <v>설날</v>
          </cell>
        </row>
        <row r="611">
          <cell r="C611">
            <v>2097</v>
          </cell>
          <cell r="D611">
            <v>71998</v>
          </cell>
          <cell r="E611" t="str">
            <v>설날</v>
          </cell>
        </row>
        <row r="612">
          <cell r="C612">
            <v>2097</v>
          </cell>
          <cell r="D612">
            <v>71999</v>
          </cell>
          <cell r="E612" t="str">
            <v>설날</v>
          </cell>
        </row>
        <row r="613">
          <cell r="C613">
            <v>2097</v>
          </cell>
          <cell r="D613">
            <v>72094</v>
          </cell>
          <cell r="E613" t="str">
            <v>석가탄신일</v>
          </cell>
        </row>
        <row r="614">
          <cell r="C614">
            <v>2097</v>
          </cell>
          <cell r="D614">
            <v>72217</v>
          </cell>
          <cell r="E614" t="str">
            <v>추석</v>
          </cell>
        </row>
        <row r="615">
          <cell r="C615">
            <v>2097</v>
          </cell>
          <cell r="D615">
            <v>72218</v>
          </cell>
          <cell r="E615" t="str">
            <v>추석</v>
          </cell>
        </row>
        <row r="616">
          <cell r="C616">
            <v>2097</v>
          </cell>
          <cell r="D616">
            <v>72219</v>
          </cell>
          <cell r="E616" t="str">
            <v>추석</v>
          </cell>
        </row>
        <row r="617">
          <cell r="C617">
            <v>2098</v>
          </cell>
          <cell r="D617">
            <v>72351</v>
          </cell>
          <cell r="E617" t="str">
            <v>설날</v>
          </cell>
        </row>
        <row r="618">
          <cell r="C618">
            <v>2098</v>
          </cell>
          <cell r="D618">
            <v>72352</v>
          </cell>
          <cell r="E618" t="str">
            <v>설날</v>
          </cell>
        </row>
        <row r="619">
          <cell r="C619">
            <v>2098</v>
          </cell>
          <cell r="D619">
            <v>72353</v>
          </cell>
          <cell r="E619" t="str">
            <v>설날</v>
          </cell>
        </row>
        <row r="620">
          <cell r="C620">
            <v>2098</v>
          </cell>
          <cell r="D620">
            <v>72448</v>
          </cell>
          <cell r="E620" t="str">
            <v>석가탄신일</v>
          </cell>
        </row>
        <row r="621">
          <cell r="C621">
            <v>2098</v>
          </cell>
          <cell r="D621">
            <v>72572</v>
          </cell>
          <cell r="E621" t="str">
            <v>추석</v>
          </cell>
        </row>
        <row r="622">
          <cell r="C622">
            <v>2098</v>
          </cell>
          <cell r="D622">
            <v>72573</v>
          </cell>
          <cell r="E622" t="str">
            <v>추석</v>
          </cell>
        </row>
        <row r="623">
          <cell r="C623">
            <v>2098</v>
          </cell>
          <cell r="D623">
            <v>72574</v>
          </cell>
          <cell r="E623" t="str">
            <v>추석</v>
          </cell>
        </row>
        <row r="624">
          <cell r="C624">
            <v>2099</v>
          </cell>
          <cell r="D624">
            <v>72705</v>
          </cell>
          <cell r="E624" t="str">
            <v>설날</v>
          </cell>
        </row>
        <row r="625">
          <cell r="C625">
            <v>2099</v>
          </cell>
          <cell r="D625">
            <v>72706</v>
          </cell>
          <cell r="E625" t="str">
            <v>설날</v>
          </cell>
        </row>
        <row r="626">
          <cell r="C626">
            <v>2099</v>
          </cell>
          <cell r="D626">
            <v>72707</v>
          </cell>
          <cell r="E626" t="str">
            <v>설날</v>
          </cell>
        </row>
        <row r="627">
          <cell r="C627">
            <v>2099</v>
          </cell>
          <cell r="D627">
            <v>72832</v>
          </cell>
          <cell r="E627" t="str">
            <v>석가탄신일</v>
          </cell>
        </row>
        <row r="628">
          <cell r="C628">
            <v>2099</v>
          </cell>
          <cell r="D628">
            <v>72956</v>
          </cell>
          <cell r="E628" t="str">
            <v>추석</v>
          </cell>
        </row>
        <row r="629">
          <cell r="C629">
            <v>2099</v>
          </cell>
          <cell r="D629">
            <v>72957</v>
          </cell>
          <cell r="E629" t="str">
            <v>추석</v>
          </cell>
        </row>
        <row r="630">
          <cell r="C630">
            <v>2099</v>
          </cell>
          <cell r="D630">
            <v>72958</v>
          </cell>
          <cell r="E630" t="str">
            <v>추석</v>
          </cell>
        </row>
        <row r="631">
          <cell r="C631">
            <v>2100</v>
          </cell>
          <cell r="D631">
            <v>73089</v>
          </cell>
          <cell r="E631" t="str">
            <v>설날</v>
          </cell>
        </row>
        <row r="632">
          <cell r="C632">
            <v>2100</v>
          </cell>
          <cell r="D632">
            <v>73090</v>
          </cell>
          <cell r="E632" t="str">
            <v>설날</v>
          </cell>
        </row>
        <row r="633">
          <cell r="C633">
            <v>2100</v>
          </cell>
          <cell r="D633">
            <v>73091</v>
          </cell>
          <cell r="E633" t="str">
            <v>설날</v>
          </cell>
        </row>
        <row r="634">
          <cell r="C634">
            <v>2100</v>
          </cell>
          <cell r="D634">
            <v>73186</v>
          </cell>
          <cell r="E634" t="str">
            <v>석가탄신일</v>
          </cell>
        </row>
        <row r="635">
          <cell r="D635">
            <v>73310</v>
          </cell>
          <cell r="E635" t="str">
            <v>추석</v>
          </cell>
        </row>
        <row r="636">
          <cell r="D636">
            <v>73311</v>
          </cell>
          <cell r="E636" t="str">
            <v>추석</v>
          </cell>
        </row>
        <row r="637">
          <cell r="D637">
            <v>73312</v>
          </cell>
          <cell r="E637" t="str">
            <v>추석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50000"/>
          </a:schemeClr>
        </a:solidFill>
        <a:ln>
          <a:noFill/>
        </a:ln>
      </a:spPr>
      <a:bodyPr vertOverflow="clip" horzOverflow="clip" rtlCol="0" anchor="t"/>
      <a:lstStyle>
        <a:defPPr algn="l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.kakao.com/o/s3L8L5T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C401-8333-498F-819D-6E746BB6BCE7}">
  <sheetPr codeName="Sheet4">
    <pageSetUpPr autoPageBreaks="0"/>
  </sheetPr>
  <dimension ref="B1:K32"/>
  <sheetViews>
    <sheetView showGridLines="0" tabSelected="1" zoomScaleNormal="100" workbookViewId="0">
      <selection activeCell="G31" sqref="G31:I31"/>
    </sheetView>
  </sheetViews>
  <sheetFormatPr defaultRowHeight="16.5" x14ac:dyDescent="0.3"/>
  <cols>
    <col min="1" max="1" width="5.625" customWidth="1"/>
    <col min="12" max="12" width="5.625" customWidth="1"/>
  </cols>
  <sheetData>
    <row r="1" spans="2:11" ht="42.75" customHeight="1" x14ac:dyDescent="0.4">
      <c r="B1" s="575" t="s">
        <v>330</v>
      </c>
      <c r="C1" s="575"/>
      <c r="D1" s="575"/>
      <c r="E1" s="575"/>
      <c r="F1" s="575"/>
      <c r="G1" s="575"/>
      <c r="H1" s="575"/>
      <c r="I1" s="575"/>
      <c r="J1" s="575"/>
      <c r="K1" s="575"/>
    </row>
    <row r="2" spans="2:11" ht="12" customHeight="1" x14ac:dyDescent="0.3"/>
    <row r="3" spans="2:11" ht="17.25" x14ac:dyDescent="0.3">
      <c r="B3" s="576" t="s">
        <v>331</v>
      </c>
      <c r="C3" s="576"/>
      <c r="D3" s="576"/>
      <c r="E3" s="576"/>
      <c r="F3" s="576"/>
      <c r="G3" s="576"/>
      <c r="H3" s="576"/>
      <c r="I3" s="576"/>
      <c r="J3" s="576"/>
      <c r="K3" s="576"/>
    </row>
    <row r="4" spans="2:11" ht="17.25" x14ac:dyDescent="0.3">
      <c r="B4" s="576" t="s">
        <v>332</v>
      </c>
      <c r="C4" s="576"/>
      <c r="D4" s="576"/>
      <c r="E4" s="576"/>
      <c r="F4" s="576"/>
      <c r="G4" s="576"/>
      <c r="H4" s="576"/>
      <c r="I4" s="576"/>
      <c r="J4" s="576"/>
      <c r="K4" s="576"/>
    </row>
    <row r="5" spans="2:11" ht="17.25" x14ac:dyDescent="0.3">
      <c r="B5" s="576" t="s">
        <v>333</v>
      </c>
      <c r="C5" s="576"/>
      <c r="D5" s="576"/>
      <c r="E5" s="576"/>
      <c r="F5" s="576"/>
      <c r="G5" s="576"/>
      <c r="H5" s="576"/>
      <c r="I5" s="576"/>
      <c r="J5" s="576"/>
      <c r="K5" s="576"/>
    </row>
    <row r="6" spans="2:11" ht="9.9499999999999993" customHeight="1" x14ac:dyDescent="0.3">
      <c r="B6" s="557"/>
      <c r="C6" s="557"/>
      <c r="D6" s="557"/>
      <c r="E6" s="557"/>
      <c r="F6" s="557"/>
      <c r="G6" s="557"/>
      <c r="H6" s="557"/>
      <c r="I6" s="557"/>
      <c r="J6" s="557"/>
    </row>
    <row r="7" spans="2:11" ht="31.5" x14ac:dyDescent="0.3">
      <c r="B7" s="577" t="s">
        <v>334</v>
      </c>
      <c r="C7" s="577"/>
      <c r="D7" s="577"/>
      <c r="E7" s="577"/>
      <c r="F7" s="578"/>
      <c r="G7" s="577" t="s">
        <v>335</v>
      </c>
      <c r="H7" s="577"/>
      <c r="I7" s="577"/>
      <c r="J7" s="577"/>
      <c r="K7" s="577"/>
    </row>
    <row r="8" spans="2:11" ht="17.25" x14ac:dyDescent="0.3">
      <c r="B8" s="573" t="s">
        <v>336</v>
      </c>
      <c r="C8" s="569"/>
      <c r="D8" s="569"/>
      <c r="E8" s="569"/>
      <c r="F8" s="574"/>
      <c r="G8" s="569" t="s">
        <v>337</v>
      </c>
      <c r="H8" s="569"/>
      <c r="I8" s="569"/>
      <c r="J8" s="569"/>
      <c r="K8" s="569"/>
    </row>
    <row r="9" spans="2:11" ht="17.25" x14ac:dyDescent="0.3">
      <c r="B9" s="569" t="s">
        <v>338</v>
      </c>
      <c r="C9" s="569"/>
      <c r="D9" s="569"/>
      <c r="E9" s="569"/>
      <c r="F9" s="574"/>
      <c r="G9" s="569" t="s">
        <v>339</v>
      </c>
      <c r="H9" s="569"/>
      <c r="I9" s="569"/>
      <c r="J9" s="569"/>
      <c r="K9" s="569"/>
    </row>
    <row r="10" spans="2:11" ht="17.25" x14ac:dyDescent="0.3">
      <c r="B10" s="569" t="s">
        <v>340</v>
      </c>
      <c r="C10" s="569"/>
      <c r="D10" s="569"/>
      <c r="E10" s="569"/>
      <c r="F10" s="574"/>
      <c r="G10" s="569" t="s">
        <v>341</v>
      </c>
      <c r="H10" s="569"/>
      <c r="I10" s="569"/>
      <c r="J10" s="569"/>
      <c r="K10" s="569"/>
    </row>
    <row r="11" spans="2:11" ht="17.25" x14ac:dyDescent="0.3">
      <c r="B11" s="569" t="s">
        <v>342</v>
      </c>
      <c r="C11" s="569"/>
      <c r="D11" s="569"/>
      <c r="E11" s="569"/>
      <c r="F11" s="574"/>
      <c r="G11" s="569" t="s">
        <v>343</v>
      </c>
      <c r="H11" s="569"/>
      <c r="I11" s="569"/>
      <c r="J11" s="569"/>
      <c r="K11" s="569"/>
    </row>
    <row r="12" spans="2:11" ht="17.25" x14ac:dyDescent="0.3">
      <c r="B12" s="557"/>
      <c r="C12" s="557"/>
      <c r="D12" s="557"/>
      <c r="E12" s="557"/>
      <c r="F12" s="559"/>
      <c r="G12" s="573" t="s">
        <v>344</v>
      </c>
      <c r="H12" s="573"/>
      <c r="I12" s="573"/>
      <c r="J12" s="573"/>
      <c r="K12" s="573"/>
    </row>
    <row r="13" spans="2:11" ht="12" customHeight="1" x14ac:dyDescent="0.3">
      <c r="B13" s="557"/>
      <c r="C13" s="557"/>
      <c r="D13" s="557"/>
      <c r="E13" s="557"/>
      <c r="G13" s="558"/>
      <c r="H13" s="558"/>
      <c r="I13" s="558"/>
      <c r="J13" s="558"/>
      <c r="K13" s="558"/>
    </row>
    <row r="14" spans="2:11" ht="17.25" x14ac:dyDescent="0.3">
      <c r="B14" s="572" t="s">
        <v>345</v>
      </c>
      <c r="C14" s="572"/>
      <c r="D14" s="572"/>
      <c r="E14" s="572"/>
      <c r="F14" s="572"/>
      <c r="G14" s="572"/>
      <c r="H14" s="572"/>
      <c r="I14" s="572"/>
      <c r="J14" s="572"/>
      <c r="K14" s="572"/>
    </row>
    <row r="15" spans="2:11" ht="17.25" x14ac:dyDescent="0.3">
      <c r="B15" s="572" t="s">
        <v>346</v>
      </c>
      <c r="C15" s="572"/>
      <c r="D15" s="572"/>
      <c r="E15" s="572"/>
      <c r="F15" s="572"/>
      <c r="G15" s="572"/>
      <c r="H15" s="572"/>
      <c r="I15" s="572"/>
      <c r="J15" s="572"/>
      <c r="K15" s="572"/>
    </row>
    <row r="16" spans="2:11" ht="17.25" x14ac:dyDescent="0.3">
      <c r="B16" s="572" t="s">
        <v>347</v>
      </c>
      <c r="C16" s="572"/>
      <c r="D16" s="572"/>
      <c r="E16" s="572"/>
      <c r="F16" s="572"/>
      <c r="G16" s="572"/>
      <c r="H16" s="572"/>
      <c r="I16" s="572"/>
      <c r="J16" s="572"/>
      <c r="K16" s="572"/>
    </row>
    <row r="17" spans="2:11" ht="9.9499999999999993" customHeight="1" x14ac:dyDescent="0.3">
      <c r="B17" s="557"/>
      <c r="C17" s="557"/>
      <c r="D17" s="557"/>
      <c r="E17" s="557"/>
      <c r="F17" s="557"/>
      <c r="G17" s="557"/>
      <c r="H17" s="557"/>
      <c r="I17" s="557"/>
      <c r="J17" s="557"/>
    </row>
    <row r="18" spans="2:11" ht="17.25" x14ac:dyDescent="0.3">
      <c r="B18" s="569" t="s">
        <v>348</v>
      </c>
      <c r="C18" s="569"/>
      <c r="D18" s="569"/>
      <c r="E18" s="569"/>
      <c r="F18" s="569"/>
      <c r="G18" s="569"/>
      <c r="H18" s="569"/>
      <c r="I18" s="569"/>
      <c r="J18" s="569"/>
      <c r="K18" s="569"/>
    </row>
    <row r="19" spans="2:11" ht="17.25" x14ac:dyDescent="0.3">
      <c r="B19" s="569" t="s">
        <v>349</v>
      </c>
      <c r="C19" s="569"/>
      <c r="D19" s="569"/>
      <c r="E19" s="569"/>
      <c r="F19" s="569"/>
      <c r="G19" s="569"/>
      <c r="H19" s="569"/>
      <c r="I19" s="569"/>
      <c r="J19" s="569"/>
      <c r="K19" s="569"/>
    </row>
    <row r="20" spans="2:11" ht="17.25" x14ac:dyDescent="0.3">
      <c r="B20" s="569" t="s">
        <v>350</v>
      </c>
      <c r="C20" s="569"/>
      <c r="D20" s="569"/>
      <c r="E20" s="569"/>
      <c r="F20" s="569"/>
      <c r="G20" s="569"/>
      <c r="H20" s="569"/>
      <c r="I20" s="569"/>
      <c r="J20" s="569"/>
      <c r="K20" s="569"/>
    </row>
    <row r="21" spans="2:11" ht="17.25" x14ac:dyDescent="0.3">
      <c r="B21" s="569" t="s">
        <v>351</v>
      </c>
      <c r="C21" s="569"/>
      <c r="D21" s="569"/>
      <c r="E21" s="569"/>
      <c r="F21" s="569"/>
      <c r="G21" s="569"/>
      <c r="H21" s="569"/>
      <c r="I21" s="569"/>
      <c r="J21" s="569"/>
      <c r="K21" s="569"/>
    </row>
    <row r="22" spans="2:11" ht="9.9499999999999993" customHeight="1" x14ac:dyDescent="0.3">
      <c r="B22" s="557"/>
      <c r="C22" s="557"/>
      <c r="D22" s="557"/>
      <c r="E22" s="557"/>
      <c r="F22" s="557"/>
      <c r="G22" s="557"/>
      <c r="H22" s="557"/>
      <c r="I22" s="557"/>
      <c r="J22" s="557"/>
    </row>
    <row r="23" spans="2:11" ht="17.25" x14ac:dyDescent="0.3">
      <c r="B23" s="569" t="s">
        <v>352</v>
      </c>
      <c r="C23" s="569"/>
      <c r="D23" s="569"/>
      <c r="E23" s="569"/>
      <c r="F23" s="569"/>
      <c r="G23" s="569"/>
      <c r="H23" s="569"/>
      <c r="I23" s="569"/>
      <c r="J23" s="569"/>
      <c r="K23" s="569"/>
    </row>
    <row r="24" spans="2:11" ht="17.25" x14ac:dyDescent="0.3">
      <c r="B24" s="569" t="s">
        <v>353</v>
      </c>
      <c r="C24" s="569"/>
      <c r="D24" s="569"/>
      <c r="E24" s="569"/>
      <c r="F24" s="569"/>
      <c r="G24" s="569"/>
      <c r="H24" s="569"/>
      <c r="I24" s="569"/>
      <c r="J24" s="569"/>
      <c r="K24" s="569"/>
    </row>
    <row r="25" spans="2:11" ht="17.25" x14ac:dyDescent="0.3">
      <c r="B25" s="569" t="s">
        <v>354</v>
      </c>
      <c r="C25" s="569"/>
      <c r="D25" s="569"/>
      <c r="E25" s="569"/>
      <c r="F25" s="569"/>
      <c r="G25" s="569"/>
      <c r="H25" s="569"/>
      <c r="I25" s="569"/>
      <c r="J25" s="569"/>
      <c r="K25" s="569"/>
    </row>
    <row r="26" spans="2:11" ht="17.25" x14ac:dyDescent="0.3">
      <c r="B26" s="569" t="s">
        <v>355</v>
      </c>
      <c r="C26" s="569"/>
      <c r="D26" s="569"/>
      <c r="E26" s="569"/>
      <c r="F26" s="569"/>
      <c r="G26" s="569"/>
      <c r="H26" s="569"/>
      <c r="I26" s="569"/>
      <c r="J26" s="569"/>
      <c r="K26" s="569"/>
    </row>
    <row r="27" spans="2:11" ht="12" customHeight="1" x14ac:dyDescent="0.3">
      <c r="B27" s="557"/>
      <c r="C27" s="557"/>
      <c r="D27" s="557"/>
      <c r="E27" s="557"/>
      <c r="F27" s="557"/>
      <c r="G27" s="557"/>
      <c r="H27" s="557"/>
      <c r="I27" s="557"/>
      <c r="J27" s="557"/>
    </row>
    <row r="28" spans="2:11" ht="20.25" x14ac:dyDescent="0.3">
      <c r="B28" s="570" t="s">
        <v>356</v>
      </c>
      <c r="C28" s="571"/>
      <c r="D28" s="571"/>
      <c r="E28" s="571"/>
      <c r="F28" s="571"/>
      <c r="G28" s="571"/>
      <c r="H28" s="571"/>
      <c r="I28" s="571"/>
      <c r="J28" s="571"/>
      <c r="K28" s="571"/>
    </row>
    <row r="29" spans="2:11" ht="20.25" x14ac:dyDescent="0.3">
      <c r="B29" s="571" t="s">
        <v>357</v>
      </c>
      <c r="C29" s="571"/>
      <c r="D29" s="571"/>
      <c r="E29" s="571"/>
      <c r="F29" s="571"/>
      <c r="G29" s="571"/>
      <c r="H29" s="571"/>
      <c r="I29" s="571"/>
      <c r="J29" s="571"/>
      <c r="K29" s="571"/>
    </row>
    <row r="30" spans="2:11" ht="20.25" x14ac:dyDescent="0.3">
      <c r="B30" s="571" t="s">
        <v>358</v>
      </c>
      <c r="C30" s="571"/>
      <c r="D30" s="571"/>
      <c r="E30" s="571"/>
      <c r="F30" s="571"/>
      <c r="G30" s="571"/>
      <c r="H30" s="571"/>
      <c r="I30" s="571"/>
      <c r="J30" s="571"/>
      <c r="K30" s="571"/>
    </row>
    <row r="31" spans="2:11" ht="20.25" x14ac:dyDescent="0.3">
      <c r="B31" s="560"/>
      <c r="C31" s="561" t="s">
        <v>359</v>
      </c>
      <c r="D31" s="562"/>
      <c r="E31" s="562"/>
      <c r="F31" s="562"/>
      <c r="G31" s="567" t="s">
        <v>360</v>
      </c>
      <c r="H31" s="568"/>
      <c r="I31" s="568"/>
      <c r="J31" s="562"/>
      <c r="K31" s="562"/>
    </row>
    <row r="32" spans="2:11" x14ac:dyDescent="0.3">
      <c r="H32" s="563"/>
    </row>
  </sheetData>
  <sheetProtection algorithmName="SHA-512" hashValue="dvzshrAI5MTc/NUBSC2pksm23o+pOvAxUIGj3g9QSM9wcEqsIYtE1foZ+l3WZALaEZVBo3e34rDk7phNS9Qjgg==" saltValue="QvZ3a26umJVcKAVYj47shQ==" spinCount="100000" sheet="1" objects="1" scenarios="1" selectLockedCells="1"/>
  <mergeCells count="30">
    <mergeCell ref="B1:K1"/>
    <mergeCell ref="B3:K3"/>
    <mergeCell ref="B4:K4"/>
    <mergeCell ref="B5:K5"/>
    <mergeCell ref="B7:F7"/>
    <mergeCell ref="G7:K7"/>
    <mergeCell ref="B16:K16"/>
    <mergeCell ref="B8:F8"/>
    <mergeCell ref="G8:K8"/>
    <mergeCell ref="B9:F9"/>
    <mergeCell ref="G9:K9"/>
    <mergeCell ref="B10:F10"/>
    <mergeCell ref="G10:K10"/>
    <mergeCell ref="B11:F11"/>
    <mergeCell ref="G11:K11"/>
    <mergeCell ref="G12:K12"/>
    <mergeCell ref="B14:K14"/>
    <mergeCell ref="B15:K15"/>
    <mergeCell ref="G31:I31"/>
    <mergeCell ref="B18:K18"/>
    <mergeCell ref="B19:K19"/>
    <mergeCell ref="B20:K20"/>
    <mergeCell ref="B21:K21"/>
    <mergeCell ref="B23:K23"/>
    <mergeCell ref="B24:K24"/>
    <mergeCell ref="B25:K25"/>
    <mergeCell ref="B26:K26"/>
    <mergeCell ref="B28:K28"/>
    <mergeCell ref="B29:K29"/>
    <mergeCell ref="B30:K30"/>
  </mergeCells>
  <phoneticPr fontId="3" type="noConversion"/>
  <hyperlinks>
    <hyperlink ref="G31" r:id="rId1" xr:uid="{F70302AA-CCE0-42BC-8527-BCE7F1FDB7FC}"/>
  </hyperlinks>
  <pageMargins left="0.7" right="0.7" top="0.75" bottom="0.75" header="0.3" footer="0.3"/>
  <pageSetup paperSize="9" scale="84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>
    <tabColor theme="1"/>
    <pageSetUpPr autoPageBreaks="0" fitToPage="1"/>
  </sheetPr>
  <dimension ref="A1:U1526"/>
  <sheetViews>
    <sheetView showGridLines="0" zoomScaleNormal="100" workbookViewId="0">
      <selection activeCell="E12" sqref="E12"/>
    </sheetView>
  </sheetViews>
  <sheetFormatPr defaultColWidth="8.875" defaultRowHeight="16.5" x14ac:dyDescent="0.3"/>
  <cols>
    <col min="1" max="1" width="4.625" customWidth="1"/>
    <col min="2" max="2" width="24.375" customWidth="1"/>
    <col min="3" max="3" width="4.625" customWidth="1"/>
    <col min="4" max="18" width="10.625" customWidth="1"/>
    <col min="19" max="19" width="4.625" customWidth="1"/>
  </cols>
  <sheetData>
    <row r="1" spans="1:21" ht="40.5" customHeight="1" x14ac:dyDescent="0.3">
      <c r="A1" s="14"/>
      <c r="B1" s="97" t="str">
        <f>"▶  "&amp;$R$3&amp;"년 가계부"</f>
        <v>▶  2023년 가계부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32"/>
      <c r="S1" s="132"/>
    </row>
    <row r="2" spans="1:21" x14ac:dyDescent="0.3">
      <c r="A2" s="98"/>
      <c r="B2" s="98"/>
    </row>
    <row r="3" spans="1:21" ht="24.95" customHeight="1" x14ac:dyDescent="0.3">
      <c r="A3" s="98"/>
      <c r="B3" s="99"/>
      <c r="D3" s="579" t="str">
        <f>$R$3&amp;"년 재무목표"</f>
        <v>2023년 재무목표</v>
      </c>
      <c r="E3" s="579"/>
      <c r="J3" s="579" t="str">
        <f>$R$3&amp;"년 재무일정"</f>
        <v>2023년 재무일정</v>
      </c>
      <c r="K3" s="579"/>
      <c r="R3" s="253">
        <v>2023</v>
      </c>
    </row>
    <row r="4" spans="1:21" ht="24.95" customHeight="1" x14ac:dyDescent="0.3">
      <c r="A4" s="124"/>
      <c r="B4" s="125" t="s">
        <v>114</v>
      </c>
      <c r="C4" s="1"/>
      <c r="D4" s="524"/>
      <c r="E4" s="525"/>
      <c r="F4" s="525"/>
      <c r="G4" s="525"/>
      <c r="H4" s="525"/>
      <c r="I4" s="43"/>
      <c r="J4" s="524"/>
      <c r="K4" s="525"/>
      <c r="L4" s="525"/>
      <c r="M4" s="525"/>
      <c r="N4" s="525"/>
      <c r="O4" s="525"/>
      <c r="Q4" s="1"/>
      <c r="R4" s="1"/>
    </row>
    <row r="5" spans="1:21" ht="24.95" customHeight="1" x14ac:dyDescent="0.3">
      <c r="A5" s="124"/>
      <c r="B5" s="125" t="s">
        <v>100</v>
      </c>
      <c r="C5" s="1"/>
      <c r="D5" s="524"/>
      <c r="E5" s="525"/>
      <c r="F5" s="525"/>
      <c r="G5" s="525"/>
      <c r="H5" s="525"/>
      <c r="I5" s="43"/>
      <c r="J5" s="522"/>
      <c r="K5" s="523"/>
      <c r="L5" s="523"/>
      <c r="M5" s="523"/>
      <c r="N5" s="523"/>
      <c r="O5" s="523"/>
      <c r="Q5" s="1"/>
      <c r="R5" s="1"/>
    </row>
    <row r="6" spans="1:21" ht="24.95" customHeight="1" x14ac:dyDescent="0.3">
      <c r="A6" s="124"/>
      <c r="B6" s="126" t="s">
        <v>115</v>
      </c>
      <c r="C6" s="1"/>
      <c r="D6" s="522"/>
      <c r="E6" s="522"/>
      <c r="F6" s="522"/>
      <c r="G6" s="522"/>
      <c r="H6" s="522"/>
      <c r="I6" s="526"/>
      <c r="J6" s="522"/>
      <c r="K6" s="523"/>
      <c r="L6" s="523"/>
      <c r="M6" s="523"/>
      <c r="N6" s="523"/>
      <c r="O6" s="523"/>
      <c r="Q6" s="1"/>
      <c r="R6" s="1"/>
    </row>
    <row r="7" spans="1:21" ht="24.95" customHeight="1" x14ac:dyDescent="0.3">
      <c r="A7" s="124"/>
      <c r="B7" s="125" t="s">
        <v>101</v>
      </c>
      <c r="C7" s="1"/>
      <c r="D7" s="522"/>
      <c r="E7" s="522"/>
      <c r="F7" s="522"/>
      <c r="G7" s="522"/>
      <c r="H7" s="522"/>
      <c r="I7" s="526"/>
      <c r="J7" s="522"/>
      <c r="K7" s="523"/>
      <c r="L7" s="523"/>
      <c r="M7" s="523"/>
      <c r="N7" s="523"/>
      <c r="O7" s="523"/>
      <c r="Q7" s="527" t="s">
        <v>283</v>
      </c>
      <c r="R7" s="528">
        <v>1500000</v>
      </c>
    </row>
    <row r="8" spans="1:21" ht="24.95" customHeight="1" x14ac:dyDescent="0.3">
      <c r="A8" s="124"/>
      <c r="B8" s="126" t="s">
        <v>223</v>
      </c>
      <c r="C8" s="1"/>
      <c r="D8" s="522"/>
      <c r="E8" s="523"/>
      <c r="F8" s="523"/>
      <c r="G8" s="523"/>
      <c r="H8" s="523"/>
      <c r="I8" s="43"/>
      <c r="J8" s="522"/>
      <c r="K8" s="523"/>
      <c r="L8" s="523"/>
      <c r="M8" s="523"/>
      <c r="N8" s="523"/>
      <c r="O8" s="523"/>
      <c r="Q8" s="529" t="s">
        <v>284</v>
      </c>
      <c r="R8" s="530">
        <v>0.5</v>
      </c>
    </row>
    <row r="9" spans="1:21" ht="24.95" customHeight="1" x14ac:dyDescent="0.3">
      <c r="A9" s="124"/>
      <c r="B9" s="126" t="s">
        <v>98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21" ht="24.95" customHeight="1" thickBot="1" x14ac:dyDescent="0.35">
      <c r="A10" s="98"/>
      <c r="B10" s="126" t="s">
        <v>99</v>
      </c>
      <c r="C10" s="1"/>
      <c r="D10" s="579" t="s">
        <v>285</v>
      </c>
      <c r="E10" s="579"/>
      <c r="U10" s="122"/>
    </row>
    <row r="11" spans="1:21" ht="24.95" customHeight="1" thickBot="1" x14ac:dyDescent="0.35">
      <c r="A11" s="98"/>
      <c r="B11" s="125" t="s">
        <v>276</v>
      </c>
      <c r="C11" s="1"/>
      <c r="D11" s="423"/>
      <c r="E11" s="41" t="s">
        <v>45</v>
      </c>
      <c r="F11" s="41" t="s">
        <v>50</v>
      </c>
      <c r="G11" s="41" t="s">
        <v>52</v>
      </c>
      <c r="H11" s="41" t="s">
        <v>54</v>
      </c>
      <c r="I11" s="41" t="s">
        <v>55</v>
      </c>
      <c r="J11" s="41" t="s">
        <v>57</v>
      </c>
      <c r="K11" s="41" t="s">
        <v>58</v>
      </c>
      <c r="L11" s="41" t="s">
        <v>59</v>
      </c>
      <c r="M11" s="41" t="s">
        <v>60</v>
      </c>
      <c r="N11" s="41" t="s">
        <v>61</v>
      </c>
      <c r="O11" s="41" t="s">
        <v>62</v>
      </c>
      <c r="P11" s="41" t="s">
        <v>63</v>
      </c>
      <c r="Q11" s="41" t="s">
        <v>5</v>
      </c>
      <c r="R11" s="42" t="s">
        <v>64</v>
      </c>
      <c r="S11" s="1"/>
    </row>
    <row r="12" spans="1:21" ht="24.95" customHeight="1" x14ac:dyDescent="0.3">
      <c r="A12" s="98"/>
      <c r="B12" s="125" t="s">
        <v>275</v>
      </c>
      <c r="C12" s="1"/>
      <c r="D12" s="127" t="s">
        <v>90</v>
      </c>
      <c r="E12" s="128">
        <f>SUMIF('1월'!$D$11:$D$30,"이월",'1월'!$F$11:$F$30)</f>
        <v>0</v>
      </c>
      <c r="F12" s="128">
        <f>SUMIF('2월'!$D$11:$D$30,"이월",'2월'!$F$11:$F$30)</f>
        <v>0</v>
      </c>
      <c r="G12" s="128">
        <f>SUMIF('3월'!$D$11:$D$30,"이월",'3월'!$F$11:$F$30)</f>
        <v>0</v>
      </c>
      <c r="H12" s="128">
        <f>SUMIF('4월'!$D$11:$D$30,"이월",'4월'!$F$11:$F$30)</f>
        <v>0</v>
      </c>
      <c r="I12" s="128">
        <f>SUMIF('5월'!$D$11:$D$30,"이월",'5월'!$F$11:$F$30)</f>
        <v>0</v>
      </c>
      <c r="J12" s="128">
        <f>SUMIF('6월'!$D$11:$D$30,"이월",'6월'!$F$11:$F$30)</f>
        <v>0</v>
      </c>
      <c r="K12" s="128">
        <f>SUMIF('7월'!$D$11:$D$30,"이월",'7월'!$F$11:$F$30)</f>
        <v>0</v>
      </c>
      <c r="L12" s="128">
        <f>SUMIF('8월'!$D$11:$D$30,"이월",'8월'!$F$11:$F$30)</f>
        <v>0</v>
      </c>
      <c r="M12" s="128">
        <f>SUMIF('9월'!$D$11:$D$30,"이월",'9월'!$F$11:$F$30)</f>
        <v>0</v>
      </c>
      <c r="N12" s="128">
        <f>SUMIF('10월'!$D$11:$D$30,"이월",'10월'!$F$11:$F$30)</f>
        <v>0</v>
      </c>
      <c r="O12" s="128">
        <f>SUMIF('11월'!$D$11:$D$30,"이월",'11월'!$F$11:$F$30)</f>
        <v>0</v>
      </c>
      <c r="P12" s="128">
        <f>SUMIF('12월'!$D$11:$D$30,"이월",'12월'!$F$11:$F$30)</f>
        <v>0</v>
      </c>
      <c r="Q12" s="424">
        <f>SUM(E12:P12)</f>
        <v>0</v>
      </c>
      <c r="R12" s="425">
        <f>AVERAGE(E12:P12)</f>
        <v>0</v>
      </c>
      <c r="S12" s="111"/>
    </row>
    <row r="13" spans="1:21" ht="24.95" customHeight="1" x14ac:dyDescent="0.3">
      <c r="A13" s="98"/>
      <c r="B13" s="125" t="s">
        <v>274</v>
      </c>
      <c r="C13" s="1"/>
      <c r="D13" s="73" t="s">
        <v>91</v>
      </c>
      <c r="E13" s="129">
        <f>연간_항목별수입!C20</f>
        <v>0</v>
      </c>
      <c r="F13" s="129">
        <f>연간_항목별수입!D20</f>
        <v>0</v>
      </c>
      <c r="G13" s="129">
        <f>연간_항목별수입!E20</f>
        <v>0</v>
      </c>
      <c r="H13" s="129">
        <f>연간_항목별수입!F20</f>
        <v>0</v>
      </c>
      <c r="I13" s="129">
        <f>연간_항목별수입!G20</f>
        <v>0</v>
      </c>
      <c r="J13" s="129">
        <f>연간_항목별수입!H20</f>
        <v>0</v>
      </c>
      <c r="K13" s="129">
        <f>연간_항목별수입!I20</f>
        <v>0</v>
      </c>
      <c r="L13" s="129">
        <f>연간_항목별수입!J20</f>
        <v>0</v>
      </c>
      <c r="M13" s="129">
        <f>연간_항목별수입!K20</f>
        <v>0</v>
      </c>
      <c r="N13" s="129">
        <f>연간_항목별수입!L20</f>
        <v>0</v>
      </c>
      <c r="O13" s="129">
        <f>연간_항목별수입!M20</f>
        <v>0</v>
      </c>
      <c r="P13" s="129">
        <f>연간_항목별수입!N20</f>
        <v>0</v>
      </c>
      <c r="Q13" s="129">
        <f t="shared" ref="Q13:Q18" si="0">SUM(E13:P13)</f>
        <v>0</v>
      </c>
      <c r="R13" s="426">
        <f t="shared" ref="R13:R18" si="1">AVERAGE(E13:P13)</f>
        <v>0</v>
      </c>
      <c r="S13" s="1"/>
    </row>
    <row r="14" spans="1:21" ht="24.95" customHeight="1" x14ac:dyDescent="0.3">
      <c r="A14" s="98"/>
      <c r="B14" s="125"/>
      <c r="C14" s="1"/>
      <c r="D14" s="73" t="s">
        <v>92</v>
      </c>
      <c r="E14" s="129">
        <f>연간_항목별지출!C19</f>
        <v>0</v>
      </c>
      <c r="F14" s="129">
        <f>연간_항목별지출!D19</f>
        <v>0</v>
      </c>
      <c r="G14" s="129">
        <f>연간_항목별지출!E19</f>
        <v>0</v>
      </c>
      <c r="H14" s="129">
        <f>연간_항목별지출!F19</f>
        <v>0</v>
      </c>
      <c r="I14" s="129">
        <f>연간_항목별지출!G19</f>
        <v>0</v>
      </c>
      <c r="J14" s="129">
        <f>연간_항목별지출!H19</f>
        <v>0</v>
      </c>
      <c r="K14" s="129">
        <f>연간_항목별지출!I19</f>
        <v>0</v>
      </c>
      <c r="L14" s="129">
        <f>연간_항목별지출!J19</f>
        <v>0</v>
      </c>
      <c r="M14" s="129">
        <f>연간_항목별지출!K19</f>
        <v>0</v>
      </c>
      <c r="N14" s="129">
        <f>연간_항목별지출!L19</f>
        <v>0</v>
      </c>
      <c r="O14" s="129">
        <f>연간_항목별지출!M19</f>
        <v>0</v>
      </c>
      <c r="P14" s="129">
        <f>연간_항목별지출!N19</f>
        <v>0</v>
      </c>
      <c r="Q14" s="129">
        <f t="shared" si="0"/>
        <v>0</v>
      </c>
      <c r="R14" s="426">
        <f t="shared" si="1"/>
        <v>0</v>
      </c>
      <c r="S14" s="1"/>
    </row>
    <row r="15" spans="1:21" ht="24.95" customHeight="1" x14ac:dyDescent="0.3">
      <c r="A15" s="98"/>
      <c r="B15" s="124"/>
      <c r="C15" s="1"/>
      <c r="D15" s="73" t="s">
        <v>11</v>
      </c>
      <c r="E15" s="129">
        <f>연간_항목별지출!C4</f>
        <v>0</v>
      </c>
      <c r="F15" s="129">
        <f>연간_항목별지출!D4</f>
        <v>0</v>
      </c>
      <c r="G15" s="129">
        <f>연간_항목별지출!E4</f>
        <v>0</v>
      </c>
      <c r="H15" s="129">
        <f>연간_항목별지출!F4</f>
        <v>0</v>
      </c>
      <c r="I15" s="129">
        <f>연간_항목별지출!G4</f>
        <v>0</v>
      </c>
      <c r="J15" s="129">
        <f>연간_항목별지출!H4</f>
        <v>0</v>
      </c>
      <c r="K15" s="129">
        <f>연간_항목별지출!I4</f>
        <v>0</v>
      </c>
      <c r="L15" s="129">
        <f>연간_항목별지출!J4</f>
        <v>0</v>
      </c>
      <c r="M15" s="129">
        <f>연간_항목별지출!K4</f>
        <v>0</v>
      </c>
      <c r="N15" s="129">
        <f>연간_항목별지출!L4</f>
        <v>0</v>
      </c>
      <c r="O15" s="129">
        <f>연간_항목별지출!M4</f>
        <v>0</v>
      </c>
      <c r="P15" s="129">
        <f>연간_항목별지출!N4</f>
        <v>0</v>
      </c>
      <c r="Q15" s="129">
        <f t="shared" si="0"/>
        <v>0</v>
      </c>
      <c r="R15" s="426">
        <f>AVERAGE(E15:P15)</f>
        <v>0</v>
      </c>
      <c r="S15" s="1"/>
    </row>
    <row r="16" spans="1:21" ht="24.95" customHeight="1" x14ac:dyDescent="0.3">
      <c r="A16" s="98"/>
      <c r="B16" s="124"/>
      <c r="C16" s="1"/>
      <c r="D16" s="73" t="s">
        <v>73</v>
      </c>
      <c r="E16" s="129">
        <f>연간_항목별지출!C5</f>
        <v>0</v>
      </c>
      <c r="F16" s="129">
        <f>연간_항목별지출!D5</f>
        <v>0</v>
      </c>
      <c r="G16" s="129">
        <f>연간_항목별지출!E5</f>
        <v>0</v>
      </c>
      <c r="H16" s="129">
        <f>연간_항목별지출!F5</f>
        <v>0</v>
      </c>
      <c r="I16" s="129">
        <f>연간_항목별지출!G5</f>
        <v>0</v>
      </c>
      <c r="J16" s="129">
        <f>연간_항목별지출!H5</f>
        <v>0</v>
      </c>
      <c r="K16" s="129">
        <f>연간_항목별지출!I5</f>
        <v>0</v>
      </c>
      <c r="L16" s="129">
        <f>연간_항목별지출!J5</f>
        <v>0</v>
      </c>
      <c r="M16" s="129">
        <f>연간_항목별지출!K5</f>
        <v>0</v>
      </c>
      <c r="N16" s="129">
        <f>연간_항목별지출!L5</f>
        <v>0</v>
      </c>
      <c r="O16" s="129">
        <f>연간_항목별지출!M5</f>
        <v>0</v>
      </c>
      <c r="P16" s="129">
        <f>연간_항목별지출!N5</f>
        <v>0</v>
      </c>
      <c r="Q16" s="129">
        <f t="shared" si="0"/>
        <v>0</v>
      </c>
      <c r="R16" s="426">
        <f t="shared" si="1"/>
        <v>0</v>
      </c>
      <c r="S16" s="1"/>
    </row>
    <row r="17" spans="1:19" ht="24.95" customHeight="1" x14ac:dyDescent="0.3">
      <c r="A17" s="98"/>
      <c r="B17" s="124"/>
      <c r="C17" s="1"/>
      <c r="D17" s="73" t="s">
        <v>87</v>
      </c>
      <c r="E17" s="129">
        <f>E12+E13-E14</f>
        <v>0</v>
      </c>
      <c r="F17" s="129">
        <f>F12+F13-F14</f>
        <v>0</v>
      </c>
      <c r="G17" s="129">
        <f t="shared" ref="G17:O17" si="2">G12+G13-G14</f>
        <v>0</v>
      </c>
      <c r="H17" s="129">
        <f t="shared" si="2"/>
        <v>0</v>
      </c>
      <c r="I17" s="129">
        <f t="shared" si="2"/>
        <v>0</v>
      </c>
      <c r="J17" s="129">
        <f t="shared" si="2"/>
        <v>0</v>
      </c>
      <c r="K17" s="129">
        <f t="shared" si="2"/>
        <v>0</v>
      </c>
      <c r="L17" s="129">
        <f t="shared" si="2"/>
        <v>0</v>
      </c>
      <c r="M17" s="129">
        <f t="shared" si="2"/>
        <v>0</v>
      </c>
      <c r="N17" s="129">
        <f t="shared" si="2"/>
        <v>0</v>
      </c>
      <c r="O17" s="129">
        <f t="shared" si="2"/>
        <v>0</v>
      </c>
      <c r="P17" s="129">
        <f>P12+P13-P14</f>
        <v>0</v>
      </c>
      <c r="Q17" s="129">
        <f t="shared" si="0"/>
        <v>0</v>
      </c>
      <c r="R17" s="426">
        <f t="shared" si="1"/>
        <v>0</v>
      </c>
      <c r="S17" s="1"/>
    </row>
    <row r="18" spans="1:19" ht="24.95" customHeight="1" thickBot="1" x14ac:dyDescent="0.35">
      <c r="A18" s="98"/>
      <c r="B18" s="124"/>
      <c r="C18" s="1"/>
      <c r="D18" s="133" t="s">
        <v>94</v>
      </c>
      <c r="E18" s="134">
        <f>E17-F12</f>
        <v>0</v>
      </c>
      <c r="F18" s="134">
        <f>F17-G12</f>
        <v>0</v>
      </c>
      <c r="G18" s="134">
        <f t="shared" ref="G18:O18" si="3">G17-H12</f>
        <v>0</v>
      </c>
      <c r="H18" s="134">
        <f t="shared" si="3"/>
        <v>0</v>
      </c>
      <c r="I18" s="134">
        <f t="shared" si="3"/>
        <v>0</v>
      </c>
      <c r="J18" s="134">
        <f t="shared" si="3"/>
        <v>0</v>
      </c>
      <c r="K18" s="134">
        <f t="shared" si="3"/>
        <v>0</v>
      </c>
      <c r="L18" s="134">
        <f t="shared" si="3"/>
        <v>0</v>
      </c>
      <c r="M18" s="134">
        <f t="shared" si="3"/>
        <v>0</v>
      </c>
      <c r="N18" s="134">
        <f t="shared" si="3"/>
        <v>0</v>
      </c>
      <c r="O18" s="134">
        <f t="shared" si="3"/>
        <v>0</v>
      </c>
      <c r="P18" s="134">
        <f>P17-Q10</f>
        <v>0</v>
      </c>
      <c r="Q18" s="134">
        <f t="shared" si="0"/>
        <v>0</v>
      </c>
      <c r="R18" s="427">
        <f t="shared" si="1"/>
        <v>0</v>
      </c>
      <c r="S18" s="1"/>
    </row>
    <row r="19" spans="1:19" ht="24.95" customHeight="1" x14ac:dyDescent="0.3">
      <c r="A19" s="98"/>
      <c r="B19" s="124"/>
      <c r="C19" s="1"/>
      <c r="D19" s="75" t="s">
        <v>159</v>
      </c>
      <c r="E19" s="135" t="str">
        <f t="shared" ref="E19:G19" si="4">IF(E14=0,"",E15/E14)</f>
        <v/>
      </c>
      <c r="F19" s="135" t="str">
        <f t="shared" si="4"/>
        <v/>
      </c>
      <c r="G19" s="135" t="str">
        <f t="shared" si="4"/>
        <v/>
      </c>
      <c r="H19" s="135" t="str">
        <f>IF(H14=0,"",H15/H14)</f>
        <v/>
      </c>
      <c r="I19" s="135" t="str">
        <f t="shared" ref="I19:P19" si="5">IF(I14=0,"",I15/I14)</f>
        <v/>
      </c>
      <c r="J19" s="135" t="str">
        <f t="shared" si="5"/>
        <v/>
      </c>
      <c r="K19" s="135" t="str">
        <f t="shared" si="5"/>
        <v/>
      </c>
      <c r="L19" s="135" t="str">
        <f t="shared" si="5"/>
        <v/>
      </c>
      <c r="M19" s="135" t="str">
        <f t="shared" si="5"/>
        <v/>
      </c>
      <c r="N19" s="135" t="str">
        <f t="shared" si="5"/>
        <v/>
      </c>
      <c r="O19" s="135" t="str">
        <f t="shared" si="5"/>
        <v/>
      </c>
      <c r="P19" s="135" t="str">
        <f t="shared" si="5"/>
        <v/>
      </c>
      <c r="Q19" s="550" t="str">
        <f>IF(Q14=0,"",Q15/Q14)</f>
        <v/>
      </c>
      <c r="R19" s="428"/>
      <c r="S19" s="1"/>
    </row>
    <row r="20" spans="1:19" ht="24.95" customHeight="1" x14ac:dyDescent="0.3">
      <c r="A20" s="98"/>
      <c r="B20" s="124"/>
      <c r="C20" s="1"/>
      <c r="D20" s="73" t="s">
        <v>160</v>
      </c>
      <c r="E20" s="130" t="str">
        <f t="shared" ref="E20:G20" si="6">IF(E14=0,"",E16/E14)</f>
        <v/>
      </c>
      <c r="F20" s="130" t="str">
        <f t="shared" si="6"/>
        <v/>
      </c>
      <c r="G20" s="130" t="str">
        <f t="shared" si="6"/>
        <v/>
      </c>
      <c r="H20" s="130" t="str">
        <f>IF(H14=0,"",H16/H14)</f>
        <v/>
      </c>
      <c r="I20" s="130" t="str">
        <f t="shared" ref="I20:P20" si="7">IF(I14=0,"",I16/I14)</f>
        <v/>
      </c>
      <c r="J20" s="130" t="str">
        <f t="shared" si="7"/>
        <v/>
      </c>
      <c r="K20" s="130" t="str">
        <f t="shared" si="7"/>
        <v/>
      </c>
      <c r="L20" s="130" t="str">
        <f t="shared" si="7"/>
        <v/>
      </c>
      <c r="M20" s="130" t="str">
        <f t="shared" si="7"/>
        <v/>
      </c>
      <c r="N20" s="130" t="str">
        <f t="shared" si="7"/>
        <v/>
      </c>
      <c r="O20" s="130" t="str">
        <f t="shared" si="7"/>
        <v/>
      </c>
      <c r="P20" s="130" t="str">
        <f t="shared" si="7"/>
        <v/>
      </c>
      <c r="Q20" s="551" t="str">
        <f>IF(Q14=0,"",Q16/Q14)</f>
        <v/>
      </c>
      <c r="R20" s="429"/>
      <c r="S20" s="1"/>
    </row>
    <row r="21" spans="1:19" ht="24.95" customHeight="1" x14ac:dyDescent="0.3">
      <c r="A21" s="98"/>
      <c r="B21" s="124"/>
      <c r="C21" s="1"/>
      <c r="D21" s="73" t="s">
        <v>5</v>
      </c>
      <c r="E21" s="131" t="str">
        <f t="shared" ref="E21:G21" si="8">IF(E19="","",SUM(E19:E20))</f>
        <v/>
      </c>
      <c r="F21" s="131" t="str">
        <f t="shared" si="8"/>
        <v/>
      </c>
      <c r="G21" s="131" t="str">
        <f t="shared" si="8"/>
        <v/>
      </c>
      <c r="H21" s="131" t="str">
        <f>IF(H19="","",SUM(H19:H20))</f>
        <v/>
      </c>
      <c r="I21" s="131" t="str">
        <f t="shared" ref="I21:P21" si="9">IF(I19="","",SUM(I19:I20))</f>
        <v/>
      </c>
      <c r="J21" s="131" t="str">
        <f t="shared" si="9"/>
        <v/>
      </c>
      <c r="K21" s="131" t="str">
        <f t="shared" si="9"/>
        <v/>
      </c>
      <c r="L21" s="131" t="str">
        <f t="shared" si="9"/>
        <v/>
      </c>
      <c r="M21" s="131" t="str">
        <f t="shared" si="9"/>
        <v/>
      </c>
      <c r="N21" s="131" t="str">
        <f t="shared" si="9"/>
        <v/>
      </c>
      <c r="O21" s="131" t="str">
        <f t="shared" si="9"/>
        <v/>
      </c>
      <c r="P21" s="131" t="str">
        <f t="shared" si="9"/>
        <v/>
      </c>
      <c r="Q21" s="508" t="str">
        <f>IF(Q19="","",SUM(Q19:Q20))</f>
        <v/>
      </c>
      <c r="R21" s="430"/>
      <c r="S21" s="1"/>
    </row>
    <row r="22" spans="1:19" ht="24.95" customHeight="1" x14ac:dyDescent="0.3">
      <c r="A22" s="98"/>
      <c r="B22" s="98"/>
    </row>
    <row r="23" spans="1:19" ht="24.95" customHeight="1" x14ac:dyDescent="0.3">
      <c r="A23" s="98"/>
      <c r="B23" s="98"/>
      <c r="D23" s="579" t="s">
        <v>84</v>
      </c>
      <c r="E23" s="579"/>
    </row>
    <row r="24" spans="1:19" ht="24.95" customHeight="1" x14ac:dyDescent="0.3">
      <c r="A24" s="98"/>
      <c r="B24" s="98"/>
    </row>
    <row r="25" spans="1:19" ht="24.95" customHeight="1" x14ac:dyDescent="0.3">
      <c r="A25" s="98"/>
      <c r="B25" s="98"/>
    </row>
    <row r="26" spans="1:19" ht="24.95" customHeight="1" x14ac:dyDescent="0.3">
      <c r="A26" s="98"/>
      <c r="B26" s="98"/>
    </row>
    <row r="27" spans="1:19" ht="24.95" customHeight="1" x14ac:dyDescent="0.3">
      <c r="A27" s="98"/>
      <c r="B27" s="98"/>
    </row>
    <row r="28" spans="1:19" ht="24.95" customHeight="1" x14ac:dyDescent="0.3">
      <c r="A28" s="98"/>
      <c r="B28" s="98"/>
    </row>
    <row r="29" spans="1:19" ht="24.95" customHeight="1" x14ac:dyDescent="0.3">
      <c r="A29" s="98"/>
      <c r="B29" s="98"/>
    </row>
    <row r="30" spans="1:19" ht="24.95" customHeight="1" x14ac:dyDescent="0.3">
      <c r="A30" s="98"/>
      <c r="B30" s="98"/>
    </row>
    <row r="31" spans="1:19" ht="24.95" customHeight="1" x14ac:dyDescent="0.3">
      <c r="A31" s="98"/>
      <c r="B31" s="98"/>
    </row>
    <row r="32" spans="1:19" ht="24.95" customHeight="1" x14ac:dyDescent="0.3">
      <c r="A32" s="98"/>
      <c r="B32" s="98"/>
    </row>
    <row r="33" spans="1:15" ht="24.95" customHeight="1" x14ac:dyDescent="0.3">
      <c r="A33" s="98"/>
      <c r="B33" s="98"/>
    </row>
    <row r="34" spans="1:15" ht="24.95" customHeight="1" x14ac:dyDescent="0.3">
      <c r="A34" s="98"/>
      <c r="B34" s="98"/>
      <c r="D34" s="100"/>
    </row>
    <row r="35" spans="1:15" ht="24.95" customHeight="1" x14ac:dyDescent="0.3">
      <c r="A35" s="98"/>
      <c r="B35" s="98"/>
      <c r="D35" s="112"/>
    </row>
    <row r="36" spans="1:15" ht="24.95" customHeight="1" x14ac:dyDescent="0.3">
      <c r="A36" s="98"/>
      <c r="B36" s="98"/>
      <c r="D36" s="100"/>
    </row>
    <row r="37" spans="1:15" ht="24.95" customHeight="1" x14ac:dyDescent="0.3">
      <c r="A37" s="98"/>
      <c r="B37" s="98"/>
      <c r="D37" s="100"/>
    </row>
    <row r="38" spans="1:15" ht="24.95" customHeight="1" x14ac:dyDescent="0.3">
      <c r="A38" s="98"/>
      <c r="B38" s="98"/>
      <c r="D38" s="100"/>
    </row>
    <row r="39" spans="1:15" ht="24.95" customHeight="1" x14ac:dyDescent="0.3">
      <c r="A39" s="98"/>
      <c r="B39" s="98"/>
    </row>
    <row r="40" spans="1:15" ht="24.95" customHeight="1" x14ac:dyDescent="0.3">
      <c r="A40" s="98"/>
      <c r="B40" s="98"/>
      <c r="D40" s="579" t="s">
        <v>288</v>
      </c>
      <c r="E40" s="579"/>
    </row>
    <row r="41" spans="1:15" ht="30" customHeight="1" x14ac:dyDescent="0.3">
      <c r="A41" s="98"/>
      <c r="B41" s="98"/>
      <c r="D41" s="68" t="s">
        <v>45</v>
      </c>
      <c r="E41" s="542"/>
      <c r="F41" s="542"/>
      <c r="G41" s="542"/>
      <c r="H41" s="542"/>
      <c r="I41" s="542"/>
      <c r="J41" s="542"/>
      <c r="K41" s="542"/>
      <c r="L41" s="542"/>
      <c r="M41" s="542"/>
      <c r="N41" s="542"/>
      <c r="O41" s="542"/>
    </row>
    <row r="42" spans="1:15" ht="30" customHeight="1" x14ac:dyDescent="0.3">
      <c r="A42" s="98"/>
      <c r="B42" s="98"/>
      <c r="D42" s="510" t="s">
        <v>50</v>
      </c>
      <c r="E42" s="509"/>
      <c r="F42" s="96"/>
      <c r="G42" s="96"/>
      <c r="H42" s="1"/>
      <c r="I42" s="1"/>
      <c r="J42" s="1"/>
      <c r="K42" s="1"/>
      <c r="L42" s="1"/>
      <c r="M42" s="1"/>
      <c r="N42" s="1"/>
      <c r="O42" s="1"/>
    </row>
    <row r="43" spans="1:15" ht="30" customHeight="1" x14ac:dyDescent="0.3">
      <c r="A43" s="98"/>
      <c r="B43" s="98"/>
      <c r="D43" s="510" t="s">
        <v>52</v>
      </c>
      <c r="E43" s="1"/>
      <c r="F43" s="1"/>
      <c r="G43" s="509"/>
      <c r="H43" s="509"/>
      <c r="I43" s="509"/>
      <c r="J43" s="509"/>
      <c r="K43" s="509"/>
      <c r="L43" s="509"/>
      <c r="M43" s="509"/>
      <c r="N43" s="509"/>
      <c r="O43" s="509"/>
    </row>
    <row r="44" spans="1:15" ht="30" customHeight="1" x14ac:dyDescent="0.3">
      <c r="A44" s="98"/>
      <c r="B44" s="98"/>
      <c r="D44" s="510" t="s">
        <v>54</v>
      </c>
      <c r="E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30" customHeight="1" x14ac:dyDescent="0.3">
      <c r="A45" s="98"/>
      <c r="B45" s="98"/>
      <c r="D45" s="510" t="s">
        <v>56</v>
      </c>
      <c r="E45" s="1"/>
      <c r="G45" s="509"/>
      <c r="H45" s="509"/>
      <c r="I45" s="509"/>
      <c r="J45" s="1"/>
      <c r="K45" s="1"/>
      <c r="L45" s="1"/>
      <c r="M45" s="1"/>
      <c r="N45" s="1"/>
      <c r="O45" s="1"/>
    </row>
    <row r="46" spans="1:15" ht="30" customHeight="1" x14ac:dyDescent="0.3">
      <c r="A46" s="98"/>
      <c r="B46" s="98"/>
      <c r="D46" s="510" t="s">
        <v>66</v>
      </c>
      <c r="E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30" customHeight="1" x14ac:dyDescent="0.3">
      <c r="A47" s="98"/>
      <c r="B47" s="98"/>
      <c r="D47" s="510" t="s">
        <v>67</v>
      </c>
      <c r="E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30" customHeight="1" x14ac:dyDescent="0.3">
      <c r="A48" s="98"/>
      <c r="B48" s="98"/>
      <c r="D48" s="510" t="s">
        <v>68</v>
      </c>
      <c r="E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30" customHeight="1" x14ac:dyDescent="0.3">
      <c r="A49" s="98"/>
      <c r="B49" s="98"/>
      <c r="D49" s="510" t="s">
        <v>69</v>
      </c>
      <c r="E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30" customHeight="1" x14ac:dyDescent="0.3">
      <c r="A50" s="98"/>
      <c r="B50" s="98"/>
      <c r="D50" s="510" t="s">
        <v>70</v>
      </c>
      <c r="E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30" customHeight="1" x14ac:dyDescent="0.3">
      <c r="A51" s="98"/>
      <c r="B51" s="98"/>
      <c r="D51" s="510" t="s">
        <v>71</v>
      </c>
      <c r="E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30" customHeight="1" x14ac:dyDescent="0.3">
      <c r="A52" s="98"/>
      <c r="B52" s="98"/>
      <c r="D52" s="510" t="s">
        <v>72</v>
      </c>
      <c r="E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30" hidden="1" customHeight="1" x14ac:dyDescent="0.3">
      <c r="A53" s="98"/>
      <c r="B53" s="98"/>
      <c r="D53" s="1"/>
      <c r="E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30" hidden="1" customHeight="1" x14ac:dyDescent="0.3">
      <c r="A54" s="98"/>
      <c r="B54" s="98"/>
      <c r="D54" s="510" t="s">
        <v>45</v>
      </c>
      <c r="E54" s="157"/>
      <c r="F54" s="542"/>
      <c r="G54" s="542"/>
      <c r="H54" s="542"/>
      <c r="I54" s="542"/>
      <c r="J54" s="542"/>
      <c r="K54" s="542"/>
      <c r="L54" s="542"/>
      <c r="M54" s="542"/>
      <c r="N54" s="542"/>
      <c r="O54" s="542"/>
    </row>
    <row r="55" spans="1:15" ht="30" hidden="1" customHeight="1" x14ac:dyDescent="0.3">
      <c r="A55" s="98"/>
      <c r="B55" s="98"/>
      <c r="D55" s="68" t="s">
        <v>50</v>
      </c>
      <c r="E55" s="509"/>
      <c r="F55" s="96"/>
      <c r="G55" s="96"/>
      <c r="H55" s="1"/>
      <c r="I55" s="1"/>
      <c r="J55" s="1"/>
      <c r="K55" s="1"/>
      <c r="L55" s="1"/>
      <c r="M55" s="1"/>
      <c r="N55" s="1"/>
      <c r="O55" s="1"/>
    </row>
    <row r="56" spans="1:15" ht="30" hidden="1" customHeight="1" x14ac:dyDescent="0.3">
      <c r="A56" s="98"/>
      <c r="B56" s="98"/>
      <c r="D56" s="510" t="s">
        <v>52</v>
      </c>
      <c r="E56" s="1"/>
      <c r="F56" s="1"/>
      <c r="G56" s="509"/>
      <c r="H56" s="509"/>
      <c r="I56" s="509"/>
      <c r="J56" s="509"/>
      <c r="K56" s="509"/>
      <c r="L56" s="509"/>
      <c r="M56" s="509"/>
      <c r="N56" s="509"/>
      <c r="O56" s="509"/>
    </row>
    <row r="57" spans="1:15" ht="30" hidden="1" customHeight="1" x14ac:dyDescent="0.3">
      <c r="A57" s="98"/>
      <c r="B57" s="98"/>
      <c r="D57" s="510" t="s">
        <v>54</v>
      </c>
      <c r="E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30" hidden="1" customHeight="1" x14ac:dyDescent="0.3">
      <c r="A58" s="98"/>
      <c r="B58" s="98"/>
      <c r="D58" s="510" t="s">
        <v>56</v>
      </c>
      <c r="E58" s="1"/>
      <c r="G58" s="509"/>
      <c r="H58" s="509"/>
      <c r="I58" s="509"/>
      <c r="J58" s="1"/>
      <c r="K58" s="1"/>
      <c r="L58" s="1"/>
      <c r="M58" s="1"/>
      <c r="N58" s="1"/>
      <c r="O58" s="1"/>
    </row>
    <row r="59" spans="1:15" ht="30" hidden="1" customHeight="1" x14ac:dyDescent="0.3">
      <c r="A59" s="98"/>
      <c r="B59" s="98"/>
      <c r="D59" s="510" t="s">
        <v>66</v>
      </c>
      <c r="E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30" hidden="1" customHeight="1" x14ac:dyDescent="0.3">
      <c r="A60" s="98"/>
      <c r="B60" s="98"/>
      <c r="D60" s="510" t="s">
        <v>67</v>
      </c>
      <c r="E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30" hidden="1" customHeight="1" x14ac:dyDescent="0.3">
      <c r="A61" s="98"/>
      <c r="B61" s="98"/>
      <c r="D61" s="510" t="s">
        <v>68</v>
      </c>
      <c r="E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30" hidden="1" customHeight="1" x14ac:dyDescent="0.3">
      <c r="A62" s="98"/>
      <c r="B62" s="98"/>
      <c r="D62" s="510" t="s">
        <v>69</v>
      </c>
      <c r="E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30" hidden="1" customHeight="1" x14ac:dyDescent="0.3">
      <c r="A63" s="98"/>
      <c r="B63" s="98"/>
      <c r="D63" s="510" t="s">
        <v>70</v>
      </c>
      <c r="E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30" hidden="1" customHeight="1" x14ac:dyDescent="0.3">
      <c r="A64" s="98"/>
      <c r="B64" s="98"/>
      <c r="D64" s="510" t="s">
        <v>71</v>
      </c>
      <c r="E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30" hidden="1" customHeight="1" x14ac:dyDescent="0.3">
      <c r="A65" s="98"/>
      <c r="B65" s="98"/>
      <c r="D65" s="510" t="s">
        <v>72</v>
      </c>
      <c r="E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30" hidden="1" customHeight="1" x14ac:dyDescent="0.3">
      <c r="A66" s="98"/>
      <c r="B66" s="98"/>
      <c r="D66" s="1"/>
      <c r="E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30" hidden="1" customHeight="1" x14ac:dyDescent="0.3">
      <c r="A67" s="98"/>
      <c r="B67" s="98"/>
      <c r="D67" s="510" t="s">
        <v>45</v>
      </c>
      <c r="E67" s="509"/>
      <c r="F67" s="96"/>
      <c r="G67" s="96"/>
      <c r="H67" s="1"/>
      <c r="I67" s="1"/>
      <c r="J67" s="1"/>
      <c r="K67" s="1"/>
      <c r="L67" s="1"/>
      <c r="M67" s="1"/>
      <c r="N67" s="1"/>
      <c r="O67" s="1"/>
    </row>
    <row r="68" spans="1:15" ht="30" hidden="1" customHeight="1" x14ac:dyDescent="0.3">
      <c r="A68" s="98"/>
      <c r="B68" s="98"/>
      <c r="D68" s="510" t="s">
        <v>50</v>
      </c>
      <c r="E68" s="1"/>
      <c r="F68" s="1"/>
      <c r="G68" s="509"/>
      <c r="H68" s="509"/>
      <c r="I68" s="509"/>
      <c r="J68" s="509"/>
      <c r="K68" s="509"/>
      <c r="L68" s="509"/>
      <c r="M68" s="509"/>
      <c r="N68" s="509"/>
      <c r="O68" s="509"/>
    </row>
    <row r="69" spans="1:15" ht="30" hidden="1" customHeight="1" x14ac:dyDescent="0.3">
      <c r="A69" s="98"/>
      <c r="B69" s="98"/>
      <c r="D69" s="68" t="s">
        <v>52</v>
      </c>
      <c r="E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30" hidden="1" customHeight="1" x14ac:dyDescent="0.3">
      <c r="A70" s="98"/>
      <c r="B70" s="98"/>
      <c r="D70" s="510" t="s">
        <v>54</v>
      </c>
      <c r="E70" s="1"/>
      <c r="G70" s="509"/>
      <c r="H70" s="509"/>
      <c r="I70" s="509"/>
      <c r="J70" s="1"/>
      <c r="K70" s="1"/>
      <c r="L70" s="1"/>
      <c r="M70" s="1"/>
      <c r="N70" s="1"/>
      <c r="O70" s="1"/>
    </row>
    <row r="71" spans="1:15" ht="30" hidden="1" customHeight="1" x14ac:dyDescent="0.3">
      <c r="A71" s="98"/>
      <c r="B71" s="98"/>
      <c r="D71" s="510" t="s">
        <v>56</v>
      </c>
      <c r="E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30" hidden="1" customHeight="1" x14ac:dyDescent="0.3">
      <c r="A72" s="98"/>
      <c r="B72" s="98"/>
      <c r="D72" s="510" t="s">
        <v>66</v>
      </c>
      <c r="E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30" hidden="1" customHeight="1" x14ac:dyDescent="0.3">
      <c r="A73" s="98"/>
      <c r="B73" s="98"/>
      <c r="D73" s="510" t="s">
        <v>67</v>
      </c>
      <c r="E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30" hidden="1" customHeight="1" x14ac:dyDescent="0.3">
      <c r="A74" s="98"/>
      <c r="B74" s="98"/>
      <c r="D74" s="510" t="s">
        <v>68</v>
      </c>
      <c r="E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30" hidden="1" customHeight="1" x14ac:dyDescent="0.3">
      <c r="A75" s="98"/>
      <c r="B75" s="98"/>
      <c r="D75" s="510" t="s">
        <v>69</v>
      </c>
      <c r="E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30" hidden="1" customHeight="1" x14ac:dyDescent="0.3">
      <c r="A76" s="98"/>
      <c r="B76" s="98"/>
      <c r="D76" s="510" t="s">
        <v>70</v>
      </c>
      <c r="E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30" hidden="1" customHeight="1" x14ac:dyDescent="0.3">
      <c r="A77" s="98"/>
      <c r="B77" s="98"/>
      <c r="D77" s="510" t="s">
        <v>71</v>
      </c>
      <c r="E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30" hidden="1" customHeight="1" x14ac:dyDescent="0.3">
      <c r="A78" s="98"/>
      <c r="B78" s="98"/>
      <c r="D78" s="510" t="s">
        <v>72</v>
      </c>
      <c r="E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30" hidden="1" customHeight="1" x14ac:dyDescent="0.3">
      <c r="A79" s="98"/>
      <c r="B79" s="98"/>
      <c r="F79" s="100"/>
    </row>
    <row r="80" spans="1:15" ht="30" hidden="1" customHeight="1" x14ac:dyDescent="0.3">
      <c r="A80" s="98"/>
      <c r="B80" s="98"/>
      <c r="D80" s="510" t="s">
        <v>45</v>
      </c>
      <c r="E80" s="509"/>
      <c r="F80" s="96"/>
      <c r="G80" s="96"/>
      <c r="H80" s="1"/>
      <c r="I80" s="1"/>
      <c r="J80" s="1"/>
      <c r="K80" s="1"/>
      <c r="L80" s="1"/>
      <c r="M80" s="1"/>
      <c r="N80" s="1"/>
      <c r="O80" s="1"/>
    </row>
    <row r="81" spans="1:15" ht="30" hidden="1" customHeight="1" x14ac:dyDescent="0.3">
      <c r="A81" s="98"/>
      <c r="B81" s="98"/>
      <c r="D81" s="510" t="s">
        <v>50</v>
      </c>
      <c r="E81" s="1"/>
      <c r="F81" s="1"/>
      <c r="G81" s="509"/>
      <c r="H81" s="509"/>
      <c r="I81" s="509"/>
      <c r="J81" s="509"/>
      <c r="K81" s="509"/>
      <c r="L81" s="509"/>
      <c r="M81" s="509"/>
      <c r="N81" s="509"/>
      <c r="O81" s="509"/>
    </row>
    <row r="82" spans="1:15" ht="30" hidden="1" customHeight="1" x14ac:dyDescent="0.3">
      <c r="A82" s="98"/>
      <c r="B82" s="98"/>
      <c r="D82" s="510" t="s">
        <v>52</v>
      </c>
      <c r="E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30" hidden="1" customHeight="1" x14ac:dyDescent="0.3">
      <c r="A83" s="98"/>
      <c r="B83" s="98"/>
      <c r="D83" s="68" t="s">
        <v>54</v>
      </c>
      <c r="E83" s="1"/>
      <c r="G83" s="509"/>
      <c r="H83" s="509"/>
      <c r="I83" s="509"/>
      <c r="J83" s="1"/>
      <c r="K83" s="1"/>
      <c r="L83" s="1"/>
      <c r="M83" s="1"/>
      <c r="N83" s="1"/>
      <c r="O83" s="1"/>
    </row>
    <row r="84" spans="1:15" ht="30" hidden="1" customHeight="1" x14ac:dyDescent="0.3">
      <c r="A84" s="98"/>
      <c r="B84" s="98"/>
      <c r="D84" s="510" t="s">
        <v>56</v>
      </c>
      <c r="E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30" hidden="1" customHeight="1" x14ac:dyDescent="0.3">
      <c r="A85" s="98"/>
      <c r="B85" s="98"/>
      <c r="D85" s="510" t="s">
        <v>66</v>
      </c>
      <c r="E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30" hidden="1" customHeight="1" x14ac:dyDescent="0.3">
      <c r="A86" s="98"/>
      <c r="B86" s="98"/>
      <c r="D86" s="510" t="s">
        <v>67</v>
      </c>
      <c r="E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30" hidden="1" customHeight="1" x14ac:dyDescent="0.3">
      <c r="A87" s="98"/>
      <c r="B87" s="98"/>
      <c r="D87" s="510" t="s">
        <v>68</v>
      </c>
      <c r="E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30" hidden="1" customHeight="1" x14ac:dyDescent="0.3">
      <c r="A88" s="98"/>
      <c r="B88" s="98"/>
      <c r="D88" s="510" t="s">
        <v>69</v>
      </c>
      <c r="E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30" hidden="1" customHeight="1" x14ac:dyDescent="0.3">
      <c r="A89" s="98"/>
      <c r="B89" s="98"/>
      <c r="D89" s="510" t="s">
        <v>70</v>
      </c>
      <c r="E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30" hidden="1" customHeight="1" x14ac:dyDescent="0.3">
      <c r="A90" s="98"/>
      <c r="B90" s="98"/>
      <c r="D90" s="510" t="s">
        <v>71</v>
      </c>
      <c r="E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30" hidden="1" customHeight="1" x14ac:dyDescent="0.3">
      <c r="A91" s="98"/>
      <c r="B91" s="98"/>
      <c r="D91" s="510" t="s">
        <v>72</v>
      </c>
      <c r="E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30" hidden="1" customHeight="1" x14ac:dyDescent="0.3">
      <c r="A92" s="98"/>
      <c r="B92" s="98"/>
    </row>
    <row r="93" spans="1:15" ht="30" hidden="1" customHeight="1" x14ac:dyDescent="0.3">
      <c r="A93" s="98"/>
      <c r="B93" s="98"/>
      <c r="D93" s="510" t="s">
        <v>45</v>
      </c>
      <c r="E93" s="509"/>
      <c r="F93" s="96"/>
      <c r="G93" s="96"/>
      <c r="H93" s="1"/>
      <c r="I93" s="1"/>
      <c r="J93" s="1"/>
      <c r="K93" s="1"/>
      <c r="L93" s="1"/>
      <c r="M93" s="1"/>
      <c r="N93" s="1"/>
      <c r="O93" s="1"/>
    </row>
    <row r="94" spans="1:15" ht="30" hidden="1" customHeight="1" x14ac:dyDescent="0.3">
      <c r="A94" s="98"/>
      <c r="B94" s="98"/>
      <c r="D94" s="510" t="s">
        <v>50</v>
      </c>
      <c r="E94" s="1"/>
      <c r="F94" s="1"/>
      <c r="G94" s="509"/>
      <c r="H94" s="509"/>
      <c r="I94" s="509"/>
      <c r="J94" s="509"/>
      <c r="K94" s="509"/>
      <c r="L94" s="509"/>
      <c r="M94" s="509"/>
      <c r="N94" s="509"/>
      <c r="O94" s="509"/>
    </row>
    <row r="95" spans="1:15" ht="30" hidden="1" customHeight="1" x14ac:dyDescent="0.3">
      <c r="A95" s="98"/>
      <c r="B95" s="98"/>
      <c r="D95" s="510" t="s">
        <v>52</v>
      </c>
      <c r="E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30" hidden="1" customHeight="1" x14ac:dyDescent="0.3">
      <c r="A96" s="98"/>
      <c r="B96" s="98"/>
      <c r="D96" s="510" t="s">
        <v>54</v>
      </c>
      <c r="E96" s="1"/>
      <c r="G96" s="509"/>
      <c r="H96" s="509"/>
      <c r="I96" s="509"/>
      <c r="J96" s="1"/>
      <c r="K96" s="1"/>
      <c r="L96" s="1"/>
      <c r="M96" s="1"/>
      <c r="N96" s="1"/>
      <c r="O96" s="1"/>
    </row>
    <row r="97" spans="1:15" ht="30" hidden="1" customHeight="1" x14ac:dyDescent="0.3">
      <c r="A97" s="98"/>
      <c r="B97" s="98"/>
      <c r="D97" s="68" t="s">
        <v>56</v>
      </c>
      <c r="E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30" hidden="1" customHeight="1" x14ac:dyDescent="0.3">
      <c r="A98" s="98"/>
      <c r="B98" s="98"/>
      <c r="D98" s="510" t="s">
        <v>66</v>
      </c>
      <c r="E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30" hidden="1" customHeight="1" x14ac:dyDescent="0.3">
      <c r="A99" s="98"/>
      <c r="B99" s="98"/>
      <c r="D99" s="510" t="s">
        <v>67</v>
      </c>
      <c r="E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30" hidden="1" customHeight="1" x14ac:dyDescent="0.3">
      <c r="A100" s="98"/>
      <c r="B100" s="98"/>
      <c r="D100" s="510" t="s">
        <v>68</v>
      </c>
      <c r="E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30" hidden="1" customHeight="1" x14ac:dyDescent="0.3">
      <c r="A101" s="98"/>
      <c r="B101" s="98"/>
      <c r="D101" s="510" t="s">
        <v>69</v>
      </c>
      <c r="E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30" hidden="1" customHeight="1" x14ac:dyDescent="0.3">
      <c r="A102" s="98"/>
      <c r="B102" s="98"/>
      <c r="D102" s="510" t="s">
        <v>70</v>
      </c>
      <c r="E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30" hidden="1" customHeight="1" x14ac:dyDescent="0.3">
      <c r="A103" s="98"/>
      <c r="B103" s="98"/>
      <c r="D103" s="510" t="s">
        <v>71</v>
      </c>
      <c r="E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30" hidden="1" customHeight="1" x14ac:dyDescent="0.3">
      <c r="A104" s="98"/>
      <c r="B104" s="98"/>
      <c r="D104" s="510" t="s">
        <v>72</v>
      </c>
      <c r="E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30" hidden="1" customHeight="1" x14ac:dyDescent="0.3">
      <c r="A105" s="98"/>
      <c r="B105" s="98"/>
    </row>
    <row r="106" spans="1:15" ht="30" hidden="1" customHeight="1" x14ac:dyDescent="0.3">
      <c r="A106" s="98"/>
      <c r="B106" s="98"/>
      <c r="D106" s="510" t="s">
        <v>45</v>
      </c>
      <c r="E106" s="509"/>
      <c r="F106" s="96"/>
      <c r="G106" s="96"/>
      <c r="H106" s="1"/>
      <c r="I106" s="1"/>
      <c r="J106" s="1"/>
      <c r="K106" s="1"/>
      <c r="L106" s="1"/>
      <c r="M106" s="1"/>
      <c r="N106" s="1"/>
      <c r="O106" s="1"/>
    </row>
    <row r="107" spans="1:15" ht="30" hidden="1" customHeight="1" x14ac:dyDescent="0.3">
      <c r="A107" s="98"/>
      <c r="B107" s="98"/>
      <c r="D107" s="510" t="s">
        <v>50</v>
      </c>
      <c r="E107" s="1"/>
      <c r="F107" s="1"/>
      <c r="G107" s="509"/>
      <c r="H107" s="509"/>
      <c r="I107" s="509"/>
      <c r="J107" s="509"/>
      <c r="K107" s="509"/>
      <c r="L107" s="509"/>
      <c r="M107" s="509"/>
      <c r="N107" s="509"/>
      <c r="O107" s="509"/>
    </row>
    <row r="108" spans="1:15" ht="30" hidden="1" customHeight="1" x14ac:dyDescent="0.3">
      <c r="A108" s="98"/>
      <c r="B108" s="98"/>
      <c r="D108" s="510" t="s">
        <v>52</v>
      </c>
      <c r="E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30" hidden="1" customHeight="1" x14ac:dyDescent="0.3">
      <c r="A109" s="98"/>
      <c r="B109" s="98"/>
      <c r="D109" s="510" t="s">
        <v>54</v>
      </c>
      <c r="E109" s="1"/>
      <c r="G109" s="509"/>
      <c r="H109" s="509"/>
      <c r="I109" s="509"/>
      <c r="J109" s="1"/>
      <c r="K109" s="1"/>
      <c r="L109" s="1"/>
      <c r="M109" s="1"/>
      <c r="N109" s="1"/>
      <c r="O109" s="1"/>
    </row>
    <row r="110" spans="1:15" ht="30" hidden="1" customHeight="1" x14ac:dyDescent="0.3">
      <c r="A110" s="98"/>
      <c r="B110" s="98"/>
      <c r="D110" s="510" t="s">
        <v>56</v>
      </c>
      <c r="E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30" hidden="1" customHeight="1" x14ac:dyDescent="0.3">
      <c r="A111" s="98"/>
      <c r="B111" s="98"/>
      <c r="D111" s="68" t="s">
        <v>66</v>
      </c>
      <c r="E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30" hidden="1" customHeight="1" x14ac:dyDescent="0.3">
      <c r="A112" s="98"/>
      <c r="B112" s="98"/>
      <c r="D112" s="510" t="s">
        <v>67</v>
      </c>
      <c r="E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30" hidden="1" customHeight="1" x14ac:dyDescent="0.3">
      <c r="A113" s="98"/>
      <c r="B113" s="98"/>
      <c r="D113" s="510" t="s">
        <v>68</v>
      </c>
      <c r="E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30" hidden="1" customHeight="1" x14ac:dyDescent="0.3">
      <c r="A114" s="98"/>
      <c r="B114" s="98"/>
      <c r="D114" s="510" t="s">
        <v>69</v>
      </c>
      <c r="E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30" hidden="1" customHeight="1" x14ac:dyDescent="0.3">
      <c r="A115" s="98"/>
      <c r="B115" s="98"/>
      <c r="D115" s="510" t="s">
        <v>70</v>
      </c>
      <c r="E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30" hidden="1" customHeight="1" x14ac:dyDescent="0.3">
      <c r="A116" s="98"/>
      <c r="B116" s="98"/>
      <c r="D116" s="510" t="s">
        <v>71</v>
      </c>
      <c r="E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30" hidden="1" customHeight="1" x14ac:dyDescent="0.3">
      <c r="A117" s="98"/>
      <c r="B117" s="98"/>
      <c r="D117" s="510" t="s">
        <v>72</v>
      </c>
      <c r="E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30" hidden="1" customHeight="1" x14ac:dyDescent="0.3">
      <c r="A118" s="98"/>
      <c r="B118" s="98"/>
    </row>
    <row r="119" spans="1:15" ht="30" hidden="1" customHeight="1" x14ac:dyDescent="0.3">
      <c r="A119" s="98"/>
      <c r="B119" s="98"/>
      <c r="D119" s="510" t="s">
        <v>45</v>
      </c>
      <c r="E119" s="509"/>
      <c r="F119" s="96"/>
      <c r="G119" s="96"/>
      <c r="H119" s="1"/>
      <c r="I119" s="1"/>
      <c r="J119" s="1"/>
      <c r="K119" s="1"/>
      <c r="L119" s="1"/>
      <c r="M119" s="1"/>
      <c r="N119" s="1"/>
      <c r="O119" s="1"/>
    </row>
    <row r="120" spans="1:15" ht="30" hidden="1" customHeight="1" x14ac:dyDescent="0.3">
      <c r="A120" s="98"/>
      <c r="B120" s="98"/>
      <c r="D120" s="510" t="s">
        <v>50</v>
      </c>
      <c r="E120" s="1"/>
      <c r="F120" s="1"/>
      <c r="G120" s="509"/>
      <c r="H120" s="509"/>
      <c r="I120" s="509"/>
      <c r="J120" s="509"/>
      <c r="K120" s="509"/>
      <c r="L120" s="509"/>
      <c r="M120" s="509"/>
      <c r="N120" s="509"/>
      <c r="O120" s="509"/>
    </row>
    <row r="121" spans="1:15" ht="30" hidden="1" customHeight="1" x14ac:dyDescent="0.3">
      <c r="A121" s="98"/>
      <c r="B121" s="98"/>
      <c r="D121" s="510" t="s">
        <v>52</v>
      </c>
      <c r="E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30" hidden="1" customHeight="1" x14ac:dyDescent="0.3">
      <c r="A122" s="98"/>
      <c r="B122" s="98"/>
      <c r="D122" s="510" t="s">
        <v>54</v>
      </c>
      <c r="E122" s="1"/>
      <c r="G122" s="509"/>
      <c r="H122" s="509"/>
      <c r="I122" s="509"/>
      <c r="J122" s="1"/>
      <c r="K122" s="1"/>
      <c r="L122" s="1"/>
      <c r="M122" s="1"/>
      <c r="N122" s="1"/>
      <c r="O122" s="1"/>
    </row>
    <row r="123" spans="1:15" ht="30" hidden="1" customHeight="1" x14ac:dyDescent="0.3">
      <c r="A123" s="98"/>
      <c r="B123" s="98"/>
      <c r="D123" s="510" t="s">
        <v>56</v>
      </c>
      <c r="E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30" hidden="1" customHeight="1" x14ac:dyDescent="0.3">
      <c r="A124" s="98"/>
      <c r="B124" s="98"/>
      <c r="D124" s="510" t="s">
        <v>66</v>
      </c>
      <c r="E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30" hidden="1" customHeight="1" x14ac:dyDescent="0.3">
      <c r="A125" s="98"/>
      <c r="B125" s="98"/>
      <c r="D125" s="68" t="s">
        <v>67</v>
      </c>
      <c r="E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30" hidden="1" customHeight="1" x14ac:dyDescent="0.3">
      <c r="A126" s="98"/>
      <c r="B126" s="98"/>
      <c r="D126" s="510" t="s">
        <v>68</v>
      </c>
      <c r="E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30" hidden="1" customHeight="1" x14ac:dyDescent="0.3">
      <c r="A127" s="98"/>
      <c r="B127" s="98"/>
      <c r="D127" s="510" t="s">
        <v>69</v>
      </c>
      <c r="E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30" hidden="1" customHeight="1" x14ac:dyDescent="0.3">
      <c r="A128" s="98"/>
      <c r="B128" s="98"/>
      <c r="D128" s="510" t="s">
        <v>70</v>
      </c>
      <c r="E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30" hidden="1" customHeight="1" x14ac:dyDescent="0.3">
      <c r="A129" s="98"/>
      <c r="B129" s="98"/>
      <c r="D129" s="510" t="s">
        <v>71</v>
      </c>
      <c r="E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30" hidden="1" customHeight="1" x14ac:dyDescent="0.3">
      <c r="A130" s="98"/>
      <c r="B130" s="98"/>
      <c r="D130" s="510" t="s">
        <v>72</v>
      </c>
      <c r="E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30" hidden="1" customHeight="1" x14ac:dyDescent="0.3">
      <c r="A131" s="98"/>
      <c r="B131" s="98"/>
    </row>
    <row r="132" spans="1:15" ht="30" hidden="1" customHeight="1" x14ac:dyDescent="0.3">
      <c r="A132" s="98"/>
      <c r="B132" s="98"/>
      <c r="D132" s="510" t="s">
        <v>45</v>
      </c>
      <c r="E132" s="509"/>
      <c r="F132" s="96"/>
      <c r="G132" s="96"/>
      <c r="H132" s="1"/>
      <c r="I132" s="1"/>
      <c r="J132" s="1"/>
      <c r="K132" s="1"/>
      <c r="L132" s="1"/>
      <c r="M132" s="1"/>
      <c r="N132" s="1"/>
      <c r="O132" s="1"/>
    </row>
    <row r="133" spans="1:15" ht="30" hidden="1" customHeight="1" x14ac:dyDescent="0.3">
      <c r="A133" s="98"/>
      <c r="B133" s="98"/>
      <c r="D133" s="510" t="s">
        <v>50</v>
      </c>
      <c r="E133" s="1"/>
      <c r="F133" s="1"/>
      <c r="G133" s="509"/>
      <c r="H133" s="509"/>
      <c r="I133" s="509"/>
      <c r="J133" s="509"/>
      <c r="K133" s="509"/>
      <c r="L133" s="509"/>
      <c r="M133" s="509"/>
      <c r="N133" s="509"/>
      <c r="O133" s="509"/>
    </row>
    <row r="134" spans="1:15" ht="30" hidden="1" customHeight="1" x14ac:dyDescent="0.3">
      <c r="A134" s="98"/>
      <c r="B134" s="98"/>
      <c r="D134" s="510" t="s">
        <v>52</v>
      </c>
      <c r="E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30" hidden="1" customHeight="1" x14ac:dyDescent="0.3">
      <c r="A135" s="98"/>
      <c r="B135" s="98"/>
      <c r="D135" s="510" t="s">
        <v>54</v>
      </c>
      <c r="E135" s="1"/>
      <c r="G135" s="509"/>
      <c r="H135" s="509"/>
      <c r="I135" s="509"/>
      <c r="J135" s="1"/>
      <c r="K135" s="1"/>
      <c r="L135" s="1"/>
      <c r="M135" s="1"/>
      <c r="N135" s="1"/>
      <c r="O135" s="1"/>
    </row>
    <row r="136" spans="1:15" ht="30" hidden="1" customHeight="1" x14ac:dyDescent="0.3">
      <c r="A136" s="98"/>
      <c r="B136" s="98"/>
      <c r="D136" s="510" t="s">
        <v>56</v>
      </c>
      <c r="E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30" hidden="1" customHeight="1" x14ac:dyDescent="0.3">
      <c r="A137" s="98"/>
      <c r="B137" s="98"/>
      <c r="D137" s="510" t="s">
        <v>66</v>
      </c>
      <c r="E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30" hidden="1" customHeight="1" x14ac:dyDescent="0.3">
      <c r="A138" s="98"/>
      <c r="B138" s="98"/>
      <c r="D138" s="510" t="s">
        <v>67</v>
      </c>
      <c r="E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30" hidden="1" customHeight="1" x14ac:dyDescent="0.3">
      <c r="A139" s="98"/>
      <c r="B139" s="98"/>
      <c r="D139" s="68" t="s">
        <v>68</v>
      </c>
      <c r="E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30" hidden="1" customHeight="1" x14ac:dyDescent="0.3">
      <c r="A140" s="98"/>
      <c r="B140" s="98"/>
      <c r="D140" s="510" t="s">
        <v>69</v>
      </c>
      <c r="E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30" hidden="1" customHeight="1" x14ac:dyDescent="0.3">
      <c r="A141" s="98"/>
      <c r="B141" s="98"/>
      <c r="D141" s="510" t="s">
        <v>70</v>
      </c>
      <c r="E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30" hidden="1" customHeight="1" x14ac:dyDescent="0.3">
      <c r="A142" s="98"/>
      <c r="B142" s="98"/>
      <c r="D142" s="510" t="s">
        <v>71</v>
      </c>
      <c r="E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30" hidden="1" customHeight="1" x14ac:dyDescent="0.3">
      <c r="A143" s="98"/>
      <c r="B143" s="98"/>
      <c r="D143" s="510" t="s">
        <v>72</v>
      </c>
      <c r="E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30" hidden="1" customHeight="1" x14ac:dyDescent="0.3">
      <c r="A144" s="98"/>
      <c r="B144" s="98"/>
    </row>
    <row r="145" spans="1:15" ht="30" hidden="1" customHeight="1" x14ac:dyDescent="0.3">
      <c r="A145" s="98"/>
      <c r="B145" s="98"/>
      <c r="D145" s="510" t="s">
        <v>45</v>
      </c>
      <c r="E145" s="509"/>
      <c r="F145" s="96"/>
      <c r="G145" s="96"/>
      <c r="H145" s="1"/>
      <c r="I145" s="1"/>
      <c r="J145" s="1"/>
      <c r="K145" s="1"/>
      <c r="L145" s="1"/>
      <c r="M145" s="1"/>
      <c r="N145" s="1"/>
      <c r="O145" s="1"/>
    </row>
    <row r="146" spans="1:15" ht="30" hidden="1" customHeight="1" x14ac:dyDescent="0.3">
      <c r="A146" s="98"/>
      <c r="B146" s="98"/>
      <c r="D146" s="510" t="s">
        <v>50</v>
      </c>
      <c r="E146" s="1"/>
      <c r="F146" s="1"/>
      <c r="G146" s="509"/>
      <c r="H146" s="509"/>
      <c r="I146" s="509"/>
      <c r="J146" s="509"/>
      <c r="K146" s="509"/>
      <c r="L146" s="509"/>
      <c r="M146" s="509"/>
      <c r="N146" s="509"/>
      <c r="O146" s="509"/>
    </row>
    <row r="147" spans="1:15" ht="30" hidden="1" customHeight="1" x14ac:dyDescent="0.3">
      <c r="A147" s="98"/>
      <c r="B147" s="98"/>
      <c r="D147" s="510" t="s">
        <v>52</v>
      </c>
      <c r="E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30" hidden="1" customHeight="1" x14ac:dyDescent="0.3">
      <c r="A148" s="98"/>
      <c r="B148" s="98"/>
      <c r="D148" s="510" t="s">
        <v>54</v>
      </c>
      <c r="E148" s="1"/>
      <c r="G148" s="509"/>
      <c r="H148" s="509"/>
      <c r="I148" s="509"/>
      <c r="J148" s="1"/>
      <c r="K148" s="1"/>
      <c r="L148" s="1"/>
      <c r="M148" s="1"/>
      <c r="N148" s="1"/>
      <c r="O148" s="1"/>
    </row>
    <row r="149" spans="1:15" ht="30" hidden="1" customHeight="1" x14ac:dyDescent="0.3">
      <c r="A149" s="98"/>
      <c r="B149" s="98"/>
      <c r="D149" s="510" t="s">
        <v>56</v>
      </c>
      <c r="E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30" hidden="1" customHeight="1" x14ac:dyDescent="0.3">
      <c r="A150" s="98"/>
      <c r="B150" s="98"/>
      <c r="D150" s="510" t="s">
        <v>66</v>
      </c>
      <c r="E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30" hidden="1" customHeight="1" x14ac:dyDescent="0.3">
      <c r="A151" s="98"/>
      <c r="B151" s="98"/>
      <c r="D151" s="510" t="s">
        <v>67</v>
      </c>
      <c r="E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30" hidden="1" customHeight="1" x14ac:dyDescent="0.3">
      <c r="A152" s="98"/>
      <c r="B152" s="98"/>
      <c r="D152" s="510" t="s">
        <v>68</v>
      </c>
      <c r="E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30" hidden="1" customHeight="1" x14ac:dyDescent="0.3">
      <c r="A153" s="98"/>
      <c r="B153" s="98"/>
      <c r="D153" s="68" t="s">
        <v>69</v>
      </c>
      <c r="E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30" hidden="1" customHeight="1" x14ac:dyDescent="0.3">
      <c r="A154" s="98"/>
      <c r="B154" s="98"/>
      <c r="D154" s="510" t="s">
        <v>70</v>
      </c>
      <c r="E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30" hidden="1" customHeight="1" x14ac:dyDescent="0.3">
      <c r="A155" s="98"/>
      <c r="B155" s="98"/>
      <c r="D155" s="510" t="s">
        <v>71</v>
      </c>
      <c r="E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30" hidden="1" customHeight="1" x14ac:dyDescent="0.3">
      <c r="A156" s="98"/>
      <c r="B156" s="98"/>
      <c r="D156" s="510" t="s">
        <v>72</v>
      </c>
      <c r="E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30" hidden="1" customHeight="1" x14ac:dyDescent="0.3">
      <c r="A157" s="98"/>
      <c r="B157" s="98"/>
    </row>
    <row r="158" spans="1:15" ht="30" hidden="1" customHeight="1" x14ac:dyDescent="0.3">
      <c r="A158" s="98"/>
      <c r="B158" s="98"/>
      <c r="D158" s="510" t="s">
        <v>45</v>
      </c>
      <c r="E158" s="509"/>
      <c r="F158" s="96"/>
      <c r="G158" s="96"/>
      <c r="H158" s="1"/>
      <c r="I158" s="1"/>
      <c r="J158" s="1"/>
      <c r="K158" s="1"/>
      <c r="L158" s="1"/>
      <c r="M158" s="1"/>
      <c r="N158" s="1"/>
      <c r="O158" s="1"/>
    </row>
    <row r="159" spans="1:15" ht="30" hidden="1" customHeight="1" x14ac:dyDescent="0.3">
      <c r="A159" s="98"/>
      <c r="B159" s="98"/>
      <c r="D159" s="510" t="s">
        <v>50</v>
      </c>
      <c r="E159" s="1"/>
      <c r="F159" s="1"/>
      <c r="G159" s="509"/>
      <c r="H159" s="509"/>
      <c r="I159" s="509"/>
      <c r="J159" s="509"/>
      <c r="K159" s="509"/>
      <c r="L159" s="509"/>
      <c r="M159" s="509"/>
      <c r="N159" s="509"/>
      <c r="O159" s="509"/>
    </row>
    <row r="160" spans="1:15" ht="30" hidden="1" customHeight="1" x14ac:dyDescent="0.3">
      <c r="A160" s="98"/>
      <c r="B160" s="98"/>
      <c r="D160" s="510" t="s">
        <v>52</v>
      </c>
      <c r="E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30" hidden="1" customHeight="1" x14ac:dyDescent="0.3">
      <c r="A161" s="98"/>
      <c r="B161" s="98"/>
      <c r="D161" s="510" t="s">
        <v>54</v>
      </c>
      <c r="E161" s="1"/>
      <c r="G161" s="509"/>
      <c r="H161" s="509"/>
      <c r="I161" s="509"/>
      <c r="J161" s="1"/>
      <c r="K161" s="1"/>
      <c r="L161" s="1"/>
      <c r="M161" s="1"/>
      <c r="N161" s="1"/>
      <c r="O161" s="1"/>
    </row>
    <row r="162" spans="1:15" ht="30" hidden="1" customHeight="1" x14ac:dyDescent="0.3">
      <c r="A162" s="98"/>
      <c r="B162" s="98"/>
      <c r="D162" s="510" t="s">
        <v>56</v>
      </c>
      <c r="E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30" hidden="1" customHeight="1" x14ac:dyDescent="0.3">
      <c r="A163" s="98"/>
      <c r="B163" s="98"/>
      <c r="D163" s="510" t="s">
        <v>66</v>
      </c>
      <c r="E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30" hidden="1" customHeight="1" x14ac:dyDescent="0.3">
      <c r="A164" s="98"/>
      <c r="B164" s="98"/>
      <c r="D164" s="510" t="s">
        <v>67</v>
      </c>
      <c r="E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30" hidden="1" customHeight="1" x14ac:dyDescent="0.3">
      <c r="A165" s="98"/>
      <c r="B165" s="98"/>
      <c r="D165" s="510" t="s">
        <v>68</v>
      </c>
      <c r="E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30" hidden="1" customHeight="1" x14ac:dyDescent="0.3">
      <c r="A166" s="98"/>
      <c r="B166" s="98"/>
      <c r="D166" s="510" t="s">
        <v>69</v>
      </c>
      <c r="E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30" hidden="1" customHeight="1" x14ac:dyDescent="0.3">
      <c r="A167" s="98"/>
      <c r="B167" s="98"/>
      <c r="D167" s="68" t="s">
        <v>70</v>
      </c>
      <c r="E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30" hidden="1" customHeight="1" x14ac:dyDescent="0.3">
      <c r="A168" s="98"/>
      <c r="B168" s="98"/>
      <c r="D168" s="510" t="s">
        <v>71</v>
      </c>
      <c r="E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30" hidden="1" customHeight="1" x14ac:dyDescent="0.3">
      <c r="A169" s="98"/>
      <c r="B169" s="98"/>
      <c r="D169" s="510" t="s">
        <v>72</v>
      </c>
      <c r="E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30" hidden="1" customHeight="1" x14ac:dyDescent="0.3">
      <c r="A170" s="98"/>
      <c r="B170" s="98"/>
    </row>
    <row r="171" spans="1:15" ht="30" hidden="1" customHeight="1" x14ac:dyDescent="0.3">
      <c r="A171" s="98"/>
      <c r="B171" s="98"/>
      <c r="D171" s="510" t="s">
        <v>45</v>
      </c>
      <c r="E171" s="509"/>
      <c r="F171" s="96"/>
      <c r="G171" s="96"/>
      <c r="H171" s="1"/>
      <c r="I171" s="1"/>
      <c r="J171" s="1"/>
      <c r="K171" s="1"/>
      <c r="L171" s="1"/>
      <c r="M171" s="1"/>
      <c r="N171" s="1"/>
      <c r="O171" s="1"/>
    </row>
    <row r="172" spans="1:15" ht="30" hidden="1" customHeight="1" x14ac:dyDescent="0.3">
      <c r="A172" s="98"/>
      <c r="B172" s="98"/>
      <c r="D172" s="510" t="s">
        <v>50</v>
      </c>
      <c r="E172" s="1"/>
      <c r="F172" s="1"/>
      <c r="G172" s="509"/>
      <c r="H172" s="509"/>
      <c r="I172" s="509"/>
      <c r="J172" s="509"/>
      <c r="K172" s="509"/>
      <c r="L172" s="509"/>
      <c r="M172" s="509"/>
      <c r="N172" s="509"/>
      <c r="O172" s="509"/>
    </row>
    <row r="173" spans="1:15" ht="30" hidden="1" customHeight="1" x14ac:dyDescent="0.3">
      <c r="A173" s="98"/>
      <c r="B173" s="98"/>
      <c r="D173" s="510" t="s">
        <v>52</v>
      </c>
      <c r="E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30" hidden="1" customHeight="1" x14ac:dyDescent="0.3">
      <c r="A174" s="98"/>
      <c r="B174" s="98"/>
      <c r="D174" s="510" t="s">
        <v>54</v>
      </c>
      <c r="E174" s="1"/>
      <c r="G174" s="509"/>
      <c r="H174" s="509"/>
      <c r="I174" s="509"/>
      <c r="J174" s="1"/>
      <c r="K174" s="1"/>
      <c r="L174" s="1"/>
      <c r="M174" s="1"/>
      <c r="N174" s="1"/>
      <c r="O174" s="1"/>
    </row>
    <row r="175" spans="1:15" ht="30" hidden="1" customHeight="1" x14ac:dyDescent="0.3">
      <c r="A175" s="98"/>
      <c r="B175" s="98"/>
      <c r="D175" s="510" t="s">
        <v>56</v>
      </c>
      <c r="E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30" hidden="1" customHeight="1" x14ac:dyDescent="0.3">
      <c r="A176" s="98"/>
      <c r="B176" s="98"/>
      <c r="D176" s="510" t="s">
        <v>66</v>
      </c>
      <c r="E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30" hidden="1" customHeight="1" x14ac:dyDescent="0.3">
      <c r="A177" s="98"/>
      <c r="B177" s="98"/>
      <c r="D177" s="510" t="s">
        <v>67</v>
      </c>
      <c r="E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30" hidden="1" customHeight="1" x14ac:dyDescent="0.3">
      <c r="A178" s="98"/>
      <c r="B178" s="98"/>
      <c r="D178" s="510" t="s">
        <v>68</v>
      </c>
      <c r="E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30" hidden="1" customHeight="1" x14ac:dyDescent="0.3">
      <c r="A179" s="98"/>
      <c r="B179" s="98"/>
      <c r="D179" s="510" t="s">
        <v>69</v>
      </c>
      <c r="E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30" hidden="1" customHeight="1" x14ac:dyDescent="0.3">
      <c r="A180" s="98"/>
      <c r="B180" s="98"/>
      <c r="D180" s="510" t="s">
        <v>70</v>
      </c>
      <c r="E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30" hidden="1" customHeight="1" x14ac:dyDescent="0.3">
      <c r="A181" s="98"/>
      <c r="B181" s="98"/>
      <c r="D181" s="68" t="s">
        <v>71</v>
      </c>
      <c r="E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30" hidden="1" customHeight="1" x14ac:dyDescent="0.3">
      <c r="A182" s="98"/>
      <c r="B182" s="98"/>
      <c r="D182" s="510" t="s">
        <v>72</v>
      </c>
      <c r="E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30" hidden="1" customHeight="1" x14ac:dyDescent="0.3">
      <c r="A183" s="98"/>
      <c r="B183" s="98"/>
    </row>
    <row r="184" spans="1:15" ht="30" hidden="1" customHeight="1" x14ac:dyDescent="0.3">
      <c r="A184" s="98"/>
      <c r="B184" s="98"/>
      <c r="D184" s="510" t="s">
        <v>45</v>
      </c>
      <c r="E184" s="509"/>
      <c r="F184" s="96"/>
      <c r="G184" s="96"/>
      <c r="H184" s="1"/>
      <c r="I184" s="1"/>
      <c r="J184" s="1"/>
      <c r="K184" s="1"/>
      <c r="L184" s="1"/>
      <c r="M184" s="1"/>
      <c r="N184" s="1"/>
      <c r="O184" s="1"/>
    </row>
    <row r="185" spans="1:15" ht="30" hidden="1" customHeight="1" x14ac:dyDescent="0.3">
      <c r="A185" s="98"/>
      <c r="B185" s="98"/>
      <c r="D185" s="510" t="s">
        <v>50</v>
      </c>
      <c r="E185" s="1"/>
      <c r="F185" s="1"/>
      <c r="G185" s="509"/>
      <c r="H185" s="509"/>
      <c r="I185" s="509"/>
      <c r="J185" s="509"/>
      <c r="K185" s="509"/>
      <c r="L185" s="509"/>
      <c r="M185" s="509"/>
      <c r="N185" s="509"/>
      <c r="O185" s="509"/>
    </row>
    <row r="186" spans="1:15" ht="30" hidden="1" customHeight="1" x14ac:dyDescent="0.3">
      <c r="A186" s="98"/>
      <c r="B186" s="98"/>
      <c r="D186" s="510" t="s">
        <v>52</v>
      </c>
      <c r="E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30" hidden="1" customHeight="1" x14ac:dyDescent="0.3">
      <c r="A187" s="98"/>
      <c r="B187" s="98"/>
      <c r="D187" s="510" t="s">
        <v>54</v>
      </c>
      <c r="E187" s="1"/>
      <c r="G187" s="509"/>
      <c r="H187" s="509"/>
      <c r="I187" s="509"/>
      <c r="J187" s="1"/>
      <c r="K187" s="1"/>
      <c r="L187" s="1"/>
      <c r="M187" s="1"/>
      <c r="N187" s="1"/>
      <c r="O187" s="1"/>
    </row>
    <row r="188" spans="1:15" ht="30" hidden="1" customHeight="1" x14ac:dyDescent="0.3">
      <c r="A188" s="98"/>
      <c r="B188" s="98"/>
      <c r="D188" s="510" t="s">
        <v>56</v>
      </c>
      <c r="E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30" hidden="1" customHeight="1" x14ac:dyDescent="0.3">
      <c r="A189" s="98"/>
      <c r="B189" s="98"/>
      <c r="D189" s="510" t="s">
        <v>66</v>
      </c>
      <c r="E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30" hidden="1" customHeight="1" x14ac:dyDescent="0.3">
      <c r="A190" s="98"/>
      <c r="B190" s="98"/>
      <c r="D190" s="510" t="s">
        <v>67</v>
      </c>
      <c r="E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30" hidden="1" customHeight="1" x14ac:dyDescent="0.3">
      <c r="A191" s="98"/>
      <c r="B191" s="98"/>
      <c r="D191" s="510" t="s">
        <v>68</v>
      </c>
      <c r="E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30" hidden="1" customHeight="1" x14ac:dyDescent="0.3">
      <c r="A192" s="98"/>
      <c r="B192" s="98"/>
      <c r="D192" s="510" t="s">
        <v>69</v>
      </c>
      <c r="E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30" hidden="1" customHeight="1" x14ac:dyDescent="0.3">
      <c r="A193" s="98"/>
      <c r="B193" s="98"/>
      <c r="D193" s="510" t="s">
        <v>70</v>
      </c>
      <c r="E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30" hidden="1" customHeight="1" x14ac:dyDescent="0.3">
      <c r="A194" s="98"/>
      <c r="B194" s="98"/>
      <c r="D194" s="510" t="s">
        <v>71</v>
      </c>
      <c r="E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30" hidden="1" customHeight="1" x14ac:dyDescent="0.3">
      <c r="A195" s="98"/>
      <c r="B195" s="98"/>
      <c r="D195" s="68" t="s">
        <v>72</v>
      </c>
      <c r="E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24.95" customHeight="1" x14ac:dyDescent="0.3">
      <c r="A196" s="98"/>
      <c r="B196" s="98"/>
    </row>
    <row r="197" spans="1:15" ht="16.5" customHeight="1" x14ac:dyDescent="0.3"/>
    <row r="198" spans="1:15" ht="16.5" customHeight="1" x14ac:dyDescent="0.3"/>
    <row r="199" spans="1:15" ht="16.5" customHeight="1" x14ac:dyDescent="0.3"/>
    <row r="200" spans="1:15" ht="16.5" customHeight="1" x14ac:dyDescent="0.3"/>
    <row r="201" spans="1:15" ht="16.5" customHeight="1" x14ac:dyDescent="0.3"/>
    <row r="202" spans="1:15" ht="16.5" customHeight="1" x14ac:dyDescent="0.3"/>
    <row r="203" spans="1:15" ht="16.5" customHeight="1" x14ac:dyDescent="0.3"/>
    <row r="204" spans="1:15" ht="16.5" customHeight="1" x14ac:dyDescent="0.3"/>
    <row r="205" spans="1:15" ht="16.5" customHeight="1" x14ac:dyDescent="0.3"/>
    <row r="206" spans="1:15" ht="16.5" customHeight="1" x14ac:dyDescent="0.3"/>
    <row r="207" spans="1:15" ht="16.5" customHeight="1" x14ac:dyDescent="0.3"/>
    <row r="208" spans="1:15" ht="16.5" customHeight="1" x14ac:dyDescent="0.3"/>
    <row r="209" ht="16.5" customHeight="1" x14ac:dyDescent="0.3"/>
    <row r="210" ht="16.5" customHeight="1" x14ac:dyDescent="0.3"/>
    <row r="211" ht="16.5" customHeight="1" x14ac:dyDescent="0.3"/>
    <row r="212" ht="16.5" customHeight="1" x14ac:dyDescent="0.3"/>
    <row r="213" ht="16.5" customHeight="1" x14ac:dyDescent="0.3"/>
    <row r="214" ht="16.5" customHeight="1" x14ac:dyDescent="0.3"/>
    <row r="215" ht="16.5" customHeight="1" x14ac:dyDescent="0.3"/>
    <row r="216" ht="16.5" customHeight="1" x14ac:dyDescent="0.3"/>
    <row r="217" ht="16.5" customHeight="1" x14ac:dyDescent="0.3"/>
    <row r="218" ht="16.5" customHeight="1" x14ac:dyDescent="0.3"/>
    <row r="219" ht="16.5" customHeight="1" x14ac:dyDescent="0.3"/>
    <row r="220" ht="16.5" customHeight="1" x14ac:dyDescent="0.3"/>
    <row r="221" ht="16.5" customHeight="1" x14ac:dyDescent="0.3"/>
    <row r="222" ht="16.5" customHeight="1" x14ac:dyDescent="0.3"/>
    <row r="223" ht="16.5" customHeight="1" x14ac:dyDescent="0.3"/>
    <row r="224" ht="16.5" customHeight="1" x14ac:dyDescent="0.3"/>
    <row r="225" ht="16.5" customHeight="1" x14ac:dyDescent="0.3"/>
    <row r="226" ht="16.5" customHeight="1" x14ac:dyDescent="0.3"/>
    <row r="227" ht="16.5" customHeight="1" x14ac:dyDescent="0.3"/>
    <row r="228" ht="16.5" customHeight="1" x14ac:dyDescent="0.3"/>
    <row r="229" ht="16.5" customHeight="1" x14ac:dyDescent="0.3"/>
    <row r="230" ht="16.5" customHeight="1" x14ac:dyDescent="0.3"/>
    <row r="231" ht="16.5" customHeight="1" x14ac:dyDescent="0.3"/>
    <row r="232" ht="16.5" customHeight="1" x14ac:dyDescent="0.3"/>
    <row r="233" ht="16.5" customHeight="1" x14ac:dyDescent="0.3"/>
    <row r="234" ht="16.5" customHeight="1" x14ac:dyDescent="0.3"/>
    <row r="235" ht="16.5" customHeight="1" x14ac:dyDescent="0.3"/>
    <row r="236" ht="16.5" customHeight="1" x14ac:dyDescent="0.3"/>
    <row r="237" ht="16.5" customHeight="1" x14ac:dyDescent="0.3"/>
    <row r="238" ht="16.5" customHeight="1" x14ac:dyDescent="0.3"/>
    <row r="239" ht="16.5" customHeight="1" x14ac:dyDescent="0.3"/>
    <row r="240" ht="16.5" customHeight="1" x14ac:dyDescent="0.3"/>
    <row r="241" ht="16.5" customHeight="1" x14ac:dyDescent="0.3"/>
    <row r="242" ht="16.5" customHeight="1" x14ac:dyDescent="0.3"/>
    <row r="243" ht="16.5" customHeight="1" x14ac:dyDescent="0.3"/>
    <row r="244" ht="16.5" customHeight="1" x14ac:dyDescent="0.3"/>
    <row r="245" ht="16.5" customHeight="1" x14ac:dyDescent="0.3"/>
    <row r="246" ht="16.5" customHeight="1" x14ac:dyDescent="0.3"/>
    <row r="247" ht="16.5" customHeight="1" x14ac:dyDescent="0.3"/>
    <row r="248" ht="16.5" customHeight="1" x14ac:dyDescent="0.3"/>
    <row r="249" ht="16.5" customHeight="1" x14ac:dyDescent="0.3"/>
    <row r="250" ht="16.5" customHeight="1" x14ac:dyDescent="0.3"/>
    <row r="251" ht="16.5" customHeight="1" x14ac:dyDescent="0.3"/>
    <row r="252" ht="16.5" customHeight="1" x14ac:dyDescent="0.3"/>
    <row r="253" ht="16.5" customHeight="1" x14ac:dyDescent="0.3"/>
    <row r="254" ht="16.5" customHeight="1" x14ac:dyDescent="0.3"/>
    <row r="255" ht="16.5" customHeight="1" x14ac:dyDescent="0.3"/>
    <row r="256" ht="16.5" customHeight="1" x14ac:dyDescent="0.3"/>
    <row r="257" ht="16.5" customHeight="1" x14ac:dyDescent="0.3"/>
    <row r="258" ht="16.5" customHeight="1" x14ac:dyDescent="0.3"/>
    <row r="259" ht="16.5" customHeight="1" x14ac:dyDescent="0.3"/>
    <row r="260" ht="16.5" customHeight="1" x14ac:dyDescent="0.3"/>
    <row r="261" ht="16.5" customHeight="1" x14ac:dyDescent="0.3"/>
    <row r="262" ht="16.5" customHeight="1" x14ac:dyDescent="0.3"/>
    <row r="263" ht="16.5" customHeight="1" x14ac:dyDescent="0.3"/>
    <row r="264" ht="16.5" customHeight="1" x14ac:dyDescent="0.3"/>
    <row r="265" ht="16.5" customHeight="1" x14ac:dyDescent="0.3"/>
    <row r="266" ht="16.5" customHeight="1" x14ac:dyDescent="0.3"/>
    <row r="267" ht="16.5" customHeight="1" x14ac:dyDescent="0.3"/>
    <row r="268" ht="16.5" customHeight="1" x14ac:dyDescent="0.3"/>
    <row r="269" ht="16.5" customHeight="1" x14ac:dyDescent="0.3"/>
    <row r="270" ht="16.5" customHeight="1" x14ac:dyDescent="0.3"/>
    <row r="271" ht="16.5" customHeight="1" x14ac:dyDescent="0.3"/>
    <row r="272" ht="16.5" customHeight="1" x14ac:dyDescent="0.3"/>
    <row r="273" ht="16.5" customHeight="1" x14ac:dyDescent="0.3"/>
    <row r="274" ht="16.5" customHeight="1" x14ac:dyDescent="0.3"/>
    <row r="275" ht="16.5" customHeight="1" x14ac:dyDescent="0.3"/>
    <row r="276" ht="16.5" customHeight="1" x14ac:dyDescent="0.3"/>
    <row r="277" ht="16.5" customHeight="1" x14ac:dyDescent="0.3"/>
    <row r="278" ht="16.5" customHeight="1" x14ac:dyDescent="0.3"/>
    <row r="279" ht="16.5" customHeight="1" x14ac:dyDescent="0.3"/>
    <row r="280" ht="16.5" customHeight="1" x14ac:dyDescent="0.3"/>
    <row r="281" ht="16.5" customHeight="1" x14ac:dyDescent="0.3"/>
    <row r="282" ht="16.5" customHeight="1" x14ac:dyDescent="0.3"/>
    <row r="283" ht="16.5" customHeight="1" x14ac:dyDescent="0.3"/>
    <row r="284" ht="16.5" customHeight="1" x14ac:dyDescent="0.3"/>
    <row r="285" ht="16.5" customHeight="1" x14ac:dyDescent="0.3"/>
    <row r="286" ht="16.5" customHeight="1" x14ac:dyDescent="0.3"/>
    <row r="287" ht="16.5" customHeight="1" x14ac:dyDescent="0.3"/>
    <row r="288" ht="16.5" customHeight="1" x14ac:dyDescent="0.3"/>
    <row r="289" ht="16.5" customHeight="1" x14ac:dyDescent="0.3"/>
    <row r="290" ht="16.5" customHeight="1" x14ac:dyDescent="0.3"/>
    <row r="291" ht="16.5" customHeight="1" x14ac:dyDescent="0.3"/>
    <row r="292" ht="16.5" customHeight="1" x14ac:dyDescent="0.3"/>
    <row r="293" ht="16.5" customHeight="1" x14ac:dyDescent="0.3"/>
    <row r="294" ht="16.5" customHeight="1" x14ac:dyDescent="0.3"/>
    <row r="295" ht="16.5" customHeight="1" x14ac:dyDescent="0.3"/>
    <row r="296" ht="16.5" customHeight="1" x14ac:dyDescent="0.3"/>
    <row r="297" ht="16.5" customHeight="1" x14ac:dyDescent="0.3"/>
    <row r="298" ht="16.5" customHeight="1" x14ac:dyDescent="0.3"/>
    <row r="299" ht="16.5" customHeight="1" x14ac:dyDescent="0.3"/>
    <row r="300" ht="16.5" customHeight="1" x14ac:dyDescent="0.3"/>
    <row r="301" ht="16.5" customHeight="1" x14ac:dyDescent="0.3"/>
    <row r="302" ht="16.5" customHeight="1" x14ac:dyDescent="0.3"/>
    <row r="303" ht="16.5" customHeight="1" x14ac:dyDescent="0.3"/>
    <row r="304" ht="16.5" customHeight="1" x14ac:dyDescent="0.3"/>
    <row r="305" ht="16.5" customHeight="1" x14ac:dyDescent="0.3"/>
    <row r="306" ht="16.5" customHeight="1" x14ac:dyDescent="0.3"/>
    <row r="307" ht="16.5" customHeight="1" x14ac:dyDescent="0.3"/>
    <row r="308" ht="16.5" customHeight="1" x14ac:dyDescent="0.3"/>
    <row r="309" ht="16.5" customHeight="1" x14ac:dyDescent="0.3"/>
    <row r="310" ht="16.5" customHeight="1" x14ac:dyDescent="0.3"/>
    <row r="311" ht="16.5" customHeight="1" x14ac:dyDescent="0.3"/>
    <row r="312" ht="16.5" customHeight="1" x14ac:dyDescent="0.3"/>
    <row r="313" ht="16.5" customHeight="1" x14ac:dyDescent="0.3"/>
    <row r="314" ht="16.5" customHeight="1" x14ac:dyDescent="0.3"/>
    <row r="315" ht="16.5" customHeight="1" x14ac:dyDescent="0.3"/>
    <row r="316" ht="16.5" customHeight="1" x14ac:dyDescent="0.3"/>
    <row r="317" ht="16.5" customHeight="1" x14ac:dyDescent="0.3"/>
    <row r="318" ht="16.5" customHeight="1" x14ac:dyDescent="0.3"/>
    <row r="319" ht="16.5" customHeight="1" x14ac:dyDescent="0.3"/>
    <row r="320" ht="16.5" customHeight="1" x14ac:dyDescent="0.3"/>
    <row r="321" ht="16.5" customHeight="1" x14ac:dyDescent="0.3"/>
    <row r="322" ht="16.5" customHeight="1" x14ac:dyDescent="0.3"/>
    <row r="323" ht="16.5" customHeight="1" x14ac:dyDescent="0.3"/>
    <row r="324" ht="16.5" customHeight="1" x14ac:dyDescent="0.3"/>
    <row r="325" ht="16.5" customHeight="1" x14ac:dyDescent="0.3"/>
    <row r="326" ht="16.5" customHeight="1" x14ac:dyDescent="0.3"/>
    <row r="327" ht="16.5" customHeight="1" x14ac:dyDescent="0.3"/>
    <row r="328" ht="16.5" customHeight="1" x14ac:dyDescent="0.3"/>
    <row r="329" ht="16.5" customHeight="1" x14ac:dyDescent="0.3"/>
    <row r="330" ht="16.5" customHeight="1" x14ac:dyDescent="0.3"/>
    <row r="331" ht="16.5" customHeight="1" x14ac:dyDescent="0.3"/>
    <row r="332" ht="16.5" customHeight="1" x14ac:dyDescent="0.3"/>
    <row r="333" ht="16.5" customHeight="1" x14ac:dyDescent="0.3"/>
    <row r="334" ht="16.5" customHeight="1" x14ac:dyDescent="0.3"/>
    <row r="335" ht="16.5" customHeight="1" x14ac:dyDescent="0.3"/>
    <row r="336" ht="16.5" customHeight="1" x14ac:dyDescent="0.3"/>
    <row r="337" ht="16.5" customHeight="1" x14ac:dyDescent="0.3"/>
    <row r="338" ht="16.5" customHeight="1" x14ac:dyDescent="0.3"/>
    <row r="339" ht="16.5" customHeight="1" x14ac:dyDescent="0.3"/>
    <row r="340" ht="16.5" customHeight="1" x14ac:dyDescent="0.3"/>
    <row r="341" ht="16.5" customHeight="1" x14ac:dyDescent="0.3"/>
    <row r="342" ht="16.5" customHeight="1" x14ac:dyDescent="0.3"/>
    <row r="343" ht="16.5" customHeight="1" x14ac:dyDescent="0.3"/>
    <row r="344" ht="16.5" customHeight="1" x14ac:dyDescent="0.3"/>
    <row r="345" ht="16.5" customHeight="1" x14ac:dyDescent="0.3"/>
    <row r="346" ht="16.5" customHeight="1" x14ac:dyDescent="0.3"/>
    <row r="347" ht="16.5" customHeight="1" x14ac:dyDescent="0.3"/>
    <row r="348" ht="16.5" customHeight="1" x14ac:dyDescent="0.3"/>
    <row r="349" ht="16.5" customHeight="1" x14ac:dyDescent="0.3"/>
    <row r="350" ht="16.5" customHeight="1" x14ac:dyDescent="0.3"/>
    <row r="351" ht="16.5" customHeight="1" x14ac:dyDescent="0.3"/>
    <row r="352" ht="16.5" customHeight="1" x14ac:dyDescent="0.3"/>
    <row r="353" ht="16.5" customHeight="1" x14ac:dyDescent="0.3"/>
    <row r="354" ht="16.5" customHeight="1" x14ac:dyDescent="0.3"/>
    <row r="355" ht="16.5" customHeight="1" x14ac:dyDescent="0.3"/>
    <row r="356" ht="16.5" customHeight="1" x14ac:dyDescent="0.3"/>
    <row r="357" ht="16.5" customHeight="1" x14ac:dyDescent="0.3"/>
    <row r="358" ht="16.5" customHeight="1" x14ac:dyDescent="0.3"/>
    <row r="359" ht="16.5" customHeight="1" x14ac:dyDescent="0.3"/>
    <row r="360" ht="16.5" customHeight="1" x14ac:dyDescent="0.3"/>
    <row r="361" ht="16.5" customHeight="1" x14ac:dyDescent="0.3"/>
    <row r="362" ht="16.5" customHeight="1" x14ac:dyDescent="0.3"/>
    <row r="363" ht="16.5" customHeight="1" x14ac:dyDescent="0.3"/>
    <row r="364" ht="16.5" customHeight="1" x14ac:dyDescent="0.3"/>
    <row r="365" ht="16.5" customHeight="1" x14ac:dyDescent="0.3"/>
    <row r="366" ht="16.5" customHeight="1" x14ac:dyDescent="0.3"/>
    <row r="367" ht="16.5" customHeight="1" x14ac:dyDescent="0.3"/>
    <row r="368" ht="16.5" customHeight="1" x14ac:dyDescent="0.3"/>
    <row r="369" ht="16.5" customHeight="1" x14ac:dyDescent="0.3"/>
    <row r="370" ht="16.5" customHeight="1" x14ac:dyDescent="0.3"/>
    <row r="371" ht="16.5" customHeight="1" x14ac:dyDescent="0.3"/>
    <row r="372" ht="16.5" customHeight="1" x14ac:dyDescent="0.3"/>
    <row r="373" ht="16.5" customHeight="1" x14ac:dyDescent="0.3"/>
    <row r="374" ht="16.5" customHeight="1" x14ac:dyDescent="0.3"/>
    <row r="375" ht="16.5" customHeight="1" x14ac:dyDescent="0.3"/>
    <row r="376" ht="16.5" customHeight="1" x14ac:dyDescent="0.3"/>
    <row r="377" ht="16.5" customHeight="1" x14ac:dyDescent="0.3"/>
    <row r="378" ht="16.5" customHeight="1" x14ac:dyDescent="0.3"/>
    <row r="379" ht="16.5" customHeight="1" x14ac:dyDescent="0.3"/>
    <row r="380" ht="16.5" customHeight="1" x14ac:dyDescent="0.3"/>
    <row r="381" ht="16.5" customHeight="1" x14ac:dyDescent="0.3"/>
    <row r="382" ht="16.5" customHeight="1" x14ac:dyDescent="0.3"/>
    <row r="383" ht="16.5" customHeight="1" x14ac:dyDescent="0.3"/>
    <row r="384" ht="16.5" customHeight="1" x14ac:dyDescent="0.3"/>
    <row r="385" ht="16.5" customHeight="1" x14ac:dyDescent="0.3"/>
    <row r="386" ht="16.5" customHeight="1" x14ac:dyDescent="0.3"/>
    <row r="387" ht="16.5" customHeight="1" x14ac:dyDescent="0.3"/>
    <row r="388" ht="16.5" customHeight="1" x14ac:dyDescent="0.3"/>
    <row r="389" ht="16.5" customHeight="1" x14ac:dyDescent="0.3"/>
    <row r="390" ht="16.5" customHeight="1" x14ac:dyDescent="0.3"/>
    <row r="391" ht="16.5" customHeight="1" x14ac:dyDescent="0.3"/>
    <row r="392" ht="16.5" customHeight="1" x14ac:dyDescent="0.3"/>
    <row r="393" ht="16.5" customHeight="1" x14ac:dyDescent="0.3"/>
    <row r="394" ht="16.5" customHeight="1" x14ac:dyDescent="0.3"/>
    <row r="395" ht="16.5" customHeight="1" x14ac:dyDescent="0.3"/>
    <row r="396" ht="16.5" customHeight="1" x14ac:dyDescent="0.3"/>
    <row r="397" ht="16.5" customHeight="1" x14ac:dyDescent="0.3"/>
    <row r="398" ht="16.5" customHeight="1" x14ac:dyDescent="0.3"/>
    <row r="399" ht="16.5" customHeight="1" x14ac:dyDescent="0.3"/>
    <row r="400" ht="16.5" customHeight="1" x14ac:dyDescent="0.3"/>
    <row r="401" ht="16.5" customHeight="1" x14ac:dyDescent="0.3"/>
    <row r="402" ht="16.5" customHeight="1" x14ac:dyDescent="0.3"/>
    <row r="403" ht="16.5" customHeight="1" x14ac:dyDescent="0.3"/>
    <row r="404" ht="16.5" customHeight="1" x14ac:dyDescent="0.3"/>
    <row r="405" ht="16.5" customHeight="1" x14ac:dyDescent="0.3"/>
    <row r="406" ht="16.5" customHeight="1" x14ac:dyDescent="0.3"/>
    <row r="407" ht="16.5" customHeight="1" x14ac:dyDescent="0.3"/>
    <row r="408" ht="16.5" customHeight="1" x14ac:dyDescent="0.3"/>
    <row r="409" ht="16.5" customHeight="1" x14ac:dyDescent="0.3"/>
    <row r="410" ht="16.5" customHeight="1" x14ac:dyDescent="0.3"/>
    <row r="411" ht="16.5" customHeight="1" x14ac:dyDescent="0.3"/>
    <row r="412" ht="16.5" customHeight="1" x14ac:dyDescent="0.3"/>
    <row r="413" ht="16.5" customHeight="1" x14ac:dyDescent="0.3"/>
    <row r="414" ht="16.5" customHeight="1" x14ac:dyDescent="0.3"/>
    <row r="415" ht="16.5" customHeight="1" x14ac:dyDescent="0.3"/>
    <row r="416" ht="16.5" customHeight="1" x14ac:dyDescent="0.3"/>
    <row r="417" ht="16.5" customHeight="1" x14ac:dyDescent="0.3"/>
    <row r="418" ht="16.5" customHeight="1" x14ac:dyDescent="0.3"/>
    <row r="419" ht="16.5" customHeight="1" x14ac:dyDescent="0.3"/>
    <row r="420" ht="16.5" customHeight="1" x14ac:dyDescent="0.3"/>
    <row r="421" ht="16.5" customHeight="1" x14ac:dyDescent="0.3"/>
    <row r="422" ht="16.5" customHeight="1" x14ac:dyDescent="0.3"/>
    <row r="423" ht="16.5" customHeight="1" x14ac:dyDescent="0.3"/>
    <row r="424" ht="16.5" customHeight="1" x14ac:dyDescent="0.3"/>
    <row r="425" ht="16.5" customHeight="1" x14ac:dyDescent="0.3"/>
    <row r="426" ht="16.5" customHeight="1" x14ac:dyDescent="0.3"/>
    <row r="427" ht="16.5" customHeight="1" x14ac:dyDescent="0.3"/>
    <row r="428" ht="16.5" customHeight="1" x14ac:dyDescent="0.3"/>
    <row r="429" ht="16.5" customHeight="1" x14ac:dyDescent="0.3"/>
    <row r="430" ht="16.5" customHeight="1" x14ac:dyDescent="0.3"/>
    <row r="431" ht="16.5" customHeight="1" x14ac:dyDescent="0.3"/>
    <row r="432" ht="16.5" customHeight="1" x14ac:dyDescent="0.3"/>
    <row r="433" ht="16.5" customHeight="1" x14ac:dyDescent="0.3"/>
    <row r="434" ht="16.5" customHeight="1" x14ac:dyDescent="0.3"/>
    <row r="435" ht="16.5" customHeight="1" x14ac:dyDescent="0.3"/>
    <row r="436" ht="16.5" customHeight="1" x14ac:dyDescent="0.3"/>
    <row r="437" ht="16.5" customHeight="1" x14ac:dyDescent="0.3"/>
    <row r="438" ht="16.5" customHeight="1" x14ac:dyDescent="0.3"/>
    <row r="439" ht="16.5" customHeight="1" x14ac:dyDescent="0.3"/>
    <row r="440" ht="16.5" customHeight="1" x14ac:dyDescent="0.3"/>
    <row r="441" ht="16.5" customHeight="1" x14ac:dyDescent="0.3"/>
    <row r="442" ht="16.5" customHeight="1" x14ac:dyDescent="0.3"/>
    <row r="443" ht="16.5" customHeight="1" x14ac:dyDescent="0.3"/>
    <row r="444" ht="16.5" customHeight="1" x14ac:dyDescent="0.3"/>
    <row r="445" ht="16.5" customHeight="1" x14ac:dyDescent="0.3"/>
    <row r="446" ht="16.5" customHeight="1" x14ac:dyDescent="0.3"/>
    <row r="447" ht="16.5" customHeight="1" x14ac:dyDescent="0.3"/>
    <row r="448" ht="16.5" customHeight="1" x14ac:dyDescent="0.3"/>
    <row r="449" ht="16.5" customHeight="1" x14ac:dyDescent="0.3"/>
    <row r="450" ht="16.5" customHeight="1" x14ac:dyDescent="0.3"/>
    <row r="451" ht="16.5" customHeight="1" x14ac:dyDescent="0.3"/>
    <row r="452" ht="16.5" customHeight="1" x14ac:dyDescent="0.3"/>
    <row r="453" ht="16.5" customHeight="1" x14ac:dyDescent="0.3"/>
    <row r="454" ht="16.5" customHeight="1" x14ac:dyDescent="0.3"/>
    <row r="455" ht="16.5" customHeight="1" x14ac:dyDescent="0.3"/>
    <row r="456" ht="16.5" customHeight="1" x14ac:dyDescent="0.3"/>
    <row r="457" ht="16.5" customHeight="1" x14ac:dyDescent="0.3"/>
    <row r="458" ht="16.5" customHeight="1" x14ac:dyDescent="0.3"/>
    <row r="459" ht="16.5" customHeight="1" x14ac:dyDescent="0.3"/>
    <row r="460" ht="16.5" customHeight="1" x14ac:dyDescent="0.3"/>
    <row r="461" ht="16.5" customHeight="1" x14ac:dyDescent="0.3"/>
    <row r="462" ht="16.5" customHeight="1" x14ac:dyDescent="0.3"/>
    <row r="463" ht="16.5" customHeight="1" x14ac:dyDescent="0.3"/>
    <row r="464" ht="16.5" customHeight="1" x14ac:dyDescent="0.3"/>
    <row r="465" ht="16.5" customHeight="1" x14ac:dyDescent="0.3"/>
    <row r="466" ht="16.5" customHeight="1" x14ac:dyDescent="0.3"/>
    <row r="467" ht="16.5" customHeight="1" x14ac:dyDescent="0.3"/>
    <row r="468" ht="16.5" customHeight="1" x14ac:dyDescent="0.3"/>
    <row r="469" ht="16.5" customHeight="1" x14ac:dyDescent="0.3"/>
    <row r="470" ht="16.5" customHeight="1" x14ac:dyDescent="0.3"/>
    <row r="471" ht="16.5" customHeight="1" x14ac:dyDescent="0.3"/>
    <row r="472" ht="16.5" customHeight="1" x14ac:dyDescent="0.3"/>
    <row r="473" ht="16.5" customHeight="1" x14ac:dyDescent="0.3"/>
    <row r="474" ht="16.5" customHeight="1" x14ac:dyDescent="0.3"/>
    <row r="475" ht="16.5" customHeight="1" x14ac:dyDescent="0.3"/>
    <row r="476" ht="16.5" customHeight="1" x14ac:dyDescent="0.3"/>
    <row r="477" ht="16.5" customHeight="1" x14ac:dyDescent="0.3"/>
    <row r="478" ht="16.5" customHeight="1" x14ac:dyDescent="0.3"/>
    <row r="479" ht="16.5" customHeight="1" x14ac:dyDescent="0.3"/>
    <row r="480" ht="16.5" customHeight="1" x14ac:dyDescent="0.3"/>
    <row r="481" ht="16.5" customHeight="1" x14ac:dyDescent="0.3"/>
    <row r="482" ht="16.5" customHeight="1" x14ac:dyDescent="0.3"/>
    <row r="483" ht="16.5" customHeight="1" x14ac:dyDescent="0.3"/>
    <row r="484" ht="16.5" customHeight="1" x14ac:dyDescent="0.3"/>
    <row r="485" ht="16.5" customHeight="1" x14ac:dyDescent="0.3"/>
    <row r="486" ht="16.5" customHeight="1" x14ac:dyDescent="0.3"/>
    <row r="487" ht="16.5" customHeight="1" x14ac:dyDescent="0.3"/>
    <row r="488" ht="16.5" customHeight="1" x14ac:dyDescent="0.3"/>
    <row r="489" ht="16.5" customHeight="1" x14ac:dyDescent="0.3"/>
    <row r="490" ht="16.5" customHeight="1" x14ac:dyDescent="0.3"/>
    <row r="491" ht="16.5" customHeight="1" x14ac:dyDescent="0.3"/>
    <row r="492" ht="16.5" customHeight="1" x14ac:dyDescent="0.3"/>
    <row r="493" ht="16.5" customHeight="1" x14ac:dyDescent="0.3"/>
    <row r="494" ht="16.5" customHeight="1" x14ac:dyDescent="0.3"/>
    <row r="495" ht="16.5" customHeight="1" x14ac:dyDescent="0.3"/>
    <row r="496" ht="16.5" customHeight="1" x14ac:dyDescent="0.3"/>
    <row r="497" ht="16.5" customHeight="1" x14ac:dyDescent="0.3"/>
    <row r="498" ht="16.5" customHeight="1" x14ac:dyDescent="0.3"/>
    <row r="499" ht="16.5" customHeight="1" x14ac:dyDescent="0.3"/>
    <row r="500" ht="16.5" customHeight="1" x14ac:dyDescent="0.3"/>
    <row r="501" ht="16.5" customHeight="1" x14ac:dyDescent="0.3"/>
    <row r="502" ht="16.5" customHeight="1" x14ac:dyDescent="0.3"/>
    <row r="503" ht="16.5" customHeight="1" x14ac:dyDescent="0.3"/>
    <row r="504" ht="16.5" customHeight="1" x14ac:dyDescent="0.3"/>
    <row r="505" ht="16.5" customHeight="1" x14ac:dyDescent="0.3"/>
    <row r="506" ht="16.5" customHeight="1" x14ac:dyDescent="0.3"/>
    <row r="507" ht="16.5" customHeight="1" x14ac:dyDescent="0.3"/>
    <row r="508" ht="16.5" customHeight="1" x14ac:dyDescent="0.3"/>
    <row r="509" ht="16.5" customHeight="1" x14ac:dyDescent="0.3"/>
    <row r="510" ht="16.5" customHeight="1" x14ac:dyDescent="0.3"/>
    <row r="511" ht="16.5" customHeight="1" x14ac:dyDescent="0.3"/>
    <row r="512" ht="16.5" customHeight="1" x14ac:dyDescent="0.3"/>
    <row r="513" ht="16.5" customHeight="1" x14ac:dyDescent="0.3"/>
    <row r="514" ht="16.5" customHeight="1" x14ac:dyDescent="0.3"/>
    <row r="515" ht="16.5" customHeight="1" x14ac:dyDescent="0.3"/>
    <row r="516" ht="16.5" customHeight="1" x14ac:dyDescent="0.3"/>
    <row r="517" ht="16.5" customHeight="1" x14ac:dyDescent="0.3"/>
    <row r="518" ht="16.5" customHeight="1" x14ac:dyDescent="0.3"/>
    <row r="519" ht="16.5" customHeight="1" x14ac:dyDescent="0.3"/>
    <row r="520" ht="16.5" customHeight="1" x14ac:dyDescent="0.3"/>
    <row r="521" ht="16.5" customHeight="1" x14ac:dyDescent="0.3"/>
    <row r="522" ht="16.5" customHeight="1" x14ac:dyDescent="0.3"/>
    <row r="523" ht="16.5" customHeight="1" x14ac:dyDescent="0.3"/>
    <row r="524" ht="16.5" customHeight="1" x14ac:dyDescent="0.3"/>
    <row r="525" ht="16.5" customHeight="1" x14ac:dyDescent="0.3"/>
    <row r="526" ht="16.5" customHeight="1" x14ac:dyDescent="0.3"/>
    <row r="527" ht="16.5" customHeight="1" x14ac:dyDescent="0.3"/>
    <row r="528" ht="16.5" customHeight="1" x14ac:dyDescent="0.3"/>
    <row r="529" ht="16.5" customHeight="1" x14ac:dyDescent="0.3"/>
    <row r="530" ht="16.5" customHeight="1" x14ac:dyDescent="0.3"/>
    <row r="531" ht="16.5" customHeight="1" x14ac:dyDescent="0.3"/>
    <row r="532" ht="16.5" customHeight="1" x14ac:dyDescent="0.3"/>
    <row r="533" ht="16.5" customHeight="1" x14ac:dyDescent="0.3"/>
    <row r="534" ht="16.5" customHeight="1" x14ac:dyDescent="0.3"/>
    <row r="535" ht="16.5" customHeight="1" x14ac:dyDescent="0.3"/>
    <row r="536" ht="16.5" customHeight="1" x14ac:dyDescent="0.3"/>
    <row r="537" ht="16.5" customHeight="1" x14ac:dyDescent="0.3"/>
    <row r="538" ht="16.5" customHeight="1" x14ac:dyDescent="0.3"/>
    <row r="539" ht="16.5" customHeight="1" x14ac:dyDescent="0.3"/>
    <row r="540" ht="16.5" customHeight="1" x14ac:dyDescent="0.3"/>
    <row r="541" ht="16.5" customHeight="1" x14ac:dyDescent="0.3"/>
    <row r="542" ht="16.5" customHeight="1" x14ac:dyDescent="0.3"/>
    <row r="543" ht="16.5" customHeight="1" x14ac:dyDescent="0.3"/>
    <row r="544" ht="16.5" customHeight="1" x14ac:dyDescent="0.3"/>
    <row r="545" ht="16.5" customHeight="1" x14ac:dyDescent="0.3"/>
    <row r="546" ht="16.5" customHeight="1" x14ac:dyDescent="0.3"/>
    <row r="547" ht="16.5" customHeight="1" x14ac:dyDescent="0.3"/>
    <row r="548" ht="16.5" customHeight="1" x14ac:dyDescent="0.3"/>
    <row r="549" ht="16.5" customHeight="1" x14ac:dyDescent="0.3"/>
    <row r="550" ht="16.5" customHeight="1" x14ac:dyDescent="0.3"/>
    <row r="551" ht="16.5" customHeight="1" x14ac:dyDescent="0.3"/>
    <row r="552" ht="16.5" customHeight="1" x14ac:dyDescent="0.3"/>
    <row r="553" ht="16.5" customHeight="1" x14ac:dyDescent="0.3"/>
    <row r="554" ht="16.5" customHeight="1" x14ac:dyDescent="0.3"/>
    <row r="555" ht="16.5" customHeight="1" x14ac:dyDescent="0.3"/>
    <row r="556" ht="16.5" customHeight="1" x14ac:dyDescent="0.3"/>
    <row r="557" ht="16.5" customHeight="1" x14ac:dyDescent="0.3"/>
    <row r="558" ht="16.5" customHeight="1" x14ac:dyDescent="0.3"/>
    <row r="559" ht="16.5" customHeight="1" x14ac:dyDescent="0.3"/>
    <row r="560" ht="16.5" customHeight="1" x14ac:dyDescent="0.3"/>
    <row r="561" ht="16.5" customHeight="1" x14ac:dyDescent="0.3"/>
    <row r="562" ht="16.5" customHeight="1" x14ac:dyDescent="0.3"/>
    <row r="563" ht="16.5" customHeight="1" x14ac:dyDescent="0.3"/>
    <row r="564" ht="16.5" customHeight="1" x14ac:dyDescent="0.3"/>
    <row r="565" ht="16.5" customHeight="1" x14ac:dyDescent="0.3"/>
    <row r="566" ht="16.5" customHeight="1" x14ac:dyDescent="0.3"/>
    <row r="567" ht="16.5" customHeight="1" x14ac:dyDescent="0.3"/>
    <row r="568" ht="16.5" customHeight="1" x14ac:dyDescent="0.3"/>
    <row r="569" ht="16.5" customHeight="1" x14ac:dyDescent="0.3"/>
    <row r="570" ht="16.5" customHeight="1" x14ac:dyDescent="0.3"/>
    <row r="571" ht="16.5" customHeight="1" x14ac:dyDescent="0.3"/>
    <row r="572" ht="16.5" customHeight="1" x14ac:dyDescent="0.3"/>
    <row r="573" ht="16.5" customHeight="1" x14ac:dyDescent="0.3"/>
    <row r="574" ht="16.5" customHeight="1" x14ac:dyDescent="0.3"/>
    <row r="575" ht="16.5" customHeight="1" x14ac:dyDescent="0.3"/>
    <row r="576" ht="16.5" customHeight="1" x14ac:dyDescent="0.3"/>
    <row r="577" ht="16.5" customHeight="1" x14ac:dyDescent="0.3"/>
    <row r="578" ht="16.5" customHeight="1" x14ac:dyDescent="0.3"/>
    <row r="579" ht="16.5" customHeight="1" x14ac:dyDescent="0.3"/>
    <row r="580" ht="16.5" customHeight="1" x14ac:dyDescent="0.3"/>
    <row r="581" ht="16.5" customHeight="1" x14ac:dyDescent="0.3"/>
    <row r="582" ht="16.5" customHeight="1" x14ac:dyDescent="0.3"/>
    <row r="583" ht="16.5" customHeight="1" x14ac:dyDescent="0.3"/>
    <row r="584" ht="16.5" customHeight="1" x14ac:dyDescent="0.3"/>
    <row r="585" ht="16.5" customHeight="1" x14ac:dyDescent="0.3"/>
    <row r="586" ht="16.5" customHeight="1" x14ac:dyDescent="0.3"/>
    <row r="587" ht="16.5" customHeight="1" x14ac:dyDescent="0.3"/>
    <row r="588" ht="16.5" customHeight="1" x14ac:dyDescent="0.3"/>
    <row r="589" ht="16.5" customHeight="1" x14ac:dyDescent="0.3"/>
    <row r="590" ht="16.5" customHeight="1" x14ac:dyDescent="0.3"/>
    <row r="591" ht="16.5" customHeight="1" x14ac:dyDescent="0.3"/>
    <row r="592" ht="16.5" customHeight="1" x14ac:dyDescent="0.3"/>
    <row r="593" ht="16.5" customHeight="1" x14ac:dyDescent="0.3"/>
    <row r="594" ht="16.5" customHeight="1" x14ac:dyDescent="0.3"/>
    <row r="595" ht="16.5" customHeight="1" x14ac:dyDescent="0.3"/>
    <row r="596" ht="16.5" customHeight="1" x14ac:dyDescent="0.3"/>
    <row r="597" ht="16.5" customHeight="1" x14ac:dyDescent="0.3"/>
    <row r="598" ht="16.5" customHeight="1" x14ac:dyDescent="0.3"/>
    <row r="599" ht="16.5" customHeight="1" x14ac:dyDescent="0.3"/>
    <row r="600" ht="16.5" customHeight="1" x14ac:dyDescent="0.3"/>
    <row r="601" ht="16.5" customHeight="1" x14ac:dyDescent="0.3"/>
    <row r="602" ht="16.5" customHeight="1" x14ac:dyDescent="0.3"/>
    <row r="603" ht="16.5" customHeight="1" x14ac:dyDescent="0.3"/>
    <row r="604" ht="16.5" customHeight="1" x14ac:dyDescent="0.3"/>
    <row r="605" ht="16.5" customHeight="1" x14ac:dyDescent="0.3"/>
    <row r="606" ht="16.5" customHeight="1" x14ac:dyDescent="0.3"/>
    <row r="607" ht="16.5" customHeight="1" x14ac:dyDescent="0.3"/>
    <row r="608" ht="16.5" customHeight="1" x14ac:dyDescent="0.3"/>
    <row r="609" ht="16.5" customHeight="1" x14ac:dyDescent="0.3"/>
    <row r="610" ht="16.5" customHeight="1" x14ac:dyDescent="0.3"/>
    <row r="611" ht="16.5" customHeight="1" x14ac:dyDescent="0.3"/>
    <row r="612" ht="16.5" customHeight="1" x14ac:dyDescent="0.3"/>
    <row r="613" ht="16.5" customHeight="1" x14ac:dyDescent="0.3"/>
    <row r="614" ht="16.5" customHeight="1" x14ac:dyDescent="0.3"/>
    <row r="615" ht="16.5" customHeight="1" x14ac:dyDescent="0.3"/>
    <row r="616" ht="16.5" customHeight="1" x14ac:dyDescent="0.3"/>
    <row r="617" ht="16.5" customHeight="1" x14ac:dyDescent="0.3"/>
    <row r="618" ht="16.5" customHeight="1" x14ac:dyDescent="0.3"/>
    <row r="619" ht="16.5" customHeight="1" x14ac:dyDescent="0.3"/>
    <row r="620" ht="16.5" customHeight="1" x14ac:dyDescent="0.3"/>
    <row r="621" ht="16.5" customHeight="1" x14ac:dyDescent="0.3"/>
    <row r="622" ht="16.5" customHeight="1" x14ac:dyDescent="0.3"/>
    <row r="623" ht="16.5" customHeight="1" x14ac:dyDescent="0.3"/>
    <row r="624" ht="16.5" customHeight="1" x14ac:dyDescent="0.3"/>
    <row r="625" ht="16.5" customHeight="1" x14ac:dyDescent="0.3"/>
    <row r="626" ht="16.5" customHeight="1" x14ac:dyDescent="0.3"/>
    <row r="627" ht="16.5" customHeight="1" x14ac:dyDescent="0.3"/>
    <row r="628" ht="16.5" customHeight="1" x14ac:dyDescent="0.3"/>
    <row r="629" ht="16.5" customHeight="1" x14ac:dyDescent="0.3"/>
    <row r="630" ht="16.5" customHeight="1" x14ac:dyDescent="0.3"/>
    <row r="631" ht="16.5" customHeight="1" x14ac:dyDescent="0.3"/>
    <row r="632" ht="16.5" customHeight="1" x14ac:dyDescent="0.3"/>
    <row r="633" ht="16.5" customHeight="1" x14ac:dyDescent="0.3"/>
    <row r="634" ht="16.5" customHeight="1" x14ac:dyDescent="0.3"/>
    <row r="635" ht="16.5" customHeight="1" x14ac:dyDescent="0.3"/>
    <row r="636" ht="16.5" customHeight="1" x14ac:dyDescent="0.3"/>
    <row r="637" ht="16.5" customHeight="1" x14ac:dyDescent="0.3"/>
    <row r="638" ht="16.5" customHeight="1" x14ac:dyDescent="0.3"/>
    <row r="639" ht="16.5" customHeight="1" x14ac:dyDescent="0.3"/>
    <row r="640" ht="16.5" customHeight="1" x14ac:dyDescent="0.3"/>
    <row r="641" ht="16.5" customHeight="1" x14ac:dyDescent="0.3"/>
    <row r="642" ht="16.5" customHeight="1" x14ac:dyDescent="0.3"/>
    <row r="643" ht="16.5" customHeight="1" x14ac:dyDescent="0.3"/>
    <row r="644" ht="16.5" customHeight="1" x14ac:dyDescent="0.3"/>
    <row r="645" ht="16.5" customHeight="1" x14ac:dyDescent="0.3"/>
    <row r="646" ht="16.5" customHeight="1" x14ac:dyDescent="0.3"/>
    <row r="647" ht="16.5" customHeight="1" x14ac:dyDescent="0.3"/>
    <row r="648" ht="16.5" customHeight="1" x14ac:dyDescent="0.3"/>
    <row r="649" ht="16.5" customHeight="1" x14ac:dyDescent="0.3"/>
    <row r="650" ht="16.5" customHeight="1" x14ac:dyDescent="0.3"/>
    <row r="651" ht="16.5" customHeight="1" x14ac:dyDescent="0.3"/>
    <row r="652" ht="16.5" customHeight="1" x14ac:dyDescent="0.3"/>
    <row r="653" ht="16.5" customHeight="1" x14ac:dyDescent="0.3"/>
    <row r="654" ht="16.5" customHeight="1" x14ac:dyDescent="0.3"/>
    <row r="655" ht="16.5" customHeight="1" x14ac:dyDescent="0.3"/>
    <row r="656" ht="16.5" customHeight="1" x14ac:dyDescent="0.3"/>
    <row r="657" ht="16.5" customHeight="1" x14ac:dyDescent="0.3"/>
    <row r="658" ht="16.5" customHeight="1" x14ac:dyDescent="0.3"/>
    <row r="659" ht="16.5" customHeight="1" x14ac:dyDescent="0.3"/>
    <row r="660" ht="16.5" customHeight="1" x14ac:dyDescent="0.3"/>
    <row r="661" ht="16.5" customHeight="1" x14ac:dyDescent="0.3"/>
    <row r="662" ht="16.5" customHeight="1" x14ac:dyDescent="0.3"/>
    <row r="663" ht="16.5" customHeight="1" x14ac:dyDescent="0.3"/>
    <row r="664" ht="16.5" customHeight="1" x14ac:dyDescent="0.3"/>
    <row r="665" ht="16.5" customHeight="1" x14ac:dyDescent="0.3"/>
    <row r="666" ht="16.5" customHeight="1" x14ac:dyDescent="0.3"/>
    <row r="667" ht="16.5" customHeight="1" x14ac:dyDescent="0.3"/>
    <row r="668" ht="16.5" customHeight="1" x14ac:dyDescent="0.3"/>
    <row r="669" ht="16.5" customHeight="1" x14ac:dyDescent="0.3"/>
    <row r="670" ht="16.5" customHeight="1" x14ac:dyDescent="0.3"/>
    <row r="671" ht="16.5" customHeight="1" x14ac:dyDescent="0.3"/>
    <row r="672" ht="16.5" customHeight="1" x14ac:dyDescent="0.3"/>
    <row r="673" ht="16.5" customHeight="1" x14ac:dyDescent="0.3"/>
    <row r="674" ht="16.5" customHeight="1" x14ac:dyDescent="0.3"/>
    <row r="675" ht="16.5" customHeight="1" x14ac:dyDescent="0.3"/>
    <row r="676" ht="16.5" customHeight="1" x14ac:dyDescent="0.3"/>
    <row r="677" ht="16.5" customHeight="1" x14ac:dyDescent="0.3"/>
    <row r="678" ht="16.5" customHeight="1" x14ac:dyDescent="0.3"/>
    <row r="679" ht="16.5" customHeight="1" x14ac:dyDescent="0.3"/>
    <row r="680" ht="16.5" customHeight="1" x14ac:dyDescent="0.3"/>
    <row r="681" ht="16.5" customHeight="1" x14ac:dyDescent="0.3"/>
    <row r="682" ht="16.5" customHeight="1" x14ac:dyDescent="0.3"/>
    <row r="683" ht="16.5" customHeight="1" x14ac:dyDescent="0.3"/>
    <row r="684" ht="16.5" customHeight="1" x14ac:dyDescent="0.3"/>
    <row r="685" ht="16.5" customHeight="1" x14ac:dyDescent="0.3"/>
    <row r="686" ht="16.5" customHeight="1" x14ac:dyDescent="0.3"/>
    <row r="687" ht="16.5" customHeight="1" x14ac:dyDescent="0.3"/>
    <row r="688" ht="16.5" customHeight="1" x14ac:dyDescent="0.3"/>
    <row r="689" ht="16.5" customHeight="1" x14ac:dyDescent="0.3"/>
    <row r="690" ht="16.5" customHeight="1" x14ac:dyDescent="0.3"/>
    <row r="691" ht="16.5" customHeight="1" x14ac:dyDescent="0.3"/>
    <row r="692" ht="16.5" customHeight="1" x14ac:dyDescent="0.3"/>
    <row r="693" ht="16.5" customHeight="1" x14ac:dyDescent="0.3"/>
    <row r="694" ht="16.5" customHeight="1" x14ac:dyDescent="0.3"/>
    <row r="695" ht="16.5" customHeight="1" x14ac:dyDescent="0.3"/>
    <row r="696" ht="16.5" customHeight="1" x14ac:dyDescent="0.3"/>
    <row r="697" ht="16.5" customHeight="1" x14ac:dyDescent="0.3"/>
    <row r="698" ht="16.5" customHeight="1" x14ac:dyDescent="0.3"/>
    <row r="699" ht="16.5" customHeight="1" x14ac:dyDescent="0.3"/>
    <row r="700" ht="16.5" customHeight="1" x14ac:dyDescent="0.3"/>
    <row r="701" ht="16.5" customHeight="1" x14ac:dyDescent="0.3"/>
    <row r="702" ht="16.5" customHeight="1" x14ac:dyDescent="0.3"/>
    <row r="703" ht="16.5" customHeight="1" x14ac:dyDescent="0.3"/>
    <row r="704" ht="16.5" customHeight="1" x14ac:dyDescent="0.3"/>
    <row r="705" ht="16.5" customHeight="1" x14ac:dyDescent="0.3"/>
    <row r="706" ht="16.5" customHeight="1" x14ac:dyDescent="0.3"/>
    <row r="707" ht="16.5" customHeight="1" x14ac:dyDescent="0.3"/>
    <row r="708" ht="16.5" customHeight="1" x14ac:dyDescent="0.3"/>
    <row r="709" ht="16.5" customHeight="1" x14ac:dyDescent="0.3"/>
    <row r="710" ht="16.5" customHeight="1" x14ac:dyDescent="0.3"/>
    <row r="711" ht="16.5" customHeight="1" x14ac:dyDescent="0.3"/>
    <row r="712" ht="16.5" customHeight="1" x14ac:dyDescent="0.3"/>
    <row r="713" ht="16.5" customHeight="1" x14ac:dyDescent="0.3"/>
    <row r="714" ht="16.5" customHeight="1" x14ac:dyDescent="0.3"/>
    <row r="715" ht="16.5" customHeight="1" x14ac:dyDescent="0.3"/>
    <row r="716" ht="16.5" customHeight="1" x14ac:dyDescent="0.3"/>
    <row r="717" ht="16.5" customHeight="1" x14ac:dyDescent="0.3"/>
    <row r="718" ht="16.5" customHeight="1" x14ac:dyDescent="0.3"/>
    <row r="719" ht="16.5" customHeight="1" x14ac:dyDescent="0.3"/>
    <row r="720" ht="16.5" customHeight="1" x14ac:dyDescent="0.3"/>
    <row r="721" ht="16.5" customHeight="1" x14ac:dyDescent="0.3"/>
    <row r="722" ht="16.5" customHeight="1" x14ac:dyDescent="0.3"/>
    <row r="723" ht="16.5" customHeight="1" x14ac:dyDescent="0.3"/>
    <row r="724" ht="16.5" customHeight="1" x14ac:dyDescent="0.3"/>
    <row r="725" ht="16.5" customHeight="1" x14ac:dyDescent="0.3"/>
    <row r="726" ht="16.5" customHeight="1" x14ac:dyDescent="0.3"/>
    <row r="727" ht="16.5" customHeight="1" x14ac:dyDescent="0.3"/>
    <row r="728" ht="16.5" customHeight="1" x14ac:dyDescent="0.3"/>
    <row r="729" ht="16.5" customHeight="1" x14ac:dyDescent="0.3"/>
    <row r="730" ht="16.5" customHeight="1" x14ac:dyDescent="0.3"/>
    <row r="731" ht="16.5" customHeight="1" x14ac:dyDescent="0.3"/>
    <row r="732" ht="16.5" customHeight="1" x14ac:dyDescent="0.3"/>
    <row r="733" ht="16.5" customHeight="1" x14ac:dyDescent="0.3"/>
    <row r="734" ht="16.5" customHeight="1" x14ac:dyDescent="0.3"/>
    <row r="735" ht="16.5" customHeight="1" x14ac:dyDescent="0.3"/>
    <row r="736" ht="16.5" customHeight="1" x14ac:dyDescent="0.3"/>
    <row r="737" ht="16.5" customHeight="1" x14ac:dyDescent="0.3"/>
    <row r="738" ht="16.5" customHeight="1" x14ac:dyDescent="0.3"/>
    <row r="739" ht="16.5" customHeight="1" x14ac:dyDescent="0.3"/>
    <row r="740" ht="16.5" customHeight="1" x14ac:dyDescent="0.3"/>
    <row r="741" ht="16.5" customHeight="1" x14ac:dyDescent="0.3"/>
    <row r="742" ht="16.5" customHeight="1" x14ac:dyDescent="0.3"/>
    <row r="743" ht="16.5" customHeight="1" x14ac:dyDescent="0.3"/>
    <row r="744" ht="16.5" customHeight="1" x14ac:dyDescent="0.3"/>
    <row r="745" ht="16.5" customHeight="1" x14ac:dyDescent="0.3"/>
    <row r="746" ht="16.5" customHeight="1" x14ac:dyDescent="0.3"/>
    <row r="747" ht="16.5" customHeight="1" x14ac:dyDescent="0.3"/>
    <row r="748" ht="16.5" customHeight="1" x14ac:dyDescent="0.3"/>
    <row r="749" ht="16.5" customHeight="1" x14ac:dyDescent="0.3"/>
    <row r="750" ht="16.5" customHeight="1" x14ac:dyDescent="0.3"/>
    <row r="751" ht="16.5" customHeight="1" x14ac:dyDescent="0.3"/>
    <row r="752" ht="16.5" customHeight="1" x14ac:dyDescent="0.3"/>
    <row r="753" ht="16.5" customHeight="1" x14ac:dyDescent="0.3"/>
    <row r="754" ht="16.5" customHeight="1" x14ac:dyDescent="0.3"/>
    <row r="755" ht="16.5" customHeight="1" x14ac:dyDescent="0.3"/>
    <row r="756" ht="16.5" customHeight="1" x14ac:dyDescent="0.3"/>
    <row r="757" ht="16.5" customHeight="1" x14ac:dyDescent="0.3"/>
    <row r="758" ht="16.5" customHeight="1" x14ac:dyDescent="0.3"/>
    <row r="759" ht="16.5" customHeight="1" x14ac:dyDescent="0.3"/>
    <row r="760" ht="16.5" customHeight="1" x14ac:dyDescent="0.3"/>
    <row r="761" ht="16.5" customHeight="1" x14ac:dyDescent="0.3"/>
    <row r="762" ht="16.5" customHeight="1" x14ac:dyDescent="0.3"/>
    <row r="763" ht="16.5" customHeight="1" x14ac:dyDescent="0.3"/>
    <row r="764" ht="16.5" customHeight="1" x14ac:dyDescent="0.3"/>
    <row r="765" ht="16.5" customHeight="1" x14ac:dyDescent="0.3"/>
    <row r="766" ht="16.5" customHeight="1" x14ac:dyDescent="0.3"/>
    <row r="767" ht="16.5" customHeight="1" x14ac:dyDescent="0.3"/>
    <row r="768" ht="16.5" customHeight="1" x14ac:dyDescent="0.3"/>
    <row r="769" ht="16.5" customHeight="1" x14ac:dyDescent="0.3"/>
    <row r="770" ht="16.5" customHeight="1" x14ac:dyDescent="0.3"/>
    <row r="771" ht="16.5" customHeight="1" x14ac:dyDescent="0.3"/>
    <row r="772" ht="16.5" customHeight="1" x14ac:dyDescent="0.3"/>
    <row r="773" ht="16.5" customHeight="1" x14ac:dyDescent="0.3"/>
    <row r="774" ht="16.5" customHeight="1" x14ac:dyDescent="0.3"/>
    <row r="775" ht="16.5" customHeight="1" x14ac:dyDescent="0.3"/>
    <row r="776" ht="16.5" customHeight="1" x14ac:dyDescent="0.3"/>
    <row r="777" ht="16.5" customHeight="1" x14ac:dyDescent="0.3"/>
    <row r="778" ht="16.5" customHeight="1" x14ac:dyDescent="0.3"/>
    <row r="779" ht="16.5" customHeight="1" x14ac:dyDescent="0.3"/>
    <row r="780" ht="16.5" customHeight="1" x14ac:dyDescent="0.3"/>
    <row r="781" ht="16.5" customHeight="1" x14ac:dyDescent="0.3"/>
    <row r="782" ht="16.5" customHeight="1" x14ac:dyDescent="0.3"/>
    <row r="783" ht="16.5" customHeight="1" x14ac:dyDescent="0.3"/>
    <row r="784" ht="16.5" customHeight="1" x14ac:dyDescent="0.3"/>
    <row r="785" ht="16.5" customHeight="1" x14ac:dyDescent="0.3"/>
    <row r="786" ht="16.5" customHeight="1" x14ac:dyDescent="0.3"/>
    <row r="787" ht="16.5" customHeight="1" x14ac:dyDescent="0.3"/>
    <row r="788" ht="16.5" customHeight="1" x14ac:dyDescent="0.3"/>
    <row r="789" ht="16.5" customHeight="1" x14ac:dyDescent="0.3"/>
    <row r="790" ht="16.5" customHeight="1" x14ac:dyDescent="0.3"/>
    <row r="791" ht="16.5" customHeight="1" x14ac:dyDescent="0.3"/>
    <row r="792" ht="16.5" customHeight="1" x14ac:dyDescent="0.3"/>
    <row r="793" ht="16.5" customHeight="1" x14ac:dyDescent="0.3"/>
    <row r="794" ht="16.5" customHeight="1" x14ac:dyDescent="0.3"/>
    <row r="795" ht="16.5" customHeight="1" x14ac:dyDescent="0.3"/>
    <row r="796" ht="16.5" customHeight="1" x14ac:dyDescent="0.3"/>
    <row r="797" ht="16.5" customHeight="1" x14ac:dyDescent="0.3"/>
    <row r="798" ht="16.5" customHeight="1" x14ac:dyDescent="0.3"/>
    <row r="799" ht="16.5" customHeight="1" x14ac:dyDescent="0.3"/>
    <row r="800" ht="16.5" customHeight="1" x14ac:dyDescent="0.3"/>
    <row r="801" ht="16.5" customHeight="1" x14ac:dyDescent="0.3"/>
    <row r="802" ht="16.5" customHeight="1" x14ac:dyDescent="0.3"/>
    <row r="803" ht="16.5" customHeight="1" x14ac:dyDescent="0.3"/>
    <row r="804" ht="16.5" customHeight="1" x14ac:dyDescent="0.3"/>
    <row r="805" ht="16.5" customHeight="1" x14ac:dyDescent="0.3"/>
    <row r="806" ht="16.5" customHeight="1" x14ac:dyDescent="0.3"/>
    <row r="807" ht="16.5" customHeight="1" x14ac:dyDescent="0.3"/>
    <row r="808" ht="16.5" customHeight="1" x14ac:dyDescent="0.3"/>
    <row r="809" ht="16.5" customHeight="1" x14ac:dyDescent="0.3"/>
    <row r="810" ht="16.5" customHeight="1" x14ac:dyDescent="0.3"/>
    <row r="811" ht="16.5" customHeight="1" x14ac:dyDescent="0.3"/>
    <row r="812" ht="16.5" customHeight="1" x14ac:dyDescent="0.3"/>
    <row r="813" ht="16.5" customHeight="1" x14ac:dyDescent="0.3"/>
    <row r="814" ht="16.5" customHeight="1" x14ac:dyDescent="0.3"/>
    <row r="815" ht="16.5" customHeight="1" x14ac:dyDescent="0.3"/>
    <row r="816" ht="16.5" customHeight="1" x14ac:dyDescent="0.3"/>
    <row r="817" ht="16.5" customHeight="1" x14ac:dyDescent="0.3"/>
    <row r="818" ht="16.5" customHeight="1" x14ac:dyDescent="0.3"/>
    <row r="819" ht="16.5" customHeight="1" x14ac:dyDescent="0.3"/>
    <row r="820" ht="16.5" customHeight="1" x14ac:dyDescent="0.3"/>
    <row r="821" ht="16.5" customHeight="1" x14ac:dyDescent="0.3"/>
    <row r="822" ht="16.5" customHeight="1" x14ac:dyDescent="0.3"/>
    <row r="823" ht="16.5" customHeight="1" x14ac:dyDescent="0.3"/>
    <row r="824" ht="16.5" customHeight="1" x14ac:dyDescent="0.3"/>
    <row r="825" ht="16.5" customHeight="1" x14ac:dyDescent="0.3"/>
    <row r="826" ht="16.5" customHeight="1" x14ac:dyDescent="0.3"/>
    <row r="827" ht="16.5" customHeight="1" x14ac:dyDescent="0.3"/>
    <row r="828" ht="16.5" customHeight="1" x14ac:dyDescent="0.3"/>
    <row r="829" ht="16.5" customHeight="1" x14ac:dyDescent="0.3"/>
    <row r="830" ht="16.5" customHeight="1" x14ac:dyDescent="0.3"/>
    <row r="831" ht="16.5" customHeight="1" x14ac:dyDescent="0.3"/>
    <row r="832" ht="16.5" customHeight="1" x14ac:dyDescent="0.3"/>
    <row r="833" ht="16.5" customHeight="1" x14ac:dyDescent="0.3"/>
    <row r="834" ht="16.5" customHeight="1" x14ac:dyDescent="0.3"/>
    <row r="835" ht="16.5" customHeight="1" x14ac:dyDescent="0.3"/>
    <row r="836" ht="16.5" customHeight="1" x14ac:dyDescent="0.3"/>
    <row r="837" ht="16.5" customHeight="1" x14ac:dyDescent="0.3"/>
    <row r="838" ht="16.5" customHeight="1" x14ac:dyDescent="0.3"/>
    <row r="839" ht="16.5" customHeight="1" x14ac:dyDescent="0.3"/>
    <row r="840" ht="16.5" customHeight="1" x14ac:dyDescent="0.3"/>
    <row r="841" ht="16.5" customHeight="1" x14ac:dyDescent="0.3"/>
    <row r="842" ht="16.5" customHeight="1" x14ac:dyDescent="0.3"/>
    <row r="843" ht="16.5" customHeight="1" x14ac:dyDescent="0.3"/>
    <row r="844" ht="16.5" customHeight="1" x14ac:dyDescent="0.3"/>
    <row r="845" ht="16.5" customHeight="1" x14ac:dyDescent="0.3"/>
    <row r="846" ht="16.5" customHeight="1" x14ac:dyDescent="0.3"/>
    <row r="847" ht="16.5" customHeight="1" x14ac:dyDescent="0.3"/>
    <row r="848" ht="16.5" customHeight="1" x14ac:dyDescent="0.3"/>
    <row r="849" ht="16.5" customHeight="1" x14ac:dyDescent="0.3"/>
    <row r="850" ht="16.5" customHeight="1" x14ac:dyDescent="0.3"/>
    <row r="851" ht="16.5" customHeight="1" x14ac:dyDescent="0.3"/>
    <row r="852" ht="16.5" customHeight="1" x14ac:dyDescent="0.3"/>
    <row r="853" ht="16.5" customHeight="1" x14ac:dyDescent="0.3"/>
    <row r="854" ht="16.5" customHeight="1" x14ac:dyDescent="0.3"/>
    <row r="855" ht="16.5" customHeight="1" x14ac:dyDescent="0.3"/>
    <row r="856" ht="16.5" customHeight="1" x14ac:dyDescent="0.3"/>
    <row r="857" ht="16.5" customHeight="1" x14ac:dyDescent="0.3"/>
    <row r="858" ht="16.5" customHeight="1" x14ac:dyDescent="0.3"/>
    <row r="859" ht="16.5" customHeight="1" x14ac:dyDescent="0.3"/>
    <row r="860" ht="16.5" customHeight="1" x14ac:dyDescent="0.3"/>
    <row r="861" ht="16.5" customHeight="1" x14ac:dyDescent="0.3"/>
    <row r="862" ht="16.5" customHeight="1" x14ac:dyDescent="0.3"/>
    <row r="863" ht="16.5" customHeight="1" x14ac:dyDescent="0.3"/>
    <row r="864" ht="16.5" customHeight="1" x14ac:dyDescent="0.3"/>
    <row r="865" ht="16.5" customHeight="1" x14ac:dyDescent="0.3"/>
    <row r="866" ht="16.5" customHeight="1" x14ac:dyDescent="0.3"/>
    <row r="867" ht="16.5" customHeight="1" x14ac:dyDescent="0.3"/>
    <row r="868" ht="16.5" customHeight="1" x14ac:dyDescent="0.3"/>
    <row r="869" ht="16.5" customHeight="1" x14ac:dyDescent="0.3"/>
    <row r="870" ht="16.5" customHeight="1" x14ac:dyDescent="0.3"/>
    <row r="871" ht="16.5" customHeight="1" x14ac:dyDescent="0.3"/>
    <row r="872" ht="16.5" customHeight="1" x14ac:dyDescent="0.3"/>
    <row r="873" ht="16.5" customHeight="1" x14ac:dyDescent="0.3"/>
    <row r="874" ht="16.5" customHeight="1" x14ac:dyDescent="0.3"/>
    <row r="875" ht="16.5" customHeight="1" x14ac:dyDescent="0.3"/>
    <row r="876" ht="16.5" customHeight="1" x14ac:dyDescent="0.3"/>
    <row r="877" ht="16.5" customHeight="1" x14ac:dyDescent="0.3"/>
    <row r="878" ht="16.5" customHeight="1" x14ac:dyDescent="0.3"/>
    <row r="879" ht="16.5" customHeight="1" x14ac:dyDescent="0.3"/>
    <row r="880" ht="16.5" customHeight="1" x14ac:dyDescent="0.3"/>
    <row r="881" ht="16.5" customHeight="1" x14ac:dyDescent="0.3"/>
    <row r="882" ht="16.5" customHeight="1" x14ac:dyDescent="0.3"/>
    <row r="883" ht="16.5" customHeight="1" x14ac:dyDescent="0.3"/>
    <row r="884" ht="16.5" customHeight="1" x14ac:dyDescent="0.3"/>
    <row r="885" ht="16.5" customHeight="1" x14ac:dyDescent="0.3"/>
    <row r="886" ht="16.5" customHeight="1" x14ac:dyDescent="0.3"/>
    <row r="887" ht="16.5" customHeight="1" x14ac:dyDescent="0.3"/>
    <row r="888" ht="16.5" customHeight="1" x14ac:dyDescent="0.3"/>
    <row r="889" ht="16.5" customHeight="1" x14ac:dyDescent="0.3"/>
    <row r="890" ht="16.5" customHeight="1" x14ac:dyDescent="0.3"/>
    <row r="891" ht="16.5" customHeight="1" x14ac:dyDescent="0.3"/>
    <row r="892" ht="16.5" customHeight="1" x14ac:dyDescent="0.3"/>
    <row r="893" ht="16.5" customHeight="1" x14ac:dyDescent="0.3"/>
    <row r="894" ht="16.5" customHeight="1" x14ac:dyDescent="0.3"/>
    <row r="895" ht="16.5" customHeight="1" x14ac:dyDescent="0.3"/>
    <row r="896" ht="16.5" customHeight="1" x14ac:dyDescent="0.3"/>
    <row r="897" ht="16.5" customHeight="1" x14ac:dyDescent="0.3"/>
    <row r="898" ht="16.5" customHeight="1" x14ac:dyDescent="0.3"/>
    <row r="899" ht="16.5" customHeight="1" x14ac:dyDescent="0.3"/>
    <row r="900" ht="16.5" customHeight="1" x14ac:dyDescent="0.3"/>
    <row r="901" ht="16.5" customHeight="1" x14ac:dyDescent="0.3"/>
    <row r="902" ht="16.5" customHeight="1" x14ac:dyDescent="0.3"/>
    <row r="903" ht="16.5" customHeight="1" x14ac:dyDescent="0.3"/>
    <row r="904" ht="16.5" customHeight="1" x14ac:dyDescent="0.3"/>
    <row r="905" ht="16.5" customHeight="1" x14ac:dyDescent="0.3"/>
    <row r="906" ht="16.5" customHeight="1" x14ac:dyDescent="0.3"/>
    <row r="907" ht="16.5" customHeight="1" x14ac:dyDescent="0.3"/>
    <row r="908" ht="16.5" customHeight="1" x14ac:dyDescent="0.3"/>
    <row r="909" ht="16.5" customHeight="1" x14ac:dyDescent="0.3"/>
    <row r="910" ht="16.5" customHeight="1" x14ac:dyDescent="0.3"/>
    <row r="911" ht="16.5" customHeight="1" x14ac:dyDescent="0.3"/>
    <row r="912" ht="16.5" customHeight="1" x14ac:dyDescent="0.3"/>
    <row r="913" ht="16.5" customHeight="1" x14ac:dyDescent="0.3"/>
    <row r="914" ht="16.5" customHeight="1" x14ac:dyDescent="0.3"/>
    <row r="915" ht="16.5" customHeight="1" x14ac:dyDescent="0.3"/>
    <row r="916" ht="16.5" customHeight="1" x14ac:dyDescent="0.3"/>
    <row r="917" ht="16.5" customHeight="1" x14ac:dyDescent="0.3"/>
    <row r="918" ht="16.5" customHeight="1" x14ac:dyDescent="0.3"/>
    <row r="919" ht="16.5" customHeight="1" x14ac:dyDescent="0.3"/>
    <row r="920" ht="16.5" customHeight="1" x14ac:dyDescent="0.3"/>
    <row r="921" ht="16.5" customHeight="1" x14ac:dyDescent="0.3"/>
    <row r="922" ht="16.5" customHeight="1" x14ac:dyDescent="0.3"/>
    <row r="923" ht="16.5" customHeight="1" x14ac:dyDescent="0.3"/>
    <row r="924" ht="16.5" customHeight="1" x14ac:dyDescent="0.3"/>
    <row r="925" ht="16.5" customHeight="1" x14ac:dyDescent="0.3"/>
    <row r="926" ht="16.5" customHeight="1" x14ac:dyDescent="0.3"/>
    <row r="927" ht="16.5" customHeight="1" x14ac:dyDescent="0.3"/>
    <row r="928" ht="16.5" customHeight="1" x14ac:dyDescent="0.3"/>
    <row r="929" ht="16.5" customHeight="1" x14ac:dyDescent="0.3"/>
    <row r="930" ht="16.5" customHeight="1" x14ac:dyDescent="0.3"/>
    <row r="931" ht="16.5" customHeight="1" x14ac:dyDescent="0.3"/>
    <row r="932" ht="16.5" customHeight="1" x14ac:dyDescent="0.3"/>
    <row r="933" ht="16.5" customHeight="1" x14ac:dyDescent="0.3"/>
    <row r="934" ht="16.5" customHeight="1" x14ac:dyDescent="0.3"/>
    <row r="935" ht="16.5" customHeight="1" x14ac:dyDescent="0.3"/>
    <row r="936" ht="16.5" customHeight="1" x14ac:dyDescent="0.3"/>
    <row r="937" ht="16.5" customHeight="1" x14ac:dyDescent="0.3"/>
    <row r="938" ht="16.5" customHeight="1" x14ac:dyDescent="0.3"/>
    <row r="939" ht="16.5" customHeight="1" x14ac:dyDescent="0.3"/>
    <row r="940" ht="16.5" customHeight="1" x14ac:dyDescent="0.3"/>
    <row r="941" ht="16.5" customHeight="1" x14ac:dyDescent="0.3"/>
    <row r="942" ht="16.5" customHeight="1" x14ac:dyDescent="0.3"/>
    <row r="943" ht="16.5" customHeight="1" x14ac:dyDescent="0.3"/>
    <row r="944" ht="16.5" customHeight="1" x14ac:dyDescent="0.3"/>
    <row r="945" ht="16.5" customHeight="1" x14ac:dyDescent="0.3"/>
    <row r="946" ht="16.5" customHeight="1" x14ac:dyDescent="0.3"/>
    <row r="947" ht="16.5" customHeight="1" x14ac:dyDescent="0.3"/>
    <row r="948" ht="16.5" customHeight="1" x14ac:dyDescent="0.3"/>
    <row r="949" ht="16.5" customHeight="1" x14ac:dyDescent="0.3"/>
    <row r="950" ht="16.5" customHeight="1" x14ac:dyDescent="0.3"/>
    <row r="951" ht="16.5" customHeight="1" x14ac:dyDescent="0.3"/>
    <row r="952" ht="16.5" customHeight="1" x14ac:dyDescent="0.3"/>
    <row r="953" ht="16.5" customHeight="1" x14ac:dyDescent="0.3"/>
    <row r="954" ht="16.5" customHeight="1" x14ac:dyDescent="0.3"/>
    <row r="955" ht="16.5" customHeight="1" x14ac:dyDescent="0.3"/>
    <row r="956" ht="16.5" customHeight="1" x14ac:dyDescent="0.3"/>
    <row r="957" ht="16.5" customHeight="1" x14ac:dyDescent="0.3"/>
    <row r="958" ht="16.5" customHeight="1" x14ac:dyDescent="0.3"/>
    <row r="959" ht="16.5" customHeight="1" x14ac:dyDescent="0.3"/>
    <row r="960" ht="16.5" customHeight="1" x14ac:dyDescent="0.3"/>
    <row r="961" ht="16.5" customHeight="1" x14ac:dyDescent="0.3"/>
    <row r="962" ht="16.5" customHeight="1" x14ac:dyDescent="0.3"/>
    <row r="963" ht="16.5" customHeight="1" x14ac:dyDescent="0.3"/>
    <row r="964" ht="16.5" customHeight="1" x14ac:dyDescent="0.3"/>
    <row r="965" ht="16.5" customHeight="1" x14ac:dyDescent="0.3"/>
    <row r="966" ht="16.5" customHeight="1" x14ac:dyDescent="0.3"/>
    <row r="967" ht="16.5" customHeight="1" x14ac:dyDescent="0.3"/>
    <row r="968" ht="16.5" customHeight="1" x14ac:dyDescent="0.3"/>
    <row r="969" ht="16.5" customHeight="1" x14ac:dyDescent="0.3"/>
    <row r="970" ht="16.5" customHeight="1" x14ac:dyDescent="0.3"/>
    <row r="971" ht="16.5" customHeight="1" x14ac:dyDescent="0.3"/>
    <row r="972" ht="16.5" customHeight="1" x14ac:dyDescent="0.3"/>
    <row r="973" ht="16.5" customHeight="1" x14ac:dyDescent="0.3"/>
    <row r="974" ht="16.5" customHeight="1" x14ac:dyDescent="0.3"/>
    <row r="975" ht="16.5" customHeight="1" x14ac:dyDescent="0.3"/>
    <row r="976" ht="16.5" customHeight="1" x14ac:dyDescent="0.3"/>
    <row r="977" ht="16.5" customHeight="1" x14ac:dyDescent="0.3"/>
    <row r="978" ht="16.5" customHeight="1" x14ac:dyDescent="0.3"/>
    <row r="979" ht="16.5" customHeight="1" x14ac:dyDescent="0.3"/>
    <row r="980" ht="16.5" customHeight="1" x14ac:dyDescent="0.3"/>
    <row r="981" ht="16.5" customHeight="1" x14ac:dyDescent="0.3"/>
    <row r="982" ht="16.5" customHeight="1" x14ac:dyDescent="0.3"/>
    <row r="983" ht="16.5" customHeight="1" x14ac:dyDescent="0.3"/>
    <row r="984" ht="16.5" customHeight="1" x14ac:dyDescent="0.3"/>
    <row r="985" ht="16.5" customHeight="1" x14ac:dyDescent="0.3"/>
    <row r="986" ht="16.5" customHeight="1" x14ac:dyDescent="0.3"/>
    <row r="987" ht="16.5" customHeight="1" x14ac:dyDescent="0.3"/>
    <row r="988" ht="16.5" customHeight="1" x14ac:dyDescent="0.3"/>
    <row r="989" ht="16.5" customHeight="1" x14ac:dyDescent="0.3"/>
    <row r="990" ht="16.5" customHeight="1" x14ac:dyDescent="0.3"/>
    <row r="991" ht="16.5" customHeight="1" x14ac:dyDescent="0.3"/>
    <row r="992" ht="16.5" customHeight="1" x14ac:dyDescent="0.3"/>
    <row r="993" ht="16.5" customHeight="1" x14ac:dyDescent="0.3"/>
    <row r="994" ht="16.5" customHeight="1" x14ac:dyDescent="0.3"/>
    <row r="995" ht="16.5" customHeight="1" x14ac:dyDescent="0.3"/>
    <row r="996" ht="16.5" customHeight="1" x14ac:dyDescent="0.3"/>
    <row r="997" ht="16.5" customHeight="1" x14ac:dyDescent="0.3"/>
    <row r="998" ht="16.5" customHeight="1" x14ac:dyDescent="0.3"/>
    <row r="999" ht="16.5" customHeight="1" x14ac:dyDescent="0.3"/>
    <row r="1000" ht="16.5" customHeight="1" x14ac:dyDescent="0.3"/>
    <row r="1001" ht="16.5" customHeight="1" x14ac:dyDescent="0.3"/>
    <row r="1002" ht="16.5" customHeight="1" x14ac:dyDescent="0.3"/>
    <row r="1003" ht="16.5" customHeight="1" x14ac:dyDescent="0.3"/>
    <row r="1004" ht="16.5" customHeight="1" x14ac:dyDescent="0.3"/>
    <row r="1005" ht="16.5" customHeight="1" x14ac:dyDescent="0.3"/>
    <row r="1006" ht="16.5" customHeight="1" x14ac:dyDescent="0.3"/>
    <row r="1007" ht="16.5" customHeight="1" x14ac:dyDescent="0.3"/>
    <row r="1008" ht="16.5" customHeight="1" x14ac:dyDescent="0.3"/>
    <row r="1009" ht="16.5" customHeight="1" x14ac:dyDescent="0.3"/>
    <row r="1010" ht="16.5" customHeight="1" x14ac:dyDescent="0.3"/>
    <row r="1011" ht="16.5" customHeight="1" x14ac:dyDescent="0.3"/>
    <row r="1012" ht="16.5" customHeight="1" x14ac:dyDescent="0.3"/>
    <row r="1013" ht="16.5" customHeight="1" x14ac:dyDescent="0.3"/>
    <row r="1014" ht="16.5" customHeight="1" x14ac:dyDescent="0.3"/>
    <row r="1015" ht="16.5" customHeight="1" x14ac:dyDescent="0.3"/>
    <row r="1016" ht="16.5" customHeight="1" x14ac:dyDescent="0.3"/>
    <row r="1017" ht="16.5" customHeight="1" x14ac:dyDescent="0.3"/>
    <row r="1018" ht="16.5" customHeight="1" x14ac:dyDescent="0.3"/>
    <row r="1019" ht="16.5" customHeight="1" x14ac:dyDescent="0.3"/>
    <row r="1020" ht="16.5" customHeight="1" x14ac:dyDescent="0.3"/>
    <row r="1021" ht="16.5" customHeight="1" x14ac:dyDescent="0.3"/>
    <row r="1022" ht="16.5" customHeight="1" x14ac:dyDescent="0.3"/>
    <row r="1023" ht="16.5" customHeight="1" x14ac:dyDescent="0.3"/>
    <row r="1024" ht="16.5" customHeight="1" x14ac:dyDescent="0.3"/>
    <row r="1025" ht="16.5" customHeight="1" x14ac:dyDescent="0.3"/>
    <row r="1026" ht="16.5" customHeight="1" x14ac:dyDescent="0.3"/>
    <row r="1027" ht="16.5" customHeight="1" x14ac:dyDescent="0.3"/>
    <row r="1028" ht="16.5" customHeight="1" x14ac:dyDescent="0.3"/>
    <row r="1029" ht="16.5" customHeight="1" x14ac:dyDescent="0.3"/>
    <row r="1030" ht="16.5" customHeight="1" x14ac:dyDescent="0.3"/>
    <row r="1031" ht="16.5" customHeight="1" x14ac:dyDescent="0.3"/>
    <row r="1032" ht="16.5" customHeight="1" x14ac:dyDescent="0.3"/>
    <row r="1033" ht="16.5" customHeight="1" x14ac:dyDescent="0.3"/>
    <row r="1034" ht="16.5" customHeight="1" x14ac:dyDescent="0.3"/>
    <row r="1035" ht="16.5" customHeight="1" x14ac:dyDescent="0.3"/>
    <row r="1036" ht="16.5" customHeight="1" x14ac:dyDescent="0.3"/>
    <row r="1037" ht="16.5" customHeight="1" x14ac:dyDescent="0.3"/>
    <row r="1038" ht="16.5" customHeight="1" x14ac:dyDescent="0.3"/>
    <row r="1039" ht="16.5" customHeight="1" x14ac:dyDescent="0.3"/>
    <row r="1040" ht="16.5" customHeight="1" x14ac:dyDescent="0.3"/>
    <row r="1041" ht="16.5" customHeight="1" x14ac:dyDescent="0.3"/>
    <row r="1042" ht="16.5" customHeight="1" x14ac:dyDescent="0.3"/>
    <row r="1043" ht="16.5" customHeight="1" x14ac:dyDescent="0.3"/>
    <row r="1044" ht="16.5" customHeight="1" x14ac:dyDescent="0.3"/>
    <row r="1045" ht="16.5" customHeight="1" x14ac:dyDescent="0.3"/>
    <row r="1046" ht="16.5" customHeight="1" x14ac:dyDescent="0.3"/>
    <row r="1047" ht="16.5" customHeight="1" x14ac:dyDescent="0.3"/>
    <row r="1048" ht="16.5" customHeight="1" x14ac:dyDescent="0.3"/>
    <row r="1049" ht="16.5" customHeight="1" x14ac:dyDescent="0.3"/>
    <row r="1050" ht="16.5" customHeight="1" x14ac:dyDescent="0.3"/>
    <row r="1051" ht="16.5" customHeight="1" x14ac:dyDescent="0.3"/>
    <row r="1052" ht="16.5" customHeight="1" x14ac:dyDescent="0.3"/>
    <row r="1053" ht="16.5" customHeight="1" x14ac:dyDescent="0.3"/>
    <row r="1054" ht="16.5" customHeight="1" x14ac:dyDescent="0.3"/>
    <row r="1055" ht="16.5" customHeight="1" x14ac:dyDescent="0.3"/>
    <row r="1056" ht="16.5" customHeight="1" x14ac:dyDescent="0.3"/>
    <row r="1057" ht="16.5" customHeight="1" x14ac:dyDescent="0.3"/>
    <row r="1058" ht="16.5" customHeight="1" x14ac:dyDescent="0.3"/>
    <row r="1059" ht="16.5" customHeight="1" x14ac:dyDescent="0.3"/>
    <row r="1060" ht="16.5" customHeight="1" x14ac:dyDescent="0.3"/>
    <row r="1061" ht="16.5" customHeight="1" x14ac:dyDescent="0.3"/>
    <row r="1062" ht="16.5" customHeight="1" x14ac:dyDescent="0.3"/>
    <row r="1063" ht="16.5" customHeight="1" x14ac:dyDescent="0.3"/>
    <row r="1064" ht="16.5" customHeight="1" x14ac:dyDescent="0.3"/>
    <row r="1065" ht="16.5" customHeight="1" x14ac:dyDescent="0.3"/>
    <row r="1066" ht="16.5" customHeight="1" x14ac:dyDescent="0.3"/>
    <row r="1067" ht="16.5" customHeight="1" x14ac:dyDescent="0.3"/>
    <row r="1068" ht="16.5" customHeight="1" x14ac:dyDescent="0.3"/>
    <row r="1069" ht="16.5" customHeight="1" x14ac:dyDescent="0.3"/>
    <row r="1070" ht="16.5" customHeight="1" x14ac:dyDescent="0.3"/>
    <row r="1071" ht="16.5" customHeight="1" x14ac:dyDescent="0.3"/>
    <row r="1072" ht="16.5" customHeight="1" x14ac:dyDescent="0.3"/>
    <row r="1073" ht="16.5" customHeight="1" x14ac:dyDescent="0.3"/>
    <row r="1074" ht="16.5" customHeight="1" x14ac:dyDescent="0.3"/>
    <row r="1075" ht="16.5" customHeight="1" x14ac:dyDescent="0.3"/>
    <row r="1076" ht="16.5" customHeight="1" x14ac:dyDescent="0.3"/>
    <row r="1077" ht="16.5" customHeight="1" x14ac:dyDescent="0.3"/>
    <row r="1078" ht="16.5" customHeight="1" x14ac:dyDescent="0.3"/>
    <row r="1079" ht="16.5" customHeight="1" x14ac:dyDescent="0.3"/>
    <row r="1080" ht="16.5" customHeight="1" x14ac:dyDescent="0.3"/>
    <row r="1081" ht="16.5" customHeight="1" x14ac:dyDescent="0.3"/>
    <row r="1082" ht="16.5" customHeight="1" x14ac:dyDescent="0.3"/>
    <row r="1083" ht="16.5" customHeight="1" x14ac:dyDescent="0.3"/>
    <row r="1084" ht="16.5" customHeight="1" x14ac:dyDescent="0.3"/>
    <row r="1085" ht="16.5" customHeight="1" x14ac:dyDescent="0.3"/>
    <row r="1086" ht="16.5" customHeight="1" x14ac:dyDescent="0.3"/>
    <row r="1087" ht="16.5" customHeight="1" x14ac:dyDescent="0.3"/>
    <row r="1088" ht="16.5" customHeight="1" x14ac:dyDescent="0.3"/>
    <row r="1089" ht="16.5" customHeight="1" x14ac:dyDescent="0.3"/>
    <row r="1090" ht="16.5" customHeight="1" x14ac:dyDescent="0.3"/>
    <row r="1091" ht="16.5" customHeight="1" x14ac:dyDescent="0.3"/>
    <row r="1092" ht="16.5" customHeight="1" x14ac:dyDescent="0.3"/>
    <row r="1093" ht="16.5" customHeight="1" x14ac:dyDescent="0.3"/>
    <row r="1094" ht="16.5" customHeight="1" x14ac:dyDescent="0.3"/>
    <row r="1095" ht="16.5" customHeight="1" x14ac:dyDescent="0.3"/>
    <row r="1096" ht="16.5" customHeight="1" x14ac:dyDescent="0.3"/>
    <row r="1097" ht="16.5" customHeight="1" x14ac:dyDescent="0.3"/>
    <row r="1098" ht="16.5" customHeight="1" x14ac:dyDescent="0.3"/>
    <row r="1099" ht="16.5" customHeight="1" x14ac:dyDescent="0.3"/>
    <row r="1100" ht="16.5" customHeight="1" x14ac:dyDescent="0.3"/>
    <row r="1101" ht="16.5" customHeight="1" x14ac:dyDescent="0.3"/>
    <row r="1102" ht="16.5" customHeight="1" x14ac:dyDescent="0.3"/>
    <row r="1103" ht="16.5" customHeight="1" x14ac:dyDescent="0.3"/>
    <row r="1104" ht="16.5" customHeight="1" x14ac:dyDescent="0.3"/>
    <row r="1105" ht="16.5" customHeight="1" x14ac:dyDescent="0.3"/>
    <row r="1106" ht="16.5" customHeight="1" x14ac:dyDescent="0.3"/>
    <row r="1107" ht="16.5" customHeight="1" x14ac:dyDescent="0.3"/>
    <row r="1108" ht="16.5" customHeight="1" x14ac:dyDescent="0.3"/>
    <row r="1109" ht="16.5" customHeight="1" x14ac:dyDescent="0.3"/>
    <row r="1110" ht="16.5" customHeight="1" x14ac:dyDescent="0.3"/>
    <row r="1111" ht="16.5" customHeight="1" x14ac:dyDescent="0.3"/>
    <row r="1112" ht="16.5" customHeight="1" x14ac:dyDescent="0.3"/>
    <row r="1113" ht="16.5" customHeight="1" x14ac:dyDescent="0.3"/>
    <row r="1114" ht="16.5" customHeight="1" x14ac:dyDescent="0.3"/>
    <row r="1115" ht="16.5" customHeight="1" x14ac:dyDescent="0.3"/>
    <row r="1116" ht="16.5" customHeight="1" x14ac:dyDescent="0.3"/>
    <row r="1117" ht="16.5" customHeight="1" x14ac:dyDescent="0.3"/>
    <row r="1118" ht="16.5" customHeight="1" x14ac:dyDescent="0.3"/>
    <row r="1119" ht="16.5" customHeight="1" x14ac:dyDescent="0.3"/>
    <row r="1120" ht="16.5" customHeight="1" x14ac:dyDescent="0.3"/>
    <row r="1121" ht="16.5" customHeight="1" x14ac:dyDescent="0.3"/>
    <row r="1122" ht="16.5" customHeight="1" x14ac:dyDescent="0.3"/>
    <row r="1123" ht="16.5" customHeight="1" x14ac:dyDescent="0.3"/>
    <row r="1124" ht="16.5" customHeight="1" x14ac:dyDescent="0.3"/>
    <row r="1125" ht="16.5" customHeight="1" x14ac:dyDescent="0.3"/>
    <row r="1126" ht="16.5" customHeight="1" x14ac:dyDescent="0.3"/>
    <row r="1127" ht="16.5" customHeight="1" x14ac:dyDescent="0.3"/>
    <row r="1128" ht="16.5" customHeight="1" x14ac:dyDescent="0.3"/>
    <row r="1129" ht="16.5" customHeight="1" x14ac:dyDescent="0.3"/>
    <row r="1130" ht="16.5" customHeight="1" x14ac:dyDescent="0.3"/>
    <row r="1131" ht="16.5" customHeight="1" x14ac:dyDescent="0.3"/>
    <row r="1132" ht="16.5" customHeight="1" x14ac:dyDescent="0.3"/>
    <row r="1133" ht="16.5" customHeight="1" x14ac:dyDescent="0.3"/>
    <row r="1134" ht="16.5" customHeight="1" x14ac:dyDescent="0.3"/>
    <row r="1135" ht="16.5" customHeight="1" x14ac:dyDescent="0.3"/>
    <row r="1136" ht="16.5" customHeight="1" x14ac:dyDescent="0.3"/>
    <row r="1137" ht="16.5" customHeight="1" x14ac:dyDescent="0.3"/>
    <row r="1138" ht="16.5" customHeight="1" x14ac:dyDescent="0.3"/>
    <row r="1139" ht="16.5" customHeight="1" x14ac:dyDescent="0.3"/>
    <row r="1140" ht="16.5" customHeight="1" x14ac:dyDescent="0.3"/>
    <row r="1141" ht="16.5" customHeight="1" x14ac:dyDescent="0.3"/>
    <row r="1142" ht="16.5" customHeight="1" x14ac:dyDescent="0.3"/>
    <row r="1143" ht="16.5" customHeight="1" x14ac:dyDescent="0.3"/>
    <row r="1144" ht="16.5" customHeight="1" x14ac:dyDescent="0.3"/>
    <row r="1145" ht="16.5" customHeight="1" x14ac:dyDescent="0.3"/>
    <row r="1146" ht="16.5" customHeight="1" x14ac:dyDescent="0.3"/>
    <row r="1147" ht="16.5" customHeight="1" x14ac:dyDescent="0.3"/>
    <row r="1148" ht="16.5" customHeight="1" x14ac:dyDescent="0.3"/>
    <row r="1149" ht="16.5" customHeight="1" x14ac:dyDescent="0.3"/>
    <row r="1150" ht="16.5" customHeight="1" x14ac:dyDescent="0.3"/>
    <row r="1151" ht="16.5" customHeight="1" x14ac:dyDescent="0.3"/>
    <row r="1152" ht="16.5" customHeight="1" x14ac:dyDescent="0.3"/>
    <row r="1153" ht="16.5" customHeight="1" x14ac:dyDescent="0.3"/>
    <row r="1154" ht="16.5" customHeight="1" x14ac:dyDescent="0.3"/>
    <row r="1155" ht="16.5" customHeight="1" x14ac:dyDescent="0.3"/>
    <row r="1156" ht="16.5" customHeight="1" x14ac:dyDescent="0.3"/>
    <row r="1157" ht="16.5" customHeight="1" x14ac:dyDescent="0.3"/>
    <row r="1158" ht="16.5" customHeight="1" x14ac:dyDescent="0.3"/>
    <row r="1159" ht="16.5" customHeight="1" x14ac:dyDescent="0.3"/>
    <row r="1160" ht="16.5" customHeight="1" x14ac:dyDescent="0.3"/>
    <row r="1161" ht="16.5" customHeight="1" x14ac:dyDescent="0.3"/>
    <row r="1162" ht="16.5" customHeight="1" x14ac:dyDescent="0.3"/>
    <row r="1163" ht="16.5" customHeight="1" x14ac:dyDescent="0.3"/>
    <row r="1164" ht="16.5" customHeight="1" x14ac:dyDescent="0.3"/>
    <row r="1165" ht="16.5" customHeight="1" x14ac:dyDescent="0.3"/>
    <row r="1166" ht="16.5" customHeight="1" x14ac:dyDescent="0.3"/>
    <row r="1167" ht="16.5" customHeight="1" x14ac:dyDescent="0.3"/>
    <row r="1168" ht="16.5" customHeight="1" x14ac:dyDescent="0.3"/>
    <row r="1169" ht="16.5" customHeight="1" x14ac:dyDescent="0.3"/>
    <row r="1170" ht="16.5" customHeight="1" x14ac:dyDescent="0.3"/>
    <row r="1171" ht="16.5" customHeight="1" x14ac:dyDescent="0.3"/>
    <row r="1172" ht="16.5" customHeight="1" x14ac:dyDescent="0.3"/>
    <row r="1173" ht="16.5" customHeight="1" x14ac:dyDescent="0.3"/>
    <row r="1174" ht="16.5" customHeight="1" x14ac:dyDescent="0.3"/>
    <row r="1175" ht="16.5" customHeight="1" x14ac:dyDescent="0.3"/>
    <row r="1176" ht="16.5" customHeight="1" x14ac:dyDescent="0.3"/>
    <row r="1177" ht="16.5" customHeight="1" x14ac:dyDescent="0.3"/>
    <row r="1178" ht="16.5" customHeight="1" x14ac:dyDescent="0.3"/>
    <row r="1179" ht="16.5" customHeight="1" x14ac:dyDescent="0.3"/>
    <row r="1180" ht="16.5" customHeight="1" x14ac:dyDescent="0.3"/>
    <row r="1181" ht="16.5" customHeight="1" x14ac:dyDescent="0.3"/>
    <row r="1182" ht="16.5" customHeight="1" x14ac:dyDescent="0.3"/>
    <row r="1183" ht="16.5" customHeight="1" x14ac:dyDescent="0.3"/>
    <row r="1184" ht="16.5" customHeight="1" x14ac:dyDescent="0.3"/>
    <row r="1185" ht="16.5" customHeight="1" x14ac:dyDescent="0.3"/>
    <row r="1186" ht="16.5" customHeight="1" x14ac:dyDescent="0.3"/>
    <row r="1187" ht="16.5" customHeight="1" x14ac:dyDescent="0.3"/>
    <row r="1188" ht="16.5" customHeight="1" x14ac:dyDescent="0.3"/>
    <row r="1189" ht="16.5" customHeight="1" x14ac:dyDescent="0.3"/>
    <row r="1190" ht="16.5" customHeight="1" x14ac:dyDescent="0.3"/>
    <row r="1191" ht="16.5" customHeight="1" x14ac:dyDescent="0.3"/>
    <row r="1192" ht="16.5" customHeight="1" x14ac:dyDescent="0.3"/>
    <row r="1193" ht="16.5" customHeight="1" x14ac:dyDescent="0.3"/>
    <row r="1194" ht="16.5" customHeight="1" x14ac:dyDescent="0.3"/>
    <row r="1195" ht="16.5" customHeight="1" x14ac:dyDescent="0.3"/>
    <row r="1196" ht="16.5" customHeight="1" x14ac:dyDescent="0.3"/>
    <row r="1197" ht="16.5" customHeight="1" x14ac:dyDescent="0.3"/>
    <row r="1198" ht="16.5" customHeight="1" x14ac:dyDescent="0.3"/>
    <row r="1199" ht="16.5" customHeight="1" x14ac:dyDescent="0.3"/>
    <row r="1200" ht="16.5" customHeight="1" x14ac:dyDescent="0.3"/>
    <row r="1201" ht="16.5" customHeight="1" x14ac:dyDescent="0.3"/>
    <row r="1202" ht="16.5" customHeight="1" x14ac:dyDescent="0.3"/>
    <row r="1203" ht="16.5" customHeight="1" x14ac:dyDescent="0.3"/>
    <row r="1204" ht="16.5" customHeight="1" x14ac:dyDescent="0.3"/>
    <row r="1205" ht="16.5" customHeight="1" x14ac:dyDescent="0.3"/>
    <row r="1206" ht="16.5" customHeight="1" x14ac:dyDescent="0.3"/>
    <row r="1207" ht="16.5" customHeight="1" x14ac:dyDescent="0.3"/>
    <row r="1208" ht="16.5" customHeight="1" x14ac:dyDescent="0.3"/>
    <row r="1209" ht="16.5" customHeight="1" x14ac:dyDescent="0.3"/>
    <row r="1210" ht="16.5" customHeight="1" x14ac:dyDescent="0.3"/>
    <row r="1211" ht="16.5" customHeight="1" x14ac:dyDescent="0.3"/>
    <row r="1212" ht="16.5" customHeight="1" x14ac:dyDescent="0.3"/>
    <row r="1213" ht="16.5" customHeight="1" x14ac:dyDescent="0.3"/>
    <row r="1214" ht="16.5" customHeight="1" x14ac:dyDescent="0.3"/>
    <row r="1215" ht="16.5" customHeight="1" x14ac:dyDescent="0.3"/>
    <row r="1216" ht="16.5" customHeight="1" x14ac:dyDescent="0.3"/>
    <row r="1217" ht="16.5" customHeight="1" x14ac:dyDescent="0.3"/>
    <row r="1218" ht="16.5" customHeight="1" x14ac:dyDescent="0.3"/>
    <row r="1219" ht="16.5" customHeight="1" x14ac:dyDescent="0.3"/>
    <row r="1220" ht="16.5" customHeight="1" x14ac:dyDescent="0.3"/>
    <row r="1221" ht="16.5" customHeight="1" x14ac:dyDescent="0.3"/>
    <row r="1222" ht="16.5" customHeight="1" x14ac:dyDescent="0.3"/>
    <row r="1223" ht="16.5" customHeight="1" x14ac:dyDescent="0.3"/>
    <row r="1224" ht="16.5" customHeight="1" x14ac:dyDescent="0.3"/>
    <row r="1225" ht="16.5" customHeight="1" x14ac:dyDescent="0.3"/>
    <row r="1226" ht="16.5" customHeight="1" x14ac:dyDescent="0.3"/>
    <row r="1227" ht="16.5" customHeight="1" x14ac:dyDescent="0.3"/>
    <row r="1228" ht="16.5" customHeight="1" x14ac:dyDescent="0.3"/>
    <row r="1229" ht="16.5" customHeight="1" x14ac:dyDescent="0.3"/>
    <row r="1230" ht="16.5" customHeight="1" x14ac:dyDescent="0.3"/>
    <row r="1231" ht="16.5" customHeight="1" x14ac:dyDescent="0.3"/>
    <row r="1232" ht="16.5" customHeight="1" x14ac:dyDescent="0.3"/>
    <row r="1233" ht="16.5" customHeight="1" x14ac:dyDescent="0.3"/>
    <row r="1234" ht="16.5" customHeight="1" x14ac:dyDescent="0.3"/>
    <row r="1235" ht="16.5" customHeight="1" x14ac:dyDescent="0.3"/>
    <row r="1236" ht="16.5" customHeight="1" x14ac:dyDescent="0.3"/>
    <row r="1237" ht="16.5" customHeight="1" x14ac:dyDescent="0.3"/>
    <row r="1238" ht="16.5" customHeight="1" x14ac:dyDescent="0.3"/>
    <row r="1239" ht="16.5" customHeight="1" x14ac:dyDescent="0.3"/>
    <row r="1240" ht="16.5" customHeight="1" x14ac:dyDescent="0.3"/>
    <row r="1241" ht="16.5" customHeight="1" x14ac:dyDescent="0.3"/>
    <row r="1242" ht="16.5" customHeight="1" x14ac:dyDescent="0.3"/>
    <row r="1243" ht="16.5" customHeight="1" x14ac:dyDescent="0.3"/>
    <row r="1244" ht="16.5" customHeight="1" x14ac:dyDescent="0.3"/>
    <row r="1245" ht="16.5" customHeight="1" x14ac:dyDescent="0.3"/>
    <row r="1246" ht="16.5" customHeight="1" x14ac:dyDescent="0.3"/>
    <row r="1247" ht="16.5" customHeight="1" x14ac:dyDescent="0.3"/>
    <row r="1248" ht="16.5" customHeight="1" x14ac:dyDescent="0.3"/>
    <row r="1249" ht="16.5" customHeight="1" x14ac:dyDescent="0.3"/>
    <row r="1250" ht="16.5" customHeight="1" x14ac:dyDescent="0.3"/>
    <row r="1251" ht="16.5" customHeight="1" x14ac:dyDescent="0.3"/>
    <row r="1252" ht="16.5" customHeight="1" x14ac:dyDescent="0.3"/>
    <row r="1253" ht="16.5" customHeight="1" x14ac:dyDescent="0.3"/>
    <row r="1254" ht="16.5" customHeight="1" x14ac:dyDescent="0.3"/>
    <row r="1255" ht="16.5" customHeight="1" x14ac:dyDescent="0.3"/>
    <row r="1256" ht="16.5" customHeight="1" x14ac:dyDescent="0.3"/>
    <row r="1257" ht="16.5" customHeight="1" x14ac:dyDescent="0.3"/>
    <row r="1258" ht="16.5" customHeight="1" x14ac:dyDescent="0.3"/>
    <row r="1259" ht="16.5" customHeight="1" x14ac:dyDescent="0.3"/>
    <row r="1260" ht="16.5" customHeight="1" x14ac:dyDescent="0.3"/>
    <row r="1261" ht="16.5" customHeight="1" x14ac:dyDescent="0.3"/>
    <row r="1262" ht="16.5" customHeight="1" x14ac:dyDescent="0.3"/>
    <row r="1263" ht="16.5" customHeight="1" x14ac:dyDescent="0.3"/>
    <row r="1264" ht="16.5" customHeight="1" x14ac:dyDescent="0.3"/>
    <row r="1265" ht="16.5" customHeight="1" x14ac:dyDescent="0.3"/>
    <row r="1266" ht="16.5" customHeight="1" x14ac:dyDescent="0.3"/>
    <row r="1267" ht="16.5" customHeight="1" x14ac:dyDescent="0.3"/>
    <row r="1268" ht="16.5" customHeight="1" x14ac:dyDescent="0.3"/>
    <row r="1269" ht="16.5" customHeight="1" x14ac:dyDescent="0.3"/>
    <row r="1270" ht="16.5" customHeight="1" x14ac:dyDescent="0.3"/>
    <row r="1271" ht="16.5" customHeight="1" x14ac:dyDescent="0.3"/>
    <row r="1272" ht="16.5" customHeight="1" x14ac:dyDescent="0.3"/>
    <row r="1273" ht="16.5" customHeight="1" x14ac:dyDescent="0.3"/>
    <row r="1274" ht="16.5" customHeight="1" x14ac:dyDescent="0.3"/>
    <row r="1275" ht="16.5" customHeight="1" x14ac:dyDescent="0.3"/>
    <row r="1276" ht="16.5" customHeight="1" x14ac:dyDescent="0.3"/>
    <row r="1277" ht="16.5" customHeight="1" x14ac:dyDescent="0.3"/>
    <row r="1278" ht="16.5" customHeight="1" x14ac:dyDescent="0.3"/>
    <row r="1279" ht="16.5" customHeight="1" x14ac:dyDescent="0.3"/>
    <row r="1280" ht="16.5" customHeight="1" x14ac:dyDescent="0.3"/>
    <row r="1281" ht="16.5" customHeight="1" x14ac:dyDescent="0.3"/>
    <row r="1282" ht="16.5" customHeight="1" x14ac:dyDescent="0.3"/>
    <row r="1283" ht="16.5" customHeight="1" x14ac:dyDescent="0.3"/>
    <row r="1284" ht="16.5" customHeight="1" x14ac:dyDescent="0.3"/>
    <row r="1285" ht="16.5" customHeight="1" x14ac:dyDescent="0.3"/>
    <row r="1286" ht="16.5" customHeight="1" x14ac:dyDescent="0.3"/>
    <row r="1287" ht="16.5" customHeight="1" x14ac:dyDescent="0.3"/>
    <row r="1288" ht="16.5" customHeight="1" x14ac:dyDescent="0.3"/>
    <row r="1289" ht="16.5" customHeight="1" x14ac:dyDescent="0.3"/>
    <row r="1290" ht="16.5" customHeight="1" x14ac:dyDescent="0.3"/>
    <row r="1291" ht="16.5" customHeight="1" x14ac:dyDescent="0.3"/>
    <row r="1292" ht="16.5" customHeight="1" x14ac:dyDescent="0.3"/>
    <row r="1293" ht="16.5" customHeight="1" x14ac:dyDescent="0.3"/>
    <row r="1294" ht="16.5" customHeight="1" x14ac:dyDescent="0.3"/>
    <row r="1295" ht="16.5" customHeight="1" x14ac:dyDescent="0.3"/>
    <row r="1296" ht="16.5" customHeight="1" x14ac:dyDescent="0.3"/>
    <row r="1297" ht="16.5" customHeight="1" x14ac:dyDescent="0.3"/>
    <row r="1298" ht="16.5" customHeight="1" x14ac:dyDescent="0.3"/>
    <row r="1299" ht="16.5" customHeight="1" x14ac:dyDescent="0.3"/>
    <row r="1300" ht="16.5" customHeight="1" x14ac:dyDescent="0.3"/>
    <row r="1301" ht="16.5" customHeight="1" x14ac:dyDescent="0.3"/>
    <row r="1302" ht="16.5" customHeight="1" x14ac:dyDescent="0.3"/>
    <row r="1303" ht="16.5" customHeight="1" x14ac:dyDescent="0.3"/>
    <row r="1304" ht="16.5" customHeight="1" x14ac:dyDescent="0.3"/>
    <row r="1305" ht="16.5" customHeight="1" x14ac:dyDescent="0.3"/>
    <row r="1306" ht="16.5" customHeight="1" x14ac:dyDescent="0.3"/>
    <row r="1307" ht="16.5" customHeight="1" x14ac:dyDescent="0.3"/>
    <row r="1308" ht="16.5" customHeight="1" x14ac:dyDescent="0.3"/>
    <row r="1309" ht="16.5" customHeight="1" x14ac:dyDescent="0.3"/>
    <row r="1310" ht="16.5" customHeight="1" x14ac:dyDescent="0.3"/>
    <row r="1311" ht="16.5" customHeight="1" x14ac:dyDescent="0.3"/>
    <row r="1312" ht="16.5" customHeight="1" x14ac:dyDescent="0.3"/>
    <row r="1313" ht="16.5" customHeight="1" x14ac:dyDescent="0.3"/>
    <row r="1314" ht="16.5" customHeight="1" x14ac:dyDescent="0.3"/>
    <row r="1315" ht="16.5" customHeight="1" x14ac:dyDescent="0.3"/>
    <row r="1316" ht="16.5" customHeight="1" x14ac:dyDescent="0.3"/>
    <row r="1317" ht="16.5" customHeight="1" x14ac:dyDescent="0.3"/>
    <row r="1318" ht="16.5" customHeight="1" x14ac:dyDescent="0.3"/>
    <row r="1319" ht="16.5" customHeight="1" x14ac:dyDescent="0.3"/>
    <row r="1320" ht="16.5" customHeight="1" x14ac:dyDescent="0.3"/>
    <row r="1321" ht="16.5" customHeight="1" x14ac:dyDescent="0.3"/>
    <row r="1322" ht="16.5" customHeight="1" x14ac:dyDescent="0.3"/>
    <row r="1323" ht="16.5" customHeight="1" x14ac:dyDescent="0.3"/>
    <row r="1324" ht="16.5" customHeight="1" x14ac:dyDescent="0.3"/>
    <row r="1325" ht="16.5" customHeight="1" x14ac:dyDescent="0.3"/>
    <row r="1326" ht="16.5" customHeight="1" x14ac:dyDescent="0.3"/>
    <row r="1327" ht="16.5" customHeight="1" x14ac:dyDescent="0.3"/>
    <row r="1328" ht="16.5" customHeight="1" x14ac:dyDescent="0.3"/>
    <row r="1329" ht="16.5" customHeight="1" x14ac:dyDescent="0.3"/>
    <row r="1330" ht="16.5" customHeight="1" x14ac:dyDescent="0.3"/>
    <row r="1331" ht="16.5" customHeight="1" x14ac:dyDescent="0.3"/>
    <row r="1332" ht="16.5" customHeight="1" x14ac:dyDescent="0.3"/>
    <row r="1333" ht="16.5" customHeight="1" x14ac:dyDescent="0.3"/>
    <row r="1334" ht="16.5" customHeight="1" x14ac:dyDescent="0.3"/>
    <row r="1335" ht="16.5" customHeight="1" x14ac:dyDescent="0.3"/>
    <row r="1336" ht="16.5" customHeight="1" x14ac:dyDescent="0.3"/>
    <row r="1337" ht="16.5" customHeight="1" x14ac:dyDescent="0.3"/>
    <row r="1338" ht="16.5" customHeight="1" x14ac:dyDescent="0.3"/>
    <row r="1339" ht="16.5" customHeight="1" x14ac:dyDescent="0.3"/>
    <row r="1340" ht="16.5" customHeight="1" x14ac:dyDescent="0.3"/>
    <row r="1341" ht="16.5" customHeight="1" x14ac:dyDescent="0.3"/>
    <row r="1342" ht="16.5" customHeight="1" x14ac:dyDescent="0.3"/>
    <row r="1343" ht="16.5" customHeight="1" x14ac:dyDescent="0.3"/>
    <row r="1344" ht="16.5" customHeight="1" x14ac:dyDescent="0.3"/>
    <row r="1345" ht="16.5" customHeight="1" x14ac:dyDescent="0.3"/>
    <row r="1346" ht="16.5" customHeight="1" x14ac:dyDescent="0.3"/>
    <row r="1347" ht="16.5" customHeight="1" x14ac:dyDescent="0.3"/>
    <row r="1348" ht="16.5" customHeight="1" x14ac:dyDescent="0.3"/>
    <row r="1349" ht="16.5" customHeight="1" x14ac:dyDescent="0.3"/>
    <row r="1350" ht="16.5" customHeight="1" x14ac:dyDescent="0.3"/>
    <row r="1351" ht="16.5" customHeight="1" x14ac:dyDescent="0.3"/>
    <row r="1352" ht="16.5" customHeight="1" x14ac:dyDescent="0.3"/>
    <row r="1353" ht="16.5" customHeight="1" x14ac:dyDescent="0.3"/>
    <row r="1354" ht="16.5" customHeight="1" x14ac:dyDescent="0.3"/>
    <row r="1355" ht="16.5" customHeight="1" x14ac:dyDescent="0.3"/>
    <row r="1356" ht="16.5" customHeight="1" x14ac:dyDescent="0.3"/>
    <row r="1357" ht="16.5" customHeight="1" x14ac:dyDescent="0.3"/>
    <row r="1358" ht="16.5" customHeight="1" x14ac:dyDescent="0.3"/>
    <row r="1359" ht="16.5" customHeight="1" x14ac:dyDescent="0.3"/>
    <row r="1360" ht="16.5" customHeight="1" x14ac:dyDescent="0.3"/>
    <row r="1361" ht="16.5" customHeight="1" x14ac:dyDescent="0.3"/>
    <row r="1362" ht="16.5" customHeight="1" x14ac:dyDescent="0.3"/>
    <row r="1363" ht="16.5" customHeight="1" x14ac:dyDescent="0.3"/>
    <row r="1364" ht="16.5" customHeight="1" x14ac:dyDescent="0.3"/>
    <row r="1365" ht="16.5" customHeight="1" x14ac:dyDescent="0.3"/>
    <row r="1366" ht="16.5" customHeight="1" x14ac:dyDescent="0.3"/>
    <row r="1367" ht="16.5" customHeight="1" x14ac:dyDescent="0.3"/>
    <row r="1368" ht="16.5" customHeight="1" x14ac:dyDescent="0.3"/>
    <row r="1369" ht="16.5" customHeight="1" x14ac:dyDescent="0.3"/>
    <row r="1370" ht="16.5" customHeight="1" x14ac:dyDescent="0.3"/>
    <row r="1371" ht="16.5" customHeight="1" x14ac:dyDescent="0.3"/>
    <row r="1372" ht="16.5" customHeight="1" x14ac:dyDescent="0.3"/>
    <row r="1373" ht="16.5" customHeight="1" x14ac:dyDescent="0.3"/>
    <row r="1374" ht="16.5" customHeight="1" x14ac:dyDescent="0.3"/>
    <row r="1375" ht="16.5" customHeight="1" x14ac:dyDescent="0.3"/>
    <row r="1376" ht="16.5" customHeight="1" x14ac:dyDescent="0.3"/>
    <row r="1377" ht="16.5" customHeight="1" x14ac:dyDescent="0.3"/>
    <row r="1378" ht="16.5" customHeight="1" x14ac:dyDescent="0.3"/>
    <row r="1379" ht="16.5" customHeight="1" x14ac:dyDescent="0.3"/>
    <row r="1380" ht="16.5" customHeight="1" x14ac:dyDescent="0.3"/>
    <row r="1381" ht="16.5" customHeight="1" x14ac:dyDescent="0.3"/>
    <row r="1382" ht="16.5" customHeight="1" x14ac:dyDescent="0.3"/>
    <row r="1383" ht="16.5" customHeight="1" x14ac:dyDescent="0.3"/>
    <row r="1384" ht="16.5" customHeight="1" x14ac:dyDescent="0.3"/>
    <row r="1385" ht="16.5" customHeight="1" x14ac:dyDescent="0.3"/>
    <row r="1386" ht="16.5" customHeight="1" x14ac:dyDescent="0.3"/>
    <row r="1387" ht="16.5" customHeight="1" x14ac:dyDescent="0.3"/>
    <row r="1388" ht="16.5" customHeight="1" x14ac:dyDescent="0.3"/>
    <row r="1389" ht="16.5" customHeight="1" x14ac:dyDescent="0.3"/>
    <row r="1390" ht="16.5" customHeight="1" x14ac:dyDescent="0.3"/>
    <row r="1391" ht="16.5" customHeight="1" x14ac:dyDescent="0.3"/>
    <row r="1392" ht="16.5" customHeight="1" x14ac:dyDescent="0.3"/>
    <row r="1393" ht="16.5" customHeight="1" x14ac:dyDescent="0.3"/>
    <row r="1394" ht="16.5" customHeight="1" x14ac:dyDescent="0.3"/>
    <row r="1395" ht="16.5" customHeight="1" x14ac:dyDescent="0.3"/>
    <row r="1396" ht="16.5" customHeight="1" x14ac:dyDescent="0.3"/>
    <row r="1397" ht="16.5" customHeight="1" x14ac:dyDescent="0.3"/>
    <row r="1398" ht="16.5" customHeight="1" x14ac:dyDescent="0.3"/>
    <row r="1399" ht="16.5" customHeight="1" x14ac:dyDescent="0.3"/>
    <row r="1400" ht="16.5" customHeight="1" x14ac:dyDescent="0.3"/>
    <row r="1401" ht="16.5" customHeight="1" x14ac:dyDescent="0.3"/>
    <row r="1402" ht="16.5" customHeight="1" x14ac:dyDescent="0.3"/>
    <row r="1403" ht="16.5" customHeight="1" x14ac:dyDescent="0.3"/>
    <row r="1404" ht="16.5" customHeight="1" x14ac:dyDescent="0.3"/>
    <row r="1405" ht="16.5" customHeight="1" x14ac:dyDescent="0.3"/>
    <row r="1406" ht="16.5" customHeight="1" x14ac:dyDescent="0.3"/>
    <row r="1407" ht="16.5" customHeight="1" x14ac:dyDescent="0.3"/>
    <row r="1408" ht="16.5" customHeight="1" x14ac:dyDescent="0.3"/>
    <row r="1409" ht="16.5" customHeight="1" x14ac:dyDescent="0.3"/>
    <row r="1410" ht="16.5" customHeight="1" x14ac:dyDescent="0.3"/>
    <row r="1411" ht="16.5" customHeight="1" x14ac:dyDescent="0.3"/>
    <row r="1412" ht="16.5" customHeight="1" x14ac:dyDescent="0.3"/>
    <row r="1413" ht="16.5" customHeight="1" x14ac:dyDescent="0.3"/>
    <row r="1414" ht="16.5" customHeight="1" x14ac:dyDescent="0.3"/>
    <row r="1415" ht="16.5" customHeight="1" x14ac:dyDescent="0.3"/>
    <row r="1416" ht="16.5" customHeight="1" x14ac:dyDescent="0.3"/>
    <row r="1417" ht="16.5" customHeight="1" x14ac:dyDescent="0.3"/>
    <row r="1418" ht="16.5" customHeight="1" x14ac:dyDescent="0.3"/>
    <row r="1419" ht="16.5" customHeight="1" x14ac:dyDescent="0.3"/>
    <row r="1420" ht="16.5" customHeight="1" x14ac:dyDescent="0.3"/>
    <row r="1421" ht="16.5" customHeight="1" x14ac:dyDescent="0.3"/>
    <row r="1422" ht="16.5" customHeight="1" x14ac:dyDescent="0.3"/>
    <row r="1423" ht="16.5" customHeight="1" x14ac:dyDescent="0.3"/>
    <row r="1424" ht="16.5" customHeight="1" x14ac:dyDescent="0.3"/>
    <row r="1425" ht="16.5" customHeight="1" x14ac:dyDescent="0.3"/>
    <row r="1426" ht="16.5" customHeight="1" x14ac:dyDescent="0.3"/>
    <row r="1427" ht="16.5" customHeight="1" x14ac:dyDescent="0.3"/>
    <row r="1428" ht="16.5" customHeight="1" x14ac:dyDescent="0.3"/>
    <row r="1429" ht="16.5" customHeight="1" x14ac:dyDescent="0.3"/>
    <row r="1430" ht="16.5" customHeight="1" x14ac:dyDescent="0.3"/>
    <row r="1431" ht="16.5" customHeight="1" x14ac:dyDescent="0.3"/>
    <row r="1432" ht="16.5" customHeight="1" x14ac:dyDescent="0.3"/>
    <row r="1433" ht="16.5" customHeight="1" x14ac:dyDescent="0.3"/>
    <row r="1434" ht="16.5" customHeight="1" x14ac:dyDescent="0.3"/>
    <row r="1435" ht="16.5" customHeight="1" x14ac:dyDescent="0.3"/>
    <row r="1436" ht="16.5" customHeight="1" x14ac:dyDescent="0.3"/>
    <row r="1437" ht="16.5" customHeight="1" x14ac:dyDescent="0.3"/>
    <row r="1438" ht="16.5" customHeight="1" x14ac:dyDescent="0.3"/>
    <row r="1439" ht="16.5" customHeight="1" x14ac:dyDescent="0.3"/>
    <row r="1440" ht="16.5" customHeight="1" x14ac:dyDescent="0.3"/>
    <row r="1441" ht="16.5" customHeight="1" x14ac:dyDescent="0.3"/>
    <row r="1442" ht="16.5" customHeight="1" x14ac:dyDescent="0.3"/>
    <row r="1443" ht="16.5" customHeight="1" x14ac:dyDescent="0.3"/>
    <row r="1444" ht="16.5" customHeight="1" x14ac:dyDescent="0.3"/>
    <row r="1445" ht="16.5" customHeight="1" x14ac:dyDescent="0.3"/>
    <row r="1446" ht="16.5" customHeight="1" x14ac:dyDescent="0.3"/>
    <row r="1447" ht="16.5" customHeight="1" x14ac:dyDescent="0.3"/>
    <row r="1448" ht="16.5" customHeight="1" x14ac:dyDescent="0.3"/>
    <row r="1449" ht="16.5" customHeight="1" x14ac:dyDescent="0.3"/>
    <row r="1450" ht="16.5" customHeight="1" x14ac:dyDescent="0.3"/>
    <row r="1451" ht="16.5" customHeight="1" x14ac:dyDescent="0.3"/>
    <row r="1452" ht="16.5" customHeight="1" x14ac:dyDescent="0.3"/>
    <row r="1453" ht="16.5" customHeight="1" x14ac:dyDescent="0.3"/>
    <row r="1454" ht="16.5" customHeight="1" x14ac:dyDescent="0.3"/>
    <row r="1455" ht="16.5" customHeight="1" x14ac:dyDescent="0.3"/>
    <row r="1456" ht="16.5" customHeight="1" x14ac:dyDescent="0.3"/>
    <row r="1457" ht="16.5" customHeight="1" x14ac:dyDescent="0.3"/>
    <row r="1458" ht="16.5" customHeight="1" x14ac:dyDescent="0.3"/>
    <row r="1459" ht="16.5" customHeight="1" x14ac:dyDescent="0.3"/>
    <row r="1460" ht="16.5" customHeight="1" x14ac:dyDescent="0.3"/>
    <row r="1461" ht="16.5" customHeight="1" x14ac:dyDescent="0.3"/>
    <row r="1462" ht="16.5" customHeight="1" x14ac:dyDescent="0.3"/>
    <row r="1463" ht="16.5" customHeight="1" x14ac:dyDescent="0.3"/>
    <row r="1464" ht="16.5" customHeight="1" x14ac:dyDescent="0.3"/>
    <row r="1465" ht="16.5" customHeight="1" x14ac:dyDescent="0.3"/>
    <row r="1466" ht="16.5" customHeight="1" x14ac:dyDescent="0.3"/>
    <row r="1467" ht="16.5" customHeight="1" x14ac:dyDescent="0.3"/>
    <row r="1468" ht="16.5" customHeight="1" x14ac:dyDescent="0.3"/>
    <row r="1469" ht="16.5" customHeight="1" x14ac:dyDescent="0.3"/>
    <row r="1470" ht="16.5" customHeight="1" x14ac:dyDescent="0.3"/>
    <row r="1471" ht="16.5" customHeight="1" x14ac:dyDescent="0.3"/>
    <row r="1472" ht="16.5" customHeight="1" x14ac:dyDescent="0.3"/>
    <row r="1473" ht="16.5" customHeight="1" x14ac:dyDescent="0.3"/>
    <row r="1474" ht="16.5" customHeight="1" x14ac:dyDescent="0.3"/>
    <row r="1475" ht="16.5" customHeight="1" x14ac:dyDescent="0.3"/>
    <row r="1476" ht="16.5" customHeight="1" x14ac:dyDescent="0.3"/>
    <row r="1477" ht="16.5" customHeight="1" x14ac:dyDescent="0.3"/>
    <row r="1478" ht="16.5" customHeight="1" x14ac:dyDescent="0.3"/>
    <row r="1479" ht="16.5" customHeight="1" x14ac:dyDescent="0.3"/>
    <row r="1480" ht="16.5" customHeight="1" x14ac:dyDescent="0.3"/>
    <row r="1481" ht="16.5" customHeight="1" x14ac:dyDescent="0.3"/>
    <row r="1482" ht="16.5" customHeight="1" x14ac:dyDescent="0.3"/>
    <row r="1483" ht="16.5" customHeight="1" x14ac:dyDescent="0.3"/>
    <row r="1484" ht="16.5" customHeight="1" x14ac:dyDescent="0.3"/>
    <row r="1485" ht="16.5" customHeight="1" x14ac:dyDescent="0.3"/>
    <row r="1486" ht="16.5" customHeight="1" x14ac:dyDescent="0.3"/>
    <row r="1487" ht="16.5" customHeight="1" x14ac:dyDescent="0.3"/>
    <row r="1488" ht="16.5" customHeight="1" x14ac:dyDescent="0.3"/>
    <row r="1489" ht="16.5" customHeight="1" x14ac:dyDescent="0.3"/>
    <row r="1490" ht="16.5" customHeight="1" x14ac:dyDescent="0.3"/>
    <row r="1491" ht="16.5" customHeight="1" x14ac:dyDescent="0.3"/>
    <row r="1492" ht="16.5" customHeight="1" x14ac:dyDescent="0.3"/>
    <row r="1493" ht="16.5" customHeight="1" x14ac:dyDescent="0.3"/>
    <row r="1494" ht="16.5" customHeight="1" x14ac:dyDescent="0.3"/>
    <row r="1495" ht="16.5" customHeight="1" x14ac:dyDescent="0.3"/>
    <row r="1496" ht="16.5" customHeight="1" x14ac:dyDescent="0.3"/>
    <row r="1497" ht="16.5" customHeight="1" x14ac:dyDescent="0.3"/>
    <row r="1498" ht="16.5" customHeight="1" x14ac:dyDescent="0.3"/>
    <row r="1499" ht="16.5" customHeight="1" x14ac:dyDescent="0.3"/>
    <row r="1500" ht="16.5" customHeight="1" x14ac:dyDescent="0.3"/>
    <row r="1501" ht="16.5" customHeight="1" x14ac:dyDescent="0.3"/>
    <row r="1502" ht="16.5" customHeight="1" x14ac:dyDescent="0.3"/>
    <row r="1503" ht="16.5" customHeight="1" x14ac:dyDescent="0.3"/>
    <row r="1504" ht="16.5" customHeight="1" x14ac:dyDescent="0.3"/>
    <row r="1505" ht="16.5" customHeight="1" x14ac:dyDescent="0.3"/>
    <row r="1506" ht="16.5" customHeight="1" x14ac:dyDescent="0.3"/>
    <row r="1507" ht="16.5" customHeight="1" x14ac:dyDescent="0.3"/>
    <row r="1508" ht="16.5" customHeight="1" x14ac:dyDescent="0.3"/>
    <row r="1509" ht="16.5" customHeight="1" x14ac:dyDescent="0.3"/>
    <row r="1510" ht="16.5" customHeight="1" x14ac:dyDescent="0.3"/>
    <row r="1511" ht="16.5" customHeight="1" x14ac:dyDescent="0.3"/>
    <row r="1512" ht="16.5" customHeight="1" x14ac:dyDescent="0.3"/>
    <row r="1513" ht="16.5" customHeight="1" x14ac:dyDescent="0.3"/>
    <row r="1514" ht="16.5" customHeight="1" x14ac:dyDescent="0.3"/>
    <row r="1515" ht="16.5" customHeight="1" x14ac:dyDescent="0.3"/>
    <row r="1516" ht="16.5" customHeight="1" x14ac:dyDescent="0.3"/>
    <row r="1517" ht="16.5" customHeight="1" x14ac:dyDescent="0.3"/>
    <row r="1518" ht="16.5" customHeight="1" x14ac:dyDescent="0.3"/>
    <row r="1519" ht="16.5" customHeight="1" x14ac:dyDescent="0.3"/>
    <row r="1520" ht="16.5" customHeight="1" x14ac:dyDescent="0.3"/>
    <row r="1521" ht="16.5" customHeight="1" x14ac:dyDescent="0.3"/>
    <row r="1522" ht="16.5" customHeight="1" x14ac:dyDescent="0.3"/>
    <row r="1523" ht="16.5" customHeight="1" x14ac:dyDescent="0.3"/>
    <row r="1524" ht="16.5" customHeight="1" x14ac:dyDescent="0.3"/>
    <row r="1525" ht="16.5" customHeight="1" x14ac:dyDescent="0.3"/>
    <row r="1526" ht="16.5" customHeight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5">
    <mergeCell ref="D10:E10"/>
    <mergeCell ref="D23:E23"/>
    <mergeCell ref="J3:K3"/>
    <mergeCell ref="D3:E3"/>
    <mergeCell ref="D40:E40"/>
  </mergeCells>
  <phoneticPr fontId="3" type="noConversion"/>
  <conditionalFormatting sqref="E19:P19">
    <cfRule type="cellIs" dxfId="17" priority="3" operator="lessThan">
      <formula>$R$8</formula>
    </cfRule>
    <cfRule type="cellIs" dxfId="16" priority="5" operator="greaterThanOrEqual">
      <formula>$R$8</formula>
    </cfRule>
  </conditionalFormatting>
  <conditionalFormatting sqref="E15:P15">
    <cfRule type="cellIs" dxfId="15" priority="4" operator="lessThan">
      <formula>$R$7</formula>
    </cfRule>
    <cfRule type="cellIs" dxfId="14" priority="6" operator="greaterThanOrEqual">
      <formula>$R$7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46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1"/>
    <pageSetUpPr autoPageBreaks="0" fitToPage="1"/>
  </sheetPr>
  <dimension ref="A1:R18"/>
  <sheetViews>
    <sheetView showGridLines="0" zoomScaleNormal="100" workbookViewId="0">
      <selection activeCell="B4" sqref="B4"/>
    </sheetView>
  </sheetViews>
  <sheetFormatPr defaultRowHeight="16.5" x14ac:dyDescent="0.3"/>
  <cols>
    <col min="1" max="1" width="4.625" customWidth="1"/>
    <col min="2" max="17" width="10.625" customWidth="1"/>
    <col min="18" max="18" width="4.625" customWidth="1"/>
  </cols>
  <sheetData>
    <row r="1" spans="1:18" ht="40.5" customHeight="1" x14ac:dyDescent="0.3">
      <c r="A1" s="14"/>
      <c r="B1" s="263" t="s">
        <v>176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17.25" thickBot="1" x14ac:dyDescent="0.35"/>
    <row r="3" spans="1:18" ht="30" customHeight="1" thickBot="1" x14ac:dyDescent="0.35">
      <c r="B3" s="535" t="s">
        <v>200</v>
      </c>
      <c r="C3" s="518" t="s">
        <v>1</v>
      </c>
      <c r="D3" s="538" t="s">
        <v>11</v>
      </c>
      <c r="E3" s="538" t="s">
        <v>7</v>
      </c>
      <c r="F3" s="538" t="s">
        <v>12</v>
      </c>
      <c r="G3" s="535" t="s">
        <v>13</v>
      </c>
      <c r="H3" s="532" t="s">
        <v>277</v>
      </c>
      <c r="I3" s="532" t="s">
        <v>14</v>
      </c>
      <c r="J3" s="532" t="s">
        <v>15</v>
      </c>
      <c r="K3" s="532" t="s">
        <v>261</v>
      </c>
      <c r="L3" s="532" t="s">
        <v>16</v>
      </c>
      <c r="M3" s="532" t="s">
        <v>47</v>
      </c>
      <c r="N3" s="532" t="s">
        <v>262</v>
      </c>
      <c r="O3" s="532" t="s">
        <v>17</v>
      </c>
      <c r="P3" s="532" t="s">
        <v>48</v>
      </c>
      <c r="Q3" s="532" t="s">
        <v>161</v>
      </c>
    </row>
    <row r="4" spans="1:18" ht="18" customHeight="1" x14ac:dyDescent="0.3">
      <c r="B4" s="531" t="s">
        <v>263</v>
      </c>
      <c r="C4" s="519" t="s">
        <v>3</v>
      </c>
      <c r="D4" s="539" t="s">
        <v>19</v>
      </c>
      <c r="E4" s="539" t="s">
        <v>328</v>
      </c>
      <c r="F4" s="539" t="s">
        <v>156</v>
      </c>
      <c r="G4" s="536" t="s">
        <v>20</v>
      </c>
      <c r="H4" s="533" t="s">
        <v>278</v>
      </c>
      <c r="I4" s="533" t="s">
        <v>6</v>
      </c>
      <c r="J4" s="533" t="s">
        <v>21</v>
      </c>
      <c r="K4" s="533" t="s">
        <v>151</v>
      </c>
      <c r="L4" s="533" t="s">
        <v>120</v>
      </c>
      <c r="M4" s="533" t="s">
        <v>123</v>
      </c>
      <c r="N4" s="533" t="s">
        <v>135</v>
      </c>
      <c r="O4" s="533" t="s">
        <v>22</v>
      </c>
      <c r="P4" s="533" t="s">
        <v>37</v>
      </c>
      <c r="Q4" s="533" t="s">
        <v>269</v>
      </c>
    </row>
    <row r="5" spans="1:18" ht="18" customHeight="1" x14ac:dyDescent="0.3">
      <c r="B5" s="531" t="s">
        <v>119</v>
      </c>
      <c r="C5" s="520" t="s">
        <v>4</v>
      </c>
      <c r="D5" s="495" t="s">
        <v>23</v>
      </c>
      <c r="E5" s="495" t="s">
        <v>24</v>
      </c>
      <c r="F5" s="495" t="s">
        <v>145</v>
      </c>
      <c r="G5" s="531" t="s">
        <v>25</v>
      </c>
      <c r="H5" s="534" t="s">
        <v>279</v>
      </c>
      <c r="I5" s="534" t="s">
        <v>26</v>
      </c>
      <c r="J5" s="534" t="s">
        <v>46</v>
      </c>
      <c r="K5" s="534" t="s">
        <v>152</v>
      </c>
      <c r="L5" s="534" t="s">
        <v>121</v>
      </c>
      <c r="M5" s="534" t="s">
        <v>27</v>
      </c>
      <c r="N5" s="534" t="s">
        <v>136</v>
      </c>
      <c r="O5" s="534" t="s">
        <v>28</v>
      </c>
      <c r="P5" s="534" t="s">
        <v>38</v>
      </c>
      <c r="Q5" s="534" t="s">
        <v>170</v>
      </c>
    </row>
    <row r="6" spans="1:18" ht="18" customHeight="1" x14ac:dyDescent="0.3">
      <c r="B6" s="531" t="s">
        <v>289</v>
      </c>
      <c r="C6" s="520" t="s">
        <v>129</v>
      </c>
      <c r="D6" s="495" t="s">
        <v>8</v>
      </c>
      <c r="E6" s="495" t="s">
        <v>29</v>
      </c>
      <c r="F6" s="495" t="s">
        <v>298</v>
      </c>
      <c r="G6" s="531" t="s">
        <v>268</v>
      </c>
      <c r="H6" s="534" t="s">
        <v>281</v>
      </c>
      <c r="I6" s="534" t="s">
        <v>30</v>
      </c>
      <c r="J6" s="534" t="s">
        <v>292</v>
      </c>
      <c r="K6" s="534" t="s">
        <v>153</v>
      </c>
      <c r="L6" s="534" t="s">
        <v>122</v>
      </c>
      <c r="M6" s="534" t="s">
        <v>31</v>
      </c>
      <c r="N6" s="534" t="s">
        <v>134</v>
      </c>
      <c r="O6" s="534" t="s">
        <v>142</v>
      </c>
      <c r="P6" s="534" t="s">
        <v>39</v>
      </c>
      <c r="Q6" s="534" t="s">
        <v>171</v>
      </c>
    </row>
    <row r="7" spans="1:18" ht="18" customHeight="1" x14ac:dyDescent="0.3">
      <c r="B7" s="531" t="s">
        <v>290</v>
      </c>
      <c r="C7" s="520" t="s">
        <v>130</v>
      </c>
      <c r="D7" s="495" t="s">
        <v>32</v>
      </c>
      <c r="E7" s="495" t="s">
        <v>102</v>
      </c>
      <c r="F7" s="495" t="s">
        <v>299</v>
      </c>
      <c r="G7" s="531" t="s">
        <v>326</v>
      </c>
      <c r="H7" s="534" t="s">
        <v>280</v>
      </c>
      <c r="I7" s="534" t="s">
        <v>33</v>
      </c>
      <c r="J7" s="534"/>
      <c r="K7" s="534" t="s">
        <v>154</v>
      </c>
      <c r="L7" s="534" t="s">
        <v>293</v>
      </c>
      <c r="M7" s="534" t="s">
        <v>297</v>
      </c>
      <c r="N7" s="534" t="s">
        <v>133</v>
      </c>
      <c r="O7" s="534" t="s">
        <v>143</v>
      </c>
      <c r="P7" s="534" t="s">
        <v>40</v>
      </c>
      <c r="Q7" s="534" t="s">
        <v>168</v>
      </c>
    </row>
    <row r="8" spans="1:18" ht="18" customHeight="1" x14ac:dyDescent="0.3">
      <c r="B8" s="531"/>
      <c r="C8" s="520" t="s">
        <v>113</v>
      </c>
      <c r="D8" s="495" t="s">
        <v>34</v>
      </c>
      <c r="E8" s="495" t="s">
        <v>35</v>
      </c>
      <c r="F8" s="495" t="s">
        <v>147</v>
      </c>
      <c r="G8" s="531" t="s">
        <v>167</v>
      </c>
      <c r="H8" s="534" t="s">
        <v>282</v>
      </c>
      <c r="I8" s="534"/>
      <c r="J8" s="534"/>
      <c r="K8" s="534" t="s">
        <v>196</v>
      </c>
      <c r="L8" s="534" t="s">
        <v>294</v>
      </c>
      <c r="M8" s="534" t="s">
        <v>296</v>
      </c>
      <c r="N8" s="534" t="s">
        <v>137</v>
      </c>
      <c r="O8" s="534" t="s">
        <v>144</v>
      </c>
      <c r="P8" s="534" t="s">
        <v>41</v>
      </c>
      <c r="Q8" s="534" t="s">
        <v>169</v>
      </c>
    </row>
    <row r="9" spans="1:18" ht="18" customHeight="1" x14ac:dyDescent="0.3">
      <c r="B9" s="531"/>
      <c r="C9" s="520" t="s">
        <v>18</v>
      </c>
      <c r="D9" s="495" t="s">
        <v>295</v>
      </c>
      <c r="E9" s="7" t="s">
        <v>36</v>
      </c>
      <c r="F9" s="495" t="s">
        <v>148</v>
      </c>
      <c r="G9" s="531" t="s">
        <v>325</v>
      </c>
      <c r="H9" s="534"/>
      <c r="I9" s="534"/>
      <c r="J9" s="534"/>
      <c r="K9" s="534" t="s">
        <v>197</v>
      </c>
      <c r="L9" s="534"/>
      <c r="M9" s="534"/>
      <c r="N9" s="534" t="s">
        <v>291</v>
      </c>
      <c r="O9" s="534"/>
      <c r="P9" s="534" t="s">
        <v>42</v>
      </c>
      <c r="Q9" s="534" t="s">
        <v>118</v>
      </c>
    </row>
    <row r="10" spans="1:18" ht="18" customHeight="1" x14ac:dyDescent="0.3">
      <c r="B10" s="531"/>
      <c r="C10" s="520" t="s">
        <v>93</v>
      </c>
      <c r="D10" s="7"/>
      <c r="E10" s="540"/>
      <c r="F10" s="495" t="s">
        <v>149</v>
      </c>
      <c r="G10" s="531"/>
      <c r="H10" s="534"/>
      <c r="I10" s="534"/>
      <c r="J10" s="534"/>
      <c r="K10" s="534"/>
      <c r="L10" s="534"/>
      <c r="M10" s="534"/>
      <c r="N10" s="534" t="s">
        <v>138</v>
      </c>
      <c r="O10" s="534"/>
      <c r="P10" s="534"/>
      <c r="Q10" s="534"/>
    </row>
    <row r="11" spans="1:18" ht="18" customHeight="1" x14ac:dyDescent="0.3">
      <c r="B11" s="531"/>
      <c r="C11" s="520" t="s">
        <v>86</v>
      </c>
      <c r="D11" s="540"/>
      <c r="E11" s="495"/>
      <c r="F11" s="495" t="s">
        <v>155</v>
      </c>
      <c r="G11" s="531"/>
      <c r="H11" s="534"/>
      <c r="I11" s="534"/>
      <c r="J11" s="534"/>
      <c r="K11" s="534"/>
      <c r="L11" s="534"/>
      <c r="M11" s="534"/>
      <c r="N11" s="534" t="s">
        <v>139</v>
      </c>
      <c r="O11" s="534"/>
      <c r="P11" s="534"/>
      <c r="Q11" s="534"/>
    </row>
    <row r="12" spans="1:18" ht="18" customHeight="1" x14ac:dyDescent="0.3">
      <c r="B12" s="531"/>
      <c r="C12" s="537" t="s">
        <v>264</v>
      </c>
      <c r="D12" s="495"/>
      <c r="E12" s="495"/>
      <c r="F12" s="7" t="s">
        <v>150</v>
      </c>
      <c r="G12" s="531"/>
      <c r="H12" s="534"/>
      <c r="I12" s="534"/>
      <c r="J12" s="534"/>
      <c r="K12" s="534"/>
      <c r="L12" s="534"/>
      <c r="M12" s="534"/>
      <c r="N12" s="534" t="s">
        <v>140</v>
      </c>
      <c r="O12" s="534"/>
      <c r="P12" s="534"/>
      <c r="Q12" s="534"/>
    </row>
    <row r="13" spans="1:18" ht="18" customHeight="1" x14ac:dyDescent="0.3">
      <c r="B13" s="404"/>
      <c r="C13" s="541"/>
      <c r="D13" s="495"/>
      <c r="E13" s="495"/>
      <c r="F13" s="540"/>
      <c r="G13" s="531"/>
      <c r="H13" s="534"/>
      <c r="I13" s="534"/>
      <c r="J13" s="534"/>
      <c r="K13" s="534"/>
      <c r="L13" s="534"/>
      <c r="M13" s="534"/>
      <c r="N13" s="534" t="s">
        <v>141</v>
      </c>
      <c r="O13" s="534"/>
      <c r="P13" s="534"/>
      <c r="Q13" s="534"/>
    </row>
    <row r="14" spans="1:18" ht="18" customHeight="1" x14ac:dyDescent="0.3">
      <c r="B14" s="404"/>
      <c r="C14" s="520"/>
      <c r="D14" s="495"/>
      <c r="E14" s="495"/>
      <c r="F14" s="495"/>
      <c r="G14" s="531"/>
      <c r="H14" s="534"/>
      <c r="I14" s="534"/>
      <c r="J14" s="534"/>
      <c r="K14" s="534"/>
      <c r="L14" s="534"/>
      <c r="M14" s="534"/>
      <c r="N14" s="534"/>
      <c r="O14" s="534"/>
      <c r="P14" s="534"/>
      <c r="Q14" s="534"/>
    </row>
    <row r="15" spans="1:18" ht="18" customHeight="1" x14ac:dyDescent="0.3">
      <c r="B15" s="404"/>
      <c r="C15" s="520"/>
      <c r="D15" s="495"/>
      <c r="E15" s="495"/>
      <c r="F15" s="495"/>
      <c r="G15" s="531"/>
      <c r="H15" s="534"/>
      <c r="I15" s="534"/>
      <c r="J15" s="534"/>
      <c r="K15" s="534"/>
      <c r="L15" s="534"/>
      <c r="M15" s="534"/>
      <c r="N15" s="534"/>
      <c r="O15" s="534"/>
      <c r="P15" s="534"/>
      <c r="Q15" s="534"/>
    </row>
    <row r="16" spans="1:18" ht="18" customHeight="1" x14ac:dyDescent="0.3">
      <c r="B16" s="404"/>
      <c r="C16" s="520"/>
      <c r="D16" s="495"/>
      <c r="E16" s="495"/>
      <c r="F16" s="495"/>
      <c r="G16" s="531"/>
      <c r="H16" s="534"/>
      <c r="I16" s="534"/>
      <c r="J16" s="534"/>
      <c r="K16" s="534"/>
      <c r="L16" s="534"/>
      <c r="M16" s="534"/>
      <c r="N16" s="534"/>
      <c r="O16" s="534"/>
      <c r="P16" s="534"/>
      <c r="Q16" s="534"/>
    </row>
    <row r="17" spans="2:17" ht="18" customHeight="1" x14ac:dyDescent="0.3">
      <c r="B17" s="404"/>
      <c r="C17" s="520"/>
      <c r="D17" s="495"/>
      <c r="E17" s="495"/>
      <c r="F17" s="495"/>
      <c r="G17" s="531"/>
      <c r="H17" s="534"/>
      <c r="I17" s="534"/>
      <c r="J17" s="534"/>
      <c r="K17" s="534"/>
      <c r="L17" s="534"/>
      <c r="M17" s="534"/>
      <c r="N17" s="534"/>
      <c r="O17" s="534"/>
      <c r="P17" s="534"/>
      <c r="Q17" s="534"/>
    </row>
    <row r="18" spans="2:17" ht="18" customHeight="1" x14ac:dyDescent="0.3">
      <c r="B18" s="404"/>
      <c r="C18" s="520"/>
      <c r="D18" s="495"/>
      <c r="E18" s="495"/>
      <c r="F18" s="495"/>
      <c r="G18" s="531"/>
      <c r="H18" s="534"/>
      <c r="I18" s="534"/>
      <c r="J18" s="534"/>
      <c r="K18" s="534"/>
      <c r="L18" s="534"/>
      <c r="M18" s="534"/>
      <c r="N18" s="534"/>
      <c r="O18" s="534"/>
      <c r="P18" s="534"/>
      <c r="Q18" s="534"/>
    </row>
  </sheetData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E67C6-5BF1-45A1-9DB4-31C1D6840414}">
  <sheetPr codeName="Sheet41">
    <tabColor theme="4"/>
    <pageSetUpPr autoPageBreaks="0" fitToPage="1"/>
  </sheetPr>
  <dimension ref="A1:R383"/>
  <sheetViews>
    <sheetView showGridLines="0" zoomScale="90" zoomScaleNormal="9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16384" width="8.875" style="1"/>
  </cols>
  <sheetData>
    <row r="1" spans="1:16" ht="16.5" customHeight="1" x14ac:dyDescent="0.3">
      <c r="B1" s="584" t="s">
        <v>188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16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16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16" x14ac:dyDescent="0.3">
      <c r="B5" s="68" t="s">
        <v>96</v>
      </c>
      <c r="C5" s="71">
        <f>SUM($C$9+$C$33)</f>
        <v>0</v>
      </c>
      <c r="H5" s="68" t="s">
        <v>287</v>
      </c>
      <c r="I5" s="96"/>
      <c r="J5" s="96"/>
      <c r="K5" s="96"/>
      <c r="L5" s="96"/>
      <c r="M5" s="68" t="s">
        <v>124</v>
      </c>
      <c r="N5" s="43"/>
      <c r="O5" s="43"/>
    </row>
    <row r="6" spans="1:16" x14ac:dyDescent="0.3">
      <c r="B6" s="68" t="s">
        <v>97</v>
      </c>
      <c r="C6" s="93">
        <f>SUM($I$9+$J$33)</f>
        <v>0</v>
      </c>
      <c r="H6" s="580"/>
      <c r="I6" s="580"/>
      <c r="J6" s="580"/>
      <c r="K6" s="580"/>
      <c r="L6" s="580"/>
      <c r="M6" s="582"/>
      <c r="N6" s="582"/>
      <c r="O6" s="582"/>
    </row>
    <row r="7" spans="1:16" x14ac:dyDescent="0.3">
      <c r="B7" s="74" t="s">
        <v>65</v>
      </c>
      <c r="C7" s="69">
        <f>$C$5-$C$6</f>
        <v>0</v>
      </c>
      <c r="H7" s="581"/>
      <c r="I7" s="581"/>
      <c r="J7" s="581"/>
      <c r="K7" s="581"/>
      <c r="L7" s="581"/>
      <c r="M7" s="583"/>
      <c r="N7" s="583"/>
      <c r="O7" s="583"/>
    </row>
    <row r="8" spans="1:16" ht="9" customHeight="1" x14ac:dyDescent="0.3"/>
    <row r="9" spans="1:16" ht="17.25" thickBot="1" x14ac:dyDescent="0.35">
      <c r="B9" s="68" t="s">
        <v>95</v>
      </c>
      <c r="C9" s="71">
        <f>SUM($F$11:$F$30)</f>
        <v>0</v>
      </c>
      <c r="D9" s="43"/>
      <c r="E9" s="43"/>
      <c r="F9" s="43"/>
      <c r="G9" s="43"/>
      <c r="H9" s="68" t="s">
        <v>11</v>
      </c>
      <c r="I9" s="70">
        <f>SUM($M$11:$M$30)</f>
        <v>0</v>
      </c>
      <c r="K9" s="95"/>
      <c r="L9" s="94"/>
      <c r="N9" s="43"/>
      <c r="O9" s="43"/>
    </row>
    <row r="10" spans="1:16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</row>
    <row r="11" spans="1:16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</row>
    <row r="12" spans="1:16" x14ac:dyDescent="0.3">
      <c r="B12" s="6"/>
      <c r="C12" s="11"/>
      <c r="D12" s="7"/>
      <c r="E12" s="8"/>
      <c r="F12" s="9"/>
      <c r="G12" s="3"/>
      <c r="H12" s="10"/>
      <c r="I12" s="11"/>
      <c r="J12" s="11"/>
      <c r="K12" s="11"/>
      <c r="L12" s="8"/>
      <c r="M12" s="9"/>
      <c r="N12" s="46"/>
      <c r="O12" s="480"/>
    </row>
    <row r="13" spans="1:16" x14ac:dyDescent="0.3">
      <c r="B13" s="10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</row>
    <row r="14" spans="1:16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</row>
    <row r="15" spans="1:16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</row>
    <row r="16" spans="1:16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</row>
    <row r="17" spans="2:15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</row>
    <row r="18" spans="2:15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</row>
    <row r="19" spans="2:15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</row>
    <row r="20" spans="2:15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</row>
    <row r="21" spans="2:15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</row>
    <row r="22" spans="2:15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</row>
    <row r="23" spans="2:15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</row>
    <row r="24" spans="2:15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</row>
    <row r="25" spans="2:15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</row>
    <row r="26" spans="2:15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</row>
    <row r="27" spans="2:15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</row>
    <row r="28" spans="2:15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</row>
    <row r="29" spans="2:15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</row>
    <row r="30" spans="2:15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</row>
    <row r="31" spans="2:15" x14ac:dyDescent="0.3">
      <c r="B31" s="50"/>
      <c r="C31" s="83"/>
      <c r="D31" s="83"/>
      <c r="E31" s="83"/>
      <c r="F31" s="81"/>
      <c r="G31" s="267"/>
      <c r="H31" s="3"/>
      <c r="I31" s="80"/>
      <c r="J31" s="53"/>
      <c r="K31" s="53"/>
      <c r="L31" s="53"/>
      <c r="M31" s="81"/>
      <c r="N31" s="82"/>
      <c r="O31" s="82"/>
    </row>
    <row r="32" spans="2:15" x14ac:dyDescent="0.3">
      <c r="B32" s="50"/>
      <c r="C32" s="53"/>
      <c r="D32" s="53"/>
      <c r="E32" s="53"/>
      <c r="F32" s="107"/>
      <c r="G32" s="267"/>
      <c r="I32" s="109" t="s">
        <v>306</v>
      </c>
      <c r="J32" s="90">
        <f>예산!C40</f>
        <v>0</v>
      </c>
      <c r="L32" s="53"/>
      <c r="M32" s="107"/>
      <c r="N32" s="54"/>
      <c r="O32" s="54"/>
    </row>
    <row r="33" spans="2:18" ht="17.25" thickBot="1" x14ac:dyDescent="0.35">
      <c r="B33" s="91" t="s">
        <v>198</v>
      </c>
      <c r="C33" s="89">
        <f>SUM($F$35:$F$94)</f>
        <v>0</v>
      </c>
      <c r="D33" s="85"/>
      <c r="E33" s="85"/>
      <c r="F33" s="86"/>
      <c r="G33" s="268"/>
      <c r="H33" s="92" t="s">
        <v>73</v>
      </c>
      <c r="I33" s="109" t="s">
        <v>307</v>
      </c>
      <c r="J33" s="108">
        <f>SUM($M$35:$M$94)</f>
        <v>0</v>
      </c>
      <c r="L33" s="62"/>
      <c r="M33" s="109" t="s">
        <v>305</v>
      </c>
      <c r="N33" s="545">
        <f>J32-SUM(M35:M44)</f>
        <v>0</v>
      </c>
      <c r="O33" s="521"/>
    </row>
    <row r="34" spans="2:18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</row>
    <row r="35" spans="2:18" x14ac:dyDescent="0.3">
      <c r="B35" s="10"/>
      <c r="C35" s="11"/>
      <c r="D35" s="11"/>
      <c r="E35" s="12"/>
      <c r="F35" s="13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101"/>
    </row>
    <row r="36" spans="2:18" x14ac:dyDescent="0.3">
      <c r="B36" s="10"/>
      <c r="C36" s="11"/>
      <c r="D36" s="11"/>
      <c r="E36" s="12"/>
      <c r="F36" s="13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101"/>
    </row>
    <row r="37" spans="2:18" x14ac:dyDescent="0.3">
      <c r="B37" s="10"/>
      <c r="C37" s="11"/>
      <c r="D37" s="11"/>
      <c r="E37" s="12"/>
      <c r="F37" s="9"/>
      <c r="G37" s="3"/>
      <c r="H37" s="10"/>
      <c r="I37" s="7"/>
      <c r="J37" s="7"/>
      <c r="K37" s="7"/>
      <c r="L37" s="8"/>
      <c r="M37" s="45"/>
      <c r="N37" s="328" t="str">
        <f t="shared" ref="N37:N44" si="0">IF(M37="","",N36-M37)</f>
        <v/>
      </c>
      <c r="O37" s="102"/>
    </row>
    <row r="38" spans="2:18" x14ac:dyDescent="0.3">
      <c r="B38" s="10"/>
      <c r="C38" s="11"/>
      <c r="D38" s="11"/>
      <c r="E38" s="12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101"/>
    </row>
    <row r="39" spans="2:18" x14ac:dyDescent="0.3">
      <c r="B39" s="10"/>
      <c r="C39" s="11"/>
      <c r="D39" s="11"/>
      <c r="E39" s="12"/>
      <c r="F39" s="9"/>
      <c r="G39" s="3"/>
      <c r="H39" s="10"/>
      <c r="I39" s="7"/>
      <c r="J39" s="7"/>
      <c r="K39" s="7"/>
      <c r="L39" s="8"/>
      <c r="M39" s="45"/>
      <c r="N39" s="328" t="str">
        <f t="shared" si="0"/>
        <v/>
      </c>
      <c r="O39" s="102"/>
      <c r="R39" s="120" t="s">
        <v>308</v>
      </c>
    </row>
    <row r="40" spans="2:18" x14ac:dyDescent="0.3">
      <c r="B40" s="6"/>
      <c r="C40" s="11"/>
      <c r="D40" s="11"/>
      <c r="E40" s="8"/>
      <c r="F40" s="9"/>
      <c r="G40" s="3"/>
      <c r="H40" s="10"/>
      <c r="I40" s="11"/>
      <c r="J40" s="11"/>
      <c r="K40" s="11"/>
      <c r="L40" s="12"/>
      <c r="M40" s="45"/>
      <c r="N40" s="328" t="str">
        <f t="shared" si="0"/>
        <v/>
      </c>
      <c r="O40" s="101"/>
    </row>
    <row r="41" spans="2:18" x14ac:dyDescent="0.3">
      <c r="B41" s="6"/>
      <c r="C41" s="11"/>
      <c r="D41" s="11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102"/>
    </row>
    <row r="42" spans="2:18" x14ac:dyDescent="0.3">
      <c r="B42" s="6"/>
      <c r="C42" s="11"/>
      <c r="D42" s="11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102"/>
    </row>
    <row r="43" spans="2:18" x14ac:dyDescent="0.3">
      <c r="B43" s="6"/>
      <c r="C43" s="11"/>
      <c r="D43" s="11"/>
      <c r="E43" s="8"/>
      <c r="F43" s="9"/>
      <c r="G43" s="3"/>
      <c r="H43" s="6"/>
      <c r="I43" s="7"/>
      <c r="J43" s="7"/>
      <c r="K43" s="7"/>
      <c r="L43" s="8"/>
      <c r="M43" s="46"/>
      <c r="N43" s="335" t="str">
        <f t="shared" si="0"/>
        <v/>
      </c>
      <c r="O43" s="102"/>
    </row>
    <row r="44" spans="2:18" ht="17.25" thickBot="1" x14ac:dyDescent="0.35">
      <c r="B44" s="6"/>
      <c r="C44" s="11"/>
      <c r="D44" s="11"/>
      <c r="E44" s="8" t="s">
        <v>323</v>
      </c>
      <c r="F44" s="9"/>
      <c r="G44" s="3"/>
      <c r="H44" s="483"/>
      <c r="I44" s="484"/>
      <c r="J44" s="484"/>
      <c r="K44" s="484"/>
      <c r="L44" s="485"/>
      <c r="M44" s="486"/>
      <c r="N44" s="487" t="str">
        <f t="shared" si="0"/>
        <v/>
      </c>
      <c r="O44" s="488"/>
    </row>
    <row r="45" spans="2:18" x14ac:dyDescent="0.3">
      <c r="B45" s="6"/>
      <c r="C45" s="11"/>
      <c r="D45" s="11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101"/>
    </row>
    <row r="46" spans="2:18" x14ac:dyDescent="0.3">
      <c r="B46" s="6"/>
      <c r="C46" s="11"/>
      <c r="D46" s="11"/>
      <c r="E46" s="8"/>
      <c r="F46" s="9"/>
      <c r="G46" s="3"/>
      <c r="H46" s="10"/>
      <c r="I46" s="7"/>
      <c r="J46" s="7"/>
      <c r="K46" s="7"/>
      <c r="L46" s="8"/>
      <c r="M46" s="45"/>
      <c r="N46" s="328" t="str">
        <f>IF(M46="","",N45-M46)</f>
        <v/>
      </c>
      <c r="O46" s="102"/>
    </row>
    <row r="47" spans="2:18" x14ac:dyDescent="0.3">
      <c r="B47" s="6"/>
      <c r="C47" s="11"/>
      <c r="D47" s="11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ref="N47:N94" si="1">IF(M47="","",N46-M47)</f>
        <v/>
      </c>
      <c r="O47" s="102"/>
    </row>
    <row r="48" spans="2:18" x14ac:dyDescent="0.3">
      <c r="B48" s="6"/>
      <c r="C48" s="11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1"/>
        <v/>
      </c>
      <c r="O48" s="102"/>
    </row>
    <row r="49" spans="2:17" x14ac:dyDescent="0.3">
      <c r="B49" s="6"/>
      <c r="C49" s="11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1"/>
        <v/>
      </c>
      <c r="O49" s="102"/>
    </row>
    <row r="50" spans="2:17" x14ac:dyDescent="0.3">
      <c r="B50" s="6"/>
      <c r="C50" s="11"/>
      <c r="D50" s="11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1"/>
        <v/>
      </c>
      <c r="O50" s="102"/>
    </row>
    <row r="51" spans="2:17" x14ac:dyDescent="0.3">
      <c r="B51" s="6"/>
      <c r="C51" s="11"/>
      <c r="D51" s="11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1"/>
        <v/>
      </c>
      <c r="O51" s="102"/>
    </row>
    <row r="52" spans="2:17" x14ac:dyDescent="0.3">
      <c r="B52" s="6"/>
      <c r="C52" s="11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1"/>
        <v/>
      </c>
      <c r="O52" s="102"/>
    </row>
    <row r="53" spans="2:17" x14ac:dyDescent="0.3">
      <c r="B53" s="6"/>
      <c r="C53" s="11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1"/>
        <v/>
      </c>
      <c r="O53" s="102"/>
    </row>
    <row r="54" spans="2:17" x14ac:dyDescent="0.3">
      <c r="B54" s="6"/>
      <c r="C54" s="11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1"/>
        <v/>
      </c>
      <c r="O54" s="102"/>
    </row>
    <row r="55" spans="2:17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1"/>
        <v/>
      </c>
      <c r="O55" s="102"/>
    </row>
    <row r="56" spans="2:17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1"/>
        <v/>
      </c>
      <c r="O56" s="102"/>
    </row>
    <row r="57" spans="2:17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1"/>
        <v/>
      </c>
      <c r="O57" s="102"/>
    </row>
    <row r="58" spans="2:17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1"/>
        <v/>
      </c>
      <c r="O58" s="102"/>
    </row>
    <row r="59" spans="2:17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1"/>
        <v/>
      </c>
      <c r="O59" s="102"/>
    </row>
    <row r="60" spans="2:17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1"/>
        <v/>
      </c>
      <c r="O60" s="102"/>
      <c r="Q60" s="111"/>
    </row>
    <row r="61" spans="2:17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1"/>
        <v/>
      </c>
      <c r="O61" s="102"/>
    </row>
    <row r="62" spans="2:17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1"/>
        <v/>
      </c>
      <c r="O62" s="102"/>
    </row>
    <row r="63" spans="2:17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1"/>
        <v/>
      </c>
      <c r="O63" s="102"/>
    </row>
    <row r="64" spans="2:17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1"/>
        <v/>
      </c>
      <c r="O64" s="102"/>
    </row>
    <row r="65" spans="2:15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1"/>
        <v/>
      </c>
      <c r="O65" s="102"/>
    </row>
    <row r="66" spans="2:15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1"/>
        <v/>
      </c>
      <c r="O66" s="102"/>
    </row>
    <row r="67" spans="2:15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1"/>
        <v/>
      </c>
      <c r="O67" s="481"/>
    </row>
    <row r="68" spans="2:15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1"/>
        <v/>
      </c>
      <c r="O68" s="481"/>
    </row>
    <row r="69" spans="2:15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1"/>
        <v/>
      </c>
      <c r="O69" s="481"/>
    </row>
    <row r="70" spans="2:15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1"/>
        <v/>
      </c>
      <c r="O70" s="481"/>
    </row>
    <row r="71" spans="2:15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1"/>
        <v/>
      </c>
      <c r="O71" s="481"/>
    </row>
    <row r="72" spans="2:15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1"/>
        <v/>
      </c>
      <c r="O72" s="481"/>
    </row>
    <row r="73" spans="2:15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1"/>
        <v/>
      </c>
      <c r="O73" s="481"/>
    </row>
    <row r="74" spans="2:15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1"/>
        <v/>
      </c>
      <c r="O74" s="480"/>
    </row>
    <row r="75" spans="2:15" x14ac:dyDescent="0.3">
      <c r="B75" s="10"/>
      <c r="C75" s="11"/>
      <c r="D75" s="11"/>
      <c r="E75" s="12"/>
      <c r="F75" s="13"/>
      <c r="G75" s="3"/>
      <c r="H75" s="10"/>
      <c r="I75" s="11"/>
      <c r="J75" s="11"/>
      <c r="K75" s="11"/>
      <c r="L75" s="12"/>
      <c r="M75" s="45"/>
      <c r="N75" s="328" t="str">
        <f t="shared" si="1"/>
        <v/>
      </c>
      <c r="O75" s="481"/>
    </row>
    <row r="76" spans="2:15" x14ac:dyDescent="0.3">
      <c r="B76" s="10"/>
      <c r="C76" s="11"/>
      <c r="D76" s="11"/>
      <c r="E76" s="12"/>
      <c r="F76" s="13"/>
      <c r="G76" s="3"/>
      <c r="H76" s="10"/>
      <c r="I76" s="11"/>
      <c r="J76" s="11"/>
      <c r="K76" s="11"/>
      <c r="L76" s="12"/>
      <c r="M76" s="45"/>
      <c r="N76" s="328" t="str">
        <f t="shared" si="1"/>
        <v/>
      </c>
      <c r="O76" s="481"/>
    </row>
    <row r="77" spans="2:15" x14ac:dyDescent="0.3">
      <c r="B77" s="10"/>
      <c r="C77" s="11"/>
      <c r="D77" s="11"/>
      <c r="E77" s="12"/>
      <c r="F77" s="13"/>
      <c r="G77" s="3"/>
      <c r="H77" s="10"/>
      <c r="I77" s="11"/>
      <c r="J77" s="11"/>
      <c r="K77" s="11"/>
      <c r="L77" s="12"/>
      <c r="M77" s="45"/>
      <c r="N77" s="328" t="str">
        <f t="shared" si="1"/>
        <v/>
      </c>
      <c r="O77" s="481"/>
    </row>
    <row r="78" spans="2:15" x14ac:dyDescent="0.3">
      <c r="B78" s="10"/>
      <c r="C78" s="11"/>
      <c r="D78" s="11"/>
      <c r="E78" s="12"/>
      <c r="F78" s="13"/>
      <c r="G78" s="3"/>
      <c r="H78" s="10"/>
      <c r="I78" s="11"/>
      <c r="J78" s="11"/>
      <c r="K78" s="11"/>
      <c r="L78" s="12"/>
      <c r="M78" s="45"/>
      <c r="N78" s="328" t="str">
        <f t="shared" si="1"/>
        <v/>
      </c>
      <c r="O78" s="481"/>
    </row>
    <row r="79" spans="2:15" x14ac:dyDescent="0.3">
      <c r="B79" s="10"/>
      <c r="C79" s="11"/>
      <c r="D79" s="11"/>
      <c r="E79" s="12"/>
      <c r="F79" s="13"/>
      <c r="G79" s="3"/>
      <c r="H79" s="10"/>
      <c r="I79" s="11"/>
      <c r="J79" s="11"/>
      <c r="K79" s="11"/>
      <c r="L79" s="12"/>
      <c r="M79" s="45"/>
      <c r="N79" s="328" t="str">
        <f t="shared" si="1"/>
        <v/>
      </c>
      <c r="O79" s="481"/>
    </row>
    <row r="80" spans="2:15" x14ac:dyDescent="0.3">
      <c r="B80" s="10"/>
      <c r="C80" s="11"/>
      <c r="D80" s="11"/>
      <c r="E80" s="12"/>
      <c r="F80" s="13"/>
      <c r="G80" s="3"/>
      <c r="H80" s="10"/>
      <c r="I80" s="11"/>
      <c r="J80" s="11"/>
      <c r="K80" s="11"/>
      <c r="L80" s="12"/>
      <c r="M80" s="45"/>
      <c r="N80" s="328" t="str">
        <f t="shared" si="1"/>
        <v/>
      </c>
      <c r="O80" s="481"/>
    </row>
    <row r="81" spans="1:16" x14ac:dyDescent="0.3">
      <c r="B81" s="10"/>
      <c r="C81" s="11"/>
      <c r="D81" s="11"/>
      <c r="E81" s="12"/>
      <c r="F81" s="13"/>
      <c r="G81" s="3"/>
      <c r="H81" s="10"/>
      <c r="I81" s="11"/>
      <c r="J81" s="11"/>
      <c r="K81" s="11"/>
      <c r="L81" s="12"/>
      <c r="M81" s="45"/>
      <c r="N81" s="328" t="str">
        <f t="shared" si="1"/>
        <v/>
      </c>
      <c r="O81" s="481"/>
    </row>
    <row r="82" spans="1:16" x14ac:dyDescent="0.3">
      <c r="B82" s="10"/>
      <c r="C82" s="11"/>
      <c r="D82" s="11"/>
      <c r="E82" s="12"/>
      <c r="F82" s="13"/>
      <c r="G82" s="3"/>
      <c r="H82" s="10"/>
      <c r="I82" s="11"/>
      <c r="J82" s="11"/>
      <c r="K82" s="11"/>
      <c r="L82" s="12"/>
      <c r="M82" s="45"/>
      <c r="N82" s="328" t="str">
        <f t="shared" si="1"/>
        <v/>
      </c>
      <c r="O82" s="481"/>
    </row>
    <row r="83" spans="1:16" x14ac:dyDescent="0.3">
      <c r="B83" s="10"/>
      <c r="C83" s="11"/>
      <c r="D83" s="11"/>
      <c r="E83" s="12"/>
      <c r="F83" s="13"/>
      <c r="G83" s="3"/>
      <c r="H83" s="10"/>
      <c r="I83" s="11"/>
      <c r="J83" s="11"/>
      <c r="K83" s="11"/>
      <c r="L83" s="12"/>
      <c r="M83" s="45"/>
      <c r="N83" s="328" t="str">
        <f t="shared" si="1"/>
        <v/>
      </c>
      <c r="O83" s="481"/>
    </row>
    <row r="84" spans="1:16" x14ac:dyDescent="0.3">
      <c r="B84" s="10"/>
      <c r="C84" s="11"/>
      <c r="D84" s="11"/>
      <c r="E84" s="12"/>
      <c r="F84" s="13"/>
      <c r="G84" s="3"/>
      <c r="H84" s="10"/>
      <c r="I84" s="11"/>
      <c r="J84" s="11"/>
      <c r="K84" s="11"/>
      <c r="L84" s="12"/>
      <c r="M84" s="45"/>
      <c r="N84" s="328" t="str">
        <f t="shared" si="1"/>
        <v/>
      </c>
      <c r="O84" s="481"/>
    </row>
    <row r="85" spans="1:16" x14ac:dyDescent="0.3">
      <c r="B85" s="10"/>
      <c r="C85" s="11"/>
      <c r="D85" s="11"/>
      <c r="E85" s="12"/>
      <c r="F85" s="13"/>
      <c r="G85" s="3"/>
      <c r="H85" s="10"/>
      <c r="I85" s="11"/>
      <c r="J85" s="11"/>
      <c r="K85" s="11"/>
      <c r="L85" s="12"/>
      <c r="M85" s="45"/>
      <c r="N85" s="328" t="str">
        <f t="shared" si="1"/>
        <v/>
      </c>
      <c r="O85" s="481"/>
    </row>
    <row r="86" spans="1:16" x14ac:dyDescent="0.3">
      <c r="B86" s="10"/>
      <c r="C86" s="11"/>
      <c r="D86" s="11"/>
      <c r="E86" s="12"/>
      <c r="F86" s="13"/>
      <c r="G86" s="3"/>
      <c r="H86" s="10"/>
      <c r="I86" s="11"/>
      <c r="J86" s="11"/>
      <c r="K86" s="11"/>
      <c r="L86" s="12"/>
      <c r="M86" s="45"/>
      <c r="N86" s="328" t="str">
        <f t="shared" si="1"/>
        <v/>
      </c>
      <c r="O86" s="481"/>
    </row>
    <row r="87" spans="1:16" x14ac:dyDescent="0.3">
      <c r="B87" s="10"/>
      <c r="C87" s="11"/>
      <c r="D87" s="11"/>
      <c r="E87" s="12"/>
      <c r="F87" s="13"/>
      <c r="G87" s="3"/>
      <c r="H87" s="10"/>
      <c r="I87" s="11"/>
      <c r="J87" s="11"/>
      <c r="K87" s="11"/>
      <c r="L87" s="12"/>
      <c r="M87" s="45"/>
      <c r="N87" s="328" t="str">
        <f t="shared" si="1"/>
        <v/>
      </c>
      <c r="O87" s="481"/>
    </row>
    <row r="88" spans="1:16" x14ac:dyDescent="0.3">
      <c r="B88" s="10"/>
      <c r="C88" s="11"/>
      <c r="D88" s="11"/>
      <c r="E88" s="12"/>
      <c r="F88" s="13"/>
      <c r="G88" s="3"/>
      <c r="H88" s="10"/>
      <c r="I88" s="11"/>
      <c r="J88" s="11"/>
      <c r="K88" s="11"/>
      <c r="L88" s="12"/>
      <c r="M88" s="45"/>
      <c r="N88" s="328" t="str">
        <f t="shared" si="1"/>
        <v/>
      </c>
      <c r="O88" s="481"/>
    </row>
    <row r="89" spans="1:16" x14ac:dyDescent="0.3">
      <c r="B89" s="10"/>
      <c r="C89" s="11"/>
      <c r="D89" s="11"/>
      <c r="E89" s="12"/>
      <c r="F89" s="13"/>
      <c r="G89" s="3"/>
      <c r="H89" s="10"/>
      <c r="I89" s="11"/>
      <c r="J89" s="11"/>
      <c r="K89" s="11"/>
      <c r="L89" s="12"/>
      <c r="M89" s="45"/>
      <c r="N89" s="328" t="str">
        <f t="shared" si="1"/>
        <v/>
      </c>
      <c r="O89" s="481"/>
    </row>
    <row r="90" spans="1:16" x14ac:dyDescent="0.3">
      <c r="B90" s="10"/>
      <c r="C90" s="11"/>
      <c r="D90" s="11"/>
      <c r="E90" s="12"/>
      <c r="F90" s="13"/>
      <c r="G90" s="3"/>
      <c r="H90" s="10"/>
      <c r="I90" s="11"/>
      <c r="J90" s="11"/>
      <c r="K90" s="11"/>
      <c r="L90" s="12"/>
      <c r="M90" s="45"/>
      <c r="N90" s="328" t="str">
        <f t="shared" si="1"/>
        <v/>
      </c>
      <c r="O90" s="481"/>
    </row>
    <row r="91" spans="1:16" x14ac:dyDescent="0.3">
      <c r="B91" s="10"/>
      <c r="C91" s="11"/>
      <c r="D91" s="11"/>
      <c r="E91" s="12"/>
      <c r="F91" s="13"/>
      <c r="G91" s="3"/>
      <c r="H91" s="10"/>
      <c r="I91" s="11"/>
      <c r="J91" s="11"/>
      <c r="K91" s="11"/>
      <c r="L91" s="12"/>
      <c r="M91" s="45"/>
      <c r="N91" s="328" t="str">
        <f t="shared" si="1"/>
        <v/>
      </c>
      <c r="O91" s="481"/>
    </row>
    <row r="92" spans="1:16" x14ac:dyDescent="0.3">
      <c r="B92" s="10"/>
      <c r="C92" s="11"/>
      <c r="D92" s="11"/>
      <c r="E92" s="12"/>
      <c r="F92" s="13"/>
      <c r="G92" s="3"/>
      <c r="H92" s="10"/>
      <c r="I92" s="11"/>
      <c r="J92" s="11"/>
      <c r="K92" s="11"/>
      <c r="L92" s="12"/>
      <c r="M92" s="45"/>
      <c r="N92" s="328" t="str">
        <f t="shared" si="1"/>
        <v/>
      </c>
      <c r="O92" s="481"/>
    </row>
    <row r="93" spans="1:16" x14ac:dyDescent="0.3">
      <c r="B93" s="10"/>
      <c r="C93" s="11"/>
      <c r="D93" s="11"/>
      <c r="E93" s="12"/>
      <c r="F93" s="13"/>
      <c r="G93" s="3"/>
      <c r="H93" s="10"/>
      <c r="I93" s="11"/>
      <c r="J93" s="11"/>
      <c r="K93" s="11"/>
      <c r="L93" s="12"/>
      <c r="M93" s="45"/>
      <c r="N93" s="328" t="str">
        <f t="shared" si="1"/>
        <v/>
      </c>
      <c r="O93" s="481"/>
    </row>
    <row r="94" spans="1:16" x14ac:dyDescent="0.3">
      <c r="B94" s="10"/>
      <c r="C94" s="11"/>
      <c r="D94" s="11"/>
      <c r="E94" s="12"/>
      <c r="F94" s="13"/>
      <c r="G94" s="3"/>
      <c r="H94" s="10"/>
      <c r="I94" s="11"/>
      <c r="J94" s="11"/>
      <c r="K94" s="11"/>
      <c r="L94" s="12"/>
      <c r="M94" s="45"/>
      <c r="N94" s="328" t="str">
        <f t="shared" si="1"/>
        <v/>
      </c>
      <c r="O94" s="481"/>
    </row>
    <row r="95" spans="1:16" x14ac:dyDescent="0.3">
      <c r="A95" s="4"/>
      <c r="B95" s="4"/>
      <c r="C95" s="4"/>
      <c r="D95" s="4"/>
      <c r="E95" s="4"/>
      <c r="F95" s="5"/>
      <c r="G95" s="4"/>
      <c r="H95" s="4"/>
      <c r="I95" s="4"/>
      <c r="J95" s="4"/>
      <c r="K95" s="4"/>
      <c r="L95" s="4"/>
      <c r="M95" s="5"/>
      <c r="N95" s="4"/>
      <c r="O95" s="4"/>
      <c r="P95" s="4"/>
    </row>
    <row r="96" spans="1:16" x14ac:dyDescent="0.3">
      <c r="F96" s="2"/>
      <c r="M96" s="2"/>
    </row>
    <row r="97" spans="6:13" x14ac:dyDescent="0.3">
      <c r="F97" s="2"/>
      <c r="M97" s="2"/>
    </row>
    <row r="98" spans="6:13" x14ac:dyDescent="0.3">
      <c r="F98" s="2"/>
      <c r="M98" s="2"/>
    </row>
    <row r="99" spans="6:13" x14ac:dyDescent="0.3">
      <c r="F99" s="2"/>
      <c r="M99" s="2"/>
    </row>
    <row r="100" spans="6:13" x14ac:dyDescent="0.3">
      <c r="F100" s="2"/>
      <c r="M100" s="2"/>
    </row>
    <row r="101" spans="6:13" x14ac:dyDescent="0.3">
      <c r="F101" s="2"/>
      <c r="M101" s="2"/>
    </row>
    <row r="102" spans="6:13" x14ac:dyDescent="0.3">
      <c r="F102" s="2"/>
      <c r="M102" s="2"/>
    </row>
    <row r="103" spans="6:13" x14ac:dyDescent="0.3">
      <c r="F103" s="2"/>
      <c r="M103" s="2"/>
    </row>
    <row r="104" spans="6:13" x14ac:dyDescent="0.3">
      <c r="F104" s="2"/>
      <c r="M104" s="2"/>
    </row>
    <row r="105" spans="6:13" x14ac:dyDescent="0.3">
      <c r="F105" s="2"/>
      <c r="M105" s="2"/>
    </row>
    <row r="106" spans="6:13" x14ac:dyDescent="0.3">
      <c r="F106" s="2"/>
      <c r="M106" s="2"/>
    </row>
    <row r="107" spans="6:13" x14ac:dyDescent="0.3">
      <c r="F107" s="2"/>
      <c r="M107" s="2"/>
    </row>
    <row r="108" spans="6:13" x14ac:dyDescent="0.3">
      <c r="F108" s="2"/>
      <c r="M108" s="2"/>
    </row>
    <row r="109" spans="6:13" x14ac:dyDescent="0.3">
      <c r="F109" s="2"/>
      <c r="M109" s="2"/>
    </row>
    <row r="110" spans="6:13" x14ac:dyDescent="0.3">
      <c r="F110" s="2"/>
      <c r="M110" s="2"/>
    </row>
    <row r="111" spans="6:13" x14ac:dyDescent="0.3">
      <c r="F111" s="2"/>
      <c r="M111" s="2"/>
    </row>
    <row r="112" spans="6:13" x14ac:dyDescent="0.3">
      <c r="F112" s="2"/>
      <c r="M112" s="2"/>
    </row>
    <row r="113" spans="6:13" x14ac:dyDescent="0.3">
      <c r="F113" s="2"/>
      <c r="M113" s="2"/>
    </row>
    <row r="114" spans="6:13" x14ac:dyDescent="0.3">
      <c r="F114" s="2"/>
      <c r="M114" s="2"/>
    </row>
    <row r="115" spans="6:13" x14ac:dyDescent="0.3">
      <c r="F115" s="2"/>
      <c r="M115" s="2"/>
    </row>
    <row r="116" spans="6:13" x14ac:dyDescent="0.3">
      <c r="F116" s="2"/>
      <c r="M116" s="2"/>
    </row>
    <row r="117" spans="6:13" x14ac:dyDescent="0.3">
      <c r="F117" s="2"/>
      <c r="M117" s="2"/>
    </row>
    <row r="118" spans="6:13" x14ac:dyDescent="0.3">
      <c r="F118" s="2"/>
      <c r="M118" s="2"/>
    </row>
    <row r="119" spans="6:13" x14ac:dyDescent="0.3">
      <c r="F119" s="2"/>
      <c r="M119" s="2"/>
    </row>
    <row r="120" spans="6:13" x14ac:dyDescent="0.3">
      <c r="F120" s="2"/>
      <c r="M120" s="2"/>
    </row>
    <row r="121" spans="6:13" x14ac:dyDescent="0.3">
      <c r="F121" s="2"/>
      <c r="M121" s="2"/>
    </row>
    <row r="122" spans="6:13" x14ac:dyDescent="0.3">
      <c r="F122" s="2"/>
      <c r="M122" s="2"/>
    </row>
    <row r="123" spans="6:13" x14ac:dyDescent="0.3">
      <c r="F123" s="2"/>
      <c r="M123" s="2"/>
    </row>
    <row r="124" spans="6:13" x14ac:dyDescent="0.3">
      <c r="F124" s="2"/>
      <c r="M124" s="2"/>
    </row>
    <row r="125" spans="6:13" x14ac:dyDescent="0.3">
      <c r="F125" s="2"/>
      <c r="M125" s="2"/>
    </row>
    <row r="126" spans="6:13" x14ac:dyDescent="0.3">
      <c r="F126" s="2"/>
      <c r="M126" s="2"/>
    </row>
    <row r="127" spans="6:13" x14ac:dyDescent="0.3">
      <c r="F127" s="2"/>
      <c r="M127" s="2"/>
    </row>
    <row r="128" spans="6:13" x14ac:dyDescent="0.3">
      <c r="F128" s="2"/>
      <c r="M128" s="2"/>
    </row>
    <row r="129" spans="6:13" x14ac:dyDescent="0.3">
      <c r="F129" s="2"/>
      <c r="M129" s="2"/>
    </row>
    <row r="130" spans="6:13" x14ac:dyDescent="0.3">
      <c r="F130" s="2"/>
      <c r="M130" s="2"/>
    </row>
    <row r="131" spans="6:13" x14ac:dyDescent="0.3">
      <c r="F131" s="2"/>
      <c r="M131" s="2"/>
    </row>
    <row r="132" spans="6:13" x14ac:dyDescent="0.3">
      <c r="F132" s="2"/>
      <c r="M132" s="2"/>
    </row>
    <row r="133" spans="6:13" x14ac:dyDescent="0.3">
      <c r="F133" s="2"/>
      <c r="M133" s="2"/>
    </row>
    <row r="134" spans="6:13" x14ac:dyDescent="0.3">
      <c r="F134" s="2"/>
      <c r="M134" s="2"/>
    </row>
    <row r="135" spans="6:13" x14ac:dyDescent="0.3">
      <c r="F135" s="2"/>
      <c r="M135" s="2"/>
    </row>
    <row r="136" spans="6:13" x14ac:dyDescent="0.3">
      <c r="F136" s="2"/>
      <c r="M136" s="2"/>
    </row>
    <row r="137" spans="6:13" x14ac:dyDescent="0.3">
      <c r="F137" s="2"/>
      <c r="M137" s="2"/>
    </row>
    <row r="138" spans="6:13" x14ac:dyDescent="0.3">
      <c r="F138" s="2"/>
      <c r="M138" s="2"/>
    </row>
    <row r="139" spans="6:13" x14ac:dyDescent="0.3">
      <c r="F139" s="2"/>
      <c r="M139" s="2"/>
    </row>
    <row r="140" spans="6:13" x14ac:dyDescent="0.3">
      <c r="F140" s="2"/>
      <c r="M140" s="2"/>
    </row>
    <row r="141" spans="6:13" x14ac:dyDescent="0.3">
      <c r="F141" s="2"/>
      <c r="M141" s="2"/>
    </row>
    <row r="142" spans="6:13" x14ac:dyDescent="0.3">
      <c r="F142" s="2"/>
      <c r="M142" s="2"/>
    </row>
    <row r="143" spans="6:13" x14ac:dyDescent="0.3">
      <c r="F143" s="2"/>
      <c r="M143" s="2"/>
    </row>
    <row r="144" spans="6:13" x14ac:dyDescent="0.3">
      <c r="F144" s="2"/>
      <c r="M144" s="2"/>
    </row>
    <row r="145" spans="6:13" x14ac:dyDescent="0.3">
      <c r="F145" s="2"/>
      <c r="M145" s="2"/>
    </row>
    <row r="146" spans="6:13" x14ac:dyDescent="0.3">
      <c r="F146" s="2"/>
      <c r="M146" s="2"/>
    </row>
    <row r="147" spans="6:13" x14ac:dyDescent="0.3">
      <c r="F147" s="2"/>
      <c r="M147" s="2"/>
    </row>
    <row r="148" spans="6:13" x14ac:dyDescent="0.3">
      <c r="F148" s="2"/>
      <c r="M148" s="2"/>
    </row>
    <row r="149" spans="6:13" x14ac:dyDescent="0.3">
      <c r="F149" s="2"/>
      <c r="M149" s="2"/>
    </row>
    <row r="150" spans="6:13" x14ac:dyDescent="0.3">
      <c r="F150" s="2"/>
      <c r="M150" s="2"/>
    </row>
    <row r="151" spans="6:13" x14ac:dyDescent="0.3">
      <c r="F151" s="2"/>
      <c r="M151" s="2"/>
    </row>
    <row r="152" spans="6:13" x14ac:dyDescent="0.3">
      <c r="F152" s="2"/>
      <c r="M152" s="2"/>
    </row>
    <row r="153" spans="6:13" x14ac:dyDescent="0.3">
      <c r="F153" s="2"/>
      <c r="M153" s="2"/>
    </row>
    <row r="154" spans="6:13" x14ac:dyDescent="0.3">
      <c r="F154" s="2"/>
      <c r="M154" s="2"/>
    </row>
    <row r="155" spans="6:13" x14ac:dyDescent="0.3">
      <c r="F155" s="2"/>
      <c r="M155" s="2"/>
    </row>
    <row r="156" spans="6:13" x14ac:dyDescent="0.3">
      <c r="F156" s="2"/>
      <c r="M156" s="2"/>
    </row>
    <row r="157" spans="6:13" x14ac:dyDescent="0.3">
      <c r="F157" s="2"/>
      <c r="M157" s="2"/>
    </row>
    <row r="158" spans="6:13" x14ac:dyDescent="0.3">
      <c r="F158" s="2"/>
      <c r="M158" s="2"/>
    </row>
    <row r="159" spans="6:13" x14ac:dyDescent="0.3">
      <c r="F159" s="2"/>
      <c r="M159" s="2"/>
    </row>
    <row r="160" spans="6:13" x14ac:dyDescent="0.3">
      <c r="F160" s="2"/>
      <c r="M160" s="2"/>
    </row>
    <row r="161" spans="6:13" x14ac:dyDescent="0.3">
      <c r="F161" s="2"/>
      <c r="M161" s="2"/>
    </row>
    <row r="162" spans="6:13" x14ac:dyDescent="0.3">
      <c r="F162" s="2"/>
      <c r="M162" s="2"/>
    </row>
    <row r="163" spans="6:13" x14ac:dyDescent="0.3">
      <c r="F163" s="2"/>
      <c r="M163" s="2"/>
    </row>
    <row r="164" spans="6:13" x14ac:dyDescent="0.3">
      <c r="F164" s="2"/>
      <c r="M164" s="2"/>
    </row>
    <row r="165" spans="6:13" x14ac:dyDescent="0.3">
      <c r="F165" s="2"/>
      <c r="M165" s="2"/>
    </row>
    <row r="166" spans="6:13" x14ac:dyDescent="0.3">
      <c r="F166" s="2"/>
      <c r="M166" s="2"/>
    </row>
    <row r="167" spans="6:13" x14ac:dyDescent="0.3">
      <c r="F167" s="2"/>
      <c r="M167" s="2"/>
    </row>
    <row r="168" spans="6:13" x14ac:dyDescent="0.3">
      <c r="F168" s="2"/>
      <c r="M168" s="2"/>
    </row>
    <row r="169" spans="6:13" x14ac:dyDescent="0.3">
      <c r="F169" s="2"/>
      <c r="M169" s="2"/>
    </row>
    <row r="170" spans="6:13" x14ac:dyDescent="0.3">
      <c r="F170" s="2"/>
      <c r="M170" s="2"/>
    </row>
    <row r="171" spans="6:13" x14ac:dyDescent="0.3">
      <c r="F171" s="2"/>
      <c r="M171" s="2"/>
    </row>
    <row r="172" spans="6:13" x14ac:dyDescent="0.3">
      <c r="F172" s="2"/>
      <c r="M172" s="2"/>
    </row>
    <row r="173" spans="6:13" x14ac:dyDescent="0.3">
      <c r="F173" s="2"/>
      <c r="M173" s="2"/>
    </row>
    <row r="174" spans="6:13" x14ac:dyDescent="0.3">
      <c r="F174" s="2"/>
      <c r="M174" s="2"/>
    </row>
    <row r="175" spans="6:13" x14ac:dyDescent="0.3">
      <c r="F175" s="2"/>
      <c r="M175" s="2"/>
    </row>
    <row r="176" spans="6:13" x14ac:dyDescent="0.3">
      <c r="F176" s="2"/>
      <c r="M176" s="2"/>
    </row>
    <row r="177" spans="6:13" x14ac:dyDescent="0.3">
      <c r="F177" s="2"/>
      <c r="M177" s="2"/>
    </row>
    <row r="178" spans="6:13" x14ac:dyDescent="0.3">
      <c r="F178" s="2"/>
      <c r="M178" s="2"/>
    </row>
    <row r="179" spans="6:13" x14ac:dyDescent="0.3">
      <c r="F179" s="2"/>
      <c r="M179" s="2"/>
    </row>
    <row r="180" spans="6:13" x14ac:dyDescent="0.3">
      <c r="F180" s="2"/>
      <c r="M180" s="2"/>
    </row>
    <row r="181" spans="6:13" x14ac:dyDescent="0.3">
      <c r="F181" s="2"/>
      <c r="M181" s="2"/>
    </row>
    <row r="182" spans="6:13" x14ac:dyDescent="0.3">
      <c r="F182" s="2"/>
      <c r="M182" s="2"/>
    </row>
    <row r="183" spans="6:13" x14ac:dyDescent="0.3">
      <c r="F183" s="2"/>
      <c r="M183" s="2"/>
    </row>
    <row r="184" spans="6:13" x14ac:dyDescent="0.3">
      <c r="F184" s="2"/>
      <c r="M184" s="2"/>
    </row>
    <row r="185" spans="6:13" x14ac:dyDescent="0.3">
      <c r="F185" s="2"/>
      <c r="M185" s="2"/>
    </row>
    <row r="186" spans="6:13" x14ac:dyDescent="0.3">
      <c r="F186" s="2"/>
      <c r="M186" s="2"/>
    </row>
    <row r="187" spans="6:13" x14ac:dyDescent="0.3">
      <c r="F187" s="2"/>
      <c r="M187" s="2"/>
    </row>
    <row r="188" spans="6:13" x14ac:dyDescent="0.3">
      <c r="F188" s="2"/>
      <c r="M188" s="2"/>
    </row>
    <row r="189" spans="6:13" x14ac:dyDescent="0.3">
      <c r="F189" s="2"/>
      <c r="M189" s="2"/>
    </row>
    <row r="190" spans="6:13" x14ac:dyDescent="0.3">
      <c r="F190" s="2"/>
      <c r="M190" s="2"/>
    </row>
    <row r="191" spans="6:13" x14ac:dyDescent="0.3">
      <c r="F191" s="2"/>
      <c r="M191" s="2"/>
    </row>
    <row r="192" spans="6:13" x14ac:dyDescent="0.3">
      <c r="F192" s="2"/>
      <c r="M192" s="2"/>
    </row>
    <row r="193" spans="6:13" x14ac:dyDescent="0.3">
      <c r="F193" s="2"/>
      <c r="M193" s="2"/>
    </row>
    <row r="194" spans="6:13" x14ac:dyDescent="0.3">
      <c r="F194" s="2"/>
      <c r="M194" s="2"/>
    </row>
    <row r="195" spans="6:13" x14ac:dyDescent="0.3">
      <c r="F195" s="2"/>
      <c r="M195" s="2"/>
    </row>
    <row r="196" spans="6:13" x14ac:dyDescent="0.3">
      <c r="F196" s="2"/>
      <c r="M196" s="2"/>
    </row>
    <row r="197" spans="6:13" x14ac:dyDescent="0.3">
      <c r="F197" s="2"/>
      <c r="M197" s="2"/>
    </row>
    <row r="198" spans="6:13" x14ac:dyDescent="0.3">
      <c r="F198" s="2"/>
      <c r="M198" s="2"/>
    </row>
    <row r="199" spans="6:13" x14ac:dyDescent="0.3">
      <c r="F199" s="2"/>
      <c r="M199" s="2"/>
    </row>
    <row r="200" spans="6:13" x14ac:dyDescent="0.3">
      <c r="F200" s="2"/>
      <c r="M200" s="2"/>
    </row>
    <row r="201" spans="6:13" x14ac:dyDescent="0.3">
      <c r="F201" s="2"/>
      <c r="M201" s="2"/>
    </row>
    <row r="202" spans="6:13" x14ac:dyDescent="0.3">
      <c r="F202" s="2"/>
      <c r="M202" s="2"/>
    </row>
    <row r="203" spans="6:13" x14ac:dyDescent="0.3">
      <c r="F203" s="2"/>
      <c r="M203" s="2"/>
    </row>
    <row r="204" spans="6:13" x14ac:dyDescent="0.3">
      <c r="F204" s="2"/>
      <c r="M204" s="2"/>
    </row>
    <row r="205" spans="6:13" x14ac:dyDescent="0.3">
      <c r="F205" s="2"/>
      <c r="M205" s="2"/>
    </row>
    <row r="206" spans="6:13" x14ac:dyDescent="0.3">
      <c r="F206" s="2"/>
      <c r="M206" s="2"/>
    </row>
    <row r="207" spans="6:13" x14ac:dyDescent="0.3">
      <c r="F207" s="2"/>
      <c r="M207" s="2"/>
    </row>
    <row r="208" spans="6:13" x14ac:dyDescent="0.3">
      <c r="F208" s="2"/>
      <c r="M208" s="2"/>
    </row>
    <row r="209" spans="6:13" x14ac:dyDescent="0.3">
      <c r="F209" s="2"/>
      <c r="M209" s="2"/>
    </row>
    <row r="210" spans="6:13" x14ac:dyDescent="0.3">
      <c r="F210" s="2"/>
      <c r="M210" s="2"/>
    </row>
    <row r="211" spans="6:13" x14ac:dyDescent="0.3">
      <c r="F211" s="2"/>
      <c r="M211" s="2"/>
    </row>
    <row r="212" spans="6:13" x14ac:dyDescent="0.3">
      <c r="F212" s="2"/>
      <c r="M212" s="2"/>
    </row>
    <row r="213" spans="6:13" x14ac:dyDescent="0.3">
      <c r="F213" s="2"/>
      <c r="M213" s="2"/>
    </row>
    <row r="214" spans="6:13" x14ac:dyDescent="0.3">
      <c r="F214" s="2"/>
      <c r="M214" s="2"/>
    </row>
    <row r="215" spans="6:13" x14ac:dyDescent="0.3">
      <c r="F215" s="2"/>
      <c r="M215" s="2"/>
    </row>
    <row r="216" spans="6:13" x14ac:dyDescent="0.3">
      <c r="F216" s="2"/>
      <c r="M216" s="2"/>
    </row>
    <row r="217" spans="6:13" x14ac:dyDescent="0.3">
      <c r="F217" s="2"/>
      <c r="M217" s="2"/>
    </row>
    <row r="218" spans="6:13" x14ac:dyDescent="0.3">
      <c r="F218" s="2"/>
      <c r="M218" s="2"/>
    </row>
    <row r="219" spans="6:13" x14ac:dyDescent="0.3">
      <c r="F219" s="2"/>
      <c r="M219" s="2"/>
    </row>
    <row r="220" spans="6:13" x14ac:dyDescent="0.3">
      <c r="F220" s="2"/>
      <c r="M220" s="2"/>
    </row>
    <row r="221" spans="6:13" x14ac:dyDescent="0.3">
      <c r="F221" s="2"/>
      <c r="M221" s="2"/>
    </row>
    <row r="222" spans="6:13" x14ac:dyDescent="0.3">
      <c r="F222" s="2"/>
      <c r="M222" s="2"/>
    </row>
    <row r="223" spans="6:13" x14ac:dyDescent="0.3">
      <c r="F223" s="2"/>
      <c r="M223" s="2"/>
    </row>
    <row r="224" spans="6:13" x14ac:dyDescent="0.3">
      <c r="F224" s="2"/>
      <c r="M224" s="2"/>
    </row>
    <row r="225" spans="6:13" x14ac:dyDescent="0.3">
      <c r="F225" s="2"/>
      <c r="M225" s="2"/>
    </row>
    <row r="226" spans="6:13" x14ac:dyDescent="0.3">
      <c r="F226" s="2"/>
      <c r="M226" s="2"/>
    </row>
    <row r="227" spans="6:13" x14ac:dyDescent="0.3">
      <c r="F227" s="2"/>
      <c r="M227" s="2"/>
    </row>
    <row r="228" spans="6:13" x14ac:dyDescent="0.3">
      <c r="F228" s="2"/>
      <c r="M228" s="2"/>
    </row>
    <row r="229" spans="6:13" x14ac:dyDescent="0.3">
      <c r="F229" s="2"/>
      <c r="M229" s="2"/>
    </row>
    <row r="230" spans="6:13" x14ac:dyDescent="0.3">
      <c r="F230" s="2"/>
      <c r="M230" s="2"/>
    </row>
    <row r="231" spans="6:13" x14ac:dyDescent="0.3">
      <c r="F231" s="2"/>
      <c r="M231" s="2"/>
    </row>
    <row r="232" spans="6:13" x14ac:dyDescent="0.3">
      <c r="F232" s="2"/>
      <c r="M232" s="2"/>
    </row>
    <row r="233" spans="6:13" x14ac:dyDescent="0.3">
      <c r="F233" s="2"/>
      <c r="M233" s="2"/>
    </row>
    <row r="234" spans="6:13" x14ac:dyDescent="0.3">
      <c r="F234" s="2"/>
      <c r="M234" s="2"/>
    </row>
    <row r="235" spans="6:13" x14ac:dyDescent="0.3">
      <c r="F235" s="2"/>
      <c r="M235" s="2"/>
    </row>
    <row r="236" spans="6:13" x14ac:dyDescent="0.3">
      <c r="F236" s="2"/>
      <c r="M236" s="2"/>
    </row>
    <row r="237" spans="6:13" x14ac:dyDescent="0.3">
      <c r="F237" s="2"/>
      <c r="M237" s="2"/>
    </row>
    <row r="238" spans="6:13" x14ac:dyDescent="0.3">
      <c r="F238" s="2"/>
      <c r="M238" s="2"/>
    </row>
    <row r="239" spans="6:13" x14ac:dyDescent="0.3">
      <c r="F239" s="2"/>
      <c r="M239" s="2"/>
    </row>
    <row r="240" spans="6:13" x14ac:dyDescent="0.3">
      <c r="F240" s="2"/>
      <c r="M240" s="2"/>
    </row>
    <row r="241" spans="6:13" x14ac:dyDescent="0.3">
      <c r="F241" s="2"/>
      <c r="M241" s="2"/>
    </row>
    <row r="242" spans="6:13" x14ac:dyDescent="0.3">
      <c r="F242" s="2"/>
      <c r="M242" s="2"/>
    </row>
    <row r="243" spans="6:13" x14ac:dyDescent="0.3">
      <c r="F243" s="2"/>
      <c r="M243" s="2"/>
    </row>
    <row r="244" spans="6:13" x14ac:dyDescent="0.3">
      <c r="F244" s="2"/>
      <c r="M244" s="2"/>
    </row>
    <row r="245" spans="6:13" x14ac:dyDescent="0.3">
      <c r="F245" s="2"/>
      <c r="M245" s="2"/>
    </row>
    <row r="246" spans="6:13" x14ac:dyDescent="0.3">
      <c r="F246" s="2"/>
      <c r="M246" s="2"/>
    </row>
    <row r="247" spans="6:13" x14ac:dyDescent="0.3">
      <c r="F247" s="2"/>
      <c r="M247" s="2"/>
    </row>
    <row r="248" spans="6:13" x14ac:dyDescent="0.3">
      <c r="F248" s="2"/>
      <c r="M248" s="2"/>
    </row>
    <row r="249" spans="6:13" x14ac:dyDescent="0.3">
      <c r="F249" s="2"/>
      <c r="M249" s="2"/>
    </row>
    <row r="250" spans="6:13" x14ac:dyDescent="0.3">
      <c r="F250" s="2"/>
      <c r="M250" s="2"/>
    </row>
    <row r="251" spans="6:13" x14ac:dyDescent="0.3">
      <c r="F251" s="2"/>
      <c r="M251" s="2"/>
    </row>
    <row r="252" spans="6:13" x14ac:dyDescent="0.3">
      <c r="F252" s="2"/>
      <c r="M252" s="2"/>
    </row>
    <row r="253" spans="6:13" x14ac:dyDescent="0.3">
      <c r="F253" s="2"/>
      <c r="M253" s="2"/>
    </row>
    <row r="254" spans="6:13" x14ac:dyDescent="0.3">
      <c r="F254" s="2"/>
      <c r="M254" s="2"/>
    </row>
    <row r="255" spans="6:13" x14ac:dyDescent="0.3">
      <c r="F255" s="2"/>
      <c r="M255" s="2"/>
    </row>
    <row r="256" spans="6:13" x14ac:dyDescent="0.3">
      <c r="F256" s="2"/>
      <c r="M256" s="2"/>
    </row>
    <row r="257" spans="6:13" x14ac:dyDescent="0.3">
      <c r="F257" s="2"/>
      <c r="M257" s="2"/>
    </row>
    <row r="258" spans="6:13" x14ac:dyDescent="0.3">
      <c r="F258" s="2"/>
      <c r="M258" s="2"/>
    </row>
    <row r="259" spans="6:13" x14ac:dyDescent="0.3">
      <c r="F259" s="2"/>
      <c r="M259" s="2"/>
    </row>
    <row r="260" spans="6:13" x14ac:dyDescent="0.3">
      <c r="F260" s="2"/>
      <c r="M260" s="2"/>
    </row>
    <row r="261" spans="6:13" x14ac:dyDescent="0.3">
      <c r="F261" s="2"/>
      <c r="M261" s="2"/>
    </row>
    <row r="262" spans="6:13" x14ac:dyDescent="0.3">
      <c r="F262" s="2"/>
      <c r="M262" s="2"/>
    </row>
    <row r="263" spans="6:13" x14ac:dyDescent="0.3">
      <c r="F263" s="2"/>
      <c r="M263" s="2"/>
    </row>
    <row r="264" spans="6:13" x14ac:dyDescent="0.3">
      <c r="F264" s="2"/>
      <c r="M264" s="2"/>
    </row>
    <row r="265" spans="6:13" x14ac:dyDescent="0.3">
      <c r="F265" s="2"/>
      <c r="M265" s="2"/>
    </row>
    <row r="266" spans="6:13" x14ac:dyDescent="0.3">
      <c r="F266" s="2"/>
      <c r="M266" s="2"/>
    </row>
    <row r="267" spans="6:13" x14ac:dyDescent="0.3">
      <c r="F267" s="2"/>
      <c r="M267" s="2"/>
    </row>
    <row r="268" spans="6:13" x14ac:dyDescent="0.3">
      <c r="F268" s="2"/>
      <c r="M268" s="2"/>
    </row>
    <row r="269" spans="6:13" x14ac:dyDescent="0.3">
      <c r="F269" s="2"/>
      <c r="M269" s="2"/>
    </row>
    <row r="270" spans="6:13" x14ac:dyDescent="0.3">
      <c r="F270" s="2"/>
      <c r="M270" s="2"/>
    </row>
    <row r="271" spans="6:13" x14ac:dyDescent="0.3">
      <c r="F271" s="2"/>
      <c r="M271" s="2"/>
    </row>
    <row r="272" spans="6:13" x14ac:dyDescent="0.3">
      <c r="F272" s="2"/>
      <c r="M272" s="2"/>
    </row>
    <row r="273" spans="6:13" x14ac:dyDescent="0.3">
      <c r="F273" s="2"/>
      <c r="M273" s="2"/>
    </row>
    <row r="274" spans="6:13" x14ac:dyDescent="0.3">
      <c r="F274" s="2"/>
      <c r="M274" s="2"/>
    </row>
    <row r="275" spans="6:13" x14ac:dyDescent="0.3">
      <c r="F275" s="2"/>
      <c r="M275" s="2"/>
    </row>
    <row r="276" spans="6:13" x14ac:dyDescent="0.3">
      <c r="F276" s="2"/>
      <c r="M276" s="2"/>
    </row>
    <row r="277" spans="6:13" x14ac:dyDescent="0.3">
      <c r="F277" s="2"/>
      <c r="M277" s="2"/>
    </row>
    <row r="278" spans="6:13" x14ac:dyDescent="0.3">
      <c r="F278" s="2"/>
      <c r="M278" s="2"/>
    </row>
    <row r="279" spans="6:13" x14ac:dyDescent="0.3">
      <c r="F279" s="2"/>
      <c r="M279" s="2"/>
    </row>
    <row r="280" spans="6:13" x14ac:dyDescent="0.3">
      <c r="F280" s="2"/>
      <c r="M280" s="2"/>
    </row>
    <row r="281" spans="6:13" x14ac:dyDescent="0.3">
      <c r="F281" s="2"/>
      <c r="M281" s="2"/>
    </row>
    <row r="282" spans="6:13" x14ac:dyDescent="0.3">
      <c r="F282" s="2"/>
      <c r="M282" s="2"/>
    </row>
    <row r="283" spans="6:13" x14ac:dyDescent="0.3">
      <c r="F283" s="2"/>
      <c r="M283" s="2"/>
    </row>
    <row r="284" spans="6:13" x14ac:dyDescent="0.3">
      <c r="F284" s="2"/>
      <c r="M284" s="2"/>
    </row>
    <row r="285" spans="6:13" x14ac:dyDescent="0.3">
      <c r="F285" s="2"/>
      <c r="M285" s="2"/>
    </row>
    <row r="286" spans="6:13" x14ac:dyDescent="0.3">
      <c r="F286" s="2"/>
      <c r="M286" s="2"/>
    </row>
    <row r="287" spans="6:13" x14ac:dyDescent="0.3">
      <c r="F287" s="2"/>
      <c r="M287" s="2"/>
    </row>
    <row r="288" spans="6:13" x14ac:dyDescent="0.3">
      <c r="F288" s="2"/>
      <c r="M288" s="2"/>
    </row>
    <row r="289" spans="6:13" x14ac:dyDescent="0.3">
      <c r="F289" s="2"/>
      <c r="M289" s="2"/>
    </row>
    <row r="290" spans="6:13" x14ac:dyDescent="0.3">
      <c r="F290" s="2"/>
      <c r="M290" s="2"/>
    </row>
    <row r="291" spans="6:13" x14ac:dyDescent="0.3">
      <c r="F291" s="2"/>
      <c r="M291" s="2"/>
    </row>
    <row r="292" spans="6:13" x14ac:dyDescent="0.3">
      <c r="F292" s="2"/>
      <c r="M292" s="2"/>
    </row>
    <row r="293" spans="6:13" x14ac:dyDescent="0.3">
      <c r="F293" s="2"/>
      <c r="M293" s="2"/>
    </row>
    <row r="294" spans="6:13" x14ac:dyDescent="0.3">
      <c r="F294" s="2"/>
      <c r="M294" s="2"/>
    </row>
    <row r="295" spans="6:13" x14ac:dyDescent="0.3">
      <c r="F295" s="2"/>
      <c r="M295" s="2"/>
    </row>
    <row r="296" spans="6:13" x14ac:dyDescent="0.3">
      <c r="F296" s="2"/>
      <c r="M296" s="2"/>
    </row>
    <row r="297" spans="6:13" x14ac:dyDescent="0.3">
      <c r="F297" s="2"/>
      <c r="M297" s="2"/>
    </row>
    <row r="298" spans="6:13" x14ac:dyDescent="0.3">
      <c r="F298" s="2"/>
      <c r="M298" s="2"/>
    </row>
    <row r="299" spans="6:13" x14ac:dyDescent="0.3">
      <c r="F299" s="2"/>
      <c r="M299" s="2"/>
    </row>
    <row r="300" spans="6:13" x14ac:dyDescent="0.3">
      <c r="F300" s="2"/>
      <c r="M300" s="2"/>
    </row>
    <row r="301" spans="6:13" x14ac:dyDescent="0.3">
      <c r="F301" s="2"/>
      <c r="M301" s="2"/>
    </row>
    <row r="302" spans="6:13" x14ac:dyDescent="0.3">
      <c r="F302" s="2"/>
      <c r="M302" s="2"/>
    </row>
    <row r="303" spans="6:13" x14ac:dyDescent="0.3">
      <c r="F303" s="2"/>
      <c r="M303" s="2"/>
    </row>
    <row r="304" spans="6:13" x14ac:dyDescent="0.3">
      <c r="F304" s="2"/>
      <c r="M304" s="2"/>
    </row>
    <row r="305" spans="6:13" x14ac:dyDescent="0.3">
      <c r="F305" s="2"/>
      <c r="M305" s="2"/>
    </row>
    <row r="306" spans="6:13" x14ac:dyDescent="0.3">
      <c r="F306" s="2"/>
      <c r="M306" s="2"/>
    </row>
    <row r="307" spans="6:13" x14ac:dyDescent="0.3">
      <c r="F307" s="2"/>
      <c r="M307" s="2"/>
    </row>
    <row r="308" spans="6:13" x14ac:dyDescent="0.3">
      <c r="F308" s="2"/>
      <c r="M308" s="2"/>
    </row>
    <row r="309" spans="6:13" x14ac:dyDescent="0.3">
      <c r="F309" s="2"/>
      <c r="M309" s="2"/>
    </row>
    <row r="310" spans="6:13" x14ac:dyDescent="0.3">
      <c r="F310" s="2"/>
      <c r="M310" s="2"/>
    </row>
    <row r="311" spans="6:13" x14ac:dyDescent="0.3">
      <c r="F311" s="2"/>
      <c r="M311" s="2"/>
    </row>
    <row r="312" spans="6:13" x14ac:dyDescent="0.3">
      <c r="F312" s="2"/>
      <c r="M312" s="2"/>
    </row>
    <row r="313" spans="6:13" x14ac:dyDescent="0.3">
      <c r="F313" s="2"/>
      <c r="M313" s="2"/>
    </row>
    <row r="314" spans="6:13" x14ac:dyDescent="0.3">
      <c r="F314" s="2"/>
      <c r="M314" s="2"/>
    </row>
    <row r="315" spans="6:13" x14ac:dyDescent="0.3">
      <c r="F315" s="2"/>
      <c r="M315" s="2"/>
    </row>
    <row r="316" spans="6:13" x14ac:dyDescent="0.3">
      <c r="F316" s="2"/>
      <c r="M316" s="2"/>
    </row>
    <row r="317" spans="6:13" x14ac:dyDescent="0.3">
      <c r="F317" s="2"/>
      <c r="M317" s="2"/>
    </row>
    <row r="318" spans="6:13" x14ac:dyDescent="0.3">
      <c r="F318" s="2"/>
      <c r="M318" s="2"/>
    </row>
    <row r="319" spans="6:13" x14ac:dyDescent="0.3">
      <c r="F319" s="2"/>
      <c r="M319" s="2"/>
    </row>
    <row r="320" spans="6:13" x14ac:dyDescent="0.3">
      <c r="F320" s="2"/>
      <c r="M320" s="2"/>
    </row>
    <row r="321" spans="6:13" x14ac:dyDescent="0.3">
      <c r="F321" s="2"/>
      <c r="M321" s="2"/>
    </row>
    <row r="322" spans="6:13" x14ac:dyDescent="0.3">
      <c r="F322" s="2"/>
      <c r="M322" s="2"/>
    </row>
    <row r="323" spans="6:13" x14ac:dyDescent="0.3">
      <c r="F323" s="2"/>
      <c r="M323" s="2"/>
    </row>
    <row r="324" spans="6:13" x14ac:dyDescent="0.3">
      <c r="F324" s="2"/>
      <c r="M324" s="2"/>
    </row>
    <row r="325" spans="6:13" x14ac:dyDescent="0.3">
      <c r="F325" s="2"/>
      <c r="M325" s="2"/>
    </row>
    <row r="326" spans="6:13" x14ac:dyDescent="0.3">
      <c r="F326" s="2"/>
      <c r="M326" s="2"/>
    </row>
    <row r="327" spans="6:13" x14ac:dyDescent="0.3">
      <c r="F327" s="2"/>
      <c r="M327" s="2"/>
    </row>
    <row r="328" spans="6:13" x14ac:dyDescent="0.3">
      <c r="F328" s="2"/>
      <c r="M328" s="2"/>
    </row>
    <row r="329" spans="6:13" x14ac:dyDescent="0.3">
      <c r="F329" s="2"/>
      <c r="M329" s="2"/>
    </row>
    <row r="330" spans="6:13" x14ac:dyDescent="0.3">
      <c r="F330" s="2"/>
      <c r="M330" s="2"/>
    </row>
    <row r="331" spans="6:13" x14ac:dyDescent="0.3">
      <c r="F331" s="2"/>
      <c r="M331" s="2"/>
    </row>
    <row r="332" spans="6:13" x14ac:dyDescent="0.3">
      <c r="F332" s="2"/>
      <c r="M332" s="2"/>
    </row>
    <row r="333" spans="6:13" x14ac:dyDescent="0.3">
      <c r="F333" s="2"/>
      <c r="M333" s="2"/>
    </row>
    <row r="334" spans="6:13" x14ac:dyDescent="0.3">
      <c r="F334" s="2"/>
      <c r="M334" s="2"/>
    </row>
    <row r="335" spans="6:13" x14ac:dyDescent="0.3">
      <c r="F335" s="2"/>
      <c r="M335" s="2"/>
    </row>
    <row r="336" spans="6:13" x14ac:dyDescent="0.3">
      <c r="F336" s="2"/>
      <c r="M336" s="2"/>
    </row>
    <row r="337" spans="6:13" x14ac:dyDescent="0.3">
      <c r="F337" s="2"/>
      <c r="M337" s="2"/>
    </row>
    <row r="338" spans="6:13" x14ac:dyDescent="0.3">
      <c r="F338" s="2"/>
      <c r="M338" s="2"/>
    </row>
    <row r="339" spans="6:13" x14ac:dyDescent="0.3">
      <c r="F339" s="2"/>
      <c r="M339" s="2"/>
    </row>
    <row r="340" spans="6:13" x14ac:dyDescent="0.3">
      <c r="F340" s="2"/>
      <c r="M340" s="2"/>
    </row>
    <row r="341" spans="6:13" x14ac:dyDescent="0.3">
      <c r="F341" s="2"/>
      <c r="M341" s="2"/>
    </row>
    <row r="342" spans="6:13" x14ac:dyDescent="0.3">
      <c r="F342" s="2"/>
      <c r="M342" s="2"/>
    </row>
    <row r="343" spans="6:13" x14ac:dyDescent="0.3">
      <c r="F343" s="2"/>
      <c r="M343" s="2"/>
    </row>
    <row r="344" spans="6:13" x14ac:dyDescent="0.3">
      <c r="F344" s="2"/>
      <c r="M344" s="2"/>
    </row>
    <row r="345" spans="6:13" x14ac:dyDescent="0.3">
      <c r="F345" s="2"/>
      <c r="M345" s="2"/>
    </row>
    <row r="346" spans="6:13" x14ac:dyDescent="0.3">
      <c r="F346" s="2"/>
      <c r="M346" s="2"/>
    </row>
    <row r="347" spans="6:13" x14ac:dyDescent="0.3">
      <c r="F347" s="2"/>
      <c r="M347" s="2"/>
    </row>
    <row r="348" spans="6:13" x14ac:dyDescent="0.3">
      <c r="F348" s="2"/>
      <c r="M348" s="2"/>
    </row>
    <row r="349" spans="6:13" x14ac:dyDescent="0.3">
      <c r="F349" s="2"/>
      <c r="M349" s="2"/>
    </row>
    <row r="350" spans="6:13" x14ac:dyDescent="0.3">
      <c r="F350" s="2"/>
      <c r="M350" s="2"/>
    </row>
    <row r="351" spans="6:13" x14ac:dyDescent="0.3">
      <c r="F351" s="2"/>
      <c r="M351" s="2"/>
    </row>
    <row r="352" spans="6:13" x14ac:dyDescent="0.3">
      <c r="F352" s="2"/>
      <c r="M352" s="2"/>
    </row>
    <row r="353" spans="6:13" x14ac:dyDescent="0.3">
      <c r="F353" s="2"/>
      <c r="M353" s="2"/>
    </row>
    <row r="354" spans="6:13" x14ac:dyDescent="0.3">
      <c r="F354" s="2"/>
      <c r="M354" s="2"/>
    </row>
    <row r="355" spans="6:13" x14ac:dyDescent="0.3">
      <c r="F355" s="2"/>
      <c r="M355" s="2"/>
    </row>
    <row r="356" spans="6:13" x14ac:dyDescent="0.3">
      <c r="F356" s="2"/>
      <c r="M356" s="2"/>
    </row>
    <row r="357" spans="6:13" x14ac:dyDescent="0.3">
      <c r="F357" s="2"/>
      <c r="M357" s="2"/>
    </row>
    <row r="358" spans="6:13" x14ac:dyDescent="0.3">
      <c r="F358" s="2"/>
      <c r="M358" s="2"/>
    </row>
    <row r="359" spans="6:13" x14ac:dyDescent="0.3">
      <c r="F359" s="2"/>
      <c r="M359" s="2"/>
    </row>
    <row r="360" spans="6:13" x14ac:dyDescent="0.3">
      <c r="F360" s="2"/>
      <c r="M360" s="2"/>
    </row>
    <row r="361" spans="6:13" x14ac:dyDescent="0.3">
      <c r="F361" s="2"/>
      <c r="M361" s="2"/>
    </row>
    <row r="362" spans="6:13" x14ac:dyDescent="0.3">
      <c r="F362" s="2"/>
      <c r="M362" s="2"/>
    </row>
    <row r="363" spans="6:13" x14ac:dyDescent="0.3">
      <c r="F363" s="2"/>
      <c r="M363" s="2"/>
    </row>
    <row r="364" spans="6:13" x14ac:dyDescent="0.3">
      <c r="F364" s="2"/>
      <c r="M364" s="2"/>
    </row>
    <row r="365" spans="6:13" x14ac:dyDescent="0.3">
      <c r="F365" s="2"/>
      <c r="M365" s="2"/>
    </row>
    <row r="366" spans="6:13" x14ac:dyDescent="0.3">
      <c r="F366" s="2"/>
      <c r="M366" s="2"/>
    </row>
    <row r="367" spans="6:13" x14ac:dyDescent="0.3">
      <c r="F367" s="2"/>
      <c r="M367" s="2"/>
    </row>
    <row r="368" spans="6:13" x14ac:dyDescent="0.3">
      <c r="F368" s="2"/>
      <c r="M368" s="2"/>
    </row>
    <row r="369" spans="6:13" x14ac:dyDescent="0.3">
      <c r="F369" s="2"/>
      <c r="M369" s="2"/>
    </row>
    <row r="370" spans="6:13" x14ac:dyDescent="0.3">
      <c r="F370" s="2"/>
      <c r="M370" s="2"/>
    </row>
    <row r="371" spans="6:13" x14ac:dyDescent="0.3">
      <c r="F371" s="2"/>
      <c r="M371" s="2"/>
    </row>
    <row r="372" spans="6:13" x14ac:dyDescent="0.3">
      <c r="F372" s="2"/>
      <c r="M372" s="2"/>
    </row>
    <row r="373" spans="6:13" x14ac:dyDescent="0.3">
      <c r="F373" s="2"/>
      <c r="M373" s="2"/>
    </row>
    <row r="374" spans="6:13" x14ac:dyDescent="0.3">
      <c r="F374" s="2"/>
      <c r="M374" s="2"/>
    </row>
    <row r="375" spans="6:13" x14ac:dyDescent="0.3">
      <c r="F375" s="2"/>
      <c r="M375" s="2"/>
    </row>
    <row r="376" spans="6:13" x14ac:dyDescent="0.3">
      <c r="F376" s="2"/>
      <c r="M376" s="2"/>
    </row>
    <row r="377" spans="6:13" x14ac:dyDescent="0.3">
      <c r="F377" s="2"/>
      <c r="M377" s="2"/>
    </row>
    <row r="378" spans="6:13" x14ac:dyDescent="0.3">
      <c r="F378" s="2"/>
      <c r="M378" s="2"/>
    </row>
    <row r="379" spans="6:13" x14ac:dyDescent="0.3">
      <c r="F379" s="2"/>
      <c r="M379" s="2"/>
    </row>
    <row r="380" spans="6:13" x14ac:dyDescent="0.3">
      <c r="F380" s="2"/>
      <c r="M380" s="2"/>
    </row>
    <row r="381" spans="6:13" x14ac:dyDescent="0.3">
      <c r="F381" s="2"/>
      <c r="M381" s="2"/>
    </row>
    <row r="382" spans="6:13" x14ac:dyDescent="0.3">
      <c r="F382" s="2"/>
      <c r="M382" s="2"/>
    </row>
    <row r="383" spans="6:13" x14ac:dyDescent="0.3">
      <c r="F383" s="2"/>
      <c r="M383" s="2"/>
    </row>
  </sheetData>
  <mergeCells count="5">
    <mergeCell ref="H6:L6"/>
    <mergeCell ref="H7:L7"/>
    <mergeCell ref="M6:O6"/>
    <mergeCell ref="M7:O7"/>
    <mergeCell ref="B1:O3"/>
  </mergeCells>
  <phoneticPr fontId="3" type="noConversion"/>
  <conditionalFormatting sqref="N35:N94">
    <cfRule type="expression" dxfId="13" priority="1">
      <formula>$N35&lt;0</formula>
    </cfRule>
  </conditionalFormatting>
  <dataValidations count="3">
    <dataValidation type="list" allowBlank="1" showInputMessage="1" showErrorMessage="1" sqref="I11:I30 I35:I94" xr:uid="{BDD11176-C3B7-4E9C-937D-753CF31B31D2}">
      <formula1>계정</formula1>
    </dataValidation>
    <dataValidation type="list" allowBlank="1" showInputMessage="1" showErrorMessage="1" sqref="J11:J30 C11:C30 J35:J94 C35:C94" xr:uid="{C62D1AF8-D90C-45A5-BED3-2585C1BA075D}">
      <formula1>대분류</formula1>
    </dataValidation>
    <dataValidation type="list" allowBlank="1" showInputMessage="1" showErrorMessage="1" sqref="D11:D30 K11:K30 K35:K94 D35:D94" xr:uid="{21ACF856-3BBD-40FC-8AFA-4F8FBFA5B84B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D977D-2CA2-4D44-A414-A7E2DE38724B}">
  <sheetPr codeName="Sheet42">
    <tabColor theme="4"/>
    <pageSetUpPr autoPageBreaks="0" fitToPage="1"/>
  </sheetPr>
  <dimension ref="A1:AG383"/>
  <sheetViews>
    <sheetView showGridLines="0" zoomScale="90" zoomScaleNormal="90" zoomScalePageLayoutView="1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187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158"/>
      <c r="T5" s="159"/>
      <c r="U5" s="160"/>
    </row>
    <row r="6" spans="1:32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6"/>
      <c r="N6" s="586"/>
      <c r="O6" s="586"/>
      <c r="Q6" s="157"/>
      <c r="R6" s="158"/>
      <c r="T6" s="159"/>
      <c r="U6" s="161"/>
    </row>
    <row r="7" spans="1:32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7"/>
      <c r="N7" s="587"/>
      <c r="O7" s="587"/>
      <c r="Q7" s="74"/>
      <c r="R7" s="162"/>
      <c r="T7" s="159"/>
    </row>
    <row r="8" spans="1:32" ht="9" customHeight="1" x14ac:dyDescent="0.3"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O9" s="111"/>
      <c r="Q9" s="157"/>
      <c r="R9" s="158"/>
      <c r="S9" s="43"/>
      <c r="T9" s="159"/>
      <c r="U9" s="43"/>
      <c r="V9" s="43"/>
      <c r="W9" s="43"/>
      <c r="X9" s="157"/>
      <c r="Y9" s="164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101"/>
      <c r="Q11" s="50"/>
      <c r="R11" s="53"/>
      <c r="S11" s="53"/>
      <c r="T11" s="53"/>
      <c r="U11" s="107"/>
      <c r="V11" s="166"/>
      <c r="W11" s="3"/>
      <c r="X11" s="50"/>
      <c r="Y11" s="53"/>
      <c r="Z11" s="53"/>
      <c r="AA11" s="53"/>
      <c r="AB11" s="107"/>
      <c r="AC11" s="167"/>
      <c r="AD11" s="168"/>
      <c r="AE11" s="169"/>
      <c r="AF11" s="170"/>
    </row>
    <row r="12" spans="1:32" x14ac:dyDescent="0.3">
      <c r="B12" s="10"/>
      <c r="C12" s="11"/>
      <c r="D12" s="7"/>
      <c r="E12" s="8"/>
      <c r="F12" s="9"/>
      <c r="G12" s="3"/>
      <c r="H12" s="10"/>
      <c r="I12" s="11"/>
      <c r="J12" s="11"/>
      <c r="K12" s="11"/>
      <c r="L12" s="8"/>
      <c r="M12" s="9"/>
      <c r="N12" s="46"/>
      <c r="O12" s="101"/>
      <c r="Q12" s="50"/>
      <c r="R12" s="53"/>
      <c r="S12" s="53"/>
      <c r="T12" s="53"/>
      <c r="U12" s="107"/>
      <c r="V12" s="166"/>
      <c r="W12" s="3"/>
      <c r="X12" s="50"/>
      <c r="Y12" s="53"/>
      <c r="Z12" s="53"/>
      <c r="AA12" s="53"/>
      <c r="AB12" s="107"/>
      <c r="AC12" s="167"/>
      <c r="AD12" s="168"/>
      <c r="AE12" s="169"/>
      <c r="AF12" s="170"/>
    </row>
    <row r="13" spans="1:32" x14ac:dyDescent="0.3">
      <c r="B13" s="6"/>
      <c r="C13" s="11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101"/>
      <c r="Q13" s="50"/>
      <c r="R13" s="53"/>
      <c r="S13" s="53"/>
      <c r="T13" s="53"/>
      <c r="U13" s="107"/>
      <c r="V13" s="166"/>
      <c r="W13" s="3"/>
      <c r="X13" s="50"/>
      <c r="Y13" s="53"/>
      <c r="Z13" s="53"/>
      <c r="AA13" s="53"/>
      <c r="AB13" s="107"/>
      <c r="AC13" s="167"/>
      <c r="AD13" s="168"/>
      <c r="AE13" s="169"/>
      <c r="AF13" s="170"/>
    </row>
    <row r="14" spans="1:32" x14ac:dyDescent="0.3">
      <c r="B14" s="6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101"/>
      <c r="Q14" s="50"/>
      <c r="R14" s="53"/>
      <c r="S14" s="53"/>
      <c r="T14" s="53"/>
      <c r="U14" s="107"/>
      <c r="V14" s="166"/>
      <c r="W14" s="3"/>
      <c r="X14" s="50"/>
      <c r="Y14" s="53"/>
      <c r="Z14" s="53"/>
      <c r="AA14" s="53"/>
      <c r="AB14" s="107"/>
      <c r="AC14" s="167"/>
      <c r="AD14" s="168"/>
      <c r="AE14" s="169"/>
      <c r="AF14" s="170"/>
    </row>
    <row r="15" spans="1:32" x14ac:dyDescent="0.3">
      <c r="B15" s="6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102"/>
      <c r="Q15" s="50"/>
      <c r="R15" s="53"/>
      <c r="S15" s="53"/>
      <c r="T15" s="53"/>
      <c r="U15" s="107"/>
      <c r="V15" s="166"/>
      <c r="W15" s="3"/>
      <c r="X15" s="50"/>
      <c r="Y15" s="53"/>
      <c r="Z15" s="53"/>
      <c r="AA15" s="53"/>
      <c r="AB15" s="107"/>
      <c r="AC15" s="167"/>
      <c r="AD15" s="168"/>
      <c r="AE15" s="169"/>
      <c r="AF15" s="170"/>
    </row>
    <row r="16" spans="1:32" x14ac:dyDescent="0.3">
      <c r="B16" s="6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102"/>
      <c r="Q16" s="50"/>
      <c r="R16" s="53"/>
      <c r="S16" s="53"/>
      <c r="T16" s="53"/>
      <c r="U16" s="107"/>
      <c r="V16" s="166"/>
      <c r="W16" s="3"/>
      <c r="X16" s="50"/>
      <c r="Y16" s="53"/>
      <c r="Z16" s="53"/>
      <c r="AA16" s="53"/>
      <c r="AB16" s="107"/>
      <c r="AC16" s="167"/>
      <c r="AD16" s="168"/>
      <c r="AE16" s="169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102"/>
      <c r="Q17" s="50"/>
      <c r="R17" s="53"/>
      <c r="S17" s="53"/>
      <c r="T17" s="53"/>
      <c r="U17" s="107"/>
      <c r="V17" s="166"/>
      <c r="W17" s="3"/>
      <c r="X17" s="50"/>
      <c r="Y17" s="53"/>
      <c r="Z17" s="53"/>
      <c r="AA17" s="53"/>
      <c r="AB17" s="107"/>
      <c r="AC17" s="167"/>
      <c r="AD17" s="168"/>
      <c r="AE17" s="169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102"/>
      <c r="Q18" s="50"/>
      <c r="R18" s="53"/>
      <c r="S18" s="53"/>
      <c r="T18" s="53"/>
      <c r="U18" s="107"/>
      <c r="V18" s="166"/>
      <c r="W18" s="3"/>
      <c r="X18" s="50"/>
      <c r="Y18" s="53"/>
      <c r="Z18" s="53"/>
      <c r="AA18" s="53"/>
      <c r="AB18" s="107"/>
      <c r="AC18" s="167"/>
      <c r="AD18" s="168"/>
      <c r="AE18" s="169"/>
      <c r="AF18" s="170"/>
    </row>
    <row r="19" spans="2:32" x14ac:dyDescent="0.3">
      <c r="B19" s="10"/>
      <c r="C19" s="7"/>
      <c r="D19" s="7"/>
      <c r="E19" s="8"/>
      <c r="F19" s="9"/>
      <c r="G19" s="3"/>
      <c r="H19" s="6"/>
      <c r="I19" s="11"/>
      <c r="J19" s="11"/>
      <c r="K19" s="11"/>
      <c r="L19" s="8"/>
      <c r="M19" s="9"/>
      <c r="N19" s="9"/>
      <c r="O19" s="102"/>
      <c r="Q19" s="50"/>
      <c r="R19" s="53"/>
      <c r="S19" s="53"/>
      <c r="T19" s="53"/>
      <c r="U19" s="107"/>
      <c r="V19" s="166"/>
      <c r="W19" s="3"/>
      <c r="X19" s="50"/>
      <c r="Y19" s="53"/>
      <c r="Z19" s="53"/>
      <c r="AA19" s="53"/>
      <c r="AB19" s="107"/>
      <c r="AC19" s="167"/>
      <c r="AD19" s="168"/>
      <c r="AE19" s="169"/>
      <c r="AF19" s="170"/>
    </row>
    <row r="20" spans="2:32" x14ac:dyDescent="0.3">
      <c r="B20" s="10"/>
      <c r="C20" s="7"/>
      <c r="D20" s="7"/>
      <c r="E20" s="8"/>
      <c r="F20" s="9"/>
      <c r="G20" s="3"/>
      <c r="H20" s="6"/>
      <c r="I20" s="11"/>
      <c r="J20" s="11"/>
      <c r="K20" s="11"/>
      <c r="L20" s="8"/>
      <c r="M20" s="46"/>
      <c r="N20" s="9"/>
      <c r="O20" s="102"/>
      <c r="Q20" s="50"/>
      <c r="R20" s="53"/>
      <c r="S20" s="53"/>
      <c r="T20" s="53"/>
      <c r="U20" s="107"/>
      <c r="V20" s="166"/>
      <c r="W20" s="3"/>
      <c r="X20" s="50"/>
      <c r="Y20" s="53"/>
      <c r="Z20" s="53"/>
      <c r="AA20" s="53"/>
      <c r="AB20" s="107"/>
      <c r="AC20" s="167"/>
      <c r="AD20" s="168"/>
      <c r="AE20" s="169"/>
      <c r="AF20" s="170"/>
    </row>
    <row r="21" spans="2:32" x14ac:dyDescent="0.3">
      <c r="B21" s="10"/>
      <c r="C21" s="7"/>
      <c r="D21" s="7"/>
      <c r="E21" s="8"/>
      <c r="F21" s="9"/>
      <c r="G21" s="3"/>
      <c r="H21" s="6"/>
      <c r="I21" s="11"/>
      <c r="J21" s="11"/>
      <c r="K21" s="11"/>
      <c r="L21" s="8"/>
      <c r="M21" s="46"/>
      <c r="N21" s="9"/>
      <c r="O21" s="102"/>
      <c r="Q21" s="50"/>
      <c r="R21" s="53"/>
      <c r="S21" s="53"/>
      <c r="T21" s="53"/>
      <c r="U21" s="107"/>
      <c r="V21" s="166"/>
      <c r="W21" s="3"/>
      <c r="X21" s="50"/>
      <c r="Y21" s="53"/>
      <c r="Z21" s="53"/>
      <c r="AA21" s="53"/>
      <c r="AB21" s="107"/>
      <c r="AC21" s="167"/>
      <c r="AD21" s="168"/>
      <c r="AE21" s="169"/>
      <c r="AF21" s="170"/>
    </row>
    <row r="22" spans="2:32" x14ac:dyDescent="0.3">
      <c r="B22" s="10"/>
      <c r="C22" s="7"/>
      <c r="D22" s="7"/>
      <c r="E22" s="8"/>
      <c r="F22" s="9"/>
      <c r="G22" s="3"/>
      <c r="H22" s="103"/>
      <c r="I22" s="11"/>
      <c r="J22" s="11"/>
      <c r="K22" s="11"/>
      <c r="L22" s="8"/>
      <c r="M22" s="46"/>
      <c r="N22" s="104"/>
      <c r="O22" s="102"/>
      <c r="Q22" s="50"/>
      <c r="R22" s="53"/>
      <c r="S22" s="53"/>
      <c r="T22" s="53"/>
      <c r="U22" s="107"/>
      <c r="V22" s="166"/>
      <c r="W22" s="3"/>
      <c r="X22" s="50"/>
      <c r="Y22" s="53"/>
      <c r="Z22" s="53"/>
      <c r="AA22" s="53"/>
      <c r="AB22" s="107"/>
      <c r="AC22" s="167"/>
      <c r="AD22" s="168"/>
      <c r="AE22" s="169"/>
      <c r="AF22" s="170"/>
    </row>
    <row r="23" spans="2:32" x14ac:dyDescent="0.3">
      <c r="B23" s="10"/>
      <c r="C23" s="7"/>
      <c r="D23" s="7"/>
      <c r="E23" s="8"/>
      <c r="F23" s="9"/>
      <c r="G23" s="3"/>
      <c r="H23" s="103"/>
      <c r="I23" s="11"/>
      <c r="J23" s="11"/>
      <c r="K23" s="11"/>
      <c r="L23" s="8"/>
      <c r="M23" s="46"/>
      <c r="N23" s="104"/>
      <c r="O23" s="102"/>
      <c r="Q23" s="50"/>
      <c r="R23" s="53"/>
      <c r="S23" s="53"/>
      <c r="T23" s="53"/>
      <c r="U23" s="107"/>
      <c r="V23" s="166"/>
      <c r="W23" s="3"/>
      <c r="X23" s="50"/>
      <c r="Y23" s="53"/>
      <c r="Z23" s="53"/>
      <c r="AA23" s="53"/>
      <c r="AB23" s="107"/>
      <c r="AC23" s="167"/>
      <c r="AD23" s="168"/>
      <c r="AE23" s="169"/>
      <c r="AF23" s="170"/>
    </row>
    <row r="24" spans="2:32" x14ac:dyDescent="0.3">
      <c r="B24" s="10"/>
      <c r="C24" s="7"/>
      <c r="D24" s="7"/>
      <c r="E24" s="8"/>
      <c r="F24" s="9"/>
      <c r="G24" s="3"/>
      <c r="H24" s="103"/>
      <c r="I24" s="11"/>
      <c r="J24" s="11"/>
      <c r="K24" s="11"/>
      <c r="L24" s="8"/>
      <c r="M24" s="46"/>
      <c r="N24" s="104"/>
      <c r="O24" s="102"/>
      <c r="Q24" s="50"/>
      <c r="R24" s="53"/>
      <c r="S24" s="53"/>
      <c r="T24" s="53"/>
      <c r="U24" s="107"/>
      <c r="V24" s="166"/>
      <c r="W24" s="3"/>
      <c r="X24" s="50"/>
      <c r="Y24" s="53"/>
      <c r="Z24" s="53"/>
      <c r="AA24" s="53"/>
      <c r="AB24" s="107"/>
      <c r="AC24" s="167"/>
      <c r="AD24" s="168"/>
      <c r="AE24" s="169"/>
      <c r="AF24" s="170"/>
    </row>
    <row r="25" spans="2:32" x14ac:dyDescent="0.3">
      <c r="B25" s="10"/>
      <c r="C25" s="7"/>
      <c r="D25" s="7"/>
      <c r="E25" s="8"/>
      <c r="F25" s="9"/>
      <c r="G25" s="3"/>
      <c r="H25" s="103"/>
      <c r="I25" s="11"/>
      <c r="J25" s="11"/>
      <c r="K25" s="11"/>
      <c r="L25" s="8"/>
      <c r="M25" s="46"/>
      <c r="N25" s="104"/>
      <c r="O25" s="102"/>
      <c r="Q25" s="50"/>
      <c r="R25" s="53"/>
      <c r="S25" s="53"/>
      <c r="T25" s="53"/>
      <c r="U25" s="107"/>
      <c r="V25" s="166"/>
      <c r="W25" s="3"/>
      <c r="X25" s="50"/>
      <c r="Y25" s="53"/>
      <c r="Z25" s="53"/>
      <c r="AA25" s="53"/>
      <c r="AB25" s="107"/>
      <c r="AC25" s="167"/>
      <c r="AD25" s="168"/>
      <c r="AE25" s="169"/>
      <c r="AF25" s="170"/>
    </row>
    <row r="26" spans="2:32" x14ac:dyDescent="0.3">
      <c r="B26" s="10"/>
      <c r="C26" s="7"/>
      <c r="D26" s="7"/>
      <c r="E26" s="8"/>
      <c r="F26" s="9"/>
      <c r="G26" s="3"/>
      <c r="H26" s="103"/>
      <c r="I26" s="11"/>
      <c r="J26" s="11"/>
      <c r="K26" s="11"/>
      <c r="L26" s="8"/>
      <c r="M26" s="46"/>
      <c r="N26" s="104"/>
      <c r="O26" s="102"/>
      <c r="Q26" s="50"/>
      <c r="R26" s="53"/>
      <c r="S26" s="53"/>
      <c r="T26" s="53"/>
      <c r="U26" s="107"/>
      <c r="V26" s="166"/>
      <c r="W26" s="3"/>
      <c r="X26" s="50"/>
      <c r="Y26" s="53"/>
      <c r="Z26" s="53"/>
      <c r="AA26" s="53"/>
      <c r="AB26" s="107"/>
      <c r="AC26" s="167"/>
      <c r="AD26" s="168"/>
      <c r="AE26" s="169"/>
      <c r="AF26" s="170"/>
    </row>
    <row r="27" spans="2:32" x14ac:dyDescent="0.3">
      <c r="B27" s="10"/>
      <c r="C27" s="7"/>
      <c r="D27" s="7"/>
      <c r="E27" s="8"/>
      <c r="F27" s="9"/>
      <c r="G27" s="3"/>
      <c r="H27" s="103"/>
      <c r="I27" s="11"/>
      <c r="J27" s="11"/>
      <c r="K27" s="11"/>
      <c r="L27" s="105"/>
      <c r="M27" s="48"/>
      <c r="N27" s="104"/>
      <c r="O27" s="106"/>
      <c r="Q27" s="50"/>
      <c r="R27" s="53"/>
      <c r="S27" s="53"/>
      <c r="T27" s="53"/>
      <c r="U27" s="107"/>
      <c r="V27" s="166"/>
      <c r="W27" s="3"/>
      <c r="X27" s="50"/>
      <c r="Y27" s="53"/>
      <c r="Z27" s="53"/>
      <c r="AA27" s="53"/>
      <c r="AB27" s="107"/>
      <c r="AC27" s="167"/>
      <c r="AD27" s="168"/>
      <c r="AE27" s="169"/>
      <c r="AF27" s="170"/>
    </row>
    <row r="28" spans="2:32" x14ac:dyDescent="0.3">
      <c r="B28" s="10"/>
      <c r="C28" s="7"/>
      <c r="D28" s="7"/>
      <c r="E28" s="8"/>
      <c r="F28" s="9"/>
      <c r="G28" s="3"/>
      <c r="H28" s="103"/>
      <c r="I28" s="11"/>
      <c r="J28" s="11"/>
      <c r="K28" s="11"/>
      <c r="L28" s="105"/>
      <c r="M28" s="48"/>
      <c r="N28" s="104"/>
      <c r="O28" s="106"/>
      <c r="Q28" s="50"/>
      <c r="R28" s="53"/>
      <c r="S28" s="53"/>
      <c r="T28" s="53"/>
      <c r="U28" s="107"/>
      <c r="V28" s="166"/>
      <c r="W28" s="3"/>
      <c r="X28" s="50"/>
      <c r="Y28" s="53"/>
      <c r="Z28" s="53"/>
      <c r="AA28" s="53"/>
      <c r="AB28" s="107"/>
      <c r="AC28" s="167"/>
      <c r="AD28" s="168"/>
      <c r="AE28" s="169"/>
      <c r="AF28" s="170"/>
    </row>
    <row r="29" spans="2:32" x14ac:dyDescent="0.3">
      <c r="B29" s="10"/>
      <c r="C29" s="7"/>
      <c r="D29" s="7"/>
      <c r="E29" s="8"/>
      <c r="F29" s="9"/>
      <c r="G29" s="3"/>
      <c r="H29" s="103"/>
      <c r="I29" s="11"/>
      <c r="J29" s="11"/>
      <c r="K29" s="11"/>
      <c r="L29" s="105"/>
      <c r="M29" s="48"/>
      <c r="N29" s="104"/>
      <c r="O29" s="106"/>
      <c r="Q29" s="50"/>
      <c r="R29" s="53"/>
      <c r="S29" s="53"/>
      <c r="T29" s="53"/>
      <c r="U29" s="107"/>
      <c r="V29" s="166"/>
      <c r="W29" s="3"/>
      <c r="X29" s="50"/>
      <c r="Y29" s="53"/>
      <c r="Z29" s="53"/>
      <c r="AA29" s="53"/>
      <c r="AB29" s="107"/>
      <c r="AC29" s="167"/>
      <c r="AD29" s="168"/>
      <c r="AE29" s="169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8"/>
      <c r="N30" s="104"/>
      <c r="O30" s="106"/>
      <c r="Q30" s="50"/>
      <c r="R30" s="53"/>
      <c r="S30" s="53"/>
      <c r="T30" s="53"/>
      <c r="U30" s="107"/>
      <c r="V30" s="166"/>
      <c r="W30" s="3"/>
      <c r="X30" s="50"/>
      <c r="Y30" s="53"/>
      <c r="Z30" s="53"/>
      <c r="AA30" s="53"/>
      <c r="AB30" s="107"/>
      <c r="AC30" s="167"/>
      <c r="AD30" s="168"/>
      <c r="AE30" s="169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110"/>
      <c r="Q31" s="50"/>
      <c r="R31" s="53"/>
      <c r="S31" s="53"/>
      <c r="T31" s="53"/>
      <c r="U31" s="107"/>
      <c r="V31" s="169"/>
      <c r="W31" s="3"/>
      <c r="X31" s="50"/>
      <c r="Y31" s="53"/>
      <c r="Z31" s="53"/>
      <c r="AA31" s="53"/>
      <c r="AB31" s="107"/>
      <c r="AC31" s="171"/>
      <c r="AD31" s="168"/>
      <c r="AE31" s="169"/>
      <c r="AF31" s="170"/>
    </row>
    <row r="32" spans="2:32" x14ac:dyDescent="0.3">
      <c r="B32" s="50"/>
      <c r="C32" s="53"/>
      <c r="D32" s="53"/>
      <c r="E32" s="107"/>
      <c r="F32" s="54"/>
      <c r="G32" s="3"/>
      <c r="I32" s="109" t="s">
        <v>306</v>
      </c>
      <c r="J32" s="90">
        <f>예산!D40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9"/>
      <c r="W32" s="3"/>
      <c r="Y32" s="109"/>
      <c r="Z32" s="172"/>
      <c r="AA32" s="165"/>
      <c r="AB32" s="107"/>
      <c r="AC32" s="171"/>
      <c r="AD32" s="168"/>
      <c r="AE32" s="169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174"/>
      <c r="S33" s="62"/>
      <c r="T33" s="165"/>
      <c r="U33" s="88"/>
      <c r="V33" s="175"/>
      <c r="W33" s="43"/>
      <c r="X33" s="173"/>
      <c r="Y33" s="109"/>
      <c r="Z33" s="174"/>
      <c r="AA33" s="165"/>
      <c r="AB33" s="88"/>
      <c r="AC33" s="176"/>
      <c r="AD33" s="177"/>
      <c r="AE33" s="175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62"/>
      <c r="W34" s="43"/>
      <c r="X34" s="62"/>
      <c r="Y34" s="62"/>
      <c r="Z34" s="62"/>
      <c r="AA34" s="62"/>
      <c r="AB34" s="62"/>
      <c r="AC34" s="62"/>
      <c r="AD34" s="62"/>
      <c r="AE34" s="62"/>
      <c r="AF34" s="62"/>
    </row>
    <row r="35" spans="2:32" x14ac:dyDescent="0.3">
      <c r="B35" s="6"/>
      <c r="C35" s="11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101"/>
      <c r="Q35" s="50"/>
      <c r="R35" s="53"/>
      <c r="S35" s="53"/>
      <c r="T35" s="53"/>
      <c r="U35" s="107"/>
      <c r="V35" s="166"/>
      <c r="W35" s="3"/>
      <c r="X35" s="50"/>
      <c r="Y35" s="53"/>
      <c r="Z35" s="53"/>
      <c r="AA35" s="53"/>
      <c r="AB35" s="107"/>
      <c r="AC35" s="179"/>
      <c r="AD35" s="168"/>
      <c r="AE35" s="169"/>
      <c r="AF35" s="170"/>
    </row>
    <row r="36" spans="2:32" x14ac:dyDescent="0.3">
      <c r="B36" s="6"/>
      <c r="C36" s="11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101"/>
      <c r="Q36" s="50"/>
      <c r="R36" s="53"/>
      <c r="S36" s="53"/>
      <c r="T36" s="53"/>
      <c r="U36" s="107"/>
      <c r="V36" s="166"/>
      <c r="W36" s="3"/>
      <c r="X36" s="50"/>
      <c r="Y36" s="53"/>
      <c r="Z36" s="53"/>
      <c r="AA36" s="53"/>
      <c r="AB36" s="107"/>
      <c r="AC36" s="179"/>
      <c r="AD36" s="168"/>
      <c r="AE36" s="169"/>
      <c r="AF36" s="170"/>
    </row>
    <row r="37" spans="2:32" x14ac:dyDescent="0.3">
      <c r="B37" s="6"/>
      <c r="C37" s="11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44" si="0">IF(M37="","",N36-M37)</f>
        <v/>
      </c>
      <c r="O37" s="102"/>
      <c r="Q37" s="50"/>
      <c r="R37" s="53"/>
      <c r="S37" s="53"/>
      <c r="T37" s="53"/>
      <c r="U37" s="107"/>
      <c r="V37" s="166"/>
      <c r="W37" s="3"/>
      <c r="X37" s="50"/>
      <c r="Y37" s="53"/>
      <c r="Z37" s="53"/>
      <c r="AA37" s="53"/>
      <c r="AB37" s="107"/>
      <c r="AC37" s="179"/>
      <c r="AD37" s="168"/>
      <c r="AE37" s="169"/>
      <c r="AF37" s="170"/>
    </row>
    <row r="38" spans="2:32" x14ac:dyDescent="0.3">
      <c r="B38" s="6"/>
      <c r="C38" s="11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102"/>
      <c r="Q38" s="50"/>
      <c r="R38" s="53"/>
      <c r="S38" s="53"/>
      <c r="T38" s="53"/>
      <c r="U38" s="107"/>
      <c r="V38" s="166"/>
      <c r="W38" s="3"/>
      <c r="X38" s="50"/>
      <c r="Y38" s="53"/>
      <c r="Z38" s="53"/>
      <c r="AA38" s="53"/>
      <c r="AB38" s="107"/>
      <c r="AC38" s="179"/>
      <c r="AD38" s="168"/>
      <c r="AE38" s="169"/>
      <c r="AF38" s="170"/>
    </row>
    <row r="39" spans="2:32" x14ac:dyDescent="0.3">
      <c r="B39" s="6"/>
      <c r="C39" s="11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101"/>
      <c r="Q39" s="50"/>
      <c r="R39" s="53"/>
      <c r="S39" s="53"/>
      <c r="T39" s="53"/>
      <c r="U39" s="107"/>
      <c r="V39" s="166"/>
      <c r="W39" s="3"/>
      <c r="X39" s="50"/>
      <c r="Y39" s="53"/>
      <c r="Z39" s="53"/>
      <c r="AA39" s="53"/>
      <c r="AB39" s="107"/>
      <c r="AC39" s="179"/>
      <c r="AD39" s="168"/>
      <c r="AE39" s="169"/>
      <c r="AF39" s="170"/>
    </row>
    <row r="40" spans="2:32" x14ac:dyDescent="0.3">
      <c r="B40" s="6"/>
      <c r="C40" s="11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102"/>
      <c r="Q40" s="50"/>
      <c r="R40" s="53"/>
      <c r="S40" s="53"/>
      <c r="T40" s="53"/>
      <c r="U40" s="107"/>
      <c r="V40" s="166"/>
      <c r="W40" s="3"/>
      <c r="X40" s="50"/>
      <c r="Y40" s="53"/>
      <c r="Z40" s="53"/>
      <c r="AA40" s="53"/>
      <c r="AB40" s="107"/>
      <c r="AC40" s="179"/>
      <c r="AD40" s="168"/>
      <c r="AE40" s="169"/>
      <c r="AF40" s="170"/>
    </row>
    <row r="41" spans="2:32" x14ac:dyDescent="0.3">
      <c r="B41" s="6"/>
      <c r="C41" s="11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102"/>
      <c r="Q41" s="50"/>
      <c r="R41" s="53"/>
      <c r="S41" s="53"/>
      <c r="T41" s="53"/>
      <c r="U41" s="107"/>
      <c r="V41" s="166"/>
      <c r="W41" s="3"/>
      <c r="X41" s="50"/>
      <c r="Y41" s="53"/>
      <c r="Z41" s="53"/>
      <c r="AA41" s="53"/>
      <c r="AB41" s="107"/>
      <c r="AC41" s="179"/>
      <c r="AD41" s="168"/>
      <c r="AE41" s="169"/>
      <c r="AF41" s="170"/>
    </row>
    <row r="42" spans="2:32" x14ac:dyDescent="0.3">
      <c r="B42" s="6"/>
      <c r="C42" s="11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102"/>
      <c r="Q42" s="50"/>
      <c r="R42" s="53"/>
      <c r="S42" s="53"/>
      <c r="T42" s="53"/>
      <c r="U42" s="107"/>
      <c r="V42" s="166"/>
      <c r="W42" s="3"/>
      <c r="X42" s="50"/>
      <c r="Y42" s="53"/>
      <c r="Z42" s="53"/>
      <c r="AA42" s="53"/>
      <c r="AB42" s="107"/>
      <c r="AC42" s="179"/>
      <c r="AD42" s="168"/>
      <c r="AE42" s="169"/>
      <c r="AF42" s="170"/>
    </row>
    <row r="43" spans="2:32" x14ac:dyDescent="0.3">
      <c r="B43" s="6"/>
      <c r="C43" s="11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102"/>
      <c r="Q43" s="50"/>
      <c r="R43" s="53"/>
      <c r="S43" s="53"/>
      <c r="T43" s="53"/>
      <c r="U43" s="107"/>
      <c r="V43" s="166"/>
      <c r="W43" s="3"/>
      <c r="X43" s="50"/>
      <c r="Y43" s="53"/>
      <c r="Z43" s="53"/>
      <c r="AA43" s="53"/>
      <c r="AB43" s="107"/>
      <c r="AC43" s="179"/>
      <c r="AD43" s="168"/>
      <c r="AE43" s="169"/>
      <c r="AF43" s="170"/>
    </row>
    <row r="44" spans="2:32" ht="17.25" thickBot="1" x14ac:dyDescent="0.35">
      <c r="B44" s="6"/>
      <c r="C44" s="11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88"/>
      <c r="Q44" s="50"/>
      <c r="R44" s="53"/>
      <c r="S44" s="53"/>
      <c r="T44" s="53"/>
      <c r="U44" s="107"/>
      <c r="V44" s="166"/>
      <c r="W44" s="3"/>
      <c r="X44" s="50"/>
      <c r="Y44" s="53"/>
      <c r="Z44" s="53"/>
      <c r="AA44" s="53"/>
      <c r="AB44" s="107"/>
      <c r="AC44" s="179"/>
      <c r="AD44" s="168"/>
      <c r="AE44" s="169"/>
      <c r="AF44" s="170"/>
    </row>
    <row r="45" spans="2:32" x14ac:dyDescent="0.3">
      <c r="B45" s="6"/>
      <c r="C45" s="11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101"/>
      <c r="Q45" s="50"/>
      <c r="R45" s="53"/>
      <c r="S45" s="53"/>
      <c r="T45" s="53"/>
      <c r="U45" s="107"/>
      <c r="V45" s="166"/>
      <c r="W45" s="3"/>
      <c r="X45" s="50"/>
      <c r="Y45" s="53"/>
      <c r="Z45" s="53"/>
      <c r="AA45" s="53"/>
      <c r="AB45" s="107"/>
      <c r="AC45" s="179"/>
      <c r="AD45" s="168"/>
      <c r="AE45" s="169"/>
      <c r="AF45" s="170"/>
    </row>
    <row r="46" spans="2:32" x14ac:dyDescent="0.3">
      <c r="B46" s="6"/>
      <c r="C46" s="11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>IF(M46="","",N45-M46)</f>
        <v/>
      </c>
      <c r="O46" s="102"/>
      <c r="Q46" s="50"/>
      <c r="R46" s="53"/>
      <c r="S46" s="53"/>
      <c r="T46" s="53"/>
      <c r="U46" s="107"/>
      <c r="V46" s="166"/>
      <c r="W46" s="3"/>
      <c r="X46" s="50"/>
      <c r="Y46" s="53"/>
      <c r="Z46" s="53"/>
      <c r="AA46" s="53"/>
      <c r="AB46" s="107"/>
      <c r="AC46" s="179"/>
      <c r="AD46" s="168"/>
      <c r="AE46" s="169"/>
      <c r="AF46" s="170"/>
    </row>
    <row r="47" spans="2:32" x14ac:dyDescent="0.3">
      <c r="B47" s="6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ref="N47:N94" si="1">IF(M47="","",N46-M47)</f>
        <v/>
      </c>
      <c r="O47" s="102"/>
      <c r="Q47" s="50"/>
      <c r="R47" s="53"/>
      <c r="S47" s="53"/>
      <c r="T47" s="53"/>
      <c r="U47" s="107"/>
      <c r="V47" s="166"/>
      <c r="W47" s="3"/>
      <c r="X47" s="50"/>
      <c r="Y47" s="53"/>
      <c r="Z47" s="53"/>
      <c r="AA47" s="53"/>
      <c r="AB47" s="107"/>
      <c r="AC47" s="179"/>
      <c r="AD47" s="168"/>
      <c r="AE47" s="169"/>
      <c r="AF47" s="170"/>
    </row>
    <row r="48" spans="2:32" x14ac:dyDescent="0.3">
      <c r="B48" s="6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1"/>
        <v/>
      </c>
      <c r="O48" s="102"/>
      <c r="Q48" s="50"/>
      <c r="R48" s="53"/>
      <c r="S48" s="53"/>
      <c r="T48" s="53"/>
      <c r="U48" s="107"/>
      <c r="V48" s="166"/>
      <c r="W48" s="3"/>
      <c r="X48" s="50"/>
      <c r="Y48" s="53"/>
      <c r="Z48" s="53"/>
      <c r="AA48" s="53"/>
      <c r="AB48" s="107"/>
      <c r="AC48" s="179"/>
      <c r="AD48" s="168"/>
      <c r="AE48" s="169"/>
      <c r="AF48" s="170"/>
    </row>
    <row r="49" spans="2:32" x14ac:dyDescent="0.3">
      <c r="B49" s="6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1"/>
        <v/>
      </c>
      <c r="O49" s="102"/>
      <c r="Q49" s="50"/>
      <c r="R49" s="53"/>
      <c r="S49" s="53"/>
      <c r="T49" s="53"/>
      <c r="U49" s="107"/>
      <c r="V49" s="166"/>
      <c r="W49" s="3"/>
      <c r="X49" s="50"/>
      <c r="Y49" s="53"/>
      <c r="Z49" s="53"/>
      <c r="AA49" s="53"/>
      <c r="AB49" s="107"/>
      <c r="AC49" s="179"/>
      <c r="AD49" s="168"/>
      <c r="AE49" s="169"/>
      <c r="AF49" s="170"/>
    </row>
    <row r="50" spans="2:32" x14ac:dyDescent="0.3">
      <c r="B50" s="6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1"/>
        <v/>
      </c>
      <c r="O50" s="102"/>
      <c r="Q50" s="50"/>
      <c r="R50" s="53"/>
      <c r="S50" s="53"/>
      <c r="T50" s="53"/>
      <c r="U50" s="107"/>
      <c r="V50" s="166"/>
      <c r="W50" s="3"/>
      <c r="X50" s="50"/>
      <c r="Y50" s="53"/>
      <c r="Z50" s="53"/>
      <c r="AA50" s="53"/>
      <c r="AB50" s="107"/>
      <c r="AC50" s="179"/>
      <c r="AD50" s="168"/>
      <c r="AE50" s="169"/>
      <c r="AF50" s="170"/>
    </row>
    <row r="51" spans="2:32" x14ac:dyDescent="0.3">
      <c r="B51" s="6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1"/>
        <v/>
      </c>
      <c r="O51" s="102"/>
      <c r="Q51" s="50"/>
      <c r="R51" s="53"/>
      <c r="S51" s="53"/>
      <c r="T51" s="53"/>
      <c r="U51" s="107"/>
      <c r="V51" s="166"/>
      <c r="W51" s="3"/>
      <c r="X51" s="50"/>
      <c r="Y51" s="53"/>
      <c r="Z51" s="53"/>
      <c r="AA51" s="53"/>
      <c r="AB51" s="107"/>
      <c r="AC51" s="179"/>
      <c r="AD51" s="168"/>
      <c r="AE51" s="169"/>
      <c r="AF51" s="170"/>
    </row>
    <row r="52" spans="2:32" x14ac:dyDescent="0.3">
      <c r="B52" s="6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1"/>
        <v/>
      </c>
      <c r="O52" s="102"/>
      <c r="Q52" s="50"/>
      <c r="R52" s="53"/>
      <c r="S52" s="53"/>
      <c r="T52" s="53"/>
      <c r="U52" s="107"/>
      <c r="V52" s="166"/>
      <c r="W52" s="3"/>
      <c r="X52" s="50"/>
      <c r="Y52" s="53"/>
      <c r="Z52" s="53"/>
      <c r="AA52" s="53"/>
      <c r="AB52" s="107"/>
      <c r="AC52" s="179"/>
      <c r="AD52" s="168"/>
      <c r="AE52" s="169"/>
      <c r="AF52" s="170"/>
    </row>
    <row r="53" spans="2:32" x14ac:dyDescent="0.3">
      <c r="B53" s="6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1"/>
        <v/>
      </c>
      <c r="O53" s="102"/>
      <c r="Q53" s="50"/>
      <c r="R53" s="53"/>
      <c r="S53" s="53"/>
      <c r="T53" s="53"/>
      <c r="U53" s="107"/>
      <c r="V53" s="166"/>
      <c r="W53" s="3"/>
      <c r="X53" s="50"/>
      <c r="Y53" s="53"/>
      <c r="Z53" s="53"/>
      <c r="AA53" s="53"/>
      <c r="AB53" s="107"/>
      <c r="AC53" s="179"/>
      <c r="AD53" s="168"/>
      <c r="AE53" s="169"/>
      <c r="AF53" s="170"/>
    </row>
    <row r="54" spans="2:32" x14ac:dyDescent="0.3">
      <c r="B54" s="6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1"/>
        <v/>
      </c>
      <c r="O54" s="102"/>
      <c r="Q54" s="50"/>
      <c r="R54" s="53"/>
      <c r="S54" s="53"/>
      <c r="T54" s="53"/>
      <c r="U54" s="107"/>
      <c r="V54" s="166"/>
      <c r="W54" s="3"/>
      <c r="X54" s="50"/>
      <c r="Y54" s="53"/>
      <c r="Z54" s="53"/>
      <c r="AA54" s="53"/>
      <c r="AB54" s="107"/>
      <c r="AC54" s="179"/>
      <c r="AD54" s="168"/>
      <c r="AE54" s="169"/>
      <c r="AF54" s="170"/>
    </row>
    <row r="55" spans="2:32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1"/>
        <v/>
      </c>
      <c r="O55" s="102"/>
      <c r="Q55" s="50"/>
      <c r="R55" s="53"/>
      <c r="S55" s="53"/>
      <c r="T55" s="53"/>
      <c r="U55" s="107"/>
      <c r="V55" s="166"/>
      <c r="W55" s="3"/>
      <c r="X55" s="50"/>
      <c r="Y55" s="53"/>
      <c r="Z55" s="53"/>
      <c r="AA55" s="53"/>
      <c r="AB55" s="107"/>
      <c r="AC55" s="179"/>
      <c r="AD55" s="168"/>
      <c r="AE55" s="169"/>
      <c r="AF55" s="170"/>
    </row>
    <row r="56" spans="2:32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1"/>
        <v/>
      </c>
      <c r="O56" s="102"/>
      <c r="Q56" s="50"/>
      <c r="R56" s="53"/>
      <c r="S56" s="53"/>
      <c r="T56" s="53"/>
      <c r="U56" s="107"/>
      <c r="V56" s="166"/>
      <c r="W56" s="3"/>
      <c r="X56" s="50"/>
      <c r="Y56" s="53"/>
      <c r="Z56" s="53"/>
      <c r="AA56" s="53"/>
      <c r="AB56" s="107"/>
      <c r="AC56" s="179"/>
      <c r="AD56" s="168"/>
      <c r="AE56" s="169"/>
      <c r="AF56" s="170"/>
    </row>
    <row r="57" spans="2:32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1"/>
        <v/>
      </c>
      <c r="O57" s="102"/>
      <c r="Q57" s="50"/>
      <c r="R57" s="53"/>
      <c r="S57" s="53"/>
      <c r="T57" s="53"/>
      <c r="U57" s="107"/>
      <c r="V57" s="166"/>
      <c r="W57" s="3"/>
      <c r="X57" s="50"/>
      <c r="Y57" s="53"/>
      <c r="Z57" s="53"/>
      <c r="AA57" s="53"/>
      <c r="AB57" s="107"/>
      <c r="AC57" s="179"/>
      <c r="AD57" s="168"/>
      <c r="AE57" s="169"/>
      <c r="AF57" s="170"/>
    </row>
    <row r="58" spans="2:32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1"/>
        <v/>
      </c>
      <c r="O58" s="102"/>
      <c r="Q58" s="50"/>
      <c r="R58" s="53"/>
      <c r="S58" s="53"/>
      <c r="T58" s="53"/>
      <c r="U58" s="107"/>
      <c r="V58" s="166"/>
      <c r="W58" s="3"/>
      <c r="X58" s="50"/>
      <c r="Y58" s="53"/>
      <c r="Z58" s="53"/>
      <c r="AA58" s="53"/>
      <c r="AB58" s="107"/>
      <c r="AC58" s="179"/>
      <c r="AD58" s="168"/>
      <c r="AE58" s="169"/>
      <c r="AF58" s="170"/>
    </row>
    <row r="59" spans="2:32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1"/>
        <v/>
      </c>
      <c r="O59" s="102"/>
      <c r="Q59" s="50"/>
      <c r="R59" s="53"/>
      <c r="S59" s="53"/>
      <c r="T59" s="53"/>
      <c r="U59" s="107"/>
      <c r="V59" s="166"/>
      <c r="W59" s="3"/>
      <c r="X59" s="50"/>
      <c r="Y59" s="53"/>
      <c r="Z59" s="53"/>
      <c r="AA59" s="53"/>
      <c r="AB59" s="107"/>
      <c r="AC59" s="179"/>
      <c r="AD59" s="168"/>
      <c r="AE59" s="169"/>
      <c r="AF59" s="170"/>
    </row>
    <row r="60" spans="2:32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1"/>
        <v/>
      </c>
      <c r="O60" s="102"/>
      <c r="Q60" s="50"/>
      <c r="R60" s="53"/>
      <c r="S60" s="53"/>
      <c r="T60" s="53"/>
      <c r="U60" s="107"/>
      <c r="V60" s="166"/>
      <c r="W60" s="3"/>
      <c r="X60" s="50"/>
      <c r="Y60" s="53"/>
      <c r="Z60" s="53"/>
      <c r="AA60" s="53"/>
      <c r="AB60" s="107"/>
      <c r="AC60" s="179"/>
      <c r="AD60" s="168"/>
      <c r="AE60" s="169"/>
      <c r="AF60" s="170"/>
    </row>
    <row r="61" spans="2:32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1"/>
        <v/>
      </c>
      <c r="O61" s="102"/>
      <c r="Q61" s="50"/>
      <c r="R61" s="53"/>
      <c r="S61" s="53"/>
      <c r="T61" s="53"/>
      <c r="U61" s="107"/>
      <c r="V61" s="166"/>
      <c r="W61" s="3"/>
      <c r="X61" s="50"/>
      <c r="Y61" s="53"/>
      <c r="Z61" s="53"/>
      <c r="AA61" s="53"/>
      <c r="AB61" s="107"/>
      <c r="AC61" s="179"/>
      <c r="AD61" s="168"/>
      <c r="AE61" s="169"/>
      <c r="AF61" s="170"/>
    </row>
    <row r="62" spans="2:32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1"/>
        <v/>
      </c>
      <c r="O62" s="102"/>
      <c r="Q62" s="50"/>
      <c r="R62" s="53"/>
      <c r="S62" s="53"/>
      <c r="T62" s="53"/>
      <c r="U62" s="107"/>
      <c r="V62" s="166"/>
      <c r="W62" s="3"/>
      <c r="X62" s="50"/>
      <c r="Y62" s="53"/>
      <c r="Z62" s="53"/>
      <c r="AA62" s="53"/>
      <c r="AB62" s="107"/>
      <c r="AC62" s="179"/>
      <c r="AD62" s="168"/>
      <c r="AE62" s="169"/>
      <c r="AF62" s="170"/>
    </row>
    <row r="63" spans="2:32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1"/>
        <v/>
      </c>
      <c r="O63" s="102"/>
      <c r="Q63" s="50"/>
      <c r="R63" s="53"/>
      <c r="S63" s="53"/>
      <c r="T63" s="53"/>
      <c r="U63" s="107"/>
      <c r="V63" s="166"/>
      <c r="W63" s="3"/>
      <c r="X63" s="50"/>
      <c r="Y63" s="53"/>
      <c r="Z63" s="53"/>
      <c r="AA63" s="53"/>
      <c r="AB63" s="107"/>
      <c r="AC63" s="179"/>
      <c r="AD63" s="168"/>
      <c r="AE63" s="169"/>
      <c r="AF63" s="170"/>
    </row>
    <row r="64" spans="2:32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1"/>
        <v/>
      </c>
      <c r="O64" s="102"/>
      <c r="Q64" s="50"/>
      <c r="R64" s="53"/>
      <c r="S64" s="53"/>
      <c r="T64" s="53"/>
      <c r="U64" s="107"/>
      <c r="V64" s="166"/>
      <c r="W64" s="3"/>
      <c r="X64" s="50"/>
      <c r="Y64" s="53"/>
      <c r="Z64" s="53"/>
      <c r="AA64" s="53"/>
      <c r="AB64" s="107"/>
      <c r="AC64" s="179"/>
      <c r="AD64" s="168"/>
      <c r="AE64" s="169"/>
      <c r="AF64" s="170"/>
    </row>
    <row r="65" spans="2:32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1"/>
        <v/>
      </c>
      <c r="O65" s="102"/>
      <c r="Q65" s="50"/>
      <c r="R65" s="53"/>
      <c r="S65" s="53"/>
      <c r="T65" s="53"/>
      <c r="U65" s="107"/>
      <c r="V65" s="166"/>
      <c r="W65" s="3"/>
      <c r="X65" s="50"/>
      <c r="Y65" s="53"/>
      <c r="Z65" s="53"/>
      <c r="AA65" s="53"/>
      <c r="AB65" s="107"/>
      <c r="AC65" s="179"/>
      <c r="AD65" s="168"/>
      <c r="AE65" s="169"/>
      <c r="AF65" s="170"/>
    </row>
    <row r="66" spans="2:32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1"/>
        <v/>
      </c>
      <c r="O66" s="481"/>
      <c r="Q66" s="50"/>
      <c r="R66" s="53"/>
      <c r="S66" s="53"/>
      <c r="T66" s="53"/>
      <c r="U66" s="107"/>
      <c r="V66" s="166"/>
      <c r="W66" s="3"/>
      <c r="X66" s="50"/>
      <c r="Y66" s="53"/>
      <c r="Z66" s="53"/>
      <c r="AA66" s="53"/>
      <c r="AB66" s="107"/>
      <c r="AC66" s="179"/>
      <c r="AD66" s="168"/>
      <c r="AE66" s="169"/>
      <c r="AF66" s="168"/>
    </row>
    <row r="67" spans="2:32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1"/>
        <v/>
      </c>
      <c r="O67" s="481"/>
      <c r="Q67" s="50"/>
      <c r="R67" s="53"/>
      <c r="S67" s="53"/>
      <c r="T67" s="53"/>
      <c r="U67" s="107"/>
      <c r="V67" s="166"/>
      <c r="W67" s="3"/>
      <c r="X67" s="50"/>
      <c r="Y67" s="53"/>
      <c r="Z67" s="53"/>
      <c r="AA67" s="53"/>
      <c r="AB67" s="107"/>
      <c r="AC67" s="179"/>
      <c r="AD67" s="168"/>
      <c r="AE67" s="169"/>
      <c r="AF67" s="168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1"/>
        <v/>
      </c>
      <c r="O68" s="481"/>
      <c r="Q68" s="50"/>
      <c r="R68" s="53"/>
      <c r="S68" s="53"/>
      <c r="T68" s="53"/>
      <c r="U68" s="107"/>
      <c r="V68" s="166"/>
      <c r="W68" s="3"/>
      <c r="X68" s="50"/>
      <c r="Y68" s="53"/>
      <c r="Z68" s="53"/>
      <c r="AA68" s="53"/>
      <c r="AB68" s="107"/>
      <c r="AC68" s="179"/>
      <c r="AD68" s="168"/>
      <c r="AE68" s="169"/>
      <c r="AF68" s="168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1"/>
        <v/>
      </c>
      <c r="O69" s="481"/>
      <c r="Q69" s="50"/>
      <c r="R69" s="53"/>
      <c r="S69" s="53"/>
      <c r="T69" s="53"/>
      <c r="U69" s="107"/>
      <c r="V69" s="166"/>
      <c r="W69" s="3"/>
      <c r="X69" s="50"/>
      <c r="Y69" s="53"/>
      <c r="Z69" s="53"/>
      <c r="AA69" s="53"/>
      <c r="AB69" s="107"/>
      <c r="AC69" s="179"/>
      <c r="AD69" s="168"/>
      <c r="AE69" s="169"/>
      <c r="AF69" s="168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1"/>
        <v/>
      </c>
      <c r="O70" s="481"/>
      <c r="Q70" s="50"/>
      <c r="R70" s="53"/>
      <c r="S70" s="53"/>
      <c r="T70" s="53"/>
      <c r="U70" s="107"/>
      <c r="V70" s="166"/>
      <c r="W70" s="3"/>
      <c r="X70" s="50"/>
      <c r="Y70" s="53"/>
      <c r="Z70" s="53"/>
      <c r="AA70" s="53"/>
      <c r="AB70" s="107"/>
      <c r="AC70" s="179"/>
      <c r="AD70" s="168"/>
      <c r="AE70" s="169"/>
      <c r="AF70" s="168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1"/>
        <v/>
      </c>
      <c r="O71" s="481"/>
      <c r="Q71" s="50"/>
      <c r="R71" s="53"/>
      <c r="S71" s="53"/>
      <c r="T71" s="53"/>
      <c r="U71" s="107"/>
      <c r="V71" s="166"/>
      <c r="W71" s="3"/>
      <c r="X71" s="50"/>
      <c r="Y71" s="53"/>
      <c r="Z71" s="53"/>
      <c r="AA71" s="53"/>
      <c r="AB71" s="107"/>
      <c r="AC71" s="179"/>
      <c r="AD71" s="168"/>
      <c r="AE71" s="169"/>
      <c r="AF71" s="168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1"/>
        <v/>
      </c>
      <c r="O72" s="481"/>
      <c r="Q72" s="50"/>
      <c r="R72" s="53"/>
      <c r="S72" s="53"/>
      <c r="T72" s="53"/>
      <c r="U72" s="107"/>
      <c r="V72" s="166"/>
      <c r="W72" s="3"/>
      <c r="X72" s="50"/>
      <c r="Y72" s="53"/>
      <c r="Z72" s="53"/>
      <c r="AA72" s="53"/>
      <c r="AB72" s="107"/>
      <c r="AC72" s="179"/>
      <c r="AD72" s="168"/>
      <c r="AE72" s="169"/>
      <c r="AF72" s="168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1"/>
        <v/>
      </c>
      <c r="O73" s="481"/>
      <c r="Q73" s="50"/>
      <c r="R73" s="53"/>
      <c r="S73" s="53"/>
      <c r="T73" s="53"/>
      <c r="U73" s="107"/>
      <c r="V73" s="166"/>
      <c r="W73" s="3"/>
      <c r="X73" s="50"/>
      <c r="Y73" s="53"/>
      <c r="Z73" s="53"/>
      <c r="AA73" s="53"/>
      <c r="AB73" s="107"/>
      <c r="AC73" s="179"/>
      <c r="AD73" s="168"/>
      <c r="AE73" s="169"/>
      <c r="AF73" s="168"/>
    </row>
    <row r="74" spans="2:32" x14ac:dyDescent="0.3">
      <c r="B74" s="6"/>
      <c r="C74" s="7"/>
      <c r="D74" s="7"/>
      <c r="E74" s="8"/>
      <c r="F74" s="9"/>
      <c r="G74" s="3"/>
      <c r="H74" s="6"/>
      <c r="I74" s="7"/>
      <c r="J74" s="7"/>
      <c r="K74" s="7"/>
      <c r="L74" s="8"/>
      <c r="M74" s="45"/>
      <c r="N74" s="328" t="str">
        <f t="shared" si="1"/>
        <v/>
      </c>
      <c r="O74" s="481"/>
      <c r="Q74" s="50"/>
      <c r="R74" s="53"/>
      <c r="S74" s="53"/>
      <c r="T74" s="53"/>
      <c r="U74" s="107"/>
      <c r="V74" s="166"/>
      <c r="W74" s="3"/>
      <c r="X74" s="50"/>
      <c r="Y74" s="53"/>
      <c r="Z74" s="53"/>
      <c r="AA74" s="53"/>
      <c r="AB74" s="107"/>
      <c r="AC74" s="179"/>
      <c r="AD74" s="168"/>
      <c r="AE74" s="169"/>
      <c r="AF74" s="168"/>
    </row>
    <row r="75" spans="2:32" x14ac:dyDescent="0.3">
      <c r="B75" s="6"/>
      <c r="C75" s="7"/>
      <c r="D75" s="7"/>
      <c r="E75" s="8"/>
      <c r="F75" s="9"/>
      <c r="G75" s="3"/>
      <c r="H75" s="6"/>
      <c r="I75" s="7"/>
      <c r="J75" s="7"/>
      <c r="K75" s="7"/>
      <c r="L75" s="8"/>
      <c r="M75" s="45"/>
      <c r="N75" s="328" t="str">
        <f t="shared" si="1"/>
        <v/>
      </c>
      <c r="O75" s="481"/>
      <c r="Q75" s="50"/>
      <c r="R75" s="53"/>
      <c r="S75" s="53"/>
      <c r="T75" s="53"/>
      <c r="U75" s="107"/>
      <c r="V75" s="166"/>
      <c r="W75" s="3"/>
      <c r="X75" s="50"/>
      <c r="Y75" s="53"/>
      <c r="Z75" s="53"/>
      <c r="AA75" s="53"/>
      <c r="AB75" s="107"/>
      <c r="AC75" s="179"/>
      <c r="AD75" s="168"/>
      <c r="AE75" s="169"/>
      <c r="AF75" s="168"/>
    </row>
    <row r="76" spans="2:32" x14ac:dyDescent="0.3">
      <c r="B76" s="6"/>
      <c r="C76" s="7"/>
      <c r="D76" s="7"/>
      <c r="E76" s="8"/>
      <c r="F76" s="9"/>
      <c r="G76" s="3"/>
      <c r="H76" s="6"/>
      <c r="I76" s="7"/>
      <c r="J76" s="7"/>
      <c r="K76" s="7"/>
      <c r="L76" s="8"/>
      <c r="M76" s="45"/>
      <c r="N76" s="328" t="str">
        <f t="shared" si="1"/>
        <v/>
      </c>
      <c r="O76" s="481"/>
      <c r="Q76" s="50"/>
      <c r="R76" s="53"/>
      <c r="S76" s="53"/>
      <c r="T76" s="53"/>
      <c r="U76" s="107"/>
      <c r="V76" s="166"/>
      <c r="W76" s="3"/>
      <c r="X76" s="50"/>
      <c r="Y76" s="53"/>
      <c r="Z76" s="53"/>
      <c r="AA76" s="53"/>
      <c r="AB76" s="107"/>
      <c r="AC76" s="179"/>
      <c r="AD76" s="168"/>
      <c r="AE76" s="169"/>
      <c r="AF76" s="168"/>
    </row>
    <row r="77" spans="2:32" x14ac:dyDescent="0.3">
      <c r="B77" s="6"/>
      <c r="C77" s="7"/>
      <c r="D77" s="7"/>
      <c r="E77" s="8"/>
      <c r="F77" s="9"/>
      <c r="G77" s="3"/>
      <c r="H77" s="6"/>
      <c r="I77" s="7"/>
      <c r="J77" s="7"/>
      <c r="K77" s="7"/>
      <c r="L77" s="8"/>
      <c r="M77" s="45"/>
      <c r="N77" s="328" t="str">
        <f t="shared" si="1"/>
        <v/>
      </c>
      <c r="O77" s="481"/>
      <c r="Q77" s="50"/>
      <c r="R77" s="53"/>
      <c r="S77" s="53"/>
      <c r="T77" s="53"/>
      <c r="U77" s="107"/>
      <c r="V77" s="166"/>
      <c r="W77" s="3"/>
      <c r="X77" s="50"/>
      <c r="Y77" s="53"/>
      <c r="Z77" s="53"/>
      <c r="AA77" s="53"/>
      <c r="AB77" s="107"/>
      <c r="AC77" s="179"/>
      <c r="AD77" s="168"/>
      <c r="AE77" s="169"/>
      <c r="AF77" s="168"/>
    </row>
    <row r="78" spans="2:32" x14ac:dyDescent="0.3">
      <c r="B78" s="6"/>
      <c r="C78" s="7"/>
      <c r="D78" s="7"/>
      <c r="E78" s="8"/>
      <c r="F78" s="9"/>
      <c r="G78" s="3"/>
      <c r="H78" s="6"/>
      <c r="I78" s="7"/>
      <c r="J78" s="7"/>
      <c r="K78" s="7"/>
      <c r="L78" s="8"/>
      <c r="M78" s="45"/>
      <c r="N78" s="328" t="str">
        <f t="shared" si="1"/>
        <v/>
      </c>
      <c r="O78" s="481"/>
      <c r="Q78" s="50"/>
      <c r="R78" s="53"/>
      <c r="S78" s="53"/>
      <c r="T78" s="53"/>
      <c r="U78" s="107"/>
      <c r="V78" s="166"/>
      <c r="W78" s="3"/>
      <c r="X78" s="50"/>
      <c r="Y78" s="53"/>
      <c r="Z78" s="53"/>
      <c r="AA78" s="53"/>
      <c r="AB78" s="107"/>
      <c r="AC78" s="179"/>
      <c r="AD78" s="168"/>
      <c r="AE78" s="169"/>
      <c r="AF78" s="168"/>
    </row>
    <row r="79" spans="2:32" x14ac:dyDescent="0.3">
      <c r="B79" s="6"/>
      <c r="C79" s="7"/>
      <c r="D79" s="7"/>
      <c r="E79" s="8"/>
      <c r="F79" s="9"/>
      <c r="G79" s="3"/>
      <c r="H79" s="6"/>
      <c r="I79" s="7"/>
      <c r="J79" s="7"/>
      <c r="K79" s="7"/>
      <c r="L79" s="8"/>
      <c r="M79" s="45"/>
      <c r="N79" s="328" t="str">
        <f t="shared" si="1"/>
        <v/>
      </c>
      <c r="O79" s="481"/>
      <c r="Q79" s="50"/>
      <c r="R79" s="53"/>
      <c r="S79" s="53"/>
      <c r="T79" s="53"/>
      <c r="U79" s="107"/>
      <c r="V79" s="166"/>
      <c r="W79" s="3"/>
      <c r="X79" s="50"/>
      <c r="Y79" s="53"/>
      <c r="Z79" s="53"/>
      <c r="AA79" s="53"/>
      <c r="AB79" s="107"/>
      <c r="AC79" s="179"/>
      <c r="AD79" s="168"/>
      <c r="AE79" s="169"/>
      <c r="AF79" s="168"/>
    </row>
    <row r="80" spans="2:32" x14ac:dyDescent="0.3">
      <c r="B80" s="6"/>
      <c r="C80" s="7"/>
      <c r="D80" s="7"/>
      <c r="E80" s="8"/>
      <c r="F80" s="9"/>
      <c r="G80" s="3"/>
      <c r="H80" s="6"/>
      <c r="I80" s="7"/>
      <c r="J80" s="7"/>
      <c r="K80" s="7"/>
      <c r="L80" s="8"/>
      <c r="M80" s="45"/>
      <c r="N80" s="328" t="str">
        <f t="shared" si="1"/>
        <v/>
      </c>
      <c r="O80" s="481"/>
      <c r="Q80" s="50"/>
      <c r="R80" s="53"/>
      <c r="S80" s="53"/>
      <c r="T80" s="53"/>
      <c r="U80" s="107"/>
      <c r="V80" s="166"/>
      <c r="W80" s="3"/>
      <c r="X80" s="50"/>
      <c r="Y80" s="53"/>
      <c r="Z80" s="53"/>
      <c r="AA80" s="53"/>
      <c r="AB80" s="107"/>
      <c r="AC80" s="179"/>
      <c r="AD80" s="168"/>
      <c r="AE80" s="169"/>
      <c r="AF80" s="168"/>
    </row>
    <row r="81" spans="1:33" x14ac:dyDescent="0.3">
      <c r="B81" s="6"/>
      <c r="C81" s="7"/>
      <c r="D81" s="7"/>
      <c r="E81" s="8"/>
      <c r="F81" s="9"/>
      <c r="G81" s="3"/>
      <c r="H81" s="6"/>
      <c r="I81" s="7"/>
      <c r="J81" s="7"/>
      <c r="K81" s="7"/>
      <c r="L81" s="8"/>
      <c r="M81" s="45"/>
      <c r="N81" s="328" t="str">
        <f t="shared" si="1"/>
        <v/>
      </c>
      <c r="O81" s="481"/>
      <c r="Q81" s="50"/>
      <c r="R81" s="53"/>
      <c r="S81" s="53"/>
      <c r="T81" s="53"/>
      <c r="U81" s="107"/>
      <c r="V81" s="166"/>
      <c r="W81" s="3"/>
      <c r="X81" s="50"/>
      <c r="Y81" s="53"/>
      <c r="Z81" s="53"/>
      <c r="AA81" s="53"/>
      <c r="AB81" s="107"/>
      <c r="AC81" s="179"/>
      <c r="AD81" s="168"/>
      <c r="AE81" s="169"/>
      <c r="AF81" s="168"/>
    </row>
    <row r="82" spans="1:33" x14ac:dyDescent="0.3">
      <c r="B82" s="6"/>
      <c r="C82" s="7"/>
      <c r="D82" s="7"/>
      <c r="E82" s="8"/>
      <c r="F82" s="9"/>
      <c r="G82" s="3"/>
      <c r="H82" s="6"/>
      <c r="I82" s="7"/>
      <c r="J82" s="7"/>
      <c r="K82" s="7"/>
      <c r="L82" s="8"/>
      <c r="M82" s="45"/>
      <c r="N82" s="328" t="str">
        <f t="shared" si="1"/>
        <v/>
      </c>
      <c r="O82" s="481"/>
      <c r="Q82" s="50"/>
      <c r="R82" s="53"/>
      <c r="S82" s="53"/>
      <c r="T82" s="53"/>
      <c r="U82" s="107"/>
      <c r="V82" s="166"/>
      <c r="W82" s="3"/>
      <c r="X82" s="50"/>
      <c r="Y82" s="53"/>
      <c r="Z82" s="53"/>
      <c r="AA82" s="53"/>
      <c r="AB82" s="107"/>
      <c r="AC82" s="179"/>
      <c r="AD82" s="168"/>
      <c r="AE82" s="169"/>
      <c r="AF82" s="168"/>
    </row>
    <row r="83" spans="1:33" x14ac:dyDescent="0.3">
      <c r="B83" s="6"/>
      <c r="C83" s="7"/>
      <c r="D83" s="7"/>
      <c r="E83" s="8"/>
      <c r="F83" s="9"/>
      <c r="G83" s="3"/>
      <c r="H83" s="6"/>
      <c r="I83" s="7"/>
      <c r="J83" s="7"/>
      <c r="K83" s="7"/>
      <c r="L83" s="8"/>
      <c r="M83" s="45"/>
      <c r="N83" s="328" t="str">
        <f t="shared" si="1"/>
        <v/>
      </c>
      <c r="O83" s="481"/>
      <c r="Q83" s="50"/>
      <c r="R83" s="53"/>
      <c r="S83" s="53"/>
      <c r="T83" s="53"/>
      <c r="U83" s="107"/>
      <c r="V83" s="166"/>
      <c r="W83" s="3"/>
      <c r="X83" s="50"/>
      <c r="Y83" s="53"/>
      <c r="Z83" s="53"/>
      <c r="AA83" s="53"/>
      <c r="AB83" s="107"/>
      <c r="AC83" s="179"/>
      <c r="AD83" s="168"/>
      <c r="AE83" s="169"/>
      <c r="AF83" s="168"/>
    </row>
    <row r="84" spans="1:33" x14ac:dyDescent="0.3">
      <c r="B84" s="6"/>
      <c r="C84" s="7"/>
      <c r="D84" s="7"/>
      <c r="E84" s="8"/>
      <c r="F84" s="9"/>
      <c r="G84" s="3"/>
      <c r="H84" s="6"/>
      <c r="I84" s="7"/>
      <c r="J84" s="7"/>
      <c r="K84" s="7"/>
      <c r="L84" s="8"/>
      <c r="M84" s="45"/>
      <c r="N84" s="328" t="str">
        <f t="shared" si="1"/>
        <v/>
      </c>
      <c r="O84" s="481"/>
      <c r="Q84" s="50"/>
      <c r="R84" s="53"/>
      <c r="S84" s="53"/>
      <c r="T84" s="53"/>
      <c r="U84" s="107"/>
      <c r="V84" s="166"/>
      <c r="W84" s="3"/>
      <c r="X84" s="50"/>
      <c r="Y84" s="53"/>
      <c r="Z84" s="53"/>
      <c r="AA84" s="53"/>
      <c r="AB84" s="107"/>
      <c r="AC84" s="179"/>
      <c r="AD84" s="168"/>
      <c r="AE84" s="169"/>
      <c r="AF84" s="168"/>
    </row>
    <row r="85" spans="1:33" x14ac:dyDescent="0.3">
      <c r="B85" s="6"/>
      <c r="C85" s="7"/>
      <c r="D85" s="7"/>
      <c r="E85" s="8"/>
      <c r="F85" s="9"/>
      <c r="G85" s="3"/>
      <c r="H85" s="6"/>
      <c r="I85" s="7"/>
      <c r="J85" s="7"/>
      <c r="K85" s="7"/>
      <c r="L85" s="8"/>
      <c r="M85" s="45"/>
      <c r="N85" s="328" t="str">
        <f t="shared" si="1"/>
        <v/>
      </c>
      <c r="O85" s="481"/>
      <c r="Q85" s="50"/>
      <c r="R85" s="53"/>
      <c r="S85" s="53"/>
      <c r="T85" s="53"/>
      <c r="U85" s="107"/>
      <c r="V85" s="166"/>
      <c r="W85" s="3"/>
      <c r="X85" s="50"/>
      <c r="Y85" s="53"/>
      <c r="Z85" s="53"/>
      <c r="AA85" s="53"/>
      <c r="AB85" s="107"/>
      <c r="AC85" s="179"/>
      <c r="AD85" s="168"/>
      <c r="AE85" s="169"/>
      <c r="AF85" s="168"/>
    </row>
    <row r="86" spans="1:33" x14ac:dyDescent="0.3">
      <c r="B86" s="6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1"/>
        <v/>
      </c>
      <c r="O86" s="481"/>
      <c r="Q86" s="50"/>
      <c r="R86" s="53"/>
      <c r="S86" s="53"/>
      <c r="T86" s="53"/>
      <c r="U86" s="107"/>
      <c r="V86" s="166"/>
      <c r="W86" s="3"/>
      <c r="X86" s="50"/>
      <c r="Y86" s="53"/>
      <c r="Z86" s="53"/>
      <c r="AA86" s="53"/>
      <c r="AB86" s="107"/>
      <c r="AC86" s="179"/>
      <c r="AD86" s="168"/>
      <c r="AE86" s="169"/>
      <c r="AF86" s="168"/>
    </row>
    <row r="87" spans="1:33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1"/>
        <v/>
      </c>
      <c r="O87" s="481"/>
      <c r="Q87" s="50"/>
      <c r="R87" s="53"/>
      <c r="S87" s="53"/>
      <c r="T87" s="53"/>
      <c r="U87" s="107"/>
      <c r="V87" s="166"/>
      <c r="W87" s="3"/>
      <c r="X87" s="50"/>
      <c r="Y87" s="53"/>
      <c r="Z87" s="53"/>
      <c r="AA87" s="53"/>
      <c r="AB87" s="107"/>
      <c r="AC87" s="179"/>
      <c r="AD87" s="168"/>
      <c r="AE87" s="169"/>
      <c r="AF87" s="168"/>
    </row>
    <row r="88" spans="1:33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1"/>
        <v/>
      </c>
      <c r="O88" s="481"/>
      <c r="Q88" s="50"/>
      <c r="R88" s="53"/>
      <c r="S88" s="53"/>
      <c r="T88" s="53"/>
      <c r="U88" s="107"/>
      <c r="V88" s="166"/>
      <c r="W88" s="3"/>
      <c r="X88" s="50"/>
      <c r="Y88" s="53"/>
      <c r="Z88" s="53"/>
      <c r="AA88" s="53"/>
      <c r="AB88" s="107"/>
      <c r="AC88" s="179"/>
      <c r="AD88" s="168"/>
      <c r="AE88" s="169"/>
      <c r="AF88" s="168"/>
    </row>
    <row r="89" spans="1:33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1"/>
        <v/>
      </c>
      <c r="O89" s="481"/>
      <c r="Q89" s="50"/>
      <c r="R89" s="53"/>
      <c r="S89" s="53"/>
      <c r="T89" s="53"/>
      <c r="U89" s="107"/>
      <c r="V89" s="166"/>
      <c r="W89" s="3"/>
      <c r="X89" s="50"/>
      <c r="Y89" s="53"/>
      <c r="Z89" s="53"/>
      <c r="AA89" s="53"/>
      <c r="AB89" s="107"/>
      <c r="AC89" s="179"/>
      <c r="AD89" s="168"/>
      <c r="AE89" s="169"/>
      <c r="AF89" s="168"/>
    </row>
    <row r="90" spans="1:33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1"/>
        <v/>
      </c>
      <c r="O90" s="481"/>
      <c r="Q90" s="50"/>
      <c r="R90" s="53"/>
      <c r="S90" s="53"/>
      <c r="T90" s="53"/>
      <c r="U90" s="107"/>
      <c r="V90" s="166"/>
      <c r="W90" s="3"/>
      <c r="X90" s="50"/>
      <c r="Y90" s="53"/>
      <c r="Z90" s="53"/>
      <c r="AA90" s="53"/>
      <c r="AB90" s="107"/>
      <c r="AC90" s="179"/>
      <c r="AD90" s="168"/>
      <c r="AE90" s="169"/>
      <c r="AF90" s="168"/>
    </row>
    <row r="91" spans="1:33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1"/>
        <v/>
      </c>
      <c r="O91" s="481"/>
      <c r="Q91" s="50"/>
      <c r="R91" s="53"/>
      <c r="S91" s="53"/>
      <c r="T91" s="53"/>
      <c r="U91" s="107"/>
      <c r="V91" s="166"/>
      <c r="W91" s="3"/>
      <c r="X91" s="50"/>
      <c r="Y91" s="53"/>
      <c r="Z91" s="53"/>
      <c r="AA91" s="53"/>
      <c r="AB91" s="107"/>
      <c r="AC91" s="179"/>
      <c r="AD91" s="168"/>
      <c r="AE91" s="169"/>
      <c r="AF91" s="168"/>
    </row>
    <row r="92" spans="1:33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1"/>
        <v/>
      </c>
      <c r="O92" s="481"/>
      <c r="Q92" s="50"/>
      <c r="R92" s="53"/>
      <c r="S92" s="53"/>
      <c r="T92" s="53"/>
      <c r="U92" s="107"/>
      <c r="V92" s="166"/>
      <c r="W92" s="3"/>
      <c r="X92" s="50"/>
      <c r="Y92" s="53"/>
      <c r="Z92" s="53"/>
      <c r="AA92" s="53"/>
      <c r="AB92" s="107"/>
      <c r="AC92" s="179"/>
      <c r="AD92" s="168"/>
      <c r="AE92" s="169"/>
      <c r="AF92" s="168"/>
    </row>
    <row r="93" spans="1:33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1"/>
        <v/>
      </c>
      <c r="O93" s="481"/>
      <c r="Q93" s="50"/>
      <c r="R93" s="53"/>
      <c r="S93" s="53"/>
      <c r="T93" s="53"/>
      <c r="U93" s="107"/>
      <c r="V93" s="166"/>
      <c r="W93" s="3"/>
      <c r="X93" s="50"/>
      <c r="Y93" s="53"/>
      <c r="Z93" s="53"/>
      <c r="AA93" s="53"/>
      <c r="AB93" s="107"/>
      <c r="AC93" s="179"/>
      <c r="AD93" s="168"/>
      <c r="AE93" s="169"/>
      <c r="AF93" s="168"/>
    </row>
    <row r="94" spans="1:33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1"/>
        <v/>
      </c>
      <c r="O94" s="481"/>
      <c r="Q94" s="50"/>
      <c r="R94" s="53"/>
      <c r="S94" s="53"/>
      <c r="T94" s="53"/>
      <c r="U94" s="107"/>
      <c r="V94" s="166"/>
      <c r="W94" s="3"/>
      <c r="X94" s="50"/>
      <c r="Y94" s="53"/>
      <c r="Z94" s="53"/>
      <c r="AA94" s="53"/>
      <c r="AB94" s="107"/>
      <c r="AC94" s="179"/>
      <c r="AD94" s="168"/>
      <c r="AE94" s="169"/>
      <c r="AF94" s="168"/>
    </row>
    <row r="95" spans="1:33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  <c r="AG95" s="4"/>
    </row>
    <row r="96" spans="1:33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44">
    <cfRule type="expression" dxfId="12" priority="2">
      <formula>$N35&lt;0</formula>
    </cfRule>
  </conditionalFormatting>
  <conditionalFormatting sqref="N45:N94">
    <cfRule type="expression" dxfId="11" priority="1">
      <formula>$N45&lt;0</formula>
    </cfRule>
  </conditionalFormatting>
  <dataValidations count="3">
    <dataValidation type="list" allowBlank="1" showInputMessage="1" showErrorMessage="1" sqref="D35:D94 K11:K30 D11:D30 K35:K94" xr:uid="{2E958EF5-0691-4615-A73D-E12111170280}">
      <formula1>OFFSET(소분류,,MATCH(C11,대분류,)-1,COUNTA(OFFSET(소분류,,MATCH(C11,대분류,)-1,,1)),1)</formula1>
    </dataValidation>
    <dataValidation type="list" allowBlank="1" showInputMessage="1" showErrorMessage="1" sqref="C35:C94 J11:J30 C11:C30 J35:J94" xr:uid="{0FCF1BAF-651D-41C1-B118-DCA158692E76}">
      <formula1>대분류</formula1>
    </dataValidation>
    <dataValidation type="list" allowBlank="1" showInputMessage="1" showErrorMessage="1" sqref="I11:I30 I35:I94" xr:uid="{200FF262-94C2-4D2B-8D62-4BDEB576C89D}">
      <formula1>계정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pageOrder="overThenDown" orientation="portrait" r:id="rId1"/>
  <colBreaks count="2" manualBreakCount="2">
    <brk id="1" max="70" man="1"/>
    <brk id="15" max="70" man="1"/>
  </colBreaks>
  <ignoredErrors>
    <ignoredError sqref="N33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5EF20-80B6-4E9A-996D-A17F4C95367A}">
  <sheetPr codeName="Sheet43">
    <tabColor theme="4"/>
    <pageSetUpPr autoPageBreaks="0" fitToPage="1"/>
  </sheetPr>
  <dimension ref="A1:AF381"/>
  <sheetViews>
    <sheetView showGridLines="0" zoomScale="90" zoomScaleNormal="9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186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158"/>
      <c r="T5" s="159"/>
      <c r="U5" s="160"/>
    </row>
    <row r="6" spans="1:32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2"/>
      <c r="N6" s="582"/>
      <c r="O6" s="582"/>
      <c r="Q6" s="157"/>
      <c r="R6" s="158"/>
      <c r="T6" s="159"/>
      <c r="U6" s="161"/>
    </row>
    <row r="7" spans="1:32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3"/>
      <c r="N7" s="583"/>
      <c r="O7" s="583"/>
      <c r="Q7" s="74"/>
      <c r="R7" s="162"/>
      <c r="T7" s="159"/>
    </row>
    <row r="8" spans="1:32" ht="9" customHeight="1" x14ac:dyDescent="0.3"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157"/>
      <c r="R9" s="180"/>
      <c r="S9" s="43"/>
      <c r="T9" s="159"/>
      <c r="U9" s="43"/>
      <c r="V9" s="181"/>
      <c r="W9" s="43"/>
      <c r="X9" s="157"/>
      <c r="Y9" s="182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6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166"/>
      <c r="W11" s="3"/>
      <c r="X11" s="50"/>
      <c r="Y11" s="53"/>
      <c r="Z11" s="53"/>
      <c r="AA11" s="53"/>
      <c r="AB11" s="107"/>
      <c r="AC11" s="167"/>
      <c r="AD11" s="168"/>
      <c r="AE11" s="169"/>
      <c r="AF11" s="170"/>
    </row>
    <row r="12" spans="1:32" x14ac:dyDescent="0.3">
      <c r="B12" s="6"/>
      <c r="C12" s="7"/>
      <c r="D12" s="7"/>
      <c r="E12" s="8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166"/>
      <c r="W12" s="3"/>
      <c r="X12" s="50"/>
      <c r="Y12" s="53"/>
      <c r="Z12" s="53"/>
      <c r="AA12" s="53"/>
      <c r="AB12" s="107"/>
      <c r="AC12" s="167"/>
      <c r="AD12" s="168"/>
      <c r="AE12" s="169"/>
      <c r="AF12" s="170"/>
    </row>
    <row r="13" spans="1:32" x14ac:dyDescent="0.3">
      <c r="B13" s="6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166"/>
      <c r="W13" s="3"/>
      <c r="X13" s="50"/>
      <c r="Y13" s="53"/>
      <c r="Z13" s="53"/>
      <c r="AA13" s="53"/>
      <c r="AB13" s="107"/>
      <c r="AC13" s="167"/>
      <c r="AD13" s="168"/>
      <c r="AE13" s="169"/>
      <c r="AF13" s="170"/>
    </row>
    <row r="14" spans="1:32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166"/>
      <c r="W14" s="3"/>
      <c r="X14" s="50"/>
      <c r="Y14" s="53"/>
      <c r="Z14" s="53"/>
      <c r="AA14" s="53"/>
      <c r="AB14" s="107"/>
      <c r="AC14" s="167"/>
      <c r="AD14" s="168"/>
      <c r="AE14" s="169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166"/>
      <c r="W15" s="3"/>
      <c r="X15" s="50"/>
      <c r="Y15" s="53"/>
      <c r="Z15" s="53"/>
      <c r="AA15" s="53"/>
      <c r="AB15" s="107"/>
      <c r="AC15" s="167"/>
      <c r="AD15" s="168"/>
      <c r="AE15" s="169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166"/>
      <c r="W16" s="3"/>
      <c r="X16" s="50"/>
      <c r="Y16" s="53"/>
      <c r="Z16" s="53"/>
      <c r="AA16" s="53"/>
      <c r="AB16" s="107"/>
      <c r="AC16" s="167"/>
      <c r="AD16" s="168"/>
      <c r="AE16" s="169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166"/>
      <c r="W17" s="3"/>
      <c r="X17" s="50"/>
      <c r="Y17" s="53"/>
      <c r="Z17" s="53"/>
      <c r="AA17" s="53"/>
      <c r="AB17" s="107"/>
      <c r="AC17" s="167"/>
      <c r="AD17" s="168"/>
      <c r="AE17" s="169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166"/>
      <c r="W18" s="3"/>
      <c r="X18" s="50"/>
      <c r="Y18" s="53"/>
      <c r="Z18" s="53"/>
      <c r="AA18" s="53"/>
      <c r="AB18" s="107"/>
      <c r="AC18" s="167"/>
      <c r="AD18" s="168"/>
      <c r="AE18" s="169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46"/>
      <c r="N19" s="46"/>
      <c r="O19" s="480"/>
      <c r="Q19" s="50"/>
      <c r="R19" s="53"/>
      <c r="S19" s="53"/>
      <c r="T19" s="53"/>
      <c r="U19" s="107"/>
      <c r="V19" s="166"/>
      <c r="W19" s="3"/>
      <c r="X19" s="50"/>
      <c r="Y19" s="53"/>
      <c r="Z19" s="53"/>
      <c r="AA19" s="53"/>
      <c r="AB19" s="107"/>
      <c r="AC19" s="167"/>
      <c r="AD19" s="168"/>
      <c r="AE19" s="169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46"/>
      <c r="N20" s="46"/>
      <c r="O20" s="480"/>
      <c r="Q20" s="50"/>
      <c r="R20" s="53"/>
      <c r="S20" s="53"/>
      <c r="T20" s="53"/>
      <c r="U20" s="107"/>
      <c r="V20" s="166"/>
      <c r="W20" s="3"/>
      <c r="X20" s="50"/>
      <c r="Y20" s="53"/>
      <c r="Z20" s="53"/>
      <c r="AA20" s="53"/>
      <c r="AB20" s="107"/>
      <c r="AC20" s="167"/>
      <c r="AD20" s="168"/>
      <c r="AE20" s="169"/>
      <c r="AF20" s="170"/>
    </row>
    <row r="21" spans="2:32" x14ac:dyDescent="0.3">
      <c r="B21" s="10"/>
      <c r="C21" s="7"/>
      <c r="D21" s="7"/>
      <c r="E21" s="8"/>
      <c r="F21" s="9"/>
      <c r="G21" s="3"/>
      <c r="H21" s="6"/>
      <c r="I21" s="11"/>
      <c r="J21" s="11"/>
      <c r="K21" s="11"/>
      <c r="L21" s="8"/>
      <c r="M21" s="46"/>
      <c r="N21" s="46"/>
      <c r="O21" s="480"/>
      <c r="Q21" s="50"/>
      <c r="R21" s="53"/>
      <c r="S21" s="53"/>
      <c r="T21" s="53"/>
      <c r="U21" s="107"/>
      <c r="V21" s="166"/>
      <c r="W21" s="3"/>
      <c r="X21" s="50"/>
      <c r="Y21" s="53"/>
      <c r="Z21" s="53"/>
      <c r="AA21" s="53"/>
      <c r="AB21" s="107"/>
      <c r="AC21" s="167"/>
      <c r="AD21" s="168"/>
      <c r="AE21" s="169"/>
      <c r="AF21" s="170"/>
    </row>
    <row r="22" spans="2:32" x14ac:dyDescent="0.3">
      <c r="B22" s="10"/>
      <c r="C22" s="7"/>
      <c r="D22" s="7"/>
      <c r="E22" s="8"/>
      <c r="F22" s="9"/>
      <c r="G22" s="3"/>
      <c r="H22" s="6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166"/>
      <c r="W22" s="3"/>
      <c r="X22" s="50"/>
      <c r="Y22" s="53"/>
      <c r="Z22" s="53"/>
      <c r="AA22" s="53"/>
      <c r="AB22" s="107"/>
      <c r="AC22" s="167"/>
      <c r="AD22" s="168"/>
      <c r="AE22" s="169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166"/>
      <c r="W23" s="3"/>
      <c r="X23" s="50"/>
      <c r="Y23" s="53"/>
      <c r="Z23" s="53"/>
      <c r="AA23" s="53"/>
      <c r="AB23" s="107"/>
      <c r="AC23" s="167"/>
      <c r="AD23" s="168"/>
      <c r="AE23" s="169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7"/>
      <c r="J24" s="7"/>
      <c r="K24" s="7"/>
      <c r="L24" s="8"/>
      <c r="M24" s="46"/>
      <c r="N24" s="46"/>
      <c r="O24" s="480"/>
      <c r="Q24" s="50"/>
      <c r="R24" s="53"/>
      <c r="S24" s="53"/>
      <c r="T24" s="53"/>
      <c r="U24" s="107"/>
      <c r="V24" s="166"/>
      <c r="W24" s="3"/>
      <c r="X24" s="50"/>
      <c r="Y24" s="53"/>
      <c r="Z24" s="53"/>
      <c r="AA24" s="53"/>
      <c r="AB24" s="107"/>
      <c r="AC24" s="167"/>
      <c r="AD24" s="168"/>
      <c r="AE24" s="169"/>
      <c r="AF24" s="170"/>
    </row>
    <row r="25" spans="2:32" x14ac:dyDescent="0.3">
      <c r="B25" s="10"/>
      <c r="C25" s="7"/>
      <c r="D25" s="7"/>
      <c r="E25" s="8"/>
      <c r="F25" s="9"/>
      <c r="G25" s="3"/>
      <c r="H25" s="10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166"/>
      <c r="W25" s="3"/>
      <c r="X25" s="50"/>
      <c r="Y25" s="53"/>
      <c r="Z25" s="53"/>
      <c r="AA25" s="53"/>
      <c r="AB25" s="107"/>
      <c r="AC25" s="167"/>
      <c r="AD25" s="168"/>
      <c r="AE25" s="169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7"/>
      <c r="J26" s="7"/>
      <c r="K26" s="7"/>
      <c r="L26" s="8"/>
      <c r="M26" s="46"/>
      <c r="N26" s="46"/>
      <c r="O26" s="480"/>
      <c r="Q26" s="50"/>
      <c r="R26" s="53"/>
      <c r="S26" s="53"/>
      <c r="T26" s="53"/>
      <c r="U26" s="107"/>
      <c r="V26" s="166"/>
      <c r="W26" s="3"/>
      <c r="X26" s="50"/>
      <c r="Y26" s="53"/>
      <c r="Z26" s="53"/>
      <c r="AA26" s="53"/>
      <c r="AB26" s="107"/>
      <c r="AC26" s="167"/>
      <c r="AD26" s="168"/>
      <c r="AE26" s="169"/>
      <c r="AF26" s="170"/>
    </row>
    <row r="27" spans="2:32" x14ac:dyDescent="0.3">
      <c r="B27" s="10"/>
      <c r="C27" s="7"/>
      <c r="D27" s="7"/>
      <c r="E27" s="8"/>
      <c r="F27" s="9"/>
      <c r="G27" s="3"/>
      <c r="H27" s="10"/>
      <c r="I27" s="11"/>
      <c r="J27" s="11"/>
      <c r="K27" s="11"/>
      <c r="L27" s="8"/>
      <c r="M27" s="46"/>
      <c r="N27" s="45"/>
      <c r="O27" s="481"/>
      <c r="Q27" s="50"/>
      <c r="R27" s="53"/>
      <c r="S27" s="53"/>
      <c r="T27" s="53"/>
      <c r="U27" s="107"/>
      <c r="V27" s="166"/>
      <c r="W27" s="3"/>
      <c r="X27" s="50"/>
      <c r="Y27" s="53"/>
      <c r="Z27" s="53"/>
      <c r="AA27" s="53"/>
      <c r="AB27" s="107"/>
      <c r="AC27" s="167"/>
      <c r="AD27" s="168"/>
      <c r="AE27" s="169"/>
      <c r="AF27" s="170"/>
    </row>
    <row r="28" spans="2:32" x14ac:dyDescent="0.3">
      <c r="B28" s="10"/>
      <c r="C28" s="7"/>
      <c r="D28" s="7"/>
      <c r="E28" s="8"/>
      <c r="F28" s="9"/>
      <c r="G28" s="3"/>
      <c r="H28" s="10"/>
      <c r="I28" s="11"/>
      <c r="J28" s="11"/>
      <c r="K28" s="11"/>
      <c r="L28" s="8"/>
      <c r="M28" s="46"/>
      <c r="N28" s="45"/>
      <c r="O28" s="481"/>
      <c r="Q28" s="50"/>
      <c r="R28" s="53"/>
      <c r="S28" s="53"/>
      <c r="T28" s="53"/>
      <c r="U28" s="107"/>
      <c r="V28" s="166"/>
      <c r="W28" s="3"/>
      <c r="X28" s="50"/>
      <c r="Y28" s="53"/>
      <c r="Z28" s="53"/>
      <c r="AA28" s="53"/>
      <c r="AB28" s="107"/>
      <c r="AC28" s="167"/>
      <c r="AD28" s="168"/>
      <c r="AE28" s="169"/>
      <c r="AF28" s="170"/>
    </row>
    <row r="29" spans="2:32" x14ac:dyDescent="0.3">
      <c r="B29" s="10"/>
      <c r="C29" s="7"/>
      <c r="D29" s="7"/>
      <c r="E29" s="8"/>
      <c r="F29" s="9"/>
      <c r="G29" s="3"/>
      <c r="H29" s="10"/>
      <c r="I29" s="11"/>
      <c r="J29" s="11"/>
      <c r="K29" s="11"/>
      <c r="L29" s="8"/>
      <c r="M29" s="46"/>
      <c r="N29" s="45"/>
      <c r="O29" s="481"/>
      <c r="Q29" s="50"/>
      <c r="R29" s="53"/>
      <c r="S29" s="53"/>
      <c r="T29" s="53"/>
      <c r="U29" s="107"/>
      <c r="V29" s="166"/>
      <c r="W29" s="3"/>
      <c r="X29" s="50"/>
      <c r="Y29" s="53"/>
      <c r="Z29" s="53"/>
      <c r="AA29" s="53"/>
      <c r="AB29" s="107"/>
      <c r="AC29" s="167"/>
      <c r="AD29" s="168"/>
      <c r="AE29" s="169"/>
      <c r="AF29" s="170"/>
    </row>
    <row r="30" spans="2:32" x14ac:dyDescent="0.3">
      <c r="B30" s="10"/>
      <c r="C30" s="7"/>
      <c r="D30" s="7"/>
      <c r="E30" s="8"/>
      <c r="F30" s="9"/>
      <c r="G30" s="3"/>
      <c r="H30" s="10"/>
      <c r="I30" s="11"/>
      <c r="J30" s="11"/>
      <c r="K30" s="11"/>
      <c r="L30" s="8"/>
      <c r="M30" s="46"/>
      <c r="N30" s="45"/>
      <c r="O30" s="481"/>
      <c r="Q30" s="50"/>
      <c r="R30" s="53"/>
      <c r="S30" s="53"/>
      <c r="T30" s="53"/>
      <c r="U30" s="107"/>
      <c r="V30" s="166"/>
      <c r="W30" s="3"/>
      <c r="X30" s="50"/>
      <c r="Y30" s="53"/>
      <c r="Z30" s="53"/>
      <c r="AA30" s="53"/>
      <c r="AB30" s="107"/>
      <c r="AC30" s="167"/>
      <c r="AD30" s="168"/>
      <c r="AE30" s="169"/>
      <c r="AF30" s="170"/>
    </row>
    <row r="31" spans="2:32" x14ac:dyDescent="0.3">
      <c r="B31" s="50"/>
      <c r="C31" s="53"/>
      <c r="D31" s="53"/>
      <c r="E31" s="107"/>
      <c r="F31" s="54"/>
      <c r="G31" s="3"/>
      <c r="H31" s="50"/>
      <c r="I31" s="53"/>
      <c r="J31" s="53"/>
      <c r="K31" s="53"/>
      <c r="L31" s="107"/>
      <c r="M31" s="54"/>
      <c r="N31" s="54"/>
      <c r="O31" s="54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71"/>
      <c r="AD31" s="168"/>
      <c r="AE31" s="169"/>
      <c r="AF31" s="170"/>
    </row>
    <row r="32" spans="2:32" x14ac:dyDescent="0.3">
      <c r="B32" s="50"/>
      <c r="C32" s="53"/>
      <c r="D32" s="53"/>
      <c r="E32" s="107"/>
      <c r="F32" s="54"/>
      <c r="G32" s="3"/>
      <c r="I32" s="109" t="s">
        <v>306</v>
      </c>
      <c r="J32" s="90">
        <f>예산!E40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172"/>
      <c r="AA32" s="165"/>
      <c r="AB32" s="107"/>
      <c r="AC32" s="171"/>
      <c r="AD32" s="168"/>
      <c r="AE32" s="169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183"/>
      <c r="S33" s="62"/>
      <c r="T33" s="165"/>
      <c r="U33" s="88"/>
      <c r="V33" s="184"/>
      <c r="W33" s="43"/>
      <c r="X33" s="173"/>
      <c r="Y33" s="109"/>
      <c r="Z33" s="174"/>
      <c r="AA33" s="165"/>
      <c r="AB33" s="88"/>
      <c r="AC33" s="176"/>
      <c r="AD33" s="177"/>
      <c r="AE33" s="175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62"/>
      <c r="AD34" s="62"/>
      <c r="AE34" s="62"/>
      <c r="AF34" s="62"/>
    </row>
    <row r="35" spans="2:32" x14ac:dyDescent="0.3">
      <c r="B35" s="6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166"/>
      <c r="W35" s="3"/>
      <c r="X35" s="50"/>
      <c r="Y35" s="53"/>
      <c r="Z35" s="53"/>
      <c r="AA35" s="53"/>
      <c r="AB35" s="107"/>
      <c r="AC35" s="167"/>
      <c r="AD35" s="168"/>
      <c r="AE35" s="169"/>
      <c r="AF35" s="170"/>
    </row>
    <row r="36" spans="2:32" x14ac:dyDescent="0.3">
      <c r="B36" s="6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166"/>
      <c r="W36" s="3"/>
      <c r="X36" s="50"/>
      <c r="Y36" s="53"/>
      <c r="Z36" s="53"/>
      <c r="AA36" s="53"/>
      <c r="AB36" s="107"/>
      <c r="AC36" s="167"/>
      <c r="AD36" s="168"/>
      <c r="AE36" s="169"/>
      <c r="AF36" s="170"/>
    </row>
    <row r="37" spans="2:32" x14ac:dyDescent="0.3">
      <c r="B37" s="6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166"/>
      <c r="W37" s="3"/>
      <c r="X37" s="50"/>
      <c r="Y37" s="53"/>
      <c r="Z37" s="53"/>
      <c r="AA37" s="53"/>
      <c r="AB37" s="107"/>
      <c r="AC37" s="167"/>
      <c r="AD37" s="168"/>
      <c r="AE37" s="169"/>
      <c r="AF37" s="170"/>
    </row>
    <row r="38" spans="2:32" x14ac:dyDescent="0.3">
      <c r="B38" s="6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166"/>
      <c r="W38" s="3"/>
      <c r="X38" s="50"/>
      <c r="Y38" s="53"/>
      <c r="Z38" s="53"/>
      <c r="AA38" s="53"/>
      <c r="AB38" s="107"/>
      <c r="AC38" s="167"/>
      <c r="AD38" s="168"/>
      <c r="AE38" s="169"/>
      <c r="AF38" s="170"/>
    </row>
    <row r="39" spans="2:32" x14ac:dyDescent="0.3">
      <c r="B39" s="6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166"/>
      <c r="W39" s="3"/>
      <c r="X39" s="50"/>
      <c r="Y39" s="53"/>
      <c r="Z39" s="53"/>
      <c r="AA39" s="53"/>
      <c r="AB39" s="107"/>
      <c r="AC39" s="167"/>
      <c r="AD39" s="168"/>
      <c r="AE39" s="169"/>
      <c r="AF39" s="170"/>
    </row>
    <row r="40" spans="2:32" x14ac:dyDescent="0.3">
      <c r="B40" s="6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166"/>
      <c r="W40" s="3"/>
      <c r="X40" s="50"/>
      <c r="Y40" s="53"/>
      <c r="Z40" s="53"/>
      <c r="AA40" s="53"/>
      <c r="AB40" s="107"/>
      <c r="AC40" s="167"/>
      <c r="AD40" s="168"/>
      <c r="AE40" s="169"/>
      <c r="AF40" s="170"/>
    </row>
    <row r="41" spans="2:32" x14ac:dyDescent="0.3">
      <c r="B41" s="6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166"/>
      <c r="W41" s="3"/>
      <c r="X41" s="50"/>
      <c r="Y41" s="53"/>
      <c r="Z41" s="53"/>
      <c r="AA41" s="53"/>
      <c r="AB41" s="107"/>
      <c r="AC41" s="167"/>
      <c r="AD41" s="168"/>
      <c r="AE41" s="169"/>
      <c r="AF41" s="170"/>
    </row>
    <row r="42" spans="2:32" x14ac:dyDescent="0.3">
      <c r="B42" s="6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166"/>
      <c r="W42" s="3"/>
      <c r="X42" s="50"/>
      <c r="Y42" s="53"/>
      <c r="Z42" s="53"/>
      <c r="AA42" s="53"/>
      <c r="AB42" s="107"/>
      <c r="AC42" s="167"/>
      <c r="AD42" s="168"/>
      <c r="AE42" s="169"/>
      <c r="AF42" s="170"/>
    </row>
    <row r="43" spans="2:32" x14ac:dyDescent="0.3">
      <c r="B43" s="6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166"/>
      <c r="W43" s="3"/>
      <c r="X43" s="50"/>
      <c r="Y43" s="53"/>
      <c r="Z43" s="53"/>
      <c r="AA43" s="53"/>
      <c r="AB43" s="107"/>
      <c r="AC43" s="167"/>
      <c r="AD43" s="168"/>
      <c r="AE43" s="169"/>
      <c r="AF43" s="170"/>
    </row>
    <row r="44" spans="2:32" ht="17.25" thickBot="1" x14ac:dyDescent="0.35">
      <c r="B44" s="6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166"/>
      <c r="W44" s="3"/>
      <c r="X44" s="50"/>
      <c r="Y44" s="53"/>
      <c r="Z44" s="53"/>
      <c r="AA44" s="53"/>
      <c r="AB44" s="107"/>
      <c r="AC44" s="167"/>
      <c r="AD44" s="168"/>
      <c r="AE44" s="169"/>
      <c r="AF44" s="170"/>
    </row>
    <row r="45" spans="2:32" x14ac:dyDescent="0.3">
      <c r="B45" s="6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166"/>
      <c r="W45" s="3"/>
      <c r="X45" s="50"/>
      <c r="Y45" s="53"/>
      <c r="Z45" s="53"/>
      <c r="AA45" s="53"/>
      <c r="AB45" s="107"/>
      <c r="AC45" s="167"/>
      <c r="AD45" s="168"/>
      <c r="AE45" s="169"/>
      <c r="AF45" s="170"/>
    </row>
    <row r="46" spans="2:32" x14ac:dyDescent="0.3">
      <c r="B46" s="6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>IF(M46="","",N45-M46)</f>
        <v/>
      </c>
      <c r="O46" s="481"/>
      <c r="Q46" s="50"/>
      <c r="R46" s="53"/>
      <c r="S46" s="53"/>
      <c r="T46" s="53"/>
      <c r="U46" s="107"/>
      <c r="V46" s="166"/>
      <c r="W46" s="3"/>
      <c r="X46" s="50"/>
      <c r="Y46" s="53"/>
      <c r="Z46" s="53"/>
      <c r="AA46" s="53"/>
      <c r="AB46" s="107"/>
      <c r="AC46" s="167"/>
      <c r="AD46" s="168"/>
      <c r="AE46" s="169"/>
      <c r="AF46" s="170"/>
    </row>
    <row r="47" spans="2:32" x14ac:dyDescent="0.3">
      <c r="B47" s="6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166"/>
      <c r="W47" s="3"/>
      <c r="X47" s="50"/>
      <c r="Y47" s="53"/>
      <c r="Z47" s="53"/>
      <c r="AA47" s="53"/>
      <c r="AB47" s="107"/>
      <c r="AC47" s="167"/>
      <c r="AD47" s="168"/>
      <c r="AE47" s="169"/>
      <c r="AF47" s="170"/>
    </row>
    <row r="48" spans="2:32" x14ac:dyDescent="0.3">
      <c r="B48" s="6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166"/>
      <c r="W48" s="3"/>
      <c r="X48" s="50"/>
      <c r="Y48" s="53"/>
      <c r="Z48" s="53"/>
      <c r="AA48" s="53"/>
      <c r="AB48" s="107"/>
      <c r="AC48" s="167"/>
      <c r="AD48" s="168"/>
      <c r="AE48" s="169"/>
      <c r="AF48" s="170"/>
    </row>
    <row r="49" spans="2:32" x14ac:dyDescent="0.3">
      <c r="B49" s="6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166"/>
      <c r="W49" s="3"/>
      <c r="X49" s="50"/>
      <c r="Y49" s="53"/>
      <c r="Z49" s="53"/>
      <c r="AA49" s="53"/>
      <c r="AB49" s="107"/>
      <c r="AC49" s="167"/>
      <c r="AD49" s="168"/>
      <c r="AE49" s="169"/>
      <c r="AF49" s="170"/>
    </row>
    <row r="50" spans="2:32" x14ac:dyDescent="0.3">
      <c r="B50" s="6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166"/>
      <c r="W50" s="3"/>
      <c r="X50" s="50"/>
      <c r="Y50" s="53"/>
      <c r="Z50" s="53"/>
      <c r="AA50" s="53"/>
      <c r="AB50" s="107"/>
      <c r="AC50" s="167"/>
      <c r="AD50" s="168"/>
      <c r="AE50" s="169"/>
      <c r="AF50" s="170"/>
    </row>
    <row r="51" spans="2:32" x14ac:dyDescent="0.3">
      <c r="B51" s="6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166"/>
      <c r="W51" s="3"/>
      <c r="X51" s="50"/>
      <c r="Y51" s="53"/>
      <c r="Z51" s="53"/>
      <c r="AA51" s="53"/>
      <c r="AB51" s="107"/>
      <c r="AC51" s="167"/>
      <c r="AD51" s="168"/>
      <c r="AE51" s="169"/>
      <c r="AF51" s="170"/>
    </row>
    <row r="52" spans="2:32" x14ac:dyDescent="0.3">
      <c r="B52" s="6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166"/>
      <c r="W52" s="3"/>
      <c r="X52" s="50"/>
      <c r="Y52" s="53"/>
      <c r="Z52" s="53"/>
      <c r="AA52" s="53"/>
      <c r="AB52" s="107"/>
      <c r="AC52" s="167"/>
      <c r="AD52" s="168"/>
      <c r="AE52" s="169"/>
      <c r="AF52" s="170"/>
    </row>
    <row r="53" spans="2:32" x14ac:dyDescent="0.3">
      <c r="B53" s="6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166"/>
      <c r="W53" s="3"/>
      <c r="X53" s="50"/>
      <c r="Y53" s="53"/>
      <c r="Z53" s="53"/>
      <c r="AA53" s="53"/>
      <c r="AB53" s="107"/>
      <c r="AC53" s="167"/>
      <c r="AD53" s="168"/>
      <c r="AE53" s="169"/>
      <c r="AF53" s="170"/>
    </row>
    <row r="54" spans="2:32" x14ac:dyDescent="0.3">
      <c r="B54" s="6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166"/>
      <c r="W54" s="3"/>
      <c r="X54" s="50"/>
      <c r="Y54" s="53"/>
      <c r="Z54" s="53"/>
      <c r="AA54" s="53"/>
      <c r="AB54" s="107"/>
      <c r="AC54" s="167"/>
      <c r="AD54" s="168"/>
      <c r="AE54" s="169"/>
      <c r="AF54" s="170"/>
    </row>
    <row r="55" spans="2:32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166"/>
      <c r="W55" s="3"/>
      <c r="X55" s="50"/>
      <c r="Y55" s="53"/>
      <c r="Z55" s="53"/>
      <c r="AA55" s="53"/>
      <c r="AB55" s="107"/>
      <c r="AC55" s="167"/>
      <c r="AD55" s="168"/>
      <c r="AE55" s="169"/>
      <c r="AF55" s="170"/>
    </row>
    <row r="56" spans="2:32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166"/>
      <c r="W56" s="3"/>
      <c r="X56" s="50"/>
      <c r="Y56" s="53"/>
      <c r="Z56" s="53"/>
      <c r="AA56" s="53"/>
      <c r="AB56" s="107"/>
      <c r="AC56" s="167"/>
      <c r="AD56" s="168"/>
      <c r="AE56" s="169"/>
      <c r="AF56" s="170"/>
    </row>
    <row r="57" spans="2:32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166"/>
      <c r="W57" s="3"/>
      <c r="X57" s="50"/>
      <c r="Y57" s="53"/>
      <c r="Z57" s="53"/>
      <c r="AA57" s="53"/>
      <c r="AB57" s="107"/>
      <c r="AC57" s="167"/>
      <c r="AD57" s="168"/>
      <c r="AE57" s="169"/>
      <c r="AF57" s="170"/>
    </row>
    <row r="58" spans="2:32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166"/>
      <c r="W58" s="3"/>
      <c r="X58" s="50"/>
      <c r="Y58" s="53"/>
      <c r="Z58" s="53"/>
      <c r="AA58" s="53"/>
      <c r="AB58" s="107"/>
      <c r="AC58" s="167"/>
      <c r="AD58" s="168"/>
      <c r="AE58" s="169"/>
      <c r="AF58" s="170"/>
    </row>
    <row r="59" spans="2:32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166"/>
      <c r="W59" s="3"/>
      <c r="X59" s="50"/>
      <c r="Y59" s="53"/>
      <c r="Z59" s="53"/>
      <c r="AA59" s="53"/>
      <c r="AB59" s="107"/>
      <c r="AC59" s="167"/>
      <c r="AD59" s="168"/>
      <c r="AE59" s="169"/>
      <c r="AF59" s="170"/>
    </row>
    <row r="60" spans="2:32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166"/>
      <c r="W60" s="3"/>
      <c r="X60" s="50"/>
      <c r="Y60" s="53"/>
      <c r="Z60" s="53"/>
      <c r="AA60" s="53"/>
      <c r="AB60" s="107"/>
      <c r="AC60" s="167"/>
      <c r="AD60" s="168"/>
      <c r="AE60" s="169"/>
      <c r="AF60" s="170"/>
    </row>
    <row r="61" spans="2:32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166"/>
      <c r="W61" s="3"/>
      <c r="X61" s="50"/>
      <c r="Y61" s="53"/>
      <c r="Z61" s="53"/>
      <c r="AA61" s="53"/>
      <c r="AB61" s="107"/>
      <c r="AC61" s="167"/>
      <c r="AD61" s="168"/>
      <c r="AE61" s="169"/>
      <c r="AF61" s="170"/>
    </row>
    <row r="62" spans="2:32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166"/>
      <c r="W62" s="3"/>
      <c r="X62" s="50"/>
      <c r="Y62" s="53"/>
      <c r="Z62" s="53"/>
      <c r="AA62" s="53"/>
      <c r="AB62" s="107"/>
      <c r="AC62" s="167"/>
      <c r="AD62" s="168"/>
      <c r="AE62" s="169"/>
      <c r="AF62" s="170"/>
    </row>
    <row r="63" spans="2:32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166"/>
      <c r="W63" s="3"/>
      <c r="X63" s="50"/>
      <c r="Y63" s="53"/>
      <c r="Z63" s="53"/>
      <c r="AA63" s="53"/>
      <c r="AB63" s="107"/>
      <c r="AC63" s="167"/>
      <c r="AD63" s="168"/>
      <c r="AE63" s="169"/>
      <c r="AF63" s="170"/>
    </row>
    <row r="64" spans="2:32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166"/>
      <c r="W64" s="3"/>
      <c r="X64" s="50"/>
      <c r="Y64" s="53"/>
      <c r="Z64" s="53"/>
      <c r="AA64" s="53"/>
      <c r="AB64" s="107"/>
      <c r="AC64" s="167"/>
      <c r="AD64" s="168"/>
      <c r="AE64" s="169"/>
      <c r="AF64" s="168"/>
    </row>
    <row r="65" spans="2:32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166"/>
      <c r="W65" s="3"/>
      <c r="X65" s="50"/>
      <c r="Y65" s="53"/>
      <c r="Z65" s="53"/>
      <c r="AA65" s="53"/>
      <c r="AB65" s="107"/>
      <c r="AC65" s="167"/>
      <c r="AD65" s="168"/>
      <c r="AE65" s="169"/>
      <c r="AF65" s="168"/>
    </row>
    <row r="66" spans="2:32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166"/>
      <c r="W66" s="3"/>
      <c r="X66" s="50"/>
      <c r="Y66" s="53"/>
      <c r="Z66" s="53"/>
      <c r="AA66" s="53"/>
      <c r="AB66" s="107"/>
      <c r="AC66" s="167"/>
      <c r="AD66" s="168"/>
      <c r="AE66" s="169"/>
      <c r="AF66" s="168"/>
    </row>
    <row r="67" spans="2:32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166"/>
      <c r="W67" s="3"/>
      <c r="X67" s="50"/>
      <c r="Y67" s="53"/>
      <c r="Z67" s="53"/>
      <c r="AA67" s="53"/>
      <c r="AB67" s="107"/>
      <c r="AC67" s="167"/>
      <c r="AD67" s="168"/>
      <c r="AE67" s="169"/>
      <c r="AF67" s="168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166"/>
      <c r="W68" s="3"/>
      <c r="X68" s="50"/>
      <c r="Y68" s="53"/>
      <c r="Z68" s="53"/>
      <c r="AA68" s="53"/>
      <c r="AB68" s="107"/>
      <c r="AC68" s="167"/>
      <c r="AD68" s="168"/>
      <c r="AE68" s="169"/>
      <c r="AF68" s="168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166"/>
      <c r="W69" s="3"/>
      <c r="X69" s="50"/>
      <c r="Y69" s="53"/>
      <c r="Z69" s="53"/>
      <c r="AA69" s="53"/>
      <c r="AB69" s="107"/>
      <c r="AC69" s="167"/>
      <c r="AD69" s="168"/>
      <c r="AE69" s="169"/>
      <c r="AF69" s="168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166"/>
      <c r="W70" s="3"/>
      <c r="X70" s="50"/>
      <c r="Y70" s="53"/>
      <c r="Z70" s="53"/>
      <c r="AA70" s="53"/>
      <c r="AB70" s="107"/>
      <c r="AC70" s="167"/>
      <c r="AD70" s="168"/>
      <c r="AE70" s="169"/>
      <c r="AF70" s="168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166"/>
      <c r="W71" s="3"/>
      <c r="X71" s="50"/>
      <c r="Y71" s="53"/>
      <c r="Z71" s="53"/>
      <c r="AA71" s="53"/>
      <c r="AB71" s="107"/>
      <c r="AC71" s="167"/>
      <c r="AD71" s="168"/>
      <c r="AE71" s="169"/>
      <c r="AF71" s="168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166"/>
      <c r="W72" s="3"/>
      <c r="X72" s="50"/>
      <c r="Y72" s="53"/>
      <c r="Z72" s="53"/>
      <c r="AA72" s="53"/>
      <c r="AB72" s="107"/>
      <c r="AC72" s="167"/>
      <c r="AD72" s="168"/>
      <c r="AE72" s="169"/>
      <c r="AF72" s="168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166"/>
      <c r="W73" s="3"/>
      <c r="X73" s="50"/>
      <c r="Y73" s="53"/>
      <c r="Z73" s="53"/>
      <c r="AA73" s="53"/>
      <c r="AB73" s="107"/>
      <c r="AC73" s="167"/>
      <c r="AD73" s="168"/>
      <c r="AE73" s="169"/>
      <c r="AF73" s="168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166"/>
      <c r="W74" s="3"/>
      <c r="X74" s="50"/>
      <c r="Y74" s="53"/>
      <c r="Z74" s="53"/>
      <c r="AA74" s="53"/>
      <c r="AB74" s="107"/>
      <c r="AC74" s="167"/>
      <c r="AD74" s="168"/>
      <c r="AE74" s="169"/>
      <c r="AF74" s="168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166"/>
      <c r="W75" s="3"/>
      <c r="X75" s="50"/>
      <c r="Y75" s="53"/>
      <c r="Z75" s="53"/>
      <c r="AA75" s="53"/>
      <c r="AB75" s="107"/>
      <c r="AC75" s="167"/>
      <c r="AD75" s="168"/>
      <c r="AE75" s="169"/>
      <c r="AF75" s="168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166"/>
      <c r="W76" s="3"/>
      <c r="X76" s="50"/>
      <c r="Y76" s="53"/>
      <c r="Z76" s="53"/>
      <c r="AA76" s="53"/>
      <c r="AB76" s="107"/>
      <c r="AC76" s="167"/>
      <c r="AD76" s="168"/>
      <c r="AE76" s="169"/>
      <c r="AF76" s="168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166"/>
      <c r="W77" s="3"/>
      <c r="X77" s="50"/>
      <c r="Y77" s="53"/>
      <c r="Z77" s="53"/>
      <c r="AA77" s="53"/>
      <c r="AB77" s="107"/>
      <c r="AC77" s="167"/>
      <c r="AD77" s="168"/>
      <c r="AE77" s="169"/>
      <c r="AF77" s="168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166"/>
      <c r="W78" s="3"/>
      <c r="X78" s="50"/>
      <c r="Y78" s="53"/>
      <c r="Z78" s="53"/>
      <c r="AA78" s="53"/>
      <c r="AB78" s="107"/>
      <c r="AC78" s="167"/>
      <c r="AD78" s="168"/>
      <c r="AE78" s="169"/>
      <c r="AF78" s="168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166"/>
      <c r="W79" s="3"/>
      <c r="X79" s="50"/>
      <c r="Y79" s="53"/>
      <c r="Z79" s="53"/>
      <c r="AA79" s="53"/>
      <c r="AB79" s="107"/>
      <c r="AC79" s="167"/>
      <c r="AD79" s="168"/>
      <c r="AE79" s="169"/>
      <c r="AF79" s="168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166"/>
      <c r="W80" s="3"/>
      <c r="X80" s="50"/>
      <c r="Y80" s="53"/>
      <c r="Z80" s="53"/>
      <c r="AA80" s="53"/>
      <c r="AB80" s="107"/>
      <c r="AC80" s="167"/>
      <c r="AD80" s="168"/>
      <c r="AE80" s="169"/>
      <c r="AF80" s="168"/>
    </row>
    <row r="81" spans="1:32" x14ac:dyDescent="0.3">
      <c r="B81" s="6"/>
      <c r="C81" s="7"/>
      <c r="D81" s="7"/>
      <c r="E81" s="8"/>
      <c r="F81" s="9"/>
      <c r="G81" s="3"/>
      <c r="H81" s="6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166"/>
      <c r="W81" s="3"/>
      <c r="X81" s="50"/>
      <c r="Y81" s="53"/>
      <c r="Z81" s="53"/>
      <c r="AA81" s="53"/>
      <c r="AB81" s="107"/>
      <c r="AC81" s="167"/>
      <c r="AD81" s="168"/>
      <c r="AE81" s="169"/>
      <c r="AF81" s="168"/>
    </row>
    <row r="82" spans="1:32" x14ac:dyDescent="0.3">
      <c r="B82" s="6"/>
      <c r="C82" s="7"/>
      <c r="D82" s="7"/>
      <c r="E82" s="8"/>
      <c r="F82" s="9"/>
      <c r="G82" s="3"/>
      <c r="H82" s="6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166"/>
      <c r="W82" s="3"/>
      <c r="X82" s="50"/>
      <c r="Y82" s="53"/>
      <c r="Z82" s="53"/>
      <c r="AA82" s="53"/>
      <c r="AB82" s="107"/>
      <c r="AC82" s="167"/>
      <c r="AD82" s="168"/>
      <c r="AE82" s="169"/>
      <c r="AF82" s="168"/>
    </row>
    <row r="83" spans="1:32" x14ac:dyDescent="0.3">
      <c r="B83" s="6"/>
      <c r="C83" s="7"/>
      <c r="D83" s="7"/>
      <c r="E83" s="8"/>
      <c r="F83" s="9"/>
      <c r="G83" s="3"/>
      <c r="H83" s="6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166"/>
      <c r="W83" s="3"/>
      <c r="X83" s="50"/>
      <c r="Y83" s="53"/>
      <c r="Z83" s="53"/>
      <c r="AA83" s="53"/>
      <c r="AB83" s="107"/>
      <c r="AC83" s="167"/>
      <c r="AD83" s="168"/>
      <c r="AE83" s="169"/>
      <c r="AF83" s="168"/>
    </row>
    <row r="84" spans="1:32" x14ac:dyDescent="0.3">
      <c r="B84" s="6"/>
      <c r="C84" s="7"/>
      <c r="D84" s="7"/>
      <c r="E84" s="8"/>
      <c r="F84" s="9"/>
      <c r="G84" s="3"/>
      <c r="H84" s="6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166"/>
      <c r="W84" s="3"/>
      <c r="X84" s="50"/>
      <c r="Y84" s="53"/>
      <c r="Z84" s="53"/>
      <c r="AA84" s="53"/>
      <c r="AB84" s="107"/>
      <c r="AC84" s="167"/>
      <c r="AD84" s="168"/>
      <c r="AE84" s="169"/>
      <c r="AF84" s="168"/>
    </row>
    <row r="85" spans="1:32" x14ac:dyDescent="0.3">
      <c r="B85" s="6"/>
      <c r="C85" s="7"/>
      <c r="D85" s="7"/>
      <c r="E85" s="8"/>
      <c r="F85" s="9"/>
      <c r="G85" s="3"/>
      <c r="H85" s="6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166"/>
      <c r="W85" s="3"/>
      <c r="X85" s="50"/>
      <c r="Y85" s="53"/>
      <c r="Z85" s="53"/>
      <c r="AA85" s="53"/>
      <c r="AB85" s="107"/>
      <c r="AC85" s="167"/>
      <c r="AD85" s="168"/>
      <c r="AE85" s="169"/>
      <c r="AF85" s="168"/>
    </row>
    <row r="86" spans="1:32" x14ac:dyDescent="0.3">
      <c r="B86" s="6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166"/>
      <c r="W86" s="3"/>
      <c r="X86" s="50"/>
      <c r="Y86" s="53"/>
      <c r="Z86" s="53"/>
      <c r="AA86" s="53"/>
      <c r="AB86" s="107"/>
      <c r="AC86" s="167"/>
      <c r="AD86" s="168"/>
      <c r="AE86" s="169"/>
      <c r="AF86" s="168"/>
    </row>
    <row r="87" spans="1:32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166"/>
      <c r="W87" s="3"/>
      <c r="X87" s="50"/>
      <c r="Y87" s="53"/>
      <c r="Z87" s="53"/>
      <c r="AA87" s="53"/>
      <c r="AB87" s="107"/>
      <c r="AC87" s="167"/>
      <c r="AD87" s="168"/>
      <c r="AE87" s="169"/>
      <c r="AF87" s="168"/>
    </row>
    <row r="88" spans="1:32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166"/>
      <c r="W88" s="3"/>
      <c r="X88" s="50"/>
      <c r="Y88" s="53"/>
      <c r="Z88" s="53"/>
      <c r="AA88" s="53"/>
      <c r="AB88" s="107"/>
      <c r="AC88" s="167"/>
      <c r="AD88" s="168"/>
      <c r="AE88" s="169"/>
      <c r="AF88" s="168"/>
    </row>
    <row r="89" spans="1:32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166"/>
      <c r="W89" s="3"/>
      <c r="X89" s="50"/>
      <c r="Y89" s="53"/>
      <c r="Z89" s="53"/>
      <c r="AA89" s="53"/>
      <c r="AB89" s="107"/>
      <c r="AC89" s="167"/>
      <c r="AD89" s="168"/>
      <c r="AE89" s="169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166"/>
      <c r="W90" s="3"/>
      <c r="X90" s="50"/>
      <c r="Y90" s="53"/>
      <c r="Z90" s="53"/>
      <c r="AA90" s="53"/>
      <c r="AB90" s="107"/>
      <c r="AC90" s="167"/>
      <c r="AD90" s="168"/>
      <c r="AE90" s="169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166"/>
      <c r="W91" s="3"/>
      <c r="X91" s="50"/>
      <c r="Y91" s="53"/>
      <c r="Z91" s="53"/>
      <c r="AA91" s="53"/>
      <c r="AB91" s="107"/>
      <c r="AC91" s="167"/>
      <c r="AD91" s="168"/>
      <c r="AE91" s="169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166"/>
      <c r="W92" s="3"/>
      <c r="X92" s="50"/>
      <c r="Y92" s="53"/>
      <c r="Z92" s="53"/>
      <c r="AA92" s="53"/>
      <c r="AB92" s="107"/>
      <c r="AC92" s="167"/>
      <c r="AD92" s="168"/>
      <c r="AE92" s="169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166"/>
      <c r="W93" s="3"/>
      <c r="X93" s="50"/>
      <c r="Y93" s="53"/>
      <c r="Z93" s="53"/>
      <c r="AA93" s="53"/>
      <c r="AB93" s="107"/>
      <c r="AC93" s="167"/>
      <c r="AD93" s="168"/>
      <c r="AE93" s="169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166"/>
      <c r="X94" s="50"/>
      <c r="Y94" s="53"/>
      <c r="Z94" s="53"/>
      <c r="AA94" s="53"/>
      <c r="AB94" s="107"/>
      <c r="AC94" s="167"/>
      <c r="AD94" s="168"/>
      <c r="AE94" s="169"/>
      <c r="AF94" s="168"/>
    </row>
    <row r="95" spans="1:32" x14ac:dyDescent="0.3">
      <c r="A95" s="4"/>
      <c r="B95" s="145"/>
      <c r="C95" s="146"/>
      <c r="D95" s="146"/>
      <c r="E95" s="147"/>
      <c r="F95" s="148"/>
      <c r="G95" s="149"/>
      <c r="H95" s="145"/>
      <c r="I95" s="146"/>
      <c r="J95" s="146"/>
      <c r="K95" s="146"/>
      <c r="L95" s="147"/>
      <c r="M95" s="150"/>
      <c r="N95" s="150"/>
      <c r="O95" s="150"/>
      <c r="P95" s="4"/>
      <c r="Q95" s="50"/>
      <c r="R95" s="53"/>
      <c r="S95" s="53"/>
      <c r="T95" s="53"/>
      <c r="U95" s="107"/>
      <c r="V95" s="166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10" priority="1">
      <formula>$N35&lt;0</formula>
    </cfRule>
  </conditionalFormatting>
  <dataValidations count="5">
    <dataValidation type="list" allowBlank="1" showInputMessage="1" showErrorMessage="1" sqref="K95" xr:uid="{EB03347F-1FF9-420A-8B5D-362C3B1D06F5}">
      <formula1>INDIRECT($J95)</formula1>
    </dataValidation>
    <dataValidation type="list" allowBlank="1" showInputMessage="1" showErrorMessage="1" sqref="I11:I30 I35:I95" xr:uid="{C915D08D-6158-4D49-901F-4AC5DCD0923D}">
      <formula1>계정</formula1>
    </dataValidation>
    <dataValidation type="list" allowBlank="1" showInputMessage="1" showErrorMessage="1" sqref="C35:C95 C11:C30 J11:J30 J35:J95" xr:uid="{406DCD71-0131-4F15-AB5F-B083B693A901}">
      <formula1>대분류</formula1>
    </dataValidation>
    <dataValidation type="list" allowBlank="1" showInputMessage="1" showErrorMessage="1" sqref="D95" xr:uid="{8917EA53-7F7C-45F9-89F5-2F07D404A9E1}">
      <formula1>INDIRECT(C95)</formula1>
    </dataValidation>
    <dataValidation type="list" allowBlank="1" showInputMessage="1" showErrorMessage="1" sqref="K11:K30 D11:D30 D35:D94 K35:K94" xr:uid="{78F51C86-918E-4233-8045-2FE0394E577B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/>
    <pageSetUpPr autoPageBreaks="0" fitToPage="1"/>
  </sheetPr>
  <dimension ref="A1:AF383"/>
  <sheetViews>
    <sheetView showGridLines="0" zoomScale="90" zoomScaleNormal="90" zoomScaleSheetLayoutView="55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185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158"/>
      <c r="T5" s="159"/>
      <c r="U5" s="160"/>
    </row>
    <row r="6" spans="1:32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2"/>
      <c r="N6" s="582"/>
      <c r="O6" s="582"/>
      <c r="Q6" s="157"/>
      <c r="R6" s="158"/>
      <c r="T6" s="159"/>
      <c r="U6" s="163"/>
    </row>
    <row r="7" spans="1:32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3"/>
      <c r="N7" s="583"/>
      <c r="O7" s="583"/>
      <c r="Q7" s="74"/>
      <c r="R7" s="162"/>
      <c r="T7" s="159"/>
    </row>
    <row r="8" spans="1:32" ht="9" customHeight="1" x14ac:dyDescent="0.3"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157"/>
      <c r="R9" s="158"/>
      <c r="S9" s="43"/>
      <c r="T9" s="159"/>
      <c r="U9" s="43"/>
      <c r="V9" s="186"/>
      <c r="W9" s="43"/>
      <c r="X9" s="157"/>
      <c r="Y9" s="187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166"/>
      <c r="W11" s="3"/>
      <c r="X11" s="50"/>
      <c r="Y11" s="53"/>
      <c r="Z11" s="53"/>
      <c r="AA11" s="53"/>
      <c r="AB11" s="107"/>
      <c r="AC11" s="167"/>
      <c r="AD11" s="168"/>
      <c r="AE11" s="169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166"/>
      <c r="W12" s="3"/>
      <c r="X12" s="50"/>
      <c r="Y12" s="53"/>
      <c r="Z12" s="53"/>
      <c r="AA12" s="53"/>
      <c r="AB12" s="107"/>
      <c r="AC12" s="167"/>
      <c r="AD12" s="168"/>
      <c r="AE12" s="169"/>
      <c r="AF12" s="170"/>
    </row>
    <row r="13" spans="1:32" x14ac:dyDescent="0.3">
      <c r="B13" s="10"/>
      <c r="C13" s="11"/>
      <c r="D13" s="11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166"/>
      <c r="W13" s="3"/>
      <c r="X13" s="50"/>
      <c r="Y13" s="53"/>
      <c r="Z13" s="53"/>
      <c r="AA13" s="53"/>
      <c r="AB13" s="107"/>
      <c r="AC13" s="167"/>
      <c r="AD13" s="168"/>
      <c r="AE13" s="169"/>
      <c r="AF13" s="170"/>
    </row>
    <row r="14" spans="1:32" x14ac:dyDescent="0.3">
      <c r="B14" s="10"/>
      <c r="C14" s="11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166"/>
      <c r="W14" s="3"/>
      <c r="X14" s="50"/>
      <c r="Y14" s="53"/>
      <c r="Z14" s="53"/>
      <c r="AA14" s="53"/>
      <c r="AB14" s="107"/>
      <c r="AC14" s="167"/>
      <c r="AD14" s="168"/>
      <c r="AE14" s="169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166"/>
      <c r="W15" s="3"/>
      <c r="X15" s="50"/>
      <c r="Y15" s="53"/>
      <c r="Z15" s="53"/>
      <c r="AA15" s="53"/>
      <c r="AB15" s="107"/>
      <c r="AC15" s="167"/>
      <c r="AD15" s="168"/>
      <c r="AE15" s="169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166"/>
      <c r="W16" s="3"/>
      <c r="X16" s="50"/>
      <c r="Y16" s="53"/>
      <c r="Z16" s="53"/>
      <c r="AA16" s="53"/>
      <c r="AB16" s="107"/>
      <c r="AC16" s="167"/>
      <c r="AD16" s="168"/>
      <c r="AE16" s="169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166"/>
      <c r="W17" s="3"/>
      <c r="X17" s="50"/>
      <c r="Y17" s="53"/>
      <c r="Z17" s="53"/>
      <c r="AA17" s="53"/>
      <c r="AB17" s="107"/>
      <c r="AC17" s="167"/>
      <c r="AD17" s="168"/>
      <c r="AE17" s="169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166"/>
      <c r="W18" s="3"/>
      <c r="X18" s="50"/>
      <c r="Y18" s="53"/>
      <c r="Z18" s="53"/>
      <c r="AA18" s="53"/>
      <c r="AB18" s="107"/>
      <c r="AC18" s="167"/>
      <c r="AD18" s="168"/>
      <c r="AE18" s="169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166"/>
      <c r="W19" s="3"/>
      <c r="X19" s="50"/>
      <c r="Y19" s="53"/>
      <c r="Z19" s="53"/>
      <c r="AA19" s="53"/>
      <c r="AB19" s="107"/>
      <c r="AC19" s="167"/>
      <c r="AD19" s="168"/>
      <c r="AE19" s="169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166"/>
      <c r="W20" s="3"/>
      <c r="X20" s="50"/>
      <c r="Y20" s="53"/>
      <c r="Z20" s="53"/>
      <c r="AA20" s="53"/>
      <c r="AB20" s="107"/>
      <c r="AC20" s="167"/>
      <c r="AD20" s="168"/>
      <c r="AE20" s="169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166"/>
      <c r="W21" s="3"/>
      <c r="X21" s="50"/>
      <c r="Y21" s="53"/>
      <c r="Z21" s="53"/>
      <c r="AA21" s="53"/>
      <c r="AB21" s="107"/>
      <c r="AC21" s="167"/>
      <c r="AD21" s="168"/>
      <c r="AE21" s="169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166"/>
      <c r="W22" s="3"/>
      <c r="X22" s="50"/>
      <c r="Y22" s="53"/>
      <c r="Z22" s="53"/>
      <c r="AA22" s="53"/>
      <c r="AB22" s="107"/>
      <c r="AC22" s="167"/>
      <c r="AD22" s="168"/>
      <c r="AE22" s="169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166"/>
      <c r="W23" s="3"/>
      <c r="X23" s="50"/>
      <c r="Y23" s="53"/>
      <c r="Z23" s="53"/>
      <c r="AA23" s="53"/>
      <c r="AB23" s="107"/>
      <c r="AC23" s="167"/>
      <c r="AD23" s="168"/>
      <c r="AE23" s="169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166"/>
      <c r="W24" s="3"/>
      <c r="X24" s="50"/>
      <c r="Y24" s="53"/>
      <c r="Z24" s="53"/>
      <c r="AA24" s="53"/>
      <c r="AB24" s="107"/>
      <c r="AC24" s="167"/>
      <c r="AD24" s="168"/>
      <c r="AE24" s="169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166"/>
      <c r="W25" s="3"/>
      <c r="X25" s="50"/>
      <c r="Y25" s="53"/>
      <c r="Z25" s="53"/>
      <c r="AA25" s="53"/>
      <c r="AB25" s="107"/>
      <c r="AC25" s="167"/>
      <c r="AD25" s="168"/>
      <c r="AE25" s="169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166"/>
      <c r="W26" s="3"/>
      <c r="X26" s="50"/>
      <c r="Y26" s="53"/>
      <c r="Z26" s="53"/>
      <c r="AA26" s="53"/>
      <c r="AB26" s="107"/>
      <c r="AC26" s="167"/>
      <c r="AD26" s="168"/>
      <c r="AE26" s="169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166"/>
      <c r="W27" s="3"/>
      <c r="X27" s="50"/>
      <c r="Y27" s="53"/>
      <c r="Z27" s="53"/>
      <c r="AA27" s="53"/>
      <c r="AB27" s="107"/>
      <c r="AC27" s="167"/>
      <c r="AD27" s="168"/>
      <c r="AE27" s="169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166"/>
      <c r="W28" s="3"/>
      <c r="X28" s="50"/>
      <c r="Y28" s="53"/>
      <c r="Z28" s="53"/>
      <c r="AA28" s="53"/>
      <c r="AB28" s="107"/>
      <c r="AC28" s="167"/>
      <c r="AD28" s="168"/>
      <c r="AE28" s="169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166"/>
      <c r="W29" s="3"/>
      <c r="X29" s="50"/>
      <c r="Y29" s="53"/>
      <c r="Z29" s="53"/>
      <c r="AA29" s="53"/>
      <c r="AB29" s="107"/>
      <c r="AC29" s="167"/>
      <c r="AD29" s="168"/>
      <c r="AE29" s="169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166"/>
      <c r="W30" s="3"/>
      <c r="X30" s="50"/>
      <c r="Y30" s="53"/>
      <c r="Z30" s="53"/>
      <c r="AA30" s="53"/>
      <c r="AB30" s="107"/>
      <c r="AC30" s="167"/>
      <c r="AD30" s="168"/>
      <c r="AE30" s="169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9"/>
      <c r="AF31" s="170"/>
    </row>
    <row r="32" spans="2:32" x14ac:dyDescent="0.3">
      <c r="B32" s="50"/>
      <c r="C32" s="53"/>
      <c r="D32" s="53"/>
      <c r="E32" s="107"/>
      <c r="F32" s="54"/>
      <c r="G32" s="3"/>
      <c r="I32" s="109" t="s">
        <v>306</v>
      </c>
      <c r="J32" s="90">
        <f>예산!F40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172"/>
      <c r="AA32" s="165"/>
      <c r="AB32" s="107"/>
      <c r="AC32" s="167"/>
      <c r="AD32" s="168"/>
      <c r="AE32" s="169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174"/>
      <c r="S33" s="62"/>
      <c r="T33" s="165"/>
      <c r="U33" s="88"/>
      <c r="V33" s="184"/>
      <c r="W33" s="43"/>
      <c r="X33" s="173"/>
      <c r="Y33" s="109"/>
      <c r="Z33" s="174"/>
      <c r="AA33" s="165"/>
      <c r="AB33" s="88"/>
      <c r="AC33" s="188"/>
      <c r="AD33" s="177"/>
      <c r="AE33" s="175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62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166"/>
      <c r="W35" s="3"/>
      <c r="X35" s="50"/>
      <c r="Y35" s="53"/>
      <c r="Z35" s="53"/>
      <c r="AA35" s="53"/>
      <c r="AB35" s="107"/>
      <c r="AC35" s="167"/>
      <c r="AD35" s="168"/>
      <c r="AE35" s="166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166"/>
      <c r="W36" s="3"/>
      <c r="X36" s="50"/>
      <c r="Y36" s="53"/>
      <c r="Z36" s="53"/>
      <c r="AA36" s="53"/>
      <c r="AB36" s="107"/>
      <c r="AC36" s="167"/>
      <c r="AD36" s="168"/>
      <c r="AE36" s="166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166"/>
      <c r="W37" s="3"/>
      <c r="X37" s="50"/>
      <c r="Y37" s="53"/>
      <c r="Z37" s="53"/>
      <c r="AA37" s="53"/>
      <c r="AB37" s="107"/>
      <c r="AC37" s="167"/>
      <c r="AD37" s="168"/>
      <c r="AE37" s="166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166"/>
      <c r="W38" s="3"/>
      <c r="X38" s="50"/>
      <c r="Y38" s="53"/>
      <c r="Z38" s="53"/>
      <c r="AA38" s="53"/>
      <c r="AB38" s="107"/>
      <c r="AC38" s="167"/>
      <c r="AD38" s="168"/>
      <c r="AE38" s="166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166"/>
      <c r="W39" s="3"/>
      <c r="X39" s="50"/>
      <c r="Y39" s="53"/>
      <c r="Z39" s="53"/>
      <c r="AA39" s="53"/>
      <c r="AB39" s="107"/>
      <c r="AC39" s="167"/>
      <c r="AD39" s="168"/>
      <c r="AE39" s="166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166"/>
      <c r="W40" s="3"/>
      <c r="X40" s="50"/>
      <c r="Y40" s="53"/>
      <c r="Z40" s="53"/>
      <c r="AA40" s="53"/>
      <c r="AB40" s="107"/>
      <c r="AC40" s="167"/>
      <c r="AD40" s="168"/>
      <c r="AE40" s="166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166"/>
      <c r="W41" s="3"/>
      <c r="X41" s="50"/>
      <c r="Y41" s="53"/>
      <c r="Z41" s="53"/>
      <c r="AA41" s="53"/>
      <c r="AB41" s="107"/>
      <c r="AC41" s="167"/>
      <c r="AD41" s="168"/>
      <c r="AE41" s="166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166"/>
      <c r="W42" s="3"/>
      <c r="X42" s="50"/>
      <c r="Y42" s="53"/>
      <c r="Z42" s="53"/>
      <c r="AA42" s="53"/>
      <c r="AB42" s="107"/>
      <c r="AC42" s="167"/>
      <c r="AD42" s="168"/>
      <c r="AE42" s="166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166"/>
      <c r="W43" s="3"/>
      <c r="X43" s="50"/>
      <c r="Y43" s="53"/>
      <c r="Z43" s="53"/>
      <c r="AA43" s="53"/>
      <c r="AB43" s="107"/>
      <c r="AC43" s="167"/>
      <c r="AD43" s="168"/>
      <c r="AE43" s="166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166"/>
      <c r="W44" s="3"/>
      <c r="X44" s="50"/>
      <c r="Y44" s="53"/>
      <c r="Z44" s="53"/>
      <c r="AA44" s="53"/>
      <c r="AB44" s="107"/>
      <c r="AC44" s="167"/>
      <c r="AD44" s="168"/>
      <c r="AE44" s="166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166"/>
      <c r="W45" s="3"/>
      <c r="X45" s="50"/>
      <c r="Y45" s="53"/>
      <c r="Z45" s="53"/>
      <c r="AA45" s="53"/>
      <c r="AB45" s="107"/>
      <c r="AC45" s="167"/>
      <c r="AD45" s="168"/>
      <c r="AE45" s="166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166"/>
      <c r="W46" s="3"/>
      <c r="X46" s="50"/>
      <c r="Y46" s="53"/>
      <c r="Z46" s="53"/>
      <c r="AA46" s="53"/>
      <c r="AB46" s="107"/>
      <c r="AC46" s="167"/>
      <c r="AD46" s="168"/>
      <c r="AE46" s="166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166"/>
      <c r="W47" s="3"/>
      <c r="X47" s="50"/>
      <c r="Y47" s="53"/>
      <c r="Z47" s="53"/>
      <c r="AA47" s="53"/>
      <c r="AB47" s="107"/>
      <c r="AC47" s="167"/>
      <c r="AD47" s="168"/>
      <c r="AE47" s="166"/>
      <c r="AF47" s="170"/>
    </row>
    <row r="48" spans="2:32" x14ac:dyDescent="0.3">
      <c r="B48" s="6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166"/>
      <c r="W48" s="3"/>
      <c r="X48" s="50"/>
      <c r="Y48" s="53"/>
      <c r="Z48" s="53"/>
      <c r="AA48" s="53"/>
      <c r="AB48" s="107"/>
      <c r="AC48" s="167"/>
      <c r="AD48" s="168"/>
      <c r="AE48" s="166"/>
      <c r="AF48" s="170"/>
    </row>
    <row r="49" spans="2:32" x14ac:dyDescent="0.3">
      <c r="B49" s="6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166"/>
      <c r="W49" s="3"/>
      <c r="X49" s="50"/>
      <c r="Y49" s="53"/>
      <c r="Z49" s="53"/>
      <c r="AA49" s="53"/>
      <c r="AB49" s="107"/>
      <c r="AC49" s="167"/>
      <c r="AD49" s="168"/>
      <c r="AE49" s="166"/>
      <c r="AF49" s="170"/>
    </row>
    <row r="50" spans="2:32" x14ac:dyDescent="0.3">
      <c r="B50" s="6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166"/>
      <c r="W50" s="3"/>
      <c r="X50" s="50"/>
      <c r="Y50" s="53"/>
      <c r="Z50" s="53"/>
      <c r="AA50" s="53"/>
      <c r="AB50" s="107"/>
      <c r="AC50" s="167"/>
      <c r="AD50" s="168"/>
      <c r="AE50" s="166"/>
      <c r="AF50" s="170"/>
    </row>
    <row r="51" spans="2:32" x14ac:dyDescent="0.3">
      <c r="B51" s="6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166"/>
      <c r="W51" s="3"/>
      <c r="X51" s="50"/>
      <c r="Y51" s="53"/>
      <c r="Z51" s="53"/>
      <c r="AA51" s="53"/>
      <c r="AB51" s="107"/>
      <c r="AC51" s="167"/>
      <c r="AD51" s="168"/>
      <c r="AE51" s="166"/>
      <c r="AF51" s="170"/>
    </row>
    <row r="52" spans="2:32" x14ac:dyDescent="0.3">
      <c r="B52" s="6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166"/>
      <c r="W52" s="3"/>
      <c r="X52" s="50"/>
      <c r="Y52" s="53"/>
      <c r="Z52" s="53"/>
      <c r="AA52" s="53"/>
      <c r="AB52" s="107"/>
      <c r="AC52" s="167"/>
      <c r="AD52" s="168"/>
      <c r="AE52" s="166"/>
      <c r="AF52" s="170"/>
    </row>
    <row r="53" spans="2:32" x14ac:dyDescent="0.3">
      <c r="B53" s="6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166"/>
      <c r="W53" s="3"/>
      <c r="X53" s="50"/>
      <c r="Y53" s="53"/>
      <c r="Z53" s="53"/>
      <c r="AA53" s="53"/>
      <c r="AB53" s="107"/>
      <c r="AC53" s="167"/>
      <c r="AD53" s="168"/>
      <c r="AE53" s="166"/>
      <c r="AF53" s="170"/>
    </row>
    <row r="54" spans="2:32" x14ac:dyDescent="0.3">
      <c r="B54" s="6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166"/>
      <c r="W54" s="3"/>
      <c r="X54" s="50"/>
      <c r="Y54" s="53"/>
      <c r="Z54" s="53"/>
      <c r="AA54" s="53"/>
      <c r="AB54" s="107"/>
      <c r="AC54" s="167"/>
      <c r="AD54" s="168"/>
      <c r="AE54" s="166"/>
      <c r="AF54" s="170"/>
    </row>
    <row r="55" spans="2:32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166"/>
      <c r="W55" s="3"/>
      <c r="X55" s="50"/>
      <c r="Y55" s="53"/>
      <c r="Z55" s="53"/>
      <c r="AA55" s="53"/>
      <c r="AB55" s="107"/>
      <c r="AC55" s="167"/>
      <c r="AD55" s="168"/>
      <c r="AE55" s="166"/>
      <c r="AF55" s="170"/>
    </row>
    <row r="56" spans="2:32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166"/>
      <c r="W56" s="3"/>
      <c r="X56" s="50"/>
      <c r="Y56" s="53"/>
      <c r="Z56" s="53"/>
      <c r="AA56" s="53"/>
      <c r="AB56" s="107"/>
      <c r="AC56" s="167"/>
      <c r="AD56" s="168"/>
      <c r="AE56" s="166"/>
      <c r="AF56" s="170"/>
    </row>
    <row r="57" spans="2:32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166"/>
      <c r="W57" s="3"/>
      <c r="X57" s="50"/>
      <c r="Y57" s="53"/>
      <c r="Z57" s="53"/>
      <c r="AA57" s="53"/>
      <c r="AB57" s="107"/>
      <c r="AC57" s="167"/>
      <c r="AD57" s="168"/>
      <c r="AE57" s="166"/>
      <c r="AF57" s="170"/>
    </row>
    <row r="58" spans="2:32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166"/>
      <c r="W58" s="3"/>
      <c r="X58" s="50"/>
      <c r="Y58" s="53"/>
      <c r="Z58" s="53"/>
      <c r="AA58" s="53"/>
      <c r="AB58" s="107"/>
      <c r="AC58" s="167"/>
      <c r="AD58" s="168"/>
      <c r="AE58" s="166"/>
      <c r="AF58" s="170"/>
    </row>
    <row r="59" spans="2:32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166"/>
      <c r="W59" s="3"/>
      <c r="X59" s="50"/>
      <c r="Y59" s="53"/>
      <c r="Z59" s="53"/>
      <c r="AA59" s="53"/>
      <c r="AB59" s="107"/>
      <c r="AC59" s="167"/>
      <c r="AD59" s="168"/>
      <c r="AE59" s="166"/>
      <c r="AF59" s="170"/>
    </row>
    <row r="60" spans="2:32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166"/>
      <c r="W60" s="3"/>
      <c r="X60" s="50"/>
      <c r="Y60" s="53"/>
      <c r="Z60" s="53"/>
      <c r="AA60" s="53"/>
      <c r="AB60" s="107"/>
      <c r="AC60" s="167"/>
      <c r="AD60" s="168"/>
      <c r="AE60" s="166"/>
      <c r="AF60" s="170"/>
    </row>
    <row r="61" spans="2:32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166"/>
      <c r="W61" s="3"/>
      <c r="X61" s="50"/>
      <c r="Y61" s="53"/>
      <c r="Z61" s="53"/>
      <c r="AA61" s="53"/>
      <c r="AB61" s="107"/>
      <c r="AC61" s="167"/>
      <c r="AD61" s="168"/>
      <c r="AE61" s="166"/>
      <c r="AF61" s="170"/>
    </row>
    <row r="62" spans="2:32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166"/>
      <c r="W62" s="3"/>
      <c r="X62" s="50"/>
      <c r="Y62" s="53"/>
      <c r="Z62" s="53"/>
      <c r="AA62" s="53"/>
      <c r="AB62" s="107"/>
      <c r="AC62" s="167"/>
      <c r="AD62" s="168"/>
      <c r="AE62" s="166"/>
      <c r="AF62" s="170"/>
    </row>
    <row r="63" spans="2:32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166"/>
      <c r="W63" s="3"/>
      <c r="X63" s="50"/>
      <c r="Y63" s="53"/>
      <c r="Z63" s="53"/>
      <c r="AA63" s="53"/>
      <c r="AB63" s="107"/>
      <c r="AC63" s="167"/>
      <c r="AD63" s="168"/>
      <c r="AE63" s="166"/>
      <c r="AF63" s="170"/>
    </row>
    <row r="64" spans="2:32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166"/>
      <c r="W64" s="3"/>
      <c r="X64" s="50"/>
      <c r="Y64" s="53"/>
      <c r="Z64" s="53"/>
      <c r="AA64" s="53"/>
      <c r="AB64" s="107"/>
      <c r="AC64" s="167"/>
      <c r="AD64" s="168"/>
      <c r="AE64" s="166"/>
      <c r="AF64" s="170"/>
    </row>
    <row r="65" spans="2:32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166"/>
      <c r="W65" s="3"/>
      <c r="X65" s="50"/>
      <c r="Y65" s="53"/>
      <c r="Z65" s="53"/>
      <c r="AA65" s="53"/>
      <c r="AB65" s="107"/>
      <c r="AC65" s="167"/>
      <c r="AD65" s="168"/>
      <c r="AE65" s="166"/>
      <c r="AF65" s="170"/>
    </row>
    <row r="66" spans="2:32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166"/>
      <c r="W66" s="3"/>
      <c r="X66" s="50"/>
      <c r="Y66" s="53"/>
      <c r="Z66" s="53"/>
      <c r="AA66" s="53"/>
      <c r="AB66" s="107"/>
      <c r="AC66" s="167"/>
      <c r="AD66" s="168"/>
      <c r="AE66" s="166"/>
      <c r="AF66" s="170"/>
    </row>
    <row r="67" spans="2:32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166"/>
      <c r="W67" s="3"/>
      <c r="X67" s="50"/>
      <c r="Y67" s="53"/>
      <c r="Z67" s="53"/>
      <c r="AA67" s="53"/>
      <c r="AB67" s="107"/>
      <c r="AC67" s="167"/>
      <c r="AD67" s="168"/>
      <c r="AE67" s="166"/>
      <c r="AF67" s="170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166"/>
      <c r="W68" s="3"/>
      <c r="X68" s="50"/>
      <c r="Y68" s="53"/>
      <c r="Z68" s="53"/>
      <c r="AA68" s="53"/>
      <c r="AB68" s="107"/>
      <c r="AC68" s="167"/>
      <c r="AD68" s="168"/>
      <c r="AE68" s="166"/>
      <c r="AF68" s="170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166"/>
      <c r="W69" s="3"/>
      <c r="X69" s="50"/>
      <c r="Y69" s="53"/>
      <c r="Z69" s="53"/>
      <c r="AA69" s="53"/>
      <c r="AB69" s="107"/>
      <c r="AC69" s="167"/>
      <c r="AD69" s="168"/>
      <c r="AE69" s="166"/>
      <c r="AF69" s="170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166"/>
      <c r="W70" s="3"/>
      <c r="X70" s="50"/>
      <c r="Y70" s="53"/>
      <c r="Z70" s="53"/>
      <c r="AA70" s="53"/>
      <c r="AB70" s="107"/>
      <c r="AC70" s="167"/>
      <c r="AD70" s="168"/>
      <c r="AE70" s="166"/>
      <c r="AF70" s="170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166"/>
      <c r="W71" s="3"/>
      <c r="X71" s="50"/>
      <c r="Y71" s="53"/>
      <c r="Z71" s="53"/>
      <c r="AA71" s="53"/>
      <c r="AB71" s="107"/>
      <c r="AC71" s="167"/>
      <c r="AD71" s="168"/>
      <c r="AE71" s="166"/>
      <c r="AF71" s="170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166"/>
      <c r="W72" s="3"/>
      <c r="X72" s="50"/>
      <c r="Y72" s="53"/>
      <c r="Z72" s="53"/>
      <c r="AA72" s="53"/>
      <c r="AB72" s="107"/>
      <c r="AC72" s="167"/>
      <c r="AD72" s="168"/>
      <c r="AE72" s="166"/>
      <c r="AF72" s="170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166"/>
      <c r="W73" s="3"/>
      <c r="X73" s="50"/>
      <c r="Y73" s="53"/>
      <c r="Z73" s="53"/>
      <c r="AA73" s="53"/>
      <c r="AB73" s="107"/>
      <c r="AC73" s="167"/>
      <c r="AD73" s="168"/>
      <c r="AE73" s="166"/>
      <c r="AF73" s="170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166"/>
      <c r="W74" s="3"/>
      <c r="X74" s="50"/>
      <c r="Y74" s="53"/>
      <c r="Z74" s="53"/>
      <c r="AA74" s="53"/>
      <c r="AB74" s="107"/>
      <c r="AC74" s="167"/>
      <c r="AD74" s="168"/>
      <c r="AE74" s="166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166"/>
      <c r="W75" s="3"/>
      <c r="X75" s="50"/>
      <c r="Y75" s="53"/>
      <c r="Z75" s="53"/>
      <c r="AA75" s="53"/>
      <c r="AB75" s="107"/>
      <c r="AC75" s="167"/>
      <c r="AD75" s="168"/>
      <c r="AE75" s="166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166"/>
      <c r="W76" s="3"/>
      <c r="X76" s="50"/>
      <c r="Y76" s="53"/>
      <c r="Z76" s="53"/>
      <c r="AA76" s="53"/>
      <c r="AB76" s="107"/>
      <c r="AC76" s="167"/>
      <c r="AD76" s="168"/>
      <c r="AE76" s="166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166"/>
      <c r="W77" s="3"/>
      <c r="X77" s="50"/>
      <c r="Y77" s="53"/>
      <c r="Z77" s="53"/>
      <c r="AA77" s="53"/>
      <c r="AB77" s="107"/>
      <c r="AC77" s="167"/>
      <c r="AD77" s="168"/>
      <c r="AE77" s="166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166"/>
      <c r="W78" s="3"/>
      <c r="X78" s="50"/>
      <c r="Y78" s="53"/>
      <c r="Z78" s="53"/>
      <c r="AA78" s="53"/>
      <c r="AB78" s="107"/>
      <c r="AC78" s="167"/>
      <c r="AD78" s="168"/>
      <c r="AE78" s="166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166"/>
      <c r="W79" s="3"/>
      <c r="X79" s="50"/>
      <c r="Y79" s="53"/>
      <c r="Z79" s="53"/>
      <c r="AA79" s="53"/>
      <c r="AB79" s="107"/>
      <c r="AC79" s="167"/>
      <c r="AD79" s="168"/>
      <c r="AE79" s="166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166"/>
      <c r="W80" s="3"/>
      <c r="X80" s="50"/>
      <c r="Y80" s="53"/>
      <c r="Z80" s="53"/>
      <c r="AA80" s="53"/>
      <c r="AB80" s="107"/>
      <c r="AC80" s="167"/>
      <c r="AD80" s="168"/>
      <c r="AE80" s="166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166"/>
      <c r="W81" s="3"/>
      <c r="X81" s="50"/>
      <c r="Y81" s="53"/>
      <c r="Z81" s="53"/>
      <c r="AA81" s="53"/>
      <c r="AB81" s="107"/>
      <c r="AC81" s="167"/>
      <c r="AD81" s="168"/>
      <c r="AE81" s="166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166"/>
      <c r="W82" s="3"/>
      <c r="X82" s="50"/>
      <c r="Y82" s="53"/>
      <c r="Z82" s="53"/>
      <c r="AA82" s="53"/>
      <c r="AB82" s="107"/>
      <c r="AC82" s="167"/>
      <c r="AD82" s="168"/>
      <c r="AE82" s="166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166"/>
      <c r="W83" s="3"/>
      <c r="X83" s="50"/>
      <c r="Y83" s="53"/>
      <c r="Z83" s="53"/>
      <c r="AA83" s="53"/>
      <c r="AB83" s="107"/>
      <c r="AC83" s="167"/>
      <c r="AD83" s="168"/>
      <c r="AE83" s="166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166"/>
      <c r="W84" s="3"/>
      <c r="X84" s="50"/>
      <c r="Y84" s="53"/>
      <c r="Z84" s="53"/>
      <c r="AA84" s="53"/>
      <c r="AB84" s="107"/>
      <c r="AC84" s="167"/>
      <c r="AD84" s="168"/>
      <c r="AE84" s="166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166"/>
      <c r="W85" s="3"/>
      <c r="X85" s="50"/>
      <c r="Y85" s="53"/>
      <c r="Z85" s="53"/>
      <c r="AA85" s="53"/>
      <c r="AB85" s="107"/>
      <c r="AC85" s="167"/>
      <c r="AD85" s="168"/>
      <c r="AE85" s="166"/>
      <c r="AF85" s="168"/>
    </row>
    <row r="86" spans="1:32" x14ac:dyDescent="0.3">
      <c r="B86" s="6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166"/>
      <c r="W86" s="3"/>
      <c r="X86" s="50"/>
      <c r="Y86" s="53"/>
      <c r="Z86" s="53"/>
      <c r="AA86" s="53"/>
      <c r="AB86" s="107"/>
      <c r="AC86" s="167"/>
      <c r="AD86" s="168"/>
      <c r="AE86" s="166"/>
      <c r="AF86" s="168"/>
    </row>
    <row r="87" spans="1:32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166"/>
      <c r="W87" s="3"/>
      <c r="X87" s="50"/>
      <c r="Y87" s="53"/>
      <c r="Z87" s="53"/>
      <c r="AA87" s="53"/>
      <c r="AB87" s="107"/>
      <c r="AC87" s="167"/>
      <c r="AD87" s="168"/>
      <c r="AE87" s="166"/>
      <c r="AF87" s="168"/>
    </row>
    <row r="88" spans="1:32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166"/>
      <c r="W88" s="3"/>
      <c r="X88" s="50"/>
      <c r="Y88" s="53"/>
      <c r="Z88" s="53"/>
      <c r="AA88" s="53"/>
      <c r="AB88" s="107"/>
      <c r="AC88" s="167"/>
      <c r="AD88" s="168"/>
      <c r="AE88" s="166"/>
      <c r="AF88" s="168"/>
    </row>
    <row r="89" spans="1:32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166"/>
      <c r="W89" s="3"/>
      <c r="X89" s="50"/>
      <c r="Y89" s="53"/>
      <c r="Z89" s="53"/>
      <c r="AA89" s="53"/>
      <c r="AB89" s="107"/>
      <c r="AC89" s="167"/>
      <c r="AD89" s="168"/>
      <c r="AE89" s="166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166"/>
      <c r="W90" s="3"/>
      <c r="X90" s="50"/>
      <c r="Y90" s="53"/>
      <c r="Z90" s="53"/>
      <c r="AA90" s="53"/>
      <c r="AB90" s="107"/>
      <c r="AC90" s="167"/>
      <c r="AD90" s="168"/>
      <c r="AE90" s="166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166"/>
      <c r="W91" s="3"/>
      <c r="X91" s="50"/>
      <c r="Y91" s="53"/>
      <c r="Z91" s="53"/>
      <c r="AA91" s="53"/>
      <c r="AB91" s="107"/>
      <c r="AC91" s="167"/>
      <c r="AD91" s="168"/>
      <c r="AE91" s="166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166"/>
      <c r="W92" s="3"/>
      <c r="X92" s="50"/>
      <c r="Y92" s="53"/>
      <c r="Z92" s="53"/>
      <c r="AA92" s="53"/>
      <c r="AB92" s="107"/>
      <c r="AC92" s="167"/>
      <c r="AD92" s="168"/>
      <c r="AE92" s="166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166"/>
      <c r="W93" s="3"/>
      <c r="X93" s="50"/>
      <c r="Y93" s="53"/>
      <c r="Z93" s="53"/>
      <c r="AA93" s="53"/>
      <c r="AB93" s="107"/>
      <c r="AC93" s="167"/>
      <c r="AD93" s="168"/>
      <c r="AE93" s="166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166"/>
      <c r="W94" s="3"/>
      <c r="X94" s="50"/>
      <c r="Y94" s="53"/>
      <c r="Z94" s="53"/>
      <c r="AA94" s="53"/>
      <c r="AB94" s="107"/>
      <c r="AC94" s="167"/>
      <c r="AD94" s="168"/>
      <c r="AE94" s="166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H7:L7"/>
    <mergeCell ref="B1:O3"/>
    <mergeCell ref="H6:L6"/>
    <mergeCell ref="M6:O6"/>
    <mergeCell ref="M7:O7"/>
  </mergeCells>
  <phoneticPr fontId="3" type="noConversion"/>
  <conditionalFormatting sqref="N35:N94">
    <cfRule type="expression" dxfId="9" priority="1">
      <formula>$N35&lt;0</formula>
    </cfRule>
  </conditionalFormatting>
  <dataValidations count="3">
    <dataValidation type="list" allowBlank="1" showInputMessage="1" showErrorMessage="1" sqref="D35:D94 K11:K30 D11:D30 K35:K94" xr:uid="{00000000-0002-0000-0600-000002000000}">
      <formula1>OFFSET(소분류,,MATCH(C11,대분류,)-1,COUNTA(OFFSET(소분류,,MATCH(C11,대분류,)-1,,1)),1)</formula1>
    </dataValidation>
    <dataValidation type="list" allowBlank="1" showInputMessage="1" showErrorMessage="1" sqref="J11:J30 C11:C30 C35:C94 J35:J94" xr:uid="{00000000-0002-0000-0600-000003000000}">
      <formula1>대분류</formula1>
    </dataValidation>
    <dataValidation type="list" allowBlank="1" showInputMessage="1" showErrorMessage="1" sqref="I11:I30 I35:I94" xr:uid="{00000000-0002-0000-0600-000004000000}">
      <formula1>계정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5F0E4-57FA-4AE2-B5D3-C05D6D2174A6}">
  <sheetPr codeName="Sheet20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184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4" spans="1:32" x14ac:dyDescent="0.3">
      <c r="U4" s="163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158"/>
      <c r="T5" s="159"/>
      <c r="U5" s="160"/>
    </row>
    <row r="6" spans="1:32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2"/>
      <c r="N6" s="582"/>
      <c r="O6" s="582"/>
      <c r="Q6" s="157"/>
      <c r="R6" s="158"/>
      <c r="T6" s="159"/>
      <c r="U6" s="163"/>
    </row>
    <row r="7" spans="1:32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3"/>
      <c r="N7" s="583"/>
      <c r="O7" s="583"/>
      <c r="Q7" s="74"/>
      <c r="R7" s="162"/>
      <c r="T7" s="159"/>
      <c r="U7" s="163"/>
    </row>
    <row r="8" spans="1:32" ht="9" customHeight="1" x14ac:dyDescent="0.3"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157"/>
      <c r="R9" s="158"/>
      <c r="S9" s="43"/>
      <c r="T9" s="159"/>
      <c r="U9" s="181"/>
      <c r="V9" s="181"/>
      <c r="W9" s="43"/>
      <c r="X9" s="157"/>
      <c r="Y9" s="187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166"/>
      <c r="W11" s="3"/>
      <c r="X11" s="50"/>
      <c r="Y11" s="53"/>
      <c r="Z11" s="53"/>
      <c r="AA11" s="53"/>
      <c r="AB11" s="107"/>
      <c r="AC11" s="167"/>
      <c r="AD11" s="168"/>
      <c r="AE11" s="166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166"/>
      <c r="W12" s="3"/>
      <c r="X12" s="50"/>
      <c r="Y12" s="53"/>
      <c r="Z12" s="53"/>
      <c r="AA12" s="53"/>
      <c r="AB12" s="107"/>
      <c r="AC12" s="167"/>
      <c r="AD12" s="168"/>
      <c r="AE12" s="166"/>
      <c r="AF12" s="170"/>
    </row>
    <row r="13" spans="1:32" x14ac:dyDescent="0.3">
      <c r="B13" s="10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166"/>
      <c r="W13" s="3"/>
      <c r="X13" s="50"/>
      <c r="Y13" s="53"/>
      <c r="Z13" s="53"/>
      <c r="AA13" s="53"/>
      <c r="AB13" s="107"/>
      <c r="AC13" s="167"/>
      <c r="AD13" s="168"/>
      <c r="AE13" s="166"/>
      <c r="AF13" s="170"/>
    </row>
    <row r="14" spans="1:32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166"/>
      <c r="W14" s="3"/>
      <c r="X14" s="50"/>
      <c r="Y14" s="53"/>
      <c r="Z14" s="53"/>
      <c r="AA14" s="53"/>
      <c r="AB14" s="107"/>
      <c r="AC14" s="167"/>
      <c r="AD14" s="168"/>
      <c r="AE14" s="166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166"/>
      <c r="W15" s="3"/>
      <c r="X15" s="50"/>
      <c r="Y15" s="53"/>
      <c r="Z15" s="53"/>
      <c r="AA15" s="53"/>
      <c r="AB15" s="107"/>
      <c r="AC15" s="167"/>
      <c r="AD15" s="168"/>
      <c r="AE15" s="166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166"/>
      <c r="W16" s="3"/>
      <c r="X16" s="50"/>
      <c r="Y16" s="53"/>
      <c r="Z16" s="53"/>
      <c r="AA16" s="53"/>
      <c r="AB16" s="107"/>
      <c r="AC16" s="167"/>
      <c r="AD16" s="168"/>
      <c r="AE16" s="166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166"/>
      <c r="W17" s="3"/>
      <c r="X17" s="50"/>
      <c r="Y17" s="53"/>
      <c r="Z17" s="53"/>
      <c r="AA17" s="53"/>
      <c r="AB17" s="107"/>
      <c r="AC17" s="167"/>
      <c r="AD17" s="168"/>
      <c r="AE17" s="166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166"/>
      <c r="W18" s="3"/>
      <c r="X18" s="50"/>
      <c r="Y18" s="53"/>
      <c r="Z18" s="53"/>
      <c r="AA18" s="53"/>
      <c r="AB18" s="107"/>
      <c r="AC18" s="167"/>
      <c r="AD18" s="168"/>
      <c r="AE18" s="166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166"/>
      <c r="W19" s="3"/>
      <c r="X19" s="50"/>
      <c r="Y19" s="53"/>
      <c r="Z19" s="53"/>
      <c r="AA19" s="53"/>
      <c r="AB19" s="107"/>
      <c r="AC19" s="167"/>
      <c r="AD19" s="168"/>
      <c r="AE19" s="166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166"/>
      <c r="W20" s="3"/>
      <c r="X20" s="50"/>
      <c r="Y20" s="53"/>
      <c r="Z20" s="53"/>
      <c r="AA20" s="53"/>
      <c r="AB20" s="107"/>
      <c r="AC20" s="167"/>
      <c r="AD20" s="168"/>
      <c r="AE20" s="166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166"/>
      <c r="W21" s="3"/>
      <c r="X21" s="50"/>
      <c r="Y21" s="53"/>
      <c r="Z21" s="53"/>
      <c r="AA21" s="53"/>
      <c r="AB21" s="107"/>
      <c r="AC21" s="167"/>
      <c r="AD21" s="168"/>
      <c r="AE21" s="166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166"/>
      <c r="W22" s="3"/>
      <c r="X22" s="50"/>
      <c r="Y22" s="53"/>
      <c r="Z22" s="53"/>
      <c r="AA22" s="53"/>
      <c r="AB22" s="107"/>
      <c r="AC22" s="167"/>
      <c r="AD22" s="168"/>
      <c r="AE22" s="166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166"/>
      <c r="W23" s="3"/>
      <c r="X23" s="50"/>
      <c r="Y23" s="53"/>
      <c r="Z23" s="53"/>
      <c r="AA23" s="53"/>
      <c r="AB23" s="107"/>
      <c r="AC23" s="167"/>
      <c r="AD23" s="168"/>
      <c r="AE23" s="166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166"/>
      <c r="W24" s="3"/>
      <c r="X24" s="50"/>
      <c r="Y24" s="53"/>
      <c r="Z24" s="53"/>
      <c r="AA24" s="53"/>
      <c r="AB24" s="107"/>
      <c r="AC24" s="167"/>
      <c r="AD24" s="168"/>
      <c r="AE24" s="166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166"/>
      <c r="W25" s="3"/>
      <c r="X25" s="50"/>
      <c r="Y25" s="53"/>
      <c r="Z25" s="53"/>
      <c r="AA25" s="53"/>
      <c r="AB25" s="107"/>
      <c r="AC25" s="167"/>
      <c r="AD25" s="168"/>
      <c r="AE25" s="166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166"/>
      <c r="W26" s="3"/>
      <c r="X26" s="50"/>
      <c r="Y26" s="53"/>
      <c r="Z26" s="53"/>
      <c r="AA26" s="53"/>
      <c r="AB26" s="107"/>
      <c r="AC26" s="167"/>
      <c r="AD26" s="168"/>
      <c r="AE26" s="166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166"/>
      <c r="W27" s="3"/>
      <c r="X27" s="50"/>
      <c r="Y27" s="53"/>
      <c r="Z27" s="53"/>
      <c r="AA27" s="53"/>
      <c r="AB27" s="107"/>
      <c r="AC27" s="167"/>
      <c r="AD27" s="168"/>
      <c r="AE27" s="166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166"/>
      <c r="W28" s="3"/>
      <c r="X28" s="50"/>
      <c r="Y28" s="53"/>
      <c r="Z28" s="53"/>
      <c r="AA28" s="53"/>
      <c r="AB28" s="107"/>
      <c r="AC28" s="167"/>
      <c r="AD28" s="168"/>
      <c r="AE28" s="166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166"/>
      <c r="W29" s="3"/>
      <c r="X29" s="50"/>
      <c r="Y29" s="53"/>
      <c r="Z29" s="53"/>
      <c r="AA29" s="53"/>
      <c r="AB29" s="107"/>
      <c r="AC29" s="167"/>
      <c r="AD29" s="168"/>
      <c r="AE29" s="166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166"/>
      <c r="W30" s="3"/>
      <c r="X30" s="50"/>
      <c r="Y30" s="53"/>
      <c r="Z30" s="53"/>
      <c r="AA30" s="53"/>
      <c r="AB30" s="107"/>
      <c r="AC30" s="167"/>
      <c r="AD30" s="168"/>
      <c r="AE30" s="166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I32" s="109" t="s">
        <v>306</v>
      </c>
      <c r="J32" s="90">
        <f>예산!G40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172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90">
        <f>SUM(M35:$M$94)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174"/>
      <c r="S33" s="62"/>
      <c r="T33" s="165"/>
      <c r="U33" s="88"/>
      <c r="V33" s="184"/>
      <c r="W33" s="43"/>
      <c r="X33" s="173"/>
      <c r="Y33" s="109"/>
      <c r="Z33" s="174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166"/>
      <c r="W35" s="3"/>
      <c r="X35" s="50"/>
      <c r="Y35" s="53"/>
      <c r="Z35" s="53"/>
      <c r="AA35" s="53"/>
      <c r="AB35" s="107"/>
      <c r="AC35" s="167"/>
      <c r="AD35" s="168"/>
      <c r="AE35" s="166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166"/>
      <c r="W36" s="3"/>
      <c r="X36" s="50"/>
      <c r="Y36" s="53"/>
      <c r="Z36" s="53"/>
      <c r="AA36" s="53"/>
      <c r="AB36" s="107"/>
      <c r="AC36" s="167"/>
      <c r="AD36" s="168"/>
      <c r="AE36" s="166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166"/>
      <c r="W37" s="3"/>
      <c r="X37" s="50"/>
      <c r="Y37" s="53"/>
      <c r="Z37" s="53"/>
      <c r="AA37" s="53"/>
      <c r="AB37" s="107"/>
      <c r="AC37" s="167"/>
      <c r="AD37" s="168"/>
      <c r="AE37" s="166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166"/>
      <c r="W38" s="3"/>
      <c r="X38" s="50"/>
      <c r="Y38" s="53"/>
      <c r="Z38" s="53"/>
      <c r="AA38" s="53"/>
      <c r="AB38" s="107"/>
      <c r="AC38" s="167"/>
      <c r="AD38" s="168"/>
      <c r="AE38" s="166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166"/>
      <c r="W39" s="3"/>
      <c r="X39" s="50"/>
      <c r="Y39" s="53"/>
      <c r="Z39" s="53"/>
      <c r="AA39" s="53"/>
      <c r="AB39" s="107"/>
      <c r="AC39" s="167"/>
      <c r="AD39" s="168"/>
      <c r="AE39" s="166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166"/>
      <c r="W40" s="3"/>
      <c r="X40" s="50"/>
      <c r="Y40" s="53"/>
      <c r="Z40" s="53"/>
      <c r="AA40" s="53"/>
      <c r="AB40" s="107"/>
      <c r="AC40" s="167"/>
      <c r="AD40" s="168"/>
      <c r="AE40" s="166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166"/>
      <c r="W41" s="3"/>
      <c r="X41" s="50"/>
      <c r="Y41" s="53"/>
      <c r="Z41" s="53"/>
      <c r="AA41" s="53"/>
      <c r="AB41" s="107"/>
      <c r="AC41" s="167"/>
      <c r="AD41" s="168"/>
      <c r="AE41" s="166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166"/>
      <c r="W42" s="3"/>
      <c r="X42" s="50"/>
      <c r="Y42" s="53"/>
      <c r="Z42" s="53"/>
      <c r="AA42" s="53"/>
      <c r="AB42" s="107"/>
      <c r="AC42" s="167"/>
      <c r="AD42" s="168"/>
      <c r="AE42" s="166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166"/>
      <c r="W43" s="3"/>
      <c r="X43" s="50"/>
      <c r="Y43" s="53"/>
      <c r="Z43" s="53"/>
      <c r="AA43" s="53"/>
      <c r="AB43" s="107"/>
      <c r="AC43" s="167"/>
      <c r="AD43" s="168"/>
      <c r="AE43" s="166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166"/>
      <c r="W44" s="3"/>
      <c r="X44" s="50"/>
      <c r="Y44" s="53"/>
      <c r="Z44" s="53"/>
      <c r="AA44" s="53"/>
      <c r="AB44" s="107"/>
      <c r="AC44" s="167"/>
      <c r="AD44" s="168"/>
      <c r="AE44" s="166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166"/>
      <c r="W45" s="3"/>
      <c r="X45" s="50"/>
      <c r="Y45" s="53"/>
      <c r="Z45" s="53"/>
      <c r="AA45" s="53"/>
      <c r="AB45" s="107"/>
      <c r="AC45" s="167"/>
      <c r="AD45" s="168"/>
      <c r="AE45" s="166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166"/>
      <c r="W46" s="3"/>
      <c r="X46" s="50"/>
      <c r="Y46" s="53"/>
      <c r="Z46" s="53"/>
      <c r="AA46" s="53"/>
      <c r="AB46" s="107"/>
      <c r="AC46" s="167"/>
      <c r="AD46" s="168"/>
      <c r="AE46" s="166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166"/>
      <c r="W47" s="3"/>
      <c r="X47" s="50"/>
      <c r="Y47" s="53"/>
      <c r="Z47" s="53"/>
      <c r="AA47" s="53"/>
      <c r="AB47" s="107"/>
      <c r="AC47" s="167"/>
      <c r="AD47" s="168"/>
      <c r="AE47" s="166"/>
      <c r="AF47" s="170"/>
    </row>
    <row r="48" spans="2:32" x14ac:dyDescent="0.3">
      <c r="B48" s="6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166"/>
      <c r="W48" s="3"/>
      <c r="X48" s="50"/>
      <c r="Y48" s="53"/>
      <c r="Z48" s="53"/>
      <c r="AA48" s="53"/>
      <c r="AB48" s="107"/>
      <c r="AC48" s="167"/>
      <c r="AD48" s="168"/>
      <c r="AE48" s="166"/>
      <c r="AF48" s="170"/>
    </row>
    <row r="49" spans="2:32" x14ac:dyDescent="0.3">
      <c r="B49" s="6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166"/>
      <c r="W49" s="3"/>
      <c r="X49" s="50"/>
      <c r="Y49" s="53"/>
      <c r="Z49" s="53"/>
      <c r="AA49" s="53"/>
      <c r="AB49" s="107"/>
      <c r="AC49" s="167"/>
      <c r="AD49" s="168"/>
      <c r="AE49" s="166"/>
      <c r="AF49" s="170"/>
    </row>
    <row r="50" spans="2:32" x14ac:dyDescent="0.3">
      <c r="B50" s="6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166"/>
      <c r="W50" s="3"/>
      <c r="X50" s="50"/>
      <c r="Y50" s="53"/>
      <c r="Z50" s="53"/>
      <c r="AA50" s="53"/>
      <c r="AB50" s="107"/>
      <c r="AC50" s="167"/>
      <c r="AD50" s="168"/>
      <c r="AE50" s="166"/>
      <c r="AF50" s="170"/>
    </row>
    <row r="51" spans="2:32" x14ac:dyDescent="0.3">
      <c r="B51" s="6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166"/>
      <c r="W51" s="3"/>
      <c r="X51" s="50"/>
      <c r="Y51" s="53"/>
      <c r="Z51" s="53"/>
      <c r="AA51" s="53"/>
      <c r="AB51" s="107"/>
      <c r="AC51" s="167"/>
      <c r="AD51" s="168"/>
      <c r="AE51" s="166"/>
      <c r="AF51" s="170"/>
    </row>
    <row r="52" spans="2:32" x14ac:dyDescent="0.3">
      <c r="B52" s="6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166"/>
      <c r="W52" s="3"/>
      <c r="X52" s="50"/>
      <c r="Y52" s="53"/>
      <c r="Z52" s="53"/>
      <c r="AA52" s="53"/>
      <c r="AB52" s="107"/>
      <c r="AC52" s="167"/>
      <c r="AD52" s="168"/>
      <c r="AE52" s="166"/>
      <c r="AF52" s="170"/>
    </row>
    <row r="53" spans="2:32" x14ac:dyDescent="0.3">
      <c r="B53" s="6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166"/>
      <c r="W53" s="3"/>
      <c r="X53" s="50"/>
      <c r="Y53" s="53"/>
      <c r="Z53" s="53"/>
      <c r="AA53" s="53"/>
      <c r="AB53" s="107"/>
      <c r="AC53" s="167"/>
      <c r="AD53" s="168"/>
      <c r="AE53" s="166"/>
      <c r="AF53" s="170"/>
    </row>
    <row r="54" spans="2:32" x14ac:dyDescent="0.3">
      <c r="B54" s="6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166"/>
      <c r="W54" s="3"/>
      <c r="X54" s="50"/>
      <c r="Y54" s="53"/>
      <c r="Z54" s="53"/>
      <c r="AA54" s="53"/>
      <c r="AB54" s="107"/>
      <c r="AC54" s="167"/>
      <c r="AD54" s="168"/>
      <c r="AE54" s="166"/>
      <c r="AF54" s="170"/>
    </row>
    <row r="55" spans="2:32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166"/>
      <c r="W55" s="3"/>
      <c r="X55" s="50"/>
      <c r="Y55" s="53"/>
      <c r="Z55" s="53"/>
      <c r="AA55" s="53"/>
      <c r="AB55" s="107"/>
      <c r="AC55" s="167"/>
      <c r="AD55" s="168"/>
      <c r="AE55" s="166"/>
      <c r="AF55" s="170"/>
    </row>
    <row r="56" spans="2:32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166"/>
      <c r="W56" s="3"/>
      <c r="X56" s="50"/>
      <c r="Y56" s="53"/>
      <c r="Z56" s="53"/>
      <c r="AA56" s="53"/>
      <c r="AB56" s="107"/>
      <c r="AC56" s="167"/>
      <c r="AD56" s="168"/>
      <c r="AE56" s="166"/>
      <c r="AF56" s="170"/>
    </row>
    <row r="57" spans="2:32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166"/>
      <c r="W57" s="3"/>
      <c r="X57" s="50"/>
      <c r="Y57" s="53"/>
      <c r="Z57" s="53"/>
      <c r="AA57" s="53"/>
      <c r="AB57" s="107"/>
      <c r="AC57" s="167"/>
      <c r="AD57" s="168"/>
      <c r="AE57" s="166"/>
      <c r="AF57" s="170"/>
    </row>
    <row r="58" spans="2:32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166"/>
      <c r="W58" s="3"/>
      <c r="X58" s="50"/>
      <c r="Y58" s="53"/>
      <c r="Z58" s="53"/>
      <c r="AA58" s="53"/>
      <c r="AB58" s="107"/>
      <c r="AC58" s="167"/>
      <c r="AD58" s="168"/>
      <c r="AE58" s="166"/>
      <c r="AF58" s="170"/>
    </row>
    <row r="59" spans="2:32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166"/>
      <c r="W59" s="3"/>
      <c r="X59" s="50"/>
      <c r="Y59" s="53"/>
      <c r="Z59" s="53"/>
      <c r="AA59" s="53"/>
      <c r="AB59" s="107"/>
      <c r="AC59" s="167"/>
      <c r="AD59" s="168"/>
      <c r="AE59" s="166"/>
      <c r="AF59" s="170"/>
    </row>
    <row r="60" spans="2:32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166"/>
      <c r="W60" s="3"/>
      <c r="X60" s="50"/>
      <c r="Y60" s="53"/>
      <c r="Z60" s="53"/>
      <c r="AA60" s="53"/>
      <c r="AB60" s="107"/>
      <c r="AC60" s="167"/>
      <c r="AD60" s="168"/>
      <c r="AE60" s="166"/>
      <c r="AF60" s="170"/>
    </row>
    <row r="61" spans="2:32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166"/>
      <c r="W61" s="3"/>
      <c r="X61" s="50"/>
      <c r="Y61" s="53"/>
      <c r="Z61" s="53"/>
      <c r="AA61" s="53"/>
      <c r="AB61" s="107"/>
      <c r="AC61" s="167"/>
      <c r="AD61" s="168"/>
      <c r="AE61" s="166"/>
      <c r="AF61" s="170"/>
    </row>
    <row r="62" spans="2:32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166"/>
      <c r="W62" s="3"/>
      <c r="X62" s="50"/>
      <c r="Y62" s="53"/>
      <c r="Z62" s="53"/>
      <c r="AA62" s="53"/>
      <c r="AB62" s="107"/>
      <c r="AC62" s="167"/>
      <c r="AD62" s="168"/>
      <c r="AE62" s="166"/>
      <c r="AF62" s="170"/>
    </row>
    <row r="63" spans="2:32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166"/>
      <c r="W63" s="3"/>
      <c r="X63" s="50"/>
      <c r="Y63" s="53"/>
      <c r="Z63" s="53"/>
      <c r="AA63" s="53"/>
      <c r="AB63" s="107"/>
      <c r="AC63" s="167"/>
      <c r="AD63" s="168"/>
      <c r="AE63" s="166"/>
      <c r="AF63" s="170"/>
    </row>
    <row r="64" spans="2:32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166"/>
      <c r="W64" s="3"/>
      <c r="X64" s="50"/>
      <c r="Y64" s="53"/>
      <c r="Z64" s="53"/>
      <c r="AA64" s="53"/>
      <c r="AB64" s="107"/>
      <c r="AC64" s="167"/>
      <c r="AD64" s="168"/>
      <c r="AE64" s="166"/>
      <c r="AF64" s="170"/>
    </row>
    <row r="65" spans="2:32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166"/>
      <c r="W65" s="3"/>
      <c r="X65" s="50"/>
      <c r="Y65" s="53"/>
      <c r="Z65" s="53"/>
      <c r="AA65" s="53"/>
      <c r="AB65" s="107"/>
      <c r="AC65" s="167"/>
      <c r="AD65" s="168"/>
      <c r="AE65" s="166"/>
      <c r="AF65" s="170"/>
    </row>
    <row r="66" spans="2:32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166"/>
      <c r="W66" s="3"/>
      <c r="X66" s="50"/>
      <c r="Y66" s="53"/>
      <c r="Z66" s="53"/>
      <c r="AA66" s="53"/>
      <c r="AB66" s="107"/>
      <c r="AC66" s="167"/>
      <c r="AD66" s="168"/>
      <c r="AE66" s="166"/>
      <c r="AF66" s="170"/>
    </row>
    <row r="67" spans="2:32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166"/>
      <c r="W67" s="3"/>
      <c r="X67" s="50"/>
      <c r="Y67" s="53"/>
      <c r="Z67" s="53"/>
      <c r="AA67" s="53"/>
      <c r="AB67" s="107"/>
      <c r="AC67" s="167"/>
      <c r="AD67" s="168"/>
      <c r="AE67" s="166"/>
      <c r="AF67" s="170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166"/>
      <c r="W68" s="3"/>
      <c r="X68" s="50"/>
      <c r="Y68" s="53"/>
      <c r="Z68" s="53"/>
      <c r="AA68" s="53"/>
      <c r="AB68" s="107"/>
      <c r="AC68" s="167"/>
      <c r="AD68" s="168"/>
      <c r="AE68" s="166"/>
      <c r="AF68" s="170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166"/>
      <c r="W69" s="3"/>
      <c r="X69" s="50"/>
      <c r="Y69" s="53"/>
      <c r="Z69" s="53"/>
      <c r="AA69" s="53"/>
      <c r="AB69" s="107"/>
      <c r="AC69" s="167"/>
      <c r="AD69" s="168"/>
      <c r="AE69" s="166"/>
      <c r="AF69" s="170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166"/>
      <c r="W70" s="3"/>
      <c r="X70" s="50"/>
      <c r="Y70" s="53"/>
      <c r="Z70" s="53"/>
      <c r="AA70" s="53"/>
      <c r="AB70" s="107"/>
      <c r="AC70" s="167"/>
      <c r="AD70" s="168"/>
      <c r="AE70" s="166"/>
      <c r="AF70" s="170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166"/>
      <c r="W71" s="3"/>
      <c r="X71" s="50"/>
      <c r="Y71" s="53"/>
      <c r="Z71" s="53"/>
      <c r="AA71" s="53"/>
      <c r="AB71" s="107"/>
      <c r="AC71" s="167"/>
      <c r="AD71" s="168"/>
      <c r="AE71" s="166"/>
      <c r="AF71" s="170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166"/>
      <c r="W72" s="3"/>
      <c r="X72" s="50"/>
      <c r="Y72" s="53"/>
      <c r="Z72" s="53"/>
      <c r="AA72" s="53"/>
      <c r="AB72" s="107"/>
      <c r="AC72" s="167"/>
      <c r="AD72" s="168"/>
      <c r="AE72" s="166"/>
      <c r="AF72" s="170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166"/>
      <c r="W73" s="3"/>
      <c r="X73" s="50"/>
      <c r="Y73" s="53"/>
      <c r="Z73" s="53"/>
      <c r="AA73" s="53"/>
      <c r="AB73" s="107"/>
      <c r="AC73" s="167"/>
      <c r="AD73" s="168"/>
      <c r="AE73" s="166"/>
      <c r="AF73" s="170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166"/>
      <c r="W74" s="3"/>
      <c r="X74" s="50"/>
      <c r="Y74" s="53"/>
      <c r="Z74" s="53"/>
      <c r="AA74" s="53"/>
      <c r="AB74" s="107"/>
      <c r="AC74" s="167"/>
      <c r="AD74" s="168"/>
      <c r="AE74" s="166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166"/>
      <c r="W75" s="3"/>
      <c r="X75" s="50"/>
      <c r="Y75" s="53"/>
      <c r="Z75" s="53"/>
      <c r="AA75" s="53"/>
      <c r="AB75" s="107"/>
      <c r="AC75" s="167"/>
      <c r="AD75" s="168"/>
      <c r="AE75" s="166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166"/>
      <c r="W76" s="3"/>
      <c r="X76" s="50"/>
      <c r="Y76" s="53"/>
      <c r="Z76" s="53"/>
      <c r="AA76" s="53"/>
      <c r="AB76" s="107"/>
      <c r="AC76" s="167"/>
      <c r="AD76" s="168"/>
      <c r="AE76" s="166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166"/>
      <c r="W77" s="3"/>
      <c r="X77" s="50"/>
      <c r="Y77" s="53"/>
      <c r="Z77" s="53"/>
      <c r="AA77" s="53"/>
      <c r="AB77" s="107"/>
      <c r="AC77" s="167"/>
      <c r="AD77" s="168"/>
      <c r="AE77" s="166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166"/>
      <c r="W78" s="3"/>
      <c r="X78" s="50"/>
      <c r="Y78" s="53"/>
      <c r="Z78" s="53"/>
      <c r="AA78" s="53"/>
      <c r="AB78" s="107"/>
      <c r="AC78" s="167"/>
      <c r="AD78" s="168"/>
      <c r="AE78" s="166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166"/>
      <c r="W79" s="3"/>
      <c r="X79" s="50"/>
      <c r="Y79" s="53"/>
      <c r="Z79" s="53"/>
      <c r="AA79" s="53"/>
      <c r="AB79" s="107"/>
      <c r="AC79" s="167"/>
      <c r="AD79" s="168"/>
      <c r="AE79" s="166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166"/>
      <c r="W80" s="3"/>
      <c r="X80" s="50"/>
      <c r="Y80" s="53"/>
      <c r="Z80" s="53"/>
      <c r="AA80" s="53"/>
      <c r="AB80" s="107"/>
      <c r="AC80" s="167"/>
      <c r="AD80" s="168"/>
      <c r="AE80" s="166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166"/>
      <c r="W81" s="3"/>
      <c r="X81" s="50"/>
      <c r="Y81" s="53"/>
      <c r="Z81" s="53"/>
      <c r="AA81" s="53"/>
      <c r="AB81" s="107"/>
      <c r="AC81" s="167"/>
      <c r="AD81" s="168"/>
      <c r="AE81" s="166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166"/>
      <c r="W82" s="3"/>
      <c r="X82" s="50"/>
      <c r="Y82" s="53"/>
      <c r="Z82" s="53"/>
      <c r="AA82" s="53"/>
      <c r="AB82" s="107"/>
      <c r="AC82" s="167"/>
      <c r="AD82" s="168"/>
      <c r="AE82" s="166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166"/>
      <c r="W83" s="3"/>
      <c r="X83" s="50"/>
      <c r="Y83" s="53"/>
      <c r="Z83" s="53"/>
      <c r="AA83" s="53"/>
      <c r="AB83" s="107"/>
      <c r="AC83" s="167"/>
      <c r="AD83" s="168"/>
      <c r="AE83" s="166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166"/>
      <c r="W84" s="3"/>
      <c r="X84" s="50"/>
      <c r="Y84" s="53"/>
      <c r="Z84" s="53"/>
      <c r="AA84" s="53"/>
      <c r="AB84" s="107"/>
      <c r="AC84" s="167"/>
      <c r="AD84" s="168"/>
      <c r="AE84" s="166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166"/>
      <c r="W85" s="3"/>
      <c r="X85" s="50"/>
      <c r="Y85" s="53"/>
      <c r="Z85" s="53"/>
      <c r="AA85" s="53"/>
      <c r="AB85" s="107"/>
      <c r="AC85" s="167"/>
      <c r="AD85" s="168"/>
      <c r="AE85" s="166"/>
      <c r="AF85" s="168"/>
    </row>
    <row r="86" spans="1:32" x14ac:dyDescent="0.3">
      <c r="B86" s="6"/>
      <c r="C86" s="7"/>
      <c r="D86" s="7"/>
      <c r="E86" s="8"/>
      <c r="F86" s="9"/>
      <c r="G86" s="3"/>
      <c r="H86" s="10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166"/>
      <c r="W86" s="3"/>
      <c r="X86" s="50"/>
      <c r="Y86" s="53"/>
      <c r="Z86" s="53"/>
      <c r="AA86" s="53"/>
      <c r="AB86" s="107"/>
      <c r="AC86" s="167"/>
      <c r="AD86" s="168"/>
      <c r="AE86" s="166"/>
      <c r="AF86" s="168"/>
    </row>
    <row r="87" spans="1:32" x14ac:dyDescent="0.3">
      <c r="B87" s="6"/>
      <c r="C87" s="7"/>
      <c r="D87" s="7"/>
      <c r="E87" s="8"/>
      <c r="F87" s="9"/>
      <c r="G87" s="3"/>
      <c r="H87" s="10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166"/>
      <c r="W87" s="3"/>
      <c r="X87" s="50"/>
      <c r="Y87" s="53"/>
      <c r="Z87" s="53"/>
      <c r="AA87" s="53"/>
      <c r="AB87" s="107"/>
      <c r="AC87" s="167"/>
      <c r="AD87" s="168"/>
      <c r="AE87" s="166"/>
      <c r="AF87" s="168"/>
    </row>
    <row r="88" spans="1:32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166"/>
      <c r="W88" s="3"/>
      <c r="X88" s="50"/>
      <c r="Y88" s="53"/>
      <c r="Z88" s="53"/>
      <c r="AA88" s="53"/>
      <c r="AB88" s="107"/>
      <c r="AC88" s="167"/>
      <c r="AD88" s="168"/>
      <c r="AE88" s="166"/>
      <c r="AF88" s="168"/>
    </row>
    <row r="89" spans="1:32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166"/>
      <c r="W89" s="3"/>
      <c r="X89" s="50"/>
      <c r="Y89" s="53"/>
      <c r="Z89" s="53"/>
      <c r="AA89" s="53"/>
      <c r="AB89" s="107"/>
      <c r="AC89" s="167"/>
      <c r="AD89" s="168"/>
      <c r="AE89" s="166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166"/>
      <c r="W90" s="3"/>
      <c r="X90" s="50"/>
      <c r="Y90" s="53"/>
      <c r="Z90" s="53"/>
      <c r="AA90" s="53"/>
      <c r="AB90" s="107"/>
      <c r="AC90" s="167"/>
      <c r="AD90" s="168"/>
      <c r="AE90" s="166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166"/>
      <c r="W91" s="3"/>
      <c r="X91" s="50"/>
      <c r="Y91" s="53"/>
      <c r="Z91" s="53"/>
      <c r="AA91" s="53"/>
      <c r="AB91" s="107"/>
      <c r="AC91" s="167"/>
      <c r="AD91" s="168"/>
      <c r="AE91" s="166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166"/>
      <c r="W92" s="3"/>
      <c r="X92" s="50"/>
      <c r="Y92" s="53"/>
      <c r="Z92" s="53"/>
      <c r="AA92" s="53"/>
      <c r="AB92" s="107"/>
      <c r="AC92" s="167"/>
      <c r="AD92" s="168"/>
      <c r="AE92" s="166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166"/>
      <c r="W93" s="3"/>
      <c r="X93" s="50"/>
      <c r="Y93" s="53"/>
      <c r="Z93" s="53"/>
      <c r="AA93" s="53"/>
      <c r="AB93" s="107"/>
      <c r="AC93" s="167"/>
      <c r="AD93" s="168"/>
      <c r="AE93" s="166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166"/>
      <c r="W94" s="3"/>
      <c r="X94" s="50"/>
      <c r="Y94" s="53"/>
      <c r="Z94" s="53"/>
      <c r="AA94" s="53"/>
      <c r="AB94" s="107"/>
      <c r="AC94" s="167"/>
      <c r="AD94" s="168"/>
      <c r="AE94" s="166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8" priority="1">
      <formula>$N35&lt;0</formula>
    </cfRule>
  </conditionalFormatting>
  <dataValidations count="3">
    <dataValidation type="list" allowBlank="1" showInputMessage="1" showErrorMessage="1" sqref="I11:I30 R11:R30 R35:R94 I35:I94" xr:uid="{07C6AC15-9FF6-4589-AA6A-AEC81C3BFB82}">
      <formula1>계정</formula1>
    </dataValidation>
    <dataValidation type="list" allowBlank="1" showInputMessage="1" showErrorMessage="1" sqref="C11:C30 C35:C94 J11:J30 J35:J94" xr:uid="{96D33DC9-B38A-418A-B220-E02E4BBFB983}">
      <formula1>대분류</formula1>
    </dataValidation>
    <dataValidation type="list" allowBlank="1" showInputMessage="1" showErrorMessage="1" sqref="D35:D94 K11:K30 D11:D30 K35:K94" xr:uid="{7A03F755-7291-4C84-8942-3010F62AF9EB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773D-298B-41C1-B6DC-F1315DAFD6A1}">
  <sheetPr codeName="Sheet34">
    <tabColor theme="4"/>
    <pageSetUpPr autoPageBreaks="0" fitToPage="1"/>
  </sheetPr>
  <dimension ref="A1:AH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4" ht="16.5" customHeight="1" x14ac:dyDescent="0.3">
      <c r="B1" s="584" t="s">
        <v>183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19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</row>
    <row r="2" spans="1:34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19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</row>
    <row r="3" spans="1:34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222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</row>
    <row r="4" spans="1:34" x14ac:dyDescent="0.3"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</row>
    <row r="5" spans="1:34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P5" s="120"/>
      <c r="Q5" s="95"/>
      <c r="R5" s="191"/>
      <c r="S5" s="120"/>
      <c r="T5" s="192"/>
      <c r="U5" s="193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</row>
    <row r="6" spans="1:34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2"/>
      <c r="N6" s="582"/>
      <c r="O6" s="582"/>
      <c r="P6" s="120"/>
      <c r="Q6" s="95"/>
      <c r="R6" s="191"/>
      <c r="S6" s="120"/>
      <c r="T6" s="192"/>
      <c r="U6" s="194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</row>
    <row r="7" spans="1:34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3"/>
      <c r="N7" s="583"/>
      <c r="O7" s="583"/>
      <c r="P7" s="120"/>
      <c r="Q7" s="95"/>
      <c r="R7" s="191"/>
      <c r="S7" s="120"/>
      <c r="T7" s="192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</row>
    <row r="8" spans="1:34" ht="9" customHeight="1" x14ac:dyDescent="0.3">
      <c r="P8" s="120"/>
      <c r="Q8" s="120"/>
      <c r="R8" s="193"/>
      <c r="S8" s="120"/>
      <c r="T8" s="195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</row>
    <row r="9" spans="1:34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P9" s="120"/>
      <c r="Q9" s="95"/>
      <c r="R9" s="191"/>
      <c r="S9" s="196"/>
      <c r="T9" s="192"/>
      <c r="U9" s="196"/>
      <c r="V9" s="197"/>
      <c r="W9" s="196"/>
      <c r="X9" s="95"/>
      <c r="Y9" s="198"/>
      <c r="Z9" s="199"/>
      <c r="AA9" s="200"/>
      <c r="AB9" s="120"/>
      <c r="AC9" s="196"/>
      <c r="AD9" s="196"/>
      <c r="AE9" s="196"/>
      <c r="AF9" s="120"/>
      <c r="AG9" s="120"/>
      <c r="AH9" s="120"/>
    </row>
    <row r="10" spans="1:34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P10" s="120"/>
      <c r="Q10" s="201"/>
      <c r="R10" s="202"/>
      <c r="S10" s="201"/>
      <c r="T10" s="201"/>
      <c r="U10" s="201"/>
      <c r="V10" s="201"/>
      <c r="W10" s="196"/>
      <c r="X10" s="201"/>
      <c r="Y10" s="201"/>
      <c r="Z10" s="201"/>
      <c r="AA10" s="201"/>
      <c r="AB10" s="201"/>
      <c r="AC10" s="201"/>
      <c r="AD10" s="201"/>
      <c r="AE10" s="201"/>
      <c r="AF10" s="201"/>
      <c r="AG10" s="120"/>
      <c r="AH10" s="120"/>
    </row>
    <row r="11" spans="1:34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P11" s="120"/>
      <c r="Q11" s="203"/>
      <c r="R11" s="204"/>
      <c r="S11" s="205"/>
      <c r="T11" s="205"/>
      <c r="U11" s="206"/>
      <c r="V11" s="207"/>
      <c r="W11" s="208"/>
      <c r="X11" s="203"/>
      <c r="Y11" s="205"/>
      <c r="Z11" s="205"/>
      <c r="AA11" s="205"/>
      <c r="AB11" s="206"/>
      <c r="AC11" s="209"/>
      <c r="AD11" s="210"/>
      <c r="AE11" s="207"/>
      <c r="AF11" s="211"/>
      <c r="AG11" s="120"/>
      <c r="AH11" s="120"/>
    </row>
    <row r="12" spans="1:34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P12" s="120"/>
      <c r="Q12" s="203"/>
      <c r="R12" s="204"/>
      <c r="S12" s="205"/>
      <c r="T12" s="205"/>
      <c r="U12" s="206"/>
      <c r="V12" s="207"/>
      <c r="W12" s="208"/>
      <c r="X12" s="203"/>
      <c r="Y12" s="205"/>
      <c r="Z12" s="205"/>
      <c r="AA12" s="205"/>
      <c r="AB12" s="206"/>
      <c r="AC12" s="209"/>
      <c r="AD12" s="210"/>
      <c r="AE12" s="207"/>
      <c r="AF12" s="211"/>
      <c r="AG12" s="120"/>
      <c r="AH12" s="120"/>
    </row>
    <row r="13" spans="1:34" x14ac:dyDescent="0.3">
      <c r="B13" s="10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P13" s="120"/>
      <c r="Q13" s="203"/>
      <c r="R13" s="204"/>
      <c r="S13" s="205"/>
      <c r="T13" s="205"/>
      <c r="U13" s="206"/>
      <c r="V13" s="207"/>
      <c r="W13" s="208"/>
      <c r="X13" s="203"/>
      <c r="Y13" s="205"/>
      <c r="Z13" s="205"/>
      <c r="AA13" s="205"/>
      <c r="AB13" s="206"/>
      <c r="AC13" s="209"/>
      <c r="AD13" s="210"/>
      <c r="AE13" s="207"/>
      <c r="AF13" s="211"/>
      <c r="AG13" s="120"/>
      <c r="AH13" s="120"/>
    </row>
    <row r="14" spans="1:34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P14" s="120"/>
      <c r="Q14" s="203"/>
      <c r="R14" s="204"/>
      <c r="S14" s="205"/>
      <c r="T14" s="205"/>
      <c r="U14" s="206"/>
      <c r="V14" s="207"/>
      <c r="W14" s="208"/>
      <c r="X14" s="203"/>
      <c r="Y14" s="205"/>
      <c r="Z14" s="205"/>
      <c r="AA14" s="205"/>
      <c r="AB14" s="206"/>
      <c r="AC14" s="209"/>
      <c r="AD14" s="210"/>
      <c r="AE14" s="207"/>
      <c r="AF14" s="211"/>
      <c r="AG14" s="120"/>
      <c r="AH14" s="120"/>
    </row>
    <row r="15" spans="1:34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P15" s="120"/>
      <c r="Q15" s="203"/>
      <c r="R15" s="204"/>
      <c r="S15" s="205"/>
      <c r="T15" s="205"/>
      <c r="U15" s="206"/>
      <c r="V15" s="207"/>
      <c r="W15" s="208"/>
      <c r="X15" s="203"/>
      <c r="Y15" s="205"/>
      <c r="Z15" s="205"/>
      <c r="AA15" s="205"/>
      <c r="AB15" s="206"/>
      <c r="AC15" s="209"/>
      <c r="AD15" s="210"/>
      <c r="AE15" s="207"/>
      <c r="AF15" s="211"/>
      <c r="AG15" s="120"/>
      <c r="AH15" s="120"/>
    </row>
    <row r="16" spans="1:34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P16" s="120"/>
      <c r="Q16" s="203"/>
      <c r="R16" s="204"/>
      <c r="S16" s="205"/>
      <c r="T16" s="205"/>
      <c r="U16" s="206"/>
      <c r="V16" s="207"/>
      <c r="W16" s="208"/>
      <c r="X16" s="203"/>
      <c r="Y16" s="205"/>
      <c r="Z16" s="205"/>
      <c r="AA16" s="205"/>
      <c r="AB16" s="206"/>
      <c r="AC16" s="209"/>
      <c r="AD16" s="210"/>
      <c r="AE16" s="207"/>
      <c r="AF16" s="211"/>
      <c r="AG16" s="120"/>
      <c r="AH16" s="120"/>
    </row>
    <row r="17" spans="2:34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P17" s="120"/>
      <c r="Q17" s="203"/>
      <c r="R17" s="204"/>
      <c r="S17" s="205"/>
      <c r="T17" s="205"/>
      <c r="U17" s="206"/>
      <c r="V17" s="207"/>
      <c r="W17" s="208"/>
      <c r="X17" s="203"/>
      <c r="Y17" s="205"/>
      <c r="Z17" s="205"/>
      <c r="AA17" s="205"/>
      <c r="AB17" s="206"/>
      <c r="AC17" s="209"/>
      <c r="AD17" s="210"/>
      <c r="AE17" s="207"/>
      <c r="AF17" s="211"/>
      <c r="AG17" s="120"/>
      <c r="AH17" s="120"/>
    </row>
    <row r="18" spans="2:34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P18" s="120"/>
      <c r="Q18" s="203"/>
      <c r="R18" s="204"/>
      <c r="S18" s="205"/>
      <c r="T18" s="205"/>
      <c r="U18" s="206"/>
      <c r="V18" s="207"/>
      <c r="W18" s="208"/>
      <c r="X18" s="203"/>
      <c r="Y18" s="205"/>
      <c r="Z18" s="205"/>
      <c r="AA18" s="205"/>
      <c r="AB18" s="206"/>
      <c r="AC18" s="209"/>
      <c r="AD18" s="210"/>
      <c r="AE18" s="207"/>
      <c r="AF18" s="211"/>
      <c r="AG18" s="120"/>
      <c r="AH18" s="120"/>
    </row>
    <row r="19" spans="2:34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P19" s="120"/>
      <c r="Q19" s="203"/>
      <c r="R19" s="204"/>
      <c r="S19" s="205"/>
      <c r="T19" s="205"/>
      <c r="U19" s="206"/>
      <c r="V19" s="207"/>
      <c r="W19" s="208"/>
      <c r="X19" s="203"/>
      <c r="Y19" s="205"/>
      <c r="Z19" s="205"/>
      <c r="AA19" s="205"/>
      <c r="AB19" s="206"/>
      <c r="AC19" s="209"/>
      <c r="AD19" s="210"/>
      <c r="AE19" s="207"/>
      <c r="AF19" s="211"/>
      <c r="AG19" s="120"/>
      <c r="AH19" s="120"/>
    </row>
    <row r="20" spans="2:34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P20" s="120"/>
      <c r="Q20" s="203"/>
      <c r="R20" s="204"/>
      <c r="S20" s="205"/>
      <c r="T20" s="205"/>
      <c r="U20" s="206"/>
      <c r="V20" s="207"/>
      <c r="W20" s="208"/>
      <c r="X20" s="203"/>
      <c r="Y20" s="205"/>
      <c r="Z20" s="205"/>
      <c r="AA20" s="205"/>
      <c r="AB20" s="206"/>
      <c r="AC20" s="209"/>
      <c r="AD20" s="210"/>
      <c r="AE20" s="207"/>
      <c r="AF20" s="211"/>
      <c r="AG20" s="120"/>
      <c r="AH20" s="120"/>
    </row>
    <row r="21" spans="2:34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P21" s="120"/>
      <c r="Q21" s="203"/>
      <c r="R21" s="204"/>
      <c r="S21" s="205"/>
      <c r="T21" s="205"/>
      <c r="U21" s="206"/>
      <c r="V21" s="207"/>
      <c r="W21" s="208"/>
      <c r="X21" s="203"/>
      <c r="Y21" s="205"/>
      <c r="Z21" s="205"/>
      <c r="AA21" s="205"/>
      <c r="AB21" s="206"/>
      <c r="AC21" s="209"/>
      <c r="AD21" s="210"/>
      <c r="AE21" s="207"/>
      <c r="AF21" s="211"/>
      <c r="AG21" s="120"/>
      <c r="AH21" s="120"/>
    </row>
    <row r="22" spans="2:34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P22" s="120"/>
      <c r="Q22" s="203"/>
      <c r="R22" s="204"/>
      <c r="S22" s="205"/>
      <c r="T22" s="205"/>
      <c r="U22" s="206"/>
      <c r="V22" s="207"/>
      <c r="W22" s="208"/>
      <c r="X22" s="203"/>
      <c r="Y22" s="205"/>
      <c r="Z22" s="205"/>
      <c r="AA22" s="205"/>
      <c r="AB22" s="206"/>
      <c r="AC22" s="209"/>
      <c r="AD22" s="210"/>
      <c r="AE22" s="207"/>
      <c r="AF22" s="211"/>
      <c r="AG22" s="120"/>
      <c r="AH22" s="120"/>
    </row>
    <row r="23" spans="2:34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P23" s="120"/>
      <c r="Q23" s="203"/>
      <c r="R23" s="204"/>
      <c r="S23" s="205"/>
      <c r="T23" s="205"/>
      <c r="U23" s="206"/>
      <c r="V23" s="207"/>
      <c r="W23" s="208"/>
      <c r="X23" s="203"/>
      <c r="Y23" s="205"/>
      <c r="Z23" s="205"/>
      <c r="AA23" s="205"/>
      <c r="AB23" s="206"/>
      <c r="AC23" s="209"/>
      <c r="AD23" s="210"/>
      <c r="AE23" s="207"/>
      <c r="AF23" s="211"/>
      <c r="AG23" s="120"/>
      <c r="AH23" s="120"/>
    </row>
    <row r="24" spans="2:34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P24" s="120"/>
      <c r="Q24" s="203"/>
      <c r="R24" s="204"/>
      <c r="S24" s="205"/>
      <c r="T24" s="205"/>
      <c r="U24" s="206"/>
      <c r="V24" s="207"/>
      <c r="W24" s="208"/>
      <c r="X24" s="203"/>
      <c r="Y24" s="205"/>
      <c r="Z24" s="205"/>
      <c r="AA24" s="205"/>
      <c r="AB24" s="206"/>
      <c r="AC24" s="209"/>
      <c r="AD24" s="210"/>
      <c r="AE24" s="207"/>
      <c r="AF24" s="211"/>
      <c r="AG24" s="120"/>
      <c r="AH24" s="120"/>
    </row>
    <row r="25" spans="2:34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P25" s="120"/>
      <c r="Q25" s="203"/>
      <c r="R25" s="204"/>
      <c r="S25" s="205"/>
      <c r="T25" s="205"/>
      <c r="U25" s="206"/>
      <c r="V25" s="207"/>
      <c r="W25" s="208"/>
      <c r="X25" s="203"/>
      <c r="Y25" s="205"/>
      <c r="Z25" s="205"/>
      <c r="AA25" s="205"/>
      <c r="AB25" s="206"/>
      <c r="AC25" s="209"/>
      <c r="AD25" s="210"/>
      <c r="AE25" s="207"/>
      <c r="AF25" s="211"/>
      <c r="AG25" s="120"/>
      <c r="AH25" s="120"/>
    </row>
    <row r="26" spans="2:34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P26" s="120"/>
      <c r="Q26" s="203"/>
      <c r="R26" s="204"/>
      <c r="S26" s="205"/>
      <c r="T26" s="205"/>
      <c r="U26" s="206"/>
      <c r="V26" s="207"/>
      <c r="W26" s="208"/>
      <c r="X26" s="203"/>
      <c r="Y26" s="205"/>
      <c r="Z26" s="205"/>
      <c r="AA26" s="205"/>
      <c r="AB26" s="206"/>
      <c r="AC26" s="209"/>
      <c r="AD26" s="210"/>
      <c r="AE26" s="207"/>
      <c r="AF26" s="211"/>
      <c r="AG26" s="120"/>
      <c r="AH26" s="120"/>
    </row>
    <row r="27" spans="2:34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P27" s="120"/>
      <c r="Q27" s="203"/>
      <c r="R27" s="204"/>
      <c r="S27" s="205"/>
      <c r="T27" s="205"/>
      <c r="U27" s="206"/>
      <c r="V27" s="207"/>
      <c r="W27" s="208"/>
      <c r="X27" s="203"/>
      <c r="Y27" s="205"/>
      <c r="Z27" s="205"/>
      <c r="AA27" s="205"/>
      <c r="AB27" s="206"/>
      <c r="AC27" s="209"/>
      <c r="AD27" s="210"/>
      <c r="AE27" s="207"/>
      <c r="AF27" s="211"/>
      <c r="AG27" s="120"/>
      <c r="AH27" s="120"/>
    </row>
    <row r="28" spans="2:34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P28" s="120"/>
      <c r="Q28" s="203"/>
      <c r="R28" s="204"/>
      <c r="S28" s="205"/>
      <c r="T28" s="205"/>
      <c r="U28" s="206"/>
      <c r="V28" s="207"/>
      <c r="W28" s="208"/>
      <c r="X28" s="203"/>
      <c r="Y28" s="205"/>
      <c r="Z28" s="205"/>
      <c r="AA28" s="205"/>
      <c r="AB28" s="206"/>
      <c r="AC28" s="209"/>
      <c r="AD28" s="210"/>
      <c r="AE28" s="207"/>
      <c r="AF28" s="211"/>
      <c r="AG28" s="120"/>
      <c r="AH28" s="120"/>
    </row>
    <row r="29" spans="2:34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P29" s="120"/>
      <c r="Q29" s="203"/>
      <c r="R29" s="204"/>
      <c r="S29" s="205"/>
      <c r="T29" s="205"/>
      <c r="U29" s="206"/>
      <c r="V29" s="207"/>
      <c r="W29" s="208"/>
      <c r="X29" s="203"/>
      <c r="Y29" s="205"/>
      <c r="Z29" s="205"/>
      <c r="AA29" s="205"/>
      <c r="AB29" s="206"/>
      <c r="AC29" s="209"/>
      <c r="AD29" s="210"/>
      <c r="AE29" s="207"/>
      <c r="AF29" s="211"/>
      <c r="AG29" s="120"/>
      <c r="AH29" s="120"/>
    </row>
    <row r="30" spans="2:34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P30" s="120"/>
      <c r="Q30" s="203"/>
      <c r="R30" s="204"/>
      <c r="S30" s="205"/>
      <c r="T30" s="205"/>
      <c r="U30" s="206"/>
      <c r="V30" s="207"/>
      <c r="W30" s="208"/>
      <c r="X30" s="203"/>
      <c r="Y30" s="205"/>
      <c r="Z30" s="205"/>
      <c r="AA30" s="205"/>
      <c r="AB30" s="206"/>
      <c r="AC30" s="209"/>
      <c r="AD30" s="210"/>
      <c r="AE30" s="207"/>
      <c r="AF30" s="211"/>
      <c r="AG30" s="120"/>
      <c r="AH30" s="120"/>
    </row>
    <row r="31" spans="2:34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P31" s="120"/>
      <c r="Q31" s="203"/>
      <c r="R31" s="204"/>
      <c r="S31" s="205"/>
      <c r="T31" s="205"/>
      <c r="U31" s="206"/>
      <c r="V31" s="207"/>
      <c r="W31" s="208"/>
      <c r="X31" s="203"/>
      <c r="Y31" s="205"/>
      <c r="Z31" s="205"/>
      <c r="AA31" s="205"/>
      <c r="AB31" s="206"/>
      <c r="AC31" s="209"/>
      <c r="AD31" s="210"/>
      <c r="AE31" s="207"/>
      <c r="AF31" s="211"/>
      <c r="AG31" s="120"/>
      <c r="AH31" s="120"/>
    </row>
    <row r="32" spans="2:34" x14ac:dyDescent="0.3">
      <c r="B32" s="50"/>
      <c r="C32" s="53"/>
      <c r="D32" s="53"/>
      <c r="E32" s="107"/>
      <c r="F32" s="54"/>
      <c r="G32" s="3"/>
      <c r="I32" s="109" t="s">
        <v>306</v>
      </c>
      <c r="J32" s="90">
        <f>예산!H40</f>
        <v>0</v>
      </c>
      <c r="K32" s="53"/>
      <c r="L32" s="107"/>
      <c r="M32" s="54"/>
      <c r="N32" s="54"/>
      <c r="O32" s="54"/>
      <c r="P32" s="120"/>
      <c r="Q32" s="203"/>
      <c r="R32" s="204"/>
      <c r="S32" s="205"/>
      <c r="T32" s="205"/>
      <c r="U32" s="206"/>
      <c r="V32" s="207"/>
      <c r="W32" s="208"/>
      <c r="X32" s="120"/>
      <c r="Y32" s="95"/>
      <c r="Z32" s="212"/>
      <c r="AA32" s="199"/>
      <c r="AB32" s="206"/>
      <c r="AC32" s="209"/>
      <c r="AD32" s="210"/>
      <c r="AE32" s="207"/>
      <c r="AF32" s="210"/>
      <c r="AG32" s="120"/>
      <c r="AH32" s="120"/>
    </row>
    <row r="33" spans="2:34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90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P33" s="120"/>
      <c r="Q33" s="213"/>
      <c r="R33" s="214"/>
      <c r="S33" s="201"/>
      <c r="T33" s="199"/>
      <c r="U33" s="215"/>
      <c r="V33" s="216"/>
      <c r="W33" s="196"/>
      <c r="X33" s="213"/>
      <c r="Y33" s="95"/>
      <c r="Z33" s="214"/>
      <c r="AA33" s="199"/>
      <c r="AB33" s="215"/>
      <c r="AC33" s="217"/>
      <c r="AD33" s="218"/>
      <c r="AE33" s="216"/>
      <c r="AF33" s="199"/>
      <c r="AG33" s="120"/>
      <c r="AH33" s="120"/>
    </row>
    <row r="34" spans="2:34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P34" s="120"/>
      <c r="Q34" s="201"/>
      <c r="R34" s="201"/>
      <c r="S34" s="201"/>
      <c r="T34" s="201"/>
      <c r="U34" s="201"/>
      <c r="V34" s="219"/>
      <c r="W34" s="196"/>
      <c r="X34" s="201"/>
      <c r="Y34" s="201"/>
      <c r="Z34" s="201"/>
      <c r="AA34" s="201"/>
      <c r="AB34" s="201"/>
      <c r="AC34" s="220"/>
      <c r="AD34" s="201"/>
      <c r="AE34" s="219"/>
      <c r="AF34" s="201"/>
      <c r="AG34" s="120"/>
      <c r="AH34" s="120"/>
    </row>
    <row r="35" spans="2:34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P35" s="120"/>
      <c r="Q35" s="203"/>
      <c r="R35" s="205"/>
      <c r="S35" s="205"/>
      <c r="T35" s="205"/>
      <c r="U35" s="206"/>
      <c r="V35" s="207"/>
      <c r="W35" s="208"/>
      <c r="X35" s="203"/>
      <c r="Y35" s="205"/>
      <c r="Z35" s="205"/>
      <c r="AA35" s="205"/>
      <c r="AB35" s="206"/>
      <c r="AC35" s="209"/>
      <c r="AD35" s="210"/>
      <c r="AE35" s="207"/>
      <c r="AF35" s="211"/>
      <c r="AG35" s="120"/>
      <c r="AH35" s="120"/>
    </row>
    <row r="36" spans="2:34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P36" s="120"/>
      <c r="Q36" s="203"/>
      <c r="R36" s="205"/>
      <c r="S36" s="205"/>
      <c r="T36" s="205"/>
      <c r="U36" s="206"/>
      <c r="V36" s="207"/>
      <c r="W36" s="208"/>
      <c r="X36" s="203"/>
      <c r="Y36" s="205"/>
      <c r="Z36" s="205"/>
      <c r="AA36" s="205"/>
      <c r="AB36" s="206"/>
      <c r="AC36" s="209"/>
      <c r="AD36" s="210"/>
      <c r="AE36" s="207"/>
      <c r="AF36" s="211"/>
      <c r="AG36" s="120"/>
      <c r="AH36" s="120"/>
    </row>
    <row r="37" spans="2:34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P37" s="120"/>
      <c r="Q37" s="203"/>
      <c r="R37" s="205"/>
      <c r="S37" s="205"/>
      <c r="T37" s="205"/>
      <c r="U37" s="206"/>
      <c r="V37" s="207"/>
      <c r="W37" s="208"/>
      <c r="X37" s="203"/>
      <c r="Y37" s="205"/>
      <c r="Z37" s="205"/>
      <c r="AA37" s="205"/>
      <c r="AB37" s="206"/>
      <c r="AC37" s="209"/>
      <c r="AD37" s="210"/>
      <c r="AE37" s="207"/>
      <c r="AF37" s="211"/>
      <c r="AG37" s="120"/>
      <c r="AH37" s="120"/>
    </row>
    <row r="38" spans="2:34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P38" s="120"/>
      <c r="Q38" s="203"/>
      <c r="R38" s="205"/>
      <c r="S38" s="205"/>
      <c r="T38" s="205"/>
      <c r="U38" s="206"/>
      <c r="V38" s="207"/>
      <c r="W38" s="208"/>
      <c r="X38" s="203"/>
      <c r="Y38" s="205"/>
      <c r="Z38" s="205"/>
      <c r="AA38" s="205"/>
      <c r="AB38" s="206"/>
      <c r="AC38" s="209"/>
      <c r="AD38" s="210"/>
      <c r="AE38" s="207"/>
      <c r="AF38" s="211"/>
      <c r="AG38" s="120"/>
      <c r="AH38" s="120"/>
    </row>
    <row r="39" spans="2:34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P39" s="120"/>
      <c r="Q39" s="203"/>
      <c r="R39" s="205"/>
      <c r="S39" s="205"/>
      <c r="T39" s="205"/>
      <c r="U39" s="206"/>
      <c r="V39" s="207"/>
      <c r="W39" s="208"/>
      <c r="X39" s="203"/>
      <c r="Y39" s="205"/>
      <c r="Z39" s="205"/>
      <c r="AA39" s="205"/>
      <c r="AB39" s="206"/>
      <c r="AC39" s="209"/>
      <c r="AD39" s="210"/>
      <c r="AE39" s="207"/>
      <c r="AF39" s="211"/>
      <c r="AG39" s="120"/>
      <c r="AH39" s="120"/>
    </row>
    <row r="40" spans="2:34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P40" s="120"/>
      <c r="Q40" s="203"/>
      <c r="R40" s="205"/>
      <c r="S40" s="205"/>
      <c r="T40" s="205"/>
      <c r="U40" s="206"/>
      <c r="V40" s="207"/>
      <c r="W40" s="208"/>
      <c r="X40" s="203"/>
      <c r="Y40" s="205"/>
      <c r="Z40" s="205"/>
      <c r="AA40" s="205"/>
      <c r="AB40" s="206"/>
      <c r="AC40" s="209"/>
      <c r="AD40" s="210"/>
      <c r="AE40" s="207"/>
      <c r="AF40" s="211"/>
      <c r="AG40" s="120"/>
      <c r="AH40" s="120"/>
    </row>
    <row r="41" spans="2:34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P41" s="120"/>
      <c r="Q41" s="203"/>
      <c r="R41" s="205"/>
      <c r="S41" s="205"/>
      <c r="T41" s="205"/>
      <c r="U41" s="206"/>
      <c r="V41" s="207"/>
      <c r="W41" s="208"/>
      <c r="X41" s="203"/>
      <c r="Y41" s="205"/>
      <c r="Z41" s="205"/>
      <c r="AA41" s="205"/>
      <c r="AB41" s="206"/>
      <c r="AC41" s="209"/>
      <c r="AD41" s="210"/>
      <c r="AE41" s="207"/>
      <c r="AF41" s="211"/>
      <c r="AG41" s="120"/>
      <c r="AH41" s="120"/>
    </row>
    <row r="42" spans="2:34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P42" s="120"/>
      <c r="Q42" s="203"/>
      <c r="R42" s="205"/>
      <c r="S42" s="205"/>
      <c r="T42" s="205"/>
      <c r="U42" s="206"/>
      <c r="V42" s="207"/>
      <c r="W42" s="208"/>
      <c r="X42" s="203"/>
      <c r="Y42" s="205"/>
      <c r="Z42" s="205"/>
      <c r="AA42" s="205"/>
      <c r="AB42" s="206"/>
      <c r="AC42" s="209"/>
      <c r="AD42" s="210"/>
      <c r="AE42" s="207"/>
      <c r="AF42" s="211"/>
      <c r="AG42" s="120"/>
      <c r="AH42" s="120"/>
    </row>
    <row r="43" spans="2:34" x14ac:dyDescent="0.3">
      <c r="B43" s="10"/>
      <c r="C43" s="7"/>
      <c r="D43" s="7"/>
      <c r="E43" s="8"/>
      <c r="F43" s="9"/>
      <c r="G43" s="3"/>
      <c r="H43" s="6"/>
      <c r="I43" s="7"/>
      <c r="J43" s="7"/>
      <c r="K43" s="7"/>
      <c r="L43" s="8"/>
      <c r="M43" s="46"/>
      <c r="N43" s="335" t="str">
        <f t="shared" si="0"/>
        <v/>
      </c>
      <c r="O43" s="480"/>
      <c r="P43" s="120"/>
      <c r="Q43" s="203"/>
      <c r="R43" s="205"/>
      <c r="S43" s="205"/>
      <c r="T43" s="205"/>
      <c r="U43" s="206"/>
      <c r="V43" s="207"/>
      <c r="W43" s="208"/>
      <c r="X43" s="203"/>
      <c r="Y43" s="205"/>
      <c r="Z43" s="205"/>
      <c r="AA43" s="205"/>
      <c r="AB43" s="206"/>
      <c r="AC43" s="209"/>
      <c r="AD43" s="210"/>
      <c r="AE43" s="207"/>
      <c r="AF43" s="211"/>
      <c r="AG43" s="120"/>
      <c r="AH43" s="120"/>
    </row>
    <row r="44" spans="2:34" ht="17.25" thickBot="1" x14ac:dyDescent="0.35">
      <c r="B44" s="10"/>
      <c r="C44" s="7"/>
      <c r="D44" s="7"/>
      <c r="E44" s="8"/>
      <c r="F44" s="9"/>
      <c r="G44" s="3"/>
      <c r="H44" s="483"/>
      <c r="I44" s="484"/>
      <c r="J44" s="484"/>
      <c r="K44" s="484"/>
      <c r="L44" s="485"/>
      <c r="M44" s="486"/>
      <c r="N44" s="487" t="str">
        <f t="shared" si="0"/>
        <v/>
      </c>
      <c r="O44" s="494"/>
      <c r="P44" s="120"/>
      <c r="Q44" s="203"/>
      <c r="R44" s="205"/>
      <c r="S44" s="205"/>
      <c r="T44" s="205"/>
      <c r="U44" s="206"/>
      <c r="V44" s="207"/>
      <c r="W44" s="208"/>
      <c r="X44" s="203"/>
      <c r="Y44" s="205"/>
      <c r="Z44" s="205"/>
      <c r="AA44" s="205"/>
      <c r="AB44" s="206"/>
      <c r="AC44" s="209"/>
      <c r="AD44" s="210"/>
      <c r="AE44" s="207"/>
      <c r="AF44" s="211"/>
      <c r="AG44" s="120"/>
      <c r="AH44" s="120"/>
    </row>
    <row r="45" spans="2:34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P45" s="120"/>
      <c r="Q45" s="203"/>
      <c r="R45" s="205"/>
      <c r="S45" s="205"/>
      <c r="T45" s="205"/>
      <c r="U45" s="206"/>
      <c r="V45" s="207"/>
      <c r="W45" s="208"/>
      <c r="X45" s="203"/>
      <c r="Y45" s="205"/>
      <c r="Z45" s="205"/>
      <c r="AA45" s="205"/>
      <c r="AB45" s="206"/>
      <c r="AC45" s="209"/>
      <c r="AD45" s="210"/>
      <c r="AE45" s="207"/>
      <c r="AF45" s="211"/>
      <c r="AG45" s="120"/>
      <c r="AH45" s="120"/>
    </row>
    <row r="46" spans="2:34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P46" s="120"/>
      <c r="Q46" s="203"/>
      <c r="R46" s="205"/>
      <c r="S46" s="205"/>
      <c r="T46" s="205"/>
      <c r="U46" s="206"/>
      <c r="V46" s="207"/>
      <c r="W46" s="208"/>
      <c r="X46" s="203"/>
      <c r="Y46" s="205"/>
      <c r="Z46" s="205"/>
      <c r="AA46" s="205"/>
      <c r="AB46" s="206"/>
      <c r="AC46" s="209"/>
      <c r="AD46" s="210"/>
      <c r="AE46" s="207"/>
      <c r="AF46" s="211"/>
      <c r="AG46" s="120"/>
      <c r="AH46" s="120"/>
    </row>
    <row r="47" spans="2:34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P47" s="120"/>
      <c r="Q47" s="203"/>
      <c r="R47" s="205"/>
      <c r="S47" s="205"/>
      <c r="T47" s="205"/>
      <c r="U47" s="206"/>
      <c r="V47" s="207"/>
      <c r="W47" s="208"/>
      <c r="X47" s="203"/>
      <c r="Y47" s="205"/>
      <c r="Z47" s="205"/>
      <c r="AA47" s="205"/>
      <c r="AB47" s="206"/>
      <c r="AC47" s="209"/>
      <c r="AD47" s="210"/>
      <c r="AE47" s="207"/>
      <c r="AF47" s="211"/>
      <c r="AG47" s="120"/>
      <c r="AH47" s="120"/>
    </row>
    <row r="48" spans="2:34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P48" s="120"/>
      <c r="Q48" s="203"/>
      <c r="R48" s="205"/>
      <c r="S48" s="205"/>
      <c r="T48" s="205"/>
      <c r="U48" s="206"/>
      <c r="V48" s="207"/>
      <c r="W48" s="208"/>
      <c r="X48" s="203"/>
      <c r="Y48" s="205"/>
      <c r="Z48" s="205"/>
      <c r="AA48" s="205"/>
      <c r="AB48" s="206"/>
      <c r="AC48" s="209"/>
      <c r="AD48" s="210"/>
      <c r="AE48" s="207"/>
      <c r="AF48" s="211"/>
      <c r="AG48" s="120"/>
      <c r="AH48" s="120"/>
    </row>
    <row r="49" spans="2:34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P49" s="120"/>
      <c r="Q49" s="203"/>
      <c r="R49" s="205"/>
      <c r="S49" s="205"/>
      <c r="T49" s="205"/>
      <c r="U49" s="206"/>
      <c r="V49" s="207"/>
      <c r="W49" s="208"/>
      <c r="X49" s="203"/>
      <c r="Y49" s="205"/>
      <c r="Z49" s="205"/>
      <c r="AA49" s="205"/>
      <c r="AB49" s="206"/>
      <c r="AC49" s="209"/>
      <c r="AD49" s="210"/>
      <c r="AE49" s="207"/>
      <c r="AF49" s="211"/>
      <c r="AG49" s="120"/>
      <c r="AH49" s="120"/>
    </row>
    <row r="50" spans="2:34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P50" s="120"/>
      <c r="Q50" s="203"/>
      <c r="R50" s="205"/>
      <c r="S50" s="205"/>
      <c r="T50" s="205"/>
      <c r="U50" s="206"/>
      <c r="V50" s="207"/>
      <c r="W50" s="208"/>
      <c r="X50" s="203"/>
      <c r="Y50" s="205"/>
      <c r="Z50" s="205"/>
      <c r="AA50" s="205"/>
      <c r="AB50" s="206"/>
      <c r="AC50" s="209"/>
      <c r="AD50" s="210"/>
      <c r="AE50" s="207"/>
      <c r="AF50" s="211"/>
      <c r="AG50" s="120"/>
      <c r="AH50" s="120"/>
    </row>
    <row r="51" spans="2:34" x14ac:dyDescent="0.3">
      <c r="B51" s="6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P51" s="120"/>
      <c r="Q51" s="203"/>
      <c r="R51" s="205"/>
      <c r="S51" s="205"/>
      <c r="T51" s="205"/>
      <c r="U51" s="206"/>
      <c r="V51" s="207"/>
      <c r="W51" s="208"/>
      <c r="X51" s="203"/>
      <c r="Y51" s="205"/>
      <c r="Z51" s="205"/>
      <c r="AA51" s="205"/>
      <c r="AB51" s="206"/>
      <c r="AC51" s="209"/>
      <c r="AD51" s="210"/>
      <c r="AE51" s="207"/>
      <c r="AF51" s="211"/>
      <c r="AG51" s="120"/>
      <c r="AH51" s="120"/>
    </row>
    <row r="52" spans="2:34" x14ac:dyDescent="0.3">
      <c r="B52" s="6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P52" s="120"/>
      <c r="Q52" s="203"/>
      <c r="R52" s="205"/>
      <c r="S52" s="205"/>
      <c r="T52" s="205"/>
      <c r="U52" s="206"/>
      <c r="V52" s="207"/>
      <c r="W52" s="208"/>
      <c r="X52" s="203"/>
      <c r="Y52" s="205"/>
      <c r="Z52" s="205"/>
      <c r="AA52" s="205"/>
      <c r="AB52" s="206"/>
      <c r="AC52" s="209"/>
      <c r="AD52" s="210"/>
      <c r="AE52" s="207"/>
      <c r="AF52" s="211"/>
      <c r="AG52" s="120"/>
      <c r="AH52" s="120"/>
    </row>
    <row r="53" spans="2:34" x14ac:dyDescent="0.3">
      <c r="B53" s="6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P53" s="120"/>
      <c r="Q53" s="203"/>
      <c r="R53" s="205"/>
      <c r="S53" s="205"/>
      <c r="T53" s="205"/>
      <c r="U53" s="206"/>
      <c r="V53" s="207"/>
      <c r="W53" s="208"/>
      <c r="X53" s="203"/>
      <c r="Y53" s="205"/>
      <c r="Z53" s="205"/>
      <c r="AA53" s="205"/>
      <c r="AB53" s="206"/>
      <c r="AC53" s="209"/>
      <c r="AD53" s="210"/>
      <c r="AE53" s="207"/>
      <c r="AF53" s="211"/>
      <c r="AG53" s="120"/>
      <c r="AH53" s="120"/>
    </row>
    <row r="54" spans="2:34" x14ac:dyDescent="0.3">
      <c r="B54" s="6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P54" s="120"/>
      <c r="Q54" s="203"/>
      <c r="R54" s="205"/>
      <c r="S54" s="205"/>
      <c r="T54" s="205"/>
      <c r="U54" s="206"/>
      <c r="V54" s="207"/>
      <c r="W54" s="208"/>
      <c r="X54" s="203"/>
      <c r="Y54" s="205"/>
      <c r="Z54" s="205"/>
      <c r="AA54" s="205"/>
      <c r="AB54" s="206"/>
      <c r="AC54" s="209"/>
      <c r="AD54" s="210"/>
      <c r="AE54" s="207"/>
      <c r="AF54" s="211"/>
      <c r="AG54" s="120"/>
      <c r="AH54" s="120"/>
    </row>
    <row r="55" spans="2:34" x14ac:dyDescent="0.3">
      <c r="B55" s="6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P55" s="120"/>
      <c r="Q55" s="203"/>
      <c r="R55" s="205"/>
      <c r="S55" s="205"/>
      <c r="T55" s="205"/>
      <c r="U55" s="206"/>
      <c r="V55" s="207"/>
      <c r="W55" s="208"/>
      <c r="X55" s="203"/>
      <c r="Y55" s="205"/>
      <c r="Z55" s="205"/>
      <c r="AA55" s="205"/>
      <c r="AB55" s="206"/>
      <c r="AC55" s="209"/>
      <c r="AD55" s="210"/>
      <c r="AE55" s="207"/>
      <c r="AF55" s="211"/>
      <c r="AG55" s="120"/>
      <c r="AH55" s="120"/>
    </row>
    <row r="56" spans="2:34" x14ac:dyDescent="0.3">
      <c r="B56" s="6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P56" s="120"/>
      <c r="Q56" s="203"/>
      <c r="R56" s="205"/>
      <c r="S56" s="205"/>
      <c r="T56" s="205"/>
      <c r="U56" s="206"/>
      <c r="V56" s="207"/>
      <c r="W56" s="208"/>
      <c r="X56" s="203"/>
      <c r="Y56" s="205"/>
      <c r="Z56" s="205"/>
      <c r="AA56" s="205"/>
      <c r="AB56" s="206"/>
      <c r="AC56" s="209"/>
      <c r="AD56" s="210"/>
      <c r="AE56" s="207"/>
      <c r="AF56" s="211"/>
      <c r="AG56" s="120"/>
      <c r="AH56" s="120"/>
    </row>
    <row r="57" spans="2:34" x14ac:dyDescent="0.3">
      <c r="B57" s="6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P57" s="120"/>
      <c r="Q57" s="203"/>
      <c r="R57" s="205"/>
      <c r="S57" s="205"/>
      <c r="T57" s="205"/>
      <c r="U57" s="206"/>
      <c r="V57" s="207"/>
      <c r="W57" s="208"/>
      <c r="X57" s="203"/>
      <c r="Y57" s="205"/>
      <c r="Z57" s="205"/>
      <c r="AA57" s="205"/>
      <c r="AB57" s="206"/>
      <c r="AC57" s="209"/>
      <c r="AD57" s="210"/>
      <c r="AE57" s="207"/>
      <c r="AF57" s="211"/>
      <c r="AG57" s="120"/>
      <c r="AH57" s="120"/>
    </row>
    <row r="58" spans="2:34" x14ac:dyDescent="0.3">
      <c r="B58" s="6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P58" s="120"/>
      <c r="Q58" s="203"/>
      <c r="R58" s="205"/>
      <c r="S58" s="205"/>
      <c r="T58" s="205"/>
      <c r="U58" s="206"/>
      <c r="V58" s="207"/>
      <c r="W58" s="208"/>
      <c r="X58" s="203"/>
      <c r="Y58" s="205"/>
      <c r="Z58" s="205"/>
      <c r="AA58" s="205"/>
      <c r="AB58" s="206"/>
      <c r="AC58" s="209"/>
      <c r="AD58" s="210"/>
      <c r="AE58" s="207"/>
      <c r="AF58" s="211"/>
      <c r="AG58" s="120"/>
      <c r="AH58" s="120"/>
    </row>
    <row r="59" spans="2:34" x14ac:dyDescent="0.3">
      <c r="B59" s="6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P59" s="120"/>
      <c r="Q59" s="203"/>
      <c r="R59" s="205"/>
      <c r="S59" s="205"/>
      <c r="T59" s="205"/>
      <c r="U59" s="206"/>
      <c r="V59" s="207"/>
      <c r="W59" s="208"/>
      <c r="X59" s="203"/>
      <c r="Y59" s="205"/>
      <c r="Z59" s="205"/>
      <c r="AA59" s="205"/>
      <c r="AB59" s="206"/>
      <c r="AC59" s="209"/>
      <c r="AD59" s="210"/>
      <c r="AE59" s="207"/>
      <c r="AF59" s="211"/>
      <c r="AG59" s="120"/>
      <c r="AH59" s="120"/>
    </row>
    <row r="60" spans="2:34" x14ac:dyDescent="0.3">
      <c r="B60" s="6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P60" s="120"/>
      <c r="Q60" s="203"/>
      <c r="R60" s="205"/>
      <c r="S60" s="205"/>
      <c r="T60" s="205"/>
      <c r="U60" s="206"/>
      <c r="V60" s="207"/>
      <c r="W60" s="208"/>
      <c r="X60" s="203"/>
      <c r="Y60" s="205"/>
      <c r="Z60" s="205"/>
      <c r="AA60" s="205"/>
      <c r="AB60" s="206"/>
      <c r="AC60" s="209"/>
      <c r="AD60" s="210"/>
      <c r="AE60" s="207"/>
      <c r="AF60" s="211"/>
      <c r="AG60" s="120"/>
      <c r="AH60" s="120"/>
    </row>
    <row r="61" spans="2:34" x14ac:dyDescent="0.3">
      <c r="B61" s="6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P61" s="120"/>
      <c r="Q61" s="203"/>
      <c r="R61" s="205"/>
      <c r="S61" s="205"/>
      <c r="T61" s="205"/>
      <c r="U61" s="206"/>
      <c r="V61" s="207"/>
      <c r="W61" s="208"/>
      <c r="X61" s="203"/>
      <c r="Y61" s="205"/>
      <c r="Z61" s="205"/>
      <c r="AA61" s="205"/>
      <c r="AB61" s="206"/>
      <c r="AC61" s="209"/>
      <c r="AD61" s="210"/>
      <c r="AE61" s="207"/>
      <c r="AF61" s="211"/>
      <c r="AG61" s="120"/>
      <c r="AH61" s="120"/>
    </row>
    <row r="62" spans="2:34" x14ac:dyDescent="0.3">
      <c r="B62" s="6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P62" s="120"/>
      <c r="Q62" s="203"/>
      <c r="R62" s="205"/>
      <c r="S62" s="205"/>
      <c r="T62" s="205"/>
      <c r="U62" s="206"/>
      <c r="V62" s="207"/>
      <c r="W62" s="208"/>
      <c r="X62" s="203"/>
      <c r="Y62" s="205"/>
      <c r="Z62" s="205"/>
      <c r="AA62" s="205"/>
      <c r="AB62" s="206"/>
      <c r="AC62" s="209"/>
      <c r="AD62" s="210"/>
      <c r="AE62" s="207"/>
      <c r="AF62" s="211"/>
      <c r="AG62" s="120"/>
      <c r="AH62" s="120"/>
    </row>
    <row r="63" spans="2:34" x14ac:dyDescent="0.3">
      <c r="B63" s="6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P63" s="120"/>
      <c r="Q63" s="203"/>
      <c r="R63" s="205"/>
      <c r="S63" s="205"/>
      <c r="T63" s="205"/>
      <c r="U63" s="206"/>
      <c r="V63" s="207"/>
      <c r="W63" s="208"/>
      <c r="X63" s="203"/>
      <c r="Y63" s="205"/>
      <c r="Z63" s="205"/>
      <c r="AA63" s="205"/>
      <c r="AB63" s="206"/>
      <c r="AC63" s="209"/>
      <c r="AD63" s="210"/>
      <c r="AE63" s="207"/>
      <c r="AF63" s="211"/>
      <c r="AG63" s="120"/>
      <c r="AH63" s="120"/>
    </row>
    <row r="64" spans="2:34" x14ac:dyDescent="0.3">
      <c r="B64" s="6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P64" s="120"/>
      <c r="Q64" s="203"/>
      <c r="R64" s="205"/>
      <c r="S64" s="205"/>
      <c r="T64" s="205"/>
      <c r="U64" s="206"/>
      <c r="V64" s="207"/>
      <c r="W64" s="208"/>
      <c r="X64" s="203"/>
      <c r="Y64" s="205"/>
      <c r="Z64" s="205"/>
      <c r="AA64" s="205"/>
      <c r="AB64" s="206"/>
      <c r="AC64" s="209"/>
      <c r="AD64" s="210"/>
      <c r="AE64" s="207"/>
      <c r="AF64" s="211"/>
      <c r="AG64" s="120"/>
      <c r="AH64" s="120"/>
    </row>
    <row r="65" spans="2:34" x14ac:dyDescent="0.3">
      <c r="B65" s="6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P65" s="120"/>
      <c r="Q65" s="203"/>
      <c r="R65" s="205"/>
      <c r="S65" s="205"/>
      <c r="T65" s="205"/>
      <c r="U65" s="206"/>
      <c r="V65" s="207"/>
      <c r="W65" s="208"/>
      <c r="X65" s="203"/>
      <c r="Y65" s="205"/>
      <c r="Z65" s="205"/>
      <c r="AA65" s="205"/>
      <c r="AB65" s="206"/>
      <c r="AC65" s="209"/>
      <c r="AD65" s="210"/>
      <c r="AE65" s="207"/>
      <c r="AF65" s="211"/>
      <c r="AG65" s="120"/>
      <c r="AH65" s="120"/>
    </row>
    <row r="66" spans="2:34" x14ac:dyDescent="0.3">
      <c r="B66" s="6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P66" s="120"/>
      <c r="Q66" s="203"/>
      <c r="R66" s="205"/>
      <c r="S66" s="205"/>
      <c r="T66" s="205"/>
      <c r="U66" s="206"/>
      <c r="V66" s="207"/>
      <c r="W66" s="208"/>
      <c r="X66" s="203"/>
      <c r="Y66" s="205"/>
      <c r="Z66" s="205"/>
      <c r="AA66" s="205"/>
      <c r="AB66" s="206"/>
      <c r="AC66" s="209"/>
      <c r="AD66" s="210"/>
      <c r="AE66" s="207"/>
      <c r="AF66" s="211"/>
      <c r="AG66" s="120"/>
      <c r="AH66" s="120"/>
    </row>
    <row r="67" spans="2:34" x14ac:dyDescent="0.3">
      <c r="B67" s="6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P67" s="120"/>
      <c r="Q67" s="203"/>
      <c r="R67" s="205"/>
      <c r="S67" s="205"/>
      <c r="T67" s="205"/>
      <c r="U67" s="206"/>
      <c r="V67" s="207"/>
      <c r="W67" s="208"/>
      <c r="X67" s="203"/>
      <c r="Y67" s="205"/>
      <c r="Z67" s="205"/>
      <c r="AA67" s="205"/>
      <c r="AB67" s="206"/>
      <c r="AC67" s="209"/>
      <c r="AD67" s="210"/>
      <c r="AE67" s="207"/>
      <c r="AF67" s="211"/>
      <c r="AG67" s="120"/>
      <c r="AH67" s="120"/>
    </row>
    <row r="68" spans="2:34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P68" s="120"/>
      <c r="Q68" s="203"/>
      <c r="R68" s="205"/>
      <c r="S68" s="205"/>
      <c r="T68" s="205"/>
      <c r="U68" s="206"/>
      <c r="V68" s="207"/>
      <c r="W68" s="208"/>
      <c r="X68" s="203"/>
      <c r="Y68" s="205"/>
      <c r="Z68" s="205"/>
      <c r="AA68" s="205"/>
      <c r="AB68" s="206"/>
      <c r="AC68" s="209"/>
      <c r="AD68" s="210"/>
      <c r="AE68" s="207"/>
      <c r="AF68" s="211"/>
      <c r="AG68" s="120"/>
      <c r="AH68" s="120"/>
    </row>
    <row r="69" spans="2:34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P69" s="120"/>
      <c r="Q69" s="203"/>
      <c r="R69" s="205"/>
      <c r="S69" s="205"/>
      <c r="T69" s="205"/>
      <c r="U69" s="206"/>
      <c r="V69" s="207"/>
      <c r="W69" s="208"/>
      <c r="X69" s="203"/>
      <c r="Y69" s="205"/>
      <c r="Z69" s="205"/>
      <c r="AA69" s="205"/>
      <c r="AB69" s="206"/>
      <c r="AC69" s="209"/>
      <c r="AD69" s="210"/>
      <c r="AE69" s="207"/>
      <c r="AF69" s="211"/>
      <c r="AG69" s="120"/>
      <c r="AH69" s="120"/>
    </row>
    <row r="70" spans="2:34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P70" s="120"/>
      <c r="Q70" s="203"/>
      <c r="R70" s="205"/>
      <c r="S70" s="205"/>
      <c r="T70" s="205"/>
      <c r="U70" s="206"/>
      <c r="V70" s="207"/>
      <c r="W70" s="208"/>
      <c r="X70" s="203"/>
      <c r="Y70" s="205"/>
      <c r="Z70" s="205"/>
      <c r="AA70" s="205"/>
      <c r="AB70" s="206"/>
      <c r="AC70" s="209"/>
      <c r="AD70" s="210"/>
      <c r="AE70" s="207"/>
      <c r="AF70" s="211"/>
      <c r="AG70" s="120"/>
      <c r="AH70" s="120"/>
    </row>
    <row r="71" spans="2:34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P71" s="120"/>
      <c r="Q71" s="203"/>
      <c r="R71" s="205"/>
      <c r="S71" s="205"/>
      <c r="T71" s="205"/>
      <c r="U71" s="206"/>
      <c r="V71" s="207"/>
      <c r="W71" s="208"/>
      <c r="X71" s="203"/>
      <c r="Y71" s="205"/>
      <c r="Z71" s="205"/>
      <c r="AA71" s="205"/>
      <c r="AB71" s="206"/>
      <c r="AC71" s="209"/>
      <c r="AD71" s="210"/>
      <c r="AE71" s="207"/>
      <c r="AF71" s="211"/>
      <c r="AG71" s="120"/>
      <c r="AH71" s="120"/>
    </row>
    <row r="72" spans="2:34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P72" s="120"/>
      <c r="Q72" s="203"/>
      <c r="R72" s="205"/>
      <c r="S72" s="205"/>
      <c r="T72" s="205"/>
      <c r="U72" s="206"/>
      <c r="V72" s="207"/>
      <c r="W72" s="208"/>
      <c r="X72" s="203"/>
      <c r="Y72" s="205"/>
      <c r="Z72" s="205"/>
      <c r="AA72" s="205"/>
      <c r="AB72" s="206"/>
      <c r="AC72" s="209"/>
      <c r="AD72" s="210"/>
      <c r="AE72" s="207"/>
      <c r="AF72" s="211"/>
      <c r="AG72" s="120"/>
      <c r="AH72" s="120"/>
    </row>
    <row r="73" spans="2:34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P73" s="120"/>
      <c r="Q73" s="203"/>
      <c r="R73" s="205"/>
      <c r="S73" s="205"/>
      <c r="T73" s="205"/>
      <c r="U73" s="206"/>
      <c r="V73" s="207"/>
      <c r="W73" s="208"/>
      <c r="X73" s="203"/>
      <c r="Y73" s="205"/>
      <c r="Z73" s="205"/>
      <c r="AA73" s="205"/>
      <c r="AB73" s="206"/>
      <c r="AC73" s="209"/>
      <c r="AD73" s="210"/>
      <c r="AE73" s="207"/>
      <c r="AF73" s="211"/>
      <c r="AG73" s="120"/>
      <c r="AH73" s="120"/>
    </row>
    <row r="74" spans="2:34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P74" s="120"/>
      <c r="Q74" s="203"/>
      <c r="R74" s="205"/>
      <c r="S74" s="205"/>
      <c r="T74" s="205"/>
      <c r="U74" s="206"/>
      <c r="V74" s="207"/>
      <c r="W74" s="208"/>
      <c r="X74" s="203"/>
      <c r="Y74" s="205"/>
      <c r="Z74" s="205"/>
      <c r="AA74" s="205"/>
      <c r="AB74" s="206"/>
      <c r="AC74" s="209"/>
      <c r="AD74" s="210"/>
      <c r="AE74" s="207"/>
      <c r="AF74" s="211"/>
      <c r="AG74" s="120"/>
      <c r="AH74" s="120"/>
    </row>
    <row r="75" spans="2:34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P75" s="120"/>
      <c r="Q75" s="203"/>
      <c r="R75" s="205"/>
      <c r="S75" s="205"/>
      <c r="T75" s="205"/>
      <c r="U75" s="206"/>
      <c r="V75" s="207"/>
      <c r="W75" s="208"/>
      <c r="X75" s="203"/>
      <c r="Y75" s="205"/>
      <c r="Z75" s="205"/>
      <c r="AA75" s="205"/>
      <c r="AB75" s="206"/>
      <c r="AC75" s="209"/>
      <c r="AD75" s="210"/>
      <c r="AE75" s="207"/>
      <c r="AF75" s="211"/>
      <c r="AG75" s="120"/>
      <c r="AH75" s="120"/>
    </row>
    <row r="76" spans="2:34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P76" s="120"/>
      <c r="Q76" s="203"/>
      <c r="R76" s="205"/>
      <c r="S76" s="205"/>
      <c r="T76" s="205"/>
      <c r="U76" s="206"/>
      <c r="V76" s="207"/>
      <c r="W76" s="208"/>
      <c r="X76" s="203"/>
      <c r="Y76" s="205"/>
      <c r="Z76" s="205"/>
      <c r="AA76" s="205"/>
      <c r="AB76" s="206"/>
      <c r="AC76" s="209"/>
      <c r="AD76" s="210"/>
      <c r="AE76" s="207"/>
      <c r="AF76" s="211"/>
      <c r="AG76" s="120"/>
      <c r="AH76" s="120"/>
    </row>
    <row r="77" spans="2:34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P77" s="120"/>
      <c r="Q77" s="203"/>
      <c r="R77" s="205"/>
      <c r="S77" s="205"/>
      <c r="T77" s="205"/>
      <c r="U77" s="206"/>
      <c r="V77" s="207"/>
      <c r="W77" s="208"/>
      <c r="X77" s="203"/>
      <c r="Y77" s="205"/>
      <c r="Z77" s="205"/>
      <c r="AA77" s="205"/>
      <c r="AB77" s="206"/>
      <c r="AC77" s="209"/>
      <c r="AD77" s="210"/>
      <c r="AE77" s="207"/>
      <c r="AF77" s="211"/>
      <c r="AG77" s="120"/>
      <c r="AH77" s="120"/>
    </row>
    <row r="78" spans="2:34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P78" s="120"/>
      <c r="Q78" s="203"/>
      <c r="R78" s="205"/>
      <c r="S78" s="205"/>
      <c r="T78" s="205"/>
      <c r="U78" s="206"/>
      <c r="V78" s="207"/>
      <c r="W78" s="208"/>
      <c r="X78" s="203"/>
      <c r="Y78" s="205"/>
      <c r="Z78" s="205"/>
      <c r="AA78" s="205"/>
      <c r="AB78" s="206"/>
      <c r="AC78" s="209"/>
      <c r="AD78" s="210"/>
      <c r="AE78" s="207"/>
      <c r="AF78" s="211"/>
      <c r="AG78" s="120"/>
      <c r="AH78" s="120"/>
    </row>
    <row r="79" spans="2:34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P79" s="120"/>
      <c r="Q79" s="203"/>
      <c r="R79" s="205"/>
      <c r="S79" s="205"/>
      <c r="T79" s="205"/>
      <c r="U79" s="206"/>
      <c r="V79" s="207"/>
      <c r="W79" s="208"/>
      <c r="X79" s="203"/>
      <c r="Y79" s="205"/>
      <c r="Z79" s="205"/>
      <c r="AA79" s="205"/>
      <c r="AB79" s="206"/>
      <c r="AC79" s="209"/>
      <c r="AD79" s="210"/>
      <c r="AE79" s="207"/>
      <c r="AF79" s="211"/>
      <c r="AG79" s="120"/>
      <c r="AH79" s="120"/>
    </row>
    <row r="80" spans="2:34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P80" s="120"/>
      <c r="Q80" s="203"/>
      <c r="R80" s="205"/>
      <c r="S80" s="205"/>
      <c r="T80" s="205"/>
      <c r="U80" s="206"/>
      <c r="V80" s="207"/>
      <c r="W80" s="208"/>
      <c r="X80" s="203"/>
      <c r="Y80" s="205"/>
      <c r="Z80" s="205"/>
      <c r="AA80" s="205"/>
      <c r="AB80" s="206"/>
      <c r="AC80" s="209"/>
      <c r="AD80" s="210"/>
      <c r="AE80" s="207"/>
      <c r="AF80" s="211"/>
      <c r="AG80" s="120"/>
      <c r="AH80" s="120"/>
    </row>
    <row r="81" spans="1:34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P81" s="120"/>
      <c r="Q81" s="203"/>
      <c r="R81" s="205"/>
      <c r="S81" s="205"/>
      <c r="T81" s="205"/>
      <c r="U81" s="206"/>
      <c r="V81" s="207"/>
      <c r="W81" s="208"/>
      <c r="X81" s="203"/>
      <c r="Y81" s="205"/>
      <c r="Z81" s="205"/>
      <c r="AA81" s="205"/>
      <c r="AB81" s="206"/>
      <c r="AC81" s="209"/>
      <c r="AD81" s="210"/>
      <c r="AE81" s="207"/>
      <c r="AF81" s="211"/>
      <c r="AG81" s="120"/>
      <c r="AH81" s="120"/>
    </row>
    <row r="82" spans="1:34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P82" s="120"/>
      <c r="Q82" s="203"/>
      <c r="R82" s="205"/>
      <c r="S82" s="205"/>
      <c r="T82" s="205"/>
      <c r="U82" s="206"/>
      <c r="V82" s="207"/>
      <c r="W82" s="208"/>
      <c r="X82" s="203"/>
      <c r="Y82" s="205"/>
      <c r="Z82" s="205"/>
      <c r="AA82" s="205"/>
      <c r="AB82" s="206"/>
      <c r="AC82" s="209"/>
      <c r="AD82" s="210"/>
      <c r="AE82" s="207"/>
      <c r="AF82" s="211"/>
      <c r="AG82" s="120"/>
      <c r="AH82" s="120"/>
    </row>
    <row r="83" spans="1:34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P83" s="120"/>
      <c r="Q83" s="203"/>
      <c r="R83" s="205"/>
      <c r="S83" s="205"/>
      <c r="T83" s="205"/>
      <c r="U83" s="206"/>
      <c r="V83" s="207"/>
      <c r="W83" s="208"/>
      <c r="X83" s="203"/>
      <c r="Y83" s="205"/>
      <c r="Z83" s="205"/>
      <c r="AA83" s="205"/>
      <c r="AB83" s="206"/>
      <c r="AC83" s="209"/>
      <c r="AD83" s="210"/>
      <c r="AE83" s="207"/>
      <c r="AF83" s="211"/>
      <c r="AG83" s="120"/>
      <c r="AH83" s="120"/>
    </row>
    <row r="84" spans="1:34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P84" s="120"/>
      <c r="Q84" s="203"/>
      <c r="R84" s="205"/>
      <c r="S84" s="205"/>
      <c r="T84" s="205"/>
      <c r="U84" s="206"/>
      <c r="V84" s="207"/>
      <c r="W84" s="208"/>
      <c r="X84" s="203"/>
      <c r="Y84" s="205"/>
      <c r="Z84" s="205"/>
      <c r="AA84" s="205"/>
      <c r="AB84" s="206"/>
      <c r="AC84" s="209"/>
      <c r="AD84" s="210"/>
      <c r="AE84" s="207"/>
      <c r="AF84" s="210"/>
      <c r="AG84" s="120"/>
      <c r="AH84" s="120"/>
    </row>
    <row r="85" spans="1:34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P85" s="120"/>
      <c r="Q85" s="203"/>
      <c r="R85" s="205"/>
      <c r="S85" s="205"/>
      <c r="T85" s="205"/>
      <c r="U85" s="206"/>
      <c r="V85" s="207"/>
      <c r="W85" s="208"/>
      <c r="X85" s="203"/>
      <c r="Y85" s="205"/>
      <c r="Z85" s="205"/>
      <c r="AA85" s="205"/>
      <c r="AB85" s="206"/>
      <c r="AC85" s="209"/>
      <c r="AD85" s="210"/>
      <c r="AE85" s="207"/>
      <c r="AF85" s="210"/>
      <c r="AG85" s="120"/>
      <c r="AH85" s="120"/>
    </row>
    <row r="86" spans="1:34" x14ac:dyDescent="0.3">
      <c r="B86" s="6"/>
      <c r="C86" s="7"/>
      <c r="D86" s="7"/>
      <c r="E86" s="8"/>
      <c r="F86" s="9"/>
      <c r="G86" s="3"/>
      <c r="H86" s="10"/>
      <c r="I86" s="7"/>
      <c r="J86" s="7"/>
      <c r="K86" s="7"/>
      <c r="L86" s="8"/>
      <c r="M86" s="45"/>
      <c r="N86" s="328" t="str">
        <f t="shared" si="0"/>
        <v/>
      </c>
      <c r="O86" s="481"/>
      <c r="P86" s="120"/>
      <c r="Q86" s="203"/>
      <c r="R86" s="205"/>
      <c r="S86" s="205"/>
      <c r="T86" s="205"/>
      <c r="U86" s="206"/>
      <c r="V86" s="207"/>
      <c r="W86" s="208"/>
      <c r="X86" s="203"/>
      <c r="Y86" s="205"/>
      <c r="Z86" s="205"/>
      <c r="AA86" s="205"/>
      <c r="AB86" s="206"/>
      <c r="AC86" s="209"/>
      <c r="AD86" s="210"/>
      <c r="AE86" s="207"/>
      <c r="AF86" s="210"/>
      <c r="AG86" s="120"/>
      <c r="AH86" s="120"/>
    </row>
    <row r="87" spans="1:34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P87" s="120"/>
      <c r="Q87" s="203"/>
      <c r="R87" s="205"/>
      <c r="S87" s="205"/>
      <c r="T87" s="205"/>
      <c r="U87" s="206"/>
      <c r="V87" s="207"/>
      <c r="W87" s="208"/>
      <c r="X87" s="203"/>
      <c r="Y87" s="205"/>
      <c r="Z87" s="205"/>
      <c r="AA87" s="205"/>
      <c r="AB87" s="206"/>
      <c r="AC87" s="209"/>
      <c r="AD87" s="210"/>
      <c r="AE87" s="207"/>
      <c r="AF87" s="210"/>
      <c r="AG87" s="120"/>
      <c r="AH87" s="120"/>
    </row>
    <row r="88" spans="1:34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P88" s="120"/>
      <c r="Q88" s="203"/>
      <c r="R88" s="205"/>
      <c r="S88" s="205"/>
      <c r="T88" s="205"/>
      <c r="U88" s="206"/>
      <c r="V88" s="207"/>
      <c r="W88" s="208"/>
      <c r="X88" s="203"/>
      <c r="Y88" s="205"/>
      <c r="Z88" s="205"/>
      <c r="AA88" s="205"/>
      <c r="AB88" s="206"/>
      <c r="AC88" s="209"/>
      <c r="AD88" s="210"/>
      <c r="AE88" s="207"/>
      <c r="AF88" s="210"/>
      <c r="AG88" s="120"/>
      <c r="AH88" s="120"/>
    </row>
    <row r="89" spans="1:34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P89" s="120"/>
      <c r="Q89" s="203"/>
      <c r="R89" s="205"/>
      <c r="S89" s="205"/>
      <c r="T89" s="205"/>
      <c r="U89" s="206"/>
      <c r="V89" s="207"/>
      <c r="W89" s="208"/>
      <c r="X89" s="203"/>
      <c r="Y89" s="205"/>
      <c r="Z89" s="205"/>
      <c r="AA89" s="205"/>
      <c r="AB89" s="206"/>
      <c r="AC89" s="209"/>
      <c r="AD89" s="210"/>
      <c r="AE89" s="207"/>
      <c r="AF89" s="210"/>
      <c r="AG89" s="120"/>
      <c r="AH89" s="120"/>
    </row>
    <row r="90" spans="1:34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P90" s="120"/>
      <c r="Q90" s="203"/>
      <c r="R90" s="205"/>
      <c r="S90" s="205"/>
      <c r="T90" s="205"/>
      <c r="U90" s="206"/>
      <c r="V90" s="207"/>
      <c r="W90" s="208"/>
      <c r="X90" s="203"/>
      <c r="Y90" s="205"/>
      <c r="Z90" s="205"/>
      <c r="AA90" s="205"/>
      <c r="AB90" s="206"/>
      <c r="AC90" s="209"/>
      <c r="AD90" s="210"/>
      <c r="AE90" s="207"/>
      <c r="AF90" s="210"/>
      <c r="AG90" s="120"/>
      <c r="AH90" s="120"/>
    </row>
    <row r="91" spans="1:34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P91" s="120"/>
      <c r="Q91" s="203"/>
      <c r="R91" s="205"/>
      <c r="S91" s="205"/>
      <c r="T91" s="205"/>
      <c r="U91" s="206"/>
      <c r="V91" s="207"/>
      <c r="W91" s="208"/>
      <c r="X91" s="203"/>
      <c r="Y91" s="205"/>
      <c r="Z91" s="205"/>
      <c r="AA91" s="205"/>
      <c r="AB91" s="206"/>
      <c r="AC91" s="209"/>
      <c r="AD91" s="210"/>
      <c r="AE91" s="207"/>
      <c r="AF91" s="210"/>
      <c r="AG91" s="120"/>
      <c r="AH91" s="120"/>
    </row>
    <row r="92" spans="1:34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P92" s="120"/>
      <c r="Q92" s="203"/>
      <c r="R92" s="205"/>
      <c r="S92" s="205"/>
      <c r="T92" s="205"/>
      <c r="U92" s="206"/>
      <c r="V92" s="207"/>
      <c r="W92" s="208"/>
      <c r="X92" s="203"/>
      <c r="Y92" s="205"/>
      <c r="Z92" s="205"/>
      <c r="AA92" s="205"/>
      <c r="AB92" s="206"/>
      <c r="AC92" s="209"/>
      <c r="AD92" s="210"/>
      <c r="AE92" s="207"/>
      <c r="AF92" s="210"/>
      <c r="AG92" s="120"/>
      <c r="AH92" s="120"/>
    </row>
    <row r="93" spans="1:34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P93" s="120"/>
      <c r="Q93" s="203"/>
      <c r="R93" s="205"/>
      <c r="S93" s="205"/>
      <c r="T93" s="205"/>
      <c r="U93" s="206"/>
      <c r="V93" s="207"/>
      <c r="W93" s="208"/>
      <c r="X93" s="203"/>
      <c r="Y93" s="205"/>
      <c r="Z93" s="205"/>
      <c r="AA93" s="205"/>
      <c r="AB93" s="206"/>
      <c r="AC93" s="209"/>
      <c r="AD93" s="210"/>
      <c r="AE93" s="207"/>
      <c r="AF93" s="210"/>
      <c r="AG93" s="120"/>
      <c r="AH93" s="120"/>
    </row>
    <row r="94" spans="1:34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P94" s="120"/>
      <c r="Q94" s="203"/>
      <c r="R94" s="205"/>
      <c r="S94" s="205"/>
      <c r="T94" s="205"/>
      <c r="U94" s="206"/>
      <c r="V94" s="207"/>
      <c r="W94" s="208"/>
      <c r="X94" s="203"/>
      <c r="Y94" s="205"/>
      <c r="Z94" s="205"/>
      <c r="AA94" s="205"/>
      <c r="AB94" s="206"/>
      <c r="AC94" s="209"/>
      <c r="AD94" s="210"/>
      <c r="AE94" s="207"/>
      <c r="AF94" s="210"/>
      <c r="AG94" s="120"/>
      <c r="AH94" s="120"/>
    </row>
    <row r="95" spans="1:34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223"/>
      <c r="Q95" s="120"/>
      <c r="R95" s="120"/>
      <c r="S95" s="120"/>
      <c r="T95" s="120"/>
      <c r="U95" s="221"/>
      <c r="V95" s="120"/>
      <c r="W95" s="120"/>
      <c r="X95" s="120"/>
      <c r="Y95" s="120"/>
      <c r="Z95" s="120"/>
      <c r="AA95" s="120"/>
      <c r="AB95" s="221"/>
      <c r="AC95" s="120"/>
      <c r="AD95" s="120"/>
      <c r="AE95" s="120"/>
      <c r="AF95" s="120"/>
      <c r="AG95" s="120"/>
      <c r="AH95" s="120"/>
    </row>
    <row r="96" spans="1:34" x14ac:dyDescent="0.3">
      <c r="E96" s="2"/>
      <c r="L96" s="2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</row>
    <row r="97" spans="5:34" x14ac:dyDescent="0.3">
      <c r="E97" s="2"/>
      <c r="L97" s="2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</row>
    <row r="98" spans="5:34" x14ac:dyDescent="0.3">
      <c r="E98" s="2"/>
      <c r="L98" s="2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</row>
    <row r="99" spans="5:34" x14ac:dyDescent="0.3">
      <c r="E99" s="2"/>
      <c r="L99" s="2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</row>
    <row r="100" spans="5:34" x14ac:dyDescent="0.3">
      <c r="E100" s="2"/>
      <c r="L100" s="2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</row>
    <row r="101" spans="5:34" x14ac:dyDescent="0.3">
      <c r="E101" s="2"/>
      <c r="L101" s="2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</row>
    <row r="102" spans="5:34" x14ac:dyDescent="0.3">
      <c r="E102" s="2"/>
      <c r="L102" s="2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</row>
    <row r="103" spans="5:34" x14ac:dyDescent="0.3">
      <c r="E103" s="2"/>
      <c r="L103" s="2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</row>
    <row r="104" spans="5:34" x14ac:dyDescent="0.3">
      <c r="E104" s="2"/>
      <c r="L104" s="2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</row>
    <row r="105" spans="5:34" x14ac:dyDescent="0.3">
      <c r="E105" s="2"/>
      <c r="L105" s="2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</row>
    <row r="106" spans="5:34" x14ac:dyDescent="0.3">
      <c r="E106" s="2"/>
      <c r="L106" s="2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</row>
    <row r="107" spans="5:34" x14ac:dyDescent="0.3">
      <c r="E107" s="2"/>
      <c r="L107" s="2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</row>
    <row r="108" spans="5:34" x14ac:dyDescent="0.3">
      <c r="E108" s="2"/>
      <c r="L108" s="2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</row>
    <row r="109" spans="5:34" x14ac:dyDescent="0.3">
      <c r="E109" s="2"/>
      <c r="L109" s="2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</row>
    <row r="110" spans="5:34" x14ac:dyDescent="0.3">
      <c r="E110" s="2"/>
      <c r="L110" s="2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</row>
    <row r="111" spans="5:34" x14ac:dyDescent="0.3">
      <c r="E111" s="2"/>
      <c r="L111" s="2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</row>
    <row r="112" spans="5:34" x14ac:dyDescent="0.3">
      <c r="E112" s="2"/>
      <c r="L112" s="2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</row>
    <row r="113" spans="5:34" x14ac:dyDescent="0.3">
      <c r="E113" s="2"/>
      <c r="L113" s="2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</row>
    <row r="114" spans="5:34" x14ac:dyDescent="0.3">
      <c r="E114" s="2"/>
      <c r="L114" s="2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</row>
    <row r="115" spans="5:34" x14ac:dyDescent="0.3">
      <c r="E115" s="2"/>
      <c r="L115" s="2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</row>
    <row r="116" spans="5:34" x14ac:dyDescent="0.3">
      <c r="E116" s="2"/>
      <c r="L116" s="2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</row>
    <row r="117" spans="5:34" x14ac:dyDescent="0.3">
      <c r="E117" s="2"/>
      <c r="L117" s="2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</row>
    <row r="118" spans="5:34" x14ac:dyDescent="0.3">
      <c r="E118" s="2"/>
      <c r="L118" s="2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</row>
    <row r="119" spans="5:34" x14ac:dyDescent="0.3">
      <c r="E119" s="2"/>
      <c r="L119" s="2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</row>
    <row r="120" spans="5:34" x14ac:dyDescent="0.3">
      <c r="E120" s="2"/>
      <c r="L120" s="2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</row>
    <row r="121" spans="5:34" x14ac:dyDescent="0.3">
      <c r="E121" s="2"/>
      <c r="L121" s="2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</row>
    <row r="122" spans="5:34" x14ac:dyDescent="0.3">
      <c r="E122" s="2"/>
      <c r="L122" s="2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</row>
    <row r="123" spans="5:34" x14ac:dyDescent="0.3">
      <c r="E123" s="2"/>
      <c r="L123" s="2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</row>
    <row r="124" spans="5:34" x14ac:dyDescent="0.3">
      <c r="E124" s="2"/>
      <c r="L124" s="2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</row>
    <row r="125" spans="5:34" x14ac:dyDescent="0.3">
      <c r="E125" s="2"/>
      <c r="L125" s="2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</row>
    <row r="126" spans="5:34" x14ac:dyDescent="0.3">
      <c r="E126" s="2"/>
      <c r="L126" s="2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</row>
    <row r="127" spans="5:34" x14ac:dyDescent="0.3">
      <c r="E127" s="2"/>
      <c r="L127" s="2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</row>
    <row r="128" spans="5:34" x14ac:dyDescent="0.3">
      <c r="E128" s="2"/>
      <c r="L128" s="2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</row>
    <row r="129" spans="5:34" x14ac:dyDescent="0.3">
      <c r="E129" s="2"/>
      <c r="L129" s="2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</row>
    <row r="130" spans="5:34" x14ac:dyDescent="0.3">
      <c r="E130" s="2"/>
      <c r="L130" s="2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</row>
    <row r="131" spans="5:34" x14ac:dyDescent="0.3">
      <c r="E131" s="2"/>
      <c r="L131" s="2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</row>
    <row r="132" spans="5:34" x14ac:dyDescent="0.3">
      <c r="E132" s="2"/>
      <c r="L132" s="2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</row>
    <row r="133" spans="5:34" x14ac:dyDescent="0.3">
      <c r="E133" s="2"/>
      <c r="L133" s="2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</row>
    <row r="134" spans="5:34" x14ac:dyDescent="0.3">
      <c r="E134" s="2"/>
      <c r="L134" s="2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</row>
    <row r="135" spans="5:34" x14ac:dyDescent="0.3">
      <c r="E135" s="2"/>
      <c r="L135" s="2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</row>
    <row r="136" spans="5:34" x14ac:dyDescent="0.3">
      <c r="E136" s="2"/>
      <c r="L136" s="2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</row>
    <row r="137" spans="5:34" x14ac:dyDescent="0.3">
      <c r="E137" s="2"/>
      <c r="L137" s="2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</row>
    <row r="138" spans="5:34" x14ac:dyDescent="0.3">
      <c r="E138" s="2"/>
      <c r="L138" s="2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</row>
    <row r="139" spans="5:34" x14ac:dyDescent="0.3">
      <c r="E139" s="2"/>
      <c r="L139" s="2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</row>
    <row r="140" spans="5:34" x14ac:dyDescent="0.3">
      <c r="E140" s="2"/>
      <c r="L140" s="2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</row>
    <row r="141" spans="5:34" x14ac:dyDescent="0.3">
      <c r="E141" s="2"/>
      <c r="L141" s="2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</row>
    <row r="142" spans="5:34" x14ac:dyDescent="0.3">
      <c r="E142" s="2"/>
      <c r="L142" s="2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</row>
    <row r="143" spans="5:34" x14ac:dyDescent="0.3">
      <c r="E143" s="2"/>
      <c r="L143" s="2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</row>
    <row r="144" spans="5:34" x14ac:dyDescent="0.3">
      <c r="E144" s="2"/>
      <c r="L144" s="2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</row>
    <row r="145" spans="5:34" x14ac:dyDescent="0.3">
      <c r="E145" s="2"/>
      <c r="L145" s="2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</row>
    <row r="146" spans="5:34" x14ac:dyDescent="0.3">
      <c r="E146" s="2"/>
      <c r="L146" s="2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</row>
    <row r="147" spans="5:34" x14ac:dyDescent="0.3">
      <c r="E147" s="2"/>
      <c r="L147" s="2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</row>
    <row r="148" spans="5:34" x14ac:dyDescent="0.3">
      <c r="E148" s="2"/>
      <c r="L148" s="2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</row>
    <row r="149" spans="5:34" x14ac:dyDescent="0.3">
      <c r="E149" s="2"/>
      <c r="L149" s="2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</row>
    <row r="150" spans="5:34" x14ac:dyDescent="0.3">
      <c r="E150" s="2"/>
      <c r="L150" s="2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</row>
    <row r="151" spans="5:34" x14ac:dyDescent="0.3">
      <c r="E151" s="2"/>
      <c r="L151" s="2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</row>
    <row r="152" spans="5:34" x14ac:dyDescent="0.3">
      <c r="E152" s="2"/>
      <c r="L152" s="2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</row>
    <row r="153" spans="5:34" x14ac:dyDescent="0.3">
      <c r="E153" s="2"/>
      <c r="L153" s="2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</row>
    <row r="154" spans="5:34" x14ac:dyDescent="0.3">
      <c r="E154" s="2"/>
      <c r="L154" s="2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</row>
    <row r="155" spans="5:34" x14ac:dyDescent="0.3">
      <c r="E155" s="2"/>
      <c r="L155" s="2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</row>
    <row r="156" spans="5:34" x14ac:dyDescent="0.3">
      <c r="E156" s="2"/>
      <c r="L156" s="2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</row>
    <row r="157" spans="5:34" x14ac:dyDescent="0.3">
      <c r="E157" s="2"/>
      <c r="L157" s="2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</row>
    <row r="158" spans="5:34" x14ac:dyDescent="0.3">
      <c r="E158" s="2"/>
      <c r="L158" s="2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</row>
    <row r="159" spans="5:34" x14ac:dyDescent="0.3">
      <c r="E159" s="2"/>
      <c r="L159" s="2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</row>
    <row r="160" spans="5:34" x14ac:dyDescent="0.3">
      <c r="E160" s="2"/>
      <c r="L160" s="2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</row>
    <row r="161" spans="5:34" x14ac:dyDescent="0.3">
      <c r="E161" s="2"/>
      <c r="L161" s="2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</row>
    <row r="162" spans="5:34" x14ac:dyDescent="0.3">
      <c r="E162" s="2"/>
      <c r="L162" s="2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</row>
    <row r="163" spans="5:34" x14ac:dyDescent="0.3">
      <c r="E163" s="2"/>
      <c r="L163" s="2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</row>
    <row r="164" spans="5:34" x14ac:dyDescent="0.3">
      <c r="E164" s="2"/>
      <c r="L164" s="2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</row>
    <row r="165" spans="5:34" x14ac:dyDescent="0.3">
      <c r="E165" s="2"/>
      <c r="L165" s="2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</row>
    <row r="166" spans="5:34" x14ac:dyDescent="0.3">
      <c r="E166" s="2"/>
      <c r="L166" s="2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</row>
    <row r="167" spans="5:34" x14ac:dyDescent="0.3">
      <c r="E167" s="2"/>
      <c r="L167" s="2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</row>
    <row r="168" spans="5:34" x14ac:dyDescent="0.3">
      <c r="E168" s="2"/>
      <c r="L168" s="2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</row>
    <row r="169" spans="5:34" x14ac:dyDescent="0.3">
      <c r="E169" s="2"/>
      <c r="L169" s="2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</row>
    <row r="170" spans="5:34" x14ac:dyDescent="0.3">
      <c r="E170" s="2"/>
      <c r="L170" s="2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</row>
    <row r="171" spans="5:34" x14ac:dyDescent="0.3">
      <c r="E171" s="2"/>
      <c r="L171" s="2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</row>
    <row r="172" spans="5:34" x14ac:dyDescent="0.3">
      <c r="E172" s="2"/>
      <c r="L172" s="2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</row>
    <row r="173" spans="5:34" x14ac:dyDescent="0.3">
      <c r="E173" s="2"/>
      <c r="L173" s="2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</row>
    <row r="174" spans="5:34" x14ac:dyDescent="0.3">
      <c r="E174" s="2"/>
      <c r="L174" s="2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</row>
    <row r="175" spans="5:34" x14ac:dyDescent="0.3">
      <c r="E175" s="2"/>
      <c r="L175" s="2"/>
    </row>
    <row r="176" spans="5:34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7" priority="1">
      <formula>$N35&lt;0</formula>
    </cfRule>
  </conditionalFormatting>
  <dataValidations count="3">
    <dataValidation type="list" allowBlank="1" showInputMessage="1" showErrorMessage="1" sqref="J11:J30 C11:C30 C35:C94 J35:J94" xr:uid="{2E23BA83-6C28-49CB-A751-134EF0DB4D58}">
      <formula1>대분류</formula1>
    </dataValidation>
    <dataValidation type="list" allowBlank="1" showInputMessage="1" showErrorMessage="1" sqref="I11:I30 I35:I94" xr:uid="{9208B716-F140-41EE-A564-944E768233D2}">
      <formula1>계정</formula1>
    </dataValidation>
    <dataValidation type="list" allowBlank="1" showInputMessage="1" showErrorMessage="1" sqref="K11:K30 D11:D30 D35:D94 K35:K94" xr:uid="{976F32F7-D01B-48D0-A0F4-2DE723E8D758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9C88A-DDA5-4674-88D5-7B712126589F}">
  <sheetPr codeName="Sheet35">
    <tabColor theme="4"/>
    <pageSetUpPr autoPageBreaks="0" fitToPage="1"/>
  </sheetPr>
  <dimension ref="A1:AI383"/>
  <sheetViews>
    <sheetView showGridLines="0" zoomScale="90" zoomScaleNormal="90" zoomScaleSheetLayoutView="25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5" ht="16.5" customHeight="1" x14ac:dyDescent="0.3">
      <c r="B1" s="584" t="s">
        <v>182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5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</row>
    <row r="3" spans="1:35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</row>
    <row r="4" spans="1:35" x14ac:dyDescent="0.3"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</row>
    <row r="5" spans="1:35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95"/>
      <c r="R5" s="191"/>
      <c r="S5" s="120"/>
      <c r="T5" s="192"/>
      <c r="U5" s="193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</row>
    <row r="6" spans="1:35" x14ac:dyDescent="0.3">
      <c r="B6" s="68" t="s">
        <v>97</v>
      </c>
      <c r="C6" s="93">
        <f>SUM($I$9+$J$33)</f>
        <v>0</v>
      </c>
      <c r="H6" s="580"/>
      <c r="I6" s="582"/>
      <c r="J6" s="582"/>
      <c r="K6" s="582"/>
      <c r="L6" s="582"/>
      <c r="M6" s="586"/>
      <c r="N6" s="586"/>
      <c r="O6" s="586"/>
      <c r="Q6" s="95"/>
      <c r="R6" s="191"/>
      <c r="S6" s="120"/>
      <c r="T6" s="192"/>
      <c r="U6" s="195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</row>
    <row r="7" spans="1:35" x14ac:dyDescent="0.3">
      <c r="B7" s="74" t="s">
        <v>65</v>
      </c>
      <c r="C7" s="69">
        <f>$C$5-$C$6</f>
        <v>0</v>
      </c>
      <c r="H7" s="581"/>
      <c r="I7" s="583"/>
      <c r="J7" s="583"/>
      <c r="K7" s="583"/>
      <c r="L7" s="583"/>
      <c r="M7" s="587"/>
      <c r="N7" s="587"/>
      <c r="O7" s="587"/>
      <c r="Q7" s="95"/>
      <c r="R7" s="191"/>
      <c r="S7" s="120"/>
      <c r="T7" s="192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</row>
    <row r="8" spans="1:35" ht="9" customHeight="1" x14ac:dyDescent="0.3">
      <c r="Q8" s="120"/>
      <c r="R8" s="193"/>
      <c r="S8" s="120"/>
      <c r="T8" s="195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</row>
    <row r="9" spans="1:35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95"/>
      <c r="R9" s="191"/>
      <c r="S9" s="196"/>
      <c r="T9" s="192"/>
      <c r="U9" s="196"/>
      <c r="V9" s="197"/>
      <c r="W9" s="196"/>
      <c r="X9" s="95"/>
      <c r="Y9" s="198"/>
      <c r="Z9" s="199"/>
      <c r="AA9" s="200"/>
      <c r="AB9" s="120"/>
      <c r="AC9" s="196"/>
      <c r="AD9" s="196"/>
      <c r="AE9" s="196"/>
      <c r="AF9" s="120"/>
      <c r="AG9" s="120"/>
      <c r="AH9" s="120"/>
      <c r="AI9" s="120"/>
    </row>
    <row r="10" spans="1:35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201"/>
      <c r="R10" s="202"/>
      <c r="S10" s="201"/>
      <c r="T10" s="201"/>
      <c r="U10" s="201"/>
      <c r="V10" s="201"/>
      <c r="W10" s="196"/>
      <c r="X10" s="201"/>
      <c r="Y10" s="201"/>
      <c r="Z10" s="201"/>
      <c r="AA10" s="201"/>
      <c r="AB10" s="201"/>
      <c r="AC10" s="201"/>
      <c r="AD10" s="201"/>
      <c r="AE10" s="201"/>
      <c r="AF10" s="201"/>
      <c r="AG10" s="120"/>
      <c r="AH10" s="120"/>
      <c r="AI10" s="120"/>
    </row>
    <row r="11" spans="1:35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203"/>
      <c r="R11" s="204"/>
      <c r="S11" s="205"/>
      <c r="T11" s="205"/>
      <c r="U11" s="206"/>
      <c r="V11" s="207"/>
      <c r="W11" s="208"/>
      <c r="X11" s="203"/>
      <c r="Y11" s="205"/>
      <c r="Z11" s="205"/>
      <c r="AA11" s="205"/>
      <c r="AB11" s="206"/>
      <c r="AC11" s="209"/>
      <c r="AD11" s="210"/>
      <c r="AE11" s="224"/>
      <c r="AF11" s="211"/>
      <c r="AG11" s="120"/>
      <c r="AH11" s="120"/>
      <c r="AI11" s="120"/>
    </row>
    <row r="12" spans="1:35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203"/>
      <c r="R12" s="204"/>
      <c r="S12" s="205"/>
      <c r="T12" s="205"/>
      <c r="U12" s="206"/>
      <c r="V12" s="207"/>
      <c r="W12" s="208"/>
      <c r="X12" s="203"/>
      <c r="Y12" s="205"/>
      <c r="Z12" s="205"/>
      <c r="AA12" s="205"/>
      <c r="AB12" s="206"/>
      <c r="AC12" s="209"/>
      <c r="AD12" s="210"/>
      <c r="AE12" s="224"/>
      <c r="AF12" s="211"/>
      <c r="AG12" s="120"/>
      <c r="AH12" s="120"/>
      <c r="AI12" s="120"/>
    </row>
    <row r="13" spans="1:35" x14ac:dyDescent="0.3">
      <c r="B13" s="10"/>
      <c r="C13" s="11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203"/>
      <c r="R13" s="204"/>
      <c r="S13" s="205"/>
      <c r="T13" s="205"/>
      <c r="U13" s="206"/>
      <c r="V13" s="207"/>
      <c r="W13" s="208"/>
      <c r="X13" s="203"/>
      <c r="Y13" s="205"/>
      <c r="Z13" s="205"/>
      <c r="AA13" s="205"/>
      <c r="AB13" s="206"/>
      <c r="AC13" s="209"/>
      <c r="AD13" s="210"/>
      <c r="AE13" s="224"/>
      <c r="AF13" s="211"/>
      <c r="AG13" s="120"/>
      <c r="AH13" s="120"/>
      <c r="AI13" s="120"/>
    </row>
    <row r="14" spans="1:35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203"/>
      <c r="R14" s="204"/>
      <c r="S14" s="205"/>
      <c r="T14" s="205"/>
      <c r="U14" s="206"/>
      <c r="V14" s="207"/>
      <c r="W14" s="208"/>
      <c r="X14" s="203"/>
      <c r="Y14" s="205"/>
      <c r="Z14" s="205"/>
      <c r="AA14" s="205"/>
      <c r="AB14" s="206"/>
      <c r="AC14" s="209"/>
      <c r="AD14" s="210"/>
      <c r="AE14" s="224"/>
      <c r="AF14" s="211"/>
      <c r="AG14" s="120"/>
      <c r="AH14" s="120"/>
      <c r="AI14" s="120"/>
    </row>
    <row r="15" spans="1:35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203"/>
      <c r="R15" s="204"/>
      <c r="S15" s="205"/>
      <c r="T15" s="205"/>
      <c r="U15" s="206"/>
      <c r="V15" s="207"/>
      <c r="W15" s="208"/>
      <c r="X15" s="203"/>
      <c r="Y15" s="205"/>
      <c r="Z15" s="205"/>
      <c r="AA15" s="205"/>
      <c r="AB15" s="206"/>
      <c r="AC15" s="209"/>
      <c r="AD15" s="210"/>
      <c r="AE15" s="224"/>
      <c r="AF15" s="211"/>
      <c r="AG15" s="120"/>
      <c r="AH15" s="120"/>
      <c r="AI15" s="120"/>
    </row>
    <row r="16" spans="1:35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203"/>
      <c r="R16" s="204"/>
      <c r="S16" s="205"/>
      <c r="T16" s="205"/>
      <c r="U16" s="206"/>
      <c r="V16" s="207"/>
      <c r="W16" s="208"/>
      <c r="X16" s="203"/>
      <c r="Y16" s="205"/>
      <c r="Z16" s="205"/>
      <c r="AA16" s="205"/>
      <c r="AB16" s="206"/>
      <c r="AC16" s="209"/>
      <c r="AD16" s="210"/>
      <c r="AE16" s="224"/>
      <c r="AF16" s="211"/>
      <c r="AG16" s="120"/>
      <c r="AH16" s="120"/>
      <c r="AI16" s="120"/>
    </row>
    <row r="17" spans="2:35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203"/>
      <c r="R17" s="204"/>
      <c r="S17" s="205"/>
      <c r="T17" s="205"/>
      <c r="U17" s="206"/>
      <c r="V17" s="207"/>
      <c r="W17" s="208"/>
      <c r="X17" s="203"/>
      <c r="Y17" s="205"/>
      <c r="Z17" s="205"/>
      <c r="AA17" s="205"/>
      <c r="AB17" s="206"/>
      <c r="AC17" s="209"/>
      <c r="AD17" s="210"/>
      <c r="AE17" s="224"/>
      <c r="AF17" s="211"/>
      <c r="AG17" s="120"/>
      <c r="AH17" s="120"/>
      <c r="AI17" s="120"/>
    </row>
    <row r="18" spans="2:35" x14ac:dyDescent="0.3">
      <c r="B18" s="10"/>
      <c r="C18" s="7"/>
      <c r="D18" s="7"/>
      <c r="E18" s="8"/>
      <c r="F18" s="9"/>
      <c r="G18" s="3"/>
      <c r="H18" s="6"/>
      <c r="I18" s="11"/>
      <c r="J18" s="11"/>
      <c r="K18" s="11"/>
      <c r="L18" s="8"/>
      <c r="M18" s="9"/>
      <c r="N18" s="46"/>
      <c r="O18" s="480"/>
      <c r="Q18" s="203"/>
      <c r="R18" s="204"/>
      <c r="S18" s="205"/>
      <c r="T18" s="205"/>
      <c r="U18" s="206"/>
      <c r="V18" s="207"/>
      <c r="W18" s="208"/>
      <c r="X18" s="203"/>
      <c r="Y18" s="205"/>
      <c r="Z18" s="205"/>
      <c r="AA18" s="205"/>
      <c r="AB18" s="206"/>
      <c r="AC18" s="209"/>
      <c r="AD18" s="210"/>
      <c r="AE18" s="224"/>
      <c r="AF18" s="211"/>
      <c r="AG18" s="120"/>
      <c r="AH18" s="120"/>
      <c r="AI18" s="120"/>
    </row>
    <row r="19" spans="2:35" x14ac:dyDescent="0.3">
      <c r="B19" s="10"/>
      <c r="C19" s="7"/>
      <c r="D19" s="7"/>
      <c r="E19" s="8"/>
      <c r="F19" s="9"/>
      <c r="G19" s="3"/>
      <c r="H19" s="6"/>
      <c r="I19" s="11"/>
      <c r="J19" s="11"/>
      <c r="K19" s="11"/>
      <c r="L19" s="8"/>
      <c r="M19" s="9"/>
      <c r="N19" s="46"/>
      <c r="O19" s="480"/>
      <c r="Q19" s="203"/>
      <c r="R19" s="204"/>
      <c r="S19" s="205"/>
      <c r="T19" s="205"/>
      <c r="U19" s="206"/>
      <c r="V19" s="207"/>
      <c r="W19" s="208"/>
      <c r="X19" s="203"/>
      <c r="Y19" s="205"/>
      <c r="Z19" s="205"/>
      <c r="AA19" s="205"/>
      <c r="AB19" s="206"/>
      <c r="AC19" s="209"/>
      <c r="AD19" s="210"/>
      <c r="AE19" s="224"/>
      <c r="AF19" s="211"/>
      <c r="AG19" s="120"/>
      <c r="AH19" s="120"/>
      <c r="AI19" s="120"/>
    </row>
    <row r="20" spans="2:35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203"/>
      <c r="R20" s="204"/>
      <c r="S20" s="205"/>
      <c r="T20" s="205"/>
      <c r="U20" s="206"/>
      <c r="V20" s="207"/>
      <c r="W20" s="208"/>
      <c r="X20" s="203"/>
      <c r="Y20" s="205"/>
      <c r="Z20" s="205"/>
      <c r="AA20" s="205"/>
      <c r="AB20" s="206"/>
      <c r="AC20" s="209"/>
      <c r="AD20" s="210"/>
      <c r="AE20" s="224"/>
      <c r="AF20" s="211"/>
      <c r="AG20" s="120"/>
      <c r="AH20" s="120"/>
      <c r="AI20" s="120"/>
    </row>
    <row r="21" spans="2:35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203"/>
      <c r="R21" s="204"/>
      <c r="S21" s="205"/>
      <c r="T21" s="205"/>
      <c r="U21" s="206"/>
      <c r="V21" s="207"/>
      <c r="W21" s="208"/>
      <c r="X21" s="203"/>
      <c r="Y21" s="205"/>
      <c r="Z21" s="205"/>
      <c r="AA21" s="205"/>
      <c r="AB21" s="206"/>
      <c r="AC21" s="209"/>
      <c r="AD21" s="210"/>
      <c r="AE21" s="224"/>
      <c r="AF21" s="211"/>
      <c r="AG21" s="120"/>
      <c r="AH21" s="120"/>
      <c r="AI21" s="120"/>
    </row>
    <row r="22" spans="2:35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203"/>
      <c r="R22" s="204"/>
      <c r="S22" s="205"/>
      <c r="T22" s="205"/>
      <c r="U22" s="206"/>
      <c r="V22" s="207"/>
      <c r="W22" s="208"/>
      <c r="X22" s="203"/>
      <c r="Y22" s="205"/>
      <c r="Z22" s="205"/>
      <c r="AA22" s="205"/>
      <c r="AB22" s="206"/>
      <c r="AC22" s="209"/>
      <c r="AD22" s="210"/>
      <c r="AE22" s="224"/>
      <c r="AF22" s="211"/>
      <c r="AG22" s="120"/>
      <c r="AH22" s="120"/>
      <c r="AI22" s="120"/>
    </row>
    <row r="23" spans="2:35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203"/>
      <c r="R23" s="204"/>
      <c r="S23" s="205"/>
      <c r="T23" s="205"/>
      <c r="U23" s="206"/>
      <c r="V23" s="207"/>
      <c r="W23" s="208"/>
      <c r="X23" s="203"/>
      <c r="Y23" s="205"/>
      <c r="Z23" s="205"/>
      <c r="AA23" s="205"/>
      <c r="AB23" s="206"/>
      <c r="AC23" s="209"/>
      <c r="AD23" s="210"/>
      <c r="AE23" s="224"/>
      <c r="AF23" s="211"/>
      <c r="AG23" s="120"/>
      <c r="AH23" s="120"/>
      <c r="AI23" s="120"/>
    </row>
    <row r="24" spans="2:35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203"/>
      <c r="R24" s="204"/>
      <c r="S24" s="205"/>
      <c r="T24" s="205"/>
      <c r="U24" s="206"/>
      <c r="V24" s="207"/>
      <c r="W24" s="208"/>
      <c r="X24" s="203"/>
      <c r="Y24" s="205"/>
      <c r="Z24" s="205"/>
      <c r="AA24" s="205"/>
      <c r="AB24" s="206"/>
      <c r="AC24" s="209"/>
      <c r="AD24" s="210"/>
      <c r="AE24" s="224"/>
      <c r="AF24" s="211"/>
      <c r="AG24" s="120"/>
      <c r="AH24" s="120"/>
      <c r="AI24" s="120"/>
    </row>
    <row r="25" spans="2:35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203"/>
      <c r="R25" s="204"/>
      <c r="S25" s="205"/>
      <c r="T25" s="205"/>
      <c r="U25" s="206"/>
      <c r="V25" s="207"/>
      <c r="W25" s="208"/>
      <c r="X25" s="203"/>
      <c r="Y25" s="205"/>
      <c r="Z25" s="205"/>
      <c r="AA25" s="205"/>
      <c r="AB25" s="206"/>
      <c r="AC25" s="209"/>
      <c r="AD25" s="210"/>
      <c r="AE25" s="224"/>
      <c r="AF25" s="211"/>
      <c r="AG25" s="120"/>
      <c r="AH25" s="120"/>
      <c r="AI25" s="120"/>
    </row>
    <row r="26" spans="2:35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203"/>
      <c r="R26" s="204"/>
      <c r="S26" s="205"/>
      <c r="T26" s="205"/>
      <c r="U26" s="206"/>
      <c r="V26" s="207"/>
      <c r="W26" s="208"/>
      <c r="X26" s="203"/>
      <c r="Y26" s="205"/>
      <c r="Z26" s="205"/>
      <c r="AA26" s="205"/>
      <c r="AB26" s="206"/>
      <c r="AC26" s="209"/>
      <c r="AD26" s="210"/>
      <c r="AE26" s="224"/>
      <c r="AF26" s="211"/>
      <c r="AG26" s="120"/>
      <c r="AH26" s="120"/>
      <c r="AI26" s="120"/>
    </row>
    <row r="27" spans="2:35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203"/>
      <c r="R27" s="204"/>
      <c r="S27" s="205"/>
      <c r="T27" s="205"/>
      <c r="U27" s="206"/>
      <c r="V27" s="207"/>
      <c r="W27" s="208"/>
      <c r="X27" s="203"/>
      <c r="Y27" s="205"/>
      <c r="Z27" s="205"/>
      <c r="AA27" s="205"/>
      <c r="AB27" s="206"/>
      <c r="AC27" s="209"/>
      <c r="AD27" s="210"/>
      <c r="AE27" s="224"/>
      <c r="AF27" s="211"/>
      <c r="AG27" s="120"/>
      <c r="AH27" s="120"/>
      <c r="AI27" s="120"/>
    </row>
    <row r="28" spans="2:35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203"/>
      <c r="R28" s="204"/>
      <c r="S28" s="205"/>
      <c r="T28" s="205"/>
      <c r="U28" s="206"/>
      <c r="V28" s="207"/>
      <c r="W28" s="208"/>
      <c r="X28" s="203"/>
      <c r="Y28" s="205"/>
      <c r="Z28" s="205"/>
      <c r="AA28" s="205"/>
      <c r="AB28" s="206"/>
      <c r="AC28" s="209"/>
      <c r="AD28" s="210"/>
      <c r="AE28" s="224"/>
      <c r="AF28" s="211"/>
      <c r="AG28" s="120"/>
      <c r="AH28" s="120"/>
      <c r="AI28" s="120"/>
    </row>
    <row r="29" spans="2:35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203"/>
      <c r="R29" s="204"/>
      <c r="S29" s="205"/>
      <c r="T29" s="205"/>
      <c r="U29" s="206"/>
      <c r="V29" s="207"/>
      <c r="W29" s="208"/>
      <c r="X29" s="203"/>
      <c r="Y29" s="205"/>
      <c r="Z29" s="205"/>
      <c r="AA29" s="205"/>
      <c r="AB29" s="206"/>
      <c r="AC29" s="209"/>
      <c r="AD29" s="210"/>
      <c r="AE29" s="224"/>
      <c r="AF29" s="211"/>
      <c r="AG29" s="120"/>
      <c r="AH29" s="120"/>
      <c r="AI29" s="120"/>
    </row>
    <row r="30" spans="2:35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203"/>
      <c r="R30" s="204"/>
      <c r="S30" s="205"/>
      <c r="T30" s="205"/>
      <c r="U30" s="206"/>
      <c r="V30" s="207"/>
      <c r="W30" s="208"/>
      <c r="X30" s="203"/>
      <c r="Y30" s="205"/>
      <c r="Z30" s="205"/>
      <c r="AA30" s="205"/>
      <c r="AB30" s="206"/>
      <c r="AC30" s="209"/>
      <c r="AD30" s="210"/>
      <c r="AE30" s="224"/>
      <c r="AF30" s="211"/>
      <c r="AG30" s="120"/>
      <c r="AH30" s="120"/>
      <c r="AI30" s="120"/>
    </row>
    <row r="31" spans="2:35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482"/>
      <c r="Q31" s="203"/>
      <c r="R31" s="204"/>
      <c r="S31" s="205"/>
      <c r="T31" s="205"/>
      <c r="U31" s="206"/>
      <c r="V31" s="207"/>
      <c r="W31" s="208"/>
      <c r="X31" s="203"/>
      <c r="Y31" s="205"/>
      <c r="Z31" s="205"/>
      <c r="AA31" s="205"/>
      <c r="AB31" s="206"/>
      <c r="AC31" s="225"/>
      <c r="AD31" s="210"/>
      <c r="AE31" s="224"/>
      <c r="AF31" s="211"/>
      <c r="AG31" s="120"/>
      <c r="AH31" s="120"/>
      <c r="AI31" s="120"/>
    </row>
    <row r="32" spans="2:35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예산!I40</f>
        <v>0</v>
      </c>
      <c r="K32" s="53"/>
      <c r="L32" s="107"/>
      <c r="M32" s="54"/>
      <c r="N32" s="54"/>
      <c r="O32" s="54"/>
      <c r="Q32" s="203"/>
      <c r="R32" s="204"/>
      <c r="S32" s="205"/>
      <c r="T32" s="205"/>
      <c r="U32" s="206"/>
      <c r="V32" s="207"/>
      <c r="W32" s="208"/>
      <c r="X32" s="120"/>
      <c r="Y32" s="95"/>
      <c r="Z32" s="212"/>
      <c r="AA32" s="199"/>
      <c r="AB32" s="206"/>
      <c r="AC32" s="225"/>
      <c r="AD32" s="210"/>
      <c r="AE32" s="224"/>
      <c r="AF32" s="210"/>
      <c r="AG32" s="120"/>
      <c r="AH32" s="120"/>
      <c r="AI32" s="120"/>
    </row>
    <row r="33" spans="2:35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213"/>
      <c r="R33" s="214"/>
      <c r="S33" s="201"/>
      <c r="T33" s="199"/>
      <c r="U33" s="215"/>
      <c r="V33" s="216"/>
      <c r="W33" s="196"/>
      <c r="X33" s="213"/>
      <c r="Y33" s="95"/>
      <c r="Z33" s="214"/>
      <c r="AA33" s="199"/>
      <c r="AB33" s="215"/>
      <c r="AC33" s="226"/>
      <c r="AD33" s="218"/>
      <c r="AE33" s="227"/>
      <c r="AF33" s="199"/>
      <c r="AG33" s="120"/>
      <c r="AH33" s="120"/>
      <c r="AI33" s="120"/>
    </row>
    <row r="34" spans="2:35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201"/>
      <c r="R34" s="201"/>
      <c r="S34" s="201"/>
      <c r="T34" s="201"/>
      <c r="U34" s="201"/>
      <c r="V34" s="219"/>
      <c r="W34" s="196"/>
      <c r="X34" s="201"/>
      <c r="Y34" s="201"/>
      <c r="Z34" s="201"/>
      <c r="AA34" s="201"/>
      <c r="AB34" s="201"/>
      <c r="AC34" s="201"/>
      <c r="AD34" s="201"/>
      <c r="AE34" s="201"/>
      <c r="AF34" s="201"/>
      <c r="AG34" s="120"/>
      <c r="AH34" s="120"/>
      <c r="AI34" s="120"/>
    </row>
    <row r="35" spans="2:35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203"/>
      <c r="R35" s="205"/>
      <c r="S35" s="205"/>
      <c r="T35" s="205"/>
      <c r="U35" s="206"/>
      <c r="V35" s="207"/>
      <c r="W35" s="208"/>
      <c r="X35" s="203"/>
      <c r="Y35" s="205"/>
      <c r="Z35" s="205"/>
      <c r="AA35" s="205"/>
      <c r="AB35" s="206"/>
      <c r="AC35" s="209"/>
      <c r="AD35" s="210"/>
      <c r="AE35" s="207"/>
      <c r="AF35" s="211"/>
      <c r="AG35" s="120"/>
      <c r="AH35" s="120"/>
      <c r="AI35" s="120"/>
    </row>
    <row r="36" spans="2:35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203"/>
      <c r="R36" s="205"/>
      <c r="S36" s="205"/>
      <c r="T36" s="205"/>
      <c r="U36" s="206"/>
      <c r="V36" s="207"/>
      <c r="W36" s="208"/>
      <c r="X36" s="203"/>
      <c r="Y36" s="205"/>
      <c r="Z36" s="205"/>
      <c r="AA36" s="205"/>
      <c r="AB36" s="206"/>
      <c r="AC36" s="209"/>
      <c r="AD36" s="210"/>
      <c r="AE36" s="207"/>
      <c r="AF36" s="211"/>
      <c r="AG36" s="120"/>
      <c r="AH36" s="120"/>
      <c r="AI36" s="120"/>
    </row>
    <row r="37" spans="2:35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203"/>
      <c r="R37" s="205"/>
      <c r="S37" s="205"/>
      <c r="T37" s="205"/>
      <c r="U37" s="206"/>
      <c r="V37" s="207"/>
      <c r="W37" s="208"/>
      <c r="X37" s="203"/>
      <c r="Y37" s="205"/>
      <c r="Z37" s="205"/>
      <c r="AA37" s="205"/>
      <c r="AB37" s="206"/>
      <c r="AC37" s="209"/>
      <c r="AD37" s="210"/>
      <c r="AE37" s="207"/>
      <c r="AF37" s="211"/>
      <c r="AG37" s="120"/>
      <c r="AH37" s="120"/>
      <c r="AI37" s="120"/>
    </row>
    <row r="38" spans="2:35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203"/>
      <c r="R38" s="205"/>
      <c r="S38" s="205"/>
      <c r="T38" s="205"/>
      <c r="U38" s="206"/>
      <c r="V38" s="207"/>
      <c r="W38" s="208"/>
      <c r="X38" s="203"/>
      <c r="Y38" s="205"/>
      <c r="Z38" s="205"/>
      <c r="AA38" s="205"/>
      <c r="AB38" s="206"/>
      <c r="AC38" s="209"/>
      <c r="AD38" s="210"/>
      <c r="AE38" s="207"/>
      <c r="AF38" s="211"/>
      <c r="AG38" s="120"/>
      <c r="AH38" s="120"/>
      <c r="AI38" s="120"/>
    </row>
    <row r="39" spans="2:35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203"/>
      <c r="R39" s="205"/>
      <c r="S39" s="205"/>
      <c r="T39" s="205"/>
      <c r="U39" s="206"/>
      <c r="V39" s="207"/>
      <c r="W39" s="208"/>
      <c r="X39" s="203"/>
      <c r="Y39" s="205"/>
      <c r="Z39" s="205"/>
      <c r="AA39" s="205"/>
      <c r="AB39" s="206"/>
      <c r="AC39" s="209"/>
      <c r="AD39" s="210"/>
      <c r="AE39" s="207"/>
      <c r="AF39" s="211"/>
      <c r="AG39" s="120"/>
      <c r="AH39" s="120"/>
      <c r="AI39" s="120"/>
    </row>
    <row r="40" spans="2:35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203"/>
      <c r="R40" s="205"/>
      <c r="S40" s="205"/>
      <c r="T40" s="205"/>
      <c r="U40" s="206"/>
      <c r="V40" s="207"/>
      <c r="W40" s="208"/>
      <c r="X40" s="203"/>
      <c r="Y40" s="205"/>
      <c r="Z40" s="205"/>
      <c r="AA40" s="205"/>
      <c r="AB40" s="206"/>
      <c r="AC40" s="209"/>
      <c r="AD40" s="210"/>
      <c r="AE40" s="207"/>
      <c r="AF40" s="211"/>
      <c r="AG40" s="120"/>
      <c r="AH40" s="120"/>
      <c r="AI40" s="120"/>
    </row>
    <row r="41" spans="2:35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203"/>
      <c r="R41" s="205"/>
      <c r="S41" s="205"/>
      <c r="T41" s="205"/>
      <c r="U41" s="206"/>
      <c r="V41" s="207"/>
      <c r="W41" s="208"/>
      <c r="X41" s="203"/>
      <c r="Y41" s="205"/>
      <c r="Z41" s="205"/>
      <c r="AA41" s="205"/>
      <c r="AB41" s="206"/>
      <c r="AC41" s="209"/>
      <c r="AD41" s="210"/>
      <c r="AE41" s="207"/>
      <c r="AF41" s="211"/>
      <c r="AG41" s="120"/>
      <c r="AH41" s="120"/>
      <c r="AI41" s="120"/>
    </row>
    <row r="42" spans="2:35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203"/>
      <c r="R42" s="205"/>
      <c r="S42" s="205"/>
      <c r="T42" s="205"/>
      <c r="U42" s="206"/>
      <c r="V42" s="207"/>
      <c r="W42" s="208"/>
      <c r="X42" s="203"/>
      <c r="Y42" s="205"/>
      <c r="Z42" s="205"/>
      <c r="AA42" s="205"/>
      <c r="AB42" s="206"/>
      <c r="AC42" s="209"/>
      <c r="AD42" s="210"/>
      <c r="AE42" s="207"/>
      <c r="AF42" s="211"/>
      <c r="AG42" s="120"/>
      <c r="AH42" s="120"/>
      <c r="AI42" s="120"/>
    </row>
    <row r="43" spans="2:35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203"/>
      <c r="R43" s="205"/>
      <c r="S43" s="205"/>
      <c r="T43" s="205"/>
      <c r="U43" s="206"/>
      <c r="V43" s="207"/>
      <c r="W43" s="208"/>
      <c r="X43" s="203"/>
      <c r="Y43" s="205"/>
      <c r="Z43" s="205"/>
      <c r="AA43" s="205"/>
      <c r="AB43" s="206"/>
      <c r="AC43" s="209"/>
      <c r="AD43" s="210"/>
      <c r="AE43" s="207"/>
      <c r="AF43" s="211"/>
      <c r="AG43" s="120"/>
      <c r="AH43" s="120"/>
      <c r="AI43" s="120"/>
    </row>
    <row r="44" spans="2:35" ht="17.25" thickBot="1" x14ac:dyDescent="0.35">
      <c r="B44" s="10"/>
      <c r="C44" s="7"/>
      <c r="D44" s="7"/>
      <c r="E44" s="8"/>
      <c r="F44" s="9"/>
      <c r="G44" s="3"/>
      <c r="H44" s="492"/>
      <c r="I44" s="495"/>
      <c r="J44" s="495"/>
      <c r="K44" s="484"/>
      <c r="L44" s="105"/>
      <c r="M44" s="300"/>
      <c r="N44" s="441" t="str">
        <f t="shared" si="0"/>
        <v/>
      </c>
      <c r="O44" s="496"/>
      <c r="Q44" s="203"/>
      <c r="R44" s="205"/>
      <c r="S44" s="205"/>
      <c r="T44" s="205"/>
      <c r="U44" s="206"/>
      <c r="V44" s="207"/>
      <c r="W44" s="208"/>
      <c r="X44" s="203"/>
      <c r="Y44" s="205"/>
      <c r="Z44" s="205"/>
      <c r="AA44" s="205"/>
      <c r="AB44" s="206"/>
      <c r="AC44" s="209"/>
      <c r="AD44" s="210"/>
      <c r="AE44" s="207"/>
      <c r="AF44" s="211"/>
      <c r="AG44" s="120"/>
      <c r="AH44" s="120"/>
      <c r="AI44" s="120"/>
    </row>
    <row r="45" spans="2:35" x14ac:dyDescent="0.3">
      <c r="B45" s="10"/>
      <c r="C45" s="7"/>
      <c r="D45" s="7"/>
      <c r="E45" s="8"/>
      <c r="F45" s="9"/>
      <c r="G45" s="3"/>
      <c r="H45" s="497"/>
      <c r="I45" s="498"/>
      <c r="J45" s="498"/>
      <c r="K45" s="11"/>
      <c r="L45" s="499"/>
      <c r="M45" s="55"/>
      <c r="N45" s="500" t="str">
        <f>IF(M45="","",N33-M45)</f>
        <v/>
      </c>
      <c r="O45" s="479"/>
      <c r="Q45" s="203"/>
      <c r="R45" s="205"/>
      <c r="S45" s="205"/>
      <c r="T45" s="205"/>
      <c r="U45" s="206"/>
      <c r="V45" s="207"/>
      <c r="W45" s="208"/>
      <c r="X45" s="203"/>
      <c r="Y45" s="205"/>
      <c r="Z45" s="205"/>
      <c r="AA45" s="205"/>
      <c r="AB45" s="206"/>
      <c r="AC45" s="209"/>
      <c r="AD45" s="210"/>
      <c r="AE45" s="207"/>
      <c r="AF45" s="211"/>
      <c r="AG45" s="120"/>
      <c r="AH45" s="120"/>
      <c r="AI45" s="120"/>
    </row>
    <row r="46" spans="2:35" x14ac:dyDescent="0.3">
      <c r="B46" s="10"/>
      <c r="C46" s="7"/>
      <c r="D46" s="7"/>
      <c r="E46" s="8"/>
      <c r="F46" s="9"/>
      <c r="G46" s="3"/>
      <c r="H46" s="6"/>
      <c r="I46" s="11"/>
      <c r="J46" s="11"/>
      <c r="K46" s="7"/>
      <c r="L46" s="12"/>
      <c r="M46" s="45"/>
      <c r="N46" s="328" t="str">
        <f t="shared" si="0"/>
        <v/>
      </c>
      <c r="O46" s="481"/>
      <c r="Q46" s="203"/>
      <c r="R46" s="205"/>
      <c r="S46" s="205"/>
      <c r="T46" s="205"/>
      <c r="U46" s="206"/>
      <c r="V46" s="207"/>
      <c r="W46" s="208"/>
      <c r="X46" s="203"/>
      <c r="Y46" s="205"/>
      <c r="Z46" s="205"/>
      <c r="AA46" s="205"/>
      <c r="AB46" s="206"/>
      <c r="AC46" s="209"/>
      <c r="AD46" s="210"/>
      <c r="AE46" s="207"/>
      <c r="AF46" s="211"/>
      <c r="AG46" s="120"/>
      <c r="AH46" s="120"/>
      <c r="AI46" s="120"/>
    </row>
    <row r="47" spans="2:35" x14ac:dyDescent="0.3">
      <c r="B47" s="10"/>
      <c r="C47" s="7"/>
      <c r="D47" s="7"/>
      <c r="E47" s="8"/>
      <c r="F47" s="9"/>
      <c r="G47" s="3"/>
      <c r="H47" s="6"/>
      <c r="I47" s="7"/>
      <c r="J47" s="7"/>
      <c r="K47" s="7"/>
      <c r="L47" s="8"/>
      <c r="M47" s="45"/>
      <c r="N47" s="328" t="str">
        <f t="shared" si="0"/>
        <v/>
      </c>
      <c r="O47" s="481"/>
      <c r="Q47" s="203"/>
      <c r="R47" s="205"/>
      <c r="S47" s="205"/>
      <c r="T47" s="205"/>
      <c r="U47" s="206"/>
      <c r="V47" s="207"/>
      <c r="W47" s="208"/>
      <c r="X47" s="203"/>
      <c r="Y47" s="205"/>
      <c r="Z47" s="205"/>
      <c r="AA47" s="205"/>
      <c r="AB47" s="206"/>
      <c r="AC47" s="209"/>
      <c r="AD47" s="210"/>
      <c r="AE47" s="207"/>
      <c r="AF47" s="211"/>
      <c r="AG47" s="120"/>
      <c r="AH47" s="120"/>
      <c r="AI47" s="120"/>
    </row>
    <row r="48" spans="2:35" x14ac:dyDescent="0.3">
      <c r="B48" s="6"/>
      <c r="C48" s="7"/>
      <c r="D48" s="7"/>
      <c r="E48" s="8"/>
      <c r="F48" s="9"/>
      <c r="G48" s="3"/>
      <c r="H48" s="6"/>
      <c r="I48" s="7"/>
      <c r="J48" s="7"/>
      <c r="K48" s="7"/>
      <c r="L48" s="8"/>
      <c r="M48" s="45"/>
      <c r="N48" s="328" t="str">
        <f t="shared" si="0"/>
        <v/>
      </c>
      <c r="O48" s="481"/>
      <c r="Q48" s="203"/>
      <c r="R48" s="205"/>
      <c r="S48" s="205"/>
      <c r="T48" s="205"/>
      <c r="U48" s="206"/>
      <c r="V48" s="207"/>
      <c r="W48" s="208"/>
      <c r="X48" s="203"/>
      <c r="Y48" s="205"/>
      <c r="Z48" s="205"/>
      <c r="AA48" s="205"/>
      <c r="AB48" s="206"/>
      <c r="AC48" s="209"/>
      <c r="AD48" s="210"/>
      <c r="AE48" s="207"/>
      <c r="AF48" s="211"/>
      <c r="AG48" s="120"/>
      <c r="AH48" s="120"/>
      <c r="AI48" s="120"/>
    </row>
    <row r="49" spans="2:35" x14ac:dyDescent="0.3">
      <c r="B49" s="6"/>
      <c r="C49" s="7"/>
      <c r="D49" s="7"/>
      <c r="E49" s="8"/>
      <c r="F49" s="9"/>
      <c r="G49" s="3"/>
      <c r="H49" s="6"/>
      <c r="I49" s="7"/>
      <c r="J49" s="7"/>
      <c r="K49" s="7"/>
      <c r="L49" s="8"/>
      <c r="M49" s="45"/>
      <c r="N49" s="328" t="str">
        <f t="shared" si="0"/>
        <v/>
      </c>
      <c r="O49" s="481"/>
      <c r="Q49" s="203"/>
      <c r="R49" s="205"/>
      <c r="S49" s="205"/>
      <c r="T49" s="205"/>
      <c r="U49" s="206"/>
      <c r="V49" s="207"/>
      <c r="W49" s="208"/>
      <c r="X49" s="203"/>
      <c r="Y49" s="205"/>
      <c r="Z49" s="205"/>
      <c r="AA49" s="205"/>
      <c r="AB49" s="206"/>
      <c r="AC49" s="209"/>
      <c r="AD49" s="210"/>
      <c r="AE49" s="207"/>
      <c r="AF49" s="211"/>
      <c r="AG49" s="120"/>
      <c r="AH49" s="120"/>
      <c r="AI49" s="120"/>
    </row>
    <row r="50" spans="2:35" x14ac:dyDescent="0.3">
      <c r="B50" s="6"/>
      <c r="C50" s="7"/>
      <c r="D50" s="7"/>
      <c r="E50" s="8"/>
      <c r="F50" s="9"/>
      <c r="G50" s="3"/>
      <c r="H50" s="6"/>
      <c r="I50" s="7"/>
      <c r="J50" s="7"/>
      <c r="K50" s="7"/>
      <c r="L50" s="8"/>
      <c r="M50" s="45"/>
      <c r="N50" s="328" t="str">
        <f t="shared" si="0"/>
        <v/>
      </c>
      <c r="O50" s="481"/>
      <c r="Q50" s="203"/>
      <c r="R50" s="205"/>
      <c r="S50" s="205"/>
      <c r="T50" s="205"/>
      <c r="U50" s="206"/>
      <c r="V50" s="207"/>
      <c r="W50" s="208"/>
      <c r="X50" s="203"/>
      <c r="Y50" s="205"/>
      <c r="Z50" s="205"/>
      <c r="AA50" s="205"/>
      <c r="AB50" s="206"/>
      <c r="AC50" s="209"/>
      <c r="AD50" s="210"/>
      <c r="AE50" s="207"/>
      <c r="AF50" s="211"/>
      <c r="AG50" s="120"/>
      <c r="AH50" s="120"/>
      <c r="AI50" s="120"/>
    </row>
    <row r="51" spans="2:35" x14ac:dyDescent="0.3">
      <c r="B51" s="6"/>
      <c r="C51" s="7"/>
      <c r="D51" s="7"/>
      <c r="E51" s="8"/>
      <c r="F51" s="9"/>
      <c r="G51" s="3"/>
      <c r="H51" s="6"/>
      <c r="I51" s="7"/>
      <c r="J51" s="7"/>
      <c r="K51" s="7"/>
      <c r="L51" s="8"/>
      <c r="M51" s="45"/>
      <c r="N51" s="328" t="str">
        <f t="shared" si="0"/>
        <v/>
      </c>
      <c r="O51" s="481"/>
      <c r="Q51" s="203"/>
      <c r="R51" s="205"/>
      <c r="S51" s="205"/>
      <c r="T51" s="205"/>
      <c r="U51" s="206"/>
      <c r="V51" s="207"/>
      <c r="W51" s="208"/>
      <c r="X51" s="203"/>
      <c r="Y51" s="205"/>
      <c r="Z51" s="205"/>
      <c r="AA51" s="205"/>
      <c r="AB51" s="206"/>
      <c r="AC51" s="209"/>
      <c r="AD51" s="210"/>
      <c r="AE51" s="207"/>
      <c r="AF51" s="211"/>
      <c r="AG51" s="120"/>
      <c r="AH51" s="120"/>
      <c r="AI51" s="120"/>
    </row>
    <row r="52" spans="2:35" x14ac:dyDescent="0.3">
      <c r="B52" s="6"/>
      <c r="C52" s="7"/>
      <c r="D52" s="7"/>
      <c r="E52" s="8"/>
      <c r="F52" s="9"/>
      <c r="G52" s="3"/>
      <c r="H52" s="6"/>
      <c r="I52" s="7"/>
      <c r="J52" s="7"/>
      <c r="K52" s="7"/>
      <c r="L52" s="8"/>
      <c r="M52" s="45"/>
      <c r="N52" s="328" t="str">
        <f t="shared" si="0"/>
        <v/>
      </c>
      <c r="O52" s="481"/>
      <c r="Q52" s="203"/>
      <c r="R52" s="205"/>
      <c r="S52" s="205"/>
      <c r="T52" s="205"/>
      <c r="U52" s="206"/>
      <c r="V52" s="207"/>
      <c r="W52" s="208"/>
      <c r="X52" s="203"/>
      <c r="Y52" s="205"/>
      <c r="Z52" s="205"/>
      <c r="AA52" s="205"/>
      <c r="AB52" s="206"/>
      <c r="AC52" s="209"/>
      <c r="AD52" s="210"/>
      <c r="AE52" s="207"/>
      <c r="AF52" s="211"/>
      <c r="AG52" s="120"/>
      <c r="AH52" s="120"/>
      <c r="AI52" s="120"/>
    </row>
    <row r="53" spans="2:35" x14ac:dyDescent="0.3">
      <c r="B53" s="6"/>
      <c r="C53" s="7"/>
      <c r="D53" s="7"/>
      <c r="E53" s="8"/>
      <c r="F53" s="9"/>
      <c r="G53" s="3"/>
      <c r="H53" s="6"/>
      <c r="I53" s="7"/>
      <c r="J53" s="7"/>
      <c r="K53" s="7"/>
      <c r="L53" s="8"/>
      <c r="M53" s="45"/>
      <c r="N53" s="328" t="str">
        <f t="shared" si="0"/>
        <v/>
      </c>
      <c r="O53" s="481"/>
      <c r="Q53" s="203"/>
      <c r="R53" s="205"/>
      <c r="S53" s="205"/>
      <c r="T53" s="205"/>
      <c r="U53" s="206"/>
      <c r="V53" s="207"/>
      <c r="W53" s="208"/>
      <c r="X53" s="203"/>
      <c r="Y53" s="205"/>
      <c r="Z53" s="205"/>
      <c r="AA53" s="205"/>
      <c r="AB53" s="206"/>
      <c r="AC53" s="209"/>
      <c r="AD53" s="210"/>
      <c r="AE53" s="207"/>
      <c r="AF53" s="211"/>
      <c r="AG53" s="120"/>
      <c r="AH53" s="120"/>
      <c r="AI53" s="120"/>
    </row>
    <row r="54" spans="2:35" x14ac:dyDescent="0.3">
      <c r="B54" s="6"/>
      <c r="C54" s="7"/>
      <c r="D54" s="7"/>
      <c r="E54" s="8"/>
      <c r="F54" s="9"/>
      <c r="G54" s="3"/>
      <c r="H54" s="6"/>
      <c r="I54" s="7"/>
      <c r="J54" s="7"/>
      <c r="K54" s="7"/>
      <c r="L54" s="8"/>
      <c r="M54" s="45"/>
      <c r="N54" s="328" t="str">
        <f t="shared" si="0"/>
        <v/>
      </c>
      <c r="O54" s="481"/>
      <c r="Q54" s="203"/>
      <c r="R54" s="205"/>
      <c r="S54" s="205"/>
      <c r="T54" s="205"/>
      <c r="U54" s="206"/>
      <c r="V54" s="207"/>
      <c r="W54" s="208"/>
      <c r="X54" s="203"/>
      <c r="Y54" s="205"/>
      <c r="Z54" s="205"/>
      <c r="AA54" s="205"/>
      <c r="AB54" s="206"/>
      <c r="AC54" s="209"/>
      <c r="AD54" s="210"/>
      <c r="AE54" s="207"/>
      <c r="AF54" s="211"/>
      <c r="AG54" s="120"/>
      <c r="AH54" s="120"/>
      <c r="AI54" s="120"/>
    </row>
    <row r="55" spans="2:35" x14ac:dyDescent="0.3">
      <c r="B55" s="6"/>
      <c r="C55" s="7"/>
      <c r="D55" s="7"/>
      <c r="E55" s="8"/>
      <c r="F55" s="9"/>
      <c r="G55" s="3"/>
      <c r="H55" s="6"/>
      <c r="I55" s="7"/>
      <c r="J55" s="7"/>
      <c r="K55" s="7"/>
      <c r="L55" s="8"/>
      <c r="M55" s="45"/>
      <c r="N55" s="328" t="str">
        <f t="shared" si="0"/>
        <v/>
      </c>
      <c r="O55" s="481"/>
      <c r="Q55" s="203"/>
      <c r="R55" s="205"/>
      <c r="S55" s="205"/>
      <c r="T55" s="205"/>
      <c r="U55" s="206"/>
      <c r="V55" s="207"/>
      <c r="W55" s="208"/>
      <c r="X55" s="203"/>
      <c r="Y55" s="205"/>
      <c r="Z55" s="205"/>
      <c r="AA55" s="205"/>
      <c r="AB55" s="206"/>
      <c r="AC55" s="209"/>
      <c r="AD55" s="210"/>
      <c r="AE55" s="207"/>
      <c r="AF55" s="211"/>
      <c r="AG55" s="120"/>
      <c r="AH55" s="120"/>
      <c r="AI55" s="120"/>
    </row>
    <row r="56" spans="2:35" x14ac:dyDescent="0.3">
      <c r="B56" s="6"/>
      <c r="C56" s="7"/>
      <c r="D56" s="7"/>
      <c r="E56" s="8"/>
      <c r="F56" s="9"/>
      <c r="G56" s="3"/>
      <c r="H56" s="6"/>
      <c r="I56" s="7"/>
      <c r="J56" s="7"/>
      <c r="K56" s="7"/>
      <c r="L56" s="8"/>
      <c r="M56" s="45"/>
      <c r="N56" s="328" t="str">
        <f t="shared" si="0"/>
        <v/>
      </c>
      <c r="O56" s="481"/>
      <c r="Q56" s="203"/>
      <c r="R56" s="205"/>
      <c r="S56" s="205"/>
      <c r="T56" s="205"/>
      <c r="U56" s="206"/>
      <c r="V56" s="207"/>
      <c r="W56" s="208"/>
      <c r="X56" s="203"/>
      <c r="Y56" s="205"/>
      <c r="Z56" s="205"/>
      <c r="AA56" s="205"/>
      <c r="AB56" s="206"/>
      <c r="AC56" s="209"/>
      <c r="AD56" s="210"/>
      <c r="AE56" s="207"/>
      <c r="AF56" s="211"/>
      <c r="AG56" s="120"/>
      <c r="AH56" s="120"/>
      <c r="AI56" s="120"/>
    </row>
    <row r="57" spans="2:35" x14ac:dyDescent="0.3">
      <c r="B57" s="6"/>
      <c r="C57" s="7"/>
      <c r="D57" s="7"/>
      <c r="E57" s="8"/>
      <c r="F57" s="9"/>
      <c r="G57" s="3"/>
      <c r="H57" s="6"/>
      <c r="I57" s="7"/>
      <c r="J57" s="7"/>
      <c r="K57" s="7"/>
      <c r="L57" s="8"/>
      <c r="M57" s="45"/>
      <c r="N57" s="328" t="str">
        <f t="shared" si="0"/>
        <v/>
      </c>
      <c r="O57" s="481"/>
      <c r="Q57" s="203"/>
      <c r="R57" s="205"/>
      <c r="S57" s="205"/>
      <c r="T57" s="205"/>
      <c r="U57" s="206"/>
      <c r="V57" s="207"/>
      <c r="W57" s="208"/>
      <c r="X57" s="203"/>
      <c r="Y57" s="205"/>
      <c r="Z57" s="205"/>
      <c r="AA57" s="205"/>
      <c r="AB57" s="206"/>
      <c r="AC57" s="209"/>
      <c r="AD57" s="210"/>
      <c r="AE57" s="207"/>
      <c r="AF57" s="211"/>
      <c r="AG57" s="120"/>
      <c r="AH57" s="120"/>
      <c r="AI57" s="120"/>
    </row>
    <row r="58" spans="2:35" x14ac:dyDescent="0.3">
      <c r="B58" s="6"/>
      <c r="C58" s="7"/>
      <c r="D58" s="7"/>
      <c r="E58" s="8"/>
      <c r="F58" s="9"/>
      <c r="G58" s="3"/>
      <c r="H58" s="6"/>
      <c r="I58" s="7"/>
      <c r="J58" s="7"/>
      <c r="K58" s="7"/>
      <c r="L58" s="8"/>
      <c r="M58" s="45"/>
      <c r="N58" s="328" t="str">
        <f t="shared" si="0"/>
        <v/>
      </c>
      <c r="O58" s="481"/>
      <c r="Q58" s="203"/>
      <c r="R58" s="205"/>
      <c r="S58" s="205"/>
      <c r="T58" s="205"/>
      <c r="U58" s="206"/>
      <c r="V58" s="207"/>
      <c r="W58" s="208"/>
      <c r="X58" s="203"/>
      <c r="Y58" s="205"/>
      <c r="Z58" s="205"/>
      <c r="AA58" s="205"/>
      <c r="AB58" s="206"/>
      <c r="AC58" s="209"/>
      <c r="AD58" s="210"/>
      <c r="AE58" s="207"/>
      <c r="AF58" s="211"/>
      <c r="AG58" s="120"/>
      <c r="AH58" s="120"/>
      <c r="AI58" s="120"/>
    </row>
    <row r="59" spans="2:35" x14ac:dyDescent="0.3">
      <c r="B59" s="6"/>
      <c r="C59" s="7"/>
      <c r="D59" s="7"/>
      <c r="E59" s="8"/>
      <c r="F59" s="9"/>
      <c r="G59" s="3"/>
      <c r="H59" s="6"/>
      <c r="I59" s="7"/>
      <c r="J59" s="7"/>
      <c r="K59" s="7"/>
      <c r="L59" s="8"/>
      <c r="M59" s="45"/>
      <c r="N59" s="328" t="str">
        <f t="shared" si="0"/>
        <v/>
      </c>
      <c r="O59" s="481"/>
      <c r="Q59" s="203"/>
      <c r="R59" s="205"/>
      <c r="S59" s="205"/>
      <c r="T59" s="205"/>
      <c r="U59" s="206"/>
      <c r="V59" s="207"/>
      <c r="W59" s="208"/>
      <c r="X59" s="203"/>
      <c r="Y59" s="205"/>
      <c r="Z59" s="205"/>
      <c r="AA59" s="205"/>
      <c r="AB59" s="206"/>
      <c r="AC59" s="209"/>
      <c r="AD59" s="210"/>
      <c r="AE59" s="207"/>
      <c r="AF59" s="211"/>
      <c r="AG59" s="120"/>
      <c r="AH59" s="120"/>
      <c r="AI59" s="120"/>
    </row>
    <row r="60" spans="2:35" x14ac:dyDescent="0.3">
      <c r="B60" s="6"/>
      <c r="C60" s="7"/>
      <c r="D60" s="7"/>
      <c r="E60" s="8"/>
      <c r="F60" s="9"/>
      <c r="G60" s="3"/>
      <c r="H60" s="6"/>
      <c r="I60" s="7"/>
      <c r="J60" s="7"/>
      <c r="K60" s="7"/>
      <c r="L60" s="8"/>
      <c r="M60" s="45"/>
      <c r="N60" s="328" t="str">
        <f t="shared" si="0"/>
        <v/>
      </c>
      <c r="O60" s="481"/>
      <c r="Q60" s="203"/>
      <c r="R60" s="205"/>
      <c r="S60" s="205"/>
      <c r="T60" s="205"/>
      <c r="U60" s="206"/>
      <c r="V60" s="207"/>
      <c r="W60" s="208"/>
      <c r="X60" s="203"/>
      <c r="Y60" s="205"/>
      <c r="Z60" s="205"/>
      <c r="AA60" s="205"/>
      <c r="AB60" s="206"/>
      <c r="AC60" s="209"/>
      <c r="AD60" s="210"/>
      <c r="AE60" s="207"/>
      <c r="AF60" s="211"/>
      <c r="AG60" s="120"/>
      <c r="AH60" s="120"/>
      <c r="AI60" s="120"/>
    </row>
    <row r="61" spans="2:35" x14ac:dyDescent="0.3">
      <c r="B61" s="6"/>
      <c r="C61" s="7"/>
      <c r="D61" s="7"/>
      <c r="E61" s="8"/>
      <c r="F61" s="9"/>
      <c r="G61" s="3"/>
      <c r="H61" s="6"/>
      <c r="I61" s="7"/>
      <c r="J61" s="7"/>
      <c r="K61" s="7"/>
      <c r="L61" s="8"/>
      <c r="M61" s="45"/>
      <c r="N61" s="328" t="str">
        <f t="shared" si="0"/>
        <v/>
      </c>
      <c r="O61" s="481"/>
      <c r="Q61" s="203"/>
      <c r="R61" s="205"/>
      <c r="S61" s="205"/>
      <c r="T61" s="205"/>
      <c r="U61" s="206"/>
      <c r="V61" s="207"/>
      <c r="W61" s="208"/>
      <c r="X61" s="203"/>
      <c r="Y61" s="205"/>
      <c r="Z61" s="205"/>
      <c r="AA61" s="205"/>
      <c r="AB61" s="206"/>
      <c r="AC61" s="209"/>
      <c r="AD61" s="210"/>
      <c r="AE61" s="207"/>
      <c r="AF61" s="211"/>
      <c r="AG61" s="120"/>
      <c r="AH61" s="120"/>
      <c r="AI61" s="120"/>
    </row>
    <row r="62" spans="2:35" x14ac:dyDescent="0.3">
      <c r="B62" s="6"/>
      <c r="C62" s="7"/>
      <c r="D62" s="7"/>
      <c r="E62" s="8"/>
      <c r="F62" s="9"/>
      <c r="G62" s="3"/>
      <c r="H62" s="6"/>
      <c r="I62" s="7"/>
      <c r="J62" s="7"/>
      <c r="K62" s="7"/>
      <c r="L62" s="8"/>
      <c r="M62" s="45"/>
      <c r="N62" s="328" t="str">
        <f t="shared" si="0"/>
        <v/>
      </c>
      <c r="O62" s="481"/>
      <c r="Q62" s="203"/>
      <c r="R62" s="205"/>
      <c r="S62" s="205"/>
      <c r="T62" s="205"/>
      <c r="U62" s="206"/>
      <c r="V62" s="207"/>
      <c r="W62" s="208"/>
      <c r="X62" s="203"/>
      <c r="Y62" s="205"/>
      <c r="Z62" s="205"/>
      <c r="AA62" s="205"/>
      <c r="AB62" s="206"/>
      <c r="AC62" s="209"/>
      <c r="AD62" s="210"/>
      <c r="AE62" s="207"/>
      <c r="AF62" s="211"/>
      <c r="AG62" s="120"/>
      <c r="AH62" s="120"/>
      <c r="AI62" s="120"/>
    </row>
    <row r="63" spans="2:35" x14ac:dyDescent="0.3">
      <c r="B63" s="6"/>
      <c r="C63" s="7"/>
      <c r="D63" s="7"/>
      <c r="E63" s="8"/>
      <c r="F63" s="9"/>
      <c r="G63" s="3"/>
      <c r="H63" s="6"/>
      <c r="I63" s="7"/>
      <c r="J63" s="7"/>
      <c r="K63" s="7"/>
      <c r="L63" s="8"/>
      <c r="M63" s="45"/>
      <c r="N63" s="328" t="str">
        <f t="shared" si="0"/>
        <v/>
      </c>
      <c r="O63" s="481"/>
      <c r="Q63" s="203"/>
      <c r="R63" s="205"/>
      <c r="S63" s="205"/>
      <c r="T63" s="205"/>
      <c r="U63" s="206"/>
      <c r="V63" s="207"/>
      <c r="W63" s="208"/>
      <c r="X63" s="203"/>
      <c r="Y63" s="205"/>
      <c r="Z63" s="205"/>
      <c r="AA63" s="205"/>
      <c r="AB63" s="206"/>
      <c r="AC63" s="209"/>
      <c r="AD63" s="210"/>
      <c r="AE63" s="207"/>
      <c r="AF63" s="211"/>
      <c r="AG63" s="120"/>
      <c r="AH63" s="120"/>
      <c r="AI63" s="120"/>
    </row>
    <row r="64" spans="2:35" x14ac:dyDescent="0.3">
      <c r="B64" s="6"/>
      <c r="C64" s="7"/>
      <c r="D64" s="7"/>
      <c r="E64" s="8"/>
      <c r="F64" s="9"/>
      <c r="G64" s="3"/>
      <c r="H64" s="6"/>
      <c r="I64" s="7"/>
      <c r="J64" s="7"/>
      <c r="K64" s="7"/>
      <c r="L64" s="8"/>
      <c r="M64" s="45"/>
      <c r="N64" s="328" t="str">
        <f t="shared" si="0"/>
        <v/>
      </c>
      <c r="O64" s="481"/>
      <c r="Q64" s="203"/>
      <c r="R64" s="205"/>
      <c r="S64" s="205"/>
      <c r="T64" s="205"/>
      <c r="U64" s="206"/>
      <c r="V64" s="207"/>
      <c r="W64" s="208"/>
      <c r="X64" s="203"/>
      <c r="Y64" s="205"/>
      <c r="Z64" s="205"/>
      <c r="AA64" s="205"/>
      <c r="AB64" s="206"/>
      <c r="AC64" s="209"/>
      <c r="AD64" s="210"/>
      <c r="AE64" s="207"/>
      <c r="AF64" s="211"/>
      <c r="AG64" s="120"/>
      <c r="AH64" s="120"/>
      <c r="AI64" s="120"/>
    </row>
    <row r="65" spans="2:35" x14ac:dyDescent="0.3">
      <c r="B65" s="6"/>
      <c r="C65" s="7"/>
      <c r="D65" s="7"/>
      <c r="E65" s="8"/>
      <c r="F65" s="9"/>
      <c r="G65" s="3"/>
      <c r="H65" s="6"/>
      <c r="I65" s="7"/>
      <c r="J65" s="7"/>
      <c r="K65" s="7"/>
      <c r="L65" s="8"/>
      <c r="M65" s="45"/>
      <c r="N65" s="328" t="str">
        <f t="shared" si="0"/>
        <v/>
      </c>
      <c r="O65" s="481"/>
      <c r="Q65" s="203"/>
      <c r="R65" s="205"/>
      <c r="S65" s="205"/>
      <c r="T65" s="205"/>
      <c r="U65" s="206"/>
      <c r="V65" s="207"/>
      <c r="W65" s="208"/>
      <c r="X65" s="203"/>
      <c r="Y65" s="205"/>
      <c r="Z65" s="205"/>
      <c r="AA65" s="205"/>
      <c r="AB65" s="206"/>
      <c r="AC65" s="209"/>
      <c r="AD65" s="210"/>
      <c r="AE65" s="207"/>
      <c r="AF65" s="211"/>
      <c r="AG65" s="120"/>
      <c r="AH65" s="120"/>
      <c r="AI65" s="120"/>
    </row>
    <row r="66" spans="2:35" x14ac:dyDescent="0.3">
      <c r="B66" s="6"/>
      <c r="C66" s="7"/>
      <c r="D66" s="7"/>
      <c r="E66" s="8"/>
      <c r="F66" s="9"/>
      <c r="G66" s="3"/>
      <c r="H66" s="6"/>
      <c r="I66" s="7"/>
      <c r="J66" s="7"/>
      <c r="K66" s="7"/>
      <c r="L66" s="8"/>
      <c r="M66" s="45"/>
      <c r="N66" s="328" t="str">
        <f t="shared" si="0"/>
        <v/>
      </c>
      <c r="O66" s="481"/>
      <c r="Q66" s="203"/>
      <c r="R66" s="205"/>
      <c r="S66" s="205"/>
      <c r="T66" s="205"/>
      <c r="U66" s="206"/>
      <c r="V66" s="207"/>
      <c r="W66" s="208"/>
      <c r="X66" s="203"/>
      <c r="Y66" s="205"/>
      <c r="Z66" s="205"/>
      <c r="AA66" s="205"/>
      <c r="AB66" s="206"/>
      <c r="AC66" s="209"/>
      <c r="AD66" s="210"/>
      <c r="AE66" s="207"/>
      <c r="AF66" s="211"/>
      <c r="AG66" s="120"/>
      <c r="AH66" s="120"/>
      <c r="AI66" s="120"/>
    </row>
    <row r="67" spans="2:35" x14ac:dyDescent="0.3">
      <c r="B67" s="6"/>
      <c r="C67" s="7"/>
      <c r="D67" s="7"/>
      <c r="E67" s="8"/>
      <c r="F67" s="9"/>
      <c r="G67" s="3"/>
      <c r="H67" s="6"/>
      <c r="I67" s="7"/>
      <c r="J67" s="7"/>
      <c r="K67" s="7"/>
      <c r="L67" s="8"/>
      <c r="M67" s="45"/>
      <c r="N67" s="328" t="str">
        <f t="shared" si="0"/>
        <v/>
      </c>
      <c r="O67" s="481"/>
      <c r="Q67" s="203"/>
      <c r="R67" s="205"/>
      <c r="S67" s="205"/>
      <c r="T67" s="205"/>
      <c r="U67" s="206"/>
      <c r="V67" s="207"/>
      <c r="W67" s="208"/>
      <c r="X67" s="203"/>
      <c r="Y67" s="205"/>
      <c r="Z67" s="205"/>
      <c r="AA67" s="205"/>
      <c r="AB67" s="206"/>
      <c r="AC67" s="209"/>
      <c r="AD67" s="210"/>
      <c r="AE67" s="207"/>
      <c r="AF67" s="211"/>
      <c r="AG67" s="120"/>
      <c r="AH67" s="120"/>
      <c r="AI67" s="120"/>
    </row>
    <row r="68" spans="2:35" x14ac:dyDescent="0.3">
      <c r="B68" s="6"/>
      <c r="C68" s="7"/>
      <c r="D68" s="7"/>
      <c r="E68" s="8"/>
      <c r="F68" s="9"/>
      <c r="G68" s="3"/>
      <c r="H68" s="6"/>
      <c r="I68" s="7"/>
      <c r="J68" s="7"/>
      <c r="K68" s="7"/>
      <c r="L68" s="8"/>
      <c r="M68" s="45"/>
      <c r="N68" s="328" t="str">
        <f t="shared" si="0"/>
        <v/>
      </c>
      <c r="O68" s="481"/>
      <c r="Q68" s="203"/>
      <c r="R68" s="205"/>
      <c r="S68" s="205"/>
      <c r="T68" s="205"/>
      <c r="U68" s="206"/>
      <c r="V68" s="207"/>
      <c r="W68" s="208"/>
      <c r="X68" s="203"/>
      <c r="Y68" s="205"/>
      <c r="Z68" s="205"/>
      <c r="AA68" s="205"/>
      <c r="AB68" s="206"/>
      <c r="AC68" s="209"/>
      <c r="AD68" s="210"/>
      <c r="AE68" s="207"/>
      <c r="AF68" s="211"/>
      <c r="AG68" s="120"/>
      <c r="AH68" s="120"/>
      <c r="AI68" s="120"/>
    </row>
    <row r="69" spans="2:35" x14ac:dyDescent="0.3">
      <c r="B69" s="6"/>
      <c r="C69" s="7"/>
      <c r="D69" s="7"/>
      <c r="E69" s="8"/>
      <c r="F69" s="9"/>
      <c r="G69" s="3"/>
      <c r="H69" s="6"/>
      <c r="I69" s="7"/>
      <c r="J69" s="7"/>
      <c r="K69" s="7"/>
      <c r="L69" s="8"/>
      <c r="M69" s="45"/>
      <c r="N69" s="328" t="str">
        <f t="shared" si="0"/>
        <v/>
      </c>
      <c r="O69" s="481"/>
      <c r="Q69" s="203"/>
      <c r="R69" s="205"/>
      <c r="S69" s="205"/>
      <c r="T69" s="205"/>
      <c r="U69" s="206"/>
      <c r="V69" s="207"/>
      <c r="W69" s="208"/>
      <c r="X69" s="203"/>
      <c r="Y69" s="205"/>
      <c r="Z69" s="205"/>
      <c r="AA69" s="205"/>
      <c r="AB69" s="206"/>
      <c r="AC69" s="209"/>
      <c r="AD69" s="210"/>
      <c r="AE69" s="207"/>
      <c r="AF69" s="211"/>
      <c r="AG69" s="120"/>
      <c r="AH69" s="120"/>
      <c r="AI69" s="120"/>
    </row>
    <row r="70" spans="2:35" x14ac:dyDescent="0.3">
      <c r="B70" s="6"/>
      <c r="C70" s="7"/>
      <c r="D70" s="7"/>
      <c r="E70" s="8"/>
      <c r="F70" s="9"/>
      <c r="G70" s="3"/>
      <c r="H70" s="6"/>
      <c r="I70" s="7"/>
      <c r="J70" s="7"/>
      <c r="K70" s="7"/>
      <c r="L70" s="8"/>
      <c r="M70" s="45"/>
      <c r="N70" s="328" t="str">
        <f t="shared" si="0"/>
        <v/>
      </c>
      <c r="O70" s="481"/>
      <c r="Q70" s="203"/>
      <c r="R70" s="205"/>
      <c r="S70" s="205"/>
      <c r="T70" s="205"/>
      <c r="U70" s="206"/>
      <c r="V70" s="207"/>
      <c r="W70" s="208"/>
      <c r="X70" s="203"/>
      <c r="Y70" s="205"/>
      <c r="Z70" s="205"/>
      <c r="AA70" s="205"/>
      <c r="AB70" s="206"/>
      <c r="AC70" s="209"/>
      <c r="AD70" s="210"/>
      <c r="AE70" s="207"/>
      <c r="AF70" s="211"/>
      <c r="AG70" s="120"/>
      <c r="AH70" s="120"/>
      <c r="AI70" s="120"/>
    </row>
    <row r="71" spans="2:35" x14ac:dyDescent="0.3">
      <c r="B71" s="6"/>
      <c r="C71" s="7"/>
      <c r="D71" s="7"/>
      <c r="E71" s="8"/>
      <c r="F71" s="9"/>
      <c r="G71" s="3"/>
      <c r="H71" s="6"/>
      <c r="I71" s="7"/>
      <c r="J71" s="7"/>
      <c r="K71" s="7"/>
      <c r="L71" s="8"/>
      <c r="M71" s="45"/>
      <c r="N71" s="328" t="str">
        <f t="shared" si="0"/>
        <v/>
      </c>
      <c r="O71" s="481"/>
      <c r="Q71" s="203"/>
      <c r="R71" s="205"/>
      <c r="S71" s="205"/>
      <c r="T71" s="205"/>
      <c r="U71" s="206"/>
      <c r="V71" s="207"/>
      <c r="W71" s="208"/>
      <c r="X71" s="203"/>
      <c r="Y71" s="205"/>
      <c r="Z71" s="205"/>
      <c r="AA71" s="205"/>
      <c r="AB71" s="206"/>
      <c r="AC71" s="209"/>
      <c r="AD71" s="210"/>
      <c r="AE71" s="207"/>
      <c r="AF71" s="211"/>
      <c r="AG71" s="120"/>
      <c r="AH71" s="120"/>
      <c r="AI71" s="120"/>
    </row>
    <row r="72" spans="2:35" x14ac:dyDescent="0.3">
      <c r="B72" s="6"/>
      <c r="C72" s="7"/>
      <c r="D72" s="7"/>
      <c r="E72" s="8"/>
      <c r="F72" s="9"/>
      <c r="G72" s="3"/>
      <c r="H72" s="6"/>
      <c r="I72" s="7"/>
      <c r="J72" s="7"/>
      <c r="K72" s="7"/>
      <c r="L72" s="8"/>
      <c r="M72" s="45"/>
      <c r="N72" s="328" t="str">
        <f t="shared" si="0"/>
        <v/>
      </c>
      <c r="O72" s="481"/>
      <c r="Q72" s="203"/>
      <c r="R72" s="205"/>
      <c r="S72" s="205"/>
      <c r="T72" s="205"/>
      <c r="U72" s="206"/>
      <c r="V72" s="207"/>
      <c r="W72" s="208"/>
      <c r="X72" s="203"/>
      <c r="Y72" s="205"/>
      <c r="Z72" s="205"/>
      <c r="AA72" s="205"/>
      <c r="AB72" s="206"/>
      <c r="AC72" s="209"/>
      <c r="AD72" s="210"/>
      <c r="AE72" s="207"/>
      <c r="AF72" s="211"/>
      <c r="AG72" s="120"/>
      <c r="AH72" s="120"/>
      <c r="AI72" s="120"/>
    </row>
    <row r="73" spans="2:35" x14ac:dyDescent="0.3">
      <c r="B73" s="6"/>
      <c r="C73" s="7"/>
      <c r="D73" s="7"/>
      <c r="E73" s="8"/>
      <c r="F73" s="9"/>
      <c r="G73" s="3"/>
      <c r="H73" s="6"/>
      <c r="I73" s="7"/>
      <c r="J73" s="7"/>
      <c r="K73" s="7"/>
      <c r="L73" s="8"/>
      <c r="M73" s="45"/>
      <c r="N73" s="328" t="str">
        <f t="shared" si="0"/>
        <v/>
      </c>
      <c r="O73" s="481"/>
      <c r="Q73" s="203"/>
      <c r="R73" s="205"/>
      <c r="S73" s="205"/>
      <c r="T73" s="205"/>
      <c r="U73" s="206"/>
      <c r="V73" s="207"/>
      <c r="W73" s="208"/>
      <c r="X73" s="203"/>
      <c r="Y73" s="205"/>
      <c r="Z73" s="205"/>
      <c r="AA73" s="205"/>
      <c r="AB73" s="206"/>
      <c r="AC73" s="209"/>
      <c r="AD73" s="210"/>
      <c r="AE73" s="207"/>
      <c r="AF73" s="211"/>
      <c r="AG73" s="120"/>
      <c r="AH73" s="120"/>
      <c r="AI73" s="120"/>
    </row>
    <row r="74" spans="2:35" x14ac:dyDescent="0.3">
      <c r="B74" s="6"/>
      <c r="C74" s="7"/>
      <c r="D74" s="7"/>
      <c r="E74" s="8"/>
      <c r="F74" s="9"/>
      <c r="G74" s="3"/>
      <c r="H74" s="6"/>
      <c r="I74" s="7"/>
      <c r="J74" s="7"/>
      <c r="K74" s="7"/>
      <c r="L74" s="8"/>
      <c r="M74" s="45"/>
      <c r="N74" s="328" t="str">
        <f t="shared" si="0"/>
        <v/>
      </c>
      <c r="O74" s="481"/>
      <c r="Q74" s="203"/>
      <c r="R74" s="205"/>
      <c r="S74" s="205"/>
      <c r="T74" s="205"/>
      <c r="U74" s="206"/>
      <c r="V74" s="207"/>
      <c r="W74" s="208"/>
      <c r="X74" s="203"/>
      <c r="Y74" s="205"/>
      <c r="Z74" s="205"/>
      <c r="AA74" s="205"/>
      <c r="AB74" s="206"/>
      <c r="AC74" s="209"/>
      <c r="AD74" s="210"/>
      <c r="AE74" s="207"/>
      <c r="AF74" s="211"/>
      <c r="AG74" s="120"/>
      <c r="AH74" s="120"/>
      <c r="AI74" s="120"/>
    </row>
    <row r="75" spans="2:35" x14ac:dyDescent="0.3">
      <c r="B75" s="6"/>
      <c r="C75" s="7"/>
      <c r="D75" s="7"/>
      <c r="E75" s="8"/>
      <c r="F75" s="9"/>
      <c r="G75" s="3"/>
      <c r="H75" s="6"/>
      <c r="I75" s="7"/>
      <c r="J75" s="7"/>
      <c r="K75" s="7"/>
      <c r="L75" s="8"/>
      <c r="M75" s="45"/>
      <c r="N75" s="328" t="str">
        <f t="shared" si="0"/>
        <v/>
      </c>
      <c r="O75" s="481"/>
      <c r="Q75" s="203"/>
      <c r="R75" s="205"/>
      <c r="S75" s="205"/>
      <c r="T75" s="205"/>
      <c r="U75" s="206"/>
      <c r="V75" s="207"/>
      <c r="W75" s="208"/>
      <c r="X75" s="203"/>
      <c r="Y75" s="205"/>
      <c r="Z75" s="205"/>
      <c r="AA75" s="205"/>
      <c r="AB75" s="206"/>
      <c r="AC75" s="209"/>
      <c r="AD75" s="210"/>
      <c r="AE75" s="207"/>
      <c r="AF75" s="211"/>
      <c r="AG75" s="120"/>
      <c r="AH75" s="120"/>
      <c r="AI75" s="120"/>
    </row>
    <row r="76" spans="2:35" x14ac:dyDescent="0.3">
      <c r="B76" s="6"/>
      <c r="C76" s="7"/>
      <c r="D76" s="7"/>
      <c r="E76" s="8"/>
      <c r="F76" s="9"/>
      <c r="G76" s="3"/>
      <c r="H76" s="6"/>
      <c r="I76" s="7"/>
      <c r="J76" s="7"/>
      <c r="K76" s="7"/>
      <c r="L76" s="8"/>
      <c r="M76" s="45"/>
      <c r="N76" s="328" t="str">
        <f t="shared" si="0"/>
        <v/>
      </c>
      <c r="O76" s="481"/>
      <c r="Q76" s="203"/>
      <c r="R76" s="205"/>
      <c r="S76" s="205"/>
      <c r="T76" s="205"/>
      <c r="U76" s="206"/>
      <c r="V76" s="207"/>
      <c r="W76" s="208"/>
      <c r="X76" s="203"/>
      <c r="Y76" s="205"/>
      <c r="Z76" s="205"/>
      <c r="AA76" s="205"/>
      <c r="AB76" s="206"/>
      <c r="AC76" s="209"/>
      <c r="AD76" s="210"/>
      <c r="AE76" s="207"/>
      <c r="AF76" s="211"/>
      <c r="AG76" s="120"/>
      <c r="AH76" s="120"/>
      <c r="AI76" s="120"/>
    </row>
    <row r="77" spans="2:35" x14ac:dyDescent="0.3">
      <c r="B77" s="6"/>
      <c r="C77" s="7"/>
      <c r="D77" s="7"/>
      <c r="E77" s="8"/>
      <c r="F77" s="9"/>
      <c r="G77" s="3"/>
      <c r="H77" s="6"/>
      <c r="I77" s="7"/>
      <c r="J77" s="7"/>
      <c r="K77" s="7"/>
      <c r="L77" s="8"/>
      <c r="M77" s="45"/>
      <c r="N77" s="328" t="str">
        <f t="shared" si="0"/>
        <v/>
      </c>
      <c r="O77" s="481"/>
      <c r="Q77" s="203"/>
      <c r="R77" s="205"/>
      <c r="S77" s="205"/>
      <c r="T77" s="205"/>
      <c r="U77" s="206"/>
      <c r="V77" s="207"/>
      <c r="W77" s="208"/>
      <c r="X77" s="203"/>
      <c r="Y77" s="205"/>
      <c r="Z77" s="205"/>
      <c r="AA77" s="205"/>
      <c r="AB77" s="206"/>
      <c r="AC77" s="209"/>
      <c r="AD77" s="210"/>
      <c r="AE77" s="207"/>
      <c r="AF77" s="211"/>
      <c r="AG77" s="120"/>
      <c r="AH77" s="120"/>
      <c r="AI77" s="120"/>
    </row>
    <row r="78" spans="2:35" x14ac:dyDescent="0.3">
      <c r="B78" s="6"/>
      <c r="C78" s="7"/>
      <c r="D78" s="7"/>
      <c r="E78" s="8"/>
      <c r="F78" s="9"/>
      <c r="G78" s="3"/>
      <c r="H78" s="6"/>
      <c r="I78" s="7"/>
      <c r="J78" s="7"/>
      <c r="K78" s="7"/>
      <c r="L78" s="8"/>
      <c r="M78" s="45"/>
      <c r="N78" s="328" t="str">
        <f t="shared" si="0"/>
        <v/>
      </c>
      <c r="O78" s="481"/>
      <c r="Q78" s="203"/>
      <c r="R78" s="205"/>
      <c r="S78" s="205"/>
      <c r="T78" s="205"/>
      <c r="U78" s="206"/>
      <c r="V78" s="207"/>
      <c r="W78" s="208"/>
      <c r="X78" s="203"/>
      <c r="Y78" s="205"/>
      <c r="Z78" s="205"/>
      <c r="AA78" s="205"/>
      <c r="AB78" s="206"/>
      <c r="AC78" s="209"/>
      <c r="AD78" s="210"/>
      <c r="AE78" s="207"/>
      <c r="AF78" s="211"/>
      <c r="AG78" s="120"/>
      <c r="AH78" s="120"/>
      <c r="AI78" s="120"/>
    </row>
    <row r="79" spans="2:35" x14ac:dyDescent="0.3">
      <c r="B79" s="6"/>
      <c r="C79" s="7"/>
      <c r="D79" s="7"/>
      <c r="E79" s="8"/>
      <c r="F79" s="9"/>
      <c r="G79" s="3"/>
      <c r="H79" s="6"/>
      <c r="I79" s="7"/>
      <c r="J79" s="7"/>
      <c r="K79" s="7"/>
      <c r="L79" s="8"/>
      <c r="M79" s="45"/>
      <c r="N79" s="328" t="str">
        <f t="shared" si="0"/>
        <v/>
      </c>
      <c r="O79" s="481"/>
      <c r="Q79" s="203"/>
      <c r="R79" s="205"/>
      <c r="S79" s="205"/>
      <c r="T79" s="205"/>
      <c r="U79" s="206"/>
      <c r="V79" s="207"/>
      <c r="W79" s="208"/>
      <c r="X79" s="203"/>
      <c r="Y79" s="205"/>
      <c r="Z79" s="205"/>
      <c r="AA79" s="205"/>
      <c r="AB79" s="206"/>
      <c r="AC79" s="209"/>
      <c r="AD79" s="210"/>
      <c r="AE79" s="207"/>
      <c r="AF79" s="211"/>
      <c r="AG79" s="120"/>
      <c r="AH79" s="120"/>
      <c r="AI79" s="120"/>
    </row>
    <row r="80" spans="2:35" x14ac:dyDescent="0.3">
      <c r="B80" s="6"/>
      <c r="C80" s="7"/>
      <c r="D80" s="7"/>
      <c r="E80" s="8"/>
      <c r="F80" s="9"/>
      <c r="G80" s="3"/>
      <c r="H80" s="6"/>
      <c r="I80" s="7"/>
      <c r="J80" s="7"/>
      <c r="K80" s="7"/>
      <c r="L80" s="8"/>
      <c r="M80" s="45"/>
      <c r="N80" s="328" t="str">
        <f t="shared" si="0"/>
        <v/>
      </c>
      <c r="O80" s="481"/>
      <c r="Q80" s="203"/>
      <c r="R80" s="205"/>
      <c r="S80" s="205"/>
      <c r="T80" s="205"/>
      <c r="U80" s="206"/>
      <c r="V80" s="207"/>
      <c r="W80" s="208"/>
      <c r="X80" s="203"/>
      <c r="Y80" s="205"/>
      <c r="Z80" s="205"/>
      <c r="AA80" s="205"/>
      <c r="AB80" s="206"/>
      <c r="AC80" s="209"/>
      <c r="AD80" s="210"/>
      <c r="AE80" s="207"/>
      <c r="AF80" s="211"/>
      <c r="AG80" s="120"/>
      <c r="AH80" s="120"/>
      <c r="AI80" s="120"/>
    </row>
    <row r="81" spans="1:35" x14ac:dyDescent="0.3">
      <c r="B81" s="6"/>
      <c r="C81" s="7"/>
      <c r="D81" s="7"/>
      <c r="E81" s="8"/>
      <c r="F81" s="9"/>
      <c r="G81" s="3"/>
      <c r="H81" s="6"/>
      <c r="I81" s="7"/>
      <c r="J81" s="7"/>
      <c r="K81" s="7"/>
      <c r="L81" s="8"/>
      <c r="M81" s="45"/>
      <c r="N81" s="328" t="str">
        <f t="shared" si="0"/>
        <v/>
      </c>
      <c r="O81" s="481"/>
      <c r="Q81" s="203"/>
      <c r="R81" s="205"/>
      <c r="S81" s="205"/>
      <c r="T81" s="205"/>
      <c r="U81" s="206"/>
      <c r="V81" s="207"/>
      <c r="W81" s="208"/>
      <c r="X81" s="203"/>
      <c r="Y81" s="205"/>
      <c r="Z81" s="205"/>
      <c r="AA81" s="205"/>
      <c r="AB81" s="206"/>
      <c r="AC81" s="209"/>
      <c r="AD81" s="210"/>
      <c r="AE81" s="207"/>
      <c r="AF81" s="211"/>
      <c r="AG81" s="120"/>
      <c r="AH81" s="120"/>
      <c r="AI81" s="120"/>
    </row>
    <row r="82" spans="1:35" x14ac:dyDescent="0.3">
      <c r="B82" s="6"/>
      <c r="C82" s="7"/>
      <c r="D82" s="7"/>
      <c r="E82" s="8"/>
      <c r="F82" s="9"/>
      <c r="G82" s="3"/>
      <c r="H82" s="6"/>
      <c r="I82" s="7"/>
      <c r="J82" s="7"/>
      <c r="K82" s="7"/>
      <c r="L82" s="8"/>
      <c r="M82" s="45"/>
      <c r="N82" s="328" t="str">
        <f t="shared" si="0"/>
        <v/>
      </c>
      <c r="O82" s="481"/>
      <c r="Q82" s="203"/>
      <c r="R82" s="205"/>
      <c r="S82" s="205"/>
      <c r="T82" s="205"/>
      <c r="U82" s="206"/>
      <c r="V82" s="207"/>
      <c r="W82" s="208"/>
      <c r="X82" s="203"/>
      <c r="Y82" s="205"/>
      <c r="Z82" s="205"/>
      <c r="AA82" s="205"/>
      <c r="AB82" s="206"/>
      <c r="AC82" s="209"/>
      <c r="AD82" s="210"/>
      <c r="AE82" s="207"/>
      <c r="AF82" s="211"/>
      <c r="AG82" s="120"/>
      <c r="AH82" s="120"/>
      <c r="AI82" s="120"/>
    </row>
    <row r="83" spans="1:35" x14ac:dyDescent="0.3">
      <c r="B83" s="6"/>
      <c r="C83" s="7"/>
      <c r="D83" s="7"/>
      <c r="E83" s="8"/>
      <c r="F83" s="9"/>
      <c r="G83" s="3"/>
      <c r="H83" s="6"/>
      <c r="I83" s="7"/>
      <c r="J83" s="7"/>
      <c r="K83" s="7"/>
      <c r="L83" s="8"/>
      <c r="M83" s="45"/>
      <c r="N83" s="328" t="str">
        <f t="shared" si="0"/>
        <v/>
      </c>
      <c r="O83" s="481"/>
      <c r="Q83" s="203"/>
      <c r="R83" s="205"/>
      <c r="S83" s="205"/>
      <c r="T83" s="205"/>
      <c r="U83" s="206"/>
      <c r="V83" s="207"/>
      <c r="W83" s="208"/>
      <c r="X83" s="203"/>
      <c r="Y83" s="205"/>
      <c r="Z83" s="205"/>
      <c r="AA83" s="205"/>
      <c r="AB83" s="206"/>
      <c r="AC83" s="209"/>
      <c r="AD83" s="210"/>
      <c r="AE83" s="207"/>
      <c r="AF83" s="211"/>
      <c r="AG83" s="120"/>
      <c r="AH83" s="120"/>
      <c r="AI83" s="120"/>
    </row>
    <row r="84" spans="1:35" x14ac:dyDescent="0.3">
      <c r="B84" s="6"/>
      <c r="C84" s="7"/>
      <c r="D84" s="7"/>
      <c r="E84" s="8"/>
      <c r="F84" s="9"/>
      <c r="G84" s="3"/>
      <c r="H84" s="6"/>
      <c r="I84" s="7"/>
      <c r="J84" s="7"/>
      <c r="K84" s="7"/>
      <c r="L84" s="8"/>
      <c r="M84" s="45"/>
      <c r="N84" s="328" t="str">
        <f t="shared" si="0"/>
        <v/>
      </c>
      <c r="O84" s="481"/>
      <c r="Q84" s="203"/>
      <c r="R84" s="205"/>
      <c r="S84" s="205"/>
      <c r="T84" s="205"/>
      <c r="U84" s="206"/>
      <c r="V84" s="207"/>
      <c r="W84" s="208"/>
      <c r="X84" s="203"/>
      <c r="Y84" s="205"/>
      <c r="Z84" s="205"/>
      <c r="AA84" s="205"/>
      <c r="AB84" s="206"/>
      <c r="AC84" s="209"/>
      <c r="AD84" s="210"/>
      <c r="AE84" s="207"/>
      <c r="AF84" s="210"/>
      <c r="AG84" s="120"/>
      <c r="AH84" s="120"/>
      <c r="AI84" s="120"/>
    </row>
    <row r="85" spans="1:35" x14ac:dyDescent="0.3">
      <c r="B85" s="6"/>
      <c r="C85" s="7"/>
      <c r="D85" s="7"/>
      <c r="E85" s="8"/>
      <c r="F85" s="9"/>
      <c r="G85" s="3"/>
      <c r="H85" s="6"/>
      <c r="I85" s="7"/>
      <c r="J85" s="7"/>
      <c r="K85" s="7"/>
      <c r="L85" s="8"/>
      <c r="M85" s="45"/>
      <c r="N85" s="328" t="str">
        <f t="shared" si="0"/>
        <v/>
      </c>
      <c r="O85" s="481"/>
      <c r="Q85" s="203"/>
      <c r="R85" s="205"/>
      <c r="S85" s="205"/>
      <c r="T85" s="205"/>
      <c r="U85" s="206"/>
      <c r="V85" s="207"/>
      <c r="W85" s="208"/>
      <c r="X85" s="203"/>
      <c r="Y85" s="205"/>
      <c r="Z85" s="205"/>
      <c r="AA85" s="205"/>
      <c r="AB85" s="206"/>
      <c r="AC85" s="209"/>
      <c r="AD85" s="210"/>
      <c r="AE85" s="207"/>
      <c r="AF85" s="210"/>
      <c r="AG85" s="120"/>
      <c r="AH85" s="120"/>
      <c r="AI85" s="120"/>
    </row>
    <row r="86" spans="1:35" x14ac:dyDescent="0.3">
      <c r="B86" s="6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0"/>
        <v/>
      </c>
      <c r="O86" s="481"/>
      <c r="Q86" s="203"/>
      <c r="R86" s="205"/>
      <c r="S86" s="205"/>
      <c r="T86" s="205"/>
      <c r="U86" s="206"/>
      <c r="V86" s="207"/>
      <c r="W86" s="208"/>
      <c r="X86" s="203"/>
      <c r="Y86" s="205"/>
      <c r="Z86" s="205"/>
      <c r="AA86" s="205"/>
      <c r="AB86" s="206"/>
      <c r="AC86" s="209"/>
      <c r="AD86" s="210"/>
      <c r="AE86" s="207"/>
      <c r="AF86" s="210"/>
      <c r="AG86" s="120"/>
      <c r="AH86" s="120"/>
      <c r="AI86" s="120"/>
    </row>
    <row r="87" spans="1:35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Q87" s="203"/>
      <c r="R87" s="205"/>
      <c r="S87" s="205"/>
      <c r="T87" s="205"/>
      <c r="U87" s="206"/>
      <c r="V87" s="207"/>
      <c r="W87" s="208"/>
      <c r="X87" s="203"/>
      <c r="Y87" s="205"/>
      <c r="Z87" s="205"/>
      <c r="AA87" s="205"/>
      <c r="AB87" s="206"/>
      <c r="AC87" s="209"/>
      <c r="AD87" s="210"/>
      <c r="AE87" s="207"/>
      <c r="AF87" s="210"/>
      <c r="AG87" s="120"/>
      <c r="AH87" s="120"/>
      <c r="AI87" s="120"/>
    </row>
    <row r="88" spans="1:35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203"/>
      <c r="R88" s="205"/>
      <c r="S88" s="205"/>
      <c r="T88" s="205"/>
      <c r="U88" s="206"/>
      <c r="V88" s="207"/>
      <c r="W88" s="208"/>
      <c r="X88" s="203"/>
      <c r="Y88" s="205"/>
      <c r="Z88" s="205"/>
      <c r="AA88" s="205"/>
      <c r="AB88" s="206"/>
      <c r="AC88" s="209"/>
      <c r="AD88" s="210"/>
      <c r="AE88" s="207"/>
      <c r="AF88" s="210"/>
      <c r="AG88" s="120"/>
      <c r="AH88" s="120"/>
      <c r="AI88" s="120"/>
    </row>
    <row r="89" spans="1:35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203"/>
      <c r="R89" s="205"/>
      <c r="S89" s="205"/>
      <c r="T89" s="205"/>
      <c r="U89" s="206"/>
      <c r="V89" s="207"/>
      <c r="W89" s="208"/>
      <c r="X89" s="203"/>
      <c r="Y89" s="205"/>
      <c r="Z89" s="205"/>
      <c r="AA89" s="205"/>
      <c r="AB89" s="206"/>
      <c r="AC89" s="209"/>
      <c r="AD89" s="210"/>
      <c r="AE89" s="207"/>
      <c r="AF89" s="210"/>
      <c r="AG89" s="120"/>
      <c r="AH89" s="120"/>
      <c r="AI89" s="120"/>
    </row>
    <row r="90" spans="1:35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203"/>
      <c r="R90" s="205"/>
      <c r="S90" s="205"/>
      <c r="T90" s="205"/>
      <c r="U90" s="206"/>
      <c r="V90" s="207"/>
      <c r="W90" s="208"/>
      <c r="X90" s="203"/>
      <c r="Y90" s="205"/>
      <c r="Z90" s="205"/>
      <c r="AA90" s="205"/>
      <c r="AB90" s="206"/>
      <c r="AC90" s="209"/>
      <c r="AD90" s="210"/>
      <c r="AE90" s="207"/>
      <c r="AF90" s="210"/>
      <c r="AG90" s="120"/>
      <c r="AH90" s="120"/>
      <c r="AI90" s="120"/>
    </row>
    <row r="91" spans="1:35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203"/>
      <c r="R91" s="205"/>
      <c r="S91" s="205"/>
      <c r="T91" s="205"/>
      <c r="U91" s="206"/>
      <c r="V91" s="207"/>
      <c r="W91" s="208"/>
      <c r="X91" s="203"/>
      <c r="Y91" s="205"/>
      <c r="Z91" s="205"/>
      <c r="AA91" s="205"/>
      <c r="AB91" s="206"/>
      <c r="AC91" s="209"/>
      <c r="AD91" s="210"/>
      <c r="AE91" s="207"/>
      <c r="AF91" s="210"/>
      <c r="AG91" s="120"/>
      <c r="AH91" s="120"/>
      <c r="AI91" s="120"/>
    </row>
    <row r="92" spans="1:35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203"/>
      <c r="R92" s="205"/>
      <c r="S92" s="205"/>
      <c r="T92" s="205"/>
      <c r="U92" s="206"/>
      <c r="V92" s="207"/>
      <c r="W92" s="208"/>
      <c r="X92" s="203"/>
      <c r="Y92" s="205"/>
      <c r="Z92" s="205"/>
      <c r="AA92" s="205"/>
      <c r="AB92" s="206"/>
      <c r="AC92" s="209"/>
      <c r="AD92" s="210"/>
      <c r="AE92" s="207"/>
      <c r="AF92" s="210"/>
      <c r="AG92" s="120"/>
      <c r="AH92" s="120"/>
      <c r="AI92" s="120"/>
    </row>
    <row r="93" spans="1:35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203"/>
      <c r="R93" s="205"/>
      <c r="S93" s="205"/>
      <c r="T93" s="205"/>
      <c r="U93" s="206"/>
      <c r="V93" s="207"/>
      <c r="W93" s="208"/>
      <c r="X93" s="203"/>
      <c r="Y93" s="205"/>
      <c r="Z93" s="205"/>
      <c r="AA93" s="205"/>
      <c r="AB93" s="206"/>
      <c r="AC93" s="209"/>
      <c r="AD93" s="210"/>
      <c r="AE93" s="207"/>
      <c r="AF93" s="210"/>
      <c r="AG93" s="120"/>
      <c r="AH93" s="120"/>
      <c r="AI93" s="120"/>
    </row>
    <row r="94" spans="1:35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203"/>
      <c r="R94" s="205"/>
      <c r="S94" s="205"/>
      <c r="T94" s="205"/>
      <c r="U94" s="206"/>
      <c r="V94" s="207"/>
      <c r="W94" s="208"/>
      <c r="X94" s="203"/>
      <c r="Y94" s="205"/>
      <c r="Z94" s="205"/>
      <c r="AA94" s="205"/>
      <c r="AB94" s="206"/>
      <c r="AC94" s="209"/>
      <c r="AD94" s="210"/>
      <c r="AE94" s="207"/>
      <c r="AF94" s="210"/>
      <c r="AG94" s="120"/>
      <c r="AH94" s="120"/>
      <c r="AI94" s="120"/>
    </row>
    <row r="95" spans="1:35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Q95" s="120"/>
      <c r="R95" s="120"/>
      <c r="S95" s="120"/>
      <c r="T95" s="120"/>
      <c r="U95" s="221"/>
      <c r="V95" s="120"/>
      <c r="W95" s="120"/>
      <c r="X95" s="120"/>
      <c r="Y95" s="120"/>
      <c r="Z95" s="120"/>
      <c r="AA95" s="120"/>
      <c r="AB95" s="221"/>
      <c r="AC95" s="120"/>
      <c r="AD95" s="120"/>
      <c r="AE95" s="120"/>
      <c r="AF95" s="120"/>
      <c r="AG95" s="120"/>
      <c r="AH95" s="120"/>
      <c r="AI95" s="120"/>
    </row>
    <row r="96" spans="1:35" x14ac:dyDescent="0.3">
      <c r="E96" s="2"/>
      <c r="L96" s="2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</row>
    <row r="97" spans="5:35" x14ac:dyDescent="0.3">
      <c r="E97" s="2"/>
      <c r="L97" s="2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</row>
    <row r="98" spans="5:35" x14ac:dyDescent="0.3">
      <c r="E98" s="2"/>
      <c r="L98" s="2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</row>
    <row r="99" spans="5:35" x14ac:dyDescent="0.3">
      <c r="E99" s="2"/>
      <c r="L99" s="2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</row>
    <row r="100" spans="5:35" x14ac:dyDescent="0.3">
      <c r="E100" s="2"/>
      <c r="L100" s="2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</row>
    <row r="101" spans="5:35" x14ac:dyDescent="0.3">
      <c r="E101" s="2"/>
      <c r="L101" s="2"/>
    </row>
    <row r="102" spans="5:35" x14ac:dyDescent="0.3">
      <c r="E102" s="2"/>
      <c r="L102" s="2"/>
    </row>
    <row r="103" spans="5:35" x14ac:dyDescent="0.3">
      <c r="E103" s="2"/>
      <c r="L103" s="2"/>
    </row>
    <row r="104" spans="5:35" x14ac:dyDescent="0.3">
      <c r="E104" s="2"/>
      <c r="L104" s="2"/>
    </row>
    <row r="105" spans="5:35" x14ac:dyDescent="0.3">
      <c r="E105" s="2"/>
      <c r="L105" s="2"/>
    </row>
    <row r="106" spans="5:35" x14ac:dyDescent="0.3">
      <c r="E106" s="2"/>
      <c r="L106" s="2"/>
    </row>
    <row r="107" spans="5:35" x14ac:dyDescent="0.3">
      <c r="E107" s="2"/>
      <c r="L107" s="2"/>
    </row>
    <row r="108" spans="5:35" x14ac:dyDescent="0.3">
      <c r="E108" s="2"/>
      <c r="L108" s="2"/>
    </row>
    <row r="109" spans="5:35" x14ac:dyDescent="0.3">
      <c r="E109" s="2"/>
      <c r="L109" s="2"/>
    </row>
    <row r="110" spans="5:35" x14ac:dyDescent="0.3">
      <c r="E110" s="2"/>
      <c r="L110" s="2"/>
    </row>
    <row r="111" spans="5:35" x14ac:dyDescent="0.3">
      <c r="E111" s="2"/>
      <c r="L111" s="2"/>
    </row>
    <row r="112" spans="5:35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6" priority="1">
      <formula>$N35&lt;0</formula>
    </cfRule>
  </conditionalFormatting>
  <dataValidations count="3">
    <dataValidation type="list" allowBlank="1" showInputMessage="1" showErrorMessage="1" sqref="I11:I30 I35:I94" xr:uid="{A54712BE-6FFF-458F-8ADA-6BF6F4DD9F7E}">
      <formula1>계정</formula1>
    </dataValidation>
    <dataValidation type="list" allowBlank="1" showInputMessage="1" showErrorMessage="1" sqref="C35:C94 J11:J30 C11:C30 J35:J94" xr:uid="{B122FB3F-CD5A-4E3F-B789-F322075693B5}">
      <formula1>대분류</formula1>
    </dataValidation>
    <dataValidation type="list" allowBlank="1" showInputMessage="1" showErrorMessage="1" sqref="K11:K30 D11:D30 D35:D94 K35:K94" xr:uid="{D35DA306-BCD9-49CE-81AA-8B222D99A6FA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6988-78F0-4B48-A320-DFB3D133EF1B}">
  <sheetPr codeName="Sheet36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181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233"/>
      <c r="T5" s="159"/>
      <c r="U5" s="234"/>
    </row>
    <row r="6" spans="1:32" x14ac:dyDescent="0.3">
      <c r="B6" s="68" t="s">
        <v>97</v>
      </c>
      <c r="C6" s="93">
        <f>SUM($I$9+$J$33)</f>
        <v>0</v>
      </c>
      <c r="H6" s="588" t="s">
        <v>112</v>
      </c>
      <c r="I6" s="586"/>
      <c r="J6" s="586"/>
      <c r="K6" s="586"/>
      <c r="L6" s="586"/>
      <c r="M6" s="582"/>
      <c r="N6" s="582"/>
      <c r="O6" s="582"/>
      <c r="Q6" s="157"/>
      <c r="R6" s="233"/>
      <c r="T6" s="159"/>
      <c r="U6" s="235"/>
    </row>
    <row r="7" spans="1:32" x14ac:dyDescent="0.3">
      <c r="B7" s="74" t="s">
        <v>65</v>
      </c>
      <c r="C7" s="69">
        <f>$C$5-$C$6</f>
        <v>0</v>
      </c>
      <c r="H7" s="589" t="s">
        <v>112</v>
      </c>
      <c r="I7" s="587"/>
      <c r="J7" s="587"/>
      <c r="K7" s="587"/>
      <c r="L7" s="587"/>
      <c r="M7" s="583"/>
      <c r="N7" s="583"/>
      <c r="O7" s="583"/>
      <c r="Q7" s="74"/>
      <c r="R7" s="236"/>
      <c r="T7" s="159"/>
    </row>
    <row r="8" spans="1:32" ht="9" customHeight="1" x14ac:dyDescent="0.3">
      <c r="O8" s="120"/>
      <c r="R8" s="234"/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157"/>
      <c r="R9" s="233"/>
      <c r="S9" s="43"/>
      <c r="T9" s="159"/>
      <c r="U9" s="43"/>
      <c r="V9" s="237"/>
      <c r="W9" s="43"/>
      <c r="X9" s="157"/>
      <c r="Y9" s="238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166"/>
      <c r="W11" s="3"/>
      <c r="X11" s="50"/>
      <c r="Y11" s="53"/>
      <c r="Z11" s="53"/>
      <c r="AA11" s="53"/>
      <c r="AB11" s="107"/>
      <c r="AC11" s="239"/>
      <c r="AD11" s="168"/>
      <c r="AE11" s="239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166"/>
      <c r="W12" s="3"/>
      <c r="X12" s="50"/>
      <c r="Y12" s="53"/>
      <c r="Z12" s="53"/>
      <c r="AA12" s="53"/>
      <c r="AB12" s="107"/>
      <c r="AC12" s="239"/>
      <c r="AD12" s="168"/>
      <c r="AE12" s="239"/>
      <c r="AF12" s="170"/>
    </row>
    <row r="13" spans="1:32" x14ac:dyDescent="0.3">
      <c r="B13" s="10"/>
      <c r="C13" s="11"/>
      <c r="D13" s="11"/>
      <c r="E13" s="12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166"/>
      <c r="W13" s="3"/>
      <c r="X13" s="50"/>
      <c r="Y13" s="53"/>
      <c r="Z13" s="53"/>
      <c r="AA13" s="53"/>
      <c r="AB13" s="107"/>
      <c r="AC13" s="239"/>
      <c r="AD13" s="168"/>
      <c r="AE13" s="239"/>
      <c r="AF13" s="170"/>
    </row>
    <row r="14" spans="1:32" x14ac:dyDescent="0.3">
      <c r="B14" s="10"/>
      <c r="C14" s="11"/>
      <c r="D14" s="11"/>
      <c r="E14" s="12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166"/>
      <c r="W14" s="3"/>
      <c r="X14" s="50"/>
      <c r="Y14" s="53"/>
      <c r="Z14" s="53"/>
      <c r="AA14" s="53"/>
      <c r="AB14" s="107"/>
      <c r="AC14" s="239"/>
      <c r="AD14" s="168"/>
      <c r="AE14" s="239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166"/>
      <c r="W15" s="3"/>
      <c r="X15" s="50"/>
      <c r="Y15" s="53"/>
      <c r="Z15" s="53"/>
      <c r="AA15" s="53"/>
      <c r="AB15" s="107"/>
      <c r="AC15" s="239"/>
      <c r="AD15" s="168"/>
      <c r="AE15" s="239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166"/>
      <c r="W16" s="3"/>
      <c r="X16" s="50"/>
      <c r="Y16" s="53"/>
      <c r="Z16" s="53"/>
      <c r="AA16" s="53"/>
      <c r="AB16" s="107"/>
      <c r="AC16" s="239"/>
      <c r="AD16" s="168"/>
      <c r="AE16" s="239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166"/>
      <c r="W17" s="3"/>
      <c r="X17" s="50"/>
      <c r="Y17" s="53"/>
      <c r="Z17" s="53"/>
      <c r="AA17" s="53"/>
      <c r="AB17" s="107"/>
      <c r="AC17" s="239"/>
      <c r="AD17" s="168"/>
      <c r="AE17" s="239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12"/>
      <c r="M18" s="13"/>
      <c r="N18" s="46"/>
      <c r="O18" s="480"/>
      <c r="Q18" s="50"/>
      <c r="R18" s="53"/>
      <c r="S18" s="53"/>
      <c r="T18" s="53"/>
      <c r="U18" s="107"/>
      <c r="V18" s="166"/>
      <c r="W18" s="3"/>
      <c r="X18" s="50"/>
      <c r="Y18" s="53"/>
      <c r="Z18" s="53"/>
      <c r="AA18" s="53"/>
      <c r="AB18" s="107"/>
      <c r="AC18" s="239"/>
      <c r="AD18" s="168"/>
      <c r="AE18" s="239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166"/>
      <c r="W19" s="3"/>
      <c r="X19" s="50"/>
      <c r="Y19" s="53"/>
      <c r="Z19" s="53"/>
      <c r="AA19" s="53"/>
      <c r="AB19" s="107"/>
      <c r="AC19" s="239"/>
      <c r="AD19" s="168"/>
      <c r="AE19" s="239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13"/>
      <c r="N20" s="46"/>
      <c r="O20" s="480"/>
      <c r="Q20" s="50"/>
      <c r="R20" s="53"/>
      <c r="S20" s="53"/>
      <c r="T20" s="53"/>
      <c r="U20" s="107"/>
      <c r="V20" s="166"/>
      <c r="W20" s="3"/>
      <c r="X20" s="50"/>
      <c r="Y20" s="53"/>
      <c r="Z20" s="53"/>
      <c r="AA20" s="53"/>
      <c r="AB20" s="107"/>
      <c r="AC20" s="239"/>
      <c r="AD20" s="168"/>
      <c r="AE20" s="239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166"/>
      <c r="W21" s="3"/>
      <c r="X21" s="50"/>
      <c r="Y21" s="53"/>
      <c r="Z21" s="53"/>
      <c r="AA21" s="53"/>
      <c r="AB21" s="107"/>
      <c r="AC21" s="239"/>
      <c r="AD21" s="168"/>
      <c r="AE21" s="239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166"/>
      <c r="W22" s="3"/>
      <c r="X22" s="50"/>
      <c r="Y22" s="53"/>
      <c r="Z22" s="53"/>
      <c r="AA22" s="53"/>
      <c r="AB22" s="107"/>
      <c r="AC22" s="239"/>
      <c r="AD22" s="168"/>
      <c r="AE22" s="239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166"/>
      <c r="W23" s="3"/>
      <c r="X23" s="50"/>
      <c r="Y23" s="53"/>
      <c r="Z23" s="53"/>
      <c r="AA23" s="53"/>
      <c r="AB23" s="107"/>
      <c r="AC23" s="239"/>
      <c r="AD23" s="168"/>
      <c r="AE23" s="239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166"/>
      <c r="W24" s="3"/>
      <c r="X24" s="50"/>
      <c r="Y24" s="53"/>
      <c r="Z24" s="53"/>
      <c r="AA24" s="53"/>
      <c r="AB24" s="107"/>
      <c r="AC24" s="239"/>
      <c r="AD24" s="168"/>
      <c r="AE24" s="239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166"/>
      <c r="W25" s="3"/>
      <c r="X25" s="50"/>
      <c r="Y25" s="53"/>
      <c r="Z25" s="53"/>
      <c r="AA25" s="53"/>
      <c r="AB25" s="107"/>
      <c r="AC25" s="239"/>
      <c r="AD25" s="168"/>
      <c r="AE25" s="239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166"/>
      <c r="W26" s="3"/>
      <c r="X26" s="50"/>
      <c r="Y26" s="53"/>
      <c r="Z26" s="53"/>
      <c r="AA26" s="53"/>
      <c r="AB26" s="107"/>
      <c r="AC26" s="239"/>
      <c r="AD26" s="168"/>
      <c r="AE26" s="239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166"/>
      <c r="W27" s="3"/>
      <c r="X27" s="50"/>
      <c r="Y27" s="53"/>
      <c r="Z27" s="53"/>
      <c r="AA27" s="53"/>
      <c r="AB27" s="107"/>
      <c r="AC27" s="239"/>
      <c r="AD27" s="168"/>
      <c r="AE27" s="239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166"/>
      <c r="W28" s="3"/>
      <c r="X28" s="50"/>
      <c r="Y28" s="53"/>
      <c r="Z28" s="53"/>
      <c r="AA28" s="53"/>
      <c r="AB28" s="107"/>
      <c r="AC28" s="239"/>
      <c r="AD28" s="168"/>
      <c r="AE28" s="239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166"/>
      <c r="W29" s="3"/>
      <c r="X29" s="50"/>
      <c r="Y29" s="53"/>
      <c r="Z29" s="53"/>
      <c r="AA29" s="53"/>
      <c r="AB29" s="107"/>
      <c r="AC29" s="239"/>
      <c r="AD29" s="168"/>
      <c r="AE29" s="239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166"/>
      <c r="W30" s="3"/>
      <c r="X30" s="50"/>
      <c r="Y30" s="53"/>
      <c r="Z30" s="53"/>
      <c r="AA30" s="53"/>
      <c r="AB30" s="107"/>
      <c r="AC30" s="239"/>
      <c r="AD30" s="168"/>
      <c r="AE30" s="239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예산!J40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240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241"/>
      <c r="S33" s="62"/>
      <c r="T33" s="165"/>
      <c r="U33" s="88"/>
      <c r="V33" s="184"/>
      <c r="W33" s="43"/>
      <c r="X33" s="173"/>
      <c r="Y33" s="109"/>
      <c r="Z33" s="241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239"/>
      <c r="W35" s="3"/>
      <c r="X35" s="50"/>
      <c r="Y35" s="53"/>
      <c r="Z35" s="53"/>
      <c r="AA35" s="53"/>
      <c r="AB35" s="107"/>
      <c r="AC35" s="239"/>
      <c r="AD35" s="168"/>
      <c r="AE35" s="239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239"/>
      <c r="W36" s="3"/>
      <c r="X36" s="50"/>
      <c r="Y36" s="53"/>
      <c r="Z36" s="53"/>
      <c r="AA36" s="53"/>
      <c r="AB36" s="107"/>
      <c r="AC36" s="239"/>
      <c r="AD36" s="168"/>
      <c r="AE36" s="239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239"/>
      <c r="W37" s="3"/>
      <c r="X37" s="50"/>
      <c r="Y37" s="53"/>
      <c r="Z37" s="53"/>
      <c r="AA37" s="53"/>
      <c r="AB37" s="107"/>
      <c r="AC37" s="239"/>
      <c r="AD37" s="168"/>
      <c r="AE37" s="239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239"/>
      <c r="W38" s="3"/>
      <c r="X38" s="50"/>
      <c r="Y38" s="53"/>
      <c r="Z38" s="53"/>
      <c r="AA38" s="53"/>
      <c r="AB38" s="107"/>
      <c r="AC38" s="239"/>
      <c r="AD38" s="168"/>
      <c r="AE38" s="239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239"/>
      <c r="W39" s="3"/>
      <c r="X39" s="50"/>
      <c r="Y39" s="53"/>
      <c r="Z39" s="53"/>
      <c r="AA39" s="53"/>
      <c r="AB39" s="107"/>
      <c r="AC39" s="239"/>
      <c r="AD39" s="168"/>
      <c r="AE39" s="239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239"/>
      <c r="W40" s="3"/>
      <c r="X40" s="50"/>
      <c r="Y40" s="53"/>
      <c r="Z40" s="53"/>
      <c r="AA40" s="53"/>
      <c r="AB40" s="107"/>
      <c r="AC40" s="239"/>
      <c r="AD40" s="168"/>
      <c r="AE40" s="239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239"/>
      <c r="W41" s="3"/>
      <c r="X41" s="50"/>
      <c r="Y41" s="53"/>
      <c r="Z41" s="53"/>
      <c r="AA41" s="53"/>
      <c r="AB41" s="107"/>
      <c r="AC41" s="239"/>
      <c r="AD41" s="168"/>
      <c r="AE41" s="239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239"/>
      <c r="W42" s="3"/>
      <c r="X42" s="50"/>
      <c r="Y42" s="53"/>
      <c r="Z42" s="53"/>
      <c r="AA42" s="53"/>
      <c r="AB42" s="107"/>
      <c r="AC42" s="239"/>
      <c r="AD42" s="168"/>
      <c r="AE42" s="239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239"/>
      <c r="W43" s="3"/>
      <c r="X43" s="50"/>
      <c r="Y43" s="53"/>
      <c r="Z43" s="53"/>
      <c r="AA43" s="53"/>
      <c r="AB43" s="107"/>
      <c r="AC43" s="239"/>
      <c r="AD43" s="168"/>
      <c r="AE43" s="239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239"/>
      <c r="W44" s="3"/>
      <c r="X44" s="50"/>
      <c r="Y44" s="53"/>
      <c r="Z44" s="53"/>
      <c r="AA44" s="53"/>
      <c r="AB44" s="107"/>
      <c r="AC44" s="239"/>
      <c r="AD44" s="168"/>
      <c r="AE44" s="239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239"/>
      <c r="W45" s="3"/>
      <c r="X45" s="50"/>
      <c r="Y45" s="53"/>
      <c r="Z45" s="53"/>
      <c r="AA45" s="53"/>
      <c r="AB45" s="107"/>
      <c r="AC45" s="239"/>
      <c r="AD45" s="168"/>
      <c r="AE45" s="239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239"/>
      <c r="W46" s="3"/>
      <c r="X46" s="50"/>
      <c r="Y46" s="53"/>
      <c r="Z46" s="53"/>
      <c r="AA46" s="53"/>
      <c r="AB46" s="107"/>
      <c r="AC46" s="239"/>
      <c r="AD46" s="168"/>
      <c r="AE46" s="239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239"/>
      <c r="W47" s="3"/>
      <c r="X47" s="50"/>
      <c r="Y47" s="53"/>
      <c r="Z47" s="53"/>
      <c r="AA47" s="53"/>
      <c r="AB47" s="107"/>
      <c r="AC47" s="239"/>
      <c r="AD47" s="168"/>
      <c r="AE47" s="239"/>
      <c r="AF47" s="170"/>
    </row>
    <row r="48" spans="2:32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239"/>
      <c r="W48" s="3"/>
      <c r="X48" s="50"/>
      <c r="Y48" s="53"/>
      <c r="Z48" s="53"/>
      <c r="AA48" s="53"/>
      <c r="AB48" s="107"/>
      <c r="AC48" s="239"/>
      <c r="AD48" s="168"/>
      <c r="AE48" s="239"/>
      <c r="AF48" s="170"/>
    </row>
    <row r="49" spans="2:32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239"/>
      <c r="W49" s="3"/>
      <c r="X49" s="50"/>
      <c r="Y49" s="53"/>
      <c r="Z49" s="53"/>
      <c r="AA49" s="53"/>
      <c r="AB49" s="107"/>
      <c r="AC49" s="239"/>
      <c r="AD49" s="168"/>
      <c r="AE49" s="239"/>
      <c r="AF49" s="170"/>
    </row>
    <row r="50" spans="2:32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239"/>
      <c r="W50" s="3"/>
      <c r="X50" s="50"/>
      <c r="Y50" s="53"/>
      <c r="Z50" s="53"/>
      <c r="AA50" s="53"/>
      <c r="AB50" s="107"/>
      <c r="AC50" s="239"/>
      <c r="AD50" s="168"/>
      <c r="AE50" s="239"/>
      <c r="AF50" s="170"/>
    </row>
    <row r="51" spans="2:32" x14ac:dyDescent="0.3">
      <c r="B51" s="10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239"/>
      <c r="W51" s="3"/>
      <c r="X51" s="50"/>
      <c r="Y51" s="53"/>
      <c r="Z51" s="53"/>
      <c r="AA51" s="53"/>
      <c r="AB51" s="107"/>
      <c r="AC51" s="239"/>
      <c r="AD51" s="168"/>
      <c r="AE51" s="239"/>
      <c r="AF51" s="170"/>
    </row>
    <row r="52" spans="2:32" x14ac:dyDescent="0.3">
      <c r="B52" s="10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239"/>
      <c r="W52" s="3"/>
      <c r="X52" s="50"/>
      <c r="Y52" s="53"/>
      <c r="Z52" s="53"/>
      <c r="AA52" s="53"/>
      <c r="AB52" s="107"/>
      <c r="AC52" s="239"/>
      <c r="AD52" s="168"/>
      <c r="AE52" s="239"/>
      <c r="AF52" s="170"/>
    </row>
    <row r="53" spans="2:32" x14ac:dyDescent="0.3">
      <c r="B53" s="10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239"/>
      <c r="W53" s="3"/>
      <c r="X53" s="50"/>
      <c r="Y53" s="53"/>
      <c r="Z53" s="53"/>
      <c r="AA53" s="53"/>
      <c r="AB53" s="107"/>
      <c r="AC53" s="239"/>
      <c r="AD53" s="168"/>
      <c r="AE53" s="239"/>
      <c r="AF53" s="170"/>
    </row>
    <row r="54" spans="2:32" x14ac:dyDescent="0.3">
      <c r="B54" s="10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239"/>
      <c r="W54" s="3"/>
      <c r="X54" s="50"/>
      <c r="Y54" s="53"/>
      <c r="Z54" s="53"/>
      <c r="AA54" s="53"/>
      <c r="AB54" s="107"/>
      <c r="AC54" s="239"/>
      <c r="AD54" s="168"/>
      <c r="AE54" s="239"/>
      <c r="AF54" s="170"/>
    </row>
    <row r="55" spans="2:32" x14ac:dyDescent="0.3">
      <c r="B55" s="10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239"/>
      <c r="W55" s="3"/>
      <c r="X55" s="50"/>
      <c r="Y55" s="53"/>
      <c r="Z55" s="53"/>
      <c r="AA55" s="53"/>
      <c r="AB55" s="107"/>
      <c r="AC55" s="239"/>
      <c r="AD55" s="168"/>
      <c r="AE55" s="239"/>
      <c r="AF55" s="170"/>
    </row>
    <row r="56" spans="2:32" x14ac:dyDescent="0.3">
      <c r="B56" s="10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239"/>
      <c r="W56" s="3"/>
      <c r="X56" s="50"/>
      <c r="Y56" s="53"/>
      <c r="Z56" s="53"/>
      <c r="AA56" s="53"/>
      <c r="AB56" s="107"/>
      <c r="AC56" s="239"/>
      <c r="AD56" s="168"/>
      <c r="AE56" s="239"/>
      <c r="AF56" s="170"/>
    </row>
    <row r="57" spans="2:32" x14ac:dyDescent="0.3">
      <c r="B57" s="10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239"/>
      <c r="W57" s="3"/>
      <c r="X57" s="50"/>
      <c r="Y57" s="53"/>
      <c r="Z57" s="53"/>
      <c r="AA57" s="53"/>
      <c r="AB57" s="107"/>
      <c r="AC57" s="239"/>
      <c r="AD57" s="168"/>
      <c r="AE57" s="239"/>
      <c r="AF57" s="170"/>
    </row>
    <row r="58" spans="2:32" x14ac:dyDescent="0.3">
      <c r="B58" s="10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239"/>
      <c r="W58" s="3"/>
      <c r="X58" s="50"/>
      <c r="Y58" s="53"/>
      <c r="Z58" s="53"/>
      <c r="AA58" s="53"/>
      <c r="AB58" s="107"/>
      <c r="AC58" s="239"/>
      <c r="AD58" s="168"/>
      <c r="AE58" s="239"/>
      <c r="AF58" s="170"/>
    </row>
    <row r="59" spans="2:32" x14ac:dyDescent="0.3">
      <c r="B59" s="10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239"/>
      <c r="W59" s="3"/>
      <c r="X59" s="50"/>
      <c r="Y59" s="53"/>
      <c r="Z59" s="53"/>
      <c r="AA59" s="53"/>
      <c r="AB59" s="107"/>
      <c r="AC59" s="239"/>
      <c r="AD59" s="168"/>
      <c r="AE59" s="239"/>
      <c r="AF59" s="170"/>
    </row>
    <row r="60" spans="2:32" x14ac:dyDescent="0.3">
      <c r="B60" s="10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239"/>
      <c r="W60" s="3"/>
      <c r="X60" s="50"/>
      <c r="Y60" s="53"/>
      <c r="Z60" s="53"/>
      <c r="AA60" s="53"/>
      <c r="AB60" s="107"/>
      <c r="AC60" s="239"/>
      <c r="AD60" s="168"/>
      <c r="AE60" s="239"/>
      <c r="AF60" s="170"/>
    </row>
    <row r="61" spans="2:32" x14ac:dyDescent="0.3">
      <c r="B61" s="10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239"/>
      <c r="W61" s="3"/>
      <c r="X61" s="50"/>
      <c r="Y61" s="53"/>
      <c r="Z61" s="53"/>
      <c r="AA61" s="53"/>
      <c r="AB61" s="107"/>
      <c r="AC61" s="239"/>
      <c r="AD61" s="168"/>
      <c r="AE61" s="239"/>
      <c r="AF61" s="170"/>
    </row>
    <row r="62" spans="2:32" x14ac:dyDescent="0.3">
      <c r="B62" s="10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239"/>
      <c r="W62" s="3"/>
      <c r="X62" s="50"/>
      <c r="Y62" s="53"/>
      <c r="Z62" s="53"/>
      <c r="AA62" s="53"/>
      <c r="AB62" s="107"/>
      <c r="AC62" s="239"/>
      <c r="AD62" s="168"/>
      <c r="AE62" s="239"/>
      <c r="AF62" s="170"/>
    </row>
    <row r="63" spans="2:32" x14ac:dyDescent="0.3">
      <c r="B63" s="10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239"/>
      <c r="W63" s="3"/>
      <c r="X63" s="50"/>
      <c r="Y63" s="53"/>
      <c r="Z63" s="53"/>
      <c r="AA63" s="53"/>
      <c r="AB63" s="107"/>
      <c r="AC63" s="239"/>
      <c r="AD63" s="168"/>
      <c r="AE63" s="239"/>
      <c r="AF63" s="170"/>
    </row>
    <row r="64" spans="2:32" x14ac:dyDescent="0.3">
      <c r="B64" s="10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239"/>
      <c r="W64" s="3"/>
      <c r="X64" s="50"/>
      <c r="Y64" s="53"/>
      <c r="Z64" s="53"/>
      <c r="AA64" s="53"/>
      <c r="AB64" s="107"/>
      <c r="AC64" s="239"/>
      <c r="AD64" s="168"/>
      <c r="AE64" s="239"/>
      <c r="AF64" s="170"/>
    </row>
    <row r="65" spans="2:32" x14ac:dyDescent="0.3">
      <c r="B65" s="10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239"/>
      <c r="W65" s="3"/>
      <c r="X65" s="50"/>
      <c r="Y65" s="53"/>
      <c r="Z65" s="53"/>
      <c r="AA65" s="53"/>
      <c r="AB65" s="107"/>
      <c r="AC65" s="239"/>
      <c r="AD65" s="168"/>
      <c r="AE65" s="239"/>
      <c r="AF65" s="170"/>
    </row>
    <row r="66" spans="2:32" x14ac:dyDescent="0.3">
      <c r="B66" s="10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239"/>
      <c r="W66" s="3"/>
      <c r="X66" s="50"/>
      <c r="Y66" s="53"/>
      <c r="Z66" s="53"/>
      <c r="AA66" s="53"/>
      <c r="AB66" s="107"/>
      <c r="AC66" s="239"/>
      <c r="AD66" s="168"/>
      <c r="AE66" s="239"/>
      <c r="AF66" s="170"/>
    </row>
    <row r="67" spans="2:32" x14ac:dyDescent="0.3">
      <c r="B67" s="10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239"/>
      <c r="W67" s="3"/>
      <c r="X67" s="50"/>
      <c r="Y67" s="53"/>
      <c r="Z67" s="53"/>
      <c r="AA67" s="53"/>
      <c r="AB67" s="107"/>
      <c r="AC67" s="239"/>
      <c r="AD67" s="168"/>
      <c r="AE67" s="239"/>
      <c r="AF67" s="170"/>
    </row>
    <row r="68" spans="2:32" x14ac:dyDescent="0.3">
      <c r="B68" s="10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239"/>
      <c r="W68" s="3"/>
      <c r="X68" s="50"/>
      <c r="Y68" s="53"/>
      <c r="Z68" s="53"/>
      <c r="AA68" s="53"/>
      <c r="AB68" s="107"/>
      <c r="AC68" s="239"/>
      <c r="AD68" s="168"/>
      <c r="AE68" s="239"/>
      <c r="AF68" s="170"/>
    </row>
    <row r="69" spans="2:32" x14ac:dyDescent="0.3">
      <c r="B69" s="10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239"/>
      <c r="W69" s="3"/>
      <c r="X69" s="50"/>
      <c r="Y69" s="53"/>
      <c r="Z69" s="53"/>
      <c r="AA69" s="53"/>
      <c r="AB69" s="107"/>
      <c r="AC69" s="239"/>
      <c r="AD69" s="168"/>
      <c r="AE69" s="239"/>
      <c r="AF69" s="170"/>
    </row>
    <row r="70" spans="2:32" x14ac:dyDescent="0.3">
      <c r="B70" s="10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239"/>
      <c r="W70" s="3"/>
      <c r="X70" s="50"/>
      <c r="Y70" s="53"/>
      <c r="Z70" s="53"/>
      <c r="AA70" s="53"/>
      <c r="AB70" s="107"/>
      <c r="AC70" s="239"/>
      <c r="AD70" s="168"/>
      <c r="AE70" s="239"/>
      <c r="AF70" s="170"/>
    </row>
    <row r="71" spans="2:32" x14ac:dyDescent="0.3">
      <c r="B71" s="10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239"/>
      <c r="W71" s="3"/>
      <c r="X71" s="50"/>
      <c r="Y71" s="53"/>
      <c r="Z71" s="53"/>
      <c r="AA71" s="53"/>
      <c r="AB71" s="107"/>
      <c r="AC71" s="239"/>
      <c r="AD71" s="168"/>
      <c r="AE71" s="239"/>
      <c r="AF71" s="170"/>
    </row>
    <row r="72" spans="2:32" x14ac:dyDescent="0.3">
      <c r="B72" s="10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239"/>
      <c r="W72" s="3"/>
      <c r="X72" s="50"/>
      <c r="Y72" s="53"/>
      <c r="Z72" s="53"/>
      <c r="AA72" s="53"/>
      <c r="AB72" s="107"/>
      <c r="AC72" s="239"/>
      <c r="AD72" s="168"/>
      <c r="AE72" s="239"/>
      <c r="AF72" s="170"/>
    </row>
    <row r="73" spans="2:32" x14ac:dyDescent="0.3">
      <c r="B73" s="10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239"/>
      <c r="W73" s="3"/>
      <c r="X73" s="50"/>
      <c r="Y73" s="53"/>
      <c r="Z73" s="53"/>
      <c r="AA73" s="53"/>
      <c r="AB73" s="107"/>
      <c r="AC73" s="239"/>
      <c r="AD73" s="168"/>
      <c r="AE73" s="239"/>
      <c r="AF73" s="170"/>
    </row>
    <row r="74" spans="2:32" x14ac:dyDescent="0.3">
      <c r="B74" s="10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239"/>
      <c r="W74" s="3"/>
      <c r="X74" s="50"/>
      <c r="Y74" s="53"/>
      <c r="Z74" s="53"/>
      <c r="AA74" s="53"/>
      <c r="AB74" s="107"/>
      <c r="AC74" s="239"/>
      <c r="AD74" s="168"/>
      <c r="AE74" s="239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239"/>
      <c r="W75" s="3"/>
      <c r="X75" s="50"/>
      <c r="Y75" s="53"/>
      <c r="Z75" s="53"/>
      <c r="AA75" s="53"/>
      <c r="AB75" s="107"/>
      <c r="AC75" s="239"/>
      <c r="AD75" s="168"/>
      <c r="AE75" s="239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239"/>
      <c r="W76" s="3"/>
      <c r="X76" s="50"/>
      <c r="Y76" s="53"/>
      <c r="Z76" s="53"/>
      <c r="AA76" s="53"/>
      <c r="AB76" s="107"/>
      <c r="AC76" s="239"/>
      <c r="AD76" s="168"/>
      <c r="AE76" s="239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239"/>
      <c r="W77" s="3"/>
      <c r="X77" s="50"/>
      <c r="Y77" s="53"/>
      <c r="Z77" s="53"/>
      <c r="AA77" s="53"/>
      <c r="AB77" s="107"/>
      <c r="AC77" s="239"/>
      <c r="AD77" s="168"/>
      <c r="AE77" s="239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239"/>
      <c r="W78" s="3"/>
      <c r="X78" s="50"/>
      <c r="Y78" s="53"/>
      <c r="Z78" s="53"/>
      <c r="AA78" s="53"/>
      <c r="AB78" s="107"/>
      <c r="AC78" s="239"/>
      <c r="AD78" s="168"/>
      <c r="AE78" s="239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239"/>
      <c r="W79" s="3"/>
      <c r="X79" s="50"/>
      <c r="Y79" s="53"/>
      <c r="Z79" s="53"/>
      <c r="AA79" s="53"/>
      <c r="AB79" s="107"/>
      <c r="AC79" s="239"/>
      <c r="AD79" s="168"/>
      <c r="AE79" s="239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239"/>
      <c r="W80" s="3"/>
      <c r="X80" s="50"/>
      <c r="Y80" s="53"/>
      <c r="Z80" s="53"/>
      <c r="AA80" s="53"/>
      <c r="AB80" s="107"/>
      <c r="AC80" s="239"/>
      <c r="AD80" s="168"/>
      <c r="AE80" s="239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239"/>
      <c r="W81" s="3"/>
      <c r="X81" s="50"/>
      <c r="Y81" s="53"/>
      <c r="Z81" s="53"/>
      <c r="AA81" s="53"/>
      <c r="AB81" s="107"/>
      <c r="AC81" s="239"/>
      <c r="AD81" s="168"/>
      <c r="AE81" s="239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239"/>
      <c r="W82" s="3"/>
      <c r="X82" s="50"/>
      <c r="Y82" s="53"/>
      <c r="Z82" s="53"/>
      <c r="AA82" s="53"/>
      <c r="AB82" s="107"/>
      <c r="AC82" s="239"/>
      <c r="AD82" s="168"/>
      <c r="AE82" s="239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239"/>
      <c r="W83" s="3"/>
      <c r="X83" s="50"/>
      <c r="Y83" s="53"/>
      <c r="Z83" s="53"/>
      <c r="AA83" s="53"/>
      <c r="AB83" s="107"/>
      <c r="AC83" s="239"/>
      <c r="AD83" s="168"/>
      <c r="AE83" s="239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239"/>
      <c r="W84" s="3"/>
      <c r="X84" s="50"/>
      <c r="Y84" s="53"/>
      <c r="Z84" s="53"/>
      <c r="AA84" s="53"/>
      <c r="AB84" s="107"/>
      <c r="AC84" s="239"/>
      <c r="AD84" s="168"/>
      <c r="AE84" s="239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239"/>
      <c r="W85" s="3"/>
      <c r="X85" s="50"/>
      <c r="Y85" s="53"/>
      <c r="Z85" s="53"/>
      <c r="AA85" s="53"/>
      <c r="AB85" s="107"/>
      <c r="AC85" s="239"/>
      <c r="AD85" s="168"/>
      <c r="AE85" s="239"/>
      <c r="AF85" s="168"/>
    </row>
    <row r="86" spans="1:32" x14ac:dyDescent="0.3">
      <c r="B86" s="6"/>
      <c r="C86" s="7"/>
      <c r="D86" s="7"/>
      <c r="E86" s="8"/>
      <c r="F86" s="9"/>
      <c r="G86" s="3"/>
      <c r="H86" s="10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239"/>
      <c r="W86" s="3"/>
      <c r="X86" s="50"/>
      <c r="Y86" s="53"/>
      <c r="Z86" s="53"/>
      <c r="AA86" s="53"/>
      <c r="AB86" s="107"/>
      <c r="AC86" s="239"/>
      <c r="AD86" s="168"/>
      <c r="AE86" s="239"/>
      <c r="AF86" s="168"/>
    </row>
    <row r="87" spans="1:32" x14ac:dyDescent="0.3">
      <c r="B87" s="6"/>
      <c r="C87" s="7"/>
      <c r="D87" s="7"/>
      <c r="E87" s="8"/>
      <c r="F87" s="9"/>
      <c r="G87" s="3"/>
      <c r="H87" s="10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239"/>
      <c r="W87" s="3"/>
      <c r="X87" s="50"/>
      <c r="Y87" s="53"/>
      <c r="Z87" s="53"/>
      <c r="AA87" s="53"/>
      <c r="AB87" s="107"/>
      <c r="AC87" s="239"/>
      <c r="AD87" s="168"/>
      <c r="AE87" s="239"/>
      <c r="AF87" s="168"/>
    </row>
    <row r="88" spans="1:32" x14ac:dyDescent="0.3">
      <c r="B88" s="6"/>
      <c r="C88" s="7"/>
      <c r="D88" s="7"/>
      <c r="E88" s="8"/>
      <c r="F88" s="9"/>
      <c r="G88" s="3"/>
      <c r="H88" s="10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239"/>
      <c r="W88" s="3"/>
      <c r="X88" s="50"/>
      <c r="Y88" s="53"/>
      <c r="Z88" s="53"/>
      <c r="AA88" s="53"/>
      <c r="AB88" s="107"/>
      <c r="AC88" s="239"/>
      <c r="AD88" s="168"/>
      <c r="AE88" s="239"/>
      <c r="AF88" s="168"/>
    </row>
    <row r="89" spans="1:32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239"/>
      <c r="W89" s="3"/>
      <c r="X89" s="50"/>
      <c r="Y89" s="53"/>
      <c r="Z89" s="53"/>
      <c r="AA89" s="53"/>
      <c r="AB89" s="107"/>
      <c r="AC89" s="239"/>
      <c r="AD89" s="168"/>
      <c r="AE89" s="239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239"/>
      <c r="W90" s="3"/>
      <c r="X90" s="50"/>
      <c r="Y90" s="53"/>
      <c r="Z90" s="53"/>
      <c r="AA90" s="53"/>
      <c r="AB90" s="107"/>
      <c r="AC90" s="239"/>
      <c r="AD90" s="168"/>
      <c r="AE90" s="239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239"/>
      <c r="W91" s="3"/>
      <c r="X91" s="50"/>
      <c r="Y91" s="53"/>
      <c r="Z91" s="53"/>
      <c r="AA91" s="53"/>
      <c r="AB91" s="107"/>
      <c r="AC91" s="239"/>
      <c r="AD91" s="168"/>
      <c r="AE91" s="239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239"/>
      <c r="W92" s="3"/>
      <c r="X92" s="50"/>
      <c r="Y92" s="53"/>
      <c r="Z92" s="53"/>
      <c r="AA92" s="53"/>
      <c r="AB92" s="107"/>
      <c r="AC92" s="239"/>
      <c r="AD92" s="168"/>
      <c r="AE92" s="239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239"/>
      <c r="W93" s="3"/>
      <c r="X93" s="50"/>
      <c r="Y93" s="53"/>
      <c r="Z93" s="53"/>
      <c r="AA93" s="53"/>
      <c r="AB93" s="107"/>
      <c r="AC93" s="239"/>
      <c r="AD93" s="168"/>
      <c r="AE93" s="239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239"/>
      <c r="W94" s="3"/>
      <c r="X94" s="50"/>
      <c r="Y94" s="53"/>
      <c r="Z94" s="53"/>
      <c r="AA94" s="53"/>
      <c r="AB94" s="107"/>
      <c r="AC94" s="239"/>
      <c r="AD94" s="168"/>
      <c r="AE94" s="239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5" priority="1">
      <formula>$N35&lt;0</formula>
    </cfRule>
  </conditionalFormatting>
  <dataValidations count="3">
    <dataValidation type="list" allowBlank="1" showInputMessage="1" showErrorMessage="1" sqref="J11:J30 C11:C30 C35:C94 J35:J94" xr:uid="{58C37A23-D094-4753-9D37-B6C55C9EF695}">
      <formula1>대분류</formula1>
    </dataValidation>
    <dataValidation type="list" allowBlank="1" showInputMessage="1" showErrorMessage="1" sqref="I11:I30 I35:I94" xr:uid="{182CE632-2091-45B1-A38C-A251EE07055F}">
      <formula1>계정</formula1>
    </dataValidation>
    <dataValidation type="list" allowBlank="1" showInputMessage="1" showErrorMessage="1" sqref="K11:K30 D11:D30 D35:D94 K35:K94" xr:uid="{40228D36-DD74-4602-881A-11DC46EA0673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997BC-C439-411D-9B4D-D4516D5082FA}">
  <sheetPr codeName="Sheet37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180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246"/>
      <c r="T5" s="159"/>
      <c r="U5" s="247"/>
    </row>
    <row r="6" spans="1:32" x14ac:dyDescent="0.3">
      <c r="B6" s="68" t="s">
        <v>97</v>
      </c>
      <c r="C6" s="93">
        <f>SUM($I$9+$J$33)</f>
        <v>0</v>
      </c>
      <c r="H6" s="588" t="s">
        <v>112</v>
      </c>
      <c r="I6" s="586"/>
      <c r="J6" s="586"/>
      <c r="K6" s="586"/>
      <c r="L6" s="586"/>
      <c r="M6" s="582"/>
      <c r="N6" s="582"/>
      <c r="O6" s="582"/>
      <c r="Q6" s="157"/>
      <c r="R6" s="246"/>
      <c r="T6" s="159"/>
      <c r="U6" s="163"/>
    </row>
    <row r="7" spans="1:32" x14ac:dyDescent="0.3">
      <c r="B7" s="74" t="s">
        <v>65</v>
      </c>
      <c r="C7" s="69">
        <f>$C$5-$C$6</f>
        <v>0</v>
      </c>
      <c r="H7" s="589" t="s">
        <v>112</v>
      </c>
      <c r="I7" s="587"/>
      <c r="J7" s="587"/>
      <c r="K7" s="587"/>
      <c r="L7" s="587"/>
      <c r="M7" s="583"/>
      <c r="N7" s="583"/>
      <c r="O7" s="583"/>
      <c r="Q7" s="74"/>
      <c r="R7" s="248"/>
      <c r="T7" s="159"/>
    </row>
    <row r="8" spans="1:32" ht="9" customHeight="1" x14ac:dyDescent="0.3">
      <c r="R8" s="160"/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121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O9" s="111"/>
      <c r="Q9" s="157"/>
      <c r="R9" s="246"/>
      <c r="S9" s="43"/>
      <c r="T9" s="159"/>
      <c r="U9" s="43"/>
      <c r="V9" s="249"/>
      <c r="W9" s="43"/>
      <c r="X9" s="157"/>
      <c r="Y9" s="242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243"/>
      <c r="W11" s="3"/>
      <c r="X11" s="50"/>
      <c r="Y11" s="53"/>
      <c r="Z11" s="53"/>
      <c r="AA11" s="53"/>
      <c r="AB11" s="107"/>
      <c r="AC11" s="243"/>
      <c r="AD11" s="168"/>
      <c r="AE11" s="166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243"/>
      <c r="W12" s="3"/>
      <c r="X12" s="50"/>
      <c r="Y12" s="53"/>
      <c r="Z12" s="53"/>
      <c r="AA12" s="53"/>
      <c r="AB12" s="107"/>
      <c r="AC12" s="243"/>
      <c r="AD12" s="168"/>
      <c r="AE12" s="166"/>
      <c r="AF12" s="170"/>
    </row>
    <row r="13" spans="1:32" x14ac:dyDescent="0.3">
      <c r="B13" s="10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243"/>
      <c r="W13" s="3"/>
      <c r="X13" s="50"/>
      <c r="Y13" s="53"/>
      <c r="Z13" s="53"/>
      <c r="AA13" s="53"/>
      <c r="AB13" s="107"/>
      <c r="AC13" s="243"/>
      <c r="AD13" s="168"/>
      <c r="AE13" s="166"/>
      <c r="AF13" s="170"/>
    </row>
    <row r="14" spans="1:32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243"/>
      <c r="W14" s="3"/>
      <c r="X14" s="50"/>
      <c r="Y14" s="53"/>
      <c r="Z14" s="53"/>
      <c r="AA14" s="53"/>
      <c r="AB14" s="107"/>
      <c r="AC14" s="243"/>
      <c r="AD14" s="168"/>
      <c r="AE14" s="166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243"/>
      <c r="W15" s="3"/>
      <c r="X15" s="50"/>
      <c r="Y15" s="53"/>
      <c r="Z15" s="53"/>
      <c r="AA15" s="53"/>
      <c r="AB15" s="107"/>
      <c r="AC15" s="243"/>
      <c r="AD15" s="168"/>
      <c r="AE15" s="166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243"/>
      <c r="W16" s="3"/>
      <c r="X16" s="50"/>
      <c r="Y16" s="53"/>
      <c r="Z16" s="53"/>
      <c r="AA16" s="53"/>
      <c r="AB16" s="107"/>
      <c r="AC16" s="243"/>
      <c r="AD16" s="168"/>
      <c r="AE16" s="166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243"/>
      <c r="W17" s="3"/>
      <c r="X17" s="50"/>
      <c r="Y17" s="53"/>
      <c r="Z17" s="53"/>
      <c r="AA17" s="53"/>
      <c r="AB17" s="107"/>
      <c r="AC17" s="243"/>
      <c r="AD17" s="168"/>
      <c r="AE17" s="166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243"/>
      <c r="W18" s="3"/>
      <c r="X18" s="50"/>
      <c r="Y18" s="53"/>
      <c r="Z18" s="53"/>
      <c r="AA18" s="53"/>
      <c r="AB18" s="107"/>
      <c r="AC18" s="243"/>
      <c r="AD18" s="168"/>
      <c r="AE18" s="166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243"/>
      <c r="W19" s="3"/>
      <c r="X19" s="50"/>
      <c r="Y19" s="53"/>
      <c r="Z19" s="53"/>
      <c r="AA19" s="53"/>
      <c r="AB19" s="107"/>
      <c r="AC19" s="243"/>
      <c r="AD19" s="168"/>
      <c r="AE19" s="166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243"/>
      <c r="W20" s="3"/>
      <c r="X20" s="50"/>
      <c r="Y20" s="53"/>
      <c r="Z20" s="53"/>
      <c r="AA20" s="53"/>
      <c r="AB20" s="107"/>
      <c r="AC20" s="243"/>
      <c r="AD20" s="168"/>
      <c r="AE20" s="166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243"/>
      <c r="W21" s="3"/>
      <c r="X21" s="50"/>
      <c r="Y21" s="53"/>
      <c r="Z21" s="53"/>
      <c r="AA21" s="53"/>
      <c r="AB21" s="107"/>
      <c r="AC21" s="243"/>
      <c r="AD21" s="168"/>
      <c r="AE21" s="166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243"/>
      <c r="W22" s="3"/>
      <c r="X22" s="50"/>
      <c r="Y22" s="53"/>
      <c r="Z22" s="53"/>
      <c r="AA22" s="53"/>
      <c r="AB22" s="107"/>
      <c r="AC22" s="243"/>
      <c r="AD22" s="168"/>
      <c r="AE22" s="166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243"/>
      <c r="W23" s="3"/>
      <c r="X23" s="50"/>
      <c r="Y23" s="53"/>
      <c r="Z23" s="53"/>
      <c r="AA23" s="53"/>
      <c r="AB23" s="107"/>
      <c r="AC23" s="243"/>
      <c r="AD23" s="168"/>
      <c r="AE23" s="166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243"/>
      <c r="W24" s="3"/>
      <c r="X24" s="50"/>
      <c r="Y24" s="53"/>
      <c r="Z24" s="53"/>
      <c r="AA24" s="53"/>
      <c r="AB24" s="107"/>
      <c r="AC24" s="243"/>
      <c r="AD24" s="168"/>
      <c r="AE24" s="166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243"/>
      <c r="W25" s="3"/>
      <c r="X25" s="50"/>
      <c r="Y25" s="53"/>
      <c r="Z25" s="53"/>
      <c r="AA25" s="53"/>
      <c r="AB25" s="107"/>
      <c r="AC25" s="243"/>
      <c r="AD25" s="168"/>
      <c r="AE25" s="166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243"/>
      <c r="W26" s="3"/>
      <c r="X26" s="50"/>
      <c r="Y26" s="53"/>
      <c r="Z26" s="53"/>
      <c r="AA26" s="53"/>
      <c r="AB26" s="107"/>
      <c r="AC26" s="243"/>
      <c r="AD26" s="168"/>
      <c r="AE26" s="166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243"/>
      <c r="W27" s="3"/>
      <c r="X27" s="50"/>
      <c r="Y27" s="53"/>
      <c r="Z27" s="53"/>
      <c r="AA27" s="53"/>
      <c r="AB27" s="107"/>
      <c r="AC27" s="243"/>
      <c r="AD27" s="168"/>
      <c r="AE27" s="166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243"/>
      <c r="W28" s="3"/>
      <c r="X28" s="50"/>
      <c r="Y28" s="53"/>
      <c r="Z28" s="53"/>
      <c r="AA28" s="53"/>
      <c r="AB28" s="107"/>
      <c r="AC28" s="243"/>
      <c r="AD28" s="168"/>
      <c r="AE28" s="166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243"/>
      <c r="W29" s="3"/>
      <c r="X29" s="50"/>
      <c r="Y29" s="53"/>
      <c r="Z29" s="53"/>
      <c r="AA29" s="53"/>
      <c r="AB29" s="107"/>
      <c r="AC29" s="243"/>
      <c r="AD29" s="168"/>
      <c r="AE29" s="166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243"/>
      <c r="W30" s="3"/>
      <c r="X30" s="50"/>
      <c r="Y30" s="53"/>
      <c r="Z30" s="53"/>
      <c r="AA30" s="53"/>
      <c r="AB30" s="107"/>
      <c r="AC30" s="243"/>
      <c r="AD30" s="168"/>
      <c r="AE30" s="166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예산!K40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244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245"/>
      <c r="S33" s="62"/>
      <c r="T33" s="165"/>
      <c r="U33" s="88"/>
      <c r="V33" s="184"/>
      <c r="W33" s="43"/>
      <c r="X33" s="173"/>
      <c r="Y33" s="109"/>
      <c r="Z33" s="245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243"/>
      <c r="W35" s="3"/>
      <c r="X35" s="50"/>
      <c r="Y35" s="53"/>
      <c r="Z35" s="53"/>
      <c r="AA35" s="53"/>
      <c r="AB35" s="107"/>
      <c r="AC35" s="243"/>
      <c r="AD35" s="168"/>
      <c r="AE35" s="243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243"/>
      <c r="W36" s="3"/>
      <c r="X36" s="50"/>
      <c r="Y36" s="53"/>
      <c r="Z36" s="53"/>
      <c r="AA36" s="53"/>
      <c r="AB36" s="107"/>
      <c r="AC36" s="243"/>
      <c r="AD36" s="168"/>
      <c r="AE36" s="243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39" si="0">IF(M37="","",N36-M37)</f>
        <v/>
      </c>
      <c r="O37" s="481"/>
      <c r="Q37" s="50"/>
      <c r="R37" s="53"/>
      <c r="S37" s="53"/>
      <c r="T37" s="53"/>
      <c r="U37" s="107"/>
      <c r="V37" s="243"/>
      <c r="W37" s="3"/>
      <c r="X37" s="50"/>
      <c r="Y37" s="53"/>
      <c r="Z37" s="53"/>
      <c r="AA37" s="53"/>
      <c r="AB37" s="107"/>
      <c r="AC37" s="243"/>
      <c r="AD37" s="168"/>
      <c r="AE37" s="243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243"/>
      <c r="W38" s="3"/>
      <c r="X38" s="50"/>
      <c r="Y38" s="53"/>
      <c r="Z38" s="53"/>
      <c r="AA38" s="53"/>
      <c r="AB38" s="107"/>
      <c r="AC38" s="243"/>
      <c r="AD38" s="168"/>
      <c r="AE38" s="243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243"/>
      <c r="W39" s="3"/>
      <c r="X39" s="50"/>
      <c r="Y39" s="53"/>
      <c r="Z39" s="53"/>
      <c r="AA39" s="53"/>
      <c r="AB39" s="107"/>
      <c r="AC39" s="243"/>
      <c r="AD39" s="168"/>
      <c r="AE39" s="243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ref="N40:N94" si="1">IF(M40="","",N39-M40)</f>
        <v/>
      </c>
      <c r="O40" s="481"/>
      <c r="Q40" s="50"/>
      <c r="R40" s="53"/>
      <c r="S40" s="53"/>
      <c r="T40" s="53"/>
      <c r="U40" s="107"/>
      <c r="V40" s="243"/>
      <c r="W40" s="3"/>
      <c r="X40" s="50"/>
      <c r="Y40" s="53"/>
      <c r="Z40" s="53"/>
      <c r="AA40" s="53"/>
      <c r="AB40" s="107"/>
      <c r="AC40" s="243"/>
      <c r="AD40" s="168"/>
      <c r="AE40" s="243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1"/>
        <v/>
      </c>
      <c r="O41" s="481"/>
      <c r="Q41" s="50"/>
      <c r="R41" s="53"/>
      <c r="S41" s="53"/>
      <c r="T41" s="53"/>
      <c r="U41" s="107"/>
      <c r="V41" s="243"/>
      <c r="W41" s="3"/>
      <c r="X41" s="50"/>
      <c r="Y41" s="53"/>
      <c r="Z41" s="53"/>
      <c r="AA41" s="53"/>
      <c r="AB41" s="107"/>
      <c r="AC41" s="243"/>
      <c r="AD41" s="168"/>
      <c r="AE41" s="243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1"/>
        <v/>
      </c>
      <c r="O42" s="481"/>
      <c r="Q42" s="50"/>
      <c r="R42" s="53"/>
      <c r="S42" s="53"/>
      <c r="T42" s="53"/>
      <c r="U42" s="107"/>
      <c r="V42" s="243"/>
      <c r="W42" s="3"/>
      <c r="X42" s="50"/>
      <c r="Y42" s="53"/>
      <c r="Z42" s="53"/>
      <c r="AA42" s="53"/>
      <c r="AB42" s="107"/>
      <c r="AC42" s="243"/>
      <c r="AD42" s="168"/>
      <c r="AE42" s="243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1"/>
        <v/>
      </c>
      <c r="O43" s="481"/>
      <c r="Q43" s="50"/>
      <c r="R43" s="53"/>
      <c r="S43" s="53"/>
      <c r="T43" s="53"/>
      <c r="U43" s="107"/>
      <c r="V43" s="243"/>
      <c r="W43" s="3"/>
      <c r="X43" s="50"/>
      <c r="Y43" s="53"/>
      <c r="Z43" s="53"/>
      <c r="AA43" s="53"/>
      <c r="AB43" s="107"/>
      <c r="AC43" s="243"/>
      <c r="AD43" s="168"/>
      <c r="AE43" s="243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1"/>
        <v/>
      </c>
      <c r="O44" s="493"/>
      <c r="Q44" s="50"/>
      <c r="R44" s="53"/>
      <c r="S44" s="53"/>
      <c r="T44" s="53"/>
      <c r="U44" s="107"/>
      <c r="V44" s="243"/>
      <c r="W44" s="3"/>
      <c r="X44" s="50"/>
      <c r="Y44" s="53"/>
      <c r="Z44" s="53"/>
      <c r="AA44" s="53"/>
      <c r="AB44" s="107"/>
      <c r="AC44" s="243"/>
      <c r="AD44" s="168"/>
      <c r="AE44" s="243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243"/>
      <c r="W45" s="3"/>
      <c r="X45" s="50"/>
      <c r="Y45" s="53"/>
      <c r="Z45" s="53"/>
      <c r="AA45" s="53"/>
      <c r="AB45" s="107"/>
      <c r="AC45" s="243"/>
      <c r="AD45" s="168"/>
      <c r="AE45" s="243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1"/>
        <v/>
      </c>
      <c r="O46" s="481"/>
      <c r="Q46" s="50"/>
      <c r="R46" s="53"/>
      <c r="S46" s="53"/>
      <c r="T46" s="53"/>
      <c r="U46" s="107"/>
      <c r="V46" s="243"/>
      <c r="W46" s="3"/>
      <c r="X46" s="50"/>
      <c r="Y46" s="53"/>
      <c r="Z46" s="53"/>
      <c r="AA46" s="53"/>
      <c r="AB46" s="107"/>
      <c r="AC46" s="243"/>
      <c r="AD46" s="168"/>
      <c r="AE46" s="243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1"/>
        <v/>
      </c>
      <c r="O47" s="481"/>
      <c r="Q47" s="50"/>
      <c r="R47" s="53"/>
      <c r="S47" s="53"/>
      <c r="T47" s="53"/>
      <c r="U47" s="107"/>
      <c r="V47" s="243"/>
      <c r="W47" s="3"/>
      <c r="X47" s="50"/>
      <c r="Y47" s="53"/>
      <c r="Z47" s="53"/>
      <c r="AA47" s="53"/>
      <c r="AB47" s="107"/>
      <c r="AC47" s="243"/>
      <c r="AD47" s="168"/>
      <c r="AE47" s="243"/>
      <c r="AF47" s="170"/>
    </row>
    <row r="48" spans="2:32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1"/>
        <v/>
      </c>
      <c r="O48" s="481"/>
      <c r="Q48" s="50"/>
      <c r="R48" s="53"/>
      <c r="S48" s="53"/>
      <c r="T48" s="53"/>
      <c r="U48" s="107"/>
      <c r="V48" s="243"/>
      <c r="W48" s="3"/>
      <c r="X48" s="50"/>
      <c r="Y48" s="53"/>
      <c r="Z48" s="53"/>
      <c r="AA48" s="53"/>
      <c r="AB48" s="107"/>
      <c r="AC48" s="243"/>
      <c r="AD48" s="168"/>
      <c r="AE48" s="243"/>
      <c r="AF48" s="170"/>
    </row>
    <row r="49" spans="2:32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1"/>
        <v/>
      </c>
      <c r="O49" s="481"/>
      <c r="Q49" s="50"/>
      <c r="R49" s="53"/>
      <c r="S49" s="53"/>
      <c r="T49" s="53"/>
      <c r="U49" s="107"/>
      <c r="V49" s="243"/>
      <c r="W49" s="3"/>
      <c r="X49" s="50"/>
      <c r="Y49" s="53"/>
      <c r="Z49" s="53"/>
      <c r="AA49" s="53"/>
      <c r="AB49" s="107"/>
      <c r="AC49" s="243"/>
      <c r="AD49" s="168"/>
      <c r="AE49" s="243"/>
      <c r="AF49" s="170"/>
    </row>
    <row r="50" spans="2:32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1"/>
        <v/>
      </c>
      <c r="O50" s="481"/>
      <c r="Q50" s="50"/>
      <c r="R50" s="53"/>
      <c r="S50" s="53"/>
      <c r="T50" s="53"/>
      <c r="U50" s="107"/>
      <c r="V50" s="243"/>
      <c r="W50" s="3"/>
      <c r="X50" s="50"/>
      <c r="Y50" s="53"/>
      <c r="Z50" s="53"/>
      <c r="AA50" s="53"/>
      <c r="AB50" s="107"/>
      <c r="AC50" s="243"/>
      <c r="AD50" s="168"/>
      <c r="AE50" s="243"/>
      <c r="AF50" s="170"/>
    </row>
    <row r="51" spans="2:32" x14ac:dyDescent="0.3">
      <c r="B51" s="10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1"/>
        <v/>
      </c>
      <c r="O51" s="481"/>
      <c r="Q51" s="50"/>
      <c r="R51" s="53"/>
      <c r="S51" s="53"/>
      <c r="T51" s="53"/>
      <c r="U51" s="107"/>
      <c r="V51" s="243"/>
      <c r="W51" s="3"/>
      <c r="X51" s="50"/>
      <c r="Y51" s="53"/>
      <c r="Z51" s="53"/>
      <c r="AA51" s="53"/>
      <c r="AB51" s="107"/>
      <c r="AC51" s="243"/>
      <c r="AD51" s="168"/>
      <c r="AE51" s="243"/>
      <c r="AF51" s="170"/>
    </row>
    <row r="52" spans="2:32" x14ac:dyDescent="0.3">
      <c r="B52" s="10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1"/>
        <v/>
      </c>
      <c r="O52" s="481"/>
      <c r="Q52" s="50"/>
      <c r="R52" s="53"/>
      <c r="S52" s="53"/>
      <c r="T52" s="53"/>
      <c r="U52" s="107"/>
      <c r="V52" s="243"/>
      <c r="W52" s="3"/>
      <c r="X52" s="50"/>
      <c r="Y52" s="53"/>
      <c r="Z52" s="53"/>
      <c r="AA52" s="53"/>
      <c r="AB52" s="107"/>
      <c r="AC52" s="243"/>
      <c r="AD52" s="168"/>
      <c r="AE52" s="243"/>
      <c r="AF52" s="170"/>
    </row>
    <row r="53" spans="2:32" x14ac:dyDescent="0.3">
      <c r="B53" s="10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1"/>
        <v/>
      </c>
      <c r="O53" s="481"/>
      <c r="Q53" s="50"/>
      <c r="R53" s="53"/>
      <c r="S53" s="53"/>
      <c r="T53" s="53"/>
      <c r="U53" s="107"/>
      <c r="V53" s="243"/>
      <c r="W53" s="3"/>
      <c r="X53" s="50"/>
      <c r="Y53" s="53"/>
      <c r="Z53" s="53"/>
      <c r="AA53" s="53"/>
      <c r="AB53" s="107"/>
      <c r="AC53" s="243"/>
      <c r="AD53" s="168"/>
      <c r="AE53" s="243"/>
      <c r="AF53" s="170"/>
    </row>
    <row r="54" spans="2:32" x14ac:dyDescent="0.3">
      <c r="B54" s="10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1"/>
        <v/>
      </c>
      <c r="O54" s="481"/>
      <c r="Q54" s="50"/>
      <c r="R54" s="53"/>
      <c r="S54" s="53"/>
      <c r="T54" s="53"/>
      <c r="U54" s="107"/>
      <c r="V54" s="243"/>
      <c r="W54" s="3"/>
      <c r="X54" s="50"/>
      <c r="Y54" s="53"/>
      <c r="Z54" s="53"/>
      <c r="AA54" s="53"/>
      <c r="AB54" s="107"/>
      <c r="AC54" s="243"/>
      <c r="AD54" s="168"/>
      <c r="AE54" s="243"/>
      <c r="AF54" s="170"/>
    </row>
    <row r="55" spans="2:32" x14ac:dyDescent="0.3">
      <c r="B55" s="10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1"/>
        <v/>
      </c>
      <c r="O55" s="481"/>
      <c r="Q55" s="50"/>
      <c r="R55" s="53"/>
      <c r="S55" s="53"/>
      <c r="T55" s="53"/>
      <c r="U55" s="107"/>
      <c r="V55" s="243"/>
      <c r="W55" s="3"/>
      <c r="X55" s="50"/>
      <c r="Y55" s="53"/>
      <c r="Z55" s="53"/>
      <c r="AA55" s="53"/>
      <c r="AB55" s="107"/>
      <c r="AC55" s="243"/>
      <c r="AD55" s="168"/>
      <c r="AE55" s="243"/>
      <c r="AF55" s="170"/>
    </row>
    <row r="56" spans="2:32" x14ac:dyDescent="0.3">
      <c r="B56" s="10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1"/>
        <v/>
      </c>
      <c r="O56" s="481"/>
      <c r="Q56" s="50"/>
      <c r="R56" s="53"/>
      <c r="S56" s="53"/>
      <c r="T56" s="53"/>
      <c r="U56" s="107"/>
      <c r="V56" s="243"/>
      <c r="W56" s="3"/>
      <c r="X56" s="50"/>
      <c r="Y56" s="53"/>
      <c r="Z56" s="53"/>
      <c r="AA56" s="53"/>
      <c r="AB56" s="107"/>
      <c r="AC56" s="243"/>
      <c r="AD56" s="168"/>
      <c r="AE56" s="243"/>
      <c r="AF56" s="170"/>
    </row>
    <row r="57" spans="2:32" x14ac:dyDescent="0.3">
      <c r="B57" s="10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1"/>
        <v/>
      </c>
      <c r="O57" s="481"/>
      <c r="Q57" s="50"/>
      <c r="R57" s="53"/>
      <c r="S57" s="53"/>
      <c r="T57" s="53"/>
      <c r="U57" s="107"/>
      <c r="V57" s="243"/>
      <c r="W57" s="3"/>
      <c r="X57" s="50"/>
      <c r="Y57" s="53"/>
      <c r="Z57" s="53"/>
      <c r="AA57" s="53"/>
      <c r="AB57" s="107"/>
      <c r="AC57" s="243"/>
      <c r="AD57" s="168"/>
      <c r="AE57" s="243"/>
      <c r="AF57" s="170"/>
    </row>
    <row r="58" spans="2:32" x14ac:dyDescent="0.3">
      <c r="B58" s="10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1"/>
        <v/>
      </c>
      <c r="O58" s="481"/>
      <c r="Q58" s="50"/>
      <c r="R58" s="53"/>
      <c r="S58" s="53"/>
      <c r="T58" s="53"/>
      <c r="U58" s="107"/>
      <c r="V58" s="243"/>
      <c r="W58" s="3"/>
      <c r="X58" s="50"/>
      <c r="Y58" s="53"/>
      <c r="Z58" s="53"/>
      <c r="AA58" s="53"/>
      <c r="AB58" s="107"/>
      <c r="AC58" s="243"/>
      <c r="AD58" s="168"/>
      <c r="AE58" s="243"/>
      <c r="AF58" s="170"/>
    </row>
    <row r="59" spans="2:32" x14ac:dyDescent="0.3">
      <c r="B59" s="10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1"/>
        <v/>
      </c>
      <c r="O59" s="481"/>
      <c r="Q59" s="50"/>
      <c r="R59" s="53"/>
      <c r="S59" s="53"/>
      <c r="T59" s="53"/>
      <c r="U59" s="107"/>
      <c r="V59" s="243"/>
      <c r="W59" s="3"/>
      <c r="X59" s="50"/>
      <c r="Y59" s="53"/>
      <c r="Z59" s="53"/>
      <c r="AA59" s="53"/>
      <c r="AB59" s="107"/>
      <c r="AC59" s="243"/>
      <c r="AD59" s="168"/>
      <c r="AE59" s="243"/>
      <c r="AF59" s="170"/>
    </row>
    <row r="60" spans="2:32" x14ac:dyDescent="0.3">
      <c r="B60" s="10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1"/>
        <v/>
      </c>
      <c r="O60" s="481"/>
      <c r="Q60" s="50"/>
      <c r="R60" s="53"/>
      <c r="S60" s="53"/>
      <c r="T60" s="53"/>
      <c r="U60" s="107"/>
      <c r="V60" s="243"/>
      <c r="W60" s="3"/>
      <c r="X60" s="50"/>
      <c r="Y60" s="53"/>
      <c r="Z60" s="53"/>
      <c r="AA60" s="53"/>
      <c r="AB60" s="107"/>
      <c r="AC60" s="243"/>
      <c r="AD60" s="168"/>
      <c r="AE60" s="243"/>
      <c r="AF60" s="170"/>
    </row>
    <row r="61" spans="2:32" x14ac:dyDescent="0.3">
      <c r="B61" s="10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1"/>
        <v/>
      </c>
      <c r="O61" s="481"/>
      <c r="Q61" s="50"/>
      <c r="R61" s="53"/>
      <c r="S61" s="53"/>
      <c r="T61" s="53"/>
      <c r="U61" s="107"/>
      <c r="V61" s="243"/>
      <c r="W61" s="3"/>
      <c r="X61" s="50"/>
      <c r="Y61" s="53"/>
      <c r="Z61" s="53"/>
      <c r="AA61" s="53"/>
      <c r="AB61" s="107"/>
      <c r="AC61" s="243"/>
      <c r="AD61" s="168"/>
      <c r="AE61" s="243"/>
      <c r="AF61" s="170"/>
    </row>
    <row r="62" spans="2:32" x14ac:dyDescent="0.3">
      <c r="B62" s="10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1"/>
        <v/>
      </c>
      <c r="O62" s="481"/>
      <c r="Q62" s="50"/>
      <c r="R62" s="53"/>
      <c r="S62" s="53"/>
      <c r="T62" s="53"/>
      <c r="U62" s="107"/>
      <c r="V62" s="243"/>
      <c r="W62" s="3"/>
      <c r="X62" s="50"/>
      <c r="Y62" s="53"/>
      <c r="Z62" s="53"/>
      <c r="AA62" s="53"/>
      <c r="AB62" s="107"/>
      <c r="AC62" s="243"/>
      <c r="AD62" s="168"/>
      <c r="AE62" s="243"/>
      <c r="AF62" s="170"/>
    </row>
    <row r="63" spans="2:32" x14ac:dyDescent="0.3">
      <c r="B63" s="10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1"/>
        <v/>
      </c>
      <c r="O63" s="481"/>
      <c r="Q63" s="50"/>
      <c r="R63" s="53"/>
      <c r="S63" s="53"/>
      <c r="T63" s="53"/>
      <c r="U63" s="107"/>
      <c r="V63" s="243"/>
      <c r="W63" s="3"/>
      <c r="X63" s="50"/>
      <c r="Y63" s="53"/>
      <c r="Z63" s="53"/>
      <c r="AA63" s="53"/>
      <c r="AB63" s="107"/>
      <c r="AC63" s="243"/>
      <c r="AD63" s="168"/>
      <c r="AE63" s="243"/>
      <c r="AF63" s="170"/>
    </row>
    <row r="64" spans="2:32" x14ac:dyDescent="0.3">
      <c r="B64" s="10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1"/>
        <v/>
      </c>
      <c r="O64" s="481"/>
      <c r="Q64" s="50"/>
      <c r="R64" s="53"/>
      <c r="S64" s="53"/>
      <c r="T64" s="53"/>
      <c r="U64" s="107"/>
      <c r="V64" s="243"/>
      <c r="W64" s="3"/>
      <c r="X64" s="50"/>
      <c r="Y64" s="53"/>
      <c r="Z64" s="53"/>
      <c r="AA64" s="53"/>
      <c r="AB64" s="107"/>
      <c r="AC64" s="243"/>
      <c r="AD64" s="168"/>
      <c r="AE64" s="243"/>
      <c r="AF64" s="170"/>
    </row>
    <row r="65" spans="2:32" x14ac:dyDescent="0.3">
      <c r="B65" s="10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1"/>
        <v/>
      </c>
      <c r="O65" s="481"/>
      <c r="Q65" s="50"/>
      <c r="R65" s="53"/>
      <c r="S65" s="53"/>
      <c r="T65" s="53"/>
      <c r="U65" s="107"/>
      <c r="V65" s="243"/>
      <c r="W65" s="3"/>
      <c r="X65" s="50"/>
      <c r="Y65" s="53"/>
      <c r="Z65" s="53"/>
      <c r="AA65" s="53"/>
      <c r="AB65" s="107"/>
      <c r="AC65" s="243"/>
      <c r="AD65" s="168"/>
      <c r="AE65" s="243"/>
      <c r="AF65" s="170"/>
    </row>
    <row r="66" spans="2:32" x14ac:dyDescent="0.3">
      <c r="B66" s="10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1"/>
        <v/>
      </c>
      <c r="O66" s="481"/>
      <c r="Q66" s="50"/>
      <c r="R66" s="53"/>
      <c r="S66" s="53"/>
      <c r="T66" s="53"/>
      <c r="U66" s="107"/>
      <c r="V66" s="243"/>
      <c r="W66" s="3"/>
      <c r="X66" s="50"/>
      <c r="Y66" s="53"/>
      <c r="Z66" s="53"/>
      <c r="AA66" s="53"/>
      <c r="AB66" s="107"/>
      <c r="AC66" s="243"/>
      <c r="AD66" s="168"/>
      <c r="AE66" s="243"/>
      <c r="AF66" s="170"/>
    </row>
    <row r="67" spans="2:32" x14ac:dyDescent="0.3">
      <c r="B67" s="10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1"/>
        <v/>
      </c>
      <c r="O67" s="481"/>
      <c r="Q67" s="50"/>
      <c r="R67" s="53"/>
      <c r="S67" s="53"/>
      <c r="T67" s="53"/>
      <c r="U67" s="107"/>
      <c r="V67" s="243"/>
      <c r="W67" s="3"/>
      <c r="X67" s="50"/>
      <c r="Y67" s="53"/>
      <c r="Z67" s="53"/>
      <c r="AA67" s="53"/>
      <c r="AB67" s="107"/>
      <c r="AC67" s="243"/>
      <c r="AD67" s="168"/>
      <c r="AE67" s="243"/>
      <c r="AF67" s="170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1"/>
        <v/>
      </c>
      <c r="O68" s="481"/>
      <c r="Q68" s="50"/>
      <c r="R68" s="53"/>
      <c r="S68" s="53"/>
      <c r="T68" s="53"/>
      <c r="U68" s="107"/>
      <c r="V68" s="243"/>
      <c r="W68" s="3"/>
      <c r="X68" s="50"/>
      <c r="Y68" s="53"/>
      <c r="Z68" s="53"/>
      <c r="AA68" s="53"/>
      <c r="AB68" s="107"/>
      <c r="AC68" s="243"/>
      <c r="AD68" s="168"/>
      <c r="AE68" s="243"/>
      <c r="AF68" s="170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1"/>
        <v/>
      </c>
      <c r="O69" s="481"/>
      <c r="Q69" s="50"/>
      <c r="R69" s="53"/>
      <c r="S69" s="53"/>
      <c r="T69" s="53"/>
      <c r="U69" s="107"/>
      <c r="V69" s="243"/>
      <c r="W69" s="3"/>
      <c r="X69" s="50"/>
      <c r="Y69" s="53"/>
      <c r="Z69" s="53"/>
      <c r="AA69" s="53"/>
      <c r="AB69" s="107"/>
      <c r="AC69" s="243"/>
      <c r="AD69" s="168"/>
      <c r="AE69" s="243"/>
      <c r="AF69" s="170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1"/>
        <v/>
      </c>
      <c r="O70" s="481"/>
      <c r="Q70" s="50"/>
      <c r="R70" s="53"/>
      <c r="S70" s="53"/>
      <c r="T70" s="53"/>
      <c r="U70" s="107"/>
      <c r="V70" s="243"/>
      <c r="W70" s="3"/>
      <c r="X70" s="50"/>
      <c r="Y70" s="53"/>
      <c r="Z70" s="53"/>
      <c r="AA70" s="53"/>
      <c r="AB70" s="107"/>
      <c r="AC70" s="243"/>
      <c r="AD70" s="168"/>
      <c r="AE70" s="243"/>
      <c r="AF70" s="170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1"/>
        <v/>
      </c>
      <c r="O71" s="481"/>
      <c r="Q71" s="50"/>
      <c r="R71" s="53"/>
      <c r="S71" s="53"/>
      <c r="T71" s="53"/>
      <c r="U71" s="107"/>
      <c r="V71" s="243"/>
      <c r="W71" s="3"/>
      <c r="X71" s="50"/>
      <c r="Y71" s="53"/>
      <c r="Z71" s="53"/>
      <c r="AA71" s="53"/>
      <c r="AB71" s="107"/>
      <c r="AC71" s="243"/>
      <c r="AD71" s="168"/>
      <c r="AE71" s="243"/>
      <c r="AF71" s="170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1"/>
        <v/>
      </c>
      <c r="O72" s="481"/>
      <c r="Q72" s="50"/>
      <c r="R72" s="53"/>
      <c r="S72" s="53"/>
      <c r="T72" s="53"/>
      <c r="U72" s="107"/>
      <c r="V72" s="243"/>
      <c r="W72" s="3"/>
      <c r="X72" s="50"/>
      <c r="Y72" s="53"/>
      <c r="Z72" s="53"/>
      <c r="AA72" s="53"/>
      <c r="AB72" s="107"/>
      <c r="AC72" s="243"/>
      <c r="AD72" s="168"/>
      <c r="AE72" s="243"/>
      <c r="AF72" s="170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1"/>
        <v/>
      </c>
      <c r="O73" s="481"/>
      <c r="Q73" s="50"/>
      <c r="R73" s="53"/>
      <c r="S73" s="53"/>
      <c r="T73" s="53"/>
      <c r="U73" s="107"/>
      <c r="V73" s="243"/>
      <c r="W73" s="3"/>
      <c r="X73" s="50"/>
      <c r="Y73" s="53"/>
      <c r="Z73" s="53"/>
      <c r="AA73" s="53"/>
      <c r="AB73" s="107"/>
      <c r="AC73" s="243"/>
      <c r="AD73" s="168"/>
      <c r="AE73" s="243"/>
      <c r="AF73" s="170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1"/>
        <v/>
      </c>
      <c r="O74" s="481"/>
      <c r="Q74" s="50"/>
      <c r="R74" s="53"/>
      <c r="S74" s="53"/>
      <c r="T74" s="53"/>
      <c r="U74" s="107"/>
      <c r="V74" s="243"/>
      <c r="W74" s="3"/>
      <c r="X74" s="50"/>
      <c r="Y74" s="53"/>
      <c r="Z74" s="53"/>
      <c r="AA74" s="53"/>
      <c r="AB74" s="107"/>
      <c r="AC74" s="243"/>
      <c r="AD74" s="168"/>
      <c r="AE74" s="243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1"/>
        <v/>
      </c>
      <c r="O75" s="481"/>
      <c r="Q75" s="50"/>
      <c r="R75" s="53"/>
      <c r="S75" s="53"/>
      <c r="T75" s="53"/>
      <c r="U75" s="107"/>
      <c r="V75" s="243"/>
      <c r="W75" s="3"/>
      <c r="X75" s="50"/>
      <c r="Y75" s="53"/>
      <c r="Z75" s="53"/>
      <c r="AA75" s="53"/>
      <c r="AB75" s="107"/>
      <c r="AC75" s="243"/>
      <c r="AD75" s="168"/>
      <c r="AE75" s="243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1"/>
        <v/>
      </c>
      <c r="O76" s="481"/>
      <c r="Q76" s="50"/>
      <c r="R76" s="53"/>
      <c r="S76" s="53"/>
      <c r="T76" s="53"/>
      <c r="U76" s="107"/>
      <c r="V76" s="243"/>
      <c r="W76" s="3"/>
      <c r="X76" s="50"/>
      <c r="Y76" s="53"/>
      <c r="Z76" s="53"/>
      <c r="AA76" s="53"/>
      <c r="AB76" s="107"/>
      <c r="AC76" s="243"/>
      <c r="AD76" s="168"/>
      <c r="AE76" s="243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1"/>
        <v/>
      </c>
      <c r="O77" s="481"/>
      <c r="Q77" s="50"/>
      <c r="R77" s="53"/>
      <c r="S77" s="53"/>
      <c r="T77" s="53"/>
      <c r="U77" s="107"/>
      <c r="V77" s="243"/>
      <c r="W77" s="3"/>
      <c r="X77" s="50"/>
      <c r="Y77" s="53"/>
      <c r="Z77" s="53"/>
      <c r="AA77" s="53"/>
      <c r="AB77" s="107"/>
      <c r="AC77" s="243"/>
      <c r="AD77" s="168"/>
      <c r="AE77" s="243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1"/>
        <v/>
      </c>
      <c r="O78" s="481"/>
      <c r="Q78" s="50"/>
      <c r="R78" s="53"/>
      <c r="S78" s="53"/>
      <c r="T78" s="53"/>
      <c r="U78" s="107"/>
      <c r="V78" s="243"/>
      <c r="W78" s="3"/>
      <c r="X78" s="50"/>
      <c r="Y78" s="53"/>
      <c r="Z78" s="53"/>
      <c r="AA78" s="53"/>
      <c r="AB78" s="107"/>
      <c r="AC78" s="243"/>
      <c r="AD78" s="168"/>
      <c r="AE78" s="243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1"/>
        <v/>
      </c>
      <c r="O79" s="481"/>
      <c r="Q79" s="50"/>
      <c r="R79" s="53"/>
      <c r="S79" s="53"/>
      <c r="T79" s="53"/>
      <c r="U79" s="107"/>
      <c r="V79" s="243"/>
      <c r="W79" s="3"/>
      <c r="X79" s="50"/>
      <c r="Y79" s="53"/>
      <c r="Z79" s="53"/>
      <c r="AA79" s="53"/>
      <c r="AB79" s="107"/>
      <c r="AC79" s="243"/>
      <c r="AD79" s="168"/>
      <c r="AE79" s="243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1"/>
        <v/>
      </c>
      <c r="O80" s="481"/>
      <c r="Q80" s="50"/>
      <c r="R80" s="53"/>
      <c r="S80" s="53"/>
      <c r="T80" s="53"/>
      <c r="U80" s="107"/>
      <c r="V80" s="243"/>
      <c r="W80" s="3"/>
      <c r="X80" s="50"/>
      <c r="Y80" s="53"/>
      <c r="Z80" s="53"/>
      <c r="AA80" s="53"/>
      <c r="AB80" s="107"/>
      <c r="AC80" s="243"/>
      <c r="AD80" s="168"/>
      <c r="AE80" s="243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1"/>
        <v/>
      </c>
      <c r="O81" s="481"/>
      <c r="Q81" s="50"/>
      <c r="R81" s="53"/>
      <c r="S81" s="53"/>
      <c r="T81" s="53"/>
      <c r="U81" s="107"/>
      <c r="V81" s="243"/>
      <c r="W81" s="3"/>
      <c r="X81" s="50"/>
      <c r="Y81" s="53"/>
      <c r="Z81" s="53"/>
      <c r="AA81" s="53"/>
      <c r="AB81" s="107"/>
      <c r="AC81" s="243"/>
      <c r="AD81" s="168"/>
      <c r="AE81" s="243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1"/>
        <v/>
      </c>
      <c r="O82" s="481"/>
      <c r="Q82" s="50"/>
      <c r="R82" s="53"/>
      <c r="S82" s="53"/>
      <c r="T82" s="53"/>
      <c r="U82" s="107"/>
      <c r="V82" s="243"/>
      <c r="W82" s="3"/>
      <c r="X82" s="50"/>
      <c r="Y82" s="53"/>
      <c r="Z82" s="53"/>
      <c r="AA82" s="53"/>
      <c r="AB82" s="107"/>
      <c r="AC82" s="243"/>
      <c r="AD82" s="168"/>
      <c r="AE82" s="243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1"/>
        <v/>
      </c>
      <c r="O83" s="481"/>
      <c r="Q83" s="50"/>
      <c r="R83" s="53"/>
      <c r="S83" s="53"/>
      <c r="T83" s="53"/>
      <c r="U83" s="107"/>
      <c r="V83" s="243"/>
      <c r="W83" s="3"/>
      <c r="X83" s="50"/>
      <c r="Y83" s="53"/>
      <c r="Z83" s="53"/>
      <c r="AA83" s="53"/>
      <c r="AB83" s="107"/>
      <c r="AC83" s="243"/>
      <c r="AD83" s="168"/>
      <c r="AE83" s="243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1"/>
        <v/>
      </c>
      <c r="O84" s="481"/>
      <c r="Q84" s="50"/>
      <c r="R84" s="53"/>
      <c r="S84" s="53"/>
      <c r="T84" s="53"/>
      <c r="U84" s="107"/>
      <c r="V84" s="243"/>
      <c r="W84" s="3"/>
      <c r="X84" s="50"/>
      <c r="Y84" s="53"/>
      <c r="Z84" s="53"/>
      <c r="AA84" s="53"/>
      <c r="AB84" s="107"/>
      <c r="AC84" s="243"/>
      <c r="AD84" s="168"/>
      <c r="AE84" s="243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1"/>
        <v/>
      </c>
      <c r="O85" s="481"/>
      <c r="Q85" s="50"/>
      <c r="R85" s="53"/>
      <c r="S85" s="53"/>
      <c r="T85" s="53"/>
      <c r="U85" s="107"/>
      <c r="V85" s="243"/>
      <c r="W85" s="3"/>
      <c r="X85" s="50"/>
      <c r="Y85" s="53"/>
      <c r="Z85" s="53"/>
      <c r="AA85" s="53"/>
      <c r="AB85" s="107"/>
      <c r="AC85" s="243"/>
      <c r="AD85" s="168"/>
      <c r="AE85" s="243"/>
      <c r="AF85" s="168"/>
    </row>
    <row r="86" spans="1:32" x14ac:dyDescent="0.3">
      <c r="B86" s="6"/>
      <c r="C86" s="7"/>
      <c r="D86" s="7"/>
      <c r="E86" s="8"/>
      <c r="F86" s="9"/>
      <c r="G86" s="3"/>
      <c r="H86" s="10"/>
      <c r="I86" s="7"/>
      <c r="J86" s="7"/>
      <c r="K86" s="7"/>
      <c r="L86" s="8"/>
      <c r="M86" s="45"/>
      <c r="N86" s="328" t="str">
        <f t="shared" si="1"/>
        <v/>
      </c>
      <c r="O86" s="481"/>
      <c r="Q86" s="50"/>
      <c r="R86" s="53"/>
      <c r="S86" s="53"/>
      <c r="T86" s="53"/>
      <c r="U86" s="107"/>
      <c r="V86" s="243"/>
      <c r="W86" s="3"/>
      <c r="X86" s="50"/>
      <c r="Y86" s="53"/>
      <c r="Z86" s="53"/>
      <c r="AA86" s="53"/>
      <c r="AB86" s="107"/>
      <c r="AC86" s="243"/>
      <c r="AD86" s="168"/>
      <c r="AE86" s="243"/>
      <c r="AF86" s="168"/>
    </row>
    <row r="87" spans="1:32" x14ac:dyDescent="0.3">
      <c r="B87" s="6"/>
      <c r="C87" s="7"/>
      <c r="D87" s="7"/>
      <c r="E87" s="8"/>
      <c r="F87" s="9"/>
      <c r="G87" s="3"/>
      <c r="H87" s="10"/>
      <c r="I87" s="7"/>
      <c r="J87" s="7"/>
      <c r="K87" s="7"/>
      <c r="L87" s="8"/>
      <c r="M87" s="45"/>
      <c r="N87" s="328" t="str">
        <f t="shared" si="1"/>
        <v/>
      </c>
      <c r="O87" s="481"/>
      <c r="Q87" s="50"/>
      <c r="R87" s="53"/>
      <c r="S87" s="53"/>
      <c r="T87" s="53"/>
      <c r="U87" s="107"/>
      <c r="V87" s="243"/>
      <c r="W87" s="3"/>
      <c r="X87" s="50"/>
      <c r="Y87" s="53"/>
      <c r="Z87" s="53"/>
      <c r="AA87" s="53"/>
      <c r="AB87" s="107"/>
      <c r="AC87" s="243"/>
      <c r="AD87" s="168"/>
      <c r="AE87" s="243"/>
      <c r="AF87" s="168"/>
    </row>
    <row r="88" spans="1:32" x14ac:dyDescent="0.3">
      <c r="B88" s="6"/>
      <c r="C88" s="7"/>
      <c r="D88" s="7"/>
      <c r="E88" s="8"/>
      <c r="F88" s="9"/>
      <c r="G88" s="3"/>
      <c r="H88" s="10"/>
      <c r="I88" s="7"/>
      <c r="J88" s="7"/>
      <c r="K88" s="7"/>
      <c r="L88" s="8"/>
      <c r="M88" s="45"/>
      <c r="N88" s="328" t="str">
        <f t="shared" si="1"/>
        <v/>
      </c>
      <c r="O88" s="481"/>
      <c r="Q88" s="50"/>
      <c r="R88" s="53"/>
      <c r="S88" s="53"/>
      <c r="T88" s="53"/>
      <c r="U88" s="107"/>
      <c r="V88" s="243"/>
      <c r="W88" s="3"/>
      <c r="X88" s="50"/>
      <c r="Y88" s="53"/>
      <c r="Z88" s="53"/>
      <c r="AA88" s="53"/>
      <c r="AB88" s="107"/>
      <c r="AC88" s="243"/>
      <c r="AD88" s="168"/>
      <c r="AE88" s="243"/>
      <c r="AF88" s="168"/>
    </row>
    <row r="89" spans="1:32" x14ac:dyDescent="0.3">
      <c r="B89" s="6"/>
      <c r="C89" s="7"/>
      <c r="D89" s="7"/>
      <c r="E89" s="8"/>
      <c r="F89" s="9"/>
      <c r="G89" s="3"/>
      <c r="H89" s="10"/>
      <c r="I89" s="7"/>
      <c r="J89" s="7"/>
      <c r="K89" s="7"/>
      <c r="L89" s="8"/>
      <c r="M89" s="45"/>
      <c r="N89" s="328" t="str">
        <f t="shared" si="1"/>
        <v/>
      </c>
      <c r="O89" s="481"/>
      <c r="Q89" s="50"/>
      <c r="R89" s="53"/>
      <c r="S89" s="53"/>
      <c r="T89" s="53"/>
      <c r="U89" s="107"/>
      <c r="V89" s="243"/>
      <c r="W89" s="3"/>
      <c r="X89" s="50"/>
      <c r="Y89" s="53"/>
      <c r="Z89" s="53"/>
      <c r="AA89" s="53"/>
      <c r="AB89" s="107"/>
      <c r="AC89" s="243"/>
      <c r="AD89" s="168"/>
      <c r="AE89" s="243"/>
      <c r="AF89" s="168"/>
    </row>
    <row r="90" spans="1:32" x14ac:dyDescent="0.3">
      <c r="B90" s="6"/>
      <c r="C90" s="7"/>
      <c r="D90" s="7"/>
      <c r="E90" s="8"/>
      <c r="F90" s="9"/>
      <c r="G90" s="3"/>
      <c r="H90" s="10"/>
      <c r="I90" s="7"/>
      <c r="J90" s="7"/>
      <c r="K90" s="7"/>
      <c r="L90" s="8"/>
      <c r="M90" s="45"/>
      <c r="N90" s="328" t="str">
        <f t="shared" si="1"/>
        <v/>
      </c>
      <c r="O90" s="481"/>
      <c r="Q90" s="50"/>
      <c r="R90" s="53"/>
      <c r="S90" s="53"/>
      <c r="T90" s="53"/>
      <c r="U90" s="107"/>
      <c r="V90" s="243"/>
      <c r="W90" s="3"/>
      <c r="X90" s="50"/>
      <c r="Y90" s="53"/>
      <c r="Z90" s="53"/>
      <c r="AA90" s="53"/>
      <c r="AB90" s="107"/>
      <c r="AC90" s="243"/>
      <c r="AD90" s="168"/>
      <c r="AE90" s="243"/>
      <c r="AF90" s="168"/>
    </row>
    <row r="91" spans="1:32" x14ac:dyDescent="0.3">
      <c r="B91" s="6"/>
      <c r="C91" s="7"/>
      <c r="D91" s="7"/>
      <c r="E91" s="8"/>
      <c r="F91" s="9"/>
      <c r="G91" s="3"/>
      <c r="H91" s="10"/>
      <c r="I91" s="7"/>
      <c r="J91" s="7"/>
      <c r="K91" s="7"/>
      <c r="L91" s="8"/>
      <c r="M91" s="45"/>
      <c r="N91" s="328" t="str">
        <f t="shared" si="1"/>
        <v/>
      </c>
      <c r="O91" s="481"/>
      <c r="Q91" s="50"/>
      <c r="R91" s="53"/>
      <c r="S91" s="53"/>
      <c r="T91" s="53"/>
      <c r="U91" s="107"/>
      <c r="V91" s="243"/>
      <c r="W91" s="3"/>
      <c r="X91" s="50"/>
      <c r="Y91" s="53"/>
      <c r="Z91" s="53"/>
      <c r="AA91" s="53"/>
      <c r="AB91" s="107"/>
      <c r="AC91" s="243"/>
      <c r="AD91" s="168"/>
      <c r="AE91" s="243"/>
      <c r="AF91" s="168"/>
    </row>
    <row r="92" spans="1:32" x14ac:dyDescent="0.3">
      <c r="B92" s="6"/>
      <c r="C92" s="7"/>
      <c r="D92" s="7"/>
      <c r="E92" s="8"/>
      <c r="F92" s="9"/>
      <c r="G92" s="3"/>
      <c r="H92" s="10"/>
      <c r="I92" s="7"/>
      <c r="J92" s="7"/>
      <c r="K92" s="7"/>
      <c r="L92" s="8"/>
      <c r="M92" s="45"/>
      <c r="N92" s="328" t="str">
        <f t="shared" si="1"/>
        <v/>
      </c>
      <c r="O92" s="481"/>
      <c r="Q92" s="50"/>
      <c r="R92" s="53"/>
      <c r="S92" s="53"/>
      <c r="T92" s="53"/>
      <c r="U92" s="107"/>
      <c r="V92" s="243"/>
      <c r="W92" s="3"/>
      <c r="X92" s="50"/>
      <c r="Y92" s="53"/>
      <c r="Z92" s="53"/>
      <c r="AA92" s="53"/>
      <c r="AB92" s="107"/>
      <c r="AC92" s="243"/>
      <c r="AD92" s="168"/>
      <c r="AE92" s="243"/>
      <c r="AF92" s="168"/>
    </row>
    <row r="93" spans="1:32" x14ac:dyDescent="0.3">
      <c r="B93" s="6"/>
      <c r="C93" s="7"/>
      <c r="D93" s="7"/>
      <c r="E93" s="8"/>
      <c r="F93" s="9"/>
      <c r="G93" s="3"/>
      <c r="H93" s="10"/>
      <c r="I93" s="7"/>
      <c r="J93" s="7"/>
      <c r="K93" s="7"/>
      <c r="L93" s="8"/>
      <c r="M93" s="45"/>
      <c r="N93" s="328" t="str">
        <f t="shared" si="1"/>
        <v/>
      </c>
      <c r="O93" s="481"/>
      <c r="Q93" s="50"/>
      <c r="R93" s="53"/>
      <c r="S93" s="53"/>
      <c r="T93" s="53"/>
      <c r="U93" s="107"/>
      <c r="V93" s="243"/>
      <c r="W93" s="3"/>
      <c r="X93" s="50"/>
      <c r="Y93" s="53"/>
      <c r="Z93" s="53"/>
      <c r="AA93" s="53"/>
      <c r="AB93" s="107"/>
      <c r="AC93" s="243"/>
      <c r="AD93" s="168"/>
      <c r="AE93" s="243"/>
      <c r="AF93" s="168"/>
    </row>
    <row r="94" spans="1:32" x14ac:dyDescent="0.3">
      <c r="B94" s="6"/>
      <c r="C94" s="7"/>
      <c r="D94" s="7"/>
      <c r="E94" s="8"/>
      <c r="F94" s="9"/>
      <c r="G94" s="3"/>
      <c r="H94" s="10"/>
      <c r="I94" s="7"/>
      <c r="J94" s="7"/>
      <c r="K94" s="7"/>
      <c r="L94" s="8"/>
      <c r="M94" s="45"/>
      <c r="N94" s="328" t="str">
        <f t="shared" si="1"/>
        <v/>
      </c>
      <c r="O94" s="481"/>
      <c r="Q94" s="50"/>
      <c r="R94" s="53"/>
      <c r="S94" s="53"/>
      <c r="T94" s="53"/>
      <c r="U94" s="107"/>
      <c r="V94" s="243"/>
      <c r="W94" s="3"/>
      <c r="X94" s="50"/>
      <c r="Y94" s="53"/>
      <c r="Z94" s="53"/>
      <c r="AA94" s="53"/>
      <c r="AB94" s="107"/>
      <c r="AC94" s="243"/>
      <c r="AD94" s="168"/>
      <c r="AE94" s="243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4" priority="1">
      <formula>$N35&lt;0</formula>
    </cfRule>
  </conditionalFormatting>
  <dataValidations count="3">
    <dataValidation type="list" allowBlank="1" showInputMessage="1" showErrorMessage="1" sqref="I11:I30 I35:I94" xr:uid="{BC56A0CF-2F85-4E49-A166-4CF1A4B2B9CB}">
      <formula1>계정</formula1>
    </dataValidation>
    <dataValidation type="list" allowBlank="1" showInputMessage="1" showErrorMessage="1" sqref="J11:J30 C11:C30 C35:C94 J35:J94" xr:uid="{3322CEF5-0A4C-4F52-9012-28DA5EF9AA58}">
      <formula1>대분류</formula1>
    </dataValidation>
    <dataValidation type="list" allowBlank="1" showInputMessage="1" showErrorMessage="1" sqref="K11:K30 D11:D30 D35:D94 K35:K94" xr:uid="{46014736-D54D-4D71-A7C6-B3AD1860E194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4504-E159-45AF-9529-E9165FF3A84E}">
  <sheetPr codeName="Sheet38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178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246"/>
      <c r="T5" s="159"/>
      <c r="U5" s="247"/>
    </row>
    <row r="6" spans="1:32" x14ac:dyDescent="0.3">
      <c r="B6" s="68" t="s">
        <v>97</v>
      </c>
      <c r="C6" s="93">
        <f>SUM($I$9+$J$33)</f>
        <v>0</v>
      </c>
      <c r="H6" s="588" t="s">
        <v>112</v>
      </c>
      <c r="I6" s="586"/>
      <c r="J6" s="586"/>
      <c r="K6" s="586"/>
      <c r="L6" s="586"/>
      <c r="M6" s="582"/>
      <c r="N6" s="582"/>
      <c r="O6" s="582"/>
      <c r="Q6" s="157"/>
      <c r="R6" s="246"/>
      <c r="T6" s="159"/>
      <c r="U6" s="163"/>
    </row>
    <row r="7" spans="1:32" x14ac:dyDescent="0.3">
      <c r="B7" s="74" t="s">
        <v>65</v>
      </c>
      <c r="C7" s="69">
        <f>$C$5-$C$6</f>
        <v>0</v>
      </c>
      <c r="H7" s="589" t="s">
        <v>112</v>
      </c>
      <c r="I7" s="587"/>
      <c r="J7" s="587"/>
      <c r="K7" s="587"/>
      <c r="L7" s="587"/>
      <c r="M7" s="583"/>
      <c r="N7" s="583"/>
      <c r="O7" s="583"/>
      <c r="Q7" s="74"/>
      <c r="R7" s="248"/>
      <c r="T7" s="159"/>
    </row>
    <row r="8" spans="1:32" ht="9" customHeight="1" x14ac:dyDescent="0.3">
      <c r="R8" s="160"/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O9" s="111"/>
      <c r="Q9" s="157"/>
      <c r="R9" s="246"/>
      <c r="S9" s="43"/>
      <c r="T9" s="159"/>
      <c r="U9" s="43"/>
      <c r="V9" s="249"/>
      <c r="W9" s="43"/>
      <c r="X9" s="157"/>
      <c r="Y9" s="242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243"/>
      <c r="W11" s="3"/>
      <c r="X11" s="50"/>
      <c r="Y11" s="53"/>
      <c r="Z11" s="53"/>
      <c r="AA11" s="53"/>
      <c r="AB11" s="107"/>
      <c r="AC11" s="243"/>
      <c r="AD11" s="168"/>
      <c r="AE11" s="166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243"/>
      <c r="W12" s="3"/>
      <c r="X12" s="50"/>
      <c r="Y12" s="53"/>
      <c r="Z12" s="53"/>
      <c r="AA12" s="53"/>
      <c r="AB12" s="107"/>
      <c r="AC12" s="243"/>
      <c r="AD12" s="168"/>
      <c r="AE12" s="166"/>
      <c r="AF12" s="170"/>
    </row>
    <row r="13" spans="1:32" x14ac:dyDescent="0.3">
      <c r="B13" s="10"/>
      <c r="C13" s="11"/>
      <c r="D13" s="11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243"/>
      <c r="W13" s="3"/>
      <c r="X13" s="50"/>
      <c r="Y13" s="53"/>
      <c r="Z13" s="53"/>
      <c r="AA13" s="53"/>
      <c r="AB13" s="107"/>
      <c r="AC13" s="243"/>
      <c r="AD13" s="168"/>
      <c r="AE13" s="166"/>
      <c r="AF13" s="170"/>
    </row>
    <row r="14" spans="1:32" x14ac:dyDescent="0.3">
      <c r="B14" s="10"/>
      <c r="C14" s="11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243"/>
      <c r="W14" s="3"/>
      <c r="X14" s="50"/>
      <c r="Y14" s="53"/>
      <c r="Z14" s="53"/>
      <c r="AA14" s="53"/>
      <c r="AB14" s="107"/>
      <c r="AC14" s="243"/>
      <c r="AD14" s="168"/>
      <c r="AE14" s="166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243"/>
      <c r="W15" s="3"/>
      <c r="X15" s="50"/>
      <c r="Y15" s="53"/>
      <c r="Z15" s="53"/>
      <c r="AA15" s="53"/>
      <c r="AB15" s="107"/>
      <c r="AC15" s="243"/>
      <c r="AD15" s="168"/>
      <c r="AE15" s="166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243"/>
      <c r="W16" s="3"/>
      <c r="X16" s="50"/>
      <c r="Y16" s="53"/>
      <c r="Z16" s="53"/>
      <c r="AA16" s="53"/>
      <c r="AB16" s="107"/>
      <c r="AC16" s="243"/>
      <c r="AD16" s="168"/>
      <c r="AE16" s="166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7"/>
      <c r="L17" s="8"/>
      <c r="M17" s="9"/>
      <c r="N17" s="46"/>
      <c r="O17" s="480"/>
      <c r="Q17" s="50"/>
      <c r="R17" s="53"/>
      <c r="S17" s="53"/>
      <c r="T17" s="53"/>
      <c r="U17" s="107"/>
      <c r="V17" s="243"/>
      <c r="W17" s="3"/>
      <c r="X17" s="50"/>
      <c r="Y17" s="53"/>
      <c r="Z17" s="53"/>
      <c r="AA17" s="53"/>
      <c r="AB17" s="107"/>
      <c r="AC17" s="243"/>
      <c r="AD17" s="168"/>
      <c r="AE17" s="166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243"/>
      <c r="W18" s="3"/>
      <c r="X18" s="50"/>
      <c r="Y18" s="53"/>
      <c r="Z18" s="53"/>
      <c r="AA18" s="53"/>
      <c r="AB18" s="107"/>
      <c r="AC18" s="243"/>
      <c r="AD18" s="168"/>
      <c r="AE18" s="166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243"/>
      <c r="W19" s="3"/>
      <c r="X19" s="50"/>
      <c r="Y19" s="53"/>
      <c r="Z19" s="53"/>
      <c r="AA19" s="53"/>
      <c r="AB19" s="107"/>
      <c r="AC19" s="243"/>
      <c r="AD19" s="168"/>
      <c r="AE19" s="166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243"/>
      <c r="W20" s="3"/>
      <c r="X20" s="50"/>
      <c r="Y20" s="53"/>
      <c r="Z20" s="53"/>
      <c r="AA20" s="53"/>
      <c r="AB20" s="107"/>
      <c r="AC20" s="243"/>
      <c r="AD20" s="168"/>
      <c r="AE20" s="166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243"/>
      <c r="W21" s="3"/>
      <c r="X21" s="50"/>
      <c r="Y21" s="53"/>
      <c r="Z21" s="53"/>
      <c r="AA21" s="53"/>
      <c r="AB21" s="107"/>
      <c r="AC21" s="243"/>
      <c r="AD21" s="168"/>
      <c r="AE21" s="166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243"/>
      <c r="W22" s="3"/>
      <c r="X22" s="50"/>
      <c r="Y22" s="53"/>
      <c r="Z22" s="53"/>
      <c r="AA22" s="53"/>
      <c r="AB22" s="107"/>
      <c r="AC22" s="243"/>
      <c r="AD22" s="168"/>
      <c r="AE22" s="166"/>
      <c r="AF22" s="170"/>
    </row>
    <row r="23" spans="2:32" x14ac:dyDescent="0.3">
      <c r="B23" s="10"/>
      <c r="C23" s="7"/>
      <c r="D23" s="7"/>
      <c r="E23" s="8"/>
      <c r="F23" s="9"/>
      <c r="G23" s="3"/>
      <c r="H23" s="10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243"/>
      <c r="W23" s="3"/>
      <c r="X23" s="50"/>
      <c r="Y23" s="53"/>
      <c r="Z23" s="53"/>
      <c r="AA23" s="53"/>
      <c r="AB23" s="107"/>
      <c r="AC23" s="243"/>
      <c r="AD23" s="168"/>
      <c r="AE23" s="166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243"/>
      <c r="W24" s="3"/>
      <c r="X24" s="50"/>
      <c r="Y24" s="53"/>
      <c r="Z24" s="53"/>
      <c r="AA24" s="53"/>
      <c r="AB24" s="107"/>
      <c r="AC24" s="243"/>
      <c r="AD24" s="168"/>
      <c r="AE24" s="166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243"/>
      <c r="W25" s="3"/>
      <c r="X25" s="50"/>
      <c r="Y25" s="53"/>
      <c r="Z25" s="53"/>
      <c r="AA25" s="53"/>
      <c r="AB25" s="107"/>
      <c r="AC25" s="243"/>
      <c r="AD25" s="168"/>
      <c r="AE25" s="166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243"/>
      <c r="W26" s="3"/>
      <c r="X26" s="50"/>
      <c r="Y26" s="53"/>
      <c r="Z26" s="53"/>
      <c r="AA26" s="53"/>
      <c r="AB26" s="107"/>
      <c r="AC26" s="243"/>
      <c r="AD26" s="168"/>
      <c r="AE26" s="166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243"/>
      <c r="W27" s="3"/>
      <c r="X27" s="50"/>
      <c r="Y27" s="53"/>
      <c r="Z27" s="53"/>
      <c r="AA27" s="53"/>
      <c r="AB27" s="107"/>
      <c r="AC27" s="243"/>
      <c r="AD27" s="168"/>
      <c r="AE27" s="166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243"/>
      <c r="W28" s="3"/>
      <c r="X28" s="50"/>
      <c r="Y28" s="53"/>
      <c r="Z28" s="53"/>
      <c r="AA28" s="53"/>
      <c r="AB28" s="107"/>
      <c r="AC28" s="243"/>
      <c r="AD28" s="168"/>
      <c r="AE28" s="166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243"/>
      <c r="W29" s="3"/>
      <c r="X29" s="50"/>
      <c r="Y29" s="53"/>
      <c r="Z29" s="53"/>
      <c r="AA29" s="53"/>
      <c r="AB29" s="107"/>
      <c r="AC29" s="243"/>
      <c r="AD29" s="168"/>
      <c r="AE29" s="166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243"/>
      <c r="W30" s="3"/>
      <c r="X30" s="50"/>
      <c r="Y30" s="53"/>
      <c r="Z30" s="53"/>
      <c r="AA30" s="53"/>
      <c r="AB30" s="107"/>
      <c r="AC30" s="243"/>
      <c r="AD30" s="168"/>
      <c r="AE30" s="166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예산!L40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244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123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245"/>
      <c r="S33" s="62"/>
      <c r="T33" s="165"/>
      <c r="U33" s="88"/>
      <c r="V33" s="184"/>
      <c r="W33" s="43"/>
      <c r="X33" s="173"/>
      <c r="Y33" s="109"/>
      <c r="Z33" s="245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243"/>
      <c r="W35" s="3"/>
      <c r="X35" s="50"/>
      <c r="Y35" s="53"/>
      <c r="Z35" s="53"/>
      <c r="AA35" s="53"/>
      <c r="AB35" s="107"/>
      <c r="AC35" s="243"/>
      <c r="AD35" s="168"/>
      <c r="AE35" s="243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243"/>
      <c r="W36" s="3"/>
      <c r="X36" s="50"/>
      <c r="Y36" s="53"/>
      <c r="Z36" s="53"/>
      <c r="AA36" s="53"/>
      <c r="AB36" s="107"/>
      <c r="AC36" s="243"/>
      <c r="AD36" s="168"/>
      <c r="AE36" s="243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243"/>
      <c r="W37" s="3"/>
      <c r="X37" s="50"/>
      <c r="Y37" s="53"/>
      <c r="Z37" s="53"/>
      <c r="AA37" s="53"/>
      <c r="AB37" s="107"/>
      <c r="AC37" s="243"/>
      <c r="AD37" s="168"/>
      <c r="AE37" s="243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243"/>
      <c r="W38" s="3"/>
      <c r="X38" s="50"/>
      <c r="Y38" s="53"/>
      <c r="Z38" s="53"/>
      <c r="AA38" s="53"/>
      <c r="AB38" s="107"/>
      <c r="AC38" s="243"/>
      <c r="AD38" s="168"/>
      <c r="AE38" s="243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243"/>
      <c r="W39" s="3"/>
      <c r="X39" s="50"/>
      <c r="Y39" s="53"/>
      <c r="Z39" s="53"/>
      <c r="AA39" s="53"/>
      <c r="AB39" s="107"/>
      <c r="AC39" s="243"/>
      <c r="AD39" s="168"/>
      <c r="AE39" s="243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243"/>
      <c r="W40" s="3"/>
      <c r="X40" s="50"/>
      <c r="Y40" s="53"/>
      <c r="Z40" s="53"/>
      <c r="AA40" s="53"/>
      <c r="AB40" s="107"/>
      <c r="AC40" s="243"/>
      <c r="AD40" s="168"/>
      <c r="AE40" s="243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243"/>
      <c r="W41" s="3"/>
      <c r="X41" s="50"/>
      <c r="Y41" s="53"/>
      <c r="Z41" s="53"/>
      <c r="AA41" s="53"/>
      <c r="AB41" s="107"/>
      <c r="AC41" s="243"/>
      <c r="AD41" s="168"/>
      <c r="AE41" s="243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243"/>
      <c r="W42" s="3"/>
      <c r="X42" s="50"/>
      <c r="Y42" s="53"/>
      <c r="Z42" s="53"/>
      <c r="AA42" s="53"/>
      <c r="AB42" s="107"/>
      <c r="AC42" s="243"/>
      <c r="AD42" s="168"/>
      <c r="AE42" s="243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7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243"/>
      <c r="W43" s="3"/>
      <c r="X43" s="50"/>
      <c r="Y43" s="53"/>
      <c r="Z43" s="53"/>
      <c r="AA43" s="53"/>
      <c r="AB43" s="107"/>
      <c r="AC43" s="243"/>
      <c r="AD43" s="168"/>
      <c r="AE43" s="243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243"/>
      <c r="W44" s="3"/>
      <c r="X44" s="50"/>
      <c r="Y44" s="53"/>
      <c r="Z44" s="53"/>
      <c r="AA44" s="53"/>
      <c r="AB44" s="107"/>
      <c r="AC44" s="243"/>
      <c r="AD44" s="168"/>
      <c r="AE44" s="243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243"/>
      <c r="W45" s="3"/>
      <c r="X45" s="50"/>
      <c r="Y45" s="53"/>
      <c r="Z45" s="53"/>
      <c r="AA45" s="53"/>
      <c r="AB45" s="107"/>
      <c r="AC45" s="243"/>
      <c r="AD45" s="168"/>
      <c r="AE45" s="243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243"/>
      <c r="W46" s="3"/>
      <c r="X46" s="50"/>
      <c r="Y46" s="53"/>
      <c r="Z46" s="53"/>
      <c r="AA46" s="53"/>
      <c r="AB46" s="107"/>
      <c r="AC46" s="243"/>
      <c r="AD46" s="168"/>
      <c r="AE46" s="243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243"/>
      <c r="W47" s="3"/>
      <c r="X47" s="50"/>
      <c r="Y47" s="53"/>
      <c r="Z47" s="53"/>
      <c r="AA47" s="53"/>
      <c r="AB47" s="107"/>
      <c r="AC47" s="243"/>
      <c r="AD47" s="168"/>
      <c r="AE47" s="243"/>
      <c r="AF47" s="170"/>
    </row>
    <row r="48" spans="2:32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243"/>
      <c r="W48" s="3"/>
      <c r="X48" s="50"/>
      <c r="Y48" s="53"/>
      <c r="Z48" s="53"/>
      <c r="AA48" s="53"/>
      <c r="AB48" s="107"/>
      <c r="AC48" s="243"/>
      <c r="AD48" s="168"/>
      <c r="AE48" s="243"/>
      <c r="AF48" s="170"/>
    </row>
    <row r="49" spans="2:32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243"/>
      <c r="W49" s="3"/>
      <c r="X49" s="50"/>
      <c r="Y49" s="53"/>
      <c r="Z49" s="53"/>
      <c r="AA49" s="53"/>
      <c r="AB49" s="107"/>
      <c r="AC49" s="243"/>
      <c r="AD49" s="168"/>
      <c r="AE49" s="243"/>
      <c r="AF49" s="170"/>
    </row>
    <row r="50" spans="2:32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243"/>
      <c r="W50" s="3"/>
      <c r="X50" s="50"/>
      <c r="Y50" s="53"/>
      <c r="Z50" s="53"/>
      <c r="AA50" s="53"/>
      <c r="AB50" s="107"/>
      <c r="AC50" s="243"/>
      <c r="AD50" s="168"/>
      <c r="AE50" s="243"/>
      <c r="AF50" s="170"/>
    </row>
    <row r="51" spans="2:32" x14ac:dyDescent="0.3">
      <c r="B51" s="10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243"/>
      <c r="W51" s="3"/>
      <c r="X51" s="50"/>
      <c r="Y51" s="53"/>
      <c r="Z51" s="53"/>
      <c r="AA51" s="53"/>
      <c r="AB51" s="107"/>
      <c r="AC51" s="243"/>
      <c r="AD51" s="168"/>
      <c r="AE51" s="243"/>
      <c r="AF51" s="170"/>
    </row>
    <row r="52" spans="2:32" x14ac:dyDescent="0.3">
      <c r="B52" s="10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243"/>
      <c r="W52" s="3"/>
      <c r="X52" s="50"/>
      <c r="Y52" s="53"/>
      <c r="Z52" s="53"/>
      <c r="AA52" s="53"/>
      <c r="AB52" s="107"/>
      <c r="AC52" s="243"/>
      <c r="AD52" s="168"/>
      <c r="AE52" s="243"/>
      <c r="AF52" s="170"/>
    </row>
    <row r="53" spans="2:32" x14ac:dyDescent="0.3">
      <c r="B53" s="10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243"/>
      <c r="W53" s="3"/>
      <c r="X53" s="50"/>
      <c r="Y53" s="53"/>
      <c r="Z53" s="53"/>
      <c r="AA53" s="53"/>
      <c r="AB53" s="107"/>
      <c r="AC53" s="243"/>
      <c r="AD53" s="168"/>
      <c r="AE53" s="243"/>
      <c r="AF53" s="170"/>
    </row>
    <row r="54" spans="2:32" x14ac:dyDescent="0.3">
      <c r="B54" s="10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243"/>
      <c r="W54" s="3"/>
      <c r="X54" s="50"/>
      <c r="Y54" s="53"/>
      <c r="Z54" s="53"/>
      <c r="AA54" s="53"/>
      <c r="AB54" s="107"/>
      <c r="AC54" s="243"/>
      <c r="AD54" s="168"/>
      <c r="AE54" s="243"/>
      <c r="AF54" s="170"/>
    </row>
    <row r="55" spans="2:32" x14ac:dyDescent="0.3">
      <c r="B55" s="10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243"/>
      <c r="W55" s="3"/>
      <c r="X55" s="50"/>
      <c r="Y55" s="53"/>
      <c r="Z55" s="53"/>
      <c r="AA55" s="53"/>
      <c r="AB55" s="107"/>
      <c r="AC55" s="243"/>
      <c r="AD55" s="168"/>
      <c r="AE55" s="243"/>
      <c r="AF55" s="170"/>
    </row>
    <row r="56" spans="2:32" x14ac:dyDescent="0.3">
      <c r="B56" s="10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243"/>
      <c r="W56" s="3"/>
      <c r="X56" s="50"/>
      <c r="Y56" s="53"/>
      <c r="Z56" s="53"/>
      <c r="AA56" s="53"/>
      <c r="AB56" s="107"/>
      <c r="AC56" s="243"/>
      <c r="AD56" s="168"/>
      <c r="AE56" s="243"/>
      <c r="AF56" s="170"/>
    </row>
    <row r="57" spans="2:32" x14ac:dyDescent="0.3">
      <c r="B57" s="10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243"/>
      <c r="W57" s="3"/>
      <c r="X57" s="50"/>
      <c r="Y57" s="53"/>
      <c r="Z57" s="53"/>
      <c r="AA57" s="53"/>
      <c r="AB57" s="107"/>
      <c r="AC57" s="243"/>
      <c r="AD57" s="168"/>
      <c r="AE57" s="243"/>
      <c r="AF57" s="170"/>
    </row>
    <row r="58" spans="2:32" x14ac:dyDescent="0.3">
      <c r="B58" s="10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243"/>
      <c r="W58" s="3"/>
      <c r="X58" s="50"/>
      <c r="Y58" s="53"/>
      <c r="Z58" s="53"/>
      <c r="AA58" s="53"/>
      <c r="AB58" s="107"/>
      <c r="AC58" s="243"/>
      <c r="AD58" s="168"/>
      <c r="AE58" s="243"/>
      <c r="AF58" s="170"/>
    </row>
    <row r="59" spans="2:32" x14ac:dyDescent="0.3">
      <c r="B59" s="10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243"/>
      <c r="W59" s="3"/>
      <c r="X59" s="50"/>
      <c r="Y59" s="53"/>
      <c r="Z59" s="53"/>
      <c r="AA59" s="53"/>
      <c r="AB59" s="107"/>
      <c r="AC59" s="243"/>
      <c r="AD59" s="168"/>
      <c r="AE59" s="243"/>
      <c r="AF59" s="170"/>
    </row>
    <row r="60" spans="2:32" x14ac:dyDescent="0.3">
      <c r="B60" s="10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243"/>
      <c r="W60" s="3"/>
      <c r="X60" s="50"/>
      <c r="Y60" s="53"/>
      <c r="Z60" s="53"/>
      <c r="AA60" s="53"/>
      <c r="AB60" s="107"/>
      <c r="AC60" s="243"/>
      <c r="AD60" s="168"/>
      <c r="AE60" s="243"/>
      <c r="AF60" s="170"/>
    </row>
    <row r="61" spans="2:32" x14ac:dyDescent="0.3">
      <c r="B61" s="10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243"/>
      <c r="W61" s="3"/>
      <c r="X61" s="50"/>
      <c r="Y61" s="53"/>
      <c r="Z61" s="53"/>
      <c r="AA61" s="53"/>
      <c r="AB61" s="107"/>
      <c r="AC61" s="243"/>
      <c r="AD61" s="168"/>
      <c r="AE61" s="243"/>
      <c r="AF61" s="170"/>
    </row>
    <row r="62" spans="2:32" x14ac:dyDescent="0.3">
      <c r="B62" s="10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243"/>
      <c r="W62" s="3"/>
      <c r="X62" s="50"/>
      <c r="Y62" s="53"/>
      <c r="Z62" s="53"/>
      <c r="AA62" s="53"/>
      <c r="AB62" s="107"/>
      <c r="AC62" s="243"/>
      <c r="AD62" s="168"/>
      <c r="AE62" s="243"/>
      <c r="AF62" s="170"/>
    </row>
    <row r="63" spans="2:32" x14ac:dyDescent="0.3">
      <c r="B63" s="10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243"/>
      <c r="W63" s="3"/>
      <c r="X63" s="50"/>
      <c r="Y63" s="53"/>
      <c r="Z63" s="53"/>
      <c r="AA63" s="53"/>
      <c r="AB63" s="107"/>
      <c r="AC63" s="243"/>
      <c r="AD63" s="168"/>
      <c r="AE63" s="243"/>
      <c r="AF63" s="170"/>
    </row>
    <row r="64" spans="2:32" x14ac:dyDescent="0.3">
      <c r="B64" s="10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243"/>
      <c r="W64" s="3"/>
      <c r="X64" s="50"/>
      <c r="Y64" s="53"/>
      <c r="Z64" s="53"/>
      <c r="AA64" s="53"/>
      <c r="AB64" s="107"/>
      <c r="AC64" s="243"/>
      <c r="AD64" s="168"/>
      <c r="AE64" s="243"/>
      <c r="AF64" s="170"/>
    </row>
    <row r="65" spans="2:32" x14ac:dyDescent="0.3">
      <c r="B65" s="10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243"/>
      <c r="W65" s="3"/>
      <c r="X65" s="50"/>
      <c r="Y65" s="53"/>
      <c r="Z65" s="53"/>
      <c r="AA65" s="53"/>
      <c r="AB65" s="107"/>
      <c r="AC65" s="243"/>
      <c r="AD65" s="168"/>
      <c r="AE65" s="243"/>
      <c r="AF65" s="170"/>
    </row>
    <row r="66" spans="2:32" x14ac:dyDescent="0.3">
      <c r="B66" s="10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243"/>
      <c r="W66" s="3"/>
      <c r="X66" s="50"/>
      <c r="Y66" s="53"/>
      <c r="Z66" s="53"/>
      <c r="AA66" s="53"/>
      <c r="AB66" s="107"/>
      <c r="AC66" s="243"/>
      <c r="AD66" s="168"/>
      <c r="AE66" s="243"/>
      <c r="AF66" s="170"/>
    </row>
    <row r="67" spans="2:32" x14ac:dyDescent="0.3">
      <c r="B67" s="10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243"/>
      <c r="W67" s="3"/>
      <c r="X67" s="50"/>
      <c r="Y67" s="53"/>
      <c r="Z67" s="53"/>
      <c r="AA67" s="53"/>
      <c r="AB67" s="107"/>
      <c r="AC67" s="243"/>
      <c r="AD67" s="168"/>
      <c r="AE67" s="243"/>
      <c r="AF67" s="170"/>
    </row>
    <row r="68" spans="2:32" x14ac:dyDescent="0.3">
      <c r="B68" s="10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243"/>
      <c r="W68" s="3"/>
      <c r="X68" s="50"/>
      <c r="Y68" s="53"/>
      <c r="Z68" s="53"/>
      <c r="AA68" s="53"/>
      <c r="AB68" s="107"/>
      <c r="AC68" s="243"/>
      <c r="AD68" s="168"/>
      <c r="AE68" s="243"/>
      <c r="AF68" s="170"/>
    </row>
    <row r="69" spans="2:32" x14ac:dyDescent="0.3">
      <c r="B69" s="10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243"/>
      <c r="W69" s="3"/>
      <c r="X69" s="50"/>
      <c r="Y69" s="53"/>
      <c r="Z69" s="53"/>
      <c r="AA69" s="53"/>
      <c r="AB69" s="107"/>
      <c r="AC69" s="243"/>
      <c r="AD69" s="168"/>
      <c r="AE69" s="243"/>
      <c r="AF69" s="170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243"/>
      <c r="W70" s="3"/>
      <c r="X70" s="50"/>
      <c r="Y70" s="53"/>
      <c r="Z70" s="53"/>
      <c r="AA70" s="53"/>
      <c r="AB70" s="107"/>
      <c r="AC70" s="243"/>
      <c r="AD70" s="168"/>
      <c r="AE70" s="243"/>
      <c r="AF70" s="170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243"/>
      <c r="W71" s="3"/>
      <c r="X71" s="50"/>
      <c r="Y71" s="53"/>
      <c r="Z71" s="53"/>
      <c r="AA71" s="53"/>
      <c r="AB71" s="107"/>
      <c r="AC71" s="243"/>
      <c r="AD71" s="168"/>
      <c r="AE71" s="243"/>
      <c r="AF71" s="170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243"/>
      <c r="W72" s="3"/>
      <c r="X72" s="50"/>
      <c r="Y72" s="53"/>
      <c r="Z72" s="53"/>
      <c r="AA72" s="53"/>
      <c r="AB72" s="107"/>
      <c r="AC72" s="243"/>
      <c r="AD72" s="168"/>
      <c r="AE72" s="243"/>
      <c r="AF72" s="170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243"/>
      <c r="W73" s="3"/>
      <c r="X73" s="50"/>
      <c r="Y73" s="53"/>
      <c r="Z73" s="53"/>
      <c r="AA73" s="53"/>
      <c r="AB73" s="107"/>
      <c r="AC73" s="243"/>
      <c r="AD73" s="168"/>
      <c r="AE73" s="243"/>
      <c r="AF73" s="170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243"/>
      <c r="W74" s="3"/>
      <c r="X74" s="50"/>
      <c r="Y74" s="53"/>
      <c r="Z74" s="53"/>
      <c r="AA74" s="53"/>
      <c r="AB74" s="107"/>
      <c r="AC74" s="243"/>
      <c r="AD74" s="168"/>
      <c r="AE74" s="243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243"/>
      <c r="W75" s="3"/>
      <c r="X75" s="50"/>
      <c r="Y75" s="53"/>
      <c r="Z75" s="53"/>
      <c r="AA75" s="53"/>
      <c r="AB75" s="107"/>
      <c r="AC75" s="243"/>
      <c r="AD75" s="168"/>
      <c r="AE75" s="243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243"/>
      <c r="W76" s="3"/>
      <c r="X76" s="50"/>
      <c r="Y76" s="53"/>
      <c r="Z76" s="53"/>
      <c r="AA76" s="53"/>
      <c r="AB76" s="107"/>
      <c r="AC76" s="243"/>
      <c r="AD76" s="168"/>
      <c r="AE76" s="243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243"/>
      <c r="W77" s="3"/>
      <c r="X77" s="50"/>
      <c r="Y77" s="53"/>
      <c r="Z77" s="53"/>
      <c r="AA77" s="53"/>
      <c r="AB77" s="107"/>
      <c r="AC77" s="243"/>
      <c r="AD77" s="168"/>
      <c r="AE77" s="243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243"/>
      <c r="W78" s="3"/>
      <c r="X78" s="50"/>
      <c r="Y78" s="53"/>
      <c r="Z78" s="53"/>
      <c r="AA78" s="53"/>
      <c r="AB78" s="107"/>
      <c r="AC78" s="243"/>
      <c r="AD78" s="168"/>
      <c r="AE78" s="243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243"/>
      <c r="W79" s="3"/>
      <c r="X79" s="50"/>
      <c r="Y79" s="53"/>
      <c r="Z79" s="53"/>
      <c r="AA79" s="53"/>
      <c r="AB79" s="107"/>
      <c r="AC79" s="243"/>
      <c r="AD79" s="168"/>
      <c r="AE79" s="243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243"/>
      <c r="W80" s="3"/>
      <c r="X80" s="50"/>
      <c r="Y80" s="53"/>
      <c r="Z80" s="53"/>
      <c r="AA80" s="53"/>
      <c r="AB80" s="107"/>
      <c r="AC80" s="243"/>
      <c r="AD80" s="168"/>
      <c r="AE80" s="243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243"/>
      <c r="W81" s="3"/>
      <c r="X81" s="50"/>
      <c r="Y81" s="53"/>
      <c r="Z81" s="53"/>
      <c r="AA81" s="53"/>
      <c r="AB81" s="107"/>
      <c r="AC81" s="243"/>
      <c r="AD81" s="168"/>
      <c r="AE81" s="243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243"/>
      <c r="W82" s="3"/>
      <c r="X82" s="50"/>
      <c r="Y82" s="53"/>
      <c r="Z82" s="53"/>
      <c r="AA82" s="53"/>
      <c r="AB82" s="107"/>
      <c r="AC82" s="243"/>
      <c r="AD82" s="168"/>
      <c r="AE82" s="243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243"/>
      <c r="W83" s="3"/>
      <c r="X83" s="50"/>
      <c r="Y83" s="53"/>
      <c r="Z83" s="53"/>
      <c r="AA83" s="53"/>
      <c r="AB83" s="107"/>
      <c r="AC83" s="243"/>
      <c r="AD83" s="168"/>
      <c r="AE83" s="243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243"/>
      <c r="W84" s="3"/>
      <c r="X84" s="50"/>
      <c r="Y84" s="53"/>
      <c r="Z84" s="53"/>
      <c r="AA84" s="53"/>
      <c r="AB84" s="107"/>
      <c r="AC84" s="243"/>
      <c r="AD84" s="168"/>
      <c r="AE84" s="243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243"/>
      <c r="W85" s="3"/>
      <c r="X85" s="50"/>
      <c r="Y85" s="53"/>
      <c r="Z85" s="53"/>
      <c r="AA85" s="53"/>
      <c r="AB85" s="107"/>
      <c r="AC85" s="243"/>
      <c r="AD85" s="168"/>
      <c r="AE85" s="243"/>
      <c r="AF85" s="168"/>
    </row>
    <row r="86" spans="1:32" x14ac:dyDescent="0.3">
      <c r="B86" s="6"/>
      <c r="C86" s="7"/>
      <c r="D86" s="7"/>
      <c r="E86" s="8"/>
      <c r="F86" s="9"/>
      <c r="G86" s="3"/>
      <c r="H86" s="10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243"/>
      <c r="W86" s="3"/>
      <c r="X86" s="50"/>
      <c r="Y86" s="53"/>
      <c r="Z86" s="53"/>
      <c r="AA86" s="53"/>
      <c r="AB86" s="107"/>
      <c r="AC86" s="243"/>
      <c r="AD86" s="168"/>
      <c r="AE86" s="243"/>
      <c r="AF86" s="168"/>
    </row>
    <row r="87" spans="1:32" x14ac:dyDescent="0.3">
      <c r="B87" s="6"/>
      <c r="C87" s="7"/>
      <c r="D87" s="7"/>
      <c r="E87" s="8"/>
      <c r="F87" s="9"/>
      <c r="G87" s="3"/>
      <c r="H87" s="10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243"/>
      <c r="W87" s="3"/>
      <c r="X87" s="50"/>
      <c r="Y87" s="53"/>
      <c r="Z87" s="53"/>
      <c r="AA87" s="53"/>
      <c r="AB87" s="107"/>
      <c r="AC87" s="243"/>
      <c r="AD87" s="168"/>
      <c r="AE87" s="243"/>
      <c r="AF87" s="168"/>
    </row>
    <row r="88" spans="1:32" x14ac:dyDescent="0.3">
      <c r="B88" s="6"/>
      <c r="C88" s="7"/>
      <c r="D88" s="7"/>
      <c r="E88" s="8"/>
      <c r="F88" s="9"/>
      <c r="G88" s="3"/>
      <c r="H88" s="10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243"/>
      <c r="W88" s="3"/>
      <c r="X88" s="50"/>
      <c r="Y88" s="53"/>
      <c r="Z88" s="53"/>
      <c r="AA88" s="53"/>
      <c r="AB88" s="107"/>
      <c r="AC88" s="243"/>
      <c r="AD88" s="168"/>
      <c r="AE88" s="243"/>
      <c r="AF88" s="168"/>
    </row>
    <row r="89" spans="1:32" x14ac:dyDescent="0.3">
      <c r="B89" s="6"/>
      <c r="C89" s="7"/>
      <c r="D89" s="7"/>
      <c r="E89" s="8"/>
      <c r="F89" s="9"/>
      <c r="G89" s="3"/>
      <c r="H89" s="10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243"/>
      <c r="W89" s="3"/>
      <c r="X89" s="50"/>
      <c r="Y89" s="53"/>
      <c r="Z89" s="53"/>
      <c r="AA89" s="53"/>
      <c r="AB89" s="107"/>
      <c r="AC89" s="243"/>
      <c r="AD89" s="168"/>
      <c r="AE89" s="243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243"/>
      <c r="W90" s="3"/>
      <c r="X90" s="50"/>
      <c r="Y90" s="53"/>
      <c r="Z90" s="53"/>
      <c r="AA90" s="53"/>
      <c r="AB90" s="107"/>
      <c r="AC90" s="243"/>
      <c r="AD90" s="168"/>
      <c r="AE90" s="243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243"/>
      <c r="W91" s="3"/>
      <c r="X91" s="50"/>
      <c r="Y91" s="53"/>
      <c r="Z91" s="53"/>
      <c r="AA91" s="53"/>
      <c r="AB91" s="107"/>
      <c r="AC91" s="243"/>
      <c r="AD91" s="168"/>
      <c r="AE91" s="243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243"/>
      <c r="W92" s="3"/>
      <c r="X92" s="50"/>
      <c r="Y92" s="53"/>
      <c r="Z92" s="53"/>
      <c r="AA92" s="53"/>
      <c r="AB92" s="107"/>
      <c r="AC92" s="243"/>
      <c r="AD92" s="168"/>
      <c r="AE92" s="243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243"/>
      <c r="W93" s="3"/>
      <c r="X93" s="50"/>
      <c r="Y93" s="53"/>
      <c r="Z93" s="53"/>
      <c r="AA93" s="53"/>
      <c r="AB93" s="107"/>
      <c r="AC93" s="243"/>
      <c r="AD93" s="168"/>
      <c r="AE93" s="243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243"/>
      <c r="W94" s="3"/>
      <c r="X94" s="50"/>
      <c r="Y94" s="53"/>
      <c r="Z94" s="53"/>
      <c r="AA94" s="53"/>
      <c r="AB94" s="107"/>
      <c r="AC94" s="243"/>
      <c r="AD94" s="168"/>
      <c r="AE94" s="243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3" priority="1">
      <formula>$N35&lt;0</formula>
    </cfRule>
  </conditionalFormatting>
  <dataValidations count="3">
    <dataValidation type="list" allowBlank="1" showInputMessage="1" showErrorMessage="1" sqref="J11:J30 C35:C94 C11:C30 J35:J94" xr:uid="{8424839B-1121-48A1-9133-FEF2227A1F9C}">
      <formula1>대분류</formula1>
    </dataValidation>
    <dataValidation type="list" allowBlank="1" showInputMessage="1" showErrorMessage="1" sqref="I11:I30 I35:I94" xr:uid="{7D948422-B4EC-49DD-8DB8-125D7F53EC64}">
      <formula1>계정</formula1>
    </dataValidation>
    <dataValidation type="list" allowBlank="1" showInputMessage="1" showErrorMessage="1" sqref="K11:K30 D11:D30 D35:D94 K35:K94" xr:uid="{5BD29A88-B179-46F1-96BA-5B39AE942859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E237-0E9C-4C7C-B10C-DB6C1CC08F82}">
  <sheetPr codeName="Sheet39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179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246"/>
      <c r="T5" s="159"/>
      <c r="U5" s="247"/>
    </row>
    <row r="6" spans="1:32" x14ac:dyDescent="0.3">
      <c r="B6" s="68" t="s">
        <v>97</v>
      </c>
      <c r="C6" s="93">
        <f>SUM($I$9+$J$33)</f>
        <v>0</v>
      </c>
      <c r="H6" s="588" t="s">
        <v>112</v>
      </c>
      <c r="I6" s="586"/>
      <c r="J6" s="586"/>
      <c r="K6" s="586"/>
      <c r="L6" s="586"/>
      <c r="M6" s="582"/>
      <c r="N6" s="582"/>
      <c r="O6" s="582"/>
      <c r="Q6" s="157"/>
      <c r="R6" s="246"/>
      <c r="T6" s="159"/>
      <c r="U6" s="163"/>
    </row>
    <row r="7" spans="1:32" x14ac:dyDescent="0.3">
      <c r="B7" s="74" t="s">
        <v>65</v>
      </c>
      <c r="C7" s="69">
        <f>$C$5-$C$6</f>
        <v>0</v>
      </c>
      <c r="H7" s="589" t="s">
        <v>112</v>
      </c>
      <c r="I7" s="587"/>
      <c r="J7" s="587"/>
      <c r="K7" s="587"/>
      <c r="L7" s="587"/>
      <c r="M7" s="583"/>
      <c r="N7" s="583"/>
      <c r="O7" s="583"/>
      <c r="Q7" s="74"/>
      <c r="R7" s="248"/>
      <c r="T7" s="159"/>
    </row>
    <row r="8" spans="1:32" ht="9" customHeight="1" x14ac:dyDescent="0.3">
      <c r="R8" s="160"/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O9" s="111"/>
      <c r="Q9" s="157"/>
      <c r="R9" s="246"/>
      <c r="S9" s="43"/>
      <c r="T9" s="159"/>
      <c r="U9" s="43"/>
      <c r="V9" s="249"/>
      <c r="W9" s="43"/>
      <c r="X9" s="157"/>
      <c r="Y9" s="242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243"/>
      <c r="W11" s="3"/>
      <c r="X11" s="50"/>
      <c r="Y11" s="53"/>
      <c r="Z11" s="53"/>
      <c r="AA11" s="53"/>
      <c r="AB11" s="107"/>
      <c r="AC11" s="243"/>
      <c r="AD11" s="168"/>
      <c r="AE11" s="166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243"/>
      <c r="W12" s="3"/>
      <c r="X12" s="50"/>
      <c r="Y12" s="53"/>
      <c r="Z12" s="53"/>
      <c r="AA12" s="53"/>
      <c r="AB12" s="107"/>
      <c r="AC12" s="243"/>
      <c r="AD12" s="168"/>
      <c r="AE12" s="166"/>
      <c r="AF12" s="170"/>
    </row>
    <row r="13" spans="1:32" x14ac:dyDescent="0.3">
      <c r="B13" s="10"/>
      <c r="C13" s="11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243"/>
      <c r="W13" s="3"/>
      <c r="X13" s="50"/>
      <c r="Y13" s="53"/>
      <c r="Z13" s="53"/>
      <c r="AA13" s="53"/>
      <c r="AB13" s="107"/>
      <c r="AC13" s="243"/>
      <c r="AD13" s="168"/>
      <c r="AE13" s="166"/>
      <c r="AF13" s="170"/>
    </row>
    <row r="14" spans="1:32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243"/>
      <c r="W14" s="3"/>
      <c r="X14" s="50"/>
      <c r="Y14" s="53"/>
      <c r="Z14" s="53"/>
      <c r="AA14" s="53"/>
      <c r="AB14" s="107"/>
      <c r="AC14" s="243"/>
      <c r="AD14" s="168"/>
      <c r="AE14" s="166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243"/>
      <c r="W15" s="3"/>
      <c r="X15" s="50"/>
      <c r="Y15" s="53"/>
      <c r="Z15" s="53"/>
      <c r="AA15" s="53"/>
      <c r="AB15" s="107"/>
      <c r="AC15" s="243"/>
      <c r="AD15" s="168"/>
      <c r="AE15" s="166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243"/>
      <c r="W16" s="3"/>
      <c r="X16" s="50"/>
      <c r="Y16" s="53"/>
      <c r="Z16" s="53"/>
      <c r="AA16" s="53"/>
      <c r="AB16" s="107"/>
      <c r="AC16" s="243"/>
      <c r="AD16" s="168"/>
      <c r="AE16" s="166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7"/>
      <c r="L17" s="8"/>
      <c r="M17" s="9"/>
      <c r="N17" s="46"/>
      <c r="O17" s="480"/>
      <c r="Q17" s="50"/>
      <c r="R17" s="53"/>
      <c r="S17" s="53"/>
      <c r="T17" s="53"/>
      <c r="U17" s="107"/>
      <c r="V17" s="243"/>
      <c r="W17" s="3"/>
      <c r="X17" s="50"/>
      <c r="Y17" s="53"/>
      <c r="Z17" s="53"/>
      <c r="AA17" s="53"/>
      <c r="AB17" s="107"/>
      <c r="AC17" s="243"/>
      <c r="AD17" s="168"/>
      <c r="AE17" s="166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243"/>
      <c r="W18" s="3"/>
      <c r="X18" s="50"/>
      <c r="Y18" s="53"/>
      <c r="Z18" s="53"/>
      <c r="AA18" s="53"/>
      <c r="AB18" s="107"/>
      <c r="AC18" s="243"/>
      <c r="AD18" s="168"/>
      <c r="AE18" s="166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243"/>
      <c r="W19" s="3"/>
      <c r="X19" s="50"/>
      <c r="Y19" s="53"/>
      <c r="Z19" s="53"/>
      <c r="AA19" s="53"/>
      <c r="AB19" s="107"/>
      <c r="AC19" s="243"/>
      <c r="AD19" s="168"/>
      <c r="AE19" s="166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243"/>
      <c r="W20" s="3"/>
      <c r="X20" s="50"/>
      <c r="Y20" s="53"/>
      <c r="Z20" s="53"/>
      <c r="AA20" s="53"/>
      <c r="AB20" s="107"/>
      <c r="AC20" s="243"/>
      <c r="AD20" s="168"/>
      <c r="AE20" s="166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243"/>
      <c r="W21" s="3"/>
      <c r="X21" s="50"/>
      <c r="Y21" s="53"/>
      <c r="Z21" s="53"/>
      <c r="AA21" s="53"/>
      <c r="AB21" s="107"/>
      <c r="AC21" s="243"/>
      <c r="AD21" s="168"/>
      <c r="AE21" s="166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9"/>
      <c r="N22" s="46"/>
      <c r="O22" s="480"/>
      <c r="Q22" s="50"/>
      <c r="R22" s="53"/>
      <c r="S22" s="53"/>
      <c r="T22" s="53"/>
      <c r="U22" s="107"/>
      <c r="V22" s="243"/>
      <c r="W22" s="3"/>
      <c r="X22" s="50"/>
      <c r="Y22" s="53"/>
      <c r="Z22" s="53"/>
      <c r="AA22" s="53"/>
      <c r="AB22" s="107"/>
      <c r="AC22" s="243"/>
      <c r="AD22" s="168"/>
      <c r="AE22" s="166"/>
      <c r="AF22" s="170"/>
    </row>
    <row r="23" spans="2:32" x14ac:dyDescent="0.3">
      <c r="B23" s="10"/>
      <c r="C23" s="7"/>
      <c r="D23" s="7"/>
      <c r="E23" s="8"/>
      <c r="F23" s="9"/>
      <c r="G23" s="3"/>
      <c r="H23" s="10"/>
      <c r="I23" s="11"/>
      <c r="J23" s="11"/>
      <c r="K23" s="11"/>
      <c r="L23" s="8"/>
      <c r="M23" s="9"/>
      <c r="N23" s="46"/>
      <c r="O23" s="480"/>
      <c r="Q23" s="50"/>
      <c r="R23" s="53"/>
      <c r="S23" s="53"/>
      <c r="T23" s="53"/>
      <c r="U23" s="107"/>
      <c r="V23" s="243"/>
      <c r="W23" s="3"/>
      <c r="X23" s="50"/>
      <c r="Y23" s="53"/>
      <c r="Z23" s="53"/>
      <c r="AA23" s="53"/>
      <c r="AB23" s="107"/>
      <c r="AC23" s="243"/>
      <c r="AD23" s="168"/>
      <c r="AE23" s="166"/>
      <c r="AF23" s="170"/>
    </row>
    <row r="24" spans="2:32" x14ac:dyDescent="0.3">
      <c r="B24" s="10"/>
      <c r="C24" s="7"/>
      <c r="D24" s="7"/>
      <c r="E24" s="8"/>
      <c r="F24" s="9"/>
      <c r="G24" s="3"/>
      <c r="H24" s="10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243"/>
      <c r="W24" s="3"/>
      <c r="X24" s="50"/>
      <c r="Y24" s="53"/>
      <c r="Z24" s="53"/>
      <c r="AA24" s="53"/>
      <c r="AB24" s="107"/>
      <c r="AC24" s="243"/>
      <c r="AD24" s="168"/>
      <c r="AE24" s="166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243"/>
      <c r="W25" s="3"/>
      <c r="X25" s="50"/>
      <c r="Y25" s="53"/>
      <c r="Z25" s="53"/>
      <c r="AA25" s="53"/>
      <c r="AB25" s="107"/>
      <c r="AC25" s="243"/>
      <c r="AD25" s="168"/>
      <c r="AE25" s="166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243"/>
      <c r="W26" s="3"/>
      <c r="X26" s="50"/>
      <c r="Y26" s="53"/>
      <c r="Z26" s="53"/>
      <c r="AA26" s="53"/>
      <c r="AB26" s="107"/>
      <c r="AC26" s="243"/>
      <c r="AD26" s="168"/>
      <c r="AE26" s="166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243"/>
      <c r="W27" s="3"/>
      <c r="X27" s="50"/>
      <c r="Y27" s="53"/>
      <c r="Z27" s="53"/>
      <c r="AA27" s="53"/>
      <c r="AB27" s="107"/>
      <c r="AC27" s="243"/>
      <c r="AD27" s="168"/>
      <c r="AE27" s="166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243"/>
      <c r="W28" s="3"/>
      <c r="X28" s="50"/>
      <c r="Y28" s="53"/>
      <c r="Z28" s="53"/>
      <c r="AA28" s="53"/>
      <c r="AB28" s="107"/>
      <c r="AC28" s="243"/>
      <c r="AD28" s="168"/>
      <c r="AE28" s="166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243"/>
      <c r="W29" s="3"/>
      <c r="X29" s="50"/>
      <c r="Y29" s="53"/>
      <c r="Z29" s="53"/>
      <c r="AA29" s="53"/>
      <c r="AB29" s="107"/>
      <c r="AC29" s="243"/>
      <c r="AD29" s="168"/>
      <c r="AE29" s="166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243"/>
      <c r="W30" s="3"/>
      <c r="X30" s="50"/>
      <c r="Y30" s="53"/>
      <c r="Z30" s="53"/>
      <c r="AA30" s="53"/>
      <c r="AB30" s="107"/>
      <c r="AC30" s="243"/>
      <c r="AD30" s="168"/>
      <c r="AE30" s="166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예산!M40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244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245"/>
      <c r="S33" s="62"/>
      <c r="T33" s="165"/>
      <c r="U33" s="88"/>
      <c r="V33" s="184"/>
      <c r="W33" s="43"/>
      <c r="X33" s="173"/>
      <c r="Y33" s="109"/>
      <c r="Z33" s="245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243"/>
      <c r="W35" s="3"/>
      <c r="X35" s="50"/>
      <c r="Y35" s="53"/>
      <c r="Z35" s="53"/>
      <c r="AA35" s="53"/>
      <c r="AB35" s="107"/>
      <c r="AC35" s="243"/>
      <c r="AD35" s="168"/>
      <c r="AE35" s="243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243"/>
      <c r="W36" s="3"/>
      <c r="X36" s="50"/>
      <c r="Y36" s="53"/>
      <c r="Z36" s="53"/>
      <c r="AA36" s="53"/>
      <c r="AB36" s="107"/>
      <c r="AC36" s="243"/>
      <c r="AD36" s="168"/>
      <c r="AE36" s="243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243"/>
      <c r="W37" s="3"/>
      <c r="X37" s="50"/>
      <c r="Y37" s="53"/>
      <c r="Z37" s="53"/>
      <c r="AA37" s="53"/>
      <c r="AB37" s="107"/>
      <c r="AC37" s="243"/>
      <c r="AD37" s="168"/>
      <c r="AE37" s="243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243"/>
      <c r="W38" s="3"/>
      <c r="X38" s="50"/>
      <c r="Y38" s="53"/>
      <c r="Z38" s="53"/>
      <c r="AA38" s="53"/>
      <c r="AB38" s="107"/>
      <c r="AC38" s="243"/>
      <c r="AD38" s="168"/>
      <c r="AE38" s="243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243"/>
      <c r="W39" s="3"/>
      <c r="X39" s="50"/>
      <c r="Y39" s="53"/>
      <c r="Z39" s="53"/>
      <c r="AA39" s="53"/>
      <c r="AB39" s="107"/>
      <c r="AC39" s="243"/>
      <c r="AD39" s="168"/>
      <c r="AE39" s="243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243"/>
      <c r="W40" s="3"/>
      <c r="X40" s="50"/>
      <c r="Y40" s="53"/>
      <c r="Z40" s="53"/>
      <c r="AA40" s="53"/>
      <c r="AB40" s="107"/>
      <c r="AC40" s="243"/>
      <c r="AD40" s="168"/>
      <c r="AE40" s="243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243"/>
      <c r="W41" s="3"/>
      <c r="X41" s="50"/>
      <c r="Y41" s="53"/>
      <c r="Z41" s="53"/>
      <c r="AA41" s="53"/>
      <c r="AB41" s="107"/>
      <c r="AC41" s="243"/>
      <c r="AD41" s="168"/>
      <c r="AE41" s="243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7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243"/>
      <c r="W42" s="3"/>
      <c r="X42" s="50"/>
      <c r="Y42" s="53"/>
      <c r="Z42" s="53"/>
      <c r="AA42" s="53"/>
      <c r="AB42" s="107"/>
      <c r="AC42" s="243"/>
      <c r="AD42" s="168"/>
      <c r="AE42" s="243"/>
      <c r="AF42" s="170"/>
    </row>
    <row r="43" spans="2:32" x14ac:dyDescent="0.3">
      <c r="B43" s="10"/>
      <c r="C43" s="7"/>
      <c r="D43" s="7"/>
      <c r="E43" s="8"/>
      <c r="F43" s="9"/>
      <c r="G43" s="3"/>
      <c r="H43" s="6"/>
      <c r="I43" s="7"/>
      <c r="J43" s="7"/>
      <c r="K43" s="7"/>
      <c r="L43" s="8"/>
      <c r="M43" s="46"/>
      <c r="N43" s="335" t="str">
        <f t="shared" si="0"/>
        <v/>
      </c>
      <c r="O43" s="480"/>
      <c r="Q43" s="50"/>
      <c r="R43" s="53"/>
      <c r="S43" s="53"/>
      <c r="T43" s="53"/>
      <c r="U43" s="107"/>
      <c r="V43" s="243"/>
      <c r="W43" s="3"/>
      <c r="X43" s="50"/>
      <c r="Y43" s="53"/>
      <c r="Z43" s="53"/>
      <c r="AA43" s="53"/>
      <c r="AB43" s="107"/>
      <c r="AC43" s="243"/>
      <c r="AD43" s="168"/>
      <c r="AE43" s="243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3"/>
      <c r="I44" s="484"/>
      <c r="J44" s="484"/>
      <c r="K44" s="484"/>
      <c r="L44" s="485"/>
      <c r="M44" s="486"/>
      <c r="N44" s="487" t="str">
        <f t="shared" si="0"/>
        <v/>
      </c>
      <c r="O44" s="494"/>
      <c r="Q44" s="50"/>
      <c r="R44" s="53"/>
      <c r="S44" s="53"/>
      <c r="T44" s="53"/>
      <c r="U44" s="107"/>
      <c r="V44" s="243"/>
      <c r="W44" s="3"/>
      <c r="X44" s="50"/>
      <c r="Y44" s="53"/>
      <c r="Z44" s="53"/>
      <c r="AA44" s="53"/>
      <c r="AB44" s="107"/>
      <c r="AC44" s="243"/>
      <c r="AD44" s="168"/>
      <c r="AE44" s="243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243"/>
      <c r="W45" s="3"/>
      <c r="X45" s="50"/>
      <c r="Y45" s="53"/>
      <c r="Z45" s="53"/>
      <c r="AA45" s="53"/>
      <c r="AB45" s="107"/>
      <c r="AC45" s="243"/>
      <c r="AD45" s="168"/>
      <c r="AE45" s="243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243"/>
      <c r="W46" s="3"/>
      <c r="X46" s="50"/>
      <c r="Y46" s="53"/>
      <c r="Z46" s="53"/>
      <c r="AA46" s="53"/>
      <c r="AB46" s="107"/>
      <c r="AC46" s="243"/>
      <c r="AD46" s="168"/>
      <c r="AE46" s="243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243"/>
      <c r="W47" s="3"/>
      <c r="X47" s="50"/>
      <c r="Y47" s="53"/>
      <c r="Z47" s="53"/>
      <c r="AA47" s="53"/>
      <c r="AB47" s="107"/>
      <c r="AC47" s="243"/>
      <c r="AD47" s="168"/>
      <c r="AE47" s="243"/>
      <c r="AF47" s="170"/>
    </row>
    <row r="48" spans="2:32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243"/>
      <c r="W48" s="3"/>
      <c r="X48" s="50"/>
      <c r="Y48" s="53"/>
      <c r="Z48" s="53"/>
      <c r="AA48" s="53"/>
      <c r="AB48" s="107"/>
      <c r="AC48" s="243"/>
      <c r="AD48" s="168"/>
      <c r="AE48" s="243"/>
      <c r="AF48" s="170"/>
    </row>
    <row r="49" spans="2:32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243"/>
      <c r="W49" s="3"/>
      <c r="X49" s="50"/>
      <c r="Y49" s="53"/>
      <c r="Z49" s="53"/>
      <c r="AA49" s="53"/>
      <c r="AB49" s="107"/>
      <c r="AC49" s="243"/>
      <c r="AD49" s="168"/>
      <c r="AE49" s="243"/>
      <c r="AF49" s="170"/>
    </row>
    <row r="50" spans="2:32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243"/>
      <c r="W50" s="3"/>
      <c r="X50" s="50"/>
      <c r="Y50" s="53"/>
      <c r="Z50" s="53"/>
      <c r="AA50" s="53"/>
      <c r="AB50" s="107"/>
      <c r="AC50" s="243"/>
      <c r="AD50" s="168"/>
      <c r="AE50" s="243"/>
      <c r="AF50" s="170"/>
    </row>
    <row r="51" spans="2:32" x14ac:dyDescent="0.3">
      <c r="B51" s="10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243"/>
      <c r="W51" s="3"/>
      <c r="X51" s="50"/>
      <c r="Y51" s="53"/>
      <c r="Z51" s="53"/>
      <c r="AA51" s="53"/>
      <c r="AB51" s="107"/>
      <c r="AC51" s="243"/>
      <c r="AD51" s="168"/>
      <c r="AE51" s="243"/>
      <c r="AF51" s="170"/>
    </row>
    <row r="52" spans="2:32" x14ac:dyDescent="0.3">
      <c r="B52" s="10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243"/>
      <c r="W52" s="3"/>
      <c r="X52" s="50"/>
      <c r="Y52" s="53"/>
      <c r="Z52" s="53"/>
      <c r="AA52" s="53"/>
      <c r="AB52" s="107"/>
      <c r="AC52" s="243"/>
      <c r="AD52" s="168"/>
      <c r="AE52" s="243"/>
      <c r="AF52" s="170"/>
    </row>
    <row r="53" spans="2:32" x14ac:dyDescent="0.3">
      <c r="B53" s="10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243"/>
      <c r="W53" s="3"/>
      <c r="X53" s="50"/>
      <c r="Y53" s="53"/>
      <c r="Z53" s="53"/>
      <c r="AA53" s="53"/>
      <c r="AB53" s="107"/>
      <c r="AC53" s="243"/>
      <c r="AD53" s="168"/>
      <c r="AE53" s="243"/>
      <c r="AF53" s="170"/>
    </row>
    <row r="54" spans="2:32" x14ac:dyDescent="0.3">
      <c r="B54" s="10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243"/>
      <c r="W54" s="3"/>
      <c r="X54" s="50"/>
      <c r="Y54" s="53"/>
      <c r="Z54" s="53"/>
      <c r="AA54" s="53"/>
      <c r="AB54" s="107"/>
      <c r="AC54" s="243"/>
      <c r="AD54" s="168"/>
      <c r="AE54" s="243"/>
      <c r="AF54" s="170"/>
    </row>
    <row r="55" spans="2:32" x14ac:dyDescent="0.3">
      <c r="B55" s="10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243"/>
      <c r="W55" s="3"/>
      <c r="X55" s="50"/>
      <c r="Y55" s="53"/>
      <c r="Z55" s="53"/>
      <c r="AA55" s="53"/>
      <c r="AB55" s="107"/>
      <c r="AC55" s="243"/>
      <c r="AD55" s="168"/>
      <c r="AE55" s="243"/>
      <c r="AF55" s="170"/>
    </row>
    <row r="56" spans="2:32" x14ac:dyDescent="0.3">
      <c r="B56" s="10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243"/>
      <c r="W56" s="3"/>
      <c r="X56" s="50"/>
      <c r="Y56" s="53"/>
      <c r="Z56" s="53"/>
      <c r="AA56" s="53"/>
      <c r="AB56" s="107"/>
      <c r="AC56" s="243"/>
      <c r="AD56" s="168"/>
      <c r="AE56" s="243"/>
      <c r="AF56" s="170"/>
    </row>
    <row r="57" spans="2:32" x14ac:dyDescent="0.3">
      <c r="B57" s="10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243"/>
      <c r="W57" s="3"/>
      <c r="X57" s="50"/>
      <c r="Y57" s="53"/>
      <c r="Z57" s="53"/>
      <c r="AA57" s="53"/>
      <c r="AB57" s="107"/>
      <c r="AC57" s="243"/>
      <c r="AD57" s="168"/>
      <c r="AE57" s="243"/>
      <c r="AF57" s="170"/>
    </row>
    <row r="58" spans="2:32" x14ac:dyDescent="0.3">
      <c r="B58" s="10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243"/>
      <c r="W58" s="3"/>
      <c r="X58" s="50"/>
      <c r="Y58" s="53"/>
      <c r="Z58" s="53"/>
      <c r="AA58" s="53"/>
      <c r="AB58" s="107"/>
      <c r="AC58" s="243"/>
      <c r="AD58" s="168"/>
      <c r="AE58" s="243"/>
      <c r="AF58" s="170"/>
    </row>
    <row r="59" spans="2:32" x14ac:dyDescent="0.3">
      <c r="B59" s="10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243"/>
      <c r="W59" s="3"/>
      <c r="X59" s="50"/>
      <c r="Y59" s="53"/>
      <c r="Z59" s="53"/>
      <c r="AA59" s="53"/>
      <c r="AB59" s="107"/>
      <c r="AC59" s="243"/>
      <c r="AD59" s="168"/>
      <c r="AE59" s="243"/>
      <c r="AF59" s="170"/>
    </row>
    <row r="60" spans="2:32" x14ac:dyDescent="0.3">
      <c r="B60" s="10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243"/>
      <c r="W60" s="3"/>
      <c r="X60" s="50"/>
      <c r="Y60" s="53"/>
      <c r="Z60" s="53"/>
      <c r="AA60" s="53"/>
      <c r="AB60" s="107"/>
      <c r="AC60" s="243"/>
      <c r="AD60" s="168"/>
      <c r="AE60" s="243"/>
      <c r="AF60" s="170"/>
    </row>
    <row r="61" spans="2:32" x14ac:dyDescent="0.3">
      <c r="B61" s="10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243"/>
      <c r="W61" s="3"/>
      <c r="X61" s="50"/>
      <c r="Y61" s="53"/>
      <c r="Z61" s="53"/>
      <c r="AA61" s="53"/>
      <c r="AB61" s="107"/>
      <c r="AC61" s="243"/>
      <c r="AD61" s="168"/>
      <c r="AE61" s="243"/>
      <c r="AF61" s="170"/>
    </row>
    <row r="62" spans="2:32" x14ac:dyDescent="0.3">
      <c r="B62" s="10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243"/>
      <c r="W62" s="3"/>
      <c r="X62" s="50"/>
      <c r="Y62" s="53"/>
      <c r="Z62" s="53"/>
      <c r="AA62" s="53"/>
      <c r="AB62" s="107"/>
      <c r="AC62" s="243"/>
      <c r="AD62" s="168"/>
      <c r="AE62" s="243"/>
      <c r="AF62" s="170"/>
    </row>
    <row r="63" spans="2:32" x14ac:dyDescent="0.3">
      <c r="B63" s="10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243"/>
      <c r="W63" s="3"/>
      <c r="X63" s="50"/>
      <c r="Y63" s="53"/>
      <c r="Z63" s="53"/>
      <c r="AA63" s="53"/>
      <c r="AB63" s="107"/>
      <c r="AC63" s="243"/>
      <c r="AD63" s="168"/>
      <c r="AE63" s="243"/>
      <c r="AF63" s="170"/>
    </row>
    <row r="64" spans="2:32" x14ac:dyDescent="0.3">
      <c r="B64" s="10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243"/>
      <c r="W64" s="3"/>
      <c r="X64" s="50"/>
      <c r="Y64" s="53"/>
      <c r="Z64" s="53"/>
      <c r="AA64" s="53"/>
      <c r="AB64" s="107"/>
      <c r="AC64" s="243"/>
      <c r="AD64" s="168"/>
      <c r="AE64" s="243"/>
      <c r="AF64" s="170"/>
    </row>
    <row r="65" spans="2:32" x14ac:dyDescent="0.3">
      <c r="B65" s="10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243"/>
      <c r="W65" s="3"/>
      <c r="X65" s="50"/>
      <c r="Y65" s="53"/>
      <c r="Z65" s="53"/>
      <c r="AA65" s="53"/>
      <c r="AB65" s="107"/>
      <c r="AC65" s="243"/>
      <c r="AD65" s="168"/>
      <c r="AE65" s="243"/>
      <c r="AF65" s="170"/>
    </row>
    <row r="66" spans="2:32" x14ac:dyDescent="0.3">
      <c r="B66" s="10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243"/>
      <c r="W66" s="3"/>
      <c r="X66" s="50"/>
      <c r="Y66" s="53"/>
      <c r="Z66" s="53"/>
      <c r="AA66" s="53"/>
      <c r="AB66" s="107"/>
      <c r="AC66" s="243"/>
      <c r="AD66" s="168"/>
      <c r="AE66" s="243"/>
      <c r="AF66" s="170"/>
    </row>
    <row r="67" spans="2:32" x14ac:dyDescent="0.3">
      <c r="B67" s="10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243"/>
      <c r="W67" s="3"/>
      <c r="X67" s="50"/>
      <c r="Y67" s="53"/>
      <c r="Z67" s="53"/>
      <c r="AA67" s="53"/>
      <c r="AB67" s="107"/>
      <c r="AC67" s="243"/>
      <c r="AD67" s="168"/>
      <c r="AE67" s="243"/>
      <c r="AF67" s="170"/>
    </row>
    <row r="68" spans="2:32" x14ac:dyDescent="0.3">
      <c r="B68" s="10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243"/>
      <c r="W68" s="3"/>
      <c r="X68" s="50"/>
      <c r="Y68" s="53"/>
      <c r="Z68" s="53"/>
      <c r="AA68" s="53"/>
      <c r="AB68" s="107"/>
      <c r="AC68" s="243"/>
      <c r="AD68" s="168"/>
      <c r="AE68" s="243"/>
      <c r="AF68" s="170"/>
    </row>
    <row r="69" spans="2:32" x14ac:dyDescent="0.3">
      <c r="B69" s="10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243"/>
      <c r="W69" s="3"/>
      <c r="X69" s="50"/>
      <c r="Y69" s="53"/>
      <c r="Z69" s="53"/>
      <c r="AA69" s="53"/>
      <c r="AB69" s="107"/>
      <c r="AC69" s="243"/>
      <c r="AD69" s="168"/>
      <c r="AE69" s="243"/>
      <c r="AF69" s="170"/>
    </row>
    <row r="70" spans="2:32" x14ac:dyDescent="0.3">
      <c r="B70" s="10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243"/>
      <c r="W70" s="3"/>
      <c r="X70" s="50"/>
      <c r="Y70" s="53"/>
      <c r="Z70" s="53"/>
      <c r="AA70" s="53"/>
      <c r="AB70" s="107"/>
      <c r="AC70" s="243"/>
      <c r="AD70" s="168"/>
      <c r="AE70" s="243"/>
      <c r="AF70" s="170"/>
    </row>
    <row r="71" spans="2:32" x14ac:dyDescent="0.3">
      <c r="B71" s="10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243"/>
      <c r="W71" s="3"/>
      <c r="X71" s="50"/>
      <c r="Y71" s="53"/>
      <c r="Z71" s="53"/>
      <c r="AA71" s="53"/>
      <c r="AB71" s="107"/>
      <c r="AC71" s="243"/>
      <c r="AD71" s="168"/>
      <c r="AE71" s="243"/>
      <c r="AF71" s="170"/>
    </row>
    <row r="72" spans="2:32" x14ac:dyDescent="0.3">
      <c r="B72" s="10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243"/>
      <c r="W72" s="3"/>
      <c r="X72" s="50"/>
      <c r="Y72" s="53"/>
      <c r="Z72" s="53"/>
      <c r="AA72" s="53"/>
      <c r="AB72" s="107"/>
      <c r="AC72" s="243"/>
      <c r="AD72" s="168"/>
      <c r="AE72" s="243"/>
      <c r="AF72" s="170"/>
    </row>
    <row r="73" spans="2:32" x14ac:dyDescent="0.3">
      <c r="B73" s="10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243"/>
      <c r="W73" s="3"/>
      <c r="X73" s="50"/>
      <c r="Y73" s="53"/>
      <c r="Z73" s="53"/>
      <c r="AA73" s="53"/>
      <c r="AB73" s="107"/>
      <c r="AC73" s="243"/>
      <c r="AD73" s="168"/>
      <c r="AE73" s="243"/>
      <c r="AF73" s="170"/>
    </row>
    <row r="74" spans="2:32" x14ac:dyDescent="0.3">
      <c r="B74" s="10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243"/>
      <c r="W74" s="3"/>
      <c r="X74" s="50"/>
      <c r="Y74" s="53"/>
      <c r="Z74" s="53"/>
      <c r="AA74" s="53"/>
      <c r="AB74" s="107"/>
      <c r="AC74" s="243"/>
      <c r="AD74" s="168"/>
      <c r="AE74" s="243"/>
      <c r="AF74" s="170"/>
    </row>
    <row r="75" spans="2:32" x14ac:dyDescent="0.3">
      <c r="B75" s="10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243"/>
      <c r="W75" s="3"/>
      <c r="X75" s="50"/>
      <c r="Y75" s="53"/>
      <c r="Z75" s="53"/>
      <c r="AA75" s="53"/>
      <c r="AB75" s="107"/>
      <c r="AC75" s="243"/>
      <c r="AD75" s="168"/>
      <c r="AE75" s="243"/>
      <c r="AF75" s="170"/>
    </row>
    <row r="76" spans="2:32" x14ac:dyDescent="0.3">
      <c r="B76" s="10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243"/>
      <c r="W76" s="3"/>
      <c r="X76" s="50"/>
      <c r="Y76" s="53"/>
      <c r="Z76" s="53"/>
      <c r="AA76" s="53"/>
      <c r="AB76" s="107"/>
      <c r="AC76" s="243"/>
      <c r="AD76" s="168"/>
      <c r="AE76" s="243"/>
      <c r="AF76" s="170"/>
    </row>
    <row r="77" spans="2:32" x14ac:dyDescent="0.3">
      <c r="B77" s="10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243"/>
      <c r="W77" s="3"/>
      <c r="X77" s="50"/>
      <c r="Y77" s="53"/>
      <c r="Z77" s="53"/>
      <c r="AA77" s="53"/>
      <c r="AB77" s="107"/>
      <c r="AC77" s="243"/>
      <c r="AD77" s="168"/>
      <c r="AE77" s="243"/>
      <c r="AF77" s="170"/>
    </row>
    <row r="78" spans="2:32" x14ac:dyDescent="0.3">
      <c r="B78" s="10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243"/>
      <c r="W78" s="3"/>
      <c r="X78" s="50"/>
      <c r="Y78" s="53"/>
      <c r="Z78" s="53"/>
      <c r="AA78" s="53"/>
      <c r="AB78" s="107"/>
      <c r="AC78" s="243"/>
      <c r="AD78" s="168"/>
      <c r="AE78" s="243"/>
      <c r="AF78" s="170"/>
    </row>
    <row r="79" spans="2:32" x14ac:dyDescent="0.3">
      <c r="B79" s="10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243"/>
      <c r="W79" s="3"/>
      <c r="X79" s="50"/>
      <c r="Y79" s="53"/>
      <c r="Z79" s="53"/>
      <c r="AA79" s="53"/>
      <c r="AB79" s="107"/>
      <c r="AC79" s="243"/>
      <c r="AD79" s="168"/>
      <c r="AE79" s="243"/>
      <c r="AF79" s="170"/>
    </row>
    <row r="80" spans="2:32" x14ac:dyDescent="0.3">
      <c r="B80" s="10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243"/>
      <c r="W80" s="3"/>
      <c r="X80" s="50"/>
      <c r="Y80" s="53"/>
      <c r="Z80" s="53"/>
      <c r="AA80" s="53"/>
      <c r="AB80" s="107"/>
      <c r="AC80" s="243"/>
      <c r="AD80" s="168"/>
      <c r="AE80" s="243"/>
      <c r="AF80" s="170"/>
    </row>
    <row r="81" spans="1:32" x14ac:dyDescent="0.3">
      <c r="B81" s="10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243"/>
      <c r="W81" s="3"/>
      <c r="X81" s="50"/>
      <c r="Y81" s="53"/>
      <c r="Z81" s="53"/>
      <c r="AA81" s="53"/>
      <c r="AB81" s="107"/>
      <c r="AC81" s="243"/>
      <c r="AD81" s="168"/>
      <c r="AE81" s="243"/>
      <c r="AF81" s="170"/>
    </row>
    <row r="82" spans="1:32" x14ac:dyDescent="0.3">
      <c r="B82" s="10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243"/>
      <c r="W82" s="3"/>
      <c r="X82" s="50"/>
      <c r="Y82" s="53"/>
      <c r="Z82" s="53"/>
      <c r="AA82" s="53"/>
      <c r="AB82" s="107"/>
      <c r="AC82" s="243"/>
      <c r="AD82" s="168"/>
      <c r="AE82" s="243"/>
      <c r="AF82" s="170"/>
    </row>
    <row r="83" spans="1:32" x14ac:dyDescent="0.3">
      <c r="B83" s="10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243"/>
      <c r="W83" s="3"/>
      <c r="X83" s="50"/>
      <c r="Y83" s="53"/>
      <c r="Z83" s="53"/>
      <c r="AA83" s="53"/>
      <c r="AB83" s="107"/>
      <c r="AC83" s="243"/>
      <c r="AD83" s="168"/>
      <c r="AE83" s="243"/>
      <c r="AF83" s="170"/>
    </row>
    <row r="84" spans="1:32" x14ac:dyDescent="0.3">
      <c r="B84" s="10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243"/>
      <c r="W84" s="3"/>
      <c r="X84" s="50"/>
      <c r="Y84" s="53"/>
      <c r="Z84" s="53"/>
      <c r="AA84" s="53"/>
      <c r="AB84" s="107"/>
      <c r="AC84" s="243"/>
      <c r="AD84" s="168"/>
      <c r="AE84" s="243"/>
      <c r="AF84" s="168"/>
    </row>
    <row r="85" spans="1:32" x14ac:dyDescent="0.3">
      <c r="B85" s="10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243"/>
      <c r="W85" s="3"/>
      <c r="X85" s="50"/>
      <c r="Y85" s="53"/>
      <c r="Z85" s="53"/>
      <c r="AA85" s="53"/>
      <c r="AB85" s="107"/>
      <c r="AC85" s="243"/>
      <c r="AD85" s="168"/>
      <c r="AE85" s="243"/>
      <c r="AF85" s="168"/>
    </row>
    <row r="86" spans="1:32" x14ac:dyDescent="0.3">
      <c r="B86" s="10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243"/>
      <c r="W86" s="3"/>
      <c r="X86" s="50"/>
      <c r="Y86" s="53"/>
      <c r="Z86" s="53"/>
      <c r="AA86" s="53"/>
      <c r="AB86" s="107"/>
      <c r="AC86" s="243"/>
      <c r="AD86" s="168"/>
      <c r="AE86" s="243"/>
      <c r="AF86" s="168"/>
    </row>
    <row r="87" spans="1:32" x14ac:dyDescent="0.3">
      <c r="B87" s="10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243"/>
      <c r="W87" s="3"/>
      <c r="X87" s="50"/>
      <c r="Y87" s="53"/>
      <c r="Z87" s="53"/>
      <c r="AA87" s="53"/>
      <c r="AB87" s="107"/>
      <c r="AC87" s="243"/>
      <c r="AD87" s="168"/>
      <c r="AE87" s="243"/>
      <c r="AF87" s="168"/>
    </row>
    <row r="88" spans="1:32" x14ac:dyDescent="0.3">
      <c r="B88" s="10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243"/>
      <c r="W88" s="3"/>
      <c r="X88" s="50"/>
      <c r="Y88" s="53"/>
      <c r="Z88" s="53"/>
      <c r="AA88" s="53"/>
      <c r="AB88" s="107"/>
      <c r="AC88" s="243"/>
      <c r="AD88" s="168"/>
      <c r="AE88" s="243"/>
      <c r="AF88" s="168"/>
    </row>
    <row r="89" spans="1:32" x14ac:dyDescent="0.3">
      <c r="B89" s="10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243"/>
      <c r="W89" s="3"/>
      <c r="X89" s="50"/>
      <c r="Y89" s="53"/>
      <c r="Z89" s="53"/>
      <c r="AA89" s="53"/>
      <c r="AB89" s="107"/>
      <c r="AC89" s="243"/>
      <c r="AD89" s="168"/>
      <c r="AE89" s="243"/>
      <c r="AF89" s="168"/>
    </row>
    <row r="90" spans="1:32" x14ac:dyDescent="0.3">
      <c r="B90" s="10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243"/>
      <c r="W90" s="3"/>
      <c r="X90" s="50"/>
      <c r="Y90" s="53"/>
      <c r="Z90" s="53"/>
      <c r="AA90" s="53"/>
      <c r="AB90" s="107"/>
      <c r="AC90" s="243"/>
      <c r="AD90" s="168"/>
      <c r="AE90" s="243"/>
      <c r="AF90" s="168"/>
    </row>
    <row r="91" spans="1:32" x14ac:dyDescent="0.3">
      <c r="B91" s="10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243"/>
      <c r="W91" s="3"/>
      <c r="X91" s="50"/>
      <c r="Y91" s="53"/>
      <c r="Z91" s="53"/>
      <c r="AA91" s="53"/>
      <c r="AB91" s="107"/>
      <c r="AC91" s="243"/>
      <c r="AD91" s="168"/>
      <c r="AE91" s="243"/>
      <c r="AF91" s="168"/>
    </row>
    <row r="92" spans="1:32" x14ac:dyDescent="0.3">
      <c r="B92" s="10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243"/>
      <c r="W92" s="3"/>
      <c r="X92" s="50"/>
      <c r="Y92" s="53"/>
      <c r="Z92" s="53"/>
      <c r="AA92" s="53"/>
      <c r="AB92" s="107"/>
      <c r="AC92" s="243"/>
      <c r="AD92" s="168"/>
      <c r="AE92" s="243"/>
      <c r="AF92" s="168"/>
    </row>
    <row r="93" spans="1:32" x14ac:dyDescent="0.3">
      <c r="B93" s="10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243"/>
      <c r="W93" s="3"/>
      <c r="X93" s="50"/>
      <c r="Y93" s="53"/>
      <c r="Z93" s="53"/>
      <c r="AA93" s="53"/>
      <c r="AB93" s="107"/>
      <c r="AC93" s="243"/>
      <c r="AD93" s="168"/>
      <c r="AE93" s="243"/>
      <c r="AF93" s="168"/>
    </row>
    <row r="94" spans="1:32" x14ac:dyDescent="0.3">
      <c r="B94" s="10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243"/>
      <c r="W94" s="3"/>
      <c r="X94" s="50"/>
      <c r="Y94" s="53"/>
      <c r="Z94" s="53"/>
      <c r="AA94" s="53"/>
      <c r="AB94" s="107"/>
      <c r="AC94" s="243"/>
      <c r="AD94" s="168"/>
      <c r="AE94" s="243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2" priority="1">
      <formula>$N35&lt;0</formula>
    </cfRule>
  </conditionalFormatting>
  <dataValidations count="3">
    <dataValidation type="list" allowBlank="1" showInputMessage="1" showErrorMessage="1" sqref="I11:I30 I35:I94" xr:uid="{CE0DFA19-164E-4F33-A898-900AC853EE27}">
      <formula1>계정</formula1>
    </dataValidation>
    <dataValidation type="list" allowBlank="1" showInputMessage="1" showErrorMessage="1" sqref="J11:J30 C11:C30 J35:J94 C35:C94" xr:uid="{5FEA258A-BADD-49EE-92F4-6C61CC048ACD}">
      <formula1>대분류</formula1>
    </dataValidation>
    <dataValidation type="list" allowBlank="1" showInputMessage="1" showErrorMessage="1" sqref="K11:K30 D11:D30 D35:D94 K35:K94" xr:uid="{D8767AD4-B994-4A2B-8208-08757098FACD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788-7A2D-4DF5-AAFB-AB2785600962}">
  <sheetPr codeName="Sheet40">
    <tabColor theme="4"/>
    <pageSetUpPr autoPageBreaks="0" fitToPage="1"/>
  </sheetPr>
  <dimension ref="A1:AF383"/>
  <sheetViews>
    <sheetView showGridLines="0" zoomScale="90" zoomScaleNormal="90" zoomScaleSheetLayoutView="40" workbookViewId="0">
      <selection activeCell="B11" sqref="B11"/>
    </sheetView>
  </sheetViews>
  <sheetFormatPr defaultColWidth="8.875" defaultRowHeight="16.5" x14ac:dyDescent="0.3"/>
  <cols>
    <col min="1" max="1" width="4.625" style="1" customWidth="1"/>
    <col min="2" max="4" width="11.625" style="1" customWidth="1"/>
    <col min="5" max="5" width="25.625" style="1" customWidth="1"/>
    <col min="6" max="6" width="11.625" style="1" customWidth="1"/>
    <col min="7" max="7" width="4.625" style="1" customWidth="1"/>
    <col min="8" max="11" width="11.625" style="1" customWidth="1"/>
    <col min="12" max="12" width="25.625" style="1" customWidth="1"/>
    <col min="13" max="14" width="11.625" style="1" customWidth="1"/>
    <col min="15" max="15" width="25.625" style="1" customWidth="1"/>
    <col min="16" max="16" width="4.625" style="1" customWidth="1"/>
    <col min="17" max="33" width="8.875" style="1" customWidth="1"/>
    <col min="34" max="16384" width="8.875" style="1"/>
  </cols>
  <sheetData>
    <row r="1" spans="1:32" ht="16.5" customHeight="1" x14ac:dyDescent="0.3">
      <c r="B1" s="584" t="s">
        <v>189</v>
      </c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66"/>
    </row>
    <row r="2" spans="1:32" ht="16.5" customHeight="1" x14ac:dyDescent="0.3">
      <c r="A2" s="66"/>
      <c r="B2" s="584"/>
      <c r="C2" s="584"/>
      <c r="D2" s="584"/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66"/>
    </row>
    <row r="3" spans="1:32" ht="16.5" customHeight="1" x14ac:dyDescent="0.3">
      <c r="A3" s="67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67"/>
    </row>
    <row r="5" spans="1:32" x14ac:dyDescent="0.3">
      <c r="B5" s="68" t="s">
        <v>96</v>
      </c>
      <c r="C5" s="71">
        <f>SUM($C$9+$C$33)</f>
        <v>0</v>
      </c>
      <c r="H5" s="68" t="str">
        <f>'1월'!H5</f>
        <v>이번달 목표</v>
      </c>
      <c r="I5" s="96"/>
      <c r="J5" s="96"/>
      <c r="K5" s="96"/>
      <c r="L5" s="96"/>
      <c r="M5" s="68" t="str">
        <f>'1월'!M5</f>
        <v>필수지출</v>
      </c>
      <c r="N5" s="43"/>
      <c r="O5" s="43"/>
      <c r="Q5" s="157"/>
      <c r="R5" s="246"/>
      <c r="T5" s="159"/>
      <c r="U5" s="247"/>
    </row>
    <row r="6" spans="1:32" x14ac:dyDescent="0.3">
      <c r="B6" s="68" t="s">
        <v>97</v>
      </c>
      <c r="C6" s="93">
        <f>SUM($I$9+$J$33)</f>
        <v>0</v>
      </c>
      <c r="H6" s="588"/>
      <c r="I6" s="586"/>
      <c r="J6" s="586"/>
      <c r="K6" s="586"/>
      <c r="L6" s="586"/>
      <c r="M6" s="582"/>
      <c r="N6" s="582"/>
      <c r="O6" s="582"/>
      <c r="Q6" s="157"/>
      <c r="R6" s="246"/>
      <c r="T6" s="159"/>
      <c r="U6" s="163"/>
    </row>
    <row r="7" spans="1:32" x14ac:dyDescent="0.3">
      <c r="B7" s="74" t="s">
        <v>65</v>
      </c>
      <c r="C7" s="69">
        <f>$C$5-$C$6</f>
        <v>0</v>
      </c>
      <c r="H7" s="589"/>
      <c r="I7" s="587"/>
      <c r="J7" s="587"/>
      <c r="K7" s="587"/>
      <c r="L7" s="587"/>
      <c r="M7" s="583"/>
      <c r="N7" s="583"/>
      <c r="O7" s="583"/>
      <c r="Q7" s="74"/>
      <c r="R7" s="248"/>
      <c r="T7" s="159"/>
    </row>
    <row r="8" spans="1:32" ht="9" customHeight="1" x14ac:dyDescent="0.3">
      <c r="R8" s="160"/>
      <c r="T8" s="163"/>
    </row>
    <row r="9" spans="1:32" ht="17.25" thickBot="1" x14ac:dyDescent="0.35">
      <c r="B9" s="68" t="str">
        <f>'1월'!B9</f>
        <v>고정수입</v>
      </c>
      <c r="C9" s="71">
        <f>SUM($F$11:$F$30)</f>
        <v>0</v>
      </c>
      <c r="D9" s="43"/>
      <c r="E9" s="43"/>
      <c r="F9" s="43"/>
      <c r="G9" s="43"/>
      <c r="H9" s="68" t="str">
        <f>'1월'!H9</f>
        <v>저축성지출</v>
      </c>
      <c r="I9" s="70">
        <f>SUM($M$11:$M$30)</f>
        <v>0</v>
      </c>
      <c r="J9" s="95"/>
      <c r="K9" s="94"/>
      <c r="M9" s="43"/>
      <c r="N9" s="43"/>
      <c r="Q9" s="157"/>
      <c r="R9" s="246"/>
      <c r="S9" s="43"/>
      <c r="T9" s="159"/>
      <c r="U9" s="43"/>
      <c r="V9" s="249"/>
      <c r="W9" s="43"/>
      <c r="X9" s="157"/>
      <c r="Y9" s="242"/>
      <c r="Z9" s="165"/>
      <c r="AA9" s="94"/>
      <c r="AC9" s="43"/>
      <c r="AD9" s="43"/>
      <c r="AE9" s="43"/>
    </row>
    <row r="10" spans="1:32" ht="17.25" thickBot="1" x14ac:dyDescent="0.35">
      <c r="B10" s="40" t="s">
        <v>0</v>
      </c>
      <c r="C10" s="41" t="s">
        <v>9</v>
      </c>
      <c r="D10" s="41" t="s">
        <v>43</v>
      </c>
      <c r="E10" s="41" t="s">
        <v>44</v>
      </c>
      <c r="F10" s="42" t="s">
        <v>2</v>
      </c>
      <c r="G10" s="43"/>
      <c r="H10" s="40" t="s">
        <v>0</v>
      </c>
      <c r="I10" s="41" t="s">
        <v>10</v>
      </c>
      <c r="J10" s="41" t="s">
        <v>9</v>
      </c>
      <c r="K10" s="41" t="s">
        <v>43</v>
      </c>
      <c r="L10" s="41" t="s">
        <v>286</v>
      </c>
      <c r="M10" s="41" t="s">
        <v>117</v>
      </c>
      <c r="N10" s="41" t="s">
        <v>87</v>
      </c>
      <c r="O10" s="42" t="s">
        <v>85</v>
      </c>
      <c r="Q10" s="62"/>
      <c r="R10" s="62"/>
      <c r="S10" s="62"/>
      <c r="T10" s="62"/>
      <c r="U10" s="62"/>
      <c r="V10" s="62"/>
      <c r="W10" s="43"/>
      <c r="X10" s="62"/>
      <c r="Y10" s="62"/>
      <c r="Z10" s="62"/>
      <c r="AA10" s="62"/>
      <c r="AB10" s="62"/>
      <c r="AC10" s="62"/>
      <c r="AD10" s="62"/>
      <c r="AE10" s="62"/>
      <c r="AF10" s="62"/>
    </row>
    <row r="11" spans="1:32" x14ac:dyDescent="0.3">
      <c r="B11" s="10"/>
      <c r="C11" s="11"/>
      <c r="D11" s="11"/>
      <c r="E11" s="12"/>
      <c r="F11" s="13"/>
      <c r="G11" s="3"/>
      <c r="H11" s="10"/>
      <c r="I11" s="11"/>
      <c r="J11" s="11"/>
      <c r="K11" s="11"/>
      <c r="L11" s="8"/>
      <c r="M11" s="9"/>
      <c r="N11" s="55"/>
      <c r="O11" s="479"/>
      <c r="Q11" s="50"/>
      <c r="R11" s="53"/>
      <c r="S11" s="53"/>
      <c r="T11" s="53"/>
      <c r="U11" s="107"/>
      <c r="V11" s="243"/>
      <c r="W11" s="3"/>
      <c r="X11" s="50"/>
      <c r="Y11" s="53"/>
      <c r="Z11" s="53"/>
      <c r="AA11" s="53"/>
      <c r="AB11" s="107"/>
      <c r="AC11" s="243"/>
      <c r="AD11" s="168"/>
      <c r="AE11" s="166"/>
      <c r="AF11" s="170"/>
    </row>
    <row r="12" spans="1:32" x14ac:dyDescent="0.3">
      <c r="B12" s="10"/>
      <c r="C12" s="11"/>
      <c r="D12" s="11"/>
      <c r="E12" s="12"/>
      <c r="F12" s="9"/>
      <c r="G12" s="3"/>
      <c r="H12" s="10"/>
      <c r="I12" s="11"/>
      <c r="J12" s="11"/>
      <c r="K12" s="11"/>
      <c r="L12" s="8"/>
      <c r="M12" s="9"/>
      <c r="N12" s="46"/>
      <c r="O12" s="480"/>
      <c r="Q12" s="50"/>
      <c r="R12" s="53"/>
      <c r="S12" s="53"/>
      <c r="T12" s="53"/>
      <c r="U12" s="107"/>
      <c r="V12" s="243"/>
      <c r="W12" s="3"/>
      <c r="X12" s="50"/>
      <c r="Y12" s="53"/>
      <c r="Z12" s="53"/>
      <c r="AA12" s="53"/>
      <c r="AB12" s="107"/>
      <c r="AC12" s="243"/>
      <c r="AD12" s="168"/>
      <c r="AE12" s="166"/>
      <c r="AF12" s="170"/>
    </row>
    <row r="13" spans="1:32" x14ac:dyDescent="0.3">
      <c r="B13" s="10"/>
      <c r="C13" s="7"/>
      <c r="D13" s="7"/>
      <c r="E13" s="8"/>
      <c r="F13" s="9"/>
      <c r="G13" s="3"/>
      <c r="H13" s="10"/>
      <c r="I13" s="11"/>
      <c r="J13" s="11"/>
      <c r="K13" s="11"/>
      <c r="L13" s="8"/>
      <c r="M13" s="9"/>
      <c r="N13" s="46"/>
      <c r="O13" s="480"/>
      <c r="Q13" s="50"/>
      <c r="R13" s="53"/>
      <c r="S13" s="53"/>
      <c r="T13" s="53"/>
      <c r="U13" s="107"/>
      <c r="V13" s="243"/>
      <c r="W13" s="3"/>
      <c r="X13" s="50"/>
      <c r="Y13" s="53"/>
      <c r="Z13" s="53"/>
      <c r="AA13" s="53"/>
      <c r="AB13" s="107"/>
      <c r="AC13" s="243"/>
      <c r="AD13" s="168"/>
      <c r="AE13" s="166"/>
      <c r="AF13" s="170"/>
    </row>
    <row r="14" spans="1:32" x14ac:dyDescent="0.3">
      <c r="B14" s="10"/>
      <c r="C14" s="7"/>
      <c r="D14" s="7"/>
      <c r="E14" s="8"/>
      <c r="F14" s="9"/>
      <c r="G14" s="3"/>
      <c r="H14" s="10"/>
      <c r="I14" s="11"/>
      <c r="J14" s="11"/>
      <c r="K14" s="11"/>
      <c r="L14" s="8"/>
      <c r="M14" s="9"/>
      <c r="N14" s="46"/>
      <c r="O14" s="480"/>
      <c r="Q14" s="50"/>
      <c r="R14" s="53"/>
      <c r="S14" s="53"/>
      <c r="T14" s="53"/>
      <c r="U14" s="107"/>
      <c r="V14" s="243"/>
      <c r="W14" s="3"/>
      <c r="X14" s="50"/>
      <c r="Y14" s="53"/>
      <c r="Z14" s="53"/>
      <c r="AA14" s="53"/>
      <c r="AB14" s="107"/>
      <c r="AC14" s="243"/>
      <c r="AD14" s="168"/>
      <c r="AE14" s="166"/>
      <c r="AF14" s="170"/>
    </row>
    <row r="15" spans="1:32" x14ac:dyDescent="0.3">
      <c r="B15" s="10"/>
      <c r="C15" s="7"/>
      <c r="D15" s="7"/>
      <c r="E15" s="8"/>
      <c r="F15" s="9"/>
      <c r="G15" s="3"/>
      <c r="H15" s="10"/>
      <c r="I15" s="11"/>
      <c r="J15" s="11"/>
      <c r="K15" s="11"/>
      <c r="L15" s="8"/>
      <c r="M15" s="9"/>
      <c r="N15" s="46"/>
      <c r="O15" s="480"/>
      <c r="Q15" s="50"/>
      <c r="R15" s="53"/>
      <c r="S15" s="53"/>
      <c r="T15" s="53"/>
      <c r="U15" s="107"/>
      <c r="V15" s="243"/>
      <c r="W15" s="3"/>
      <c r="X15" s="50"/>
      <c r="Y15" s="53"/>
      <c r="Z15" s="53"/>
      <c r="AA15" s="53"/>
      <c r="AB15" s="107"/>
      <c r="AC15" s="243"/>
      <c r="AD15" s="168"/>
      <c r="AE15" s="166"/>
      <c r="AF15" s="170"/>
    </row>
    <row r="16" spans="1:32" x14ac:dyDescent="0.3">
      <c r="B16" s="10"/>
      <c r="C16" s="7"/>
      <c r="D16" s="7"/>
      <c r="E16" s="8"/>
      <c r="F16" s="9"/>
      <c r="G16" s="3"/>
      <c r="H16" s="10"/>
      <c r="I16" s="11"/>
      <c r="J16" s="11"/>
      <c r="K16" s="11"/>
      <c r="L16" s="8"/>
      <c r="M16" s="9"/>
      <c r="N16" s="46"/>
      <c r="O16" s="480"/>
      <c r="Q16" s="50"/>
      <c r="R16" s="53"/>
      <c r="S16" s="53"/>
      <c r="T16" s="53"/>
      <c r="U16" s="107"/>
      <c r="V16" s="243"/>
      <c r="W16" s="3"/>
      <c r="X16" s="50"/>
      <c r="Y16" s="53"/>
      <c r="Z16" s="53"/>
      <c r="AA16" s="53"/>
      <c r="AB16" s="107"/>
      <c r="AC16" s="243"/>
      <c r="AD16" s="168"/>
      <c r="AE16" s="166"/>
      <c r="AF16" s="170"/>
    </row>
    <row r="17" spans="2:32" x14ac:dyDescent="0.3">
      <c r="B17" s="10"/>
      <c r="C17" s="7"/>
      <c r="D17" s="7"/>
      <c r="E17" s="8"/>
      <c r="F17" s="9"/>
      <c r="G17" s="3"/>
      <c r="H17" s="10"/>
      <c r="I17" s="11"/>
      <c r="J17" s="11"/>
      <c r="K17" s="11"/>
      <c r="L17" s="8"/>
      <c r="M17" s="9"/>
      <c r="N17" s="46"/>
      <c r="O17" s="480"/>
      <c r="Q17" s="50"/>
      <c r="R17" s="53"/>
      <c r="S17" s="53"/>
      <c r="T17" s="53"/>
      <c r="U17" s="107"/>
      <c r="V17" s="243"/>
      <c r="W17" s="3"/>
      <c r="X17" s="50"/>
      <c r="Y17" s="53"/>
      <c r="Z17" s="53"/>
      <c r="AA17" s="53"/>
      <c r="AB17" s="107"/>
      <c r="AC17" s="243"/>
      <c r="AD17" s="168"/>
      <c r="AE17" s="166"/>
      <c r="AF17" s="170"/>
    </row>
    <row r="18" spans="2:32" x14ac:dyDescent="0.3">
      <c r="B18" s="10"/>
      <c r="C18" s="7"/>
      <c r="D18" s="7"/>
      <c r="E18" s="8"/>
      <c r="F18" s="9"/>
      <c r="G18" s="3"/>
      <c r="H18" s="10"/>
      <c r="I18" s="11"/>
      <c r="J18" s="11"/>
      <c r="K18" s="11"/>
      <c r="L18" s="8"/>
      <c r="M18" s="9"/>
      <c r="N18" s="46"/>
      <c r="O18" s="480"/>
      <c r="Q18" s="50"/>
      <c r="R18" s="53"/>
      <c r="S18" s="53"/>
      <c r="T18" s="53"/>
      <c r="U18" s="107"/>
      <c r="V18" s="243"/>
      <c r="W18" s="3"/>
      <c r="X18" s="50"/>
      <c r="Y18" s="53"/>
      <c r="Z18" s="53"/>
      <c r="AA18" s="53"/>
      <c r="AB18" s="107"/>
      <c r="AC18" s="243"/>
      <c r="AD18" s="168"/>
      <c r="AE18" s="166"/>
      <c r="AF18" s="170"/>
    </row>
    <row r="19" spans="2:32" x14ac:dyDescent="0.3">
      <c r="B19" s="10"/>
      <c r="C19" s="7"/>
      <c r="D19" s="7"/>
      <c r="E19" s="8"/>
      <c r="F19" s="9"/>
      <c r="G19" s="3"/>
      <c r="H19" s="10"/>
      <c r="I19" s="11"/>
      <c r="J19" s="11"/>
      <c r="K19" s="11"/>
      <c r="L19" s="8"/>
      <c r="M19" s="9"/>
      <c r="N19" s="46"/>
      <c r="O19" s="480"/>
      <c r="Q19" s="50"/>
      <c r="R19" s="53"/>
      <c r="S19" s="53"/>
      <c r="T19" s="53"/>
      <c r="U19" s="107"/>
      <c r="V19" s="243"/>
      <c r="W19" s="3"/>
      <c r="X19" s="50"/>
      <c r="Y19" s="53"/>
      <c r="Z19" s="53"/>
      <c r="AA19" s="53"/>
      <c r="AB19" s="107"/>
      <c r="AC19" s="243"/>
      <c r="AD19" s="168"/>
      <c r="AE19" s="166"/>
      <c r="AF19" s="170"/>
    </row>
    <row r="20" spans="2:32" x14ac:dyDescent="0.3">
      <c r="B20" s="10"/>
      <c r="C20" s="7"/>
      <c r="D20" s="7"/>
      <c r="E20" s="8"/>
      <c r="F20" s="9"/>
      <c r="G20" s="3"/>
      <c r="H20" s="10"/>
      <c r="I20" s="11"/>
      <c r="J20" s="11"/>
      <c r="K20" s="11"/>
      <c r="L20" s="8"/>
      <c r="M20" s="9"/>
      <c r="N20" s="46"/>
      <c r="O20" s="480"/>
      <c r="Q20" s="50"/>
      <c r="R20" s="53"/>
      <c r="S20" s="53"/>
      <c r="T20" s="53"/>
      <c r="U20" s="107"/>
      <c r="V20" s="243"/>
      <c r="W20" s="3"/>
      <c r="X20" s="50"/>
      <c r="Y20" s="53"/>
      <c r="Z20" s="53"/>
      <c r="AA20" s="53"/>
      <c r="AB20" s="107"/>
      <c r="AC20" s="243"/>
      <c r="AD20" s="168"/>
      <c r="AE20" s="166"/>
      <c r="AF20" s="170"/>
    </row>
    <row r="21" spans="2:32" x14ac:dyDescent="0.3">
      <c r="B21" s="10"/>
      <c r="C21" s="7"/>
      <c r="D21" s="7"/>
      <c r="E21" s="8"/>
      <c r="F21" s="9"/>
      <c r="G21" s="3"/>
      <c r="H21" s="10"/>
      <c r="I21" s="11"/>
      <c r="J21" s="11"/>
      <c r="K21" s="11"/>
      <c r="L21" s="8"/>
      <c r="M21" s="9"/>
      <c r="N21" s="46"/>
      <c r="O21" s="480"/>
      <c r="Q21" s="50"/>
      <c r="R21" s="53"/>
      <c r="S21" s="53"/>
      <c r="T21" s="53"/>
      <c r="U21" s="107"/>
      <c r="V21" s="243"/>
      <c r="W21" s="3"/>
      <c r="X21" s="50"/>
      <c r="Y21" s="53"/>
      <c r="Z21" s="53"/>
      <c r="AA21" s="53"/>
      <c r="AB21" s="107"/>
      <c r="AC21" s="243"/>
      <c r="AD21" s="168"/>
      <c r="AE21" s="166"/>
      <c r="AF21" s="170"/>
    </row>
    <row r="22" spans="2:32" x14ac:dyDescent="0.3">
      <c r="B22" s="10"/>
      <c r="C22" s="7"/>
      <c r="D22" s="7"/>
      <c r="E22" s="8"/>
      <c r="F22" s="9"/>
      <c r="G22" s="3"/>
      <c r="H22" s="10"/>
      <c r="I22" s="11"/>
      <c r="J22" s="11"/>
      <c r="K22" s="11"/>
      <c r="L22" s="8"/>
      <c r="M22" s="46"/>
      <c r="N22" s="46"/>
      <c r="O22" s="480"/>
      <c r="Q22" s="50"/>
      <c r="R22" s="53"/>
      <c r="S22" s="53"/>
      <c r="T22" s="53"/>
      <c r="U22" s="107"/>
      <c r="V22" s="243"/>
      <c r="W22" s="3"/>
      <c r="X22" s="50"/>
      <c r="Y22" s="53"/>
      <c r="Z22" s="53"/>
      <c r="AA22" s="53"/>
      <c r="AB22" s="107"/>
      <c r="AC22" s="243"/>
      <c r="AD22" s="168"/>
      <c r="AE22" s="166"/>
      <c r="AF22" s="170"/>
    </row>
    <row r="23" spans="2:32" x14ac:dyDescent="0.3">
      <c r="B23" s="10"/>
      <c r="C23" s="7"/>
      <c r="D23" s="7"/>
      <c r="E23" s="8"/>
      <c r="F23" s="9"/>
      <c r="G23" s="3"/>
      <c r="H23" s="6"/>
      <c r="I23" s="11"/>
      <c r="J23" s="11"/>
      <c r="K23" s="11"/>
      <c r="L23" s="8"/>
      <c r="M23" s="46"/>
      <c r="N23" s="46"/>
      <c r="O23" s="480"/>
      <c r="Q23" s="50"/>
      <c r="R23" s="53"/>
      <c r="S23" s="53"/>
      <c r="T23" s="53"/>
      <c r="U23" s="107"/>
      <c r="V23" s="243"/>
      <c r="W23" s="3"/>
      <c r="X23" s="50"/>
      <c r="Y23" s="53"/>
      <c r="Z23" s="53"/>
      <c r="AA23" s="53"/>
      <c r="AB23" s="107"/>
      <c r="AC23" s="243"/>
      <c r="AD23" s="168"/>
      <c r="AE23" s="166"/>
      <c r="AF23" s="170"/>
    </row>
    <row r="24" spans="2:32" x14ac:dyDescent="0.3">
      <c r="B24" s="10"/>
      <c r="C24" s="7"/>
      <c r="D24" s="7"/>
      <c r="E24" s="8"/>
      <c r="F24" s="9"/>
      <c r="G24" s="3"/>
      <c r="H24" s="6"/>
      <c r="I24" s="11"/>
      <c r="J24" s="11"/>
      <c r="K24" s="11"/>
      <c r="L24" s="8"/>
      <c r="M24" s="46"/>
      <c r="N24" s="46"/>
      <c r="O24" s="480"/>
      <c r="Q24" s="50"/>
      <c r="R24" s="53"/>
      <c r="S24" s="53"/>
      <c r="T24" s="53"/>
      <c r="U24" s="107"/>
      <c r="V24" s="243"/>
      <c r="W24" s="3"/>
      <c r="X24" s="50"/>
      <c r="Y24" s="53"/>
      <c r="Z24" s="53"/>
      <c r="AA24" s="53"/>
      <c r="AB24" s="107"/>
      <c r="AC24" s="243"/>
      <c r="AD24" s="168"/>
      <c r="AE24" s="166"/>
      <c r="AF24" s="170"/>
    </row>
    <row r="25" spans="2:32" x14ac:dyDescent="0.3">
      <c r="B25" s="10"/>
      <c r="C25" s="7"/>
      <c r="D25" s="7"/>
      <c r="E25" s="8"/>
      <c r="F25" s="9"/>
      <c r="G25" s="3"/>
      <c r="H25" s="6"/>
      <c r="I25" s="11"/>
      <c r="J25" s="11"/>
      <c r="K25" s="11"/>
      <c r="L25" s="8"/>
      <c r="M25" s="46"/>
      <c r="N25" s="46"/>
      <c r="O25" s="480"/>
      <c r="Q25" s="50"/>
      <c r="R25" s="53"/>
      <c r="S25" s="53"/>
      <c r="T25" s="53"/>
      <c r="U25" s="107"/>
      <c r="V25" s="243"/>
      <c r="W25" s="3"/>
      <c r="X25" s="50"/>
      <c r="Y25" s="53"/>
      <c r="Z25" s="53"/>
      <c r="AA25" s="53"/>
      <c r="AB25" s="107"/>
      <c r="AC25" s="243"/>
      <c r="AD25" s="168"/>
      <c r="AE25" s="166"/>
      <c r="AF25" s="170"/>
    </row>
    <row r="26" spans="2:32" x14ac:dyDescent="0.3">
      <c r="B26" s="10"/>
      <c r="C26" s="7"/>
      <c r="D26" s="7"/>
      <c r="E26" s="8"/>
      <c r="F26" s="9"/>
      <c r="G26" s="3"/>
      <c r="H26" s="6"/>
      <c r="I26" s="11"/>
      <c r="J26" s="11"/>
      <c r="K26" s="11"/>
      <c r="L26" s="8"/>
      <c r="M26" s="46"/>
      <c r="N26" s="46"/>
      <c r="O26" s="480"/>
      <c r="Q26" s="50"/>
      <c r="R26" s="53"/>
      <c r="S26" s="53"/>
      <c r="T26" s="53"/>
      <c r="U26" s="107"/>
      <c r="V26" s="243"/>
      <c r="W26" s="3"/>
      <c r="X26" s="50"/>
      <c r="Y26" s="53"/>
      <c r="Z26" s="53"/>
      <c r="AA26" s="53"/>
      <c r="AB26" s="107"/>
      <c r="AC26" s="243"/>
      <c r="AD26" s="168"/>
      <c r="AE26" s="166"/>
      <c r="AF26" s="170"/>
    </row>
    <row r="27" spans="2:32" x14ac:dyDescent="0.3">
      <c r="B27" s="10"/>
      <c r="C27" s="7"/>
      <c r="D27" s="7"/>
      <c r="E27" s="8"/>
      <c r="F27" s="9"/>
      <c r="G27" s="3"/>
      <c r="H27" s="6"/>
      <c r="I27" s="11"/>
      <c r="J27" s="11"/>
      <c r="K27" s="11"/>
      <c r="L27" s="8"/>
      <c r="M27" s="46"/>
      <c r="N27" s="46"/>
      <c r="O27" s="480"/>
      <c r="Q27" s="50"/>
      <c r="R27" s="53"/>
      <c r="S27" s="53"/>
      <c r="T27" s="53"/>
      <c r="U27" s="107"/>
      <c r="V27" s="243"/>
      <c r="W27" s="3"/>
      <c r="X27" s="50"/>
      <c r="Y27" s="53"/>
      <c r="Z27" s="53"/>
      <c r="AA27" s="53"/>
      <c r="AB27" s="107"/>
      <c r="AC27" s="243"/>
      <c r="AD27" s="168"/>
      <c r="AE27" s="166"/>
      <c r="AF27" s="170"/>
    </row>
    <row r="28" spans="2:32" x14ac:dyDescent="0.3">
      <c r="B28" s="10"/>
      <c r="C28" s="7"/>
      <c r="D28" s="7"/>
      <c r="E28" s="8"/>
      <c r="F28" s="9"/>
      <c r="G28" s="3"/>
      <c r="H28" s="6"/>
      <c r="I28" s="11"/>
      <c r="J28" s="11"/>
      <c r="K28" s="11"/>
      <c r="L28" s="8"/>
      <c r="M28" s="46"/>
      <c r="N28" s="46"/>
      <c r="O28" s="480"/>
      <c r="Q28" s="50"/>
      <c r="R28" s="53"/>
      <c r="S28" s="53"/>
      <c r="T28" s="53"/>
      <c r="U28" s="107"/>
      <c r="V28" s="243"/>
      <c r="W28" s="3"/>
      <c r="X28" s="50"/>
      <c r="Y28" s="53"/>
      <c r="Z28" s="53"/>
      <c r="AA28" s="53"/>
      <c r="AB28" s="107"/>
      <c r="AC28" s="243"/>
      <c r="AD28" s="168"/>
      <c r="AE28" s="166"/>
      <c r="AF28" s="170"/>
    </row>
    <row r="29" spans="2:32" x14ac:dyDescent="0.3">
      <c r="B29" s="10"/>
      <c r="C29" s="7"/>
      <c r="D29" s="7"/>
      <c r="E29" s="8"/>
      <c r="F29" s="9"/>
      <c r="G29" s="3"/>
      <c r="H29" s="6"/>
      <c r="I29" s="11"/>
      <c r="J29" s="11"/>
      <c r="K29" s="11"/>
      <c r="L29" s="8"/>
      <c r="M29" s="46"/>
      <c r="N29" s="46"/>
      <c r="O29" s="480"/>
      <c r="Q29" s="50"/>
      <c r="R29" s="53"/>
      <c r="S29" s="53"/>
      <c r="T29" s="53"/>
      <c r="U29" s="107"/>
      <c r="V29" s="243"/>
      <c r="W29" s="3"/>
      <c r="X29" s="50"/>
      <c r="Y29" s="53"/>
      <c r="Z29" s="53"/>
      <c r="AA29" s="53"/>
      <c r="AB29" s="107"/>
      <c r="AC29" s="243"/>
      <c r="AD29" s="168"/>
      <c r="AE29" s="166"/>
      <c r="AF29" s="170"/>
    </row>
    <row r="30" spans="2:32" x14ac:dyDescent="0.3">
      <c r="B30" s="10"/>
      <c r="C30" s="7"/>
      <c r="D30" s="7"/>
      <c r="E30" s="8"/>
      <c r="F30" s="9"/>
      <c r="G30" s="3"/>
      <c r="H30" s="6"/>
      <c r="I30" s="11"/>
      <c r="J30" s="11"/>
      <c r="K30" s="11"/>
      <c r="L30" s="8"/>
      <c r="M30" s="46"/>
      <c r="N30" s="46"/>
      <c r="O30" s="480"/>
      <c r="Q30" s="50"/>
      <c r="R30" s="53"/>
      <c r="S30" s="53"/>
      <c r="T30" s="53"/>
      <c r="U30" s="107"/>
      <c r="V30" s="243"/>
      <c r="W30" s="3"/>
      <c r="X30" s="50"/>
      <c r="Y30" s="53"/>
      <c r="Z30" s="53"/>
      <c r="AA30" s="53"/>
      <c r="AB30" s="107"/>
      <c r="AC30" s="243"/>
      <c r="AD30" s="168"/>
      <c r="AE30" s="166"/>
      <c r="AF30" s="170"/>
    </row>
    <row r="31" spans="2:32" x14ac:dyDescent="0.3">
      <c r="B31" s="50"/>
      <c r="C31" s="83"/>
      <c r="D31" s="83"/>
      <c r="E31" s="81"/>
      <c r="F31" s="82"/>
      <c r="G31" s="3"/>
      <c r="H31" s="80"/>
      <c r="I31" s="53"/>
      <c r="J31" s="53"/>
      <c r="K31" s="53"/>
      <c r="L31" s="81"/>
      <c r="M31" s="82"/>
      <c r="N31" s="82"/>
      <c r="O31" s="82"/>
      <c r="Q31" s="50"/>
      <c r="R31" s="53"/>
      <c r="S31" s="53"/>
      <c r="T31" s="53"/>
      <c r="U31" s="107"/>
      <c r="V31" s="166"/>
      <c r="W31" s="3"/>
      <c r="X31" s="50"/>
      <c r="Y31" s="53"/>
      <c r="Z31" s="53"/>
      <c r="AA31" s="53"/>
      <c r="AB31" s="107"/>
      <c r="AC31" s="167"/>
      <c r="AD31" s="168"/>
      <c r="AE31" s="166"/>
      <c r="AF31" s="170"/>
    </row>
    <row r="32" spans="2:32" x14ac:dyDescent="0.3">
      <c r="B32" s="50"/>
      <c r="C32" s="53"/>
      <c r="D32" s="53"/>
      <c r="E32" s="107"/>
      <c r="F32" s="54"/>
      <c r="G32" s="3"/>
      <c r="H32" s="50"/>
      <c r="I32" s="109" t="s">
        <v>306</v>
      </c>
      <c r="J32" s="90">
        <f>예산!N40</f>
        <v>0</v>
      </c>
      <c r="K32" s="53"/>
      <c r="L32" s="107"/>
      <c r="M32" s="54"/>
      <c r="N32" s="54"/>
      <c r="O32" s="54"/>
      <c r="Q32" s="50"/>
      <c r="R32" s="53"/>
      <c r="S32" s="53"/>
      <c r="T32" s="53"/>
      <c r="U32" s="107"/>
      <c r="V32" s="166"/>
      <c r="W32" s="3"/>
      <c r="Y32" s="109"/>
      <c r="Z32" s="244"/>
      <c r="AA32" s="165"/>
      <c r="AB32" s="107"/>
      <c r="AC32" s="167"/>
      <c r="AD32" s="168"/>
      <c r="AE32" s="166"/>
      <c r="AF32" s="168"/>
    </row>
    <row r="33" spans="2:32" ht="17.25" thickBot="1" x14ac:dyDescent="0.35">
      <c r="B33" s="91" t="str">
        <f>'1월'!B33</f>
        <v>부가수입</v>
      </c>
      <c r="C33" s="89">
        <f>SUM($F$35:$F$94)</f>
        <v>0</v>
      </c>
      <c r="D33" s="85"/>
      <c r="E33" s="86"/>
      <c r="F33" s="87"/>
      <c r="G33" s="43"/>
      <c r="H33" s="92" t="str">
        <f>'1월'!H33</f>
        <v>소비성지출</v>
      </c>
      <c r="I33" s="109" t="s">
        <v>307</v>
      </c>
      <c r="J33" s="108">
        <f>SUM($M$35:$M$94)</f>
        <v>0</v>
      </c>
      <c r="K33" s="62"/>
      <c r="L33" s="88"/>
      <c r="M33" s="109" t="s">
        <v>305</v>
      </c>
      <c r="N33" s="545">
        <f>J32-SUM(M35:M44)</f>
        <v>0</v>
      </c>
      <c r="O33" s="521"/>
      <c r="Q33" s="173"/>
      <c r="R33" s="245"/>
      <c r="S33" s="62"/>
      <c r="T33" s="165"/>
      <c r="U33" s="88"/>
      <c r="V33" s="184"/>
      <c r="W33" s="43"/>
      <c r="X33" s="173"/>
      <c r="Y33" s="109"/>
      <c r="Z33" s="245"/>
      <c r="AA33" s="165"/>
      <c r="AB33" s="88"/>
      <c r="AC33" s="188"/>
      <c r="AD33" s="177"/>
      <c r="AE33" s="184"/>
      <c r="AF33" s="178"/>
    </row>
    <row r="34" spans="2:32" ht="17.25" thickBot="1" x14ac:dyDescent="0.35">
      <c r="B34" s="40" t="s">
        <v>0</v>
      </c>
      <c r="C34" s="41" t="s">
        <v>9</v>
      </c>
      <c r="D34" s="41" t="s">
        <v>43</v>
      </c>
      <c r="E34" s="41" t="s">
        <v>44</v>
      </c>
      <c r="F34" s="42" t="s">
        <v>2</v>
      </c>
      <c r="G34" s="43"/>
      <c r="H34" s="40" t="s">
        <v>0</v>
      </c>
      <c r="I34" s="41" t="s">
        <v>10</v>
      </c>
      <c r="J34" s="41" t="s">
        <v>9</v>
      </c>
      <c r="K34" s="41" t="s">
        <v>43</v>
      </c>
      <c r="L34" s="41" t="s">
        <v>286</v>
      </c>
      <c r="M34" s="41" t="s">
        <v>303</v>
      </c>
      <c r="N34" s="41" t="s">
        <v>304</v>
      </c>
      <c r="O34" s="42" t="s">
        <v>85</v>
      </c>
      <c r="Q34" s="62"/>
      <c r="R34" s="62"/>
      <c r="S34" s="62"/>
      <c r="T34" s="62"/>
      <c r="U34" s="62"/>
      <c r="V34" s="185"/>
      <c r="W34" s="43"/>
      <c r="X34" s="62"/>
      <c r="Y34" s="62"/>
      <c r="Z34" s="62"/>
      <c r="AA34" s="62"/>
      <c r="AB34" s="62"/>
      <c r="AC34" s="189"/>
      <c r="AD34" s="62"/>
      <c r="AE34" s="185"/>
      <c r="AF34" s="62"/>
    </row>
    <row r="35" spans="2:32" x14ac:dyDescent="0.3">
      <c r="B35" s="10"/>
      <c r="C35" s="7"/>
      <c r="D35" s="7"/>
      <c r="E35" s="8"/>
      <c r="F35" s="9"/>
      <c r="G35" s="3"/>
      <c r="H35" s="10"/>
      <c r="I35" s="11"/>
      <c r="J35" s="11"/>
      <c r="K35" s="11"/>
      <c r="L35" s="12"/>
      <c r="M35" s="45"/>
      <c r="N35" s="328" t="str">
        <f>IF(M35="","",J32-M35)</f>
        <v/>
      </c>
      <c r="O35" s="481"/>
      <c r="Q35" s="50"/>
      <c r="R35" s="53"/>
      <c r="S35" s="53"/>
      <c r="T35" s="53"/>
      <c r="U35" s="107"/>
      <c r="V35" s="243"/>
      <c r="W35" s="3"/>
      <c r="X35" s="50"/>
      <c r="Y35" s="53"/>
      <c r="Z35" s="53"/>
      <c r="AA35" s="53"/>
      <c r="AB35" s="107"/>
      <c r="AC35" s="243"/>
      <c r="AD35" s="168"/>
      <c r="AE35" s="243"/>
      <c r="AF35" s="170"/>
    </row>
    <row r="36" spans="2:32" x14ac:dyDescent="0.3">
      <c r="B36" s="10"/>
      <c r="C36" s="7"/>
      <c r="D36" s="7"/>
      <c r="E36" s="8"/>
      <c r="F36" s="9"/>
      <c r="G36" s="3"/>
      <c r="H36" s="10"/>
      <c r="I36" s="11"/>
      <c r="J36" s="11"/>
      <c r="K36" s="11"/>
      <c r="L36" s="12"/>
      <c r="M36" s="45"/>
      <c r="N36" s="328" t="str">
        <f>IF(M36="","",N35-M36)</f>
        <v/>
      </c>
      <c r="O36" s="481"/>
      <c r="Q36" s="50"/>
      <c r="R36" s="53"/>
      <c r="S36" s="53"/>
      <c r="T36" s="53"/>
      <c r="U36" s="107"/>
      <c r="V36" s="243"/>
      <c r="W36" s="3"/>
      <c r="X36" s="50"/>
      <c r="Y36" s="53"/>
      <c r="Z36" s="53"/>
      <c r="AA36" s="53"/>
      <c r="AB36" s="107"/>
      <c r="AC36" s="243"/>
      <c r="AD36" s="168"/>
      <c r="AE36" s="243"/>
      <c r="AF36" s="170"/>
    </row>
    <row r="37" spans="2:32" x14ac:dyDescent="0.3">
      <c r="B37" s="10"/>
      <c r="C37" s="7"/>
      <c r="D37" s="7"/>
      <c r="E37" s="8"/>
      <c r="F37" s="9"/>
      <c r="G37" s="3"/>
      <c r="H37" s="10"/>
      <c r="I37" s="7"/>
      <c r="J37" s="7"/>
      <c r="K37" s="7"/>
      <c r="L37" s="8"/>
      <c r="M37" s="45"/>
      <c r="N37" s="328" t="str">
        <f t="shared" ref="N37:N94" si="0">IF(M37="","",N36-M37)</f>
        <v/>
      </c>
      <c r="O37" s="481"/>
      <c r="Q37" s="50"/>
      <c r="R37" s="53"/>
      <c r="S37" s="53"/>
      <c r="T37" s="53"/>
      <c r="U37" s="107"/>
      <c r="V37" s="243"/>
      <c r="W37" s="3"/>
      <c r="X37" s="50"/>
      <c r="Y37" s="53"/>
      <c r="Z37" s="53"/>
      <c r="AA37" s="53"/>
      <c r="AB37" s="107"/>
      <c r="AC37" s="243"/>
      <c r="AD37" s="168"/>
      <c r="AE37" s="243"/>
      <c r="AF37" s="170"/>
    </row>
    <row r="38" spans="2:32" x14ac:dyDescent="0.3">
      <c r="B38" s="10"/>
      <c r="C38" s="7"/>
      <c r="D38" s="7"/>
      <c r="E38" s="8"/>
      <c r="F38" s="9"/>
      <c r="G38" s="3"/>
      <c r="H38" s="10"/>
      <c r="I38" s="11"/>
      <c r="J38" s="11"/>
      <c r="K38" s="11"/>
      <c r="L38" s="12"/>
      <c r="M38" s="45"/>
      <c r="N38" s="328" t="str">
        <f t="shared" si="0"/>
        <v/>
      </c>
      <c r="O38" s="481"/>
      <c r="Q38" s="50"/>
      <c r="R38" s="53"/>
      <c r="S38" s="53"/>
      <c r="T38" s="53"/>
      <c r="U38" s="107"/>
      <c r="V38" s="243"/>
      <c r="W38" s="3"/>
      <c r="X38" s="50"/>
      <c r="Y38" s="53"/>
      <c r="Z38" s="53"/>
      <c r="AA38" s="53"/>
      <c r="AB38" s="107"/>
      <c r="AC38" s="243"/>
      <c r="AD38" s="168"/>
      <c r="AE38" s="243"/>
      <c r="AF38" s="170"/>
    </row>
    <row r="39" spans="2:32" x14ac:dyDescent="0.3">
      <c r="B39" s="10"/>
      <c r="C39" s="7"/>
      <c r="D39" s="7"/>
      <c r="E39" s="8"/>
      <c r="F39" s="9"/>
      <c r="G39" s="3"/>
      <c r="H39" s="10"/>
      <c r="I39" s="11"/>
      <c r="J39" s="11"/>
      <c r="K39" s="11"/>
      <c r="L39" s="12"/>
      <c r="M39" s="45"/>
      <c r="N39" s="328" t="str">
        <f t="shared" si="0"/>
        <v/>
      </c>
      <c r="O39" s="481"/>
      <c r="Q39" s="50"/>
      <c r="R39" s="53"/>
      <c r="S39" s="53"/>
      <c r="T39" s="53"/>
      <c r="U39" s="107"/>
      <c r="V39" s="243"/>
      <c r="W39" s="3"/>
      <c r="X39" s="50"/>
      <c r="Y39" s="53"/>
      <c r="Z39" s="53"/>
      <c r="AA39" s="53"/>
      <c r="AB39" s="107"/>
      <c r="AC39" s="243"/>
      <c r="AD39" s="168"/>
      <c r="AE39" s="243"/>
      <c r="AF39" s="170"/>
    </row>
    <row r="40" spans="2:32" x14ac:dyDescent="0.3">
      <c r="B40" s="10"/>
      <c r="C40" s="7"/>
      <c r="D40" s="7"/>
      <c r="E40" s="8"/>
      <c r="F40" s="9"/>
      <c r="G40" s="3"/>
      <c r="H40" s="10"/>
      <c r="I40" s="7"/>
      <c r="J40" s="7"/>
      <c r="K40" s="7"/>
      <c r="L40" s="8"/>
      <c r="M40" s="45"/>
      <c r="N40" s="328" t="str">
        <f t="shared" si="0"/>
        <v/>
      </c>
      <c r="O40" s="481"/>
      <c r="Q40" s="50"/>
      <c r="R40" s="53"/>
      <c r="S40" s="53"/>
      <c r="T40" s="53"/>
      <c r="U40" s="107"/>
      <c r="V40" s="243"/>
      <c r="W40" s="3"/>
      <c r="X40" s="50"/>
      <c r="Y40" s="53"/>
      <c r="Z40" s="53"/>
      <c r="AA40" s="53"/>
      <c r="AB40" s="107"/>
      <c r="AC40" s="243"/>
      <c r="AD40" s="168"/>
      <c r="AE40" s="243"/>
      <c r="AF40" s="170"/>
    </row>
    <row r="41" spans="2:32" x14ac:dyDescent="0.3">
      <c r="B41" s="10"/>
      <c r="C41" s="7"/>
      <c r="D41" s="7"/>
      <c r="E41" s="8"/>
      <c r="F41" s="9"/>
      <c r="G41" s="3"/>
      <c r="H41" s="10"/>
      <c r="I41" s="7"/>
      <c r="J41" s="7"/>
      <c r="K41" s="7"/>
      <c r="L41" s="8"/>
      <c r="M41" s="45"/>
      <c r="N41" s="328" t="str">
        <f t="shared" si="0"/>
        <v/>
      </c>
      <c r="O41" s="481"/>
      <c r="Q41" s="50"/>
      <c r="R41" s="53"/>
      <c r="S41" s="53"/>
      <c r="T41" s="53"/>
      <c r="U41" s="107"/>
      <c r="V41" s="243"/>
      <c r="W41" s="3"/>
      <c r="X41" s="50"/>
      <c r="Y41" s="53"/>
      <c r="Z41" s="53"/>
      <c r="AA41" s="53"/>
      <c r="AB41" s="107"/>
      <c r="AC41" s="243"/>
      <c r="AD41" s="168"/>
      <c r="AE41" s="243"/>
      <c r="AF41" s="170"/>
    </row>
    <row r="42" spans="2:32" x14ac:dyDescent="0.3">
      <c r="B42" s="10"/>
      <c r="C42" s="7"/>
      <c r="D42" s="7"/>
      <c r="E42" s="8"/>
      <c r="F42" s="9"/>
      <c r="G42" s="3"/>
      <c r="H42" s="10"/>
      <c r="I42" s="11"/>
      <c r="J42" s="7"/>
      <c r="K42" s="7"/>
      <c r="L42" s="8"/>
      <c r="M42" s="45"/>
      <c r="N42" s="328" t="str">
        <f t="shared" si="0"/>
        <v/>
      </c>
      <c r="O42" s="481"/>
      <c r="Q42" s="50"/>
      <c r="R42" s="53"/>
      <c r="S42" s="53"/>
      <c r="T42" s="53"/>
      <c r="U42" s="107"/>
      <c r="V42" s="243"/>
      <c r="W42" s="3"/>
      <c r="X42" s="50"/>
      <c r="Y42" s="53"/>
      <c r="Z42" s="53"/>
      <c r="AA42" s="53"/>
      <c r="AB42" s="107"/>
      <c r="AC42" s="243"/>
      <c r="AD42" s="168"/>
      <c r="AE42" s="243"/>
      <c r="AF42" s="170"/>
    </row>
    <row r="43" spans="2:32" x14ac:dyDescent="0.3">
      <c r="B43" s="10"/>
      <c r="C43" s="7"/>
      <c r="D43" s="7"/>
      <c r="E43" s="8"/>
      <c r="F43" s="9"/>
      <c r="G43" s="3"/>
      <c r="H43" s="10"/>
      <c r="I43" s="11"/>
      <c r="J43" s="7"/>
      <c r="K43" s="7"/>
      <c r="L43" s="8"/>
      <c r="M43" s="45"/>
      <c r="N43" s="328" t="str">
        <f t="shared" si="0"/>
        <v/>
      </c>
      <c r="O43" s="481"/>
      <c r="Q43" s="50"/>
      <c r="R43" s="53"/>
      <c r="S43" s="53"/>
      <c r="T43" s="53"/>
      <c r="U43" s="107"/>
      <c r="V43" s="243"/>
      <c r="W43" s="3"/>
      <c r="X43" s="50"/>
      <c r="Y43" s="53"/>
      <c r="Z43" s="53"/>
      <c r="AA43" s="53"/>
      <c r="AB43" s="107"/>
      <c r="AC43" s="243"/>
      <c r="AD43" s="168"/>
      <c r="AE43" s="243"/>
      <c r="AF43" s="170"/>
    </row>
    <row r="44" spans="2:32" ht="17.25" thickBot="1" x14ac:dyDescent="0.35">
      <c r="B44" s="10"/>
      <c r="C44" s="7"/>
      <c r="D44" s="7"/>
      <c r="E44" s="8"/>
      <c r="F44" s="9"/>
      <c r="G44" s="3"/>
      <c r="H44" s="489"/>
      <c r="I44" s="484"/>
      <c r="J44" s="484"/>
      <c r="K44" s="484"/>
      <c r="L44" s="485"/>
      <c r="M44" s="490"/>
      <c r="N44" s="491" t="str">
        <f t="shared" si="0"/>
        <v/>
      </c>
      <c r="O44" s="493"/>
      <c r="Q44" s="50"/>
      <c r="R44" s="53"/>
      <c r="S44" s="53"/>
      <c r="T44" s="53"/>
      <c r="U44" s="107"/>
      <c r="V44" s="243"/>
      <c r="W44" s="3"/>
      <c r="X44" s="50"/>
      <c r="Y44" s="53"/>
      <c r="Z44" s="53"/>
      <c r="AA44" s="53"/>
      <c r="AB44" s="107"/>
      <c r="AC44" s="243"/>
      <c r="AD44" s="168"/>
      <c r="AE44" s="243"/>
      <c r="AF44" s="170"/>
    </row>
    <row r="45" spans="2:32" x14ac:dyDescent="0.3">
      <c r="B45" s="10"/>
      <c r="C45" s="7"/>
      <c r="D45" s="7"/>
      <c r="E45" s="8"/>
      <c r="F45" s="9"/>
      <c r="G45" s="3"/>
      <c r="H45" s="10"/>
      <c r="I45" s="11"/>
      <c r="J45" s="11"/>
      <c r="K45" s="11"/>
      <c r="L45" s="12"/>
      <c r="M45" s="45"/>
      <c r="N45" s="328" t="str">
        <f>IF(M45="","",N33-M45)</f>
        <v/>
      </c>
      <c r="O45" s="481"/>
      <c r="Q45" s="50"/>
      <c r="R45" s="53"/>
      <c r="S45" s="53"/>
      <c r="T45" s="53"/>
      <c r="U45" s="107"/>
      <c r="V45" s="243"/>
      <c r="W45" s="3"/>
      <c r="X45" s="50"/>
      <c r="Y45" s="53"/>
      <c r="Z45" s="53"/>
      <c r="AA45" s="53"/>
      <c r="AB45" s="107"/>
      <c r="AC45" s="243"/>
      <c r="AD45" s="168"/>
      <c r="AE45" s="243"/>
      <c r="AF45" s="170"/>
    </row>
    <row r="46" spans="2:32" x14ac:dyDescent="0.3">
      <c r="B46" s="10"/>
      <c r="C46" s="7"/>
      <c r="D46" s="7"/>
      <c r="E46" s="8"/>
      <c r="F46" s="9"/>
      <c r="G46" s="3"/>
      <c r="H46" s="10"/>
      <c r="I46" s="7"/>
      <c r="J46" s="7"/>
      <c r="K46" s="7"/>
      <c r="L46" s="8"/>
      <c r="M46" s="45"/>
      <c r="N46" s="328" t="str">
        <f t="shared" si="0"/>
        <v/>
      </c>
      <c r="O46" s="481"/>
      <c r="Q46" s="50"/>
      <c r="R46" s="53"/>
      <c r="S46" s="53"/>
      <c r="T46" s="53"/>
      <c r="U46" s="107"/>
      <c r="V46" s="243"/>
      <c r="W46" s="3"/>
      <c r="X46" s="50"/>
      <c r="Y46" s="53"/>
      <c r="Z46" s="53"/>
      <c r="AA46" s="53"/>
      <c r="AB46" s="107"/>
      <c r="AC46" s="243"/>
      <c r="AD46" s="168"/>
      <c r="AE46" s="243"/>
      <c r="AF46" s="170"/>
    </row>
    <row r="47" spans="2:32" x14ac:dyDescent="0.3">
      <c r="B47" s="10"/>
      <c r="C47" s="7"/>
      <c r="D47" s="7"/>
      <c r="E47" s="8"/>
      <c r="F47" s="9"/>
      <c r="G47" s="3"/>
      <c r="H47" s="10"/>
      <c r="I47" s="7"/>
      <c r="J47" s="7"/>
      <c r="K47" s="7"/>
      <c r="L47" s="8"/>
      <c r="M47" s="45"/>
      <c r="N47" s="328" t="str">
        <f t="shared" si="0"/>
        <v/>
      </c>
      <c r="O47" s="481"/>
      <c r="Q47" s="50"/>
      <c r="R47" s="53"/>
      <c r="S47" s="53"/>
      <c r="T47" s="53"/>
      <c r="U47" s="107"/>
      <c r="V47" s="243"/>
      <c r="W47" s="3"/>
      <c r="X47" s="50"/>
      <c r="Y47" s="53"/>
      <c r="Z47" s="53"/>
      <c r="AA47" s="53"/>
      <c r="AB47" s="107"/>
      <c r="AC47" s="243"/>
      <c r="AD47" s="168"/>
      <c r="AE47" s="243"/>
      <c r="AF47" s="170"/>
    </row>
    <row r="48" spans="2:32" x14ac:dyDescent="0.3">
      <c r="B48" s="10"/>
      <c r="C48" s="7"/>
      <c r="D48" s="7"/>
      <c r="E48" s="8"/>
      <c r="F48" s="9"/>
      <c r="G48" s="3"/>
      <c r="H48" s="10"/>
      <c r="I48" s="7"/>
      <c r="J48" s="7"/>
      <c r="K48" s="7"/>
      <c r="L48" s="8"/>
      <c r="M48" s="45"/>
      <c r="N48" s="328" t="str">
        <f t="shared" si="0"/>
        <v/>
      </c>
      <c r="O48" s="481"/>
      <c r="Q48" s="50"/>
      <c r="R48" s="53"/>
      <c r="S48" s="53"/>
      <c r="T48" s="53"/>
      <c r="U48" s="107"/>
      <c r="V48" s="243"/>
      <c r="W48" s="3"/>
      <c r="X48" s="50"/>
      <c r="Y48" s="53"/>
      <c r="Z48" s="53"/>
      <c r="AA48" s="53"/>
      <c r="AB48" s="107"/>
      <c r="AC48" s="243"/>
      <c r="AD48" s="168"/>
      <c r="AE48" s="243"/>
      <c r="AF48" s="170"/>
    </row>
    <row r="49" spans="2:32" x14ac:dyDescent="0.3">
      <c r="B49" s="10"/>
      <c r="C49" s="7"/>
      <c r="D49" s="7"/>
      <c r="E49" s="8"/>
      <c r="F49" s="9"/>
      <c r="G49" s="3"/>
      <c r="H49" s="10"/>
      <c r="I49" s="7"/>
      <c r="J49" s="7"/>
      <c r="K49" s="7"/>
      <c r="L49" s="8"/>
      <c r="M49" s="45"/>
      <c r="N49" s="328" t="str">
        <f t="shared" si="0"/>
        <v/>
      </c>
      <c r="O49" s="481"/>
      <c r="Q49" s="50"/>
      <c r="R49" s="53"/>
      <c r="S49" s="53"/>
      <c r="T49" s="53"/>
      <c r="U49" s="107"/>
      <c r="V49" s="243"/>
      <c r="W49" s="3"/>
      <c r="X49" s="50"/>
      <c r="Y49" s="53"/>
      <c r="Z49" s="53"/>
      <c r="AA49" s="53"/>
      <c r="AB49" s="107"/>
      <c r="AC49" s="243"/>
      <c r="AD49" s="168"/>
      <c r="AE49" s="243"/>
      <c r="AF49" s="170"/>
    </row>
    <row r="50" spans="2:32" x14ac:dyDescent="0.3">
      <c r="B50" s="10"/>
      <c r="C50" s="7"/>
      <c r="D50" s="7"/>
      <c r="E50" s="8"/>
      <c r="F50" s="9"/>
      <c r="G50" s="3"/>
      <c r="H50" s="10"/>
      <c r="I50" s="7"/>
      <c r="J50" s="7"/>
      <c r="K50" s="7"/>
      <c r="L50" s="8"/>
      <c r="M50" s="45"/>
      <c r="N50" s="328" t="str">
        <f t="shared" si="0"/>
        <v/>
      </c>
      <c r="O50" s="481"/>
      <c r="Q50" s="50"/>
      <c r="R50" s="53"/>
      <c r="S50" s="53"/>
      <c r="T50" s="53"/>
      <c r="U50" s="107"/>
      <c r="V50" s="243"/>
      <c r="W50" s="3"/>
      <c r="X50" s="50"/>
      <c r="Y50" s="53"/>
      <c r="Z50" s="53"/>
      <c r="AA50" s="53"/>
      <c r="AB50" s="107"/>
      <c r="AC50" s="243"/>
      <c r="AD50" s="168"/>
      <c r="AE50" s="243"/>
      <c r="AF50" s="170"/>
    </row>
    <row r="51" spans="2:32" x14ac:dyDescent="0.3">
      <c r="B51" s="10"/>
      <c r="C51" s="7"/>
      <c r="D51" s="7"/>
      <c r="E51" s="8"/>
      <c r="F51" s="9"/>
      <c r="G51" s="3"/>
      <c r="H51" s="10"/>
      <c r="I51" s="7"/>
      <c r="J51" s="7"/>
      <c r="K51" s="7"/>
      <c r="L51" s="8"/>
      <c r="M51" s="45"/>
      <c r="N51" s="328" t="str">
        <f t="shared" si="0"/>
        <v/>
      </c>
      <c r="O51" s="481"/>
      <c r="Q51" s="50"/>
      <c r="R51" s="53"/>
      <c r="S51" s="53"/>
      <c r="T51" s="53"/>
      <c r="U51" s="107"/>
      <c r="V51" s="243"/>
      <c r="W51" s="3"/>
      <c r="X51" s="50"/>
      <c r="Y51" s="53"/>
      <c r="Z51" s="53"/>
      <c r="AA51" s="53"/>
      <c r="AB51" s="107"/>
      <c r="AC51" s="243"/>
      <c r="AD51" s="168"/>
      <c r="AE51" s="243"/>
      <c r="AF51" s="170"/>
    </row>
    <row r="52" spans="2:32" x14ac:dyDescent="0.3">
      <c r="B52" s="10"/>
      <c r="C52" s="7"/>
      <c r="D52" s="7"/>
      <c r="E52" s="8"/>
      <c r="F52" s="9"/>
      <c r="G52" s="3"/>
      <c r="H52" s="10"/>
      <c r="I52" s="7"/>
      <c r="J52" s="7"/>
      <c r="K52" s="7"/>
      <c r="L52" s="8"/>
      <c r="M52" s="45"/>
      <c r="N52" s="328" t="str">
        <f t="shared" si="0"/>
        <v/>
      </c>
      <c r="O52" s="481"/>
      <c r="Q52" s="50"/>
      <c r="R52" s="53"/>
      <c r="S52" s="53"/>
      <c r="T52" s="53"/>
      <c r="U52" s="107"/>
      <c r="V52" s="243"/>
      <c r="W52" s="3"/>
      <c r="X52" s="50"/>
      <c r="Y52" s="53"/>
      <c r="Z52" s="53"/>
      <c r="AA52" s="53"/>
      <c r="AB52" s="107"/>
      <c r="AC52" s="243"/>
      <c r="AD52" s="168"/>
      <c r="AE52" s="243"/>
      <c r="AF52" s="170"/>
    </row>
    <row r="53" spans="2:32" x14ac:dyDescent="0.3">
      <c r="B53" s="10"/>
      <c r="C53" s="7"/>
      <c r="D53" s="7"/>
      <c r="E53" s="8"/>
      <c r="F53" s="9"/>
      <c r="G53" s="3"/>
      <c r="H53" s="10"/>
      <c r="I53" s="7"/>
      <c r="J53" s="7"/>
      <c r="K53" s="7"/>
      <c r="L53" s="8"/>
      <c r="M53" s="45"/>
      <c r="N53" s="328" t="str">
        <f t="shared" si="0"/>
        <v/>
      </c>
      <c r="O53" s="481"/>
      <c r="Q53" s="50"/>
      <c r="R53" s="53"/>
      <c r="S53" s="53"/>
      <c r="T53" s="53"/>
      <c r="U53" s="107"/>
      <c r="V53" s="243"/>
      <c r="W53" s="3"/>
      <c r="X53" s="50"/>
      <c r="Y53" s="53"/>
      <c r="Z53" s="53"/>
      <c r="AA53" s="53"/>
      <c r="AB53" s="107"/>
      <c r="AC53" s="243"/>
      <c r="AD53" s="168"/>
      <c r="AE53" s="243"/>
      <c r="AF53" s="170"/>
    </row>
    <row r="54" spans="2:32" x14ac:dyDescent="0.3">
      <c r="B54" s="10"/>
      <c r="C54" s="7"/>
      <c r="D54" s="7"/>
      <c r="E54" s="8"/>
      <c r="F54" s="9"/>
      <c r="G54" s="3"/>
      <c r="H54" s="10"/>
      <c r="I54" s="7"/>
      <c r="J54" s="7"/>
      <c r="K54" s="7"/>
      <c r="L54" s="8"/>
      <c r="M54" s="45"/>
      <c r="N54" s="328" t="str">
        <f t="shared" si="0"/>
        <v/>
      </c>
      <c r="O54" s="481"/>
      <c r="Q54" s="50"/>
      <c r="R54" s="53"/>
      <c r="S54" s="53"/>
      <c r="T54" s="53"/>
      <c r="U54" s="107"/>
      <c r="V54" s="243"/>
      <c r="W54" s="3"/>
      <c r="X54" s="50"/>
      <c r="Y54" s="53"/>
      <c r="Z54" s="53"/>
      <c r="AA54" s="53"/>
      <c r="AB54" s="107"/>
      <c r="AC54" s="243"/>
      <c r="AD54" s="168"/>
      <c r="AE54" s="243"/>
      <c r="AF54" s="170"/>
    </row>
    <row r="55" spans="2:32" x14ac:dyDescent="0.3">
      <c r="B55" s="10"/>
      <c r="C55" s="7"/>
      <c r="D55" s="7"/>
      <c r="E55" s="8"/>
      <c r="F55" s="9"/>
      <c r="G55" s="3"/>
      <c r="H55" s="10"/>
      <c r="I55" s="7"/>
      <c r="J55" s="7"/>
      <c r="K55" s="7"/>
      <c r="L55" s="8"/>
      <c r="M55" s="45"/>
      <c r="N55" s="328" t="str">
        <f t="shared" si="0"/>
        <v/>
      </c>
      <c r="O55" s="481"/>
      <c r="Q55" s="50"/>
      <c r="R55" s="53"/>
      <c r="S55" s="53"/>
      <c r="T55" s="53"/>
      <c r="U55" s="107"/>
      <c r="V55" s="243"/>
      <c r="W55" s="3"/>
      <c r="X55" s="50"/>
      <c r="Y55" s="53"/>
      <c r="Z55" s="53"/>
      <c r="AA55" s="53"/>
      <c r="AB55" s="107"/>
      <c r="AC55" s="243"/>
      <c r="AD55" s="168"/>
      <c r="AE55" s="243"/>
      <c r="AF55" s="170"/>
    </row>
    <row r="56" spans="2:32" x14ac:dyDescent="0.3">
      <c r="B56" s="10"/>
      <c r="C56" s="7"/>
      <c r="D56" s="7"/>
      <c r="E56" s="8"/>
      <c r="F56" s="9"/>
      <c r="G56" s="3"/>
      <c r="H56" s="10"/>
      <c r="I56" s="7"/>
      <c r="J56" s="7"/>
      <c r="K56" s="7"/>
      <c r="L56" s="8"/>
      <c r="M56" s="45"/>
      <c r="N56" s="328" t="str">
        <f t="shared" si="0"/>
        <v/>
      </c>
      <c r="O56" s="481"/>
      <c r="Q56" s="50"/>
      <c r="R56" s="53"/>
      <c r="S56" s="53"/>
      <c r="T56" s="53"/>
      <c r="U56" s="107"/>
      <c r="V56" s="243"/>
      <c r="W56" s="3"/>
      <c r="X56" s="50"/>
      <c r="Y56" s="53"/>
      <c r="Z56" s="53"/>
      <c r="AA56" s="53"/>
      <c r="AB56" s="107"/>
      <c r="AC56" s="243"/>
      <c r="AD56" s="168"/>
      <c r="AE56" s="243"/>
      <c r="AF56" s="170"/>
    </row>
    <row r="57" spans="2:32" x14ac:dyDescent="0.3">
      <c r="B57" s="10"/>
      <c r="C57" s="7"/>
      <c r="D57" s="7"/>
      <c r="E57" s="8"/>
      <c r="F57" s="9"/>
      <c r="G57" s="3"/>
      <c r="H57" s="10"/>
      <c r="I57" s="7"/>
      <c r="J57" s="7"/>
      <c r="K57" s="7"/>
      <c r="L57" s="8"/>
      <c r="M57" s="45"/>
      <c r="N57" s="328" t="str">
        <f t="shared" si="0"/>
        <v/>
      </c>
      <c r="O57" s="481"/>
      <c r="Q57" s="50"/>
      <c r="R57" s="53"/>
      <c r="S57" s="53"/>
      <c r="T57" s="53"/>
      <c r="U57" s="107"/>
      <c r="V57" s="243"/>
      <c r="W57" s="3"/>
      <c r="X57" s="50"/>
      <c r="Y57" s="53"/>
      <c r="Z57" s="53"/>
      <c r="AA57" s="53"/>
      <c r="AB57" s="107"/>
      <c r="AC57" s="243"/>
      <c r="AD57" s="168"/>
      <c r="AE57" s="243"/>
      <c r="AF57" s="170"/>
    </row>
    <row r="58" spans="2:32" x14ac:dyDescent="0.3">
      <c r="B58" s="10"/>
      <c r="C58" s="7"/>
      <c r="D58" s="7"/>
      <c r="E58" s="8"/>
      <c r="F58" s="9"/>
      <c r="G58" s="3"/>
      <c r="H58" s="10"/>
      <c r="I58" s="7"/>
      <c r="J58" s="7"/>
      <c r="K58" s="7"/>
      <c r="L58" s="8"/>
      <c r="M58" s="45"/>
      <c r="N58" s="328" t="str">
        <f t="shared" si="0"/>
        <v/>
      </c>
      <c r="O58" s="481"/>
      <c r="Q58" s="50"/>
      <c r="R58" s="53"/>
      <c r="S58" s="53"/>
      <c r="T58" s="53"/>
      <c r="U58" s="107"/>
      <c r="V58" s="243"/>
      <c r="W58" s="3"/>
      <c r="X58" s="50"/>
      <c r="Y58" s="53"/>
      <c r="Z58" s="53"/>
      <c r="AA58" s="53"/>
      <c r="AB58" s="107"/>
      <c r="AC58" s="243"/>
      <c r="AD58" s="168"/>
      <c r="AE58" s="243"/>
      <c r="AF58" s="170"/>
    </row>
    <row r="59" spans="2:32" x14ac:dyDescent="0.3">
      <c r="B59" s="10"/>
      <c r="C59" s="7"/>
      <c r="D59" s="7"/>
      <c r="E59" s="8"/>
      <c r="F59" s="9"/>
      <c r="G59" s="3"/>
      <c r="H59" s="10"/>
      <c r="I59" s="7"/>
      <c r="J59" s="7"/>
      <c r="K59" s="7"/>
      <c r="L59" s="8"/>
      <c r="M59" s="45"/>
      <c r="N59" s="328" t="str">
        <f t="shared" si="0"/>
        <v/>
      </c>
      <c r="O59" s="481"/>
      <c r="Q59" s="50"/>
      <c r="R59" s="53"/>
      <c r="S59" s="53"/>
      <c r="T59" s="53"/>
      <c r="U59" s="107"/>
      <c r="V59" s="243"/>
      <c r="W59" s="3"/>
      <c r="X59" s="50"/>
      <c r="Y59" s="53"/>
      <c r="Z59" s="53"/>
      <c r="AA59" s="53"/>
      <c r="AB59" s="107"/>
      <c r="AC59" s="243"/>
      <c r="AD59" s="168"/>
      <c r="AE59" s="243"/>
      <c r="AF59" s="170"/>
    </row>
    <row r="60" spans="2:32" x14ac:dyDescent="0.3">
      <c r="B60" s="10"/>
      <c r="C60" s="7"/>
      <c r="D60" s="7"/>
      <c r="E60" s="8"/>
      <c r="F60" s="9"/>
      <c r="G60" s="3"/>
      <c r="H60" s="10"/>
      <c r="I60" s="7"/>
      <c r="J60" s="7"/>
      <c r="K60" s="7"/>
      <c r="L60" s="8"/>
      <c r="M60" s="45"/>
      <c r="N60" s="328" t="str">
        <f t="shared" si="0"/>
        <v/>
      </c>
      <c r="O60" s="481"/>
      <c r="Q60" s="50"/>
      <c r="R60" s="53"/>
      <c r="S60" s="53"/>
      <c r="T60" s="53"/>
      <c r="U60" s="107"/>
      <c r="V60" s="243"/>
      <c r="W60" s="3"/>
      <c r="X60" s="50"/>
      <c r="Y60" s="53"/>
      <c r="Z60" s="53"/>
      <c r="AA60" s="53"/>
      <c r="AB60" s="107"/>
      <c r="AC60" s="243"/>
      <c r="AD60" s="168"/>
      <c r="AE60" s="243"/>
      <c r="AF60" s="170"/>
    </row>
    <row r="61" spans="2:32" x14ac:dyDescent="0.3">
      <c r="B61" s="10"/>
      <c r="C61" s="7"/>
      <c r="D61" s="7"/>
      <c r="E61" s="8"/>
      <c r="F61" s="9"/>
      <c r="G61" s="3"/>
      <c r="H61" s="10"/>
      <c r="I61" s="7"/>
      <c r="J61" s="7"/>
      <c r="K61" s="7"/>
      <c r="L61" s="8"/>
      <c r="M61" s="45"/>
      <c r="N61" s="328" t="str">
        <f t="shared" si="0"/>
        <v/>
      </c>
      <c r="O61" s="481"/>
      <c r="Q61" s="50"/>
      <c r="R61" s="53"/>
      <c r="S61" s="53"/>
      <c r="T61" s="53"/>
      <c r="U61" s="107"/>
      <c r="V61" s="243"/>
      <c r="W61" s="3"/>
      <c r="X61" s="50"/>
      <c r="Y61" s="53"/>
      <c r="Z61" s="53"/>
      <c r="AA61" s="53"/>
      <c r="AB61" s="107"/>
      <c r="AC61" s="243"/>
      <c r="AD61" s="168"/>
      <c r="AE61" s="243"/>
      <c r="AF61" s="170"/>
    </row>
    <row r="62" spans="2:32" x14ac:dyDescent="0.3">
      <c r="B62" s="10"/>
      <c r="C62" s="7"/>
      <c r="D62" s="7"/>
      <c r="E62" s="8"/>
      <c r="F62" s="9"/>
      <c r="G62" s="3"/>
      <c r="H62" s="10"/>
      <c r="I62" s="7"/>
      <c r="J62" s="7"/>
      <c r="K62" s="7"/>
      <c r="L62" s="8"/>
      <c r="M62" s="45"/>
      <c r="N62" s="328" t="str">
        <f t="shared" si="0"/>
        <v/>
      </c>
      <c r="O62" s="481"/>
      <c r="Q62" s="50"/>
      <c r="R62" s="53"/>
      <c r="S62" s="53"/>
      <c r="T62" s="53"/>
      <c r="U62" s="107"/>
      <c r="V62" s="243"/>
      <c r="W62" s="3"/>
      <c r="X62" s="50"/>
      <c r="Y62" s="53"/>
      <c r="Z62" s="53"/>
      <c r="AA62" s="53"/>
      <c r="AB62" s="107"/>
      <c r="AC62" s="243"/>
      <c r="AD62" s="168"/>
      <c r="AE62" s="243"/>
      <c r="AF62" s="170"/>
    </row>
    <row r="63" spans="2:32" x14ac:dyDescent="0.3">
      <c r="B63" s="10"/>
      <c r="C63" s="7"/>
      <c r="D63" s="7"/>
      <c r="E63" s="8"/>
      <c r="F63" s="9"/>
      <c r="G63" s="3"/>
      <c r="H63" s="10"/>
      <c r="I63" s="7"/>
      <c r="J63" s="7"/>
      <c r="K63" s="7"/>
      <c r="L63" s="8"/>
      <c r="M63" s="45"/>
      <c r="N63" s="328" t="str">
        <f t="shared" si="0"/>
        <v/>
      </c>
      <c r="O63" s="481"/>
      <c r="Q63" s="50"/>
      <c r="R63" s="53"/>
      <c r="S63" s="53"/>
      <c r="T63" s="53"/>
      <c r="U63" s="107"/>
      <c r="V63" s="243"/>
      <c r="W63" s="3"/>
      <c r="X63" s="50"/>
      <c r="Y63" s="53"/>
      <c r="Z63" s="53"/>
      <c r="AA63" s="53"/>
      <c r="AB63" s="107"/>
      <c r="AC63" s="243"/>
      <c r="AD63" s="168"/>
      <c r="AE63" s="243"/>
      <c r="AF63" s="170"/>
    </row>
    <row r="64" spans="2:32" x14ac:dyDescent="0.3">
      <c r="B64" s="10"/>
      <c r="C64" s="7"/>
      <c r="D64" s="7"/>
      <c r="E64" s="8"/>
      <c r="F64" s="9"/>
      <c r="G64" s="3"/>
      <c r="H64" s="10"/>
      <c r="I64" s="7"/>
      <c r="J64" s="7"/>
      <c r="K64" s="7"/>
      <c r="L64" s="8"/>
      <c r="M64" s="45"/>
      <c r="N64" s="328" t="str">
        <f t="shared" si="0"/>
        <v/>
      </c>
      <c r="O64" s="481"/>
      <c r="Q64" s="50"/>
      <c r="R64" s="53"/>
      <c r="S64" s="53"/>
      <c r="T64" s="53"/>
      <c r="U64" s="107"/>
      <c r="V64" s="243"/>
      <c r="W64" s="3"/>
      <c r="X64" s="50"/>
      <c r="Y64" s="53"/>
      <c r="Z64" s="53"/>
      <c r="AA64" s="53"/>
      <c r="AB64" s="107"/>
      <c r="AC64" s="243"/>
      <c r="AD64" s="168"/>
      <c r="AE64" s="243"/>
      <c r="AF64" s="170"/>
    </row>
    <row r="65" spans="2:32" x14ac:dyDescent="0.3">
      <c r="B65" s="10"/>
      <c r="C65" s="7"/>
      <c r="D65" s="7"/>
      <c r="E65" s="8"/>
      <c r="F65" s="9"/>
      <c r="G65" s="3"/>
      <c r="H65" s="10"/>
      <c r="I65" s="7"/>
      <c r="J65" s="7"/>
      <c r="K65" s="7"/>
      <c r="L65" s="8"/>
      <c r="M65" s="45"/>
      <c r="N65" s="328" t="str">
        <f t="shared" si="0"/>
        <v/>
      </c>
      <c r="O65" s="481"/>
      <c r="Q65" s="50"/>
      <c r="R65" s="53"/>
      <c r="S65" s="53"/>
      <c r="T65" s="53"/>
      <c r="U65" s="107"/>
      <c r="V65" s="243"/>
      <c r="W65" s="3"/>
      <c r="X65" s="50"/>
      <c r="Y65" s="53"/>
      <c r="Z65" s="53"/>
      <c r="AA65" s="53"/>
      <c r="AB65" s="107"/>
      <c r="AC65" s="243"/>
      <c r="AD65" s="168"/>
      <c r="AE65" s="243"/>
      <c r="AF65" s="170"/>
    </row>
    <row r="66" spans="2:32" x14ac:dyDescent="0.3">
      <c r="B66" s="10"/>
      <c r="C66" s="7"/>
      <c r="D66" s="7"/>
      <c r="E66" s="8"/>
      <c r="F66" s="9"/>
      <c r="G66" s="3"/>
      <c r="H66" s="10"/>
      <c r="I66" s="7"/>
      <c r="J66" s="7"/>
      <c r="K66" s="7"/>
      <c r="L66" s="8"/>
      <c r="M66" s="45"/>
      <c r="N66" s="328" t="str">
        <f t="shared" si="0"/>
        <v/>
      </c>
      <c r="O66" s="481"/>
      <c r="Q66" s="50"/>
      <c r="R66" s="53"/>
      <c r="S66" s="53"/>
      <c r="T66" s="53"/>
      <c r="U66" s="107"/>
      <c r="V66" s="243"/>
      <c r="W66" s="3"/>
      <c r="X66" s="50"/>
      <c r="Y66" s="53"/>
      <c r="Z66" s="53"/>
      <c r="AA66" s="53"/>
      <c r="AB66" s="107"/>
      <c r="AC66" s="243"/>
      <c r="AD66" s="168"/>
      <c r="AE66" s="243"/>
      <c r="AF66" s="170"/>
    </row>
    <row r="67" spans="2:32" x14ac:dyDescent="0.3">
      <c r="B67" s="10"/>
      <c r="C67" s="7"/>
      <c r="D67" s="7"/>
      <c r="E67" s="8"/>
      <c r="F67" s="9"/>
      <c r="G67" s="3"/>
      <c r="H67" s="10"/>
      <c r="I67" s="7"/>
      <c r="J67" s="7"/>
      <c r="K67" s="7"/>
      <c r="L67" s="8"/>
      <c r="M67" s="45"/>
      <c r="N67" s="328" t="str">
        <f t="shared" si="0"/>
        <v/>
      </c>
      <c r="O67" s="481"/>
      <c r="Q67" s="50"/>
      <c r="R67" s="53"/>
      <c r="S67" s="53"/>
      <c r="T67" s="53"/>
      <c r="U67" s="107"/>
      <c r="V67" s="243"/>
      <c r="W67" s="3"/>
      <c r="X67" s="50"/>
      <c r="Y67" s="53"/>
      <c r="Z67" s="53"/>
      <c r="AA67" s="53"/>
      <c r="AB67" s="107"/>
      <c r="AC67" s="243"/>
      <c r="AD67" s="168"/>
      <c r="AE67" s="243"/>
      <c r="AF67" s="170"/>
    </row>
    <row r="68" spans="2:32" x14ac:dyDescent="0.3">
      <c r="B68" s="6"/>
      <c r="C68" s="7"/>
      <c r="D68" s="7"/>
      <c r="E68" s="8"/>
      <c r="F68" s="9"/>
      <c r="G68" s="3"/>
      <c r="H68" s="10"/>
      <c r="I68" s="7"/>
      <c r="J68" s="7"/>
      <c r="K68" s="7"/>
      <c r="L68" s="8"/>
      <c r="M68" s="45"/>
      <c r="N68" s="328" t="str">
        <f t="shared" si="0"/>
        <v/>
      </c>
      <c r="O68" s="481"/>
      <c r="Q68" s="50"/>
      <c r="R68" s="53"/>
      <c r="S68" s="53"/>
      <c r="T68" s="53"/>
      <c r="U68" s="107"/>
      <c r="V68" s="243"/>
      <c r="W68" s="3"/>
      <c r="X68" s="50"/>
      <c r="Y68" s="53"/>
      <c r="Z68" s="53"/>
      <c r="AA68" s="53"/>
      <c r="AB68" s="107"/>
      <c r="AC68" s="243"/>
      <c r="AD68" s="168"/>
      <c r="AE68" s="243"/>
      <c r="AF68" s="170"/>
    </row>
    <row r="69" spans="2:32" x14ac:dyDescent="0.3">
      <c r="B69" s="6"/>
      <c r="C69" s="7"/>
      <c r="D69" s="7"/>
      <c r="E69" s="8"/>
      <c r="F69" s="9"/>
      <c r="G69" s="3"/>
      <c r="H69" s="10"/>
      <c r="I69" s="7"/>
      <c r="J69" s="7"/>
      <c r="K69" s="7"/>
      <c r="L69" s="8"/>
      <c r="M69" s="45"/>
      <c r="N69" s="328" t="str">
        <f t="shared" si="0"/>
        <v/>
      </c>
      <c r="O69" s="481"/>
      <c r="Q69" s="50"/>
      <c r="R69" s="53"/>
      <c r="S69" s="53"/>
      <c r="T69" s="53"/>
      <c r="U69" s="107"/>
      <c r="V69" s="243"/>
      <c r="W69" s="3"/>
      <c r="X69" s="50"/>
      <c r="Y69" s="53"/>
      <c r="Z69" s="53"/>
      <c r="AA69" s="53"/>
      <c r="AB69" s="107"/>
      <c r="AC69" s="243"/>
      <c r="AD69" s="168"/>
      <c r="AE69" s="243"/>
      <c r="AF69" s="170"/>
    </row>
    <row r="70" spans="2:32" x14ac:dyDescent="0.3">
      <c r="B70" s="6"/>
      <c r="C70" s="7"/>
      <c r="D70" s="7"/>
      <c r="E70" s="8"/>
      <c r="F70" s="9"/>
      <c r="G70" s="3"/>
      <c r="H70" s="10"/>
      <c r="I70" s="7"/>
      <c r="J70" s="7"/>
      <c r="K70" s="7"/>
      <c r="L70" s="8"/>
      <c r="M70" s="45"/>
      <c r="N70" s="328" t="str">
        <f t="shared" si="0"/>
        <v/>
      </c>
      <c r="O70" s="481"/>
      <c r="Q70" s="50"/>
      <c r="R70" s="53"/>
      <c r="S70" s="53"/>
      <c r="T70" s="53"/>
      <c r="U70" s="107"/>
      <c r="V70" s="243"/>
      <c r="W70" s="3"/>
      <c r="X70" s="50"/>
      <c r="Y70" s="53"/>
      <c r="Z70" s="53"/>
      <c r="AA70" s="53"/>
      <c r="AB70" s="107"/>
      <c r="AC70" s="243"/>
      <c r="AD70" s="168"/>
      <c r="AE70" s="243"/>
      <c r="AF70" s="170"/>
    </row>
    <row r="71" spans="2:32" x14ac:dyDescent="0.3">
      <c r="B71" s="6"/>
      <c r="C71" s="7"/>
      <c r="D71" s="7"/>
      <c r="E71" s="8"/>
      <c r="F71" s="9"/>
      <c r="G71" s="3"/>
      <c r="H71" s="10"/>
      <c r="I71" s="7"/>
      <c r="J71" s="7"/>
      <c r="K71" s="7"/>
      <c r="L71" s="8"/>
      <c r="M71" s="45"/>
      <c r="N71" s="328" t="str">
        <f t="shared" si="0"/>
        <v/>
      </c>
      <c r="O71" s="481"/>
      <c r="Q71" s="50"/>
      <c r="R71" s="53"/>
      <c r="S71" s="53"/>
      <c r="T71" s="53"/>
      <c r="U71" s="107"/>
      <c r="V71" s="243"/>
      <c r="W71" s="3"/>
      <c r="X71" s="50"/>
      <c r="Y71" s="53"/>
      <c r="Z71" s="53"/>
      <c r="AA71" s="53"/>
      <c r="AB71" s="107"/>
      <c r="AC71" s="243"/>
      <c r="AD71" s="168"/>
      <c r="AE71" s="243"/>
      <c r="AF71" s="170"/>
    </row>
    <row r="72" spans="2:32" x14ac:dyDescent="0.3">
      <c r="B72" s="6"/>
      <c r="C72" s="7"/>
      <c r="D72" s="7"/>
      <c r="E72" s="8"/>
      <c r="F72" s="9"/>
      <c r="G72" s="3"/>
      <c r="H72" s="10"/>
      <c r="I72" s="7"/>
      <c r="J72" s="7"/>
      <c r="K72" s="7"/>
      <c r="L72" s="8"/>
      <c r="M72" s="45"/>
      <c r="N72" s="328" t="str">
        <f t="shared" si="0"/>
        <v/>
      </c>
      <c r="O72" s="481"/>
      <c r="Q72" s="50"/>
      <c r="R72" s="53"/>
      <c r="S72" s="53"/>
      <c r="T72" s="53"/>
      <c r="U72" s="107"/>
      <c r="V72" s="243"/>
      <c r="W72" s="3"/>
      <c r="X72" s="50"/>
      <c r="Y72" s="53"/>
      <c r="Z72" s="53"/>
      <c r="AA72" s="53"/>
      <c r="AB72" s="107"/>
      <c r="AC72" s="243"/>
      <c r="AD72" s="168"/>
      <c r="AE72" s="243"/>
      <c r="AF72" s="170"/>
    </row>
    <row r="73" spans="2:32" x14ac:dyDescent="0.3">
      <c r="B73" s="6"/>
      <c r="C73" s="7"/>
      <c r="D73" s="7"/>
      <c r="E73" s="8"/>
      <c r="F73" s="9"/>
      <c r="G73" s="3"/>
      <c r="H73" s="10"/>
      <c r="I73" s="7"/>
      <c r="J73" s="7"/>
      <c r="K73" s="7"/>
      <c r="L73" s="8"/>
      <c r="M73" s="45"/>
      <c r="N73" s="328" t="str">
        <f t="shared" si="0"/>
        <v/>
      </c>
      <c r="O73" s="481"/>
      <c r="Q73" s="50"/>
      <c r="R73" s="53"/>
      <c r="S73" s="53"/>
      <c r="T73" s="53"/>
      <c r="U73" s="107"/>
      <c r="V73" s="243"/>
      <c r="W73" s="3"/>
      <c r="X73" s="50"/>
      <c r="Y73" s="53"/>
      <c r="Z73" s="53"/>
      <c r="AA73" s="53"/>
      <c r="AB73" s="107"/>
      <c r="AC73" s="243"/>
      <c r="AD73" s="168"/>
      <c r="AE73" s="243"/>
      <c r="AF73" s="170"/>
    </row>
    <row r="74" spans="2:32" x14ac:dyDescent="0.3">
      <c r="B74" s="6"/>
      <c r="C74" s="7"/>
      <c r="D74" s="7"/>
      <c r="E74" s="8"/>
      <c r="F74" s="9"/>
      <c r="G74" s="3"/>
      <c r="H74" s="10"/>
      <c r="I74" s="7"/>
      <c r="J74" s="7"/>
      <c r="K74" s="7"/>
      <c r="L74" s="8"/>
      <c r="M74" s="45"/>
      <c r="N74" s="328" t="str">
        <f t="shared" si="0"/>
        <v/>
      </c>
      <c r="O74" s="481"/>
      <c r="Q74" s="50"/>
      <c r="R74" s="53"/>
      <c r="S74" s="53"/>
      <c r="T74" s="53"/>
      <c r="U74" s="107"/>
      <c r="V74" s="243"/>
      <c r="W74" s="3"/>
      <c r="X74" s="50"/>
      <c r="Y74" s="53"/>
      <c r="Z74" s="53"/>
      <c r="AA74" s="53"/>
      <c r="AB74" s="107"/>
      <c r="AC74" s="243"/>
      <c r="AD74" s="168"/>
      <c r="AE74" s="243"/>
      <c r="AF74" s="170"/>
    </row>
    <row r="75" spans="2:32" x14ac:dyDescent="0.3">
      <c r="B75" s="6"/>
      <c r="C75" s="7"/>
      <c r="D75" s="7"/>
      <c r="E75" s="8"/>
      <c r="F75" s="9"/>
      <c r="G75" s="3"/>
      <c r="H75" s="10"/>
      <c r="I75" s="7"/>
      <c r="J75" s="7"/>
      <c r="K75" s="7"/>
      <c r="L75" s="8"/>
      <c r="M75" s="45"/>
      <c r="N75" s="328" t="str">
        <f t="shared" si="0"/>
        <v/>
      </c>
      <c r="O75" s="481"/>
      <c r="Q75" s="50"/>
      <c r="R75" s="53"/>
      <c r="S75" s="53"/>
      <c r="T75" s="53"/>
      <c r="U75" s="107"/>
      <c r="V75" s="243"/>
      <c r="W75" s="3"/>
      <c r="X75" s="50"/>
      <c r="Y75" s="53"/>
      <c r="Z75" s="53"/>
      <c r="AA75" s="53"/>
      <c r="AB75" s="107"/>
      <c r="AC75" s="243"/>
      <c r="AD75" s="168"/>
      <c r="AE75" s="243"/>
      <c r="AF75" s="170"/>
    </row>
    <row r="76" spans="2:32" x14ac:dyDescent="0.3">
      <c r="B76" s="6"/>
      <c r="C76" s="7"/>
      <c r="D76" s="7"/>
      <c r="E76" s="8"/>
      <c r="F76" s="9"/>
      <c r="G76" s="3"/>
      <c r="H76" s="10"/>
      <c r="I76" s="7"/>
      <c r="J76" s="7"/>
      <c r="K76" s="7"/>
      <c r="L76" s="8"/>
      <c r="M76" s="45"/>
      <c r="N76" s="328" t="str">
        <f t="shared" si="0"/>
        <v/>
      </c>
      <c r="O76" s="481"/>
      <c r="Q76" s="50"/>
      <c r="R76" s="53"/>
      <c r="S76" s="53"/>
      <c r="T76" s="53"/>
      <c r="U76" s="107"/>
      <c r="V76" s="243"/>
      <c r="W76" s="3"/>
      <c r="X76" s="50"/>
      <c r="Y76" s="53"/>
      <c r="Z76" s="53"/>
      <c r="AA76" s="53"/>
      <c r="AB76" s="107"/>
      <c r="AC76" s="243"/>
      <c r="AD76" s="168"/>
      <c r="AE76" s="243"/>
      <c r="AF76" s="170"/>
    </row>
    <row r="77" spans="2:32" x14ac:dyDescent="0.3">
      <c r="B77" s="6"/>
      <c r="C77" s="7"/>
      <c r="D77" s="7"/>
      <c r="E77" s="8"/>
      <c r="F77" s="9"/>
      <c r="G77" s="3"/>
      <c r="H77" s="10"/>
      <c r="I77" s="7"/>
      <c r="J77" s="7"/>
      <c r="K77" s="7"/>
      <c r="L77" s="8"/>
      <c r="M77" s="45"/>
      <c r="N77" s="328" t="str">
        <f t="shared" si="0"/>
        <v/>
      </c>
      <c r="O77" s="481"/>
      <c r="Q77" s="50"/>
      <c r="R77" s="53"/>
      <c r="S77" s="53"/>
      <c r="T77" s="53"/>
      <c r="U77" s="107"/>
      <c r="V77" s="243"/>
      <c r="W77" s="3"/>
      <c r="X77" s="50"/>
      <c r="Y77" s="53"/>
      <c r="Z77" s="53"/>
      <c r="AA77" s="53"/>
      <c r="AB77" s="107"/>
      <c r="AC77" s="243"/>
      <c r="AD77" s="168"/>
      <c r="AE77" s="243"/>
      <c r="AF77" s="170"/>
    </row>
    <row r="78" spans="2:32" x14ac:dyDescent="0.3">
      <c r="B78" s="6"/>
      <c r="C78" s="7"/>
      <c r="D78" s="7"/>
      <c r="E78" s="8"/>
      <c r="F78" s="9"/>
      <c r="G78" s="3"/>
      <c r="H78" s="10"/>
      <c r="I78" s="7"/>
      <c r="J78" s="7"/>
      <c r="K78" s="7"/>
      <c r="L78" s="8"/>
      <c r="M78" s="45"/>
      <c r="N78" s="328" t="str">
        <f t="shared" si="0"/>
        <v/>
      </c>
      <c r="O78" s="481"/>
      <c r="Q78" s="50"/>
      <c r="R78" s="53"/>
      <c r="S78" s="53"/>
      <c r="T78" s="53"/>
      <c r="U78" s="107"/>
      <c r="V78" s="243"/>
      <c r="W78" s="3"/>
      <c r="X78" s="50"/>
      <c r="Y78" s="53"/>
      <c r="Z78" s="53"/>
      <c r="AA78" s="53"/>
      <c r="AB78" s="107"/>
      <c r="AC78" s="243"/>
      <c r="AD78" s="168"/>
      <c r="AE78" s="243"/>
      <c r="AF78" s="170"/>
    </row>
    <row r="79" spans="2:32" x14ac:dyDescent="0.3">
      <c r="B79" s="6"/>
      <c r="C79" s="7"/>
      <c r="D79" s="7"/>
      <c r="E79" s="8"/>
      <c r="F79" s="9"/>
      <c r="G79" s="3"/>
      <c r="H79" s="10"/>
      <c r="I79" s="7"/>
      <c r="J79" s="7"/>
      <c r="K79" s="7"/>
      <c r="L79" s="8"/>
      <c r="M79" s="45"/>
      <c r="N79" s="328" t="str">
        <f t="shared" si="0"/>
        <v/>
      </c>
      <c r="O79" s="481"/>
      <c r="Q79" s="50"/>
      <c r="R79" s="53"/>
      <c r="S79" s="53"/>
      <c r="T79" s="53"/>
      <c r="U79" s="107"/>
      <c r="V79" s="243"/>
      <c r="W79" s="3"/>
      <c r="X79" s="50"/>
      <c r="Y79" s="53"/>
      <c r="Z79" s="53"/>
      <c r="AA79" s="53"/>
      <c r="AB79" s="107"/>
      <c r="AC79" s="243"/>
      <c r="AD79" s="168"/>
      <c r="AE79" s="243"/>
      <c r="AF79" s="170"/>
    </row>
    <row r="80" spans="2:32" x14ac:dyDescent="0.3">
      <c r="B80" s="6"/>
      <c r="C80" s="7"/>
      <c r="D80" s="7"/>
      <c r="E80" s="8"/>
      <c r="F80" s="9"/>
      <c r="G80" s="3"/>
      <c r="H80" s="10"/>
      <c r="I80" s="7"/>
      <c r="J80" s="7"/>
      <c r="K80" s="7"/>
      <c r="L80" s="8"/>
      <c r="M80" s="45"/>
      <c r="N80" s="328" t="str">
        <f t="shared" si="0"/>
        <v/>
      </c>
      <c r="O80" s="481"/>
      <c r="Q80" s="50"/>
      <c r="R80" s="53"/>
      <c r="S80" s="53"/>
      <c r="T80" s="53"/>
      <c r="U80" s="107"/>
      <c r="V80" s="243"/>
      <c r="W80" s="3"/>
      <c r="X80" s="50"/>
      <c r="Y80" s="53"/>
      <c r="Z80" s="53"/>
      <c r="AA80" s="53"/>
      <c r="AB80" s="107"/>
      <c r="AC80" s="243"/>
      <c r="AD80" s="168"/>
      <c r="AE80" s="243"/>
      <c r="AF80" s="170"/>
    </row>
    <row r="81" spans="1:32" x14ac:dyDescent="0.3">
      <c r="B81" s="6"/>
      <c r="C81" s="7"/>
      <c r="D81" s="7"/>
      <c r="E81" s="8"/>
      <c r="F81" s="9"/>
      <c r="G81" s="3"/>
      <c r="H81" s="10"/>
      <c r="I81" s="7"/>
      <c r="J81" s="7"/>
      <c r="K81" s="7"/>
      <c r="L81" s="8"/>
      <c r="M81" s="45"/>
      <c r="N81" s="328" t="str">
        <f t="shared" si="0"/>
        <v/>
      </c>
      <c r="O81" s="481"/>
      <c r="Q81" s="50"/>
      <c r="R81" s="53"/>
      <c r="S81" s="53"/>
      <c r="T81" s="53"/>
      <c r="U81" s="107"/>
      <c r="V81" s="243"/>
      <c r="W81" s="3"/>
      <c r="X81" s="50"/>
      <c r="Y81" s="53"/>
      <c r="Z81" s="53"/>
      <c r="AA81" s="53"/>
      <c r="AB81" s="107"/>
      <c r="AC81" s="243"/>
      <c r="AD81" s="168"/>
      <c r="AE81" s="243"/>
      <c r="AF81" s="170"/>
    </row>
    <row r="82" spans="1:32" x14ac:dyDescent="0.3">
      <c r="B82" s="6"/>
      <c r="C82" s="7"/>
      <c r="D82" s="7"/>
      <c r="E82" s="8"/>
      <c r="F82" s="9"/>
      <c r="G82" s="3"/>
      <c r="H82" s="10"/>
      <c r="I82" s="7"/>
      <c r="J82" s="7"/>
      <c r="K82" s="7"/>
      <c r="L82" s="8"/>
      <c r="M82" s="45"/>
      <c r="N82" s="328" t="str">
        <f t="shared" si="0"/>
        <v/>
      </c>
      <c r="O82" s="481"/>
      <c r="Q82" s="50"/>
      <c r="R82" s="53"/>
      <c r="S82" s="53"/>
      <c r="T82" s="53"/>
      <c r="U82" s="107"/>
      <c r="V82" s="243"/>
      <c r="W82" s="3"/>
      <c r="X82" s="50"/>
      <c r="Y82" s="53"/>
      <c r="Z82" s="53"/>
      <c r="AA82" s="53"/>
      <c r="AB82" s="107"/>
      <c r="AC82" s="243"/>
      <c r="AD82" s="168"/>
      <c r="AE82" s="243"/>
      <c r="AF82" s="170"/>
    </row>
    <row r="83" spans="1:32" x14ac:dyDescent="0.3">
      <c r="B83" s="6"/>
      <c r="C83" s="7"/>
      <c r="D83" s="7"/>
      <c r="E83" s="8"/>
      <c r="F83" s="9"/>
      <c r="G83" s="3"/>
      <c r="H83" s="10"/>
      <c r="I83" s="7"/>
      <c r="J83" s="7"/>
      <c r="K83" s="7"/>
      <c r="L83" s="8"/>
      <c r="M83" s="45"/>
      <c r="N83" s="328" t="str">
        <f t="shared" si="0"/>
        <v/>
      </c>
      <c r="O83" s="481"/>
      <c r="Q83" s="50"/>
      <c r="R83" s="53"/>
      <c r="S83" s="53"/>
      <c r="T83" s="53"/>
      <c r="U83" s="107"/>
      <c r="V83" s="243"/>
      <c r="W83" s="3"/>
      <c r="X83" s="50"/>
      <c r="Y83" s="53"/>
      <c r="Z83" s="53"/>
      <c r="AA83" s="53"/>
      <c r="AB83" s="107"/>
      <c r="AC83" s="243"/>
      <c r="AD83" s="168"/>
      <c r="AE83" s="243"/>
      <c r="AF83" s="170"/>
    </row>
    <row r="84" spans="1:32" x14ac:dyDescent="0.3">
      <c r="B84" s="6"/>
      <c r="C84" s="7"/>
      <c r="D84" s="7"/>
      <c r="E84" s="8"/>
      <c r="F84" s="9"/>
      <c r="G84" s="3"/>
      <c r="H84" s="10"/>
      <c r="I84" s="7"/>
      <c r="J84" s="7"/>
      <c r="K84" s="7"/>
      <c r="L84" s="8"/>
      <c r="M84" s="45"/>
      <c r="N84" s="328" t="str">
        <f t="shared" si="0"/>
        <v/>
      </c>
      <c r="O84" s="481"/>
      <c r="Q84" s="50"/>
      <c r="R84" s="53"/>
      <c r="S84" s="53"/>
      <c r="T84" s="53"/>
      <c r="U84" s="107"/>
      <c r="V84" s="243"/>
      <c r="W84" s="3"/>
      <c r="X84" s="50"/>
      <c r="Y84" s="53"/>
      <c r="Z84" s="53"/>
      <c r="AA84" s="53"/>
      <c r="AB84" s="107"/>
      <c r="AC84" s="243"/>
      <c r="AD84" s="168"/>
      <c r="AE84" s="243"/>
      <c r="AF84" s="168"/>
    </row>
    <row r="85" spans="1:32" x14ac:dyDescent="0.3">
      <c r="B85" s="6"/>
      <c r="C85" s="7"/>
      <c r="D85" s="7"/>
      <c r="E85" s="8"/>
      <c r="F85" s="9"/>
      <c r="G85" s="3"/>
      <c r="H85" s="10"/>
      <c r="I85" s="7"/>
      <c r="J85" s="7"/>
      <c r="K85" s="7"/>
      <c r="L85" s="8"/>
      <c r="M85" s="45"/>
      <c r="N85" s="328" t="str">
        <f t="shared" si="0"/>
        <v/>
      </c>
      <c r="O85" s="481"/>
      <c r="Q85" s="50"/>
      <c r="R85" s="53"/>
      <c r="S85" s="53"/>
      <c r="T85" s="53"/>
      <c r="U85" s="107"/>
      <c r="V85" s="243"/>
      <c r="W85" s="3"/>
      <c r="X85" s="50"/>
      <c r="Y85" s="53"/>
      <c r="Z85" s="53"/>
      <c r="AA85" s="53"/>
      <c r="AB85" s="107"/>
      <c r="AC85" s="243"/>
      <c r="AD85" s="168"/>
      <c r="AE85" s="243"/>
      <c r="AF85" s="168"/>
    </row>
    <row r="86" spans="1:32" x14ac:dyDescent="0.3">
      <c r="B86" s="6"/>
      <c r="C86" s="7"/>
      <c r="D86" s="7"/>
      <c r="E86" s="8"/>
      <c r="F86" s="9"/>
      <c r="G86" s="3"/>
      <c r="H86" s="6"/>
      <c r="I86" s="7"/>
      <c r="J86" s="7"/>
      <c r="K86" s="7"/>
      <c r="L86" s="8"/>
      <c r="M86" s="45"/>
      <c r="N86" s="328" t="str">
        <f t="shared" si="0"/>
        <v/>
      </c>
      <c r="O86" s="481"/>
      <c r="Q86" s="50"/>
      <c r="R86" s="53"/>
      <c r="S86" s="53"/>
      <c r="T86" s="53"/>
      <c r="U86" s="107"/>
      <c r="V86" s="243"/>
      <c r="W86" s="3"/>
      <c r="X86" s="50"/>
      <c r="Y86" s="53"/>
      <c r="Z86" s="53"/>
      <c r="AA86" s="53"/>
      <c r="AB86" s="107"/>
      <c r="AC86" s="243"/>
      <c r="AD86" s="168"/>
      <c r="AE86" s="243"/>
      <c r="AF86" s="168"/>
    </row>
    <row r="87" spans="1:32" x14ac:dyDescent="0.3">
      <c r="B87" s="6"/>
      <c r="C87" s="7"/>
      <c r="D87" s="7"/>
      <c r="E87" s="8"/>
      <c r="F87" s="9"/>
      <c r="G87" s="3"/>
      <c r="H87" s="6"/>
      <c r="I87" s="7"/>
      <c r="J87" s="7"/>
      <c r="K87" s="7"/>
      <c r="L87" s="8"/>
      <c r="M87" s="45"/>
      <c r="N87" s="328" t="str">
        <f t="shared" si="0"/>
        <v/>
      </c>
      <c r="O87" s="481"/>
      <c r="Q87" s="50"/>
      <c r="R87" s="53"/>
      <c r="S87" s="53"/>
      <c r="T87" s="53"/>
      <c r="U87" s="107"/>
      <c r="V87" s="243"/>
      <c r="W87" s="3"/>
      <c r="X87" s="50"/>
      <c r="Y87" s="53"/>
      <c r="Z87" s="53"/>
      <c r="AA87" s="53"/>
      <c r="AB87" s="107"/>
      <c r="AC87" s="243"/>
      <c r="AD87" s="168"/>
      <c r="AE87" s="243"/>
      <c r="AF87" s="168"/>
    </row>
    <row r="88" spans="1:32" x14ac:dyDescent="0.3">
      <c r="B88" s="6"/>
      <c r="C88" s="7"/>
      <c r="D88" s="7"/>
      <c r="E88" s="8"/>
      <c r="F88" s="9"/>
      <c r="G88" s="3"/>
      <c r="H88" s="6"/>
      <c r="I88" s="7"/>
      <c r="J88" s="7"/>
      <c r="K88" s="7"/>
      <c r="L88" s="8"/>
      <c r="M88" s="45"/>
      <c r="N88" s="328" t="str">
        <f t="shared" si="0"/>
        <v/>
      </c>
      <c r="O88" s="481"/>
      <c r="Q88" s="50"/>
      <c r="R88" s="53"/>
      <c r="S88" s="53"/>
      <c r="T88" s="53"/>
      <c r="U88" s="107"/>
      <c r="V88" s="243"/>
      <c r="W88" s="3"/>
      <c r="X88" s="50"/>
      <c r="Y88" s="53"/>
      <c r="Z88" s="53"/>
      <c r="AA88" s="53"/>
      <c r="AB88" s="107"/>
      <c r="AC88" s="243"/>
      <c r="AD88" s="168"/>
      <c r="AE88" s="243"/>
      <c r="AF88" s="168"/>
    </row>
    <row r="89" spans="1:32" x14ac:dyDescent="0.3">
      <c r="B89" s="6"/>
      <c r="C89" s="7"/>
      <c r="D89" s="7"/>
      <c r="E89" s="8"/>
      <c r="F89" s="9"/>
      <c r="G89" s="3"/>
      <c r="H89" s="6"/>
      <c r="I89" s="7"/>
      <c r="J89" s="7"/>
      <c r="K89" s="7"/>
      <c r="L89" s="8"/>
      <c r="M89" s="45"/>
      <c r="N89" s="328" t="str">
        <f t="shared" si="0"/>
        <v/>
      </c>
      <c r="O89" s="481"/>
      <c r="Q89" s="50"/>
      <c r="R89" s="53"/>
      <c r="S89" s="53"/>
      <c r="T89" s="53"/>
      <c r="U89" s="107"/>
      <c r="V89" s="243"/>
      <c r="W89" s="3"/>
      <c r="X89" s="50"/>
      <c r="Y89" s="53"/>
      <c r="Z89" s="53"/>
      <c r="AA89" s="53"/>
      <c r="AB89" s="107"/>
      <c r="AC89" s="243"/>
      <c r="AD89" s="168"/>
      <c r="AE89" s="243"/>
      <c r="AF89" s="168"/>
    </row>
    <row r="90" spans="1:32" x14ac:dyDescent="0.3">
      <c r="B90" s="6"/>
      <c r="C90" s="7"/>
      <c r="D90" s="7"/>
      <c r="E90" s="8"/>
      <c r="F90" s="9"/>
      <c r="G90" s="3"/>
      <c r="H90" s="6"/>
      <c r="I90" s="7"/>
      <c r="J90" s="7"/>
      <c r="K90" s="7"/>
      <c r="L90" s="8"/>
      <c r="M90" s="45"/>
      <c r="N90" s="328" t="str">
        <f t="shared" si="0"/>
        <v/>
      </c>
      <c r="O90" s="481"/>
      <c r="Q90" s="50"/>
      <c r="R90" s="53"/>
      <c r="S90" s="53"/>
      <c r="T90" s="53"/>
      <c r="U90" s="107"/>
      <c r="V90" s="243"/>
      <c r="W90" s="3"/>
      <c r="X90" s="50"/>
      <c r="Y90" s="53"/>
      <c r="Z90" s="53"/>
      <c r="AA90" s="53"/>
      <c r="AB90" s="107"/>
      <c r="AC90" s="243"/>
      <c r="AD90" s="168"/>
      <c r="AE90" s="243"/>
      <c r="AF90" s="168"/>
    </row>
    <row r="91" spans="1:32" x14ac:dyDescent="0.3">
      <c r="B91" s="6"/>
      <c r="C91" s="7"/>
      <c r="D91" s="7"/>
      <c r="E91" s="8"/>
      <c r="F91" s="9"/>
      <c r="G91" s="3"/>
      <c r="H91" s="6"/>
      <c r="I91" s="7"/>
      <c r="J91" s="7"/>
      <c r="K91" s="7"/>
      <c r="L91" s="8"/>
      <c r="M91" s="45"/>
      <c r="N91" s="328" t="str">
        <f t="shared" si="0"/>
        <v/>
      </c>
      <c r="O91" s="481"/>
      <c r="Q91" s="50"/>
      <c r="R91" s="53"/>
      <c r="S91" s="53"/>
      <c r="T91" s="53"/>
      <c r="U91" s="107"/>
      <c r="V91" s="243"/>
      <c r="W91" s="3"/>
      <c r="X91" s="50"/>
      <c r="Y91" s="53"/>
      <c r="Z91" s="53"/>
      <c r="AA91" s="53"/>
      <c r="AB91" s="107"/>
      <c r="AC91" s="243"/>
      <c r="AD91" s="168"/>
      <c r="AE91" s="243"/>
      <c r="AF91" s="168"/>
    </row>
    <row r="92" spans="1:32" x14ac:dyDescent="0.3">
      <c r="B92" s="6"/>
      <c r="C92" s="7"/>
      <c r="D92" s="7"/>
      <c r="E92" s="8"/>
      <c r="F92" s="9"/>
      <c r="G92" s="3"/>
      <c r="H92" s="6"/>
      <c r="I92" s="7"/>
      <c r="J92" s="7"/>
      <c r="K92" s="7"/>
      <c r="L92" s="8"/>
      <c r="M92" s="45"/>
      <c r="N92" s="328" t="str">
        <f t="shared" si="0"/>
        <v/>
      </c>
      <c r="O92" s="481"/>
      <c r="Q92" s="50"/>
      <c r="R92" s="53"/>
      <c r="S92" s="53"/>
      <c r="T92" s="53"/>
      <c r="U92" s="107"/>
      <c r="V92" s="243"/>
      <c r="W92" s="3"/>
      <c r="X92" s="50"/>
      <c r="Y92" s="53"/>
      <c r="Z92" s="53"/>
      <c r="AA92" s="53"/>
      <c r="AB92" s="107"/>
      <c r="AC92" s="243"/>
      <c r="AD92" s="168"/>
      <c r="AE92" s="243"/>
      <c r="AF92" s="168"/>
    </row>
    <row r="93" spans="1:32" x14ac:dyDescent="0.3">
      <c r="B93" s="6"/>
      <c r="C93" s="7"/>
      <c r="D93" s="7"/>
      <c r="E93" s="8"/>
      <c r="F93" s="9"/>
      <c r="G93" s="3"/>
      <c r="H93" s="6"/>
      <c r="I93" s="7"/>
      <c r="J93" s="7"/>
      <c r="K93" s="7"/>
      <c r="L93" s="8"/>
      <c r="M93" s="45"/>
      <c r="N93" s="328" t="str">
        <f t="shared" si="0"/>
        <v/>
      </c>
      <c r="O93" s="481"/>
      <c r="Q93" s="50"/>
      <c r="R93" s="53"/>
      <c r="S93" s="53"/>
      <c r="T93" s="53"/>
      <c r="U93" s="107"/>
      <c r="V93" s="243"/>
      <c r="X93" s="50"/>
      <c r="Y93" s="53"/>
      <c r="Z93" s="53"/>
      <c r="AA93" s="53"/>
      <c r="AB93" s="107"/>
      <c r="AC93" s="243"/>
      <c r="AD93" s="168"/>
      <c r="AE93" s="243"/>
      <c r="AF93" s="168"/>
    </row>
    <row r="94" spans="1:32" x14ac:dyDescent="0.3">
      <c r="B94" s="6"/>
      <c r="C94" s="7"/>
      <c r="D94" s="7"/>
      <c r="E94" s="8"/>
      <c r="F94" s="9"/>
      <c r="G94" s="3"/>
      <c r="H94" s="6"/>
      <c r="I94" s="7"/>
      <c r="J94" s="7"/>
      <c r="K94" s="7"/>
      <c r="L94" s="8"/>
      <c r="M94" s="45"/>
      <c r="N94" s="328" t="str">
        <f t="shared" si="0"/>
        <v/>
      </c>
      <c r="O94" s="481"/>
      <c r="Q94" s="50"/>
      <c r="R94" s="53"/>
      <c r="S94" s="53"/>
      <c r="T94" s="53"/>
      <c r="U94" s="107"/>
      <c r="V94" s="243"/>
      <c r="X94" s="50"/>
      <c r="Y94" s="53"/>
      <c r="Z94" s="53"/>
      <c r="AA94" s="53"/>
      <c r="AB94" s="107"/>
      <c r="AC94" s="243"/>
      <c r="AD94" s="168"/>
      <c r="AE94" s="243"/>
      <c r="AF94" s="168"/>
    </row>
    <row r="95" spans="1:32" x14ac:dyDescent="0.3">
      <c r="A95" s="4"/>
      <c r="B95" s="4"/>
      <c r="C95" s="4"/>
      <c r="D95" s="4"/>
      <c r="E95" s="5"/>
      <c r="F95" s="4"/>
      <c r="G95" s="4"/>
      <c r="H95" s="4"/>
      <c r="I95" s="4"/>
      <c r="J95" s="4"/>
      <c r="K95" s="4"/>
      <c r="L95" s="5"/>
      <c r="M95" s="4"/>
      <c r="N95" s="4"/>
      <c r="O95" s="4"/>
      <c r="P95" s="4"/>
      <c r="U95" s="2"/>
      <c r="AB95" s="2"/>
    </row>
    <row r="96" spans="1:32" x14ac:dyDescent="0.3">
      <c r="E96" s="2"/>
      <c r="L96" s="2"/>
    </row>
    <row r="97" spans="5:12" x14ac:dyDescent="0.3">
      <c r="E97" s="2"/>
      <c r="L97" s="2"/>
    </row>
    <row r="98" spans="5:12" x14ac:dyDescent="0.3">
      <c r="E98" s="2"/>
      <c r="L98" s="2"/>
    </row>
    <row r="99" spans="5:12" x14ac:dyDescent="0.3">
      <c r="E99" s="2"/>
      <c r="L99" s="2"/>
    </row>
    <row r="100" spans="5:12" x14ac:dyDescent="0.3">
      <c r="E100" s="2"/>
      <c r="L100" s="2"/>
    </row>
    <row r="101" spans="5:12" x14ac:dyDescent="0.3">
      <c r="E101" s="2"/>
      <c r="L101" s="2"/>
    </row>
    <row r="102" spans="5:12" x14ac:dyDescent="0.3">
      <c r="E102" s="2"/>
      <c r="L102" s="2"/>
    </row>
    <row r="103" spans="5:12" x14ac:dyDescent="0.3">
      <c r="E103" s="2"/>
      <c r="L103" s="2"/>
    </row>
    <row r="104" spans="5:12" x14ac:dyDescent="0.3">
      <c r="E104" s="2"/>
      <c r="L104" s="2"/>
    </row>
    <row r="105" spans="5:12" x14ac:dyDescent="0.3">
      <c r="E105" s="2"/>
      <c r="L105" s="2"/>
    </row>
    <row r="106" spans="5:12" x14ac:dyDescent="0.3">
      <c r="E106" s="2"/>
      <c r="L106" s="2"/>
    </row>
    <row r="107" spans="5:12" x14ac:dyDescent="0.3">
      <c r="E107" s="2"/>
      <c r="L107" s="2"/>
    </row>
    <row r="108" spans="5:12" x14ac:dyDescent="0.3">
      <c r="E108" s="2"/>
      <c r="L108" s="2"/>
    </row>
    <row r="109" spans="5:12" x14ac:dyDescent="0.3">
      <c r="E109" s="2"/>
      <c r="L109" s="2"/>
    </row>
    <row r="110" spans="5:12" x14ac:dyDescent="0.3">
      <c r="E110" s="2"/>
      <c r="L110" s="2"/>
    </row>
    <row r="111" spans="5:12" x14ac:dyDescent="0.3">
      <c r="E111" s="2"/>
      <c r="L111" s="2"/>
    </row>
    <row r="112" spans="5:12" x14ac:dyDescent="0.3">
      <c r="E112" s="2"/>
      <c r="L112" s="2"/>
    </row>
    <row r="113" spans="5:12" x14ac:dyDescent="0.3">
      <c r="E113" s="2"/>
      <c r="L113" s="2"/>
    </row>
    <row r="114" spans="5:12" x14ac:dyDescent="0.3">
      <c r="E114" s="2"/>
      <c r="L114" s="2"/>
    </row>
    <row r="115" spans="5:12" x14ac:dyDescent="0.3">
      <c r="E115" s="2"/>
      <c r="L115" s="2"/>
    </row>
    <row r="116" spans="5:12" x14ac:dyDescent="0.3">
      <c r="E116" s="2"/>
      <c r="L116" s="2"/>
    </row>
    <row r="117" spans="5:12" x14ac:dyDescent="0.3">
      <c r="E117" s="2"/>
      <c r="L117" s="2"/>
    </row>
    <row r="118" spans="5:12" x14ac:dyDescent="0.3">
      <c r="E118" s="2"/>
      <c r="L118" s="2"/>
    </row>
    <row r="119" spans="5:12" x14ac:dyDescent="0.3">
      <c r="E119" s="2"/>
      <c r="L119" s="2"/>
    </row>
    <row r="120" spans="5:12" x14ac:dyDescent="0.3">
      <c r="E120" s="2"/>
      <c r="L120" s="2"/>
    </row>
    <row r="121" spans="5:12" x14ac:dyDescent="0.3">
      <c r="E121" s="2"/>
      <c r="L121" s="2"/>
    </row>
    <row r="122" spans="5:12" x14ac:dyDescent="0.3">
      <c r="E122" s="2"/>
      <c r="L122" s="2"/>
    </row>
    <row r="123" spans="5:12" x14ac:dyDescent="0.3">
      <c r="E123" s="2"/>
      <c r="L123" s="2"/>
    </row>
    <row r="124" spans="5:12" x14ac:dyDescent="0.3">
      <c r="E124" s="2"/>
      <c r="L124" s="2"/>
    </row>
    <row r="125" spans="5:12" x14ac:dyDescent="0.3">
      <c r="E125" s="2"/>
      <c r="L125" s="2"/>
    </row>
    <row r="126" spans="5:12" x14ac:dyDescent="0.3">
      <c r="E126" s="2"/>
      <c r="L126" s="2"/>
    </row>
    <row r="127" spans="5:12" x14ac:dyDescent="0.3">
      <c r="E127" s="2"/>
      <c r="L127" s="2"/>
    </row>
    <row r="128" spans="5:12" x14ac:dyDescent="0.3">
      <c r="E128" s="2"/>
      <c r="L128" s="2"/>
    </row>
    <row r="129" spans="5:12" x14ac:dyDescent="0.3">
      <c r="E129" s="2"/>
      <c r="L129" s="2"/>
    </row>
    <row r="130" spans="5:12" x14ac:dyDescent="0.3">
      <c r="E130" s="2"/>
      <c r="L130" s="2"/>
    </row>
    <row r="131" spans="5:12" x14ac:dyDescent="0.3">
      <c r="E131" s="2"/>
      <c r="L131" s="2"/>
    </row>
    <row r="132" spans="5:12" x14ac:dyDescent="0.3">
      <c r="E132" s="2"/>
      <c r="L132" s="2"/>
    </row>
    <row r="133" spans="5:12" x14ac:dyDescent="0.3">
      <c r="E133" s="2"/>
      <c r="L133" s="2"/>
    </row>
    <row r="134" spans="5:12" x14ac:dyDescent="0.3">
      <c r="E134" s="2"/>
      <c r="L134" s="2"/>
    </row>
    <row r="135" spans="5:12" x14ac:dyDescent="0.3">
      <c r="E135" s="2"/>
      <c r="L135" s="2"/>
    </row>
    <row r="136" spans="5:12" x14ac:dyDescent="0.3">
      <c r="E136" s="2"/>
      <c r="L136" s="2"/>
    </row>
    <row r="137" spans="5:12" x14ac:dyDescent="0.3">
      <c r="E137" s="2"/>
      <c r="L137" s="2"/>
    </row>
    <row r="138" spans="5:12" x14ac:dyDescent="0.3">
      <c r="E138" s="2"/>
      <c r="L138" s="2"/>
    </row>
    <row r="139" spans="5:12" x14ac:dyDescent="0.3">
      <c r="E139" s="2"/>
      <c r="L139" s="2"/>
    </row>
    <row r="140" spans="5:12" x14ac:dyDescent="0.3">
      <c r="E140" s="2"/>
      <c r="L140" s="2"/>
    </row>
    <row r="141" spans="5:12" x14ac:dyDescent="0.3">
      <c r="E141" s="2"/>
      <c r="L141" s="2"/>
    </row>
    <row r="142" spans="5:12" x14ac:dyDescent="0.3">
      <c r="E142" s="2"/>
      <c r="L142" s="2"/>
    </row>
    <row r="143" spans="5:12" x14ac:dyDescent="0.3">
      <c r="E143" s="2"/>
      <c r="L143" s="2"/>
    </row>
    <row r="144" spans="5:12" x14ac:dyDescent="0.3">
      <c r="E144" s="2"/>
      <c r="L144" s="2"/>
    </row>
    <row r="145" spans="5:12" x14ac:dyDescent="0.3">
      <c r="E145" s="2"/>
      <c r="L145" s="2"/>
    </row>
    <row r="146" spans="5:12" x14ac:dyDescent="0.3">
      <c r="E146" s="2"/>
      <c r="L146" s="2"/>
    </row>
    <row r="147" spans="5:12" x14ac:dyDescent="0.3">
      <c r="E147" s="2"/>
      <c r="L147" s="2"/>
    </row>
    <row r="148" spans="5:12" x14ac:dyDescent="0.3">
      <c r="E148" s="2"/>
      <c r="L148" s="2"/>
    </row>
    <row r="149" spans="5:12" x14ac:dyDescent="0.3">
      <c r="E149" s="2"/>
      <c r="L149" s="2"/>
    </row>
    <row r="150" spans="5:12" x14ac:dyDescent="0.3">
      <c r="E150" s="2"/>
      <c r="L150" s="2"/>
    </row>
    <row r="151" spans="5:12" x14ac:dyDescent="0.3">
      <c r="E151" s="2"/>
      <c r="L151" s="2"/>
    </row>
    <row r="152" spans="5:12" x14ac:dyDescent="0.3">
      <c r="E152" s="2"/>
      <c r="L152" s="2"/>
    </row>
    <row r="153" spans="5:12" x14ac:dyDescent="0.3">
      <c r="E153" s="2"/>
      <c r="L153" s="2"/>
    </row>
    <row r="154" spans="5:12" x14ac:dyDescent="0.3">
      <c r="E154" s="2"/>
      <c r="L154" s="2"/>
    </row>
    <row r="155" spans="5:12" x14ac:dyDescent="0.3">
      <c r="E155" s="2"/>
      <c r="L155" s="2"/>
    </row>
    <row r="156" spans="5:12" x14ac:dyDescent="0.3">
      <c r="E156" s="2"/>
      <c r="L156" s="2"/>
    </row>
    <row r="157" spans="5:12" x14ac:dyDescent="0.3">
      <c r="E157" s="2"/>
      <c r="L157" s="2"/>
    </row>
    <row r="158" spans="5:12" x14ac:dyDescent="0.3">
      <c r="E158" s="2"/>
      <c r="L158" s="2"/>
    </row>
    <row r="159" spans="5:12" x14ac:dyDescent="0.3">
      <c r="E159" s="2"/>
      <c r="L159" s="2"/>
    </row>
    <row r="160" spans="5:12" x14ac:dyDescent="0.3">
      <c r="E160" s="2"/>
      <c r="L160" s="2"/>
    </row>
    <row r="161" spans="5:12" x14ac:dyDescent="0.3">
      <c r="E161" s="2"/>
      <c r="L161" s="2"/>
    </row>
    <row r="162" spans="5:12" x14ac:dyDescent="0.3">
      <c r="E162" s="2"/>
      <c r="L162" s="2"/>
    </row>
    <row r="163" spans="5:12" x14ac:dyDescent="0.3">
      <c r="E163" s="2"/>
      <c r="L163" s="2"/>
    </row>
    <row r="164" spans="5:12" x14ac:dyDescent="0.3">
      <c r="E164" s="2"/>
      <c r="L164" s="2"/>
    </row>
    <row r="165" spans="5:12" x14ac:dyDescent="0.3">
      <c r="E165" s="2"/>
      <c r="L165" s="2"/>
    </row>
    <row r="166" spans="5:12" x14ac:dyDescent="0.3">
      <c r="E166" s="2"/>
      <c r="L166" s="2"/>
    </row>
    <row r="167" spans="5:12" x14ac:dyDescent="0.3">
      <c r="E167" s="2"/>
      <c r="L167" s="2"/>
    </row>
    <row r="168" spans="5:12" x14ac:dyDescent="0.3">
      <c r="E168" s="2"/>
      <c r="L168" s="2"/>
    </row>
    <row r="169" spans="5:12" x14ac:dyDescent="0.3">
      <c r="E169" s="2"/>
      <c r="L169" s="2"/>
    </row>
    <row r="170" spans="5:12" x14ac:dyDescent="0.3">
      <c r="E170" s="2"/>
      <c r="L170" s="2"/>
    </row>
    <row r="171" spans="5:12" x14ac:dyDescent="0.3">
      <c r="E171" s="2"/>
      <c r="L171" s="2"/>
    </row>
    <row r="172" spans="5:12" x14ac:dyDescent="0.3">
      <c r="E172" s="2"/>
      <c r="L172" s="2"/>
    </row>
    <row r="173" spans="5:12" x14ac:dyDescent="0.3">
      <c r="E173" s="2"/>
      <c r="L173" s="2"/>
    </row>
    <row r="174" spans="5:12" x14ac:dyDescent="0.3">
      <c r="E174" s="2"/>
      <c r="L174" s="2"/>
    </row>
    <row r="175" spans="5:12" x14ac:dyDescent="0.3">
      <c r="E175" s="2"/>
      <c r="L175" s="2"/>
    </row>
    <row r="176" spans="5:12" x14ac:dyDescent="0.3">
      <c r="E176" s="2"/>
      <c r="L176" s="2"/>
    </row>
    <row r="177" spans="5:12" x14ac:dyDescent="0.3">
      <c r="E177" s="2"/>
      <c r="L177" s="2"/>
    </row>
    <row r="178" spans="5:12" x14ac:dyDescent="0.3">
      <c r="E178" s="2"/>
      <c r="L178" s="2"/>
    </row>
    <row r="179" spans="5:12" x14ac:dyDescent="0.3">
      <c r="E179" s="2"/>
      <c r="L179" s="2"/>
    </row>
    <row r="180" spans="5:12" x14ac:dyDescent="0.3">
      <c r="E180" s="2"/>
      <c r="L180" s="2"/>
    </row>
    <row r="181" spans="5:12" x14ac:dyDescent="0.3">
      <c r="E181" s="2"/>
      <c r="L181" s="2"/>
    </row>
    <row r="182" spans="5:12" x14ac:dyDescent="0.3">
      <c r="E182" s="2"/>
      <c r="L182" s="2"/>
    </row>
    <row r="183" spans="5:12" x14ac:dyDescent="0.3">
      <c r="E183" s="2"/>
      <c r="L183" s="2"/>
    </row>
    <row r="184" spans="5:12" x14ac:dyDescent="0.3">
      <c r="E184" s="2"/>
      <c r="L184" s="2"/>
    </row>
    <row r="185" spans="5:12" x14ac:dyDescent="0.3">
      <c r="E185" s="2"/>
      <c r="L185" s="2"/>
    </row>
    <row r="186" spans="5:12" x14ac:dyDescent="0.3">
      <c r="E186" s="2"/>
      <c r="L186" s="2"/>
    </row>
    <row r="187" spans="5:12" x14ac:dyDescent="0.3">
      <c r="E187" s="2"/>
      <c r="L187" s="2"/>
    </row>
    <row r="188" spans="5:12" x14ac:dyDescent="0.3">
      <c r="E188" s="2"/>
      <c r="L188" s="2"/>
    </row>
    <row r="189" spans="5:12" x14ac:dyDescent="0.3">
      <c r="E189" s="2"/>
      <c r="L189" s="2"/>
    </row>
    <row r="190" spans="5:12" x14ac:dyDescent="0.3">
      <c r="E190" s="2"/>
      <c r="L190" s="2"/>
    </row>
    <row r="191" spans="5:12" x14ac:dyDescent="0.3">
      <c r="E191" s="2"/>
      <c r="L191" s="2"/>
    </row>
    <row r="192" spans="5:12" x14ac:dyDescent="0.3">
      <c r="E192" s="2"/>
      <c r="L192" s="2"/>
    </row>
    <row r="193" spans="5:12" x14ac:dyDescent="0.3">
      <c r="E193" s="2"/>
      <c r="L193" s="2"/>
    </row>
    <row r="194" spans="5:12" x14ac:dyDescent="0.3">
      <c r="E194" s="2"/>
      <c r="L194" s="2"/>
    </row>
    <row r="195" spans="5:12" x14ac:dyDescent="0.3">
      <c r="E195" s="2"/>
      <c r="L195" s="2"/>
    </row>
    <row r="196" spans="5:12" x14ac:dyDescent="0.3">
      <c r="E196" s="2"/>
      <c r="L196" s="2"/>
    </row>
    <row r="197" spans="5:12" x14ac:dyDescent="0.3">
      <c r="E197" s="2"/>
      <c r="L197" s="2"/>
    </row>
    <row r="198" spans="5:12" x14ac:dyDescent="0.3">
      <c r="E198" s="2"/>
      <c r="L198" s="2"/>
    </row>
    <row r="199" spans="5:12" x14ac:dyDescent="0.3">
      <c r="E199" s="2"/>
      <c r="L199" s="2"/>
    </row>
    <row r="200" spans="5:12" x14ac:dyDescent="0.3">
      <c r="E200" s="2"/>
      <c r="L200" s="2"/>
    </row>
    <row r="201" spans="5:12" x14ac:dyDescent="0.3">
      <c r="E201" s="2"/>
      <c r="L201" s="2"/>
    </row>
    <row r="202" spans="5:12" x14ac:dyDescent="0.3">
      <c r="E202" s="2"/>
      <c r="L202" s="2"/>
    </row>
    <row r="203" spans="5:12" x14ac:dyDescent="0.3">
      <c r="E203" s="2"/>
      <c r="L203" s="2"/>
    </row>
    <row r="204" spans="5:12" x14ac:dyDescent="0.3">
      <c r="E204" s="2"/>
      <c r="L204" s="2"/>
    </row>
    <row r="205" spans="5:12" x14ac:dyDescent="0.3">
      <c r="E205" s="2"/>
      <c r="L205" s="2"/>
    </row>
    <row r="206" spans="5:12" x14ac:dyDescent="0.3">
      <c r="E206" s="2"/>
      <c r="L206" s="2"/>
    </row>
    <row r="207" spans="5:12" x14ac:dyDescent="0.3">
      <c r="E207" s="2"/>
      <c r="L207" s="2"/>
    </row>
    <row r="208" spans="5:12" x14ac:dyDescent="0.3">
      <c r="E208" s="2"/>
      <c r="L208" s="2"/>
    </row>
    <row r="209" spans="5:12" x14ac:dyDescent="0.3">
      <c r="E209" s="2"/>
      <c r="L209" s="2"/>
    </row>
    <row r="210" spans="5:12" x14ac:dyDescent="0.3">
      <c r="E210" s="2"/>
      <c r="L210" s="2"/>
    </row>
    <row r="211" spans="5:12" x14ac:dyDescent="0.3">
      <c r="E211" s="2"/>
      <c r="L211" s="2"/>
    </row>
    <row r="212" spans="5:12" x14ac:dyDescent="0.3">
      <c r="E212" s="2"/>
      <c r="L212" s="2"/>
    </row>
    <row r="213" spans="5:12" x14ac:dyDescent="0.3">
      <c r="E213" s="2"/>
      <c r="L213" s="2"/>
    </row>
    <row r="214" spans="5:12" x14ac:dyDescent="0.3">
      <c r="E214" s="2"/>
      <c r="L214" s="2"/>
    </row>
    <row r="215" spans="5:12" x14ac:dyDescent="0.3">
      <c r="E215" s="2"/>
      <c r="L215" s="2"/>
    </row>
    <row r="216" spans="5:12" x14ac:dyDescent="0.3">
      <c r="E216" s="2"/>
      <c r="L216" s="2"/>
    </row>
    <row r="217" spans="5:12" x14ac:dyDescent="0.3">
      <c r="E217" s="2"/>
      <c r="L217" s="2"/>
    </row>
    <row r="218" spans="5:12" x14ac:dyDescent="0.3">
      <c r="E218" s="2"/>
      <c r="L218" s="2"/>
    </row>
    <row r="219" spans="5:12" x14ac:dyDescent="0.3">
      <c r="E219" s="2"/>
      <c r="L219" s="2"/>
    </row>
    <row r="220" spans="5:12" x14ac:dyDescent="0.3">
      <c r="E220" s="2"/>
      <c r="L220" s="2"/>
    </row>
    <row r="221" spans="5:12" x14ac:dyDescent="0.3">
      <c r="E221" s="2"/>
      <c r="L221" s="2"/>
    </row>
    <row r="222" spans="5:12" x14ac:dyDescent="0.3">
      <c r="E222" s="2"/>
      <c r="L222" s="2"/>
    </row>
    <row r="223" spans="5:12" x14ac:dyDescent="0.3">
      <c r="E223" s="2"/>
      <c r="L223" s="2"/>
    </row>
    <row r="224" spans="5:12" x14ac:dyDescent="0.3">
      <c r="E224" s="2"/>
      <c r="L224" s="2"/>
    </row>
    <row r="225" spans="5:12" x14ac:dyDescent="0.3">
      <c r="E225" s="2"/>
      <c r="L225" s="2"/>
    </row>
    <row r="226" spans="5:12" x14ac:dyDescent="0.3">
      <c r="E226" s="2"/>
      <c r="L226" s="2"/>
    </row>
    <row r="227" spans="5:12" x14ac:dyDescent="0.3">
      <c r="E227" s="2"/>
      <c r="L227" s="2"/>
    </row>
    <row r="228" spans="5:12" x14ac:dyDescent="0.3">
      <c r="E228" s="2"/>
      <c r="L228" s="2"/>
    </row>
    <row r="229" spans="5:12" x14ac:dyDescent="0.3">
      <c r="E229" s="2"/>
      <c r="L229" s="2"/>
    </row>
    <row r="230" spans="5:12" x14ac:dyDescent="0.3">
      <c r="E230" s="2"/>
      <c r="L230" s="2"/>
    </row>
    <row r="231" spans="5:12" x14ac:dyDescent="0.3">
      <c r="E231" s="2"/>
      <c r="L231" s="2"/>
    </row>
    <row r="232" spans="5:12" x14ac:dyDescent="0.3">
      <c r="E232" s="2"/>
      <c r="L232" s="2"/>
    </row>
    <row r="233" spans="5:12" x14ac:dyDescent="0.3">
      <c r="E233" s="2"/>
      <c r="L233" s="2"/>
    </row>
    <row r="234" spans="5:12" x14ac:dyDescent="0.3">
      <c r="E234" s="2"/>
      <c r="L234" s="2"/>
    </row>
    <row r="235" spans="5:12" x14ac:dyDescent="0.3">
      <c r="E235" s="2"/>
      <c r="L235" s="2"/>
    </row>
    <row r="236" spans="5:12" x14ac:dyDescent="0.3">
      <c r="E236" s="2"/>
      <c r="L236" s="2"/>
    </row>
    <row r="237" spans="5:12" x14ac:dyDescent="0.3">
      <c r="E237" s="2"/>
      <c r="L237" s="2"/>
    </row>
    <row r="238" spans="5:12" x14ac:dyDescent="0.3">
      <c r="E238" s="2"/>
      <c r="L238" s="2"/>
    </row>
    <row r="239" spans="5:12" x14ac:dyDescent="0.3">
      <c r="E239" s="2"/>
      <c r="L239" s="2"/>
    </row>
    <row r="240" spans="5:12" x14ac:dyDescent="0.3">
      <c r="E240" s="2"/>
      <c r="L240" s="2"/>
    </row>
    <row r="241" spans="5:12" x14ac:dyDescent="0.3">
      <c r="E241" s="2"/>
      <c r="L241" s="2"/>
    </row>
    <row r="242" spans="5:12" x14ac:dyDescent="0.3">
      <c r="E242" s="2"/>
      <c r="L242" s="2"/>
    </row>
    <row r="243" spans="5:12" x14ac:dyDescent="0.3">
      <c r="E243" s="2"/>
      <c r="L243" s="2"/>
    </row>
    <row r="244" spans="5:12" x14ac:dyDescent="0.3">
      <c r="E244" s="2"/>
      <c r="L244" s="2"/>
    </row>
    <row r="245" spans="5:12" x14ac:dyDescent="0.3">
      <c r="E245" s="2"/>
      <c r="L245" s="2"/>
    </row>
    <row r="246" spans="5:12" x14ac:dyDescent="0.3">
      <c r="E246" s="2"/>
      <c r="L246" s="2"/>
    </row>
    <row r="247" spans="5:12" x14ac:dyDescent="0.3">
      <c r="E247" s="2"/>
      <c r="L247" s="2"/>
    </row>
    <row r="248" spans="5:12" x14ac:dyDescent="0.3">
      <c r="E248" s="2"/>
      <c r="L248" s="2"/>
    </row>
    <row r="249" spans="5:12" x14ac:dyDescent="0.3">
      <c r="E249" s="2"/>
      <c r="L249" s="2"/>
    </row>
    <row r="250" spans="5:12" x14ac:dyDescent="0.3">
      <c r="E250" s="2"/>
      <c r="L250" s="2"/>
    </row>
    <row r="251" spans="5:12" x14ac:dyDescent="0.3">
      <c r="E251" s="2"/>
      <c r="L251" s="2"/>
    </row>
    <row r="252" spans="5:12" x14ac:dyDescent="0.3">
      <c r="E252" s="2"/>
      <c r="L252" s="2"/>
    </row>
    <row r="253" spans="5:12" x14ac:dyDescent="0.3">
      <c r="E253" s="2"/>
      <c r="L253" s="2"/>
    </row>
    <row r="254" spans="5:12" x14ac:dyDescent="0.3">
      <c r="E254" s="2"/>
      <c r="L254" s="2"/>
    </row>
    <row r="255" spans="5:12" x14ac:dyDescent="0.3">
      <c r="E255" s="2"/>
      <c r="L255" s="2"/>
    </row>
    <row r="256" spans="5:12" x14ac:dyDescent="0.3">
      <c r="E256" s="2"/>
      <c r="L256" s="2"/>
    </row>
    <row r="257" spans="5:12" x14ac:dyDescent="0.3">
      <c r="E257" s="2"/>
      <c r="L257" s="2"/>
    </row>
    <row r="258" spans="5:12" x14ac:dyDescent="0.3">
      <c r="E258" s="2"/>
      <c r="L258" s="2"/>
    </row>
    <row r="259" spans="5:12" x14ac:dyDescent="0.3">
      <c r="E259" s="2"/>
      <c r="L259" s="2"/>
    </row>
    <row r="260" spans="5:12" x14ac:dyDescent="0.3">
      <c r="E260" s="2"/>
      <c r="L260" s="2"/>
    </row>
    <row r="261" spans="5:12" x14ac:dyDescent="0.3">
      <c r="E261" s="2"/>
      <c r="L261" s="2"/>
    </row>
    <row r="262" spans="5:12" x14ac:dyDescent="0.3">
      <c r="E262" s="2"/>
      <c r="L262" s="2"/>
    </row>
    <row r="263" spans="5:12" x14ac:dyDescent="0.3">
      <c r="E263" s="2"/>
      <c r="L263" s="2"/>
    </row>
    <row r="264" spans="5:12" x14ac:dyDescent="0.3">
      <c r="E264" s="2"/>
      <c r="L264" s="2"/>
    </row>
    <row r="265" spans="5:12" x14ac:dyDescent="0.3">
      <c r="E265" s="2"/>
      <c r="L265" s="2"/>
    </row>
    <row r="266" spans="5:12" x14ac:dyDescent="0.3">
      <c r="E266" s="2"/>
      <c r="L266" s="2"/>
    </row>
    <row r="267" spans="5:12" x14ac:dyDescent="0.3">
      <c r="E267" s="2"/>
      <c r="L267" s="2"/>
    </row>
    <row r="268" spans="5:12" x14ac:dyDescent="0.3">
      <c r="E268" s="2"/>
      <c r="L268" s="2"/>
    </row>
    <row r="269" spans="5:12" x14ac:dyDescent="0.3">
      <c r="E269" s="2"/>
      <c r="L269" s="2"/>
    </row>
    <row r="270" spans="5:12" x14ac:dyDescent="0.3">
      <c r="E270" s="2"/>
      <c r="L270" s="2"/>
    </row>
    <row r="271" spans="5:12" x14ac:dyDescent="0.3">
      <c r="E271" s="2"/>
      <c r="L271" s="2"/>
    </row>
    <row r="272" spans="5:12" x14ac:dyDescent="0.3">
      <c r="E272" s="2"/>
      <c r="L272" s="2"/>
    </row>
    <row r="273" spans="5:12" x14ac:dyDescent="0.3">
      <c r="E273" s="2"/>
      <c r="L273" s="2"/>
    </row>
    <row r="274" spans="5:12" x14ac:dyDescent="0.3">
      <c r="E274" s="2"/>
      <c r="L274" s="2"/>
    </row>
    <row r="275" spans="5:12" x14ac:dyDescent="0.3">
      <c r="E275" s="2"/>
      <c r="L275" s="2"/>
    </row>
    <row r="276" spans="5:12" x14ac:dyDescent="0.3">
      <c r="E276" s="2"/>
      <c r="L276" s="2"/>
    </row>
    <row r="277" spans="5:12" x14ac:dyDescent="0.3">
      <c r="E277" s="2"/>
      <c r="L277" s="2"/>
    </row>
    <row r="278" spans="5:12" x14ac:dyDescent="0.3">
      <c r="E278" s="2"/>
      <c r="L278" s="2"/>
    </row>
    <row r="279" spans="5:12" x14ac:dyDescent="0.3">
      <c r="E279" s="2"/>
      <c r="L279" s="2"/>
    </row>
    <row r="280" spans="5:12" x14ac:dyDescent="0.3">
      <c r="E280" s="2"/>
      <c r="L280" s="2"/>
    </row>
    <row r="281" spans="5:12" x14ac:dyDescent="0.3">
      <c r="E281" s="2"/>
      <c r="L281" s="2"/>
    </row>
    <row r="282" spans="5:12" x14ac:dyDescent="0.3">
      <c r="E282" s="2"/>
      <c r="L282" s="2"/>
    </row>
    <row r="283" spans="5:12" x14ac:dyDescent="0.3">
      <c r="E283" s="2"/>
      <c r="L283" s="2"/>
    </row>
    <row r="284" spans="5:12" x14ac:dyDescent="0.3">
      <c r="E284" s="2"/>
      <c r="L284" s="2"/>
    </row>
    <row r="285" spans="5:12" x14ac:dyDescent="0.3">
      <c r="E285" s="2"/>
      <c r="L285" s="2"/>
    </row>
    <row r="286" spans="5:12" x14ac:dyDescent="0.3">
      <c r="E286" s="2"/>
      <c r="L286" s="2"/>
    </row>
    <row r="287" spans="5:12" x14ac:dyDescent="0.3">
      <c r="E287" s="2"/>
      <c r="L287" s="2"/>
    </row>
    <row r="288" spans="5:12" x14ac:dyDescent="0.3">
      <c r="E288" s="2"/>
      <c r="L288" s="2"/>
    </row>
    <row r="289" spans="5:12" x14ac:dyDescent="0.3">
      <c r="E289" s="2"/>
      <c r="L289" s="2"/>
    </row>
    <row r="290" spans="5:12" x14ac:dyDescent="0.3">
      <c r="E290" s="2"/>
      <c r="L290" s="2"/>
    </row>
    <row r="291" spans="5:12" x14ac:dyDescent="0.3">
      <c r="E291" s="2"/>
      <c r="L291" s="2"/>
    </row>
    <row r="292" spans="5:12" x14ac:dyDescent="0.3">
      <c r="E292" s="2"/>
      <c r="L292" s="2"/>
    </row>
    <row r="293" spans="5:12" x14ac:dyDescent="0.3">
      <c r="E293" s="2"/>
      <c r="L293" s="2"/>
    </row>
    <row r="294" spans="5:12" x14ac:dyDescent="0.3">
      <c r="E294" s="2"/>
      <c r="L294" s="2"/>
    </row>
    <row r="295" spans="5:12" x14ac:dyDescent="0.3">
      <c r="E295" s="2"/>
      <c r="L295" s="2"/>
    </row>
    <row r="296" spans="5:12" x14ac:dyDescent="0.3">
      <c r="E296" s="2"/>
      <c r="L296" s="2"/>
    </row>
    <row r="297" spans="5:12" x14ac:dyDescent="0.3">
      <c r="E297" s="2"/>
      <c r="L297" s="2"/>
    </row>
    <row r="298" spans="5:12" x14ac:dyDescent="0.3">
      <c r="E298" s="2"/>
      <c r="L298" s="2"/>
    </row>
    <row r="299" spans="5:12" x14ac:dyDescent="0.3">
      <c r="E299" s="2"/>
      <c r="L299" s="2"/>
    </row>
    <row r="300" spans="5:12" x14ac:dyDescent="0.3">
      <c r="E300" s="2"/>
      <c r="L300" s="2"/>
    </row>
    <row r="301" spans="5:12" x14ac:dyDescent="0.3">
      <c r="E301" s="2"/>
      <c r="L301" s="2"/>
    </row>
    <row r="302" spans="5:12" x14ac:dyDescent="0.3">
      <c r="E302" s="2"/>
      <c r="L302" s="2"/>
    </row>
    <row r="303" spans="5:12" x14ac:dyDescent="0.3">
      <c r="E303" s="2"/>
      <c r="L303" s="2"/>
    </row>
    <row r="304" spans="5:12" x14ac:dyDescent="0.3">
      <c r="E304" s="2"/>
      <c r="L304" s="2"/>
    </row>
    <row r="305" spans="5:12" x14ac:dyDescent="0.3">
      <c r="E305" s="2"/>
      <c r="L305" s="2"/>
    </row>
    <row r="306" spans="5:12" x14ac:dyDescent="0.3">
      <c r="E306" s="2"/>
      <c r="L306" s="2"/>
    </row>
    <row r="307" spans="5:12" x14ac:dyDescent="0.3">
      <c r="E307" s="2"/>
      <c r="L307" s="2"/>
    </row>
    <row r="308" spans="5:12" x14ac:dyDescent="0.3">
      <c r="E308" s="2"/>
      <c r="L308" s="2"/>
    </row>
    <row r="309" spans="5:12" x14ac:dyDescent="0.3">
      <c r="E309" s="2"/>
      <c r="L309" s="2"/>
    </row>
    <row r="310" spans="5:12" x14ac:dyDescent="0.3">
      <c r="E310" s="2"/>
      <c r="L310" s="2"/>
    </row>
    <row r="311" spans="5:12" x14ac:dyDescent="0.3">
      <c r="E311" s="2"/>
      <c r="L311" s="2"/>
    </row>
    <row r="312" spans="5:12" x14ac:dyDescent="0.3">
      <c r="E312" s="2"/>
      <c r="L312" s="2"/>
    </row>
    <row r="313" spans="5:12" x14ac:dyDescent="0.3">
      <c r="E313" s="2"/>
      <c r="L313" s="2"/>
    </row>
    <row r="314" spans="5:12" x14ac:dyDescent="0.3">
      <c r="E314" s="2"/>
      <c r="L314" s="2"/>
    </row>
    <row r="315" spans="5:12" x14ac:dyDescent="0.3">
      <c r="E315" s="2"/>
      <c r="L315" s="2"/>
    </row>
    <row r="316" spans="5:12" x14ac:dyDescent="0.3">
      <c r="E316" s="2"/>
      <c r="L316" s="2"/>
    </row>
    <row r="317" spans="5:12" x14ac:dyDescent="0.3">
      <c r="E317" s="2"/>
      <c r="L317" s="2"/>
    </row>
    <row r="318" spans="5:12" x14ac:dyDescent="0.3">
      <c r="E318" s="2"/>
      <c r="L318" s="2"/>
    </row>
    <row r="319" spans="5:12" x14ac:dyDescent="0.3">
      <c r="E319" s="2"/>
      <c r="L319" s="2"/>
    </row>
    <row r="320" spans="5:12" x14ac:dyDescent="0.3">
      <c r="E320" s="2"/>
      <c r="L320" s="2"/>
    </row>
    <row r="321" spans="5:12" x14ac:dyDescent="0.3">
      <c r="E321" s="2"/>
      <c r="L321" s="2"/>
    </row>
    <row r="322" spans="5:12" x14ac:dyDescent="0.3">
      <c r="E322" s="2"/>
      <c r="L322" s="2"/>
    </row>
    <row r="323" spans="5:12" x14ac:dyDescent="0.3">
      <c r="E323" s="2"/>
      <c r="L323" s="2"/>
    </row>
    <row r="324" spans="5:12" x14ac:dyDescent="0.3">
      <c r="E324" s="2"/>
      <c r="L324" s="2"/>
    </row>
    <row r="325" spans="5:12" x14ac:dyDescent="0.3">
      <c r="E325" s="2"/>
      <c r="L325" s="2"/>
    </row>
    <row r="326" spans="5:12" x14ac:dyDescent="0.3">
      <c r="E326" s="2"/>
      <c r="L326" s="2"/>
    </row>
    <row r="327" spans="5:12" x14ac:dyDescent="0.3">
      <c r="E327" s="2"/>
      <c r="L327" s="2"/>
    </row>
    <row r="328" spans="5:12" x14ac:dyDescent="0.3">
      <c r="E328" s="2"/>
      <c r="L328" s="2"/>
    </row>
    <row r="329" spans="5:12" x14ac:dyDescent="0.3">
      <c r="E329" s="2"/>
      <c r="L329" s="2"/>
    </row>
    <row r="330" spans="5:12" x14ac:dyDescent="0.3">
      <c r="E330" s="2"/>
      <c r="L330" s="2"/>
    </row>
    <row r="331" spans="5:12" x14ac:dyDescent="0.3">
      <c r="E331" s="2"/>
      <c r="L331" s="2"/>
    </row>
    <row r="332" spans="5:12" x14ac:dyDescent="0.3">
      <c r="E332" s="2"/>
      <c r="L332" s="2"/>
    </row>
    <row r="333" spans="5:12" x14ac:dyDescent="0.3">
      <c r="E333" s="2"/>
      <c r="L333" s="2"/>
    </row>
    <row r="334" spans="5:12" x14ac:dyDescent="0.3">
      <c r="E334" s="2"/>
      <c r="L334" s="2"/>
    </row>
    <row r="335" spans="5:12" x14ac:dyDescent="0.3">
      <c r="E335" s="2"/>
      <c r="L335" s="2"/>
    </row>
    <row r="336" spans="5:12" x14ac:dyDescent="0.3">
      <c r="E336" s="2"/>
      <c r="L336" s="2"/>
    </row>
    <row r="337" spans="5:12" x14ac:dyDescent="0.3">
      <c r="E337" s="2"/>
      <c r="L337" s="2"/>
    </row>
    <row r="338" spans="5:12" x14ac:dyDescent="0.3">
      <c r="E338" s="2"/>
      <c r="L338" s="2"/>
    </row>
    <row r="339" spans="5:12" x14ac:dyDescent="0.3">
      <c r="E339" s="2"/>
      <c r="L339" s="2"/>
    </row>
    <row r="340" spans="5:12" x14ac:dyDescent="0.3">
      <c r="E340" s="2"/>
      <c r="L340" s="2"/>
    </row>
    <row r="341" spans="5:12" x14ac:dyDescent="0.3">
      <c r="E341" s="2"/>
      <c r="L341" s="2"/>
    </row>
    <row r="342" spans="5:12" x14ac:dyDescent="0.3">
      <c r="E342" s="2"/>
      <c r="L342" s="2"/>
    </row>
    <row r="343" spans="5:12" x14ac:dyDescent="0.3">
      <c r="E343" s="2"/>
      <c r="L343" s="2"/>
    </row>
    <row r="344" spans="5:12" x14ac:dyDescent="0.3">
      <c r="E344" s="2"/>
      <c r="L344" s="2"/>
    </row>
    <row r="345" spans="5:12" x14ac:dyDescent="0.3">
      <c r="E345" s="2"/>
      <c r="L345" s="2"/>
    </row>
    <row r="346" spans="5:12" x14ac:dyDescent="0.3">
      <c r="E346" s="2"/>
      <c r="L346" s="2"/>
    </row>
    <row r="347" spans="5:12" x14ac:dyDescent="0.3">
      <c r="E347" s="2"/>
      <c r="L347" s="2"/>
    </row>
    <row r="348" spans="5:12" x14ac:dyDescent="0.3">
      <c r="E348" s="2"/>
      <c r="L348" s="2"/>
    </row>
    <row r="349" spans="5:12" x14ac:dyDescent="0.3">
      <c r="E349" s="2"/>
      <c r="L349" s="2"/>
    </row>
    <row r="350" spans="5:12" x14ac:dyDescent="0.3">
      <c r="E350" s="2"/>
      <c r="L350" s="2"/>
    </row>
    <row r="351" spans="5:12" x14ac:dyDescent="0.3">
      <c r="E351" s="2"/>
      <c r="L351" s="2"/>
    </row>
    <row r="352" spans="5:12" x14ac:dyDescent="0.3">
      <c r="E352" s="2"/>
      <c r="L352" s="2"/>
    </row>
    <row r="353" spans="5:12" x14ac:dyDescent="0.3">
      <c r="E353" s="2"/>
      <c r="L353" s="2"/>
    </row>
    <row r="354" spans="5:12" x14ac:dyDescent="0.3">
      <c r="E354" s="2"/>
      <c r="L354" s="2"/>
    </row>
    <row r="355" spans="5:12" x14ac:dyDescent="0.3">
      <c r="E355" s="2"/>
      <c r="L355" s="2"/>
    </row>
    <row r="356" spans="5:12" x14ac:dyDescent="0.3">
      <c r="E356" s="2"/>
      <c r="L356" s="2"/>
    </row>
    <row r="357" spans="5:12" x14ac:dyDescent="0.3">
      <c r="E357" s="2"/>
      <c r="L357" s="2"/>
    </row>
    <row r="358" spans="5:12" x14ac:dyDescent="0.3">
      <c r="E358" s="2"/>
      <c r="L358" s="2"/>
    </row>
    <row r="359" spans="5:12" x14ac:dyDescent="0.3">
      <c r="E359" s="2"/>
      <c r="L359" s="2"/>
    </row>
    <row r="360" spans="5:12" x14ac:dyDescent="0.3">
      <c r="E360" s="2"/>
      <c r="L360" s="2"/>
    </row>
    <row r="361" spans="5:12" x14ac:dyDescent="0.3">
      <c r="E361" s="2"/>
      <c r="L361" s="2"/>
    </row>
    <row r="362" spans="5:12" x14ac:dyDescent="0.3">
      <c r="E362" s="2"/>
      <c r="L362" s="2"/>
    </row>
    <row r="363" spans="5:12" x14ac:dyDescent="0.3">
      <c r="E363" s="2"/>
      <c r="L363" s="2"/>
    </row>
    <row r="364" spans="5:12" x14ac:dyDescent="0.3">
      <c r="E364" s="2"/>
      <c r="L364" s="2"/>
    </row>
    <row r="365" spans="5:12" x14ac:dyDescent="0.3">
      <c r="E365" s="2"/>
      <c r="L365" s="2"/>
    </row>
    <row r="366" spans="5:12" x14ac:dyDescent="0.3">
      <c r="E366" s="2"/>
      <c r="L366" s="2"/>
    </row>
    <row r="367" spans="5:12" x14ac:dyDescent="0.3">
      <c r="E367" s="2"/>
      <c r="L367" s="2"/>
    </row>
    <row r="368" spans="5:12" x14ac:dyDescent="0.3">
      <c r="E368" s="2"/>
      <c r="L368" s="2"/>
    </row>
    <row r="369" spans="5:12" x14ac:dyDescent="0.3">
      <c r="E369" s="2"/>
      <c r="L369" s="2"/>
    </row>
    <row r="370" spans="5:12" x14ac:dyDescent="0.3">
      <c r="E370" s="2"/>
      <c r="L370" s="2"/>
    </row>
    <row r="371" spans="5:12" x14ac:dyDescent="0.3">
      <c r="E371" s="2"/>
      <c r="L371" s="2"/>
    </row>
    <row r="372" spans="5:12" x14ac:dyDescent="0.3">
      <c r="E372" s="2"/>
      <c r="L372" s="2"/>
    </row>
    <row r="373" spans="5:12" x14ac:dyDescent="0.3">
      <c r="E373" s="2"/>
      <c r="L373" s="2"/>
    </row>
    <row r="374" spans="5:12" x14ac:dyDescent="0.3">
      <c r="E374" s="2"/>
      <c r="L374" s="2"/>
    </row>
    <row r="375" spans="5:12" x14ac:dyDescent="0.3">
      <c r="E375" s="2"/>
      <c r="L375" s="2"/>
    </row>
    <row r="376" spans="5:12" x14ac:dyDescent="0.3">
      <c r="E376" s="2"/>
      <c r="L376" s="2"/>
    </row>
    <row r="377" spans="5:12" x14ac:dyDescent="0.3">
      <c r="E377" s="2"/>
      <c r="L377" s="2"/>
    </row>
    <row r="378" spans="5:12" x14ac:dyDescent="0.3">
      <c r="E378" s="2"/>
      <c r="L378" s="2"/>
    </row>
    <row r="379" spans="5:12" x14ac:dyDescent="0.3">
      <c r="E379" s="2"/>
      <c r="L379" s="2"/>
    </row>
    <row r="380" spans="5:12" x14ac:dyDescent="0.3">
      <c r="E380" s="2"/>
      <c r="L380" s="2"/>
    </row>
    <row r="381" spans="5:12" x14ac:dyDescent="0.3">
      <c r="E381" s="2"/>
      <c r="L381" s="2"/>
    </row>
    <row r="382" spans="5:12" x14ac:dyDescent="0.3">
      <c r="E382" s="2"/>
      <c r="L382" s="2"/>
    </row>
    <row r="383" spans="5:12" x14ac:dyDescent="0.3">
      <c r="E383" s="2"/>
      <c r="L383" s="2"/>
    </row>
  </sheetData>
  <mergeCells count="5">
    <mergeCell ref="B1:O3"/>
    <mergeCell ref="H6:L6"/>
    <mergeCell ref="H7:L7"/>
    <mergeCell ref="M6:O6"/>
    <mergeCell ref="M7:O7"/>
  </mergeCells>
  <phoneticPr fontId="3" type="noConversion"/>
  <conditionalFormatting sqref="N35:N94">
    <cfRule type="expression" dxfId="1" priority="1">
      <formula>$N35&lt;0</formula>
    </cfRule>
  </conditionalFormatting>
  <dataValidations count="3">
    <dataValidation type="list" allowBlank="1" showInputMessage="1" showErrorMessage="1" sqref="J11:J30 C11:C30 C35:C94 J35:J94" xr:uid="{43F864C4-026E-4AE4-9B9F-69F786E40D8C}">
      <formula1>대분류</formula1>
    </dataValidation>
    <dataValidation type="list" allowBlank="1" showInputMessage="1" showErrorMessage="1" sqref="I11:I30 I35:I94" xr:uid="{D1739EE2-D636-4ADE-9BBB-65365B2ABCCE}">
      <formula1>계정</formula1>
    </dataValidation>
    <dataValidation type="list" allowBlank="1" showInputMessage="1" showErrorMessage="1" sqref="K11:K30 D35:D94 D11:D30 K35:K94" xr:uid="{BA6B54F8-0F79-42CC-A024-BB757B9F6B53}">
      <formula1>OFFSET(소분류,,MATCH(C11,대분류,)-1,COUNTA(OFFSET(소분류,,MATCH(C11,대분류,)-1,,1)),1)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8" orientation="portrait" r:id="rId1"/>
  <ignoredErrors>
    <ignoredError sqref="N33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>
    <tabColor theme="5"/>
    <pageSetUpPr autoPageBreaks="0" fitToPage="1"/>
  </sheetPr>
  <dimension ref="A1:Y88"/>
  <sheetViews>
    <sheetView showGridLines="0" zoomScaleNormal="100" workbookViewId="0">
      <pane ySplit="3" topLeftCell="A4" activePane="bottomLeft" state="frozen"/>
      <selection pane="bottomLeft" activeCell="C5" sqref="C5"/>
    </sheetView>
  </sheetViews>
  <sheetFormatPr defaultRowHeight="16.5" x14ac:dyDescent="0.3"/>
  <cols>
    <col min="1" max="1" width="4.625" customWidth="1"/>
    <col min="2" max="2" width="12.625" customWidth="1"/>
    <col min="3" max="16" width="10.625" customWidth="1"/>
    <col min="17" max="17" width="4.625" customWidth="1"/>
    <col min="19" max="19" width="9.5" bestFit="1" customWidth="1"/>
    <col min="20" max="20" width="11.375" bestFit="1" customWidth="1"/>
    <col min="21" max="21" width="11.125" bestFit="1" customWidth="1"/>
    <col min="22" max="23" width="9.625" bestFit="1" customWidth="1"/>
    <col min="24" max="24" width="9.5" bestFit="1" customWidth="1"/>
  </cols>
  <sheetData>
    <row r="1" spans="1:17" ht="40.5" customHeight="1" x14ac:dyDescent="0.3">
      <c r="A1" s="14"/>
      <c r="B1" s="590" t="s">
        <v>177</v>
      </c>
      <c r="C1" s="590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7.25" thickBot="1" x14ac:dyDescent="0.35"/>
    <row r="3" spans="1:17" ht="30" customHeight="1" thickBot="1" x14ac:dyDescent="0.35">
      <c r="B3" s="34"/>
      <c r="C3" s="35" t="s">
        <v>45</v>
      </c>
      <c r="D3" s="35" t="s">
        <v>49</v>
      </c>
      <c r="E3" s="35" t="s">
        <v>51</v>
      </c>
      <c r="F3" s="35" t="s">
        <v>53</v>
      </c>
      <c r="G3" s="35" t="s">
        <v>55</v>
      </c>
      <c r="H3" s="35" t="s">
        <v>57</v>
      </c>
      <c r="I3" s="35" t="s">
        <v>58</v>
      </c>
      <c r="J3" s="35" t="s">
        <v>59</v>
      </c>
      <c r="K3" s="35" t="s">
        <v>60</v>
      </c>
      <c r="L3" s="35" t="s">
        <v>61</v>
      </c>
      <c r="M3" s="35" t="s">
        <v>62</v>
      </c>
      <c r="N3" s="36" t="s">
        <v>63</v>
      </c>
      <c r="O3" s="431" t="s">
        <v>5</v>
      </c>
      <c r="P3" s="399" t="s">
        <v>64</v>
      </c>
    </row>
    <row r="4" spans="1:17" ht="24.95" customHeight="1" thickBot="1" x14ac:dyDescent="0.35">
      <c r="B4" s="434" t="s">
        <v>267</v>
      </c>
      <c r="C4" s="435">
        <f t="shared" ref="C4:N4" si="0">SUM(C5:C18)</f>
        <v>0</v>
      </c>
      <c r="D4" s="435">
        <f t="shared" si="0"/>
        <v>0</v>
      </c>
      <c r="E4" s="435">
        <f t="shared" si="0"/>
        <v>0</v>
      </c>
      <c r="F4" s="435">
        <f t="shared" si="0"/>
        <v>0</v>
      </c>
      <c r="G4" s="435">
        <f t="shared" si="0"/>
        <v>0</v>
      </c>
      <c r="H4" s="435">
        <f t="shared" si="0"/>
        <v>0</v>
      </c>
      <c r="I4" s="435">
        <f t="shared" si="0"/>
        <v>0</v>
      </c>
      <c r="J4" s="435">
        <f t="shared" si="0"/>
        <v>0</v>
      </c>
      <c r="K4" s="435">
        <f t="shared" si="0"/>
        <v>0</v>
      </c>
      <c r="L4" s="435">
        <f t="shared" si="0"/>
        <v>0</v>
      </c>
      <c r="M4" s="435">
        <f t="shared" si="0"/>
        <v>0</v>
      </c>
      <c r="N4" s="435">
        <f t="shared" si="0"/>
        <v>0</v>
      </c>
      <c r="O4" s="437">
        <f>SUM(C4:N4)</f>
        <v>0</v>
      </c>
      <c r="P4" s="439">
        <f>O4/12</f>
        <v>0</v>
      </c>
    </row>
    <row r="5" spans="1:17" ht="18" customHeight="1" x14ac:dyDescent="0.3">
      <c r="B5" s="44" t="str">
        <f>IF(항목!C5="","",항목!C5)</f>
        <v>급여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432">
        <f t="shared" ref="O5:O17" si="1">SUM(C5:N5)</f>
        <v>0</v>
      </c>
      <c r="P5" s="348">
        <f t="shared" ref="P5:P17" si="2">O5/12</f>
        <v>0</v>
      </c>
    </row>
    <row r="6" spans="1:17" ht="18" customHeight="1" x14ac:dyDescent="0.3">
      <c r="B6" s="37" t="str">
        <f>IF(항목!C6="","",항목!C6)</f>
        <v>수당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33">
        <f t="shared" si="1"/>
        <v>0</v>
      </c>
      <c r="P6" s="374">
        <f t="shared" si="2"/>
        <v>0</v>
      </c>
    </row>
    <row r="7" spans="1:17" ht="18" customHeight="1" x14ac:dyDescent="0.3">
      <c r="B7" s="37" t="str">
        <f>IF(항목!C7="","",항목!C7)</f>
        <v>상여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433">
        <f t="shared" si="1"/>
        <v>0</v>
      </c>
      <c r="P7" s="374">
        <f t="shared" si="2"/>
        <v>0</v>
      </c>
    </row>
    <row r="8" spans="1:17" ht="18" customHeight="1" x14ac:dyDescent="0.3">
      <c r="B8" s="37" t="str">
        <f>IF(항목!C8="","",항목!C8)</f>
        <v>투자수익</v>
      </c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72"/>
      <c r="O8" s="433">
        <f t="shared" si="1"/>
        <v>0</v>
      </c>
      <c r="P8" s="374">
        <f t="shared" si="2"/>
        <v>0</v>
      </c>
    </row>
    <row r="9" spans="1:17" ht="18" customHeight="1" x14ac:dyDescent="0.3">
      <c r="B9" s="37" t="str">
        <f>IF(항목!C9="","",항목!C9)</f>
        <v>이자</v>
      </c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72"/>
      <c r="O9" s="433">
        <f t="shared" si="1"/>
        <v>0</v>
      </c>
      <c r="P9" s="374">
        <f t="shared" si="2"/>
        <v>0</v>
      </c>
    </row>
    <row r="10" spans="1:17" ht="18" customHeight="1" x14ac:dyDescent="0.3">
      <c r="B10" s="37" t="str">
        <f>IF(항목!C10="","",항목!C10)</f>
        <v>부수익</v>
      </c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433">
        <f t="shared" si="1"/>
        <v>0</v>
      </c>
      <c r="P10" s="374">
        <f t="shared" si="2"/>
        <v>0</v>
      </c>
    </row>
    <row r="11" spans="1:17" ht="18" customHeight="1" x14ac:dyDescent="0.3">
      <c r="B11" s="37" t="str">
        <f>IF(항목!C11="","",항목!C11)</f>
        <v>처분소득</v>
      </c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33">
        <f t="shared" si="1"/>
        <v>0</v>
      </c>
      <c r="P11" s="374">
        <f t="shared" si="2"/>
        <v>0</v>
      </c>
    </row>
    <row r="12" spans="1:17" ht="18" customHeight="1" x14ac:dyDescent="0.3">
      <c r="B12" s="37" t="str">
        <f>IF(항목!C12="","",항목!C12)</f>
        <v>기타 수입</v>
      </c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433">
        <f t="shared" si="1"/>
        <v>0</v>
      </c>
      <c r="P12" s="374">
        <f t="shared" si="2"/>
        <v>0</v>
      </c>
    </row>
    <row r="13" spans="1:17" ht="18" customHeight="1" x14ac:dyDescent="0.3">
      <c r="B13" s="37" t="str">
        <f>IF(항목!C13="","",항목!C13)</f>
        <v/>
      </c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433">
        <f t="shared" si="1"/>
        <v>0</v>
      </c>
      <c r="P13" s="374">
        <f t="shared" si="2"/>
        <v>0</v>
      </c>
    </row>
    <row r="14" spans="1:17" ht="18" customHeight="1" x14ac:dyDescent="0.3">
      <c r="B14" s="37" t="str">
        <f>IF(항목!C14="","",항목!C14)</f>
        <v/>
      </c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433">
        <f t="shared" si="1"/>
        <v>0</v>
      </c>
      <c r="P14" s="374">
        <f t="shared" si="2"/>
        <v>0</v>
      </c>
    </row>
    <row r="15" spans="1:17" ht="18" customHeight="1" thickBot="1" x14ac:dyDescent="0.35">
      <c r="B15" s="37" t="str">
        <f>IF(항목!C15="","",항목!C15)</f>
        <v/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433">
        <f t="shared" si="1"/>
        <v>0</v>
      </c>
      <c r="P15" s="374">
        <f t="shared" si="2"/>
        <v>0</v>
      </c>
    </row>
    <row r="16" spans="1:17" ht="18" customHeight="1" x14ac:dyDescent="0.3">
      <c r="B16" s="37" t="str">
        <f>IF(항목!C16="","",항목!C16)</f>
        <v/>
      </c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433">
        <f t="shared" si="1"/>
        <v>0</v>
      </c>
      <c r="P16" s="374">
        <f t="shared" si="2"/>
        <v>0</v>
      </c>
    </row>
    <row r="17" spans="2:25" ht="18" customHeight="1" x14ac:dyDescent="0.3">
      <c r="B17" s="37" t="str">
        <f>IF(항목!C17="","",항목!C17)</f>
        <v/>
      </c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433">
        <f t="shared" si="1"/>
        <v>0</v>
      </c>
      <c r="P17" s="374">
        <f t="shared" si="2"/>
        <v>0</v>
      </c>
    </row>
    <row r="18" spans="2:25" ht="18" customHeight="1" thickBot="1" x14ac:dyDescent="0.35">
      <c r="B18" s="37" t="str">
        <f>IF(항목!C18="","",항목!C18)</f>
        <v/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433"/>
      <c r="P18" s="374"/>
    </row>
    <row r="19" spans="2:25" ht="24.95" customHeight="1" thickBot="1" x14ac:dyDescent="0.35">
      <c r="B19" s="434" t="str">
        <f>항목!D3</f>
        <v>저축성지출</v>
      </c>
      <c r="C19" s="435">
        <f t="shared" ref="C19:N19" si="3">SUM(C20:C39)</f>
        <v>0</v>
      </c>
      <c r="D19" s="435">
        <f t="shared" si="3"/>
        <v>0</v>
      </c>
      <c r="E19" s="435">
        <f t="shared" si="3"/>
        <v>0</v>
      </c>
      <c r="F19" s="435">
        <f t="shared" si="3"/>
        <v>0</v>
      </c>
      <c r="G19" s="435">
        <f t="shared" si="3"/>
        <v>0</v>
      </c>
      <c r="H19" s="435">
        <f t="shared" si="3"/>
        <v>0</v>
      </c>
      <c r="I19" s="435">
        <f t="shared" si="3"/>
        <v>0</v>
      </c>
      <c r="J19" s="435">
        <f t="shared" si="3"/>
        <v>0</v>
      </c>
      <c r="K19" s="435">
        <f t="shared" si="3"/>
        <v>0</v>
      </c>
      <c r="L19" s="435">
        <f t="shared" si="3"/>
        <v>0</v>
      </c>
      <c r="M19" s="435">
        <f t="shared" si="3"/>
        <v>0</v>
      </c>
      <c r="N19" s="436">
        <f t="shared" si="3"/>
        <v>0</v>
      </c>
      <c r="O19" s="437">
        <f>SUM(C19:N19)</f>
        <v>0</v>
      </c>
      <c r="P19" s="438">
        <f t="shared" ref="P19:P47" si="4">O19/12</f>
        <v>0</v>
      </c>
      <c r="R19" s="591"/>
      <c r="S19" s="591"/>
      <c r="T19" s="591"/>
      <c r="U19" s="591"/>
      <c r="V19" s="591"/>
      <c r="W19" s="591"/>
      <c r="X19" s="591"/>
    </row>
    <row r="20" spans="2:25" ht="18" customHeight="1" x14ac:dyDescent="0.3">
      <c r="B20" s="44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432">
        <f t="shared" ref="O20:O39" si="5">SUM(C20:N20)</f>
        <v>0</v>
      </c>
      <c r="P20" s="403">
        <f t="shared" si="4"/>
        <v>0</v>
      </c>
      <c r="R20" s="115"/>
      <c r="S20" s="115"/>
      <c r="T20" s="115"/>
      <c r="U20" s="115"/>
      <c r="V20" s="115"/>
      <c r="W20" s="115"/>
      <c r="X20" s="115"/>
      <c r="Y20" s="113"/>
    </row>
    <row r="21" spans="2:25" ht="18" customHeight="1" x14ac:dyDescent="0.3">
      <c r="B21" s="44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432">
        <f t="shared" si="5"/>
        <v>0</v>
      </c>
      <c r="P21" s="403">
        <f t="shared" si="4"/>
        <v>0</v>
      </c>
      <c r="R21" s="115"/>
      <c r="S21" s="115"/>
      <c r="T21" s="116"/>
      <c r="U21" s="117"/>
      <c r="V21" s="117"/>
      <c r="W21" s="118"/>
      <c r="X21" s="116"/>
    </row>
    <row r="22" spans="2:25" ht="18" customHeight="1" x14ac:dyDescent="0.3">
      <c r="B22" s="44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432">
        <f t="shared" si="5"/>
        <v>0</v>
      </c>
      <c r="P22" s="403">
        <f t="shared" si="4"/>
        <v>0</v>
      </c>
      <c r="R22" s="115"/>
      <c r="S22" s="115"/>
      <c r="T22" s="116"/>
      <c r="U22" s="117"/>
      <c r="V22" s="117"/>
      <c r="W22" s="118"/>
      <c r="X22" s="116"/>
    </row>
    <row r="23" spans="2:25" ht="18" customHeight="1" x14ac:dyDescent="0.3">
      <c r="B23" s="44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432">
        <f t="shared" si="5"/>
        <v>0</v>
      </c>
      <c r="P23" s="403">
        <f t="shared" si="4"/>
        <v>0</v>
      </c>
      <c r="R23" s="115"/>
      <c r="S23" s="115"/>
      <c r="T23" s="116"/>
      <c r="U23" s="117"/>
      <c r="V23" s="117"/>
      <c r="W23" s="118"/>
      <c r="X23" s="116"/>
    </row>
    <row r="24" spans="2:25" ht="18" customHeight="1" x14ac:dyDescent="0.3">
      <c r="B24" s="44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432">
        <f t="shared" si="5"/>
        <v>0</v>
      </c>
      <c r="P24" s="403">
        <f t="shared" si="4"/>
        <v>0</v>
      </c>
      <c r="R24" s="115"/>
      <c r="S24" s="115"/>
      <c r="T24" s="116"/>
      <c r="U24" s="117"/>
      <c r="V24" s="117"/>
      <c r="W24" s="118"/>
      <c r="X24" s="116"/>
    </row>
    <row r="25" spans="2:25" ht="18" customHeight="1" x14ac:dyDescent="0.3">
      <c r="B25" s="44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432">
        <f t="shared" si="5"/>
        <v>0</v>
      </c>
      <c r="P25" s="403">
        <f t="shared" si="4"/>
        <v>0</v>
      </c>
      <c r="R25" s="115"/>
      <c r="S25" s="115"/>
      <c r="T25" s="116"/>
      <c r="U25" s="117"/>
      <c r="V25" s="117"/>
      <c r="W25" s="118"/>
      <c r="X25" s="116"/>
    </row>
    <row r="26" spans="2:25" ht="18" customHeight="1" x14ac:dyDescent="0.3">
      <c r="B26" s="44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432">
        <f t="shared" si="5"/>
        <v>0</v>
      </c>
      <c r="P26" s="403">
        <f t="shared" si="4"/>
        <v>0</v>
      </c>
      <c r="R26" s="115"/>
      <c r="S26" s="115"/>
      <c r="T26" s="116"/>
      <c r="U26" s="117"/>
      <c r="V26" s="117"/>
      <c r="W26" s="118"/>
      <c r="X26" s="116"/>
    </row>
    <row r="27" spans="2:25" ht="18" customHeight="1" x14ac:dyDescent="0.3">
      <c r="B27" s="4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432">
        <f t="shared" si="5"/>
        <v>0</v>
      </c>
      <c r="P27" s="403">
        <f t="shared" si="4"/>
        <v>0</v>
      </c>
      <c r="R27" s="115"/>
      <c r="S27" s="115"/>
      <c r="T27" s="116"/>
      <c r="U27" s="117"/>
      <c r="V27" s="117"/>
      <c r="W27" s="118"/>
      <c r="X27" s="116"/>
    </row>
    <row r="28" spans="2:25" ht="18" customHeight="1" x14ac:dyDescent="0.3">
      <c r="B28" s="44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432">
        <f t="shared" si="5"/>
        <v>0</v>
      </c>
      <c r="P28" s="403">
        <f t="shared" si="4"/>
        <v>0</v>
      </c>
      <c r="R28" s="115"/>
      <c r="S28" s="115"/>
      <c r="T28" s="116"/>
      <c r="U28" s="117"/>
      <c r="V28" s="117"/>
      <c r="W28" s="118"/>
      <c r="X28" s="116"/>
    </row>
    <row r="29" spans="2:25" ht="18" customHeight="1" x14ac:dyDescent="0.3">
      <c r="B29" s="44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432">
        <f t="shared" si="5"/>
        <v>0</v>
      </c>
      <c r="P29" s="403">
        <f t="shared" si="4"/>
        <v>0</v>
      </c>
      <c r="R29" s="115"/>
      <c r="S29" s="115"/>
      <c r="T29" s="116"/>
      <c r="U29" s="117"/>
      <c r="V29" s="117"/>
      <c r="W29" s="118"/>
      <c r="X29" s="116"/>
    </row>
    <row r="30" spans="2:25" ht="18" customHeight="1" x14ac:dyDescent="0.3">
      <c r="B30" s="44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432">
        <f t="shared" si="5"/>
        <v>0</v>
      </c>
      <c r="P30" s="403">
        <f t="shared" si="4"/>
        <v>0</v>
      </c>
      <c r="R30" s="115"/>
      <c r="S30" s="115"/>
      <c r="T30" s="116"/>
      <c r="U30" s="117"/>
      <c r="V30" s="117"/>
      <c r="W30" s="118"/>
      <c r="X30" s="116"/>
    </row>
    <row r="31" spans="2:25" ht="18" customHeight="1" x14ac:dyDescent="0.3">
      <c r="B31" s="44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432">
        <f t="shared" si="5"/>
        <v>0</v>
      </c>
      <c r="P31" s="403">
        <f t="shared" si="4"/>
        <v>0</v>
      </c>
      <c r="R31" s="115"/>
      <c r="S31" s="115"/>
      <c r="T31" s="116"/>
      <c r="U31" s="117"/>
      <c r="V31" s="117"/>
      <c r="W31" s="118"/>
      <c r="X31" s="116"/>
    </row>
    <row r="32" spans="2:25" ht="18" customHeight="1" x14ac:dyDescent="0.3">
      <c r="B32" s="44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432">
        <f t="shared" si="5"/>
        <v>0</v>
      </c>
      <c r="P32" s="403">
        <f t="shared" si="4"/>
        <v>0</v>
      </c>
      <c r="R32" s="115"/>
      <c r="S32" s="115"/>
      <c r="T32" s="116"/>
      <c r="U32" s="117"/>
      <c r="V32" s="117"/>
      <c r="W32" s="118"/>
      <c r="X32" s="116"/>
    </row>
    <row r="33" spans="2:24" ht="18" customHeight="1" x14ac:dyDescent="0.3">
      <c r="B33" s="44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432">
        <f t="shared" si="5"/>
        <v>0</v>
      </c>
      <c r="P33" s="403">
        <f t="shared" si="4"/>
        <v>0</v>
      </c>
      <c r="R33" s="115"/>
      <c r="S33" s="115"/>
      <c r="T33" s="116"/>
      <c r="U33" s="117"/>
      <c r="V33" s="117"/>
      <c r="W33" s="118"/>
      <c r="X33" s="116"/>
    </row>
    <row r="34" spans="2:24" ht="18" customHeight="1" x14ac:dyDescent="0.3">
      <c r="B34" s="44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432">
        <f t="shared" si="5"/>
        <v>0</v>
      </c>
      <c r="P34" s="403">
        <f t="shared" si="4"/>
        <v>0</v>
      </c>
      <c r="R34" s="115"/>
      <c r="S34" s="115"/>
      <c r="T34" s="116"/>
      <c r="U34" s="117"/>
      <c r="V34" s="117"/>
      <c r="W34" s="118"/>
      <c r="X34" s="116"/>
    </row>
    <row r="35" spans="2:24" ht="18" customHeight="1" x14ac:dyDescent="0.3">
      <c r="B35" s="44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432">
        <f t="shared" si="5"/>
        <v>0</v>
      </c>
      <c r="P35" s="403">
        <f t="shared" si="4"/>
        <v>0</v>
      </c>
      <c r="R35" s="115"/>
      <c r="S35" s="115"/>
      <c r="T35" s="116"/>
      <c r="U35" s="117"/>
      <c r="V35" s="117"/>
      <c r="W35" s="118"/>
      <c r="X35" s="116"/>
    </row>
    <row r="36" spans="2:24" ht="18" customHeight="1" x14ac:dyDescent="0.3">
      <c r="B36" s="44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432">
        <f t="shared" si="5"/>
        <v>0</v>
      </c>
      <c r="P36" s="403">
        <f t="shared" si="4"/>
        <v>0</v>
      </c>
      <c r="R36" s="591"/>
      <c r="S36" s="591"/>
      <c r="T36" s="591"/>
      <c r="U36" s="591"/>
      <c r="V36" s="591"/>
      <c r="W36" s="591"/>
      <c r="X36" s="119"/>
    </row>
    <row r="37" spans="2:24" ht="18" customHeight="1" x14ac:dyDescent="0.3">
      <c r="B37" s="44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432">
        <f t="shared" si="5"/>
        <v>0</v>
      </c>
      <c r="P37" s="403">
        <f t="shared" si="4"/>
        <v>0</v>
      </c>
    </row>
    <row r="38" spans="2:24" ht="18" customHeight="1" x14ac:dyDescent="0.3">
      <c r="B38" s="44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432">
        <f t="shared" si="5"/>
        <v>0</v>
      </c>
      <c r="P38" s="403">
        <f t="shared" si="4"/>
        <v>0</v>
      </c>
    </row>
    <row r="39" spans="2:24" ht="18" customHeight="1" thickBot="1" x14ac:dyDescent="0.35">
      <c r="B39" s="257"/>
      <c r="C39" s="258"/>
      <c r="D39" s="258"/>
      <c r="E39" s="258"/>
      <c r="F39" s="258"/>
      <c r="G39" s="258"/>
      <c r="H39" s="258"/>
      <c r="I39" s="258"/>
      <c r="J39" s="258"/>
      <c r="K39" s="258"/>
      <c r="L39" s="258"/>
      <c r="M39" s="258"/>
      <c r="N39" s="258"/>
      <c r="O39" s="432">
        <f t="shared" si="5"/>
        <v>0</v>
      </c>
      <c r="P39" s="403">
        <f t="shared" si="4"/>
        <v>0</v>
      </c>
    </row>
    <row r="40" spans="2:24" ht="24.95" customHeight="1" thickBot="1" x14ac:dyDescent="0.35">
      <c r="B40" s="434" t="s">
        <v>73</v>
      </c>
      <c r="C40" s="435">
        <f>SUM(C41:C53)</f>
        <v>0</v>
      </c>
      <c r="D40" s="435">
        <f t="shared" ref="D40:N40" si="6">SUM(D41:D53)</f>
        <v>0</v>
      </c>
      <c r="E40" s="435">
        <f t="shared" si="6"/>
        <v>0</v>
      </c>
      <c r="F40" s="435">
        <f t="shared" si="6"/>
        <v>0</v>
      </c>
      <c r="G40" s="435">
        <f t="shared" si="6"/>
        <v>0</v>
      </c>
      <c r="H40" s="435">
        <f t="shared" si="6"/>
        <v>0</v>
      </c>
      <c r="I40" s="435">
        <f t="shared" si="6"/>
        <v>0</v>
      </c>
      <c r="J40" s="435">
        <f t="shared" si="6"/>
        <v>0</v>
      </c>
      <c r="K40" s="435">
        <f t="shared" si="6"/>
        <v>0</v>
      </c>
      <c r="L40" s="435">
        <f t="shared" si="6"/>
        <v>0</v>
      </c>
      <c r="M40" s="435">
        <f t="shared" si="6"/>
        <v>0</v>
      </c>
      <c r="N40" s="435">
        <f t="shared" si="6"/>
        <v>0</v>
      </c>
      <c r="O40" s="437">
        <f>SUM(C40:N40)</f>
        <v>0</v>
      </c>
      <c r="P40" s="438">
        <f t="shared" si="4"/>
        <v>0</v>
      </c>
    </row>
    <row r="41" spans="2:24" ht="18" customHeight="1" x14ac:dyDescent="0.3">
      <c r="B41" s="44" t="str">
        <f>항목!E3</f>
        <v>식비</v>
      </c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432">
        <f>SUM(C41:N41)</f>
        <v>0</v>
      </c>
      <c r="P41" s="403">
        <f t="shared" si="4"/>
        <v>0</v>
      </c>
    </row>
    <row r="42" spans="2:24" ht="18" customHeight="1" x14ac:dyDescent="0.3">
      <c r="B42" s="37" t="str">
        <f>항목!F3</f>
        <v>주거비</v>
      </c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432">
        <f>SUM(C42:N42)</f>
        <v>0</v>
      </c>
      <c r="P42" s="403">
        <f t="shared" si="4"/>
        <v>0</v>
      </c>
    </row>
    <row r="43" spans="2:24" ht="18" customHeight="1" x14ac:dyDescent="0.3">
      <c r="B43" s="37" t="str">
        <f>항목!G3</f>
        <v>생활용품비</v>
      </c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432">
        <f t="shared" ref="O43:O53" si="7">SUM(C43:N43)</f>
        <v>0</v>
      </c>
      <c r="P43" s="403">
        <f t="shared" si="4"/>
        <v>0</v>
      </c>
    </row>
    <row r="44" spans="2:24" ht="18" customHeight="1" x14ac:dyDescent="0.3">
      <c r="B44" s="37" t="str">
        <f>항목!H3</f>
        <v>반려동물비</v>
      </c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432">
        <f t="shared" si="7"/>
        <v>0</v>
      </c>
      <c r="P44" s="403">
        <f t="shared" si="4"/>
        <v>0</v>
      </c>
    </row>
    <row r="45" spans="2:24" ht="18" customHeight="1" x14ac:dyDescent="0.3">
      <c r="B45" s="37" t="str">
        <f>항목!I3</f>
        <v>의류비</v>
      </c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432">
        <f t="shared" si="7"/>
        <v>0</v>
      </c>
      <c r="P45" s="403">
        <f t="shared" si="4"/>
        <v>0</v>
      </c>
    </row>
    <row r="46" spans="2:24" ht="18" customHeight="1" x14ac:dyDescent="0.3">
      <c r="B46" s="37" t="str">
        <f>항목!J3</f>
        <v>미용비</v>
      </c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432">
        <f t="shared" si="7"/>
        <v>0</v>
      </c>
      <c r="P46" s="403">
        <f t="shared" si="4"/>
        <v>0</v>
      </c>
    </row>
    <row r="47" spans="2:24" ht="18" customHeight="1" x14ac:dyDescent="0.3">
      <c r="B47" s="37" t="str">
        <f>항목!K3</f>
        <v>교육계발비</v>
      </c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432">
        <f t="shared" si="7"/>
        <v>0</v>
      </c>
      <c r="P47" s="403">
        <f t="shared" si="4"/>
        <v>0</v>
      </c>
    </row>
    <row r="48" spans="2:24" ht="18" customHeight="1" x14ac:dyDescent="0.3">
      <c r="B48" s="37" t="str">
        <f>항목!L3</f>
        <v>문화생활비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432">
        <f t="shared" si="7"/>
        <v>0</v>
      </c>
      <c r="P48" s="403">
        <f t="shared" ref="P48:P53" si="8">O48/12</f>
        <v>0</v>
      </c>
    </row>
    <row r="49" spans="2:24" ht="18" customHeight="1" x14ac:dyDescent="0.3">
      <c r="B49" s="37" t="str">
        <f>항목!M3</f>
        <v>의료비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432">
        <f t="shared" si="7"/>
        <v>0</v>
      </c>
      <c r="P49" s="403">
        <f t="shared" si="8"/>
        <v>0</v>
      </c>
    </row>
    <row r="50" spans="2:24" ht="18" customHeight="1" x14ac:dyDescent="0.3">
      <c r="B50" s="37" t="str">
        <f>항목!N3</f>
        <v>유류교통비</v>
      </c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432">
        <f t="shared" si="7"/>
        <v>0</v>
      </c>
      <c r="P50" s="403">
        <f t="shared" si="8"/>
        <v>0</v>
      </c>
    </row>
    <row r="51" spans="2:24" ht="18" customHeight="1" x14ac:dyDescent="0.3">
      <c r="B51" s="37" t="str">
        <f>항목!O3</f>
        <v>통신비</v>
      </c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432">
        <f t="shared" si="7"/>
        <v>0</v>
      </c>
      <c r="P51" s="403">
        <f t="shared" si="8"/>
        <v>0</v>
      </c>
    </row>
    <row r="52" spans="2:24" ht="18" customHeight="1" x14ac:dyDescent="0.3">
      <c r="B52" s="37" t="str">
        <f>항목!P3</f>
        <v>경조사회비</v>
      </c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432">
        <f t="shared" si="7"/>
        <v>0</v>
      </c>
      <c r="P52" s="403">
        <f t="shared" si="8"/>
        <v>0</v>
      </c>
    </row>
    <row r="53" spans="2:24" ht="18" customHeight="1" thickBot="1" x14ac:dyDescent="0.35">
      <c r="B53" s="39" t="str">
        <f>항목!Q3</f>
        <v>용돈지출</v>
      </c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432">
        <f t="shared" si="7"/>
        <v>0</v>
      </c>
      <c r="P53" s="403">
        <f t="shared" si="8"/>
        <v>0</v>
      </c>
    </row>
    <row r="54" spans="2:24" ht="24.95" customHeight="1" thickBot="1" x14ac:dyDescent="0.35">
      <c r="B54" s="434" t="s">
        <v>266</v>
      </c>
      <c r="C54" s="435">
        <f t="shared" ref="C54:N54" si="9">C19+C40</f>
        <v>0</v>
      </c>
      <c r="D54" s="435">
        <f t="shared" si="9"/>
        <v>0</v>
      </c>
      <c r="E54" s="435">
        <f t="shared" si="9"/>
        <v>0</v>
      </c>
      <c r="F54" s="435">
        <f t="shared" si="9"/>
        <v>0</v>
      </c>
      <c r="G54" s="435">
        <f t="shared" si="9"/>
        <v>0</v>
      </c>
      <c r="H54" s="435">
        <f t="shared" si="9"/>
        <v>0</v>
      </c>
      <c r="I54" s="435">
        <f t="shared" si="9"/>
        <v>0</v>
      </c>
      <c r="J54" s="435">
        <f t="shared" si="9"/>
        <v>0</v>
      </c>
      <c r="K54" s="435">
        <f t="shared" si="9"/>
        <v>0</v>
      </c>
      <c r="L54" s="435">
        <f t="shared" si="9"/>
        <v>0</v>
      </c>
      <c r="M54" s="435">
        <f t="shared" si="9"/>
        <v>0</v>
      </c>
      <c r="N54" s="435">
        <f t="shared" si="9"/>
        <v>0</v>
      </c>
      <c r="O54" s="437">
        <f>SUM(C54:N54)</f>
        <v>0</v>
      </c>
      <c r="P54" s="438">
        <f>O54/12</f>
        <v>0</v>
      </c>
    </row>
    <row r="55" spans="2:24" ht="24.95" customHeight="1" thickBot="1" x14ac:dyDescent="0.35">
      <c r="B55" s="434" t="s">
        <v>265</v>
      </c>
      <c r="C55" s="455">
        <f t="shared" ref="C55:N55" si="10">C4-C54</f>
        <v>0</v>
      </c>
      <c r="D55" s="455">
        <f t="shared" si="10"/>
        <v>0</v>
      </c>
      <c r="E55" s="455">
        <f t="shared" si="10"/>
        <v>0</v>
      </c>
      <c r="F55" s="455">
        <f t="shared" si="10"/>
        <v>0</v>
      </c>
      <c r="G55" s="455">
        <f t="shared" si="10"/>
        <v>0</v>
      </c>
      <c r="H55" s="455">
        <f t="shared" si="10"/>
        <v>0</v>
      </c>
      <c r="I55" s="455">
        <f t="shared" si="10"/>
        <v>0</v>
      </c>
      <c r="J55" s="455">
        <f t="shared" si="10"/>
        <v>0</v>
      </c>
      <c r="K55" s="455">
        <f t="shared" si="10"/>
        <v>0</v>
      </c>
      <c r="L55" s="455">
        <f t="shared" si="10"/>
        <v>0</v>
      </c>
      <c r="M55" s="455">
        <f t="shared" si="10"/>
        <v>0</v>
      </c>
      <c r="N55" s="455">
        <f t="shared" si="10"/>
        <v>0</v>
      </c>
      <c r="O55" s="456"/>
      <c r="P55" s="457"/>
    </row>
    <row r="56" spans="2:24" ht="24.95" customHeight="1" x14ac:dyDescent="0.3"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2:24" s="57" customFormat="1" ht="18" customHeight="1" x14ac:dyDescent="0.3">
      <c r="R57"/>
      <c r="S57"/>
      <c r="T57"/>
      <c r="U57"/>
      <c r="V57"/>
      <c r="W57"/>
      <c r="X57"/>
    </row>
    <row r="58" spans="2:24" s="57" customFormat="1" ht="18" customHeight="1" x14ac:dyDescent="0.3">
      <c r="F58" s="84"/>
    </row>
    <row r="59" spans="2:24" s="57" customFormat="1" ht="18" customHeight="1" x14ac:dyDescent="0.3"/>
    <row r="60" spans="2:24" s="57" customFormat="1" ht="18" customHeight="1" x14ac:dyDescent="0.3"/>
    <row r="61" spans="2:24" s="57" customFormat="1" ht="18" customHeight="1" x14ac:dyDescent="0.3"/>
    <row r="62" spans="2:24" s="57" customFormat="1" ht="18" customHeight="1" x14ac:dyDescent="0.3"/>
    <row r="63" spans="2:24" s="57" customFormat="1" ht="18" customHeight="1" x14ac:dyDescent="0.3"/>
    <row r="64" spans="2:24" s="57" customFormat="1" ht="18" customHeight="1" x14ac:dyDescent="0.3"/>
    <row r="65" s="57" customFormat="1" ht="18" customHeight="1" x14ac:dyDescent="0.3"/>
    <row r="66" s="57" customFormat="1" ht="18" customHeight="1" x14ac:dyDescent="0.3"/>
    <row r="67" s="57" customFormat="1" ht="18" customHeight="1" x14ac:dyDescent="0.3"/>
    <row r="68" s="57" customFormat="1" ht="18" customHeight="1" x14ac:dyDescent="0.3"/>
    <row r="69" s="57" customFormat="1" ht="18" customHeight="1" x14ac:dyDescent="0.3"/>
    <row r="70" s="57" customFormat="1" ht="18" customHeight="1" x14ac:dyDescent="0.3"/>
    <row r="71" s="57" customFormat="1" ht="18" customHeight="1" x14ac:dyDescent="0.3"/>
    <row r="72" s="57" customFormat="1" ht="18" customHeight="1" x14ac:dyDescent="0.3"/>
    <row r="73" s="57" customFormat="1" ht="18" customHeight="1" x14ac:dyDescent="0.3"/>
    <row r="74" s="57" customFormat="1" ht="18" customHeight="1" x14ac:dyDescent="0.3"/>
    <row r="75" s="57" customFormat="1" ht="18" customHeight="1" x14ac:dyDescent="0.3"/>
    <row r="76" s="57" customFormat="1" ht="18" customHeight="1" x14ac:dyDescent="0.3"/>
    <row r="77" s="57" customFormat="1" ht="18" customHeight="1" x14ac:dyDescent="0.3"/>
    <row r="78" s="57" customFormat="1" ht="18" customHeight="1" x14ac:dyDescent="0.3"/>
    <row r="79" s="57" customFormat="1" ht="18" customHeight="1" x14ac:dyDescent="0.3"/>
    <row r="80" s="57" customFormat="1" ht="18" customHeight="1" x14ac:dyDescent="0.3"/>
    <row r="81" spans="2:24" s="57" customFormat="1" ht="18" customHeight="1" x14ac:dyDescent="0.3"/>
    <row r="82" spans="2:24" s="57" customFormat="1" ht="18" customHeight="1" x14ac:dyDescent="0.3"/>
    <row r="83" spans="2:24" s="57" customFormat="1" ht="18" customHeight="1" x14ac:dyDescent="0.3"/>
    <row r="84" spans="2:24" s="57" customFormat="1" ht="18" customHeight="1" x14ac:dyDescent="0.3"/>
    <row r="85" spans="2:24" s="57" customFormat="1" ht="18" customHeight="1" x14ac:dyDescent="0.3"/>
    <row r="86" spans="2:24" s="57" customFormat="1" ht="18" customHeight="1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2:24" s="57" customFormat="1" ht="18" customHeight="1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2:24" x14ac:dyDescent="0.3">
      <c r="R88" s="57"/>
      <c r="S88" s="57"/>
      <c r="T88" s="57"/>
      <c r="U88" s="57"/>
      <c r="V88" s="57"/>
      <c r="W88" s="57"/>
      <c r="X88" s="57"/>
    </row>
  </sheetData>
  <mergeCells count="3">
    <mergeCell ref="B1:C1"/>
    <mergeCell ref="R36:W36"/>
    <mergeCell ref="R19:X19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colBreaks count="1" manualBreakCount="1">
    <brk id="17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5"/>
    <pageSetUpPr autoPageBreaks="0" fitToPage="1"/>
  </sheetPr>
  <dimension ref="A1:Q20"/>
  <sheetViews>
    <sheetView showGridLines="0" zoomScaleNormal="100" workbookViewId="0">
      <selection activeCell="B5" sqref="B5"/>
    </sheetView>
  </sheetViews>
  <sheetFormatPr defaultRowHeight="16.5" x14ac:dyDescent="0.3"/>
  <cols>
    <col min="1" max="1" width="4.625" customWidth="1"/>
    <col min="2" max="2" width="12.625" customWidth="1"/>
    <col min="3" max="16" width="10.625" customWidth="1"/>
    <col min="17" max="17" width="4.625" customWidth="1"/>
  </cols>
  <sheetData>
    <row r="1" spans="1:17" ht="40.5" customHeight="1" x14ac:dyDescent="0.3">
      <c r="A1" s="14"/>
      <c r="B1" s="590" t="s">
        <v>190</v>
      </c>
      <c r="C1" s="590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7.25" thickBot="1" x14ac:dyDescent="0.35"/>
    <row r="3" spans="1:17" ht="30" customHeight="1" thickBot="1" x14ac:dyDescent="0.35">
      <c r="B3" s="17"/>
      <c r="C3" s="18" t="s">
        <v>45</v>
      </c>
      <c r="D3" s="18" t="s">
        <v>49</v>
      </c>
      <c r="E3" s="18" t="s">
        <v>51</v>
      </c>
      <c r="F3" s="18" t="s">
        <v>53</v>
      </c>
      <c r="G3" s="18" t="s">
        <v>55</v>
      </c>
      <c r="H3" s="18" t="s">
        <v>57</v>
      </c>
      <c r="I3" s="18" t="s">
        <v>58</v>
      </c>
      <c r="J3" s="18" t="s">
        <v>59</v>
      </c>
      <c r="K3" s="18" t="s">
        <v>60</v>
      </c>
      <c r="L3" s="18" t="s">
        <v>61</v>
      </c>
      <c r="M3" s="18" t="s">
        <v>62</v>
      </c>
      <c r="N3" s="22" t="s">
        <v>63</v>
      </c>
      <c r="O3" s="26" t="s">
        <v>5</v>
      </c>
      <c r="P3" s="23" t="s">
        <v>64</v>
      </c>
    </row>
    <row r="4" spans="1:17" ht="24.95" customHeight="1" thickBot="1" x14ac:dyDescent="0.35">
      <c r="B4" s="255" t="s">
        <v>1</v>
      </c>
      <c r="C4" s="259">
        <f>연간_항목별수입!C20-예산!C4</f>
        <v>0</v>
      </c>
      <c r="D4" s="259">
        <f>연간_항목별수입!D20-예산!D4</f>
        <v>0</v>
      </c>
      <c r="E4" s="259">
        <f>연간_항목별수입!E20-예산!E4</f>
        <v>0</v>
      </c>
      <c r="F4" s="259">
        <f>연간_항목별수입!F20-예산!F4</f>
        <v>0</v>
      </c>
      <c r="G4" s="259">
        <f>연간_항목별수입!G20-예산!G4</f>
        <v>0</v>
      </c>
      <c r="H4" s="259">
        <f>연간_항목별수입!H20-예산!H4</f>
        <v>0</v>
      </c>
      <c r="I4" s="259">
        <f>연간_항목별수입!I20-예산!I4</f>
        <v>0</v>
      </c>
      <c r="J4" s="259">
        <f>연간_항목별수입!J20-예산!J4</f>
        <v>0</v>
      </c>
      <c r="K4" s="259">
        <f>연간_항목별수입!K20-예산!K4</f>
        <v>0</v>
      </c>
      <c r="L4" s="259">
        <f>연간_항목별수입!L20-예산!L4</f>
        <v>0</v>
      </c>
      <c r="M4" s="259">
        <f>연간_항목별수입!M20-예산!M4</f>
        <v>0</v>
      </c>
      <c r="N4" s="259">
        <f>연간_항목별수입!N20-예산!N4</f>
        <v>0</v>
      </c>
      <c r="O4" s="260">
        <f>SUM(C4:N4)</f>
        <v>0</v>
      </c>
      <c r="P4" s="261">
        <f>O4/12</f>
        <v>0</v>
      </c>
    </row>
    <row r="5" spans="1:17" ht="24.95" customHeight="1" thickBot="1" x14ac:dyDescent="0.35">
      <c r="B5" s="255" t="str">
        <f>항목!D3</f>
        <v>저축성지출</v>
      </c>
      <c r="C5" s="256">
        <f>연간_항목별지출!C4-예산!C19</f>
        <v>0</v>
      </c>
      <c r="D5" s="256">
        <f>연간_항목별지출!D4-예산!D19</f>
        <v>0</v>
      </c>
      <c r="E5" s="256">
        <f>연간_항목별지출!E4-예산!E19</f>
        <v>0</v>
      </c>
      <c r="F5" s="256">
        <f>연간_항목별지출!F4-예산!F19</f>
        <v>0</v>
      </c>
      <c r="G5" s="256">
        <f>연간_항목별지출!G4-예산!G19</f>
        <v>0</v>
      </c>
      <c r="H5" s="256">
        <f>연간_항목별지출!H4-예산!H19</f>
        <v>0</v>
      </c>
      <c r="I5" s="256">
        <f>연간_항목별지출!I4-예산!I19</f>
        <v>0</v>
      </c>
      <c r="J5" s="256">
        <f>연간_항목별지출!J4-예산!J19</f>
        <v>0</v>
      </c>
      <c r="K5" s="256">
        <f>연간_항목별지출!K4-예산!K19</f>
        <v>0</v>
      </c>
      <c r="L5" s="256">
        <f>연간_항목별지출!L4-예산!L19</f>
        <v>0</v>
      </c>
      <c r="M5" s="256">
        <f>연간_항목별지출!M4-예산!M19</f>
        <v>0</v>
      </c>
      <c r="N5" s="256">
        <f>연간_항목별지출!N4-예산!N19</f>
        <v>0</v>
      </c>
      <c r="O5" s="28">
        <f>SUM(C5:N5)</f>
        <v>0</v>
      </c>
      <c r="P5" s="25">
        <f t="shared" ref="P5:P13" si="0">O5/12</f>
        <v>0</v>
      </c>
    </row>
    <row r="6" spans="1:17" ht="24.95" customHeight="1" thickBot="1" x14ac:dyDescent="0.35">
      <c r="B6" s="255" t="s">
        <v>73</v>
      </c>
      <c r="C6" s="256">
        <f>예산!C40-연간_항목별지출!C5</f>
        <v>0</v>
      </c>
      <c r="D6" s="256">
        <f>예산!D40-연간_항목별지출!D5</f>
        <v>0</v>
      </c>
      <c r="E6" s="256">
        <f>예산!E40-연간_항목별지출!E5</f>
        <v>0</v>
      </c>
      <c r="F6" s="256">
        <f>예산!F40-연간_항목별지출!F5</f>
        <v>0</v>
      </c>
      <c r="G6" s="256">
        <f>예산!G40-연간_항목별지출!G5</f>
        <v>0</v>
      </c>
      <c r="H6" s="256">
        <f>예산!H40-연간_항목별지출!H5</f>
        <v>0</v>
      </c>
      <c r="I6" s="256">
        <f>예산!I40-연간_항목별지출!I5</f>
        <v>0</v>
      </c>
      <c r="J6" s="256">
        <f>예산!J40-연간_항목별지출!J5</f>
        <v>0</v>
      </c>
      <c r="K6" s="256">
        <f>예산!K40-연간_항목별지출!K5</f>
        <v>0</v>
      </c>
      <c r="L6" s="256">
        <f>예산!L40-연간_항목별지출!L5</f>
        <v>0</v>
      </c>
      <c r="M6" s="256">
        <f>예산!M40-연간_항목별지출!M5</f>
        <v>0</v>
      </c>
      <c r="N6" s="256">
        <f>예산!N40-연간_항목별지출!N5</f>
        <v>0</v>
      </c>
      <c r="O6" s="28">
        <f>SUM(C6:N6)</f>
        <v>0</v>
      </c>
      <c r="P6" s="25">
        <f t="shared" si="0"/>
        <v>0</v>
      </c>
    </row>
    <row r="7" spans="1:17" ht="18" customHeight="1" x14ac:dyDescent="0.3">
      <c r="B7" s="114" t="str">
        <f>항목!E3</f>
        <v>식비</v>
      </c>
      <c r="C7" s="16">
        <f>예산!C41-연간_항목별지출!C6</f>
        <v>0</v>
      </c>
      <c r="D7" s="16">
        <f>예산!D41-연간_항목별지출!D6</f>
        <v>0</v>
      </c>
      <c r="E7" s="16">
        <f>예산!E41-연간_항목별지출!E6</f>
        <v>0</v>
      </c>
      <c r="F7" s="16">
        <f>예산!F41-연간_항목별지출!F6</f>
        <v>0</v>
      </c>
      <c r="G7" s="16">
        <f>예산!G41-연간_항목별지출!G6</f>
        <v>0</v>
      </c>
      <c r="H7" s="16">
        <f>예산!H41-연간_항목별지출!H6</f>
        <v>0</v>
      </c>
      <c r="I7" s="16">
        <f>예산!I41-연간_항목별지출!I6</f>
        <v>0</v>
      </c>
      <c r="J7" s="16">
        <f>예산!J41-연간_항목별지출!J6</f>
        <v>0</v>
      </c>
      <c r="K7" s="16">
        <f>예산!K41-연간_항목별지출!K6</f>
        <v>0</v>
      </c>
      <c r="L7" s="16">
        <f>예산!L41-연간_항목별지출!L6</f>
        <v>0</v>
      </c>
      <c r="M7" s="16">
        <f>예산!M41-연간_항목별지출!M6</f>
        <v>0</v>
      </c>
      <c r="N7" s="16">
        <f>예산!N41-연간_항목별지출!N6</f>
        <v>0</v>
      </c>
      <c r="O7" s="27">
        <f>SUM(C7:N7)</f>
        <v>0</v>
      </c>
      <c r="P7" s="24">
        <f t="shared" si="0"/>
        <v>0</v>
      </c>
    </row>
    <row r="8" spans="1:17" ht="18" customHeight="1" x14ac:dyDescent="0.3">
      <c r="B8" s="15" t="str">
        <f>항목!F3</f>
        <v>주거비</v>
      </c>
      <c r="C8" s="16">
        <f>예산!C42-연간_항목별지출!C7</f>
        <v>0</v>
      </c>
      <c r="D8" s="16">
        <f>예산!D42-연간_항목별지출!D7</f>
        <v>0</v>
      </c>
      <c r="E8" s="16">
        <f>예산!E42-연간_항목별지출!E7</f>
        <v>0</v>
      </c>
      <c r="F8" s="16">
        <f>예산!F42-연간_항목별지출!F7</f>
        <v>0</v>
      </c>
      <c r="G8" s="16">
        <f>예산!G42-연간_항목별지출!G7</f>
        <v>0</v>
      </c>
      <c r="H8" s="16">
        <f>예산!H42-연간_항목별지출!H7</f>
        <v>0</v>
      </c>
      <c r="I8" s="16">
        <f>예산!I42-연간_항목별지출!I7</f>
        <v>0</v>
      </c>
      <c r="J8" s="16">
        <f>예산!J42-연간_항목별지출!J7</f>
        <v>0</v>
      </c>
      <c r="K8" s="16">
        <f>예산!K42-연간_항목별지출!K7</f>
        <v>0</v>
      </c>
      <c r="L8" s="16">
        <f>예산!L42-연간_항목별지출!L7</f>
        <v>0</v>
      </c>
      <c r="M8" s="16">
        <f>예산!M42-연간_항목별지출!M7</f>
        <v>0</v>
      </c>
      <c r="N8" s="16">
        <f>예산!N42-연간_항목별지출!N7</f>
        <v>0</v>
      </c>
      <c r="O8" s="27">
        <f>SUM(C8:N8)</f>
        <v>0</v>
      </c>
      <c r="P8" s="24">
        <f t="shared" si="0"/>
        <v>0</v>
      </c>
    </row>
    <row r="9" spans="1:17" ht="18" customHeight="1" x14ac:dyDescent="0.3">
      <c r="B9" s="15" t="str">
        <f>항목!G3</f>
        <v>생활용품비</v>
      </c>
      <c r="C9" s="16">
        <f>예산!C43-연간_항목별지출!C8</f>
        <v>0</v>
      </c>
      <c r="D9" s="16">
        <f>예산!D43-연간_항목별지출!D8</f>
        <v>0</v>
      </c>
      <c r="E9" s="16">
        <f>예산!E43-연간_항목별지출!E8</f>
        <v>0</v>
      </c>
      <c r="F9" s="16">
        <f>예산!F43-연간_항목별지출!F8</f>
        <v>0</v>
      </c>
      <c r="G9" s="16">
        <f>예산!G43-연간_항목별지출!G8</f>
        <v>0</v>
      </c>
      <c r="H9" s="16">
        <f>예산!H43-연간_항목별지출!H8</f>
        <v>0</v>
      </c>
      <c r="I9" s="16">
        <f>예산!I43-연간_항목별지출!I8</f>
        <v>0</v>
      </c>
      <c r="J9" s="16">
        <f>예산!J43-연간_항목별지출!J8</f>
        <v>0</v>
      </c>
      <c r="K9" s="16">
        <f>예산!K43-연간_항목별지출!K8</f>
        <v>0</v>
      </c>
      <c r="L9" s="16">
        <f>예산!L43-연간_항목별지출!L8</f>
        <v>0</v>
      </c>
      <c r="M9" s="16">
        <f>예산!M43-연간_항목별지출!M8</f>
        <v>0</v>
      </c>
      <c r="N9" s="16">
        <f>예산!N43-연간_항목별지출!N8</f>
        <v>0</v>
      </c>
      <c r="O9" s="27">
        <f t="shared" ref="O9:O19" si="1">SUM(C9:N9)</f>
        <v>0</v>
      </c>
      <c r="P9" s="24">
        <f t="shared" si="0"/>
        <v>0</v>
      </c>
    </row>
    <row r="10" spans="1:17" ht="18" customHeight="1" x14ac:dyDescent="0.3">
      <c r="B10" s="15" t="str">
        <f>항목!H3</f>
        <v>반려동물비</v>
      </c>
      <c r="C10" s="16">
        <f>예산!C44-연간_항목별지출!C9</f>
        <v>0</v>
      </c>
      <c r="D10" s="16">
        <f>예산!D44-연간_항목별지출!D9</f>
        <v>0</v>
      </c>
      <c r="E10" s="16">
        <f>예산!E44-연간_항목별지출!E9</f>
        <v>0</v>
      </c>
      <c r="F10" s="16">
        <f>예산!F44-연간_항목별지출!F9</f>
        <v>0</v>
      </c>
      <c r="G10" s="16">
        <f>예산!G44-연간_항목별지출!G9</f>
        <v>0</v>
      </c>
      <c r="H10" s="16">
        <f>예산!H44-연간_항목별지출!H9</f>
        <v>0</v>
      </c>
      <c r="I10" s="16">
        <f>예산!I44-연간_항목별지출!I9</f>
        <v>0</v>
      </c>
      <c r="J10" s="16">
        <f>예산!J44-연간_항목별지출!J9</f>
        <v>0</v>
      </c>
      <c r="K10" s="16">
        <f>예산!K44-연간_항목별지출!K9</f>
        <v>0</v>
      </c>
      <c r="L10" s="16">
        <f>예산!L44-연간_항목별지출!L9</f>
        <v>0</v>
      </c>
      <c r="M10" s="16">
        <f>예산!M44-연간_항목별지출!M9</f>
        <v>0</v>
      </c>
      <c r="N10" s="16">
        <f>예산!N44-연간_항목별지출!N9</f>
        <v>0</v>
      </c>
      <c r="O10" s="27">
        <f t="shared" si="1"/>
        <v>0</v>
      </c>
      <c r="P10" s="24">
        <f t="shared" si="0"/>
        <v>0</v>
      </c>
    </row>
    <row r="11" spans="1:17" ht="18" customHeight="1" x14ac:dyDescent="0.3">
      <c r="B11" s="15" t="str">
        <f>항목!I3</f>
        <v>의류비</v>
      </c>
      <c r="C11" s="16">
        <f>예산!C45-연간_항목별지출!C10</f>
        <v>0</v>
      </c>
      <c r="D11" s="16">
        <f>예산!D45-연간_항목별지출!D10</f>
        <v>0</v>
      </c>
      <c r="E11" s="16">
        <f>예산!E45-연간_항목별지출!E10</f>
        <v>0</v>
      </c>
      <c r="F11" s="16">
        <f>예산!F45-연간_항목별지출!F10</f>
        <v>0</v>
      </c>
      <c r="G11" s="16">
        <f>예산!G45-연간_항목별지출!G10</f>
        <v>0</v>
      </c>
      <c r="H11" s="16">
        <f>예산!H45-연간_항목별지출!H10</f>
        <v>0</v>
      </c>
      <c r="I11" s="16">
        <f>예산!I45-연간_항목별지출!I10</f>
        <v>0</v>
      </c>
      <c r="J11" s="16">
        <f>예산!J45-연간_항목별지출!J10</f>
        <v>0</v>
      </c>
      <c r="K11" s="16">
        <f>예산!K45-연간_항목별지출!K10</f>
        <v>0</v>
      </c>
      <c r="L11" s="16">
        <f>예산!L45-연간_항목별지출!L10</f>
        <v>0</v>
      </c>
      <c r="M11" s="16">
        <f>예산!M45-연간_항목별지출!M10</f>
        <v>0</v>
      </c>
      <c r="N11" s="16">
        <f>예산!N45-연간_항목별지출!N10</f>
        <v>0</v>
      </c>
      <c r="O11" s="27">
        <f t="shared" si="1"/>
        <v>0</v>
      </c>
      <c r="P11" s="24">
        <f t="shared" si="0"/>
        <v>0</v>
      </c>
    </row>
    <row r="12" spans="1:17" ht="18" customHeight="1" x14ac:dyDescent="0.3">
      <c r="B12" s="15" t="str">
        <f>항목!J3</f>
        <v>미용비</v>
      </c>
      <c r="C12" s="16">
        <f>예산!C46-연간_항목별지출!C11</f>
        <v>0</v>
      </c>
      <c r="D12" s="16">
        <f>예산!D46-연간_항목별지출!D11</f>
        <v>0</v>
      </c>
      <c r="E12" s="16">
        <f>예산!E46-연간_항목별지출!E11</f>
        <v>0</v>
      </c>
      <c r="F12" s="16">
        <f>예산!F46-연간_항목별지출!F11</f>
        <v>0</v>
      </c>
      <c r="G12" s="16">
        <f>예산!G46-연간_항목별지출!G11</f>
        <v>0</v>
      </c>
      <c r="H12" s="16">
        <f>예산!H46-연간_항목별지출!H11</f>
        <v>0</v>
      </c>
      <c r="I12" s="16">
        <f>예산!I46-연간_항목별지출!I11</f>
        <v>0</v>
      </c>
      <c r="J12" s="16">
        <f>예산!J46-연간_항목별지출!J11</f>
        <v>0</v>
      </c>
      <c r="K12" s="16">
        <f>예산!K46-연간_항목별지출!K11</f>
        <v>0</v>
      </c>
      <c r="L12" s="16">
        <f>예산!L46-연간_항목별지출!L11</f>
        <v>0</v>
      </c>
      <c r="M12" s="16">
        <f>예산!M46-연간_항목별지출!M11</f>
        <v>0</v>
      </c>
      <c r="N12" s="16">
        <f>예산!N46-연간_항목별지출!N11</f>
        <v>0</v>
      </c>
      <c r="O12" s="27">
        <f t="shared" si="1"/>
        <v>0</v>
      </c>
      <c r="P12" s="24">
        <f t="shared" si="0"/>
        <v>0</v>
      </c>
    </row>
    <row r="13" spans="1:17" ht="18" customHeight="1" x14ac:dyDescent="0.3">
      <c r="B13" s="15" t="str">
        <f>항목!K3</f>
        <v>교육계발비</v>
      </c>
      <c r="C13" s="16">
        <f>예산!C47-연간_항목별지출!C12</f>
        <v>0</v>
      </c>
      <c r="D13" s="16">
        <f>예산!D47-연간_항목별지출!D12</f>
        <v>0</v>
      </c>
      <c r="E13" s="16">
        <f>예산!E47-연간_항목별지출!E12</f>
        <v>0</v>
      </c>
      <c r="F13" s="16">
        <f>예산!F47-연간_항목별지출!F12</f>
        <v>0</v>
      </c>
      <c r="G13" s="16">
        <f>예산!G47-연간_항목별지출!G12</f>
        <v>0</v>
      </c>
      <c r="H13" s="16">
        <f>예산!H47-연간_항목별지출!H12</f>
        <v>0</v>
      </c>
      <c r="I13" s="16">
        <f>예산!I47-연간_항목별지출!I12</f>
        <v>0</v>
      </c>
      <c r="J13" s="16">
        <f>예산!J47-연간_항목별지출!J12</f>
        <v>0</v>
      </c>
      <c r="K13" s="16">
        <f>예산!K47-연간_항목별지출!K12</f>
        <v>0</v>
      </c>
      <c r="L13" s="16">
        <f>예산!L47-연간_항목별지출!L12</f>
        <v>0</v>
      </c>
      <c r="M13" s="16">
        <f>예산!M47-연간_항목별지출!M12</f>
        <v>0</v>
      </c>
      <c r="N13" s="16">
        <f>예산!N47-연간_항목별지출!N12</f>
        <v>0</v>
      </c>
      <c r="O13" s="27">
        <f t="shared" si="1"/>
        <v>0</v>
      </c>
      <c r="P13" s="24">
        <f t="shared" si="0"/>
        <v>0</v>
      </c>
    </row>
    <row r="14" spans="1:17" ht="18" customHeight="1" x14ac:dyDescent="0.3">
      <c r="B14" s="15" t="str">
        <f>항목!L3</f>
        <v>문화생활비</v>
      </c>
      <c r="C14" s="16">
        <f>예산!C48-연간_항목별지출!C13</f>
        <v>0</v>
      </c>
      <c r="D14" s="16">
        <f>예산!D48-연간_항목별지출!D13</f>
        <v>0</v>
      </c>
      <c r="E14" s="16">
        <f>예산!E48-연간_항목별지출!E13</f>
        <v>0</v>
      </c>
      <c r="F14" s="16">
        <f>예산!F48-연간_항목별지출!F13</f>
        <v>0</v>
      </c>
      <c r="G14" s="16">
        <f>예산!G48-연간_항목별지출!G13</f>
        <v>0</v>
      </c>
      <c r="H14" s="16">
        <f>예산!H48-연간_항목별지출!H13</f>
        <v>0</v>
      </c>
      <c r="I14" s="16">
        <f>예산!I48-연간_항목별지출!I13</f>
        <v>0</v>
      </c>
      <c r="J14" s="16">
        <f>예산!J48-연간_항목별지출!J13</f>
        <v>0</v>
      </c>
      <c r="K14" s="16">
        <f>예산!K48-연간_항목별지출!K13</f>
        <v>0</v>
      </c>
      <c r="L14" s="16">
        <f>예산!L48-연간_항목별지출!L13</f>
        <v>0</v>
      </c>
      <c r="M14" s="16">
        <f>예산!M48-연간_항목별지출!M13</f>
        <v>0</v>
      </c>
      <c r="N14" s="16">
        <f>예산!N48-연간_항목별지출!N13</f>
        <v>0</v>
      </c>
      <c r="O14" s="27">
        <f t="shared" si="1"/>
        <v>0</v>
      </c>
      <c r="P14" s="24">
        <f t="shared" ref="P14:P19" si="2">O14/12</f>
        <v>0</v>
      </c>
    </row>
    <row r="15" spans="1:17" ht="18" customHeight="1" x14ac:dyDescent="0.3">
      <c r="B15" s="15" t="str">
        <f>항목!M3</f>
        <v>의료비</v>
      </c>
      <c r="C15" s="16">
        <f>예산!C49-연간_항목별지출!C14</f>
        <v>0</v>
      </c>
      <c r="D15" s="16">
        <f>예산!D49-연간_항목별지출!D14</f>
        <v>0</v>
      </c>
      <c r="E15" s="16">
        <f>예산!E49-연간_항목별지출!E14</f>
        <v>0</v>
      </c>
      <c r="F15" s="16">
        <f>예산!F49-연간_항목별지출!F14</f>
        <v>0</v>
      </c>
      <c r="G15" s="16">
        <f>예산!G49-연간_항목별지출!G14</f>
        <v>0</v>
      </c>
      <c r="H15" s="16">
        <f>예산!H49-연간_항목별지출!H14</f>
        <v>0</v>
      </c>
      <c r="I15" s="16">
        <f>예산!I49-연간_항목별지출!I14</f>
        <v>0</v>
      </c>
      <c r="J15" s="16">
        <f>예산!J49-연간_항목별지출!J14</f>
        <v>0</v>
      </c>
      <c r="K15" s="16">
        <f>예산!K49-연간_항목별지출!K14</f>
        <v>0</v>
      </c>
      <c r="L15" s="16">
        <f>예산!L49-연간_항목별지출!L14</f>
        <v>0</v>
      </c>
      <c r="M15" s="16">
        <f>예산!M49-연간_항목별지출!M14</f>
        <v>0</v>
      </c>
      <c r="N15" s="16">
        <f>예산!N49-연간_항목별지출!N14</f>
        <v>0</v>
      </c>
      <c r="O15" s="27">
        <f t="shared" si="1"/>
        <v>0</v>
      </c>
      <c r="P15" s="24">
        <f t="shared" si="2"/>
        <v>0</v>
      </c>
    </row>
    <row r="16" spans="1:17" ht="18" customHeight="1" x14ac:dyDescent="0.3">
      <c r="B16" s="15" t="str">
        <f>항목!N3</f>
        <v>유류교통비</v>
      </c>
      <c r="C16" s="16">
        <f>예산!C50-연간_항목별지출!C15</f>
        <v>0</v>
      </c>
      <c r="D16" s="16">
        <f>예산!D50-연간_항목별지출!D15</f>
        <v>0</v>
      </c>
      <c r="E16" s="16">
        <f>예산!E50-연간_항목별지출!E15</f>
        <v>0</v>
      </c>
      <c r="F16" s="16">
        <f>예산!F50-연간_항목별지출!F15</f>
        <v>0</v>
      </c>
      <c r="G16" s="16">
        <f>예산!G50-연간_항목별지출!G15</f>
        <v>0</v>
      </c>
      <c r="H16" s="16">
        <f>예산!H50-연간_항목별지출!H15</f>
        <v>0</v>
      </c>
      <c r="I16" s="16">
        <f>예산!I50-연간_항목별지출!I15</f>
        <v>0</v>
      </c>
      <c r="J16" s="16">
        <f>예산!J50-연간_항목별지출!J15</f>
        <v>0</v>
      </c>
      <c r="K16" s="16">
        <f>예산!K50-연간_항목별지출!K15</f>
        <v>0</v>
      </c>
      <c r="L16" s="16">
        <f>예산!L50-연간_항목별지출!L15</f>
        <v>0</v>
      </c>
      <c r="M16" s="16">
        <f>예산!M50-연간_항목별지출!M15</f>
        <v>0</v>
      </c>
      <c r="N16" s="16">
        <f>예산!N50-연간_항목별지출!N15</f>
        <v>0</v>
      </c>
      <c r="O16" s="27">
        <f t="shared" si="1"/>
        <v>0</v>
      </c>
      <c r="P16" s="24">
        <f t="shared" si="2"/>
        <v>0</v>
      </c>
    </row>
    <row r="17" spans="2:16" ht="18" customHeight="1" x14ac:dyDescent="0.3">
      <c r="B17" s="15" t="str">
        <f>항목!O3</f>
        <v>통신비</v>
      </c>
      <c r="C17" s="16">
        <f>예산!C51-연간_항목별지출!C16</f>
        <v>0</v>
      </c>
      <c r="D17" s="16">
        <f>예산!D51-연간_항목별지출!D16</f>
        <v>0</v>
      </c>
      <c r="E17" s="16">
        <f>예산!E51-연간_항목별지출!E16</f>
        <v>0</v>
      </c>
      <c r="F17" s="16">
        <f>예산!F51-연간_항목별지출!F16</f>
        <v>0</v>
      </c>
      <c r="G17" s="16">
        <f>예산!G51-연간_항목별지출!G16</f>
        <v>0</v>
      </c>
      <c r="H17" s="16">
        <f>예산!H51-연간_항목별지출!H16</f>
        <v>0</v>
      </c>
      <c r="I17" s="16">
        <f>예산!I51-연간_항목별지출!I16</f>
        <v>0</v>
      </c>
      <c r="J17" s="16">
        <f>예산!J51-연간_항목별지출!J16</f>
        <v>0</v>
      </c>
      <c r="K17" s="16">
        <f>예산!K51-연간_항목별지출!K16</f>
        <v>0</v>
      </c>
      <c r="L17" s="16">
        <f>예산!L51-연간_항목별지출!L16</f>
        <v>0</v>
      </c>
      <c r="M17" s="16">
        <f>예산!M51-연간_항목별지출!M16</f>
        <v>0</v>
      </c>
      <c r="N17" s="16">
        <f>예산!N51-연간_항목별지출!N16</f>
        <v>0</v>
      </c>
      <c r="O17" s="27">
        <f t="shared" si="1"/>
        <v>0</v>
      </c>
      <c r="P17" s="24">
        <f t="shared" si="2"/>
        <v>0</v>
      </c>
    </row>
    <row r="18" spans="2:16" ht="18" customHeight="1" x14ac:dyDescent="0.3">
      <c r="B18" s="15" t="str">
        <f>항목!P3</f>
        <v>경조사회비</v>
      </c>
      <c r="C18" s="16">
        <f>예산!C52-연간_항목별지출!C17</f>
        <v>0</v>
      </c>
      <c r="D18" s="16">
        <f>예산!D52-연간_항목별지출!D17</f>
        <v>0</v>
      </c>
      <c r="E18" s="16">
        <f>예산!E52-연간_항목별지출!E17</f>
        <v>0</v>
      </c>
      <c r="F18" s="16">
        <f>예산!F52-연간_항목별지출!F17</f>
        <v>0</v>
      </c>
      <c r="G18" s="16">
        <f>예산!G52-연간_항목별지출!G17</f>
        <v>0</v>
      </c>
      <c r="H18" s="16">
        <f>예산!H52-연간_항목별지출!H17</f>
        <v>0</v>
      </c>
      <c r="I18" s="16">
        <f>예산!I52-연간_항목별지출!I17</f>
        <v>0</v>
      </c>
      <c r="J18" s="16">
        <f>예산!J52-연간_항목별지출!J17</f>
        <v>0</v>
      </c>
      <c r="K18" s="16">
        <f>예산!K52-연간_항목별지출!K17</f>
        <v>0</v>
      </c>
      <c r="L18" s="16">
        <f>예산!L52-연간_항목별지출!L17</f>
        <v>0</v>
      </c>
      <c r="M18" s="16">
        <f>예산!M52-연간_항목별지출!M17</f>
        <v>0</v>
      </c>
      <c r="N18" s="16">
        <f>예산!N52-연간_항목별지출!N17</f>
        <v>0</v>
      </c>
      <c r="O18" s="27">
        <f t="shared" si="1"/>
        <v>0</v>
      </c>
      <c r="P18" s="24">
        <f t="shared" si="2"/>
        <v>0</v>
      </c>
    </row>
    <row r="19" spans="2:16" ht="18" customHeight="1" thickBot="1" x14ac:dyDescent="0.35">
      <c r="B19" s="19" t="str">
        <f>항목!Q3</f>
        <v>용돈지출</v>
      </c>
      <c r="C19" s="16">
        <f>예산!C53-연간_항목별지출!C18</f>
        <v>0</v>
      </c>
      <c r="D19" s="16">
        <f>예산!D53-연간_항목별지출!D18</f>
        <v>0</v>
      </c>
      <c r="E19" s="16">
        <f>예산!E53-연간_항목별지출!E18</f>
        <v>0</v>
      </c>
      <c r="F19" s="16">
        <f>예산!F53-연간_항목별지출!F18</f>
        <v>0</v>
      </c>
      <c r="G19" s="16">
        <f>예산!G53-연간_항목별지출!G18</f>
        <v>0</v>
      </c>
      <c r="H19" s="16">
        <f>예산!H53-연간_항목별지출!H18</f>
        <v>0</v>
      </c>
      <c r="I19" s="16">
        <f>예산!I53-연간_항목별지출!I18</f>
        <v>0</v>
      </c>
      <c r="J19" s="16">
        <f>예산!J53-연간_항목별지출!J18</f>
        <v>0</v>
      </c>
      <c r="K19" s="16">
        <f>예산!K53-연간_항목별지출!K18</f>
        <v>0</v>
      </c>
      <c r="L19" s="16">
        <f>예산!L53-연간_항목별지출!L18</f>
        <v>0</v>
      </c>
      <c r="M19" s="16">
        <f>예산!M53-연간_항목별지출!M18</f>
        <v>0</v>
      </c>
      <c r="N19" s="16">
        <f>예산!N53-연간_항목별지출!N18</f>
        <v>0</v>
      </c>
      <c r="O19" s="27">
        <f t="shared" si="1"/>
        <v>0</v>
      </c>
      <c r="P19" s="24">
        <f t="shared" si="2"/>
        <v>0</v>
      </c>
    </row>
    <row r="20" spans="2:16" ht="24.95" customHeight="1" thickBot="1" x14ac:dyDescent="0.35">
      <c r="B20" s="20" t="s">
        <v>89</v>
      </c>
      <c r="C20" s="21">
        <f>C4+C6</f>
        <v>0</v>
      </c>
      <c r="D20" s="21">
        <f t="shared" ref="D20:N20" si="3">D4+D6</f>
        <v>0</v>
      </c>
      <c r="E20" s="21">
        <f t="shared" si="3"/>
        <v>0</v>
      </c>
      <c r="F20" s="21">
        <f t="shared" si="3"/>
        <v>0</v>
      </c>
      <c r="G20" s="21">
        <f t="shared" si="3"/>
        <v>0</v>
      </c>
      <c r="H20" s="21">
        <f t="shared" si="3"/>
        <v>0</v>
      </c>
      <c r="I20" s="21">
        <f t="shared" si="3"/>
        <v>0</v>
      </c>
      <c r="J20" s="21">
        <f t="shared" si="3"/>
        <v>0</v>
      </c>
      <c r="K20" s="21">
        <f t="shared" si="3"/>
        <v>0</v>
      </c>
      <c r="L20" s="21">
        <f t="shared" si="3"/>
        <v>0</v>
      </c>
      <c r="M20" s="21">
        <f t="shared" si="3"/>
        <v>0</v>
      </c>
      <c r="N20" s="21">
        <f t="shared" si="3"/>
        <v>0</v>
      </c>
      <c r="O20" s="28">
        <f>SUM(C20:N20)</f>
        <v>0</v>
      </c>
      <c r="P20" s="25">
        <f>O20/12</f>
        <v>0</v>
      </c>
    </row>
  </sheetData>
  <mergeCells count="1">
    <mergeCell ref="B1:C1"/>
  </mergeCells>
  <phoneticPr fontId="3" type="noConversion"/>
  <conditionalFormatting sqref="C4:P20">
    <cfRule type="expression" dxfId="0" priority="1">
      <formula>C4&lt;0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7"/>
    <pageSetUpPr autoPageBreaks="0" fitToPage="1"/>
  </sheetPr>
  <dimension ref="A1:R40"/>
  <sheetViews>
    <sheetView showGridLines="0" zoomScaleNormal="100" workbookViewId="0">
      <selection activeCell="C4" sqref="C4"/>
    </sheetView>
  </sheetViews>
  <sheetFormatPr defaultColWidth="8.875" defaultRowHeight="16.5" x14ac:dyDescent="0.3"/>
  <cols>
    <col min="1" max="1" width="4.625" customWidth="1"/>
    <col min="2" max="2" width="12.625" customWidth="1"/>
    <col min="3" max="16" width="10.625" customWidth="1"/>
    <col min="17" max="17" width="4.625" customWidth="1"/>
    <col min="18" max="18" width="10.875" bestFit="1" customWidth="1"/>
  </cols>
  <sheetData>
    <row r="1" spans="1:18" ht="40.5" customHeight="1" x14ac:dyDescent="0.3">
      <c r="A1" s="14"/>
      <c r="B1" s="590" t="s">
        <v>191</v>
      </c>
      <c r="C1" s="590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8" ht="17.25" thickBot="1" x14ac:dyDescent="0.35"/>
    <row r="3" spans="1:18" ht="30" customHeight="1" thickBot="1" x14ac:dyDescent="0.35">
      <c r="B3" s="264"/>
      <c r="C3" s="34" t="s">
        <v>45</v>
      </c>
      <c r="D3" s="35" t="s">
        <v>49</v>
      </c>
      <c r="E3" s="35" t="s">
        <v>51</v>
      </c>
      <c r="F3" s="35" t="s">
        <v>53</v>
      </c>
      <c r="G3" s="35" t="s">
        <v>55</v>
      </c>
      <c r="H3" s="35" t="s">
        <v>57</v>
      </c>
      <c r="I3" s="35" t="s">
        <v>58</v>
      </c>
      <c r="J3" s="35" t="s">
        <v>59</v>
      </c>
      <c r="K3" s="35" t="s">
        <v>60</v>
      </c>
      <c r="L3" s="35" t="s">
        <v>61</v>
      </c>
      <c r="M3" s="35" t="s">
        <v>62</v>
      </c>
      <c r="N3" s="36" t="s">
        <v>63</v>
      </c>
      <c r="O3" s="345" t="s">
        <v>5</v>
      </c>
      <c r="P3" s="303" t="s">
        <v>64</v>
      </c>
    </row>
    <row r="4" spans="1:18" ht="18" customHeight="1" x14ac:dyDescent="0.3">
      <c r="B4" s="265" t="str">
        <f>IF(항목!C5="","",항목!C5)</f>
        <v>급여</v>
      </c>
      <c r="C4" s="346">
        <f>SUMIF('1월'!$D$11:$D$94,연간_항목별수입!$B4,'1월'!$F$11:$F$94)</f>
        <v>0</v>
      </c>
      <c r="D4" s="346">
        <f>SUMIF('2월'!$D$11:$D$94,연간_항목별수입!$B4,'2월'!$F$11:$F$94)</f>
        <v>0</v>
      </c>
      <c r="E4" s="346">
        <f>SUMIF('3월'!$D$11:$D$94,연간_항목별수입!$B4,'3월'!$F$11:$F$94)</f>
        <v>0</v>
      </c>
      <c r="F4" s="346">
        <f>SUMIF('4월'!$D$11:$D$94,연간_항목별수입!$B4,'4월'!$F$11:$F$94)</f>
        <v>0</v>
      </c>
      <c r="G4" s="346">
        <f>SUMIF('5월'!$D$11:$D$94,연간_항목별수입!$B4,'5월'!$F$11:$F$94)</f>
        <v>0</v>
      </c>
      <c r="H4" s="346">
        <f>SUMIF('6월'!$D$11:$D$94,연간_항목별수입!$B4,'6월'!$F$11:$F$94)</f>
        <v>0</v>
      </c>
      <c r="I4" s="346">
        <f>SUMIF('7월'!$D$11:$D$94,연간_항목별수입!$B4,'7월'!$F$11:$F$94)</f>
        <v>0</v>
      </c>
      <c r="J4" s="346">
        <f>SUMIF('8월'!$D$11:$D$94,연간_항목별수입!$B4,'8월'!$F$11:$F$94)</f>
        <v>0</v>
      </c>
      <c r="K4" s="346">
        <f>SUMIF('9월'!$D$11:$D$94,연간_항목별수입!$B4,'9월'!$F$11:$F$94)</f>
        <v>0</v>
      </c>
      <c r="L4" s="346">
        <f>SUMIF('10월'!$D$11:$D$94,연간_항목별수입!$B4,'10월'!$F$11:$F$94)</f>
        <v>0</v>
      </c>
      <c r="M4" s="346">
        <f>SUMIF('11월'!$D$11:$D$94,연간_항목별수입!$B4,'11월'!$F$11:$F$94)</f>
        <v>0</v>
      </c>
      <c r="N4" s="346">
        <f>SUMIF('12월'!$D$11:$D$94,연간_항목별수입!$B4,'12월'!$F$11:$F$94)</f>
        <v>0</v>
      </c>
      <c r="O4" s="347">
        <f>SUM(C4:N4)</f>
        <v>0</v>
      </c>
      <c r="P4" s="348">
        <f>O4/12</f>
        <v>0</v>
      </c>
      <c r="R4" s="30"/>
    </row>
    <row r="5" spans="1:18" ht="18" customHeight="1" x14ac:dyDescent="0.3">
      <c r="B5" s="265" t="str">
        <f>IF(항목!C6="","",항목!C6)</f>
        <v>수당</v>
      </c>
      <c r="C5" s="346">
        <f>SUMIF('1월'!$D$11:$D$94,연간_항목별수입!$B5,'1월'!$F$11:$F$94)</f>
        <v>0</v>
      </c>
      <c r="D5" s="346">
        <f>SUMIF('2월'!$D$11:$D$94,연간_항목별수입!$B5,'2월'!$F$11:$F$94)</f>
        <v>0</v>
      </c>
      <c r="E5" s="346">
        <f>SUMIF('3월'!$D$11:$D$94,연간_항목별수입!$B5,'3월'!$F$11:$F$94)</f>
        <v>0</v>
      </c>
      <c r="F5" s="346">
        <f>SUMIF('4월'!$D$11:$D$94,연간_항목별수입!$B5,'4월'!$F$11:$F$94)</f>
        <v>0</v>
      </c>
      <c r="G5" s="346">
        <f>SUMIF('5월'!$D$11:$D$94,연간_항목별수입!$B5,'5월'!$F$11:$F$94)</f>
        <v>0</v>
      </c>
      <c r="H5" s="346">
        <f>SUMIF('6월'!$D$11:$D$94,연간_항목별수입!$B5,'6월'!$F$11:$F$94)</f>
        <v>0</v>
      </c>
      <c r="I5" s="346">
        <f>SUMIF('7월'!$D$11:$D$94,연간_항목별수입!$B5,'7월'!$F$11:$F$94)</f>
        <v>0</v>
      </c>
      <c r="J5" s="346">
        <f>SUMIF('8월'!$D$11:$D$94,연간_항목별수입!$B5,'8월'!$F$11:$F$94)</f>
        <v>0</v>
      </c>
      <c r="K5" s="346">
        <f>SUMIF('9월'!$D$11:$D$94,연간_항목별수입!$B5,'9월'!$F$11:$F$94)</f>
        <v>0</v>
      </c>
      <c r="L5" s="346">
        <f>SUMIF('10월'!$D$11:$D$94,연간_항목별수입!$B5,'10월'!$F$11:$F$94)</f>
        <v>0</v>
      </c>
      <c r="M5" s="346">
        <f>SUMIF('11월'!$D$11:$D$94,연간_항목별수입!$B5,'11월'!$F$11:$F$94)</f>
        <v>0</v>
      </c>
      <c r="N5" s="346">
        <f>SUMIF('12월'!$D$11:$D$94,연간_항목별수입!$B5,'12월'!$F$11:$F$94)</f>
        <v>0</v>
      </c>
      <c r="O5" s="347">
        <f t="shared" ref="O5:O17" si="0">SUM(C5:N5)</f>
        <v>0</v>
      </c>
      <c r="P5" s="348">
        <f t="shared" ref="P5:P17" si="1">O5/12</f>
        <v>0</v>
      </c>
    </row>
    <row r="6" spans="1:18" ht="18" customHeight="1" x14ac:dyDescent="0.3">
      <c r="B6" s="265" t="str">
        <f>IF(항목!C7="","",항목!C7)</f>
        <v>상여</v>
      </c>
      <c r="C6" s="346">
        <f>SUMIF('1월'!$D$11:$D$94,연간_항목별수입!$B6,'1월'!$F$11:$F$94)</f>
        <v>0</v>
      </c>
      <c r="D6" s="346">
        <f>SUMIF('2월'!$D$11:$D$94,연간_항목별수입!$B6,'2월'!$F$11:$F$94)</f>
        <v>0</v>
      </c>
      <c r="E6" s="346">
        <f>SUMIF('3월'!$D$11:$D$94,연간_항목별수입!$B6,'3월'!$F$11:$F$94)</f>
        <v>0</v>
      </c>
      <c r="F6" s="346">
        <f>SUMIF('4월'!$D$11:$D$94,연간_항목별수입!$B6,'4월'!$F$11:$F$94)</f>
        <v>0</v>
      </c>
      <c r="G6" s="346">
        <f>SUMIF('5월'!$D$11:$D$94,연간_항목별수입!$B6,'5월'!$F$11:$F$94)</f>
        <v>0</v>
      </c>
      <c r="H6" s="346">
        <f>SUMIF('6월'!$D$11:$D$94,연간_항목별수입!$B6,'6월'!$F$11:$F$94)</f>
        <v>0</v>
      </c>
      <c r="I6" s="346">
        <f>SUMIF('7월'!$D$11:$D$94,연간_항목별수입!$B6,'7월'!$F$11:$F$94)</f>
        <v>0</v>
      </c>
      <c r="J6" s="346">
        <f>SUMIF('8월'!$D$11:$D$94,연간_항목별수입!$B6,'8월'!$F$11:$F$94)</f>
        <v>0</v>
      </c>
      <c r="K6" s="346">
        <f>SUMIF('9월'!$D$11:$D$94,연간_항목별수입!$B6,'9월'!$F$11:$F$94)</f>
        <v>0</v>
      </c>
      <c r="L6" s="346">
        <f>SUMIF('10월'!$D$11:$D$94,연간_항목별수입!$B6,'10월'!$F$11:$F$94)</f>
        <v>0</v>
      </c>
      <c r="M6" s="346">
        <f>SUMIF('11월'!$D$11:$D$94,연간_항목별수입!$B6,'11월'!$F$11:$F$94)</f>
        <v>0</v>
      </c>
      <c r="N6" s="346">
        <f>SUMIF('12월'!$D$11:$D$94,연간_항목별수입!$B6,'12월'!$F$11:$F$94)</f>
        <v>0</v>
      </c>
      <c r="O6" s="347">
        <f t="shared" si="0"/>
        <v>0</v>
      </c>
      <c r="P6" s="348">
        <f t="shared" si="1"/>
        <v>0</v>
      </c>
    </row>
    <row r="7" spans="1:18" ht="18" customHeight="1" x14ac:dyDescent="0.3">
      <c r="B7" s="265" t="str">
        <f>IF(항목!C8="","",항목!C8)</f>
        <v>투자수익</v>
      </c>
      <c r="C7" s="346">
        <f>SUMIF('1월'!$D$11:$D$94,연간_항목별수입!$B7,'1월'!$F$11:$F$94)</f>
        <v>0</v>
      </c>
      <c r="D7" s="346">
        <f>SUMIF('2월'!$D$11:$D$94,연간_항목별수입!$B7,'2월'!$F$11:$F$94)</f>
        <v>0</v>
      </c>
      <c r="E7" s="346">
        <f>SUMIF('3월'!$D$11:$D$94,연간_항목별수입!$B7,'3월'!$F$11:$F$94)</f>
        <v>0</v>
      </c>
      <c r="F7" s="346">
        <f>SUMIF('4월'!$D$11:$D$94,연간_항목별수입!$B7,'4월'!$F$11:$F$94)</f>
        <v>0</v>
      </c>
      <c r="G7" s="346">
        <f>SUMIF('5월'!$D$11:$D$94,연간_항목별수입!$B7,'5월'!$F$11:$F$94)</f>
        <v>0</v>
      </c>
      <c r="H7" s="346">
        <f>SUMIF('6월'!$D$11:$D$94,연간_항목별수입!$B7,'6월'!$F$11:$F$94)</f>
        <v>0</v>
      </c>
      <c r="I7" s="346">
        <f>SUMIF('7월'!$D$11:$D$94,연간_항목별수입!$B7,'7월'!$F$11:$F$94)</f>
        <v>0</v>
      </c>
      <c r="J7" s="346">
        <f>SUMIF('8월'!$D$11:$D$94,연간_항목별수입!$B7,'8월'!$F$11:$F$94)</f>
        <v>0</v>
      </c>
      <c r="K7" s="346">
        <f>SUMIF('9월'!$D$11:$D$94,연간_항목별수입!$B7,'9월'!$F$11:$F$94)</f>
        <v>0</v>
      </c>
      <c r="L7" s="346">
        <f>SUMIF('10월'!$D$11:$D$94,연간_항목별수입!$B7,'10월'!$F$11:$F$94)</f>
        <v>0</v>
      </c>
      <c r="M7" s="346">
        <f>SUMIF('11월'!$D$11:$D$94,연간_항목별수입!$B7,'11월'!$F$11:$F$94)</f>
        <v>0</v>
      </c>
      <c r="N7" s="346">
        <f>SUMIF('12월'!$D$11:$D$94,연간_항목별수입!$B7,'12월'!$F$11:$F$94)</f>
        <v>0</v>
      </c>
      <c r="O7" s="347">
        <f t="shared" si="0"/>
        <v>0</v>
      </c>
      <c r="P7" s="348">
        <f t="shared" si="1"/>
        <v>0</v>
      </c>
    </row>
    <row r="8" spans="1:18" ht="18" customHeight="1" x14ac:dyDescent="0.3">
      <c r="B8" s="265" t="str">
        <f>IF(항목!C9="","",항목!C9)</f>
        <v>이자</v>
      </c>
      <c r="C8" s="346">
        <f>SUMIF('1월'!$D$11:$D$94,연간_항목별수입!$B8,'1월'!$F$11:$F$94)</f>
        <v>0</v>
      </c>
      <c r="D8" s="346">
        <f>SUMIF('2월'!$D$11:$D$94,연간_항목별수입!$B8,'2월'!$F$11:$F$94)</f>
        <v>0</v>
      </c>
      <c r="E8" s="346">
        <f>SUMIF('3월'!$D$11:$D$94,연간_항목별수입!$B8,'3월'!$F$11:$F$94)</f>
        <v>0</v>
      </c>
      <c r="F8" s="346">
        <f>SUMIF('4월'!$D$11:$D$94,연간_항목별수입!$B8,'4월'!$F$11:$F$94)</f>
        <v>0</v>
      </c>
      <c r="G8" s="346">
        <f>SUMIF('5월'!$D$11:$D$94,연간_항목별수입!$B8,'5월'!$F$11:$F$94)</f>
        <v>0</v>
      </c>
      <c r="H8" s="346">
        <f>SUMIF('6월'!$D$11:$D$94,연간_항목별수입!$B8,'6월'!$F$11:$F$94)</f>
        <v>0</v>
      </c>
      <c r="I8" s="346">
        <f>SUMIF('7월'!$D$11:$D$94,연간_항목별수입!$B8,'7월'!$F$11:$F$94)</f>
        <v>0</v>
      </c>
      <c r="J8" s="346">
        <f>SUMIF('8월'!$D$11:$D$94,연간_항목별수입!$B8,'8월'!$F$11:$F$94)</f>
        <v>0</v>
      </c>
      <c r="K8" s="346">
        <f>SUMIF('9월'!$D$11:$D$94,연간_항목별수입!$B8,'9월'!$F$11:$F$94)</f>
        <v>0</v>
      </c>
      <c r="L8" s="346">
        <f>SUMIF('10월'!$D$11:$D$94,연간_항목별수입!$B8,'10월'!$F$11:$F$94)</f>
        <v>0</v>
      </c>
      <c r="M8" s="346">
        <f>SUMIF('11월'!$D$11:$D$94,연간_항목별수입!$B8,'11월'!$F$11:$F$94)</f>
        <v>0</v>
      </c>
      <c r="N8" s="346">
        <f>SUMIF('12월'!$D$11:$D$94,연간_항목별수입!$B8,'12월'!$F$11:$F$94)</f>
        <v>0</v>
      </c>
      <c r="O8" s="347">
        <f t="shared" si="0"/>
        <v>0</v>
      </c>
      <c r="P8" s="348">
        <f t="shared" si="1"/>
        <v>0</v>
      </c>
    </row>
    <row r="9" spans="1:18" ht="18" customHeight="1" x14ac:dyDescent="0.3">
      <c r="B9" s="265" t="str">
        <f>IF(항목!C10="","",항목!C10)</f>
        <v>부수익</v>
      </c>
      <c r="C9" s="346">
        <f>SUMIF('1월'!$D$11:$D$94,연간_항목별수입!$B9,'1월'!$F$11:$F$94)</f>
        <v>0</v>
      </c>
      <c r="D9" s="346">
        <f>SUMIF('2월'!$D$11:$D$94,연간_항목별수입!$B9,'2월'!$F$11:$F$94)</f>
        <v>0</v>
      </c>
      <c r="E9" s="346">
        <f>SUMIF('3월'!$D$11:$D$94,연간_항목별수입!$B9,'3월'!$F$11:$F$94)</f>
        <v>0</v>
      </c>
      <c r="F9" s="346">
        <f>SUMIF('4월'!$D$11:$D$94,연간_항목별수입!$B9,'4월'!$F$11:$F$94)</f>
        <v>0</v>
      </c>
      <c r="G9" s="346">
        <f>SUMIF('5월'!$D$11:$D$94,연간_항목별수입!$B9,'5월'!$F$11:$F$94)</f>
        <v>0</v>
      </c>
      <c r="H9" s="346">
        <f>SUMIF('6월'!$D$11:$D$94,연간_항목별수입!$B9,'6월'!$F$11:$F$94)</f>
        <v>0</v>
      </c>
      <c r="I9" s="346">
        <f>SUMIF('7월'!$D$11:$D$94,연간_항목별수입!$B9,'7월'!$F$11:$F$94)</f>
        <v>0</v>
      </c>
      <c r="J9" s="346">
        <f>SUMIF('8월'!$D$11:$D$94,연간_항목별수입!$B9,'8월'!$F$11:$F$94)</f>
        <v>0</v>
      </c>
      <c r="K9" s="346">
        <f>SUMIF('9월'!$D$11:$D$94,연간_항목별수입!$B9,'9월'!$F$11:$F$94)</f>
        <v>0</v>
      </c>
      <c r="L9" s="346">
        <f>SUMIF('10월'!$D$11:$D$94,연간_항목별수입!$B9,'10월'!$F$11:$F$94)</f>
        <v>0</v>
      </c>
      <c r="M9" s="346">
        <f>SUMIF('11월'!$D$11:$D$94,연간_항목별수입!$B9,'11월'!$F$11:$F$94)</f>
        <v>0</v>
      </c>
      <c r="N9" s="346">
        <f>SUMIF('12월'!$D$11:$D$94,연간_항목별수입!$B9,'12월'!$F$11:$F$94)</f>
        <v>0</v>
      </c>
      <c r="O9" s="347">
        <f t="shared" si="0"/>
        <v>0</v>
      </c>
      <c r="P9" s="348">
        <f t="shared" si="1"/>
        <v>0</v>
      </c>
    </row>
    <row r="10" spans="1:18" ht="18" customHeight="1" x14ac:dyDescent="0.3">
      <c r="B10" s="265" t="str">
        <f>IF(항목!C11="","",항목!C11)</f>
        <v>처분소득</v>
      </c>
      <c r="C10" s="346">
        <f>SUMIF('1월'!$D$11:$D$94,연간_항목별수입!$B10,'1월'!$F$11:$F$94)</f>
        <v>0</v>
      </c>
      <c r="D10" s="346">
        <f>SUMIF('2월'!$D$11:$D$94,연간_항목별수입!$B10,'2월'!$F$11:$F$94)</f>
        <v>0</v>
      </c>
      <c r="E10" s="346">
        <f>SUMIF('3월'!$D$11:$D$94,연간_항목별수입!$B10,'3월'!$F$11:$F$94)</f>
        <v>0</v>
      </c>
      <c r="F10" s="346">
        <f>SUMIF('4월'!$D$11:$D$94,연간_항목별수입!$B10,'4월'!$F$11:$F$94)</f>
        <v>0</v>
      </c>
      <c r="G10" s="346">
        <f>SUMIF('5월'!$D$11:$D$94,연간_항목별수입!$B10,'5월'!$F$11:$F$94)</f>
        <v>0</v>
      </c>
      <c r="H10" s="346">
        <f>SUMIF('6월'!$D$11:$D$94,연간_항목별수입!$B10,'6월'!$F$11:$F$94)</f>
        <v>0</v>
      </c>
      <c r="I10" s="346">
        <f>SUMIF('7월'!$D$11:$D$94,연간_항목별수입!$B10,'7월'!$F$11:$F$94)</f>
        <v>0</v>
      </c>
      <c r="J10" s="346">
        <f>SUMIF('8월'!$D$11:$D$94,연간_항목별수입!$B10,'8월'!$F$11:$F$94)</f>
        <v>0</v>
      </c>
      <c r="K10" s="346">
        <f>SUMIF('9월'!$D$11:$D$94,연간_항목별수입!$B10,'9월'!$F$11:$F$94)</f>
        <v>0</v>
      </c>
      <c r="L10" s="346">
        <f>SUMIF('10월'!$D$11:$D$94,연간_항목별수입!$B10,'10월'!$F$11:$F$94)</f>
        <v>0</v>
      </c>
      <c r="M10" s="346">
        <f>SUMIF('11월'!$D$11:$D$94,연간_항목별수입!$B10,'11월'!$F$11:$F$94)</f>
        <v>0</v>
      </c>
      <c r="N10" s="346">
        <f>SUMIF('12월'!$D$11:$D$94,연간_항목별수입!$B10,'12월'!$F$11:$F$94)</f>
        <v>0</v>
      </c>
      <c r="O10" s="347">
        <f t="shared" si="0"/>
        <v>0</v>
      </c>
      <c r="P10" s="348">
        <f t="shared" si="1"/>
        <v>0</v>
      </c>
    </row>
    <row r="11" spans="1:18" ht="18" customHeight="1" x14ac:dyDescent="0.3">
      <c r="B11" s="265" t="str">
        <f>IF(항목!C12="","",항목!C12)</f>
        <v>기타 수입</v>
      </c>
      <c r="C11" s="346">
        <f>SUMIF('1월'!$D$11:$D$94,연간_항목별수입!$B11,'1월'!$F$11:$F$94)</f>
        <v>0</v>
      </c>
      <c r="D11" s="346">
        <f>SUMIF('2월'!$D$11:$D$94,연간_항목별수입!$B11,'2월'!$F$11:$F$94)</f>
        <v>0</v>
      </c>
      <c r="E11" s="346">
        <f>SUMIF('3월'!$D$11:$D$94,연간_항목별수입!$B11,'3월'!$F$11:$F$94)</f>
        <v>0</v>
      </c>
      <c r="F11" s="346">
        <f>SUMIF('4월'!$D$11:$D$94,연간_항목별수입!$B11,'4월'!$F$11:$F$94)</f>
        <v>0</v>
      </c>
      <c r="G11" s="346">
        <f>SUMIF('5월'!$D$11:$D$94,연간_항목별수입!$B11,'5월'!$F$11:$F$94)</f>
        <v>0</v>
      </c>
      <c r="H11" s="346">
        <f>SUMIF('6월'!$D$11:$D$94,연간_항목별수입!$B11,'6월'!$F$11:$F$94)</f>
        <v>0</v>
      </c>
      <c r="I11" s="346">
        <f>SUMIF('7월'!$D$11:$D$94,연간_항목별수입!$B11,'7월'!$F$11:$F$94)</f>
        <v>0</v>
      </c>
      <c r="J11" s="346">
        <f>SUMIF('8월'!$D$11:$D$94,연간_항목별수입!$B11,'8월'!$F$11:$F$94)</f>
        <v>0</v>
      </c>
      <c r="K11" s="346">
        <f>SUMIF('9월'!$D$11:$D$94,연간_항목별수입!$B11,'9월'!$F$11:$F$94)</f>
        <v>0</v>
      </c>
      <c r="L11" s="346">
        <f>SUMIF('10월'!$D$11:$D$94,연간_항목별수입!$B11,'10월'!$F$11:$F$94)</f>
        <v>0</v>
      </c>
      <c r="M11" s="346">
        <f>SUMIF('11월'!$D$11:$D$94,연간_항목별수입!$B11,'11월'!$F$11:$F$94)</f>
        <v>0</v>
      </c>
      <c r="N11" s="346">
        <f>SUMIF('12월'!$D$11:$D$94,연간_항목별수입!$B11,'12월'!$F$11:$F$94)</f>
        <v>0</v>
      </c>
      <c r="O11" s="347">
        <f t="shared" si="0"/>
        <v>0</v>
      </c>
      <c r="P11" s="348">
        <f t="shared" si="1"/>
        <v>0</v>
      </c>
    </row>
    <row r="12" spans="1:18" ht="18" customHeight="1" x14ac:dyDescent="0.3">
      <c r="B12" s="265" t="str">
        <f>IF(항목!C13="","",항목!C13)</f>
        <v/>
      </c>
      <c r="C12" s="346">
        <f>SUMIF('1월'!$D$11:$D$94,연간_항목별수입!$B12,'1월'!$F$11:$F$94)</f>
        <v>0</v>
      </c>
      <c r="D12" s="346">
        <f>SUMIF('2월'!$D$11:$D$94,연간_항목별수입!$B12,'2월'!$F$11:$F$94)</f>
        <v>0</v>
      </c>
      <c r="E12" s="346">
        <f>SUMIF('3월'!$D$11:$D$94,연간_항목별수입!$B12,'3월'!$F$11:$F$94)</f>
        <v>0</v>
      </c>
      <c r="F12" s="346">
        <f>SUMIF('4월'!$D$11:$D$94,연간_항목별수입!$B12,'4월'!$F$11:$F$94)</f>
        <v>0</v>
      </c>
      <c r="G12" s="346">
        <f>SUMIF('5월'!$D$11:$D$94,연간_항목별수입!$B12,'5월'!$F$11:$F$94)</f>
        <v>0</v>
      </c>
      <c r="H12" s="346">
        <f>SUMIF('6월'!$D$11:$D$94,연간_항목별수입!$B12,'6월'!$F$11:$F$94)</f>
        <v>0</v>
      </c>
      <c r="I12" s="346">
        <f>SUMIF('7월'!$D$11:$D$94,연간_항목별수입!$B12,'7월'!$F$11:$F$94)</f>
        <v>0</v>
      </c>
      <c r="J12" s="346">
        <f>SUMIF('8월'!$D$11:$D$94,연간_항목별수입!$B12,'8월'!$F$11:$F$94)</f>
        <v>0</v>
      </c>
      <c r="K12" s="346">
        <f>SUMIF('9월'!$D$11:$D$94,연간_항목별수입!$B12,'9월'!$F$11:$F$94)</f>
        <v>0</v>
      </c>
      <c r="L12" s="346">
        <f>SUMIF('10월'!$D$11:$D$94,연간_항목별수입!$B12,'10월'!$F$11:$F$94)</f>
        <v>0</v>
      </c>
      <c r="M12" s="346">
        <f>SUMIF('11월'!$D$11:$D$94,연간_항목별수입!$B12,'11월'!$F$11:$F$94)</f>
        <v>0</v>
      </c>
      <c r="N12" s="346">
        <f>SUMIF('12월'!$D$11:$D$94,연간_항목별수입!$B12,'12월'!$F$11:$F$94)</f>
        <v>0</v>
      </c>
      <c r="O12" s="347">
        <f t="shared" si="0"/>
        <v>0</v>
      </c>
      <c r="P12" s="348">
        <f t="shared" si="1"/>
        <v>0</v>
      </c>
    </row>
    <row r="13" spans="1:18" ht="18" customHeight="1" x14ac:dyDescent="0.3">
      <c r="B13" s="265" t="str">
        <f>IF(항목!C14="","",항목!C14)</f>
        <v/>
      </c>
      <c r="C13" s="346">
        <f>SUMIF('1월'!$D$11:$D$94,연간_항목별수입!$B13,'1월'!$F$11:$F$94)</f>
        <v>0</v>
      </c>
      <c r="D13" s="346">
        <f>SUMIF('2월'!$D$11:$D$94,연간_항목별수입!$B13,'2월'!$F$11:$F$94)</f>
        <v>0</v>
      </c>
      <c r="E13" s="346">
        <f>SUMIF('3월'!$D$11:$D$94,연간_항목별수입!$B13,'3월'!$F$11:$F$94)</f>
        <v>0</v>
      </c>
      <c r="F13" s="346">
        <f>SUMIF('4월'!$D$11:$D$94,연간_항목별수입!$B13,'4월'!$F$11:$F$94)</f>
        <v>0</v>
      </c>
      <c r="G13" s="346">
        <f>SUMIF('5월'!$D$11:$D$94,연간_항목별수입!$B13,'5월'!$F$11:$F$94)</f>
        <v>0</v>
      </c>
      <c r="H13" s="346">
        <f>SUMIF('6월'!$D$11:$D$94,연간_항목별수입!$B13,'6월'!$F$11:$F$94)</f>
        <v>0</v>
      </c>
      <c r="I13" s="346">
        <f>SUMIF('7월'!$D$11:$D$94,연간_항목별수입!$B13,'7월'!$F$11:$F$94)</f>
        <v>0</v>
      </c>
      <c r="J13" s="346">
        <f>SUMIF('8월'!$D$11:$D$94,연간_항목별수입!$B13,'8월'!$F$11:$F$94)</f>
        <v>0</v>
      </c>
      <c r="K13" s="346">
        <f>SUMIF('9월'!$D$11:$D$94,연간_항목별수입!$B13,'9월'!$F$11:$F$94)</f>
        <v>0</v>
      </c>
      <c r="L13" s="346">
        <f>SUMIF('10월'!$D$11:$D$94,연간_항목별수입!$B13,'10월'!$F$11:$F$94)</f>
        <v>0</v>
      </c>
      <c r="M13" s="346">
        <f>SUMIF('11월'!$D$11:$D$94,연간_항목별수입!$B13,'11월'!$F$11:$F$94)</f>
        <v>0</v>
      </c>
      <c r="N13" s="346">
        <f>SUMIF('12월'!$D$11:$D$94,연간_항목별수입!$B13,'12월'!$F$11:$F$94)</f>
        <v>0</v>
      </c>
      <c r="O13" s="347">
        <f t="shared" si="0"/>
        <v>0</v>
      </c>
      <c r="P13" s="348">
        <f t="shared" si="1"/>
        <v>0</v>
      </c>
    </row>
    <row r="14" spans="1:18" ht="18" customHeight="1" x14ac:dyDescent="0.3">
      <c r="B14" s="265" t="str">
        <f>IF(항목!C15="","",항목!C15)</f>
        <v/>
      </c>
      <c r="C14" s="346">
        <f>SUMIF('1월'!$D$11:$D$94,연간_항목별수입!$B14,'1월'!$F$11:$F$94)</f>
        <v>0</v>
      </c>
      <c r="D14" s="346">
        <f>SUMIF('2월'!$D$11:$D$94,연간_항목별수입!$B14,'2월'!$F$11:$F$94)</f>
        <v>0</v>
      </c>
      <c r="E14" s="346">
        <f>SUMIF('3월'!$D$11:$D$94,연간_항목별수입!$B14,'3월'!$F$11:$F$94)</f>
        <v>0</v>
      </c>
      <c r="F14" s="346">
        <f>SUMIF('4월'!$D$11:$D$94,연간_항목별수입!$B14,'4월'!$F$11:$F$94)</f>
        <v>0</v>
      </c>
      <c r="G14" s="346">
        <f>SUMIF('5월'!$D$11:$D$94,연간_항목별수입!$B14,'5월'!$F$11:$F$94)</f>
        <v>0</v>
      </c>
      <c r="H14" s="346">
        <f>SUMIF('6월'!$D$11:$D$94,연간_항목별수입!$B14,'6월'!$F$11:$F$94)</f>
        <v>0</v>
      </c>
      <c r="I14" s="346">
        <f>SUMIF('7월'!$D$11:$D$94,연간_항목별수입!$B14,'7월'!$F$11:$F$94)</f>
        <v>0</v>
      </c>
      <c r="J14" s="346">
        <f>SUMIF('8월'!$D$11:$D$94,연간_항목별수입!$B14,'8월'!$F$11:$F$94)</f>
        <v>0</v>
      </c>
      <c r="K14" s="346">
        <f>SUMIF('9월'!$D$11:$D$94,연간_항목별수입!$B14,'9월'!$F$11:$F$94)</f>
        <v>0</v>
      </c>
      <c r="L14" s="346">
        <f>SUMIF('10월'!$D$11:$D$94,연간_항목별수입!$B14,'10월'!$F$11:$F$94)</f>
        <v>0</v>
      </c>
      <c r="M14" s="346">
        <f>SUMIF('11월'!$D$11:$D$94,연간_항목별수입!$B14,'11월'!$F$11:$F$94)</f>
        <v>0</v>
      </c>
      <c r="N14" s="346">
        <f>SUMIF('12월'!$D$11:$D$94,연간_항목별수입!$B14,'12월'!$F$11:$F$94)</f>
        <v>0</v>
      </c>
      <c r="O14" s="347">
        <f t="shared" si="0"/>
        <v>0</v>
      </c>
      <c r="P14" s="348">
        <f t="shared" si="1"/>
        <v>0</v>
      </c>
    </row>
    <row r="15" spans="1:18" ht="18" customHeight="1" x14ac:dyDescent="0.3">
      <c r="B15" s="265" t="str">
        <f>IF(항목!C16="","",항목!C16)</f>
        <v/>
      </c>
      <c r="C15" s="346">
        <f>SUMIF('1월'!$D$11:$D$94,연간_항목별수입!$B15,'1월'!$F$11:$F$94)</f>
        <v>0</v>
      </c>
      <c r="D15" s="346">
        <f>SUMIF('2월'!$D$11:$D$94,연간_항목별수입!$B15,'2월'!$F$11:$F$94)</f>
        <v>0</v>
      </c>
      <c r="E15" s="346">
        <f>SUMIF('3월'!$D$11:$D$94,연간_항목별수입!$B15,'3월'!$F$11:$F$94)</f>
        <v>0</v>
      </c>
      <c r="F15" s="346">
        <f>SUMIF('4월'!$D$11:$D$94,연간_항목별수입!$B15,'4월'!$F$11:$F$94)</f>
        <v>0</v>
      </c>
      <c r="G15" s="346">
        <f>SUMIF('5월'!$D$11:$D$94,연간_항목별수입!$B15,'5월'!$F$11:$F$94)</f>
        <v>0</v>
      </c>
      <c r="H15" s="346">
        <f>SUMIF('6월'!$D$11:$D$94,연간_항목별수입!$B15,'6월'!$F$11:$F$94)</f>
        <v>0</v>
      </c>
      <c r="I15" s="346">
        <f>SUMIF('7월'!$D$11:$D$94,연간_항목별수입!$B15,'7월'!$F$11:$F$94)</f>
        <v>0</v>
      </c>
      <c r="J15" s="346">
        <f>SUMIF('8월'!$D$11:$D$94,연간_항목별수입!$B15,'8월'!$F$11:$F$94)</f>
        <v>0</v>
      </c>
      <c r="K15" s="346">
        <f>SUMIF('9월'!$D$11:$D$94,연간_항목별수입!$B15,'9월'!$F$11:$F$94)</f>
        <v>0</v>
      </c>
      <c r="L15" s="346">
        <f>SUMIF('10월'!$D$11:$D$94,연간_항목별수입!$B15,'10월'!$F$11:$F$94)</f>
        <v>0</v>
      </c>
      <c r="M15" s="346">
        <f>SUMIF('11월'!$D$11:$D$94,연간_항목별수입!$B15,'11월'!$F$11:$F$94)</f>
        <v>0</v>
      </c>
      <c r="N15" s="346">
        <f>SUMIF('12월'!$D$11:$D$94,연간_항목별수입!$B15,'12월'!$F$11:$F$94)</f>
        <v>0</v>
      </c>
      <c r="O15" s="347">
        <f t="shared" si="0"/>
        <v>0</v>
      </c>
      <c r="P15" s="348">
        <f t="shared" si="1"/>
        <v>0</v>
      </c>
    </row>
    <row r="16" spans="1:18" ht="18" customHeight="1" x14ac:dyDescent="0.3">
      <c r="B16" s="265" t="str">
        <f>IF(항목!C17="","",항목!C17)</f>
        <v/>
      </c>
      <c r="C16" s="346">
        <f>SUMIF('1월'!$D$11:$D$94,연간_항목별수입!$B16,'1월'!$F$11:$F$94)</f>
        <v>0</v>
      </c>
      <c r="D16" s="346">
        <f>SUMIF('2월'!$D$11:$D$94,연간_항목별수입!$B16,'2월'!$F$11:$F$94)</f>
        <v>0</v>
      </c>
      <c r="E16" s="346">
        <f>SUMIF('3월'!$D$11:$D$94,연간_항목별수입!$B16,'3월'!$F$11:$F$94)</f>
        <v>0</v>
      </c>
      <c r="F16" s="346">
        <f>SUMIF('4월'!$D$11:$D$94,연간_항목별수입!$B16,'4월'!$F$11:$F$94)</f>
        <v>0</v>
      </c>
      <c r="G16" s="346">
        <f>SUMIF('5월'!$D$11:$D$94,연간_항목별수입!$B16,'5월'!$F$11:$F$94)</f>
        <v>0</v>
      </c>
      <c r="H16" s="346">
        <f>SUMIF('6월'!$D$11:$D$94,연간_항목별수입!$B16,'6월'!$F$11:$F$94)</f>
        <v>0</v>
      </c>
      <c r="I16" s="346">
        <f>SUMIF('7월'!$D$11:$D$94,연간_항목별수입!$B16,'7월'!$F$11:$F$94)</f>
        <v>0</v>
      </c>
      <c r="J16" s="346">
        <f>SUMIF('8월'!$D$11:$D$94,연간_항목별수입!$B16,'8월'!$F$11:$F$94)</f>
        <v>0</v>
      </c>
      <c r="K16" s="346">
        <f>SUMIF('9월'!$D$11:$D$94,연간_항목별수입!$B16,'9월'!$F$11:$F$94)</f>
        <v>0</v>
      </c>
      <c r="L16" s="346">
        <f>SUMIF('10월'!$D$11:$D$94,연간_항목별수입!$B16,'10월'!$F$11:$F$94)</f>
        <v>0</v>
      </c>
      <c r="M16" s="346">
        <f>SUMIF('11월'!$D$11:$D$94,연간_항목별수입!$B16,'11월'!$F$11:$F$94)</f>
        <v>0</v>
      </c>
      <c r="N16" s="346">
        <f>SUMIF('12월'!$D$11:$D$94,연간_항목별수입!$B16,'12월'!$F$11:$F$94)</f>
        <v>0</v>
      </c>
      <c r="O16" s="347">
        <f t="shared" si="0"/>
        <v>0</v>
      </c>
      <c r="P16" s="348">
        <f t="shared" si="1"/>
        <v>0</v>
      </c>
    </row>
    <row r="17" spans="2:16" ht="18" customHeight="1" thickBot="1" x14ac:dyDescent="0.35">
      <c r="B17" s="265" t="str">
        <f>IF(항목!C18="","",항목!C18)</f>
        <v/>
      </c>
      <c r="C17" s="346">
        <f>SUMIF('1월'!$D$11:$D$94,연간_항목별수입!$B17,'1월'!$F$11:$F$94)</f>
        <v>0</v>
      </c>
      <c r="D17" s="346">
        <f>SUMIF('2월'!$D$11:$D$94,연간_항목별수입!$B17,'2월'!$F$11:$F$94)</f>
        <v>0</v>
      </c>
      <c r="E17" s="346">
        <f>SUMIF('3월'!$D$11:$D$94,연간_항목별수입!$B17,'3월'!$F$11:$F$94)</f>
        <v>0</v>
      </c>
      <c r="F17" s="346">
        <f>SUMIF('4월'!$D$11:$D$94,연간_항목별수입!$B17,'4월'!$F$11:$F$94)</f>
        <v>0</v>
      </c>
      <c r="G17" s="346">
        <f>SUMIF('5월'!$D$11:$D$94,연간_항목별수입!$B17,'5월'!$F$11:$F$94)</f>
        <v>0</v>
      </c>
      <c r="H17" s="346">
        <f>SUMIF('6월'!$D$11:$D$94,연간_항목별수입!$B17,'6월'!$F$11:$F$94)</f>
        <v>0</v>
      </c>
      <c r="I17" s="346">
        <f>SUMIF('7월'!$D$11:$D$94,연간_항목별수입!$B17,'7월'!$F$11:$F$94)</f>
        <v>0</v>
      </c>
      <c r="J17" s="346">
        <f>SUMIF('8월'!$D$11:$D$94,연간_항목별수입!$B17,'8월'!$F$11:$F$94)</f>
        <v>0</v>
      </c>
      <c r="K17" s="346">
        <f>SUMIF('9월'!$D$11:$D$94,연간_항목별수입!$B17,'9월'!$F$11:$F$94)</f>
        <v>0</v>
      </c>
      <c r="L17" s="346">
        <f>SUMIF('10월'!$D$11:$D$94,연간_항목별수입!$B17,'10월'!$F$11:$F$94)</f>
        <v>0</v>
      </c>
      <c r="M17" s="346">
        <f>SUMIF('11월'!$D$11:$D$94,연간_항목별수입!$B17,'11월'!$F$11:$F$94)</f>
        <v>0</v>
      </c>
      <c r="N17" s="346">
        <f>SUMIF('12월'!$D$11:$D$94,연간_항목별수입!$B17,'12월'!$F$11:$F$94)</f>
        <v>0</v>
      </c>
      <c r="O17" s="347">
        <f t="shared" si="0"/>
        <v>0</v>
      </c>
      <c r="P17" s="348">
        <f t="shared" si="1"/>
        <v>0</v>
      </c>
    </row>
    <row r="18" spans="2:16" ht="24.95" customHeight="1" x14ac:dyDescent="0.3">
      <c r="B18" s="350" t="s">
        <v>127</v>
      </c>
      <c r="C18" s="351">
        <f t="shared" ref="C18:N18" si="2">SUMIF($B$4:$B$17,"*급여*",C4:C17)+SUMIF($B$4:$B$17,"*수당*",C4:C17)+SUMIF($B$4:$B$17,"*상여*",C4:C17)</f>
        <v>0</v>
      </c>
      <c r="D18" s="351">
        <f t="shared" si="2"/>
        <v>0</v>
      </c>
      <c r="E18" s="351">
        <f t="shared" si="2"/>
        <v>0</v>
      </c>
      <c r="F18" s="351">
        <f t="shared" si="2"/>
        <v>0</v>
      </c>
      <c r="G18" s="351">
        <f t="shared" si="2"/>
        <v>0</v>
      </c>
      <c r="H18" s="351">
        <f t="shared" si="2"/>
        <v>0</v>
      </c>
      <c r="I18" s="351">
        <f t="shared" si="2"/>
        <v>0</v>
      </c>
      <c r="J18" s="351">
        <f t="shared" si="2"/>
        <v>0</v>
      </c>
      <c r="K18" s="351">
        <f t="shared" si="2"/>
        <v>0</v>
      </c>
      <c r="L18" s="351">
        <f t="shared" si="2"/>
        <v>0</v>
      </c>
      <c r="M18" s="351">
        <f t="shared" si="2"/>
        <v>0</v>
      </c>
      <c r="N18" s="351">
        <f t="shared" si="2"/>
        <v>0</v>
      </c>
      <c r="O18" s="352">
        <f t="shared" ref="O18:O19" si="3">SUM(C18:N18)</f>
        <v>0</v>
      </c>
      <c r="P18" s="353">
        <f>O18/12</f>
        <v>0</v>
      </c>
    </row>
    <row r="19" spans="2:16" ht="24.95" customHeight="1" thickBot="1" x14ac:dyDescent="0.35">
      <c r="B19" s="386" t="s">
        <v>128</v>
      </c>
      <c r="C19" s="387">
        <f>C20-C18</f>
        <v>0</v>
      </c>
      <c r="D19" s="387">
        <f t="shared" ref="D19:N19" si="4">D20-D18</f>
        <v>0</v>
      </c>
      <c r="E19" s="387">
        <f t="shared" si="4"/>
        <v>0</v>
      </c>
      <c r="F19" s="387">
        <f t="shared" si="4"/>
        <v>0</v>
      </c>
      <c r="G19" s="387">
        <f t="shared" si="4"/>
        <v>0</v>
      </c>
      <c r="H19" s="387">
        <f t="shared" si="4"/>
        <v>0</v>
      </c>
      <c r="I19" s="387">
        <f t="shared" si="4"/>
        <v>0</v>
      </c>
      <c r="J19" s="387">
        <f t="shared" si="4"/>
        <v>0</v>
      </c>
      <c r="K19" s="387">
        <f t="shared" si="4"/>
        <v>0</v>
      </c>
      <c r="L19" s="387">
        <f t="shared" si="4"/>
        <v>0</v>
      </c>
      <c r="M19" s="387">
        <f t="shared" si="4"/>
        <v>0</v>
      </c>
      <c r="N19" s="387">
        <f t="shared" si="4"/>
        <v>0</v>
      </c>
      <c r="O19" s="360">
        <f t="shared" si="3"/>
        <v>0</v>
      </c>
      <c r="P19" s="361">
        <f>O19/12</f>
        <v>0</v>
      </c>
    </row>
    <row r="20" spans="2:16" ht="24.95" customHeight="1" thickBot="1" x14ac:dyDescent="0.35">
      <c r="B20" s="388" t="s">
        <v>89</v>
      </c>
      <c r="C20" s="389">
        <f t="shared" ref="C20:N20" si="5">SUM(C4:C11)</f>
        <v>0</v>
      </c>
      <c r="D20" s="390">
        <f t="shared" si="5"/>
        <v>0</v>
      </c>
      <c r="E20" s="390">
        <f t="shared" si="5"/>
        <v>0</v>
      </c>
      <c r="F20" s="390">
        <f t="shared" si="5"/>
        <v>0</v>
      </c>
      <c r="G20" s="390">
        <f t="shared" si="5"/>
        <v>0</v>
      </c>
      <c r="H20" s="390">
        <f t="shared" si="5"/>
        <v>0</v>
      </c>
      <c r="I20" s="390">
        <f t="shared" si="5"/>
        <v>0</v>
      </c>
      <c r="J20" s="390">
        <f t="shared" si="5"/>
        <v>0</v>
      </c>
      <c r="K20" s="390">
        <f t="shared" si="5"/>
        <v>0</v>
      </c>
      <c r="L20" s="390">
        <f t="shared" si="5"/>
        <v>0</v>
      </c>
      <c r="M20" s="390">
        <f t="shared" si="5"/>
        <v>0</v>
      </c>
      <c r="N20" s="385">
        <f t="shared" si="5"/>
        <v>0</v>
      </c>
      <c r="O20" s="391">
        <f>SUM(C20:N20)</f>
        <v>0</v>
      </c>
      <c r="P20" s="392">
        <f>O20/12</f>
        <v>0</v>
      </c>
    </row>
    <row r="21" spans="2:16" ht="24.95" customHeight="1" x14ac:dyDescent="0.3">
      <c r="B21" s="350" t="s">
        <v>131</v>
      </c>
      <c r="C21" s="393" t="str">
        <f t="shared" ref="C21:O21" si="6">IF(C18&gt;0,C18/C20,"")</f>
        <v/>
      </c>
      <c r="D21" s="368" t="str">
        <f t="shared" si="6"/>
        <v/>
      </c>
      <c r="E21" s="368" t="str">
        <f t="shared" si="6"/>
        <v/>
      </c>
      <c r="F21" s="368" t="str">
        <f t="shared" si="6"/>
        <v/>
      </c>
      <c r="G21" s="368" t="str">
        <f t="shared" si="6"/>
        <v/>
      </c>
      <c r="H21" s="368" t="str">
        <f t="shared" si="6"/>
        <v/>
      </c>
      <c r="I21" s="368" t="str">
        <f t="shared" si="6"/>
        <v/>
      </c>
      <c r="J21" s="368" t="str">
        <f t="shared" si="6"/>
        <v/>
      </c>
      <c r="K21" s="368" t="str">
        <f t="shared" si="6"/>
        <v/>
      </c>
      <c r="L21" s="368" t="str">
        <f t="shared" si="6"/>
        <v/>
      </c>
      <c r="M21" s="368" t="str">
        <f t="shared" si="6"/>
        <v/>
      </c>
      <c r="N21" s="313" t="str">
        <f t="shared" si="6"/>
        <v/>
      </c>
      <c r="O21" s="394" t="str">
        <f t="shared" si="6"/>
        <v/>
      </c>
      <c r="P21" s="353"/>
    </row>
    <row r="22" spans="2:16" ht="24.95" customHeight="1" thickBot="1" x14ac:dyDescent="0.35">
      <c r="B22" s="386" t="s">
        <v>132</v>
      </c>
      <c r="C22" s="395" t="str">
        <f t="shared" ref="C22:O22" si="7">IF(C19&gt;0,C19/C20,"")</f>
        <v/>
      </c>
      <c r="D22" s="376" t="str">
        <f t="shared" si="7"/>
        <v/>
      </c>
      <c r="E22" s="376" t="str">
        <f t="shared" si="7"/>
        <v/>
      </c>
      <c r="F22" s="376" t="str">
        <f t="shared" si="7"/>
        <v/>
      </c>
      <c r="G22" s="376" t="str">
        <f t="shared" si="7"/>
        <v/>
      </c>
      <c r="H22" s="376" t="str">
        <f t="shared" si="7"/>
        <v/>
      </c>
      <c r="I22" s="376" t="str">
        <f t="shared" si="7"/>
        <v/>
      </c>
      <c r="J22" s="376" t="str">
        <f t="shared" si="7"/>
        <v/>
      </c>
      <c r="K22" s="376" t="str">
        <f t="shared" si="7"/>
        <v/>
      </c>
      <c r="L22" s="376" t="str">
        <f t="shared" si="7"/>
        <v/>
      </c>
      <c r="M22" s="376" t="str">
        <f t="shared" si="7"/>
        <v/>
      </c>
      <c r="N22" s="315" t="str">
        <f t="shared" si="7"/>
        <v/>
      </c>
      <c r="O22" s="396" t="str">
        <f t="shared" si="7"/>
        <v/>
      </c>
      <c r="P22" s="361"/>
    </row>
    <row r="23" spans="2:16" ht="24.95" customHeight="1" thickBot="1" x14ac:dyDescent="0.35">
      <c r="B23" s="386" t="s">
        <v>5</v>
      </c>
      <c r="C23" s="395">
        <f>SUM(C21:C22)</f>
        <v>0</v>
      </c>
      <c r="D23" s="395">
        <f t="shared" ref="D23:O23" si="8">SUM(D21:D22)</f>
        <v>0</v>
      </c>
      <c r="E23" s="395">
        <f t="shared" si="8"/>
        <v>0</v>
      </c>
      <c r="F23" s="395">
        <f t="shared" si="8"/>
        <v>0</v>
      </c>
      <c r="G23" s="395">
        <f t="shared" si="8"/>
        <v>0</v>
      </c>
      <c r="H23" s="395">
        <f t="shared" si="8"/>
        <v>0</v>
      </c>
      <c r="I23" s="395">
        <f t="shared" si="8"/>
        <v>0</v>
      </c>
      <c r="J23" s="395">
        <f t="shared" si="8"/>
        <v>0</v>
      </c>
      <c r="K23" s="395">
        <f t="shared" si="8"/>
        <v>0</v>
      </c>
      <c r="L23" s="395">
        <f t="shared" si="8"/>
        <v>0</v>
      </c>
      <c r="M23" s="395">
        <f t="shared" si="8"/>
        <v>0</v>
      </c>
      <c r="N23" s="383">
        <f t="shared" si="8"/>
        <v>0</v>
      </c>
      <c r="O23" s="397">
        <f t="shared" si="8"/>
        <v>0</v>
      </c>
      <c r="P23" s="398"/>
    </row>
    <row r="24" spans="2:16" ht="16.5" customHeight="1" x14ac:dyDescent="0.3"/>
    <row r="25" spans="2:16" ht="16.5" customHeight="1" x14ac:dyDescent="0.3">
      <c r="B25" s="228"/>
    </row>
    <row r="26" spans="2:16" ht="16.5" customHeight="1" x14ac:dyDescent="0.3"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229"/>
      <c r="P26" s="229"/>
    </row>
    <row r="27" spans="2:16" ht="16.5" customHeight="1" x14ac:dyDescent="0.3">
      <c r="B27" s="31"/>
      <c r="C27" s="230"/>
      <c r="D27" s="230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1"/>
      <c r="P27" s="231"/>
    </row>
    <row r="28" spans="2:16" ht="16.5" customHeight="1" x14ac:dyDescent="0.3">
      <c r="B28" s="31"/>
      <c r="C28" s="230"/>
      <c r="D28" s="230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1"/>
      <c r="P28" s="231"/>
    </row>
    <row r="29" spans="2:16" ht="16.5" customHeight="1" x14ac:dyDescent="0.3">
      <c r="B29" s="31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1"/>
      <c r="P29" s="231"/>
    </row>
    <row r="30" spans="2:16" ht="16.5" customHeight="1" x14ac:dyDescent="0.3">
      <c r="B30" s="31"/>
      <c r="C30" s="230"/>
      <c r="D30" s="230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1"/>
      <c r="P30" s="231"/>
    </row>
    <row r="31" spans="2:16" ht="16.5" customHeight="1" x14ac:dyDescent="0.3">
      <c r="B31" s="31"/>
      <c r="C31" s="230"/>
      <c r="D31" s="230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231"/>
      <c r="P31" s="231"/>
    </row>
    <row r="32" spans="2:16" ht="16.5" customHeight="1" x14ac:dyDescent="0.3">
      <c r="B32" s="31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1"/>
      <c r="P32" s="231"/>
    </row>
    <row r="33" spans="2:16" ht="16.5" customHeight="1" x14ac:dyDescent="0.3">
      <c r="B33" s="31"/>
      <c r="C33" s="230"/>
      <c r="D33" s="230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1"/>
      <c r="P33" s="231"/>
    </row>
    <row r="34" spans="2:16" ht="16.5" customHeight="1" x14ac:dyDescent="0.3">
      <c r="B34" s="31"/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1"/>
      <c r="P34" s="231"/>
    </row>
    <row r="35" spans="2:16" ht="16.5" customHeight="1" x14ac:dyDescent="0.3">
      <c r="B35" s="31"/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1"/>
      <c r="P35" s="231"/>
    </row>
    <row r="36" spans="2:16" ht="16.5" customHeight="1" x14ac:dyDescent="0.3">
      <c r="B36" s="229"/>
      <c r="C36" s="231"/>
      <c r="D36" s="231"/>
      <c r="E36" s="231"/>
      <c r="F36" s="231"/>
      <c r="G36" s="231"/>
      <c r="H36" s="231"/>
      <c r="I36" s="231"/>
      <c r="J36" s="231"/>
      <c r="K36" s="231"/>
      <c r="L36" s="231"/>
      <c r="M36" s="231"/>
      <c r="N36" s="231"/>
      <c r="O36" s="231"/>
      <c r="P36" s="232"/>
    </row>
    <row r="37" spans="2:16" ht="16.5" customHeight="1" x14ac:dyDescent="0.3"/>
    <row r="38" spans="2:16" ht="16.5" customHeight="1" x14ac:dyDescent="0.3"/>
    <row r="39" spans="2:16" ht="16.5" customHeight="1" x14ac:dyDescent="0.3"/>
    <row r="40" spans="2:16" ht="16.5" customHeight="1" x14ac:dyDescent="0.3"/>
  </sheetData>
  <mergeCells count="1">
    <mergeCell ref="B1:C1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7"/>
    <pageSetUpPr autoPageBreaks="0" fitToPage="1"/>
  </sheetPr>
  <dimension ref="A1:R31"/>
  <sheetViews>
    <sheetView showGridLines="0" zoomScaleNormal="100" workbookViewId="0">
      <selection activeCell="C4" sqref="C4"/>
    </sheetView>
  </sheetViews>
  <sheetFormatPr defaultRowHeight="16.5" x14ac:dyDescent="0.3"/>
  <cols>
    <col min="1" max="1" width="4.625" customWidth="1"/>
    <col min="2" max="2" width="12.625" customWidth="1"/>
    <col min="3" max="16" width="10.625" customWidth="1"/>
    <col min="17" max="17" width="4.625" customWidth="1"/>
    <col min="18" max="18" width="10.875" bestFit="1" customWidth="1"/>
  </cols>
  <sheetData>
    <row r="1" spans="1:17" ht="40.5" customHeight="1" x14ac:dyDescent="0.3">
      <c r="A1" s="14"/>
      <c r="B1" s="590" t="s">
        <v>199</v>
      </c>
      <c r="C1" s="590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7.25" thickBot="1" x14ac:dyDescent="0.35"/>
    <row r="3" spans="1:17" ht="30" customHeight="1" thickBot="1" x14ac:dyDescent="0.35">
      <c r="B3" s="264"/>
      <c r="C3" s="34" t="s">
        <v>45</v>
      </c>
      <c r="D3" s="35" t="s">
        <v>49</v>
      </c>
      <c r="E3" s="35" t="s">
        <v>51</v>
      </c>
      <c r="F3" s="35" t="s">
        <v>53</v>
      </c>
      <c r="G3" s="35" t="s">
        <v>55</v>
      </c>
      <c r="H3" s="35" t="s">
        <v>57</v>
      </c>
      <c r="I3" s="35" t="s">
        <v>58</v>
      </c>
      <c r="J3" s="35" t="s">
        <v>59</v>
      </c>
      <c r="K3" s="35" t="s">
        <v>60</v>
      </c>
      <c r="L3" s="35" t="s">
        <v>61</v>
      </c>
      <c r="M3" s="35" t="s">
        <v>62</v>
      </c>
      <c r="N3" s="36" t="s">
        <v>63</v>
      </c>
      <c r="O3" s="345" t="s">
        <v>5</v>
      </c>
      <c r="P3" s="303" t="s">
        <v>64</v>
      </c>
    </row>
    <row r="4" spans="1:17" ht="18" customHeight="1" x14ac:dyDescent="0.3">
      <c r="B4" s="265" t="str">
        <f>IF(항목!B4="","",항목!B4)</f>
        <v>계좌이체</v>
      </c>
      <c r="C4" s="346">
        <f>SUMIF('1월'!$I$11:$I$94,연간_카드별지출!$B4,'1월'!$M$11:$M$94)</f>
        <v>0</v>
      </c>
      <c r="D4" s="346">
        <f>SUMIF('2월'!$I$11:$I$94,연간_카드별지출!$B4,'2월'!$M$11:$M$94)</f>
        <v>0</v>
      </c>
      <c r="E4" s="346">
        <f>SUMIF('3월'!$I$11:$I$94,연간_카드별지출!$B4,'3월'!$M$11:$M$94)</f>
        <v>0</v>
      </c>
      <c r="F4" s="346">
        <f>SUMIF('4월'!$I$11:$I$94,연간_카드별지출!$B4,'4월'!$M$11:$M$94)</f>
        <v>0</v>
      </c>
      <c r="G4" s="346">
        <f>SUMIF('5월'!$I$11:$I$94,연간_카드별지출!$B4,'5월'!$M$11:$M$94)</f>
        <v>0</v>
      </c>
      <c r="H4" s="346">
        <f>SUMIF('6월'!$I$11:$I$94,연간_카드별지출!$B4,'6월'!$M$11:$M$94)</f>
        <v>0</v>
      </c>
      <c r="I4" s="346">
        <f>SUMIF('7월'!$I$11:$I$94,연간_카드별지출!$B4,'7월'!$M$11:$M$94)</f>
        <v>0</v>
      </c>
      <c r="J4" s="346">
        <f>SUMIF('8월'!$I$11:$I$94,연간_카드별지출!$B4,'8월'!$M$11:$M$94)</f>
        <v>0</v>
      </c>
      <c r="K4" s="346">
        <f>SUMIF('9월'!$I$11:$I$94,연간_카드별지출!$B4,'9월'!$M$11:$M$94)</f>
        <v>0</v>
      </c>
      <c r="L4" s="346">
        <f>SUMIF('10월'!$I$11:$I$94,연간_카드별지출!$B4,'10월'!$M$11:$M$94)</f>
        <v>0</v>
      </c>
      <c r="M4" s="346">
        <f>SUMIF('11월'!$I$11:$I$94,연간_카드별지출!$B4,'11월'!$M$11:$M$94)</f>
        <v>0</v>
      </c>
      <c r="N4" s="346">
        <f>SUMIF('12월'!$I$11:$I$94,연간_카드별지출!$B4,'12월'!$M$11:$M$94)</f>
        <v>0</v>
      </c>
      <c r="O4" s="347">
        <f>SUM(C4:N4)</f>
        <v>0</v>
      </c>
      <c r="P4" s="348">
        <f>O4/12</f>
        <v>0</v>
      </c>
    </row>
    <row r="5" spans="1:17" ht="18" customHeight="1" x14ac:dyDescent="0.3">
      <c r="B5" s="265" t="str">
        <f>IF(항목!B5="","",항목!B5)</f>
        <v>현금</v>
      </c>
      <c r="C5" s="346">
        <f>SUMIF('1월'!$I$11:$I$94,연간_카드별지출!$B5,'1월'!$M$11:$M$94)</f>
        <v>0</v>
      </c>
      <c r="D5" s="346">
        <f>SUMIF('2월'!$I$11:$I$94,연간_카드별지출!$B5,'2월'!$M$11:$M$94)</f>
        <v>0</v>
      </c>
      <c r="E5" s="346">
        <f>SUMIF('3월'!$I$11:$I$94,연간_카드별지출!$B5,'3월'!$M$11:$M$94)</f>
        <v>0</v>
      </c>
      <c r="F5" s="346">
        <f>SUMIF('4월'!$I$11:$I$94,연간_카드별지출!$B5,'4월'!$M$11:$M$94)</f>
        <v>0</v>
      </c>
      <c r="G5" s="346">
        <f>SUMIF('5월'!$I$11:$I$94,연간_카드별지출!$B5,'5월'!$M$11:$M$94)</f>
        <v>0</v>
      </c>
      <c r="H5" s="346">
        <f>SUMIF('6월'!$I$11:$I$94,연간_카드별지출!$B5,'6월'!$M$11:$M$94)</f>
        <v>0</v>
      </c>
      <c r="I5" s="346">
        <f>SUMIF('7월'!$I$11:$I$94,연간_카드별지출!$B5,'7월'!$M$11:$M$94)</f>
        <v>0</v>
      </c>
      <c r="J5" s="346">
        <f>SUMIF('8월'!$I$11:$I$94,연간_카드별지출!$B5,'8월'!$M$11:$M$94)</f>
        <v>0</v>
      </c>
      <c r="K5" s="346">
        <f>SUMIF('9월'!$I$11:$I$94,연간_카드별지출!$B5,'9월'!$M$11:$M$94)</f>
        <v>0</v>
      </c>
      <c r="L5" s="346">
        <f>SUMIF('10월'!$I$11:$I$94,연간_카드별지출!$B5,'10월'!$M$11:$M$94)</f>
        <v>0</v>
      </c>
      <c r="M5" s="346">
        <f>SUMIF('11월'!$I$11:$I$94,연간_카드별지출!$B5,'11월'!$M$11:$M$94)</f>
        <v>0</v>
      </c>
      <c r="N5" s="346">
        <f>SUMIF('12월'!$I$11:$I$94,연간_카드별지출!$B5,'12월'!$M$11:$M$94)</f>
        <v>0</v>
      </c>
      <c r="O5" s="347">
        <f t="shared" ref="O5:O18" si="0">SUM(C5:N5)</f>
        <v>0</v>
      </c>
      <c r="P5" s="348">
        <f t="shared" ref="P5:P18" si="1">O5/12</f>
        <v>0</v>
      </c>
    </row>
    <row r="6" spans="1:17" ht="18" customHeight="1" x14ac:dyDescent="0.3">
      <c r="B6" s="265" t="str">
        <f>IF(항목!B6="","",항목!B6)</f>
        <v>신한체크</v>
      </c>
      <c r="C6" s="346">
        <f>SUMIF('1월'!$I$11:$I$94,연간_카드별지출!$B6,'1월'!$M$11:$M$94)</f>
        <v>0</v>
      </c>
      <c r="D6" s="346">
        <f>SUMIF('2월'!$I$11:$I$94,연간_카드별지출!$B6,'2월'!$M$11:$M$94)</f>
        <v>0</v>
      </c>
      <c r="E6" s="346">
        <f>SUMIF('3월'!$I$11:$I$94,연간_카드별지출!$B6,'3월'!$M$11:$M$94)</f>
        <v>0</v>
      </c>
      <c r="F6" s="346">
        <f>SUMIF('4월'!$I$11:$I$94,연간_카드별지출!$B6,'4월'!$M$11:$M$94)</f>
        <v>0</v>
      </c>
      <c r="G6" s="346">
        <f>SUMIF('5월'!$I$11:$I$94,연간_카드별지출!$B6,'5월'!$M$11:$M$94)</f>
        <v>0</v>
      </c>
      <c r="H6" s="346">
        <f>SUMIF('6월'!$I$11:$I$94,연간_카드별지출!$B6,'6월'!$M$11:$M$94)</f>
        <v>0</v>
      </c>
      <c r="I6" s="346">
        <f>SUMIF('7월'!$I$11:$I$94,연간_카드별지출!$B6,'7월'!$M$11:$M$94)</f>
        <v>0</v>
      </c>
      <c r="J6" s="346">
        <f>SUMIF('8월'!$I$11:$I$94,연간_카드별지출!$B6,'8월'!$M$11:$M$94)</f>
        <v>0</v>
      </c>
      <c r="K6" s="346">
        <f>SUMIF('9월'!$I$11:$I$94,연간_카드별지출!$B6,'9월'!$M$11:$M$94)</f>
        <v>0</v>
      </c>
      <c r="L6" s="346">
        <f>SUMIF('10월'!$I$11:$I$94,연간_카드별지출!$B6,'10월'!$M$11:$M$94)</f>
        <v>0</v>
      </c>
      <c r="M6" s="346">
        <f>SUMIF('11월'!$I$11:$I$94,연간_카드별지출!$B6,'11월'!$M$11:$M$94)</f>
        <v>0</v>
      </c>
      <c r="N6" s="346">
        <f>SUMIF('12월'!$I$11:$I$94,연간_카드별지출!$B6,'12월'!$M$11:$M$94)</f>
        <v>0</v>
      </c>
      <c r="O6" s="347">
        <f t="shared" si="0"/>
        <v>0</v>
      </c>
      <c r="P6" s="348">
        <f t="shared" si="1"/>
        <v>0</v>
      </c>
    </row>
    <row r="7" spans="1:17" ht="18" customHeight="1" x14ac:dyDescent="0.3">
      <c r="B7" s="265" t="str">
        <f>IF(항목!B7="","",항목!B7)</f>
        <v>현대신용</v>
      </c>
      <c r="C7" s="346">
        <f>SUMIF('1월'!$I$11:$I$94,연간_카드별지출!$B7,'1월'!$M$11:$M$94)</f>
        <v>0</v>
      </c>
      <c r="D7" s="346">
        <f>SUMIF('2월'!$I$11:$I$94,연간_카드별지출!$B7,'2월'!$M$11:$M$94)</f>
        <v>0</v>
      </c>
      <c r="E7" s="346">
        <f>SUMIF('3월'!$I$11:$I$94,연간_카드별지출!$B7,'3월'!$M$11:$M$94)</f>
        <v>0</v>
      </c>
      <c r="F7" s="346">
        <f>SUMIF('4월'!$I$11:$I$94,연간_카드별지출!$B7,'4월'!$M$11:$M$94)</f>
        <v>0</v>
      </c>
      <c r="G7" s="346">
        <f>SUMIF('5월'!$I$11:$I$94,연간_카드별지출!$B7,'5월'!$M$11:$M$94)</f>
        <v>0</v>
      </c>
      <c r="H7" s="346">
        <f>SUMIF('6월'!$I$11:$I$94,연간_카드별지출!$B7,'6월'!$M$11:$M$94)</f>
        <v>0</v>
      </c>
      <c r="I7" s="346">
        <f>SUMIF('7월'!$I$11:$I$94,연간_카드별지출!$B7,'7월'!$M$11:$M$94)</f>
        <v>0</v>
      </c>
      <c r="J7" s="346">
        <f>SUMIF('8월'!$I$11:$I$94,연간_카드별지출!$B7,'8월'!$M$11:$M$94)</f>
        <v>0</v>
      </c>
      <c r="K7" s="346">
        <f>SUMIF('9월'!$I$11:$I$94,연간_카드별지출!$B7,'9월'!$M$11:$M$94)</f>
        <v>0</v>
      </c>
      <c r="L7" s="346">
        <f>SUMIF('10월'!$I$11:$I$94,연간_카드별지출!$B7,'10월'!$M$11:$M$94)</f>
        <v>0</v>
      </c>
      <c r="M7" s="346">
        <f>SUMIF('11월'!$I$11:$I$94,연간_카드별지출!$B7,'11월'!$M$11:$M$94)</f>
        <v>0</v>
      </c>
      <c r="N7" s="346">
        <f>SUMIF('12월'!$I$11:$I$94,연간_카드별지출!$B7,'12월'!$M$11:$M$94)</f>
        <v>0</v>
      </c>
      <c r="O7" s="347">
        <f t="shared" si="0"/>
        <v>0</v>
      </c>
      <c r="P7" s="348">
        <f t="shared" si="1"/>
        <v>0</v>
      </c>
    </row>
    <row r="8" spans="1:17" ht="18" customHeight="1" x14ac:dyDescent="0.3">
      <c r="B8" s="265" t="str">
        <f>IF(항목!B8="","",항목!B8)</f>
        <v/>
      </c>
      <c r="C8" s="346">
        <f>SUMIF('1월'!$I$11:$I$94,연간_카드별지출!$B8,'1월'!$M$11:$M$94)</f>
        <v>0</v>
      </c>
      <c r="D8" s="346">
        <f>SUMIF('2월'!$I$11:$I$94,연간_카드별지출!$B8,'2월'!$M$11:$M$94)</f>
        <v>0</v>
      </c>
      <c r="E8" s="346">
        <f>SUMIF('3월'!$I$11:$I$94,연간_카드별지출!$B8,'3월'!$M$11:$M$94)</f>
        <v>0</v>
      </c>
      <c r="F8" s="346">
        <f>SUMIF('4월'!$I$11:$I$94,연간_카드별지출!$B8,'4월'!$M$11:$M$94)</f>
        <v>0</v>
      </c>
      <c r="G8" s="346">
        <f>SUMIF('5월'!$I$11:$I$94,연간_카드별지출!$B8,'5월'!$M$11:$M$94)</f>
        <v>0</v>
      </c>
      <c r="H8" s="346">
        <f>SUMIF('6월'!$I$11:$I$94,연간_카드별지출!$B8,'6월'!$M$11:$M$94)</f>
        <v>0</v>
      </c>
      <c r="I8" s="346">
        <f>SUMIF('7월'!$I$11:$I$94,연간_카드별지출!$B8,'7월'!$M$11:$M$94)</f>
        <v>0</v>
      </c>
      <c r="J8" s="346">
        <f>SUMIF('8월'!$I$11:$I$94,연간_카드별지출!$B8,'8월'!$M$11:$M$94)</f>
        <v>0</v>
      </c>
      <c r="K8" s="346">
        <f>SUMIF('9월'!$I$11:$I$94,연간_카드별지출!$B8,'9월'!$M$11:$M$94)</f>
        <v>0</v>
      </c>
      <c r="L8" s="346">
        <f>SUMIF('10월'!$I$11:$I$94,연간_카드별지출!$B8,'10월'!$M$11:$M$94)</f>
        <v>0</v>
      </c>
      <c r="M8" s="346">
        <f>SUMIF('11월'!$I$11:$I$94,연간_카드별지출!$B8,'11월'!$M$11:$M$94)</f>
        <v>0</v>
      </c>
      <c r="N8" s="346">
        <f>SUMIF('12월'!$I$11:$I$94,연간_카드별지출!$B8,'12월'!$M$11:$M$94)</f>
        <v>0</v>
      </c>
      <c r="O8" s="347">
        <f t="shared" si="0"/>
        <v>0</v>
      </c>
      <c r="P8" s="348">
        <f t="shared" si="1"/>
        <v>0</v>
      </c>
    </row>
    <row r="9" spans="1:17" ht="18" customHeight="1" x14ac:dyDescent="0.3">
      <c r="B9" s="265" t="str">
        <f>IF(항목!B9="","",항목!B9)</f>
        <v/>
      </c>
      <c r="C9" s="346">
        <f>SUMIF('1월'!$I$11:$I$94,연간_카드별지출!$B9,'1월'!$M$11:$M$94)</f>
        <v>0</v>
      </c>
      <c r="D9" s="346">
        <f>SUMIF('2월'!$I$11:$I$94,연간_카드별지출!$B9,'2월'!$M$11:$M$94)</f>
        <v>0</v>
      </c>
      <c r="E9" s="346">
        <f>SUMIF('3월'!$I$11:$I$94,연간_카드별지출!$B9,'3월'!$M$11:$M$94)</f>
        <v>0</v>
      </c>
      <c r="F9" s="346">
        <f>SUMIF('4월'!$I$11:$I$94,연간_카드별지출!$B9,'4월'!$M$11:$M$94)</f>
        <v>0</v>
      </c>
      <c r="G9" s="346">
        <f>SUMIF('5월'!$I$11:$I$94,연간_카드별지출!$B9,'5월'!$M$11:$M$94)</f>
        <v>0</v>
      </c>
      <c r="H9" s="346">
        <f>SUMIF('6월'!$I$11:$I$94,연간_카드별지출!$B9,'6월'!$M$11:$M$94)</f>
        <v>0</v>
      </c>
      <c r="I9" s="346">
        <f>SUMIF('7월'!$I$11:$I$94,연간_카드별지출!$B9,'7월'!$M$11:$M$94)</f>
        <v>0</v>
      </c>
      <c r="J9" s="346">
        <f>SUMIF('8월'!$I$11:$I$94,연간_카드별지출!$B9,'8월'!$M$11:$M$94)</f>
        <v>0</v>
      </c>
      <c r="K9" s="346">
        <f>SUMIF('9월'!$I$11:$I$94,연간_카드별지출!$B9,'9월'!$M$11:$M$94)</f>
        <v>0</v>
      </c>
      <c r="L9" s="346">
        <f>SUMIF('10월'!$I$11:$I$94,연간_카드별지출!$B9,'10월'!$M$11:$M$94)</f>
        <v>0</v>
      </c>
      <c r="M9" s="346">
        <f>SUMIF('11월'!$I$11:$I$94,연간_카드별지출!$B9,'11월'!$M$11:$M$94)</f>
        <v>0</v>
      </c>
      <c r="N9" s="346">
        <f>SUMIF('12월'!$I$11:$I$94,연간_카드별지출!$B9,'12월'!$M$11:$M$94)</f>
        <v>0</v>
      </c>
      <c r="O9" s="347">
        <f t="shared" si="0"/>
        <v>0</v>
      </c>
      <c r="P9" s="348">
        <f t="shared" si="1"/>
        <v>0</v>
      </c>
    </row>
    <row r="10" spans="1:17" ht="18" customHeight="1" x14ac:dyDescent="0.3">
      <c r="B10" s="265" t="str">
        <f>IF(항목!B10="","",항목!B10)</f>
        <v/>
      </c>
      <c r="C10" s="346">
        <f>SUMIF('1월'!$I$11:$I$94,연간_카드별지출!$B10,'1월'!$M$11:$M$94)</f>
        <v>0</v>
      </c>
      <c r="D10" s="346">
        <f>SUMIF('2월'!$I$11:$I$94,연간_카드별지출!$B10,'2월'!$M$11:$M$94)</f>
        <v>0</v>
      </c>
      <c r="E10" s="346">
        <f>SUMIF('3월'!$I$11:$I$94,연간_카드별지출!$B10,'3월'!$M$11:$M$94)</f>
        <v>0</v>
      </c>
      <c r="F10" s="346">
        <f>SUMIF('4월'!$I$11:$I$94,연간_카드별지출!$B10,'4월'!$M$11:$M$94)</f>
        <v>0</v>
      </c>
      <c r="G10" s="346">
        <f>SUMIF('5월'!$I$11:$I$94,연간_카드별지출!$B10,'5월'!$M$11:$M$94)</f>
        <v>0</v>
      </c>
      <c r="H10" s="346">
        <f>SUMIF('6월'!$I$11:$I$94,연간_카드별지출!$B10,'6월'!$M$11:$M$94)</f>
        <v>0</v>
      </c>
      <c r="I10" s="346">
        <f>SUMIF('7월'!$I$11:$I$94,연간_카드별지출!$B10,'7월'!$M$11:$M$94)</f>
        <v>0</v>
      </c>
      <c r="J10" s="346">
        <f>SUMIF('8월'!$I$11:$I$94,연간_카드별지출!$B10,'8월'!$M$11:$M$94)</f>
        <v>0</v>
      </c>
      <c r="K10" s="346">
        <f>SUMIF('9월'!$I$11:$I$94,연간_카드별지출!$B10,'9월'!$M$11:$M$94)</f>
        <v>0</v>
      </c>
      <c r="L10" s="346">
        <f>SUMIF('10월'!$I$11:$I$94,연간_카드별지출!$B10,'10월'!$M$11:$M$94)</f>
        <v>0</v>
      </c>
      <c r="M10" s="346">
        <f>SUMIF('11월'!$I$11:$I$94,연간_카드별지출!$B10,'11월'!$M$11:$M$94)</f>
        <v>0</v>
      </c>
      <c r="N10" s="346">
        <f>SUMIF('12월'!$I$11:$I$94,연간_카드별지출!$B10,'12월'!$M$11:$M$94)</f>
        <v>0</v>
      </c>
      <c r="O10" s="347">
        <f t="shared" si="0"/>
        <v>0</v>
      </c>
      <c r="P10" s="348">
        <f t="shared" si="1"/>
        <v>0</v>
      </c>
    </row>
    <row r="11" spans="1:17" ht="18" customHeight="1" x14ac:dyDescent="0.3">
      <c r="B11" s="265" t="str">
        <f>IF(항목!B11="","",항목!B11)</f>
        <v/>
      </c>
      <c r="C11" s="346">
        <f>SUMIF('1월'!$I$11:$I$94,연간_카드별지출!$B11,'1월'!$M$11:$M$94)</f>
        <v>0</v>
      </c>
      <c r="D11" s="346">
        <f>SUMIF('2월'!$I$11:$I$94,연간_카드별지출!$B11,'2월'!$M$11:$M$94)</f>
        <v>0</v>
      </c>
      <c r="E11" s="346">
        <f>SUMIF('3월'!$I$11:$I$94,연간_카드별지출!$B11,'3월'!$M$11:$M$94)</f>
        <v>0</v>
      </c>
      <c r="F11" s="346">
        <f>SUMIF('4월'!$I$11:$I$94,연간_카드별지출!$B11,'4월'!$M$11:$M$94)</f>
        <v>0</v>
      </c>
      <c r="G11" s="346">
        <f>SUMIF('5월'!$I$11:$I$94,연간_카드별지출!$B11,'5월'!$M$11:$M$94)</f>
        <v>0</v>
      </c>
      <c r="H11" s="346">
        <f>SUMIF('6월'!$I$11:$I$94,연간_카드별지출!$B11,'6월'!$M$11:$M$94)</f>
        <v>0</v>
      </c>
      <c r="I11" s="346">
        <f>SUMIF('7월'!$I$11:$I$94,연간_카드별지출!$B11,'7월'!$M$11:$M$94)</f>
        <v>0</v>
      </c>
      <c r="J11" s="346">
        <f>SUMIF('8월'!$I$11:$I$94,연간_카드별지출!$B11,'8월'!$M$11:$M$94)</f>
        <v>0</v>
      </c>
      <c r="K11" s="346">
        <f>SUMIF('9월'!$I$11:$I$94,연간_카드별지출!$B11,'9월'!$M$11:$M$94)</f>
        <v>0</v>
      </c>
      <c r="L11" s="346">
        <f>SUMIF('10월'!$I$11:$I$94,연간_카드별지출!$B11,'10월'!$M$11:$M$94)</f>
        <v>0</v>
      </c>
      <c r="M11" s="346">
        <f>SUMIF('11월'!$I$11:$I$94,연간_카드별지출!$B11,'11월'!$M$11:$M$94)</f>
        <v>0</v>
      </c>
      <c r="N11" s="346">
        <f>SUMIF('12월'!$I$11:$I$94,연간_카드별지출!$B11,'12월'!$M$11:$M$94)</f>
        <v>0</v>
      </c>
      <c r="O11" s="347">
        <f t="shared" si="0"/>
        <v>0</v>
      </c>
      <c r="P11" s="348">
        <f t="shared" si="1"/>
        <v>0</v>
      </c>
    </row>
    <row r="12" spans="1:17" ht="18" customHeight="1" x14ac:dyDescent="0.3">
      <c r="B12" s="265" t="str">
        <f>IF(항목!B12="","",항목!B12)</f>
        <v/>
      </c>
      <c r="C12" s="346">
        <f>SUMIF('1월'!$I$11:$I$94,연간_카드별지출!$B12,'1월'!$M$11:$M$94)</f>
        <v>0</v>
      </c>
      <c r="D12" s="346">
        <f>SUMIF('2월'!$I$11:$I$94,연간_카드별지출!$B12,'2월'!$M$11:$M$94)</f>
        <v>0</v>
      </c>
      <c r="E12" s="346">
        <f>SUMIF('3월'!$I$11:$I$94,연간_카드별지출!$B12,'3월'!$M$11:$M$94)</f>
        <v>0</v>
      </c>
      <c r="F12" s="346">
        <f>SUMIF('4월'!$I$11:$I$94,연간_카드별지출!$B12,'4월'!$M$11:$M$94)</f>
        <v>0</v>
      </c>
      <c r="G12" s="346">
        <f>SUMIF('5월'!$I$11:$I$94,연간_카드별지출!$B12,'5월'!$M$11:$M$94)</f>
        <v>0</v>
      </c>
      <c r="H12" s="346">
        <f>SUMIF('6월'!$I$11:$I$94,연간_카드별지출!$B12,'6월'!$M$11:$M$94)</f>
        <v>0</v>
      </c>
      <c r="I12" s="346">
        <f>SUMIF('7월'!$I$11:$I$94,연간_카드별지출!$B12,'7월'!$M$11:$M$94)</f>
        <v>0</v>
      </c>
      <c r="J12" s="346">
        <f>SUMIF('8월'!$I$11:$I$94,연간_카드별지출!$B12,'8월'!$M$11:$M$94)</f>
        <v>0</v>
      </c>
      <c r="K12" s="346">
        <f>SUMIF('9월'!$I$11:$I$94,연간_카드별지출!$B12,'9월'!$M$11:$M$94)</f>
        <v>0</v>
      </c>
      <c r="L12" s="346">
        <f>SUMIF('10월'!$I$11:$I$94,연간_카드별지출!$B12,'10월'!$M$11:$M$94)</f>
        <v>0</v>
      </c>
      <c r="M12" s="346">
        <f>SUMIF('11월'!$I$11:$I$94,연간_카드별지출!$B12,'11월'!$M$11:$M$94)</f>
        <v>0</v>
      </c>
      <c r="N12" s="346">
        <f>SUMIF('12월'!$I$11:$I$94,연간_카드별지출!$B12,'12월'!$M$11:$M$94)</f>
        <v>0</v>
      </c>
      <c r="O12" s="347">
        <f t="shared" si="0"/>
        <v>0</v>
      </c>
      <c r="P12" s="348">
        <f t="shared" si="1"/>
        <v>0</v>
      </c>
    </row>
    <row r="13" spans="1:17" ht="18" customHeight="1" x14ac:dyDescent="0.3">
      <c r="B13" s="265" t="str">
        <f>IF(항목!B13="","",항목!B13)</f>
        <v/>
      </c>
      <c r="C13" s="346">
        <f>SUMIF('1월'!$I$11:$I$94,연간_카드별지출!$B13,'1월'!$M$11:$M$94)</f>
        <v>0</v>
      </c>
      <c r="D13" s="346">
        <f>SUMIF('2월'!$I$11:$I$94,연간_카드별지출!$B13,'2월'!$M$11:$M$94)</f>
        <v>0</v>
      </c>
      <c r="E13" s="346">
        <f>SUMIF('3월'!$I$11:$I$94,연간_카드별지출!$B13,'3월'!$M$11:$M$94)</f>
        <v>0</v>
      </c>
      <c r="F13" s="346">
        <f>SUMIF('4월'!$I$11:$I$94,연간_카드별지출!$B13,'4월'!$M$11:$M$94)</f>
        <v>0</v>
      </c>
      <c r="G13" s="346">
        <f>SUMIF('5월'!$I$11:$I$94,연간_카드별지출!$B13,'5월'!$M$11:$M$94)</f>
        <v>0</v>
      </c>
      <c r="H13" s="346">
        <f>SUMIF('6월'!$I$11:$I$94,연간_카드별지출!$B13,'6월'!$M$11:$M$94)</f>
        <v>0</v>
      </c>
      <c r="I13" s="346">
        <f>SUMIF('7월'!$I$11:$I$94,연간_카드별지출!$B13,'7월'!$M$11:$M$94)</f>
        <v>0</v>
      </c>
      <c r="J13" s="346">
        <f>SUMIF('8월'!$I$11:$I$94,연간_카드별지출!$B13,'8월'!$M$11:$M$94)</f>
        <v>0</v>
      </c>
      <c r="K13" s="346">
        <f>SUMIF('9월'!$I$11:$I$94,연간_카드별지출!$B13,'9월'!$M$11:$M$94)</f>
        <v>0</v>
      </c>
      <c r="L13" s="346">
        <f>SUMIF('10월'!$I$11:$I$94,연간_카드별지출!$B13,'10월'!$M$11:$M$94)</f>
        <v>0</v>
      </c>
      <c r="M13" s="346">
        <f>SUMIF('11월'!$I$11:$I$94,연간_카드별지출!$B13,'11월'!$M$11:$M$94)</f>
        <v>0</v>
      </c>
      <c r="N13" s="346">
        <f>SUMIF('12월'!$I$11:$I$94,연간_카드별지출!$B13,'12월'!$M$11:$M$94)</f>
        <v>0</v>
      </c>
      <c r="O13" s="347">
        <f t="shared" si="0"/>
        <v>0</v>
      </c>
      <c r="P13" s="348">
        <f t="shared" si="1"/>
        <v>0</v>
      </c>
    </row>
    <row r="14" spans="1:17" ht="18" customHeight="1" x14ac:dyDescent="0.3">
      <c r="B14" s="265" t="str">
        <f>IF(항목!B14="","",항목!B14)</f>
        <v/>
      </c>
      <c r="C14" s="346">
        <f>SUMIF('1월'!$I$11:$I$94,연간_카드별지출!$B14,'1월'!$M$11:$M$94)</f>
        <v>0</v>
      </c>
      <c r="D14" s="346">
        <f>SUMIF('2월'!$I$11:$I$94,연간_카드별지출!$B14,'2월'!$M$11:$M$94)</f>
        <v>0</v>
      </c>
      <c r="E14" s="346">
        <f>SUMIF('3월'!$I$11:$I$94,연간_카드별지출!$B14,'3월'!$M$11:$M$94)</f>
        <v>0</v>
      </c>
      <c r="F14" s="346">
        <f>SUMIF('4월'!$I$11:$I$94,연간_카드별지출!$B14,'4월'!$M$11:$M$94)</f>
        <v>0</v>
      </c>
      <c r="G14" s="346">
        <f>SUMIF('5월'!$I$11:$I$94,연간_카드별지출!$B14,'5월'!$M$11:$M$94)</f>
        <v>0</v>
      </c>
      <c r="H14" s="346">
        <f>SUMIF('6월'!$I$11:$I$94,연간_카드별지출!$B14,'6월'!$M$11:$M$94)</f>
        <v>0</v>
      </c>
      <c r="I14" s="346">
        <f>SUMIF('7월'!$I$11:$I$94,연간_카드별지출!$B14,'7월'!$M$11:$M$94)</f>
        <v>0</v>
      </c>
      <c r="J14" s="346">
        <f>SUMIF('8월'!$I$11:$I$94,연간_카드별지출!$B14,'8월'!$M$11:$M$94)</f>
        <v>0</v>
      </c>
      <c r="K14" s="346">
        <f>SUMIF('9월'!$I$11:$I$94,연간_카드별지출!$B14,'9월'!$M$11:$M$94)</f>
        <v>0</v>
      </c>
      <c r="L14" s="346">
        <f>SUMIF('10월'!$I$11:$I$94,연간_카드별지출!$B14,'10월'!$M$11:$M$94)</f>
        <v>0</v>
      </c>
      <c r="M14" s="346">
        <f>SUMIF('11월'!$I$11:$I$94,연간_카드별지출!$B14,'11월'!$M$11:$M$94)</f>
        <v>0</v>
      </c>
      <c r="N14" s="346">
        <f>SUMIF('12월'!$I$11:$I$94,연간_카드별지출!$B14,'12월'!$M$11:$M$94)</f>
        <v>0</v>
      </c>
      <c r="O14" s="347">
        <f t="shared" si="0"/>
        <v>0</v>
      </c>
      <c r="P14" s="348">
        <f t="shared" si="1"/>
        <v>0</v>
      </c>
    </row>
    <row r="15" spans="1:17" ht="18" customHeight="1" x14ac:dyDescent="0.3">
      <c r="B15" s="265" t="str">
        <f>IF(항목!B15="","",항목!B15)</f>
        <v/>
      </c>
      <c r="C15" s="346">
        <f>SUMIF('1월'!$I$11:$I$94,연간_카드별지출!$B15,'1월'!$M$11:$M$94)</f>
        <v>0</v>
      </c>
      <c r="D15" s="346">
        <f>SUMIF('2월'!$I$11:$I$94,연간_카드별지출!$B15,'2월'!$M$11:$M$94)</f>
        <v>0</v>
      </c>
      <c r="E15" s="346">
        <f>SUMIF('3월'!$I$11:$I$94,연간_카드별지출!$B15,'3월'!$M$11:$M$94)</f>
        <v>0</v>
      </c>
      <c r="F15" s="346">
        <f>SUMIF('4월'!$I$11:$I$94,연간_카드별지출!$B15,'4월'!$M$11:$M$94)</f>
        <v>0</v>
      </c>
      <c r="G15" s="346">
        <f>SUMIF('5월'!$I$11:$I$94,연간_카드별지출!$B15,'5월'!$M$11:$M$94)</f>
        <v>0</v>
      </c>
      <c r="H15" s="346">
        <f>SUMIF('6월'!$I$11:$I$94,연간_카드별지출!$B15,'6월'!$M$11:$M$94)</f>
        <v>0</v>
      </c>
      <c r="I15" s="346">
        <f>SUMIF('7월'!$I$11:$I$94,연간_카드별지출!$B15,'7월'!$M$11:$M$94)</f>
        <v>0</v>
      </c>
      <c r="J15" s="346">
        <f>SUMIF('8월'!$I$11:$I$94,연간_카드별지출!$B15,'8월'!$M$11:$M$94)</f>
        <v>0</v>
      </c>
      <c r="K15" s="346">
        <f>SUMIF('9월'!$I$11:$I$94,연간_카드별지출!$B15,'9월'!$M$11:$M$94)</f>
        <v>0</v>
      </c>
      <c r="L15" s="346">
        <f>SUMIF('10월'!$I$11:$I$94,연간_카드별지출!$B15,'10월'!$M$11:$M$94)</f>
        <v>0</v>
      </c>
      <c r="M15" s="346">
        <f>SUMIF('11월'!$I$11:$I$94,연간_카드별지출!$B15,'11월'!$M$11:$M$94)</f>
        <v>0</v>
      </c>
      <c r="N15" s="346">
        <f>SUMIF('12월'!$I$11:$I$94,연간_카드별지출!$B15,'12월'!$M$11:$M$94)</f>
        <v>0</v>
      </c>
      <c r="O15" s="347">
        <f t="shared" si="0"/>
        <v>0</v>
      </c>
      <c r="P15" s="348">
        <f t="shared" si="1"/>
        <v>0</v>
      </c>
    </row>
    <row r="16" spans="1:17" ht="18" customHeight="1" thickBot="1" x14ac:dyDescent="0.35">
      <c r="B16" s="265" t="str">
        <f>IF(항목!B16="","",항목!B16)</f>
        <v/>
      </c>
      <c r="C16" s="346">
        <f>SUMIF('1월'!$I$11:$I$94,연간_카드별지출!$B16,'1월'!$M$11:$M$94)</f>
        <v>0</v>
      </c>
      <c r="D16" s="346">
        <f>SUMIF('2월'!$I$11:$I$94,연간_카드별지출!$B16,'2월'!$M$11:$M$94)</f>
        <v>0</v>
      </c>
      <c r="E16" s="346">
        <f>SUMIF('3월'!$I$11:$I$94,연간_카드별지출!$B16,'3월'!$M$11:$M$94)</f>
        <v>0</v>
      </c>
      <c r="F16" s="346">
        <f>SUMIF('4월'!$I$11:$I$94,연간_카드별지출!$B16,'4월'!$M$11:$M$94)</f>
        <v>0</v>
      </c>
      <c r="G16" s="346">
        <f>SUMIF('5월'!$I$11:$I$94,연간_카드별지출!$B16,'5월'!$M$11:$M$94)</f>
        <v>0</v>
      </c>
      <c r="H16" s="346">
        <f>SUMIF('6월'!$I$11:$I$94,연간_카드별지출!$B16,'6월'!$M$11:$M$94)</f>
        <v>0</v>
      </c>
      <c r="I16" s="346">
        <f>SUMIF('7월'!$I$11:$I$94,연간_카드별지출!$B16,'7월'!$M$11:$M$94)</f>
        <v>0</v>
      </c>
      <c r="J16" s="346">
        <f>SUMIF('8월'!$I$11:$I$94,연간_카드별지출!$B16,'8월'!$M$11:$M$94)</f>
        <v>0</v>
      </c>
      <c r="K16" s="346">
        <f>SUMIF('9월'!$I$11:$I$94,연간_카드별지출!$B16,'9월'!$M$11:$M$94)</f>
        <v>0</v>
      </c>
      <c r="L16" s="346">
        <f>SUMIF('10월'!$I$11:$I$94,연간_카드별지출!$B16,'10월'!$M$11:$M$94)</f>
        <v>0</v>
      </c>
      <c r="M16" s="346">
        <f>SUMIF('11월'!$I$11:$I$94,연간_카드별지출!$B16,'11월'!$M$11:$M$94)</f>
        <v>0</v>
      </c>
      <c r="N16" s="346">
        <f>SUMIF('12월'!$I$11:$I$94,연간_카드별지출!$B16,'12월'!$M$11:$M$94)</f>
        <v>0</v>
      </c>
      <c r="O16" s="347">
        <f t="shared" si="0"/>
        <v>0</v>
      </c>
      <c r="P16" s="348">
        <f t="shared" si="1"/>
        <v>0</v>
      </c>
    </row>
    <row r="17" spans="2:18" ht="24.95" customHeight="1" thickBot="1" x14ac:dyDescent="0.35">
      <c r="B17" s="303" t="s">
        <v>266</v>
      </c>
      <c r="C17" s="362">
        <f t="shared" ref="C17:N17" si="2">SUM(C4:C16)</f>
        <v>0</v>
      </c>
      <c r="D17" s="363">
        <f t="shared" si="2"/>
        <v>0</v>
      </c>
      <c r="E17" s="363">
        <f t="shared" si="2"/>
        <v>0</v>
      </c>
      <c r="F17" s="363">
        <f t="shared" si="2"/>
        <v>0</v>
      </c>
      <c r="G17" s="363">
        <f t="shared" si="2"/>
        <v>0</v>
      </c>
      <c r="H17" s="363">
        <f t="shared" si="2"/>
        <v>0</v>
      </c>
      <c r="I17" s="363">
        <f t="shared" si="2"/>
        <v>0</v>
      </c>
      <c r="J17" s="363">
        <f t="shared" si="2"/>
        <v>0</v>
      </c>
      <c r="K17" s="363">
        <f t="shared" si="2"/>
        <v>0</v>
      </c>
      <c r="L17" s="363">
        <f t="shared" si="2"/>
        <v>0</v>
      </c>
      <c r="M17" s="363">
        <f t="shared" si="2"/>
        <v>0</v>
      </c>
      <c r="N17" s="364">
        <f t="shared" si="2"/>
        <v>0</v>
      </c>
      <c r="O17" s="362">
        <f>SUM(C17:N17)</f>
        <v>0</v>
      </c>
      <c r="P17" s="365">
        <f>O17/12</f>
        <v>0</v>
      </c>
    </row>
    <row r="18" spans="2:18" ht="24.95" customHeight="1" x14ac:dyDescent="0.3">
      <c r="B18" s="350" t="s">
        <v>163</v>
      </c>
      <c r="C18" s="451">
        <f t="shared" ref="C18:N18" si="3">SUMIF($B$4:$B$16,"*현금*",C$4:C$16)</f>
        <v>0</v>
      </c>
      <c r="D18" s="312">
        <f t="shared" si="3"/>
        <v>0</v>
      </c>
      <c r="E18" s="312">
        <f t="shared" si="3"/>
        <v>0</v>
      </c>
      <c r="F18" s="312">
        <f t="shared" si="3"/>
        <v>0</v>
      </c>
      <c r="G18" s="312">
        <f t="shared" si="3"/>
        <v>0</v>
      </c>
      <c r="H18" s="312">
        <f t="shared" si="3"/>
        <v>0</v>
      </c>
      <c r="I18" s="312">
        <f t="shared" si="3"/>
        <v>0</v>
      </c>
      <c r="J18" s="312">
        <f t="shared" si="3"/>
        <v>0</v>
      </c>
      <c r="K18" s="312">
        <f t="shared" si="3"/>
        <v>0</v>
      </c>
      <c r="L18" s="312">
        <f t="shared" si="3"/>
        <v>0</v>
      </c>
      <c r="M18" s="312">
        <f t="shared" si="3"/>
        <v>0</v>
      </c>
      <c r="N18" s="452">
        <f t="shared" si="3"/>
        <v>0</v>
      </c>
      <c r="O18" s="352">
        <f t="shared" si="0"/>
        <v>0</v>
      </c>
      <c r="P18" s="353">
        <f t="shared" si="1"/>
        <v>0</v>
      </c>
    </row>
    <row r="19" spans="2:18" ht="24.95" customHeight="1" x14ac:dyDescent="0.3">
      <c r="B19" s="354" t="s">
        <v>125</v>
      </c>
      <c r="C19" s="355">
        <f t="shared" ref="C19:N19" si="4">SUMIF($B$4:$B$16,"*신용*",C$4:C$16)</f>
        <v>0</v>
      </c>
      <c r="D19" s="65">
        <f t="shared" si="4"/>
        <v>0</v>
      </c>
      <c r="E19" s="65">
        <f t="shared" si="4"/>
        <v>0</v>
      </c>
      <c r="F19" s="65">
        <f t="shared" si="4"/>
        <v>0</v>
      </c>
      <c r="G19" s="65">
        <f t="shared" si="4"/>
        <v>0</v>
      </c>
      <c r="H19" s="65">
        <f t="shared" si="4"/>
        <v>0</v>
      </c>
      <c r="I19" s="65">
        <f t="shared" si="4"/>
        <v>0</v>
      </c>
      <c r="J19" s="65">
        <f t="shared" si="4"/>
        <v>0</v>
      </c>
      <c r="K19" s="65">
        <f t="shared" si="4"/>
        <v>0</v>
      </c>
      <c r="L19" s="65">
        <f t="shared" si="4"/>
        <v>0</v>
      </c>
      <c r="M19" s="65">
        <f t="shared" si="4"/>
        <v>0</v>
      </c>
      <c r="N19" s="356">
        <f t="shared" si="4"/>
        <v>0</v>
      </c>
      <c r="O19" s="347">
        <f>SUM(C19:N19)</f>
        <v>0</v>
      </c>
      <c r="P19" s="348">
        <f t="shared" ref="P19:P20" si="5">O19/12</f>
        <v>0</v>
      </c>
    </row>
    <row r="20" spans="2:18" ht="24.95" customHeight="1" thickBot="1" x14ac:dyDescent="0.35">
      <c r="B20" s="357" t="s">
        <v>126</v>
      </c>
      <c r="C20" s="358">
        <f t="shared" ref="C20:N20" si="6">SUMIF($B$4:$B$16,"*체크*",C$4:C$16)</f>
        <v>0</v>
      </c>
      <c r="D20" s="314">
        <f t="shared" si="6"/>
        <v>0</v>
      </c>
      <c r="E20" s="314">
        <f t="shared" si="6"/>
        <v>0</v>
      </c>
      <c r="F20" s="314">
        <f t="shared" si="6"/>
        <v>0</v>
      </c>
      <c r="G20" s="314">
        <f t="shared" si="6"/>
        <v>0</v>
      </c>
      <c r="H20" s="314">
        <f t="shared" si="6"/>
        <v>0</v>
      </c>
      <c r="I20" s="314">
        <f t="shared" si="6"/>
        <v>0</v>
      </c>
      <c r="J20" s="314">
        <f t="shared" si="6"/>
        <v>0</v>
      </c>
      <c r="K20" s="314">
        <f t="shared" si="6"/>
        <v>0</v>
      </c>
      <c r="L20" s="314">
        <f t="shared" si="6"/>
        <v>0</v>
      </c>
      <c r="M20" s="314">
        <f t="shared" si="6"/>
        <v>0</v>
      </c>
      <c r="N20" s="359">
        <f t="shared" si="6"/>
        <v>0</v>
      </c>
      <c r="O20" s="360">
        <f>SUM(C20:N20)</f>
        <v>0</v>
      </c>
      <c r="P20" s="361">
        <f t="shared" si="5"/>
        <v>0</v>
      </c>
      <c r="R20" s="30"/>
    </row>
    <row r="21" spans="2:18" ht="24.95" customHeight="1" thickBot="1" x14ac:dyDescent="0.35">
      <c r="B21" s="357" t="s">
        <v>327</v>
      </c>
      <c r="C21" s="358">
        <f>SUM(C18:C20)</f>
        <v>0</v>
      </c>
      <c r="D21" s="314">
        <f t="shared" ref="D21:N21" si="7">SUM(D18:D20)</f>
        <v>0</v>
      </c>
      <c r="E21" s="314">
        <f t="shared" si="7"/>
        <v>0</v>
      </c>
      <c r="F21" s="314">
        <f t="shared" si="7"/>
        <v>0</v>
      </c>
      <c r="G21" s="314">
        <f t="shared" si="7"/>
        <v>0</v>
      </c>
      <c r="H21" s="314">
        <f t="shared" si="7"/>
        <v>0</v>
      </c>
      <c r="I21" s="314">
        <f t="shared" si="7"/>
        <v>0</v>
      </c>
      <c r="J21" s="314">
        <f t="shared" si="7"/>
        <v>0</v>
      </c>
      <c r="K21" s="314">
        <f t="shared" si="7"/>
        <v>0</v>
      </c>
      <c r="L21" s="314">
        <f t="shared" si="7"/>
        <v>0</v>
      </c>
      <c r="M21" s="314">
        <f t="shared" si="7"/>
        <v>0</v>
      </c>
      <c r="N21" s="359">
        <f t="shared" si="7"/>
        <v>0</v>
      </c>
      <c r="O21" s="360">
        <f>SUM(C21:N21)</f>
        <v>0</v>
      </c>
      <c r="P21" s="361">
        <f t="shared" ref="P21" si="8">O21/12</f>
        <v>0</v>
      </c>
    </row>
    <row r="22" spans="2:18" ht="24.95" customHeight="1" x14ac:dyDescent="0.3">
      <c r="B22" s="366" t="s">
        <v>164</v>
      </c>
      <c r="C22" s="367" t="str">
        <f>IF(SUM(C18:C20)&gt;0,C18/C$21,"")</f>
        <v/>
      </c>
      <c r="D22" s="368" t="str">
        <f t="shared" ref="D22:N22" si="9">IF(SUM(D18:D20)&gt;0,D18/D$21,"")</f>
        <v/>
      </c>
      <c r="E22" s="368" t="str">
        <f t="shared" si="9"/>
        <v/>
      </c>
      <c r="F22" s="368" t="str">
        <f t="shared" si="9"/>
        <v/>
      </c>
      <c r="G22" s="368" t="str">
        <f t="shared" si="9"/>
        <v/>
      </c>
      <c r="H22" s="368" t="str">
        <f t="shared" si="9"/>
        <v/>
      </c>
      <c r="I22" s="368" t="str">
        <f t="shared" si="9"/>
        <v/>
      </c>
      <c r="J22" s="368" t="str">
        <f t="shared" si="9"/>
        <v/>
      </c>
      <c r="K22" s="368" t="str">
        <f t="shared" si="9"/>
        <v/>
      </c>
      <c r="L22" s="368" t="str">
        <f t="shared" si="9"/>
        <v/>
      </c>
      <c r="M22" s="368" t="str">
        <f t="shared" si="9"/>
        <v/>
      </c>
      <c r="N22" s="369" t="str">
        <f t="shared" si="9"/>
        <v/>
      </c>
      <c r="O22" s="370" t="str">
        <f>IF(SUM(O18:O20)&gt;0,O18/O$21,"")</f>
        <v/>
      </c>
      <c r="P22" s="353"/>
    </row>
    <row r="23" spans="2:18" ht="24.95" customHeight="1" x14ac:dyDescent="0.3">
      <c r="B23" s="354" t="s">
        <v>157</v>
      </c>
      <c r="C23" s="371" t="str">
        <f>IF(SUM(C18:C20)&gt;0,C19/C$21,"")</f>
        <v/>
      </c>
      <c r="D23" s="372" t="str">
        <f t="shared" ref="D23:N23" si="10">IF(SUM(D18:D20)&gt;0,D19/D$21,"")</f>
        <v/>
      </c>
      <c r="E23" s="372" t="str">
        <f t="shared" si="10"/>
        <v/>
      </c>
      <c r="F23" s="372" t="str">
        <f t="shared" si="10"/>
        <v/>
      </c>
      <c r="G23" s="372" t="str">
        <f t="shared" si="10"/>
        <v/>
      </c>
      <c r="H23" s="372" t="str">
        <f t="shared" si="10"/>
        <v/>
      </c>
      <c r="I23" s="372" t="str">
        <f t="shared" si="10"/>
        <v/>
      </c>
      <c r="J23" s="372" t="str">
        <f t="shared" si="10"/>
        <v/>
      </c>
      <c r="K23" s="372" t="str">
        <f t="shared" si="10"/>
        <v/>
      </c>
      <c r="L23" s="372" t="str">
        <f t="shared" si="10"/>
        <v/>
      </c>
      <c r="M23" s="372" t="str">
        <f t="shared" si="10"/>
        <v/>
      </c>
      <c r="N23" s="373" t="str">
        <f t="shared" si="10"/>
        <v/>
      </c>
      <c r="O23" s="370" t="str">
        <f>IF(SUM(O18:O20)&gt;0,O19/O$21,"")</f>
        <v/>
      </c>
      <c r="P23" s="374"/>
    </row>
    <row r="24" spans="2:18" ht="24.95" customHeight="1" thickBot="1" x14ac:dyDescent="0.35">
      <c r="B24" s="357" t="s">
        <v>158</v>
      </c>
      <c r="C24" s="375" t="str">
        <f>IF(SUM(C18:C20)&gt;0,C20/C$21,"")</f>
        <v/>
      </c>
      <c r="D24" s="376" t="str">
        <f t="shared" ref="D24:N24" si="11">IF(SUM(D18:D20)&gt;0,D20/D$21,"")</f>
        <v/>
      </c>
      <c r="E24" s="376" t="str">
        <f t="shared" si="11"/>
        <v/>
      </c>
      <c r="F24" s="376" t="str">
        <f t="shared" si="11"/>
        <v/>
      </c>
      <c r="G24" s="376" t="str">
        <f t="shared" si="11"/>
        <v/>
      </c>
      <c r="H24" s="376" t="str">
        <f t="shared" si="11"/>
        <v/>
      </c>
      <c r="I24" s="376" t="str">
        <f t="shared" si="11"/>
        <v/>
      </c>
      <c r="J24" s="376" t="str">
        <f t="shared" si="11"/>
        <v/>
      </c>
      <c r="K24" s="376" t="str">
        <f t="shared" si="11"/>
        <v/>
      </c>
      <c r="L24" s="376" t="str">
        <f t="shared" si="11"/>
        <v/>
      </c>
      <c r="M24" s="376" t="str">
        <f t="shared" si="11"/>
        <v/>
      </c>
      <c r="N24" s="377" t="str">
        <f t="shared" si="11"/>
        <v/>
      </c>
      <c r="O24" s="378" t="str">
        <f>IF(SUM(O18:O20)&gt;0,O20/O$21,"")</f>
        <v/>
      </c>
      <c r="P24" s="379"/>
    </row>
    <row r="25" spans="2:18" ht="24.95" customHeight="1" thickBot="1" x14ac:dyDescent="0.35">
      <c r="B25" s="380" t="s">
        <v>162</v>
      </c>
      <c r="C25" s="381">
        <f>SUM(C22:C24)</f>
        <v>0</v>
      </c>
      <c r="D25" s="382">
        <f t="shared" ref="D25:N25" si="12">SUM(D22:D24)</f>
        <v>0</v>
      </c>
      <c r="E25" s="382">
        <f t="shared" si="12"/>
        <v>0</v>
      </c>
      <c r="F25" s="382">
        <f t="shared" si="12"/>
        <v>0</v>
      </c>
      <c r="G25" s="382">
        <f t="shared" si="12"/>
        <v>0</v>
      </c>
      <c r="H25" s="382">
        <f t="shared" si="12"/>
        <v>0</v>
      </c>
      <c r="I25" s="382">
        <f t="shared" si="12"/>
        <v>0</v>
      </c>
      <c r="J25" s="382">
        <f t="shared" si="12"/>
        <v>0</v>
      </c>
      <c r="K25" s="382">
        <f t="shared" si="12"/>
        <v>0</v>
      </c>
      <c r="L25" s="382">
        <f t="shared" si="12"/>
        <v>0</v>
      </c>
      <c r="M25" s="382">
        <f t="shared" si="12"/>
        <v>0</v>
      </c>
      <c r="N25" s="383">
        <f t="shared" si="12"/>
        <v>0</v>
      </c>
      <c r="O25" s="384">
        <f>SUM(O22:O24)</f>
        <v>0</v>
      </c>
      <c r="P25" s="385"/>
    </row>
    <row r="27" spans="2:18" ht="20.100000000000001" customHeight="1" x14ac:dyDescent="0.3">
      <c r="B27" s="228"/>
    </row>
    <row r="28" spans="2:18" ht="30" customHeight="1" x14ac:dyDescent="0.3"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229"/>
      <c r="P28" s="229"/>
    </row>
    <row r="29" spans="2:18" ht="18" customHeight="1" x14ac:dyDescent="0.3">
      <c r="B29" s="31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1"/>
      <c r="P29" s="231"/>
    </row>
    <row r="30" spans="2:18" ht="18" customHeight="1" x14ac:dyDescent="0.3">
      <c r="B30" s="31"/>
      <c r="C30" s="230"/>
      <c r="D30" s="230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1"/>
      <c r="P30" s="231"/>
    </row>
    <row r="31" spans="2:18" ht="30" customHeight="1" x14ac:dyDescent="0.3">
      <c r="B31" s="229"/>
      <c r="C31" s="231"/>
      <c r="D31" s="231"/>
      <c r="E31" s="231"/>
      <c r="F31" s="231"/>
      <c r="G31" s="231"/>
      <c r="H31" s="231"/>
      <c r="I31" s="231"/>
      <c r="J31" s="231"/>
      <c r="K31" s="231"/>
      <c r="L31" s="231"/>
      <c r="M31" s="231"/>
      <c r="N31" s="231"/>
      <c r="O31" s="231"/>
      <c r="P31" s="232"/>
    </row>
  </sheetData>
  <mergeCells count="1">
    <mergeCell ref="B1:C1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7"/>
    <pageSetUpPr autoPageBreaks="0" fitToPage="1"/>
  </sheetPr>
  <dimension ref="A1:Q123"/>
  <sheetViews>
    <sheetView showGridLines="0" zoomScaleNormal="100" workbookViewId="0">
      <selection activeCell="C4" sqref="C4"/>
    </sheetView>
  </sheetViews>
  <sheetFormatPr defaultRowHeight="16.5" x14ac:dyDescent="0.3"/>
  <cols>
    <col min="1" max="1" width="4.625" customWidth="1"/>
    <col min="2" max="2" width="12.625" customWidth="1"/>
    <col min="3" max="16" width="10.625" customWidth="1"/>
    <col min="17" max="17" width="4.625" customWidth="1"/>
  </cols>
  <sheetData>
    <row r="1" spans="1:17" ht="40.5" customHeight="1" x14ac:dyDescent="0.3">
      <c r="A1" s="14"/>
      <c r="B1" s="590" t="s">
        <v>192</v>
      </c>
      <c r="C1" s="590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7.25" thickBot="1" x14ac:dyDescent="0.35"/>
    <row r="3" spans="1:17" ht="30" customHeight="1" thickBot="1" x14ac:dyDescent="0.35">
      <c r="B3" s="264"/>
      <c r="C3" s="34" t="s">
        <v>45</v>
      </c>
      <c r="D3" s="35" t="s">
        <v>49</v>
      </c>
      <c r="E3" s="35" t="s">
        <v>51</v>
      </c>
      <c r="F3" s="35" t="s">
        <v>53</v>
      </c>
      <c r="G3" s="35" t="s">
        <v>55</v>
      </c>
      <c r="H3" s="35" t="s">
        <v>57</v>
      </c>
      <c r="I3" s="35" t="s">
        <v>58</v>
      </c>
      <c r="J3" s="35" t="s">
        <v>59</v>
      </c>
      <c r="K3" s="35" t="s">
        <v>60</v>
      </c>
      <c r="L3" s="35" t="s">
        <v>61</v>
      </c>
      <c r="M3" s="35" t="s">
        <v>62</v>
      </c>
      <c r="N3" s="36" t="s">
        <v>63</v>
      </c>
      <c r="O3" s="399" t="s">
        <v>5</v>
      </c>
      <c r="P3" s="399" t="s">
        <v>64</v>
      </c>
    </row>
    <row r="4" spans="1:17" ht="24.95" customHeight="1" thickBot="1" x14ac:dyDescent="0.35">
      <c r="B4" s="400" t="str">
        <f>항목!D3</f>
        <v>저축성지출</v>
      </c>
      <c r="C4" s="401">
        <f>SUMIF('1월'!$J$11:$J$94,연간_항목별지출!$B4,'1월'!$M$11:$M$94)</f>
        <v>0</v>
      </c>
      <c r="D4" s="401">
        <f>SUMIF('2월'!$J$11:$J$94,연간_항목별지출!$B4,'2월'!$M$11:$M$94)</f>
        <v>0</v>
      </c>
      <c r="E4" s="401">
        <f>SUMIF('3월'!$J$11:$J$94,연간_항목별지출!$B4,'3월'!$M$11:$M$94)</f>
        <v>0</v>
      </c>
      <c r="F4" s="401">
        <f>SUMIF('4월'!$J$11:$J$94,연간_항목별지출!$B4,'4월'!$M$11:$M$94)</f>
        <v>0</v>
      </c>
      <c r="G4" s="401">
        <f>SUMIF('5월'!$J$11:$J$94,연간_항목별지출!$B4,'5월'!$M$11:$M$94)</f>
        <v>0</v>
      </c>
      <c r="H4" s="401">
        <f>SUMIF('6월'!$J$11:$J$94,연간_항목별지출!$B4,'6월'!$M$11:$M$94)</f>
        <v>0</v>
      </c>
      <c r="I4" s="401">
        <f>SUMIF('7월'!$J$11:$J$94,연간_항목별지출!$B4,'7월'!$M$11:$M$94)</f>
        <v>0</v>
      </c>
      <c r="J4" s="401">
        <f>SUMIF('8월'!$J$11:$J$94,연간_항목별지출!$B4,'8월'!$M$11:$M$94)</f>
        <v>0</v>
      </c>
      <c r="K4" s="401">
        <f>SUMIF('9월'!$J$11:$J$94,연간_항목별지출!$B4,'9월'!$M$11:$M$94)</f>
        <v>0</v>
      </c>
      <c r="L4" s="401">
        <f>SUMIF('10월'!$J$11:$J$94,연간_항목별지출!$B4,'10월'!$M$11:$M$94)</f>
        <v>0</v>
      </c>
      <c r="M4" s="401">
        <f>SUMIF('11월'!$J$11:$J$94,연간_항목별지출!$B4,'11월'!$M$11:$M$94)</f>
        <v>0</v>
      </c>
      <c r="N4" s="401">
        <f>SUMIF('12월'!$J$11:$J$94,연간_항목별지출!$B4,'12월'!$M$11:$M$94)</f>
        <v>0</v>
      </c>
      <c r="O4" s="402">
        <f>SUM(C4:N4)</f>
        <v>0</v>
      </c>
      <c r="P4" s="402">
        <f>O4/12</f>
        <v>0</v>
      </c>
    </row>
    <row r="5" spans="1:17" ht="24.95" customHeight="1" thickBot="1" x14ac:dyDescent="0.35">
      <c r="B5" s="400" t="s">
        <v>73</v>
      </c>
      <c r="C5" s="401">
        <f t="shared" ref="C5:N5" si="0">SUM(C6:C18)</f>
        <v>0</v>
      </c>
      <c r="D5" s="453">
        <f t="shared" si="0"/>
        <v>0</v>
      </c>
      <c r="E5" s="453">
        <f t="shared" si="0"/>
        <v>0</v>
      </c>
      <c r="F5" s="453">
        <f t="shared" si="0"/>
        <v>0</v>
      </c>
      <c r="G5" s="453">
        <f t="shared" si="0"/>
        <v>0</v>
      </c>
      <c r="H5" s="453">
        <f t="shared" si="0"/>
        <v>0</v>
      </c>
      <c r="I5" s="453">
        <f t="shared" si="0"/>
        <v>0</v>
      </c>
      <c r="J5" s="453">
        <f t="shared" si="0"/>
        <v>0</v>
      </c>
      <c r="K5" s="453">
        <f t="shared" si="0"/>
        <v>0</v>
      </c>
      <c r="L5" s="453">
        <f t="shared" si="0"/>
        <v>0</v>
      </c>
      <c r="M5" s="453">
        <f t="shared" si="0"/>
        <v>0</v>
      </c>
      <c r="N5" s="454">
        <f t="shared" si="0"/>
        <v>0</v>
      </c>
      <c r="O5" s="402">
        <f>SUM(C5:N5)</f>
        <v>0</v>
      </c>
      <c r="P5" s="402">
        <f>O5/12</f>
        <v>0</v>
      </c>
    </row>
    <row r="6" spans="1:17" ht="18" customHeight="1" x14ac:dyDescent="0.3">
      <c r="B6" s="265" t="str">
        <f>항목!E3</f>
        <v>식비</v>
      </c>
      <c r="C6" s="346">
        <f>SUMIF('1월'!$J$11:$J$94,연간_항목별지출!$B6,'1월'!$M$11:$M$94)</f>
        <v>0</v>
      </c>
      <c r="D6" s="346">
        <f>SUMIF('2월'!$J$11:$J$94,연간_항목별지출!$B6,'2월'!$M$11:$M$94)</f>
        <v>0</v>
      </c>
      <c r="E6" s="346">
        <f>SUMIF('3월'!$J$11:$J$94,연간_항목별지출!$B6,'3월'!$M$11:$M$94)</f>
        <v>0</v>
      </c>
      <c r="F6" s="346">
        <f>SUMIF('4월'!$J$11:$J$94,연간_항목별지출!$B6,'4월'!$M$11:$M$94)</f>
        <v>0</v>
      </c>
      <c r="G6" s="346">
        <f>SUMIF('5월'!$J$11:$J$94,연간_항목별지출!$B6,'5월'!$M$11:$M$94)</f>
        <v>0</v>
      </c>
      <c r="H6" s="346">
        <f>SUMIF('6월'!$J$11:$J$94,연간_항목별지출!$B6,'6월'!$M$11:$M$94)</f>
        <v>0</v>
      </c>
      <c r="I6" s="346">
        <f>SUMIF('7월'!$J$11:$J$94,연간_항목별지출!$B6,'7월'!$M$11:$M$94)</f>
        <v>0</v>
      </c>
      <c r="J6" s="346">
        <f>SUMIF('8월'!$J$11:$J$94,연간_항목별지출!$B6,'8월'!$M$11:$M$94)</f>
        <v>0</v>
      </c>
      <c r="K6" s="346">
        <f>SUMIF('9월'!$J$11:$J$94,연간_항목별지출!$B6,'9월'!$M$11:$M$94)</f>
        <v>0</v>
      </c>
      <c r="L6" s="346">
        <f>SUMIF('10월'!$J$11:$J$94,연간_항목별지출!$B6,'10월'!$M$11:$M$94)</f>
        <v>0</v>
      </c>
      <c r="M6" s="346">
        <f>SUMIF('11월'!$J$11:$J$94,연간_항목별지출!$B6,'11월'!$M$11:$M$94)</f>
        <v>0</v>
      </c>
      <c r="N6" s="346">
        <f>SUMIF('12월'!$J$11:$J$94,연간_항목별지출!$B6,'12월'!$M$11:$M$94)</f>
        <v>0</v>
      </c>
      <c r="O6" s="403">
        <f t="shared" ref="O6:O18" si="1">SUM(C6:N6)</f>
        <v>0</v>
      </c>
      <c r="P6" s="403">
        <f t="shared" ref="P6:P18" si="2">O6/12</f>
        <v>0</v>
      </c>
    </row>
    <row r="7" spans="1:17" ht="18" customHeight="1" x14ac:dyDescent="0.3">
      <c r="B7" s="266" t="str">
        <f>항목!F3</f>
        <v>주거비</v>
      </c>
      <c r="C7" s="346">
        <f>SUMIF('1월'!$J$11:$J$94,연간_항목별지출!$B7,'1월'!$M$11:$M$94)</f>
        <v>0</v>
      </c>
      <c r="D7" s="346">
        <f>SUMIF('2월'!$J$11:$J$94,연간_항목별지출!$B7,'2월'!$M$11:$M$94)</f>
        <v>0</v>
      </c>
      <c r="E7" s="346">
        <f>SUMIF('3월'!$J$11:$J$94,연간_항목별지출!$B7,'3월'!$M$11:$M$94)</f>
        <v>0</v>
      </c>
      <c r="F7" s="346">
        <f>SUMIF('4월'!$J$11:$J$94,연간_항목별지출!$B7,'4월'!$M$11:$M$94)</f>
        <v>0</v>
      </c>
      <c r="G7" s="346">
        <f>SUMIF('5월'!$J$11:$J$94,연간_항목별지출!$B7,'5월'!$M$11:$M$94)</f>
        <v>0</v>
      </c>
      <c r="H7" s="346">
        <f>SUMIF('6월'!$J$11:$J$94,연간_항목별지출!$B7,'6월'!$M$11:$M$94)</f>
        <v>0</v>
      </c>
      <c r="I7" s="346">
        <f>SUMIF('7월'!$J$11:$J$94,연간_항목별지출!$B7,'7월'!$M$11:$M$94)</f>
        <v>0</v>
      </c>
      <c r="J7" s="346">
        <f>SUMIF('8월'!$J$11:$J$94,연간_항목별지출!$B7,'8월'!$M$11:$M$94)</f>
        <v>0</v>
      </c>
      <c r="K7" s="346">
        <f>SUMIF('9월'!$J$11:$J$94,연간_항목별지출!$B7,'9월'!$M$11:$M$94)</f>
        <v>0</v>
      </c>
      <c r="L7" s="346">
        <f>SUMIF('10월'!$J$11:$J$94,연간_항목별지출!$B7,'10월'!$M$11:$M$94)</f>
        <v>0</v>
      </c>
      <c r="M7" s="346">
        <f>SUMIF('11월'!$J$11:$J$94,연간_항목별지출!$B7,'11월'!$M$11:$M$94)</f>
        <v>0</v>
      </c>
      <c r="N7" s="346">
        <f>SUMIF('12월'!$J$11:$J$94,연간_항목별지출!$B7,'12월'!$M$11:$M$94)</f>
        <v>0</v>
      </c>
      <c r="O7" s="403">
        <f t="shared" si="1"/>
        <v>0</v>
      </c>
      <c r="P7" s="403">
        <f t="shared" si="2"/>
        <v>0</v>
      </c>
    </row>
    <row r="8" spans="1:17" ht="18" customHeight="1" x14ac:dyDescent="0.3">
      <c r="B8" s="266" t="str">
        <f>항목!G3</f>
        <v>생활용품비</v>
      </c>
      <c r="C8" s="346">
        <f>SUMIF('1월'!$J$11:$J$94,연간_항목별지출!$B8,'1월'!$M$11:$M$94)</f>
        <v>0</v>
      </c>
      <c r="D8" s="346">
        <f>SUMIF('2월'!$J$11:$J$94,연간_항목별지출!$B8,'2월'!$M$11:$M$94)</f>
        <v>0</v>
      </c>
      <c r="E8" s="346">
        <f>SUMIF('3월'!$J$11:$J$94,연간_항목별지출!$B8,'3월'!$M$11:$M$94)</f>
        <v>0</v>
      </c>
      <c r="F8" s="346">
        <f>SUMIF('4월'!$J$11:$J$94,연간_항목별지출!$B8,'4월'!$M$11:$M$94)</f>
        <v>0</v>
      </c>
      <c r="G8" s="346">
        <f>SUMIF('5월'!$J$11:$J$94,연간_항목별지출!$B8,'5월'!$M$11:$M$94)</f>
        <v>0</v>
      </c>
      <c r="H8" s="346">
        <f>SUMIF('6월'!$J$11:$J$94,연간_항목별지출!$B8,'6월'!$M$11:$M$94)</f>
        <v>0</v>
      </c>
      <c r="I8" s="346">
        <f>SUMIF('7월'!$J$11:$J$94,연간_항목별지출!$B8,'7월'!$M$11:$M$94)</f>
        <v>0</v>
      </c>
      <c r="J8" s="346">
        <f>SUMIF('8월'!$J$11:$J$94,연간_항목별지출!$B8,'8월'!$M$11:$M$94)</f>
        <v>0</v>
      </c>
      <c r="K8" s="346">
        <f>SUMIF('9월'!$J$11:$J$94,연간_항목별지출!$B8,'9월'!$M$11:$M$94)</f>
        <v>0</v>
      </c>
      <c r="L8" s="346">
        <f>SUMIF('10월'!$J$11:$J$94,연간_항목별지출!$B8,'10월'!$M$11:$M$94)</f>
        <v>0</v>
      </c>
      <c r="M8" s="346">
        <f>SUMIF('11월'!$J$11:$J$94,연간_항목별지출!$B8,'11월'!$M$11:$M$94)</f>
        <v>0</v>
      </c>
      <c r="N8" s="346">
        <f>SUMIF('12월'!$J$11:$J$94,연간_항목별지출!$B8,'12월'!$M$11:$M$94)</f>
        <v>0</v>
      </c>
      <c r="O8" s="403">
        <f t="shared" si="1"/>
        <v>0</v>
      </c>
      <c r="P8" s="403">
        <f t="shared" si="2"/>
        <v>0</v>
      </c>
    </row>
    <row r="9" spans="1:17" ht="18" customHeight="1" x14ac:dyDescent="0.3">
      <c r="B9" s="266" t="str">
        <f>항목!H3</f>
        <v>반려동물비</v>
      </c>
      <c r="C9" s="346">
        <f>SUMIF('1월'!$J$11:$J$94,연간_항목별지출!$B9,'1월'!$M$11:$M$94)</f>
        <v>0</v>
      </c>
      <c r="D9" s="346">
        <f>SUMIF('2월'!$J$11:$J$94,연간_항목별지출!$B9,'2월'!$M$11:$M$94)</f>
        <v>0</v>
      </c>
      <c r="E9" s="346">
        <f>SUMIF('3월'!$J$11:$J$94,연간_항목별지출!$B9,'3월'!$M$11:$M$94)</f>
        <v>0</v>
      </c>
      <c r="F9" s="346">
        <f>SUMIF('4월'!$J$11:$J$94,연간_항목별지출!$B9,'4월'!$M$11:$M$94)</f>
        <v>0</v>
      </c>
      <c r="G9" s="346">
        <f>SUMIF('5월'!$J$11:$J$94,연간_항목별지출!$B9,'5월'!$M$11:$M$94)</f>
        <v>0</v>
      </c>
      <c r="H9" s="346">
        <f>SUMIF('6월'!$J$11:$J$94,연간_항목별지출!$B9,'6월'!$M$11:$M$94)</f>
        <v>0</v>
      </c>
      <c r="I9" s="346">
        <f>SUMIF('7월'!$J$11:$J$94,연간_항목별지출!$B9,'7월'!$M$11:$M$94)</f>
        <v>0</v>
      </c>
      <c r="J9" s="346">
        <f>SUMIF('8월'!$J$11:$J$94,연간_항목별지출!$B9,'8월'!$M$11:$M$94)</f>
        <v>0</v>
      </c>
      <c r="K9" s="346">
        <f>SUMIF('9월'!$J$11:$J$94,연간_항목별지출!$B9,'9월'!$M$11:$M$94)</f>
        <v>0</v>
      </c>
      <c r="L9" s="346">
        <f>SUMIF('10월'!$J$11:$J$94,연간_항목별지출!$B9,'10월'!$M$11:$M$94)</f>
        <v>0</v>
      </c>
      <c r="M9" s="346">
        <f>SUMIF('11월'!$J$11:$J$94,연간_항목별지출!$B9,'11월'!$M$11:$M$94)</f>
        <v>0</v>
      </c>
      <c r="N9" s="346">
        <f>SUMIF('12월'!$J$11:$J$94,연간_항목별지출!$B9,'12월'!$M$11:$M$94)</f>
        <v>0</v>
      </c>
      <c r="O9" s="403">
        <f t="shared" si="1"/>
        <v>0</v>
      </c>
      <c r="P9" s="403">
        <f t="shared" si="2"/>
        <v>0</v>
      </c>
    </row>
    <row r="10" spans="1:17" ht="18" customHeight="1" x14ac:dyDescent="0.3">
      <c r="B10" s="266" t="str">
        <f>항목!I3</f>
        <v>의류비</v>
      </c>
      <c r="C10" s="346">
        <f>SUMIF('1월'!$J$11:$J$94,연간_항목별지출!$B10,'1월'!$M$11:$M$94)</f>
        <v>0</v>
      </c>
      <c r="D10" s="346">
        <f>SUMIF('2월'!$J$11:$J$94,연간_항목별지출!$B10,'2월'!$M$11:$M$94)</f>
        <v>0</v>
      </c>
      <c r="E10" s="346">
        <f>SUMIF('3월'!$J$11:$J$94,연간_항목별지출!$B10,'3월'!$M$11:$M$94)</f>
        <v>0</v>
      </c>
      <c r="F10" s="346">
        <f>SUMIF('4월'!$J$11:$J$94,연간_항목별지출!$B10,'4월'!$M$11:$M$94)</f>
        <v>0</v>
      </c>
      <c r="G10" s="346">
        <f>SUMIF('5월'!$J$11:$J$94,연간_항목별지출!$B10,'5월'!$M$11:$M$94)</f>
        <v>0</v>
      </c>
      <c r="H10" s="346">
        <f>SUMIF('6월'!$J$11:$J$94,연간_항목별지출!$B10,'6월'!$M$11:$M$94)</f>
        <v>0</v>
      </c>
      <c r="I10" s="346">
        <f>SUMIF('7월'!$J$11:$J$94,연간_항목별지출!$B10,'7월'!$M$11:$M$94)</f>
        <v>0</v>
      </c>
      <c r="J10" s="346">
        <f>SUMIF('8월'!$J$11:$J$94,연간_항목별지출!$B10,'8월'!$M$11:$M$94)</f>
        <v>0</v>
      </c>
      <c r="K10" s="346">
        <f>SUMIF('9월'!$J$11:$J$94,연간_항목별지출!$B10,'9월'!$M$11:$M$94)</f>
        <v>0</v>
      </c>
      <c r="L10" s="346">
        <f>SUMIF('10월'!$J$11:$J$94,연간_항목별지출!$B10,'10월'!$M$11:$M$94)</f>
        <v>0</v>
      </c>
      <c r="M10" s="346">
        <f>SUMIF('11월'!$J$11:$J$94,연간_항목별지출!$B10,'11월'!$M$11:$M$94)</f>
        <v>0</v>
      </c>
      <c r="N10" s="346">
        <f>SUMIF('12월'!$J$11:$J$94,연간_항목별지출!$B10,'12월'!$M$11:$M$94)</f>
        <v>0</v>
      </c>
      <c r="O10" s="403">
        <f t="shared" si="1"/>
        <v>0</v>
      </c>
      <c r="P10" s="403">
        <f t="shared" si="2"/>
        <v>0</v>
      </c>
    </row>
    <row r="11" spans="1:17" ht="18" customHeight="1" x14ac:dyDescent="0.3">
      <c r="B11" s="266" t="str">
        <f>항목!J3</f>
        <v>미용비</v>
      </c>
      <c r="C11" s="346">
        <f>SUMIF('1월'!$J$11:$J$94,연간_항목별지출!$B11,'1월'!$M$11:$M$94)</f>
        <v>0</v>
      </c>
      <c r="D11" s="346">
        <f>SUMIF('2월'!$J$11:$J$94,연간_항목별지출!$B11,'2월'!$M$11:$M$94)</f>
        <v>0</v>
      </c>
      <c r="E11" s="346">
        <f>SUMIF('3월'!$J$11:$J$94,연간_항목별지출!$B11,'3월'!$M$11:$M$94)</f>
        <v>0</v>
      </c>
      <c r="F11" s="346">
        <f>SUMIF('4월'!$J$11:$J$94,연간_항목별지출!$B11,'4월'!$M$11:$M$94)</f>
        <v>0</v>
      </c>
      <c r="G11" s="346">
        <f>SUMIF('5월'!$J$11:$J$94,연간_항목별지출!$B11,'5월'!$M$11:$M$94)</f>
        <v>0</v>
      </c>
      <c r="H11" s="346">
        <f>SUMIF('6월'!$J$11:$J$94,연간_항목별지출!$B11,'6월'!$M$11:$M$94)</f>
        <v>0</v>
      </c>
      <c r="I11" s="346">
        <f>SUMIF('7월'!$J$11:$J$94,연간_항목별지출!$B11,'7월'!$M$11:$M$94)</f>
        <v>0</v>
      </c>
      <c r="J11" s="346">
        <f>SUMIF('8월'!$J$11:$J$94,연간_항목별지출!$B11,'8월'!$M$11:$M$94)</f>
        <v>0</v>
      </c>
      <c r="K11" s="346">
        <f>SUMIF('9월'!$J$11:$J$94,연간_항목별지출!$B11,'9월'!$M$11:$M$94)</f>
        <v>0</v>
      </c>
      <c r="L11" s="346">
        <f>SUMIF('10월'!$J$11:$J$94,연간_항목별지출!$B11,'10월'!$M$11:$M$94)</f>
        <v>0</v>
      </c>
      <c r="M11" s="346">
        <f>SUMIF('11월'!$J$11:$J$94,연간_항목별지출!$B11,'11월'!$M$11:$M$94)</f>
        <v>0</v>
      </c>
      <c r="N11" s="346">
        <f>SUMIF('12월'!$J$11:$J$94,연간_항목별지출!$B11,'12월'!$M$11:$M$94)</f>
        <v>0</v>
      </c>
      <c r="O11" s="403">
        <f t="shared" si="1"/>
        <v>0</v>
      </c>
      <c r="P11" s="403">
        <f t="shared" si="2"/>
        <v>0</v>
      </c>
    </row>
    <row r="12" spans="1:17" ht="18" customHeight="1" x14ac:dyDescent="0.3">
      <c r="B12" s="266" t="str">
        <f>항목!K3</f>
        <v>교육계발비</v>
      </c>
      <c r="C12" s="346">
        <f>SUMIF('1월'!$J$11:$J$94,연간_항목별지출!$B12,'1월'!$M$11:$M$94)</f>
        <v>0</v>
      </c>
      <c r="D12" s="346">
        <f>SUMIF('2월'!$J$11:$J$94,연간_항목별지출!$B12,'2월'!$M$11:$M$94)</f>
        <v>0</v>
      </c>
      <c r="E12" s="346">
        <f>SUMIF('3월'!$J$11:$J$94,연간_항목별지출!$B12,'3월'!$M$11:$M$94)</f>
        <v>0</v>
      </c>
      <c r="F12" s="346">
        <f>SUMIF('4월'!$J$11:$J$94,연간_항목별지출!$B12,'4월'!$M$11:$M$94)</f>
        <v>0</v>
      </c>
      <c r="G12" s="346">
        <f>SUMIF('5월'!$J$11:$J$94,연간_항목별지출!$B12,'5월'!$M$11:$M$94)</f>
        <v>0</v>
      </c>
      <c r="H12" s="346">
        <f>SUMIF('6월'!$J$11:$J$94,연간_항목별지출!$B12,'6월'!$M$11:$M$94)</f>
        <v>0</v>
      </c>
      <c r="I12" s="346">
        <f>SUMIF('7월'!$J$11:$J$94,연간_항목별지출!$B12,'7월'!$M$11:$M$94)</f>
        <v>0</v>
      </c>
      <c r="J12" s="346">
        <f>SUMIF('8월'!$J$11:$J$94,연간_항목별지출!$B12,'8월'!$M$11:$M$94)</f>
        <v>0</v>
      </c>
      <c r="K12" s="346">
        <f>SUMIF('9월'!$J$11:$J$94,연간_항목별지출!$B12,'9월'!$M$11:$M$94)</f>
        <v>0</v>
      </c>
      <c r="L12" s="346">
        <f>SUMIF('10월'!$J$11:$J$94,연간_항목별지출!$B12,'10월'!$M$11:$M$94)</f>
        <v>0</v>
      </c>
      <c r="M12" s="346">
        <f>SUMIF('11월'!$J$11:$J$94,연간_항목별지출!$B12,'11월'!$M$11:$M$94)</f>
        <v>0</v>
      </c>
      <c r="N12" s="346">
        <f>SUMIF('12월'!$J$11:$J$94,연간_항목별지출!$B12,'12월'!$M$11:$M$94)</f>
        <v>0</v>
      </c>
      <c r="O12" s="403">
        <f t="shared" si="1"/>
        <v>0</v>
      </c>
      <c r="P12" s="403">
        <f t="shared" si="2"/>
        <v>0</v>
      </c>
    </row>
    <row r="13" spans="1:17" ht="18" customHeight="1" x14ac:dyDescent="0.3">
      <c r="B13" s="266" t="str">
        <f>항목!L3</f>
        <v>문화생활비</v>
      </c>
      <c r="C13" s="346">
        <f>SUMIF('1월'!$J$11:$J$94,연간_항목별지출!$B13,'1월'!$M$11:$M$94)</f>
        <v>0</v>
      </c>
      <c r="D13" s="346">
        <f>SUMIF('2월'!$J$11:$J$94,연간_항목별지출!$B13,'2월'!$M$11:$M$94)</f>
        <v>0</v>
      </c>
      <c r="E13" s="346">
        <f>SUMIF('3월'!$J$11:$J$94,연간_항목별지출!$B13,'3월'!$M$11:$M$94)</f>
        <v>0</v>
      </c>
      <c r="F13" s="346">
        <f>SUMIF('4월'!$J$11:$J$94,연간_항목별지출!$B13,'4월'!$M$11:$M$94)</f>
        <v>0</v>
      </c>
      <c r="G13" s="346">
        <f>SUMIF('5월'!$J$11:$J$94,연간_항목별지출!$B13,'5월'!$M$11:$M$94)</f>
        <v>0</v>
      </c>
      <c r="H13" s="346">
        <f>SUMIF('6월'!$J$11:$J$94,연간_항목별지출!$B13,'6월'!$M$11:$M$94)</f>
        <v>0</v>
      </c>
      <c r="I13" s="346">
        <f>SUMIF('7월'!$J$11:$J$94,연간_항목별지출!$B13,'7월'!$M$11:$M$94)</f>
        <v>0</v>
      </c>
      <c r="J13" s="346">
        <f>SUMIF('8월'!$J$11:$J$94,연간_항목별지출!$B13,'8월'!$M$11:$M$94)</f>
        <v>0</v>
      </c>
      <c r="K13" s="346">
        <f>SUMIF('9월'!$J$11:$J$94,연간_항목별지출!$B13,'9월'!$M$11:$M$94)</f>
        <v>0</v>
      </c>
      <c r="L13" s="346">
        <f>SUMIF('10월'!$J$11:$J$94,연간_항목별지출!$B13,'10월'!$M$11:$M$94)</f>
        <v>0</v>
      </c>
      <c r="M13" s="346">
        <f>SUMIF('11월'!$J$11:$J$94,연간_항목별지출!$B13,'11월'!$M$11:$M$94)</f>
        <v>0</v>
      </c>
      <c r="N13" s="346">
        <f>SUMIF('12월'!$J$11:$J$94,연간_항목별지출!$B13,'12월'!$M$11:$M$94)</f>
        <v>0</v>
      </c>
      <c r="O13" s="403">
        <f t="shared" si="1"/>
        <v>0</v>
      </c>
      <c r="P13" s="403">
        <f t="shared" si="2"/>
        <v>0</v>
      </c>
    </row>
    <row r="14" spans="1:17" ht="18" customHeight="1" x14ac:dyDescent="0.3">
      <c r="B14" s="266" t="str">
        <f>항목!M3</f>
        <v>의료비</v>
      </c>
      <c r="C14" s="346">
        <f>SUMIF('1월'!$J$11:$J$94,연간_항목별지출!$B14,'1월'!$M$11:$M$94)</f>
        <v>0</v>
      </c>
      <c r="D14" s="346">
        <f>SUMIF('2월'!$J$11:$J$94,연간_항목별지출!$B14,'2월'!$M$11:$M$94)</f>
        <v>0</v>
      </c>
      <c r="E14" s="346">
        <f>SUMIF('3월'!$J$11:$J$94,연간_항목별지출!$B14,'3월'!$M$11:$M$94)</f>
        <v>0</v>
      </c>
      <c r="F14" s="346">
        <f>SUMIF('4월'!$J$11:$J$94,연간_항목별지출!$B14,'4월'!$M$11:$M$94)</f>
        <v>0</v>
      </c>
      <c r="G14" s="346">
        <f>SUMIF('5월'!$J$11:$J$94,연간_항목별지출!$B14,'5월'!$M$11:$M$94)</f>
        <v>0</v>
      </c>
      <c r="H14" s="346">
        <f>SUMIF('6월'!$J$11:$J$94,연간_항목별지출!$B14,'6월'!$M$11:$M$94)</f>
        <v>0</v>
      </c>
      <c r="I14" s="346">
        <f>SUMIF('7월'!$J$11:$J$94,연간_항목별지출!$B14,'7월'!$M$11:$M$94)</f>
        <v>0</v>
      </c>
      <c r="J14" s="346">
        <f>SUMIF('8월'!$J$11:$J$94,연간_항목별지출!$B14,'8월'!$M$11:$M$94)</f>
        <v>0</v>
      </c>
      <c r="K14" s="346">
        <f>SUMIF('9월'!$J$11:$J$94,연간_항목별지출!$B14,'9월'!$M$11:$M$94)</f>
        <v>0</v>
      </c>
      <c r="L14" s="346">
        <f>SUMIF('10월'!$J$11:$J$94,연간_항목별지출!$B14,'10월'!$M$11:$M$94)</f>
        <v>0</v>
      </c>
      <c r="M14" s="346">
        <f>SUMIF('11월'!$J$11:$J$94,연간_항목별지출!$B14,'11월'!$M$11:$M$94)</f>
        <v>0</v>
      </c>
      <c r="N14" s="346">
        <f>SUMIF('12월'!$J$11:$J$94,연간_항목별지출!$B14,'12월'!$M$11:$M$94)</f>
        <v>0</v>
      </c>
      <c r="O14" s="403">
        <f t="shared" si="1"/>
        <v>0</v>
      </c>
      <c r="P14" s="403">
        <f t="shared" si="2"/>
        <v>0</v>
      </c>
    </row>
    <row r="15" spans="1:17" ht="18" customHeight="1" x14ac:dyDescent="0.3">
      <c r="B15" s="266" t="str">
        <f>항목!N3</f>
        <v>유류교통비</v>
      </c>
      <c r="C15" s="346">
        <f>SUMIF('1월'!$J$11:$J$94,연간_항목별지출!$B15,'1월'!$M$11:$M$94)</f>
        <v>0</v>
      </c>
      <c r="D15" s="346">
        <f>SUMIF('2월'!$J$11:$J$94,연간_항목별지출!$B15,'2월'!$M$11:$M$94)</f>
        <v>0</v>
      </c>
      <c r="E15" s="346">
        <f>SUMIF('3월'!$J$11:$J$94,연간_항목별지출!$B15,'3월'!$M$11:$M$94)</f>
        <v>0</v>
      </c>
      <c r="F15" s="346">
        <f>SUMIF('4월'!$J$11:$J$94,연간_항목별지출!$B15,'4월'!$M$11:$M$94)</f>
        <v>0</v>
      </c>
      <c r="G15" s="346">
        <f>SUMIF('5월'!$J$11:$J$94,연간_항목별지출!$B15,'5월'!$M$11:$M$94)</f>
        <v>0</v>
      </c>
      <c r="H15" s="346">
        <f>SUMIF('6월'!$J$11:$J$94,연간_항목별지출!$B15,'6월'!$M$11:$M$94)</f>
        <v>0</v>
      </c>
      <c r="I15" s="346">
        <f>SUMIF('7월'!$J$11:$J$94,연간_항목별지출!$B15,'7월'!$M$11:$M$94)</f>
        <v>0</v>
      </c>
      <c r="J15" s="346">
        <f>SUMIF('8월'!$J$11:$J$94,연간_항목별지출!$B15,'8월'!$M$11:$M$94)</f>
        <v>0</v>
      </c>
      <c r="K15" s="346">
        <f>SUMIF('9월'!$J$11:$J$94,연간_항목별지출!$B15,'9월'!$M$11:$M$94)</f>
        <v>0</v>
      </c>
      <c r="L15" s="346">
        <f>SUMIF('10월'!$J$11:$J$94,연간_항목별지출!$B15,'10월'!$M$11:$M$94)</f>
        <v>0</v>
      </c>
      <c r="M15" s="346">
        <f>SUMIF('11월'!$J$11:$J$94,연간_항목별지출!$B15,'11월'!$M$11:$M$94)</f>
        <v>0</v>
      </c>
      <c r="N15" s="346">
        <f>SUMIF('12월'!$J$11:$J$94,연간_항목별지출!$B15,'12월'!$M$11:$M$94)</f>
        <v>0</v>
      </c>
      <c r="O15" s="403">
        <f t="shared" si="1"/>
        <v>0</v>
      </c>
      <c r="P15" s="403">
        <f t="shared" si="2"/>
        <v>0</v>
      </c>
    </row>
    <row r="16" spans="1:17" ht="18" customHeight="1" x14ac:dyDescent="0.3">
      <c r="B16" s="266" t="str">
        <f>항목!O3</f>
        <v>통신비</v>
      </c>
      <c r="C16" s="346">
        <f>SUMIF('1월'!$J$11:$J$94,연간_항목별지출!$B16,'1월'!$M$11:$M$94)</f>
        <v>0</v>
      </c>
      <c r="D16" s="346">
        <f>SUMIF('2월'!$J$11:$J$94,연간_항목별지출!$B16,'2월'!$M$11:$M$94)</f>
        <v>0</v>
      </c>
      <c r="E16" s="346">
        <f>SUMIF('3월'!$J$11:$J$94,연간_항목별지출!$B16,'3월'!$M$11:$M$94)</f>
        <v>0</v>
      </c>
      <c r="F16" s="346">
        <f>SUMIF('4월'!$J$11:$J$94,연간_항목별지출!$B16,'4월'!$M$11:$M$94)</f>
        <v>0</v>
      </c>
      <c r="G16" s="346">
        <f>SUMIF('5월'!$J$11:$J$94,연간_항목별지출!$B16,'5월'!$M$11:$M$94)</f>
        <v>0</v>
      </c>
      <c r="H16" s="346">
        <f>SUMIF('6월'!$J$11:$J$94,연간_항목별지출!$B16,'6월'!$M$11:$M$94)</f>
        <v>0</v>
      </c>
      <c r="I16" s="346">
        <f>SUMIF('7월'!$J$11:$J$94,연간_항목별지출!$B16,'7월'!$M$11:$M$94)</f>
        <v>0</v>
      </c>
      <c r="J16" s="346">
        <f>SUMIF('8월'!$J$11:$J$94,연간_항목별지출!$B16,'8월'!$M$11:$M$94)</f>
        <v>0</v>
      </c>
      <c r="K16" s="346">
        <f>SUMIF('9월'!$J$11:$J$94,연간_항목별지출!$B16,'9월'!$M$11:$M$94)</f>
        <v>0</v>
      </c>
      <c r="L16" s="346">
        <f>SUMIF('10월'!$J$11:$J$94,연간_항목별지출!$B16,'10월'!$M$11:$M$94)</f>
        <v>0</v>
      </c>
      <c r="M16" s="346">
        <f>SUMIF('11월'!$J$11:$J$94,연간_항목별지출!$B16,'11월'!$M$11:$M$94)</f>
        <v>0</v>
      </c>
      <c r="N16" s="346">
        <f>SUMIF('12월'!$J$11:$J$94,연간_항목별지출!$B16,'12월'!$M$11:$M$94)</f>
        <v>0</v>
      </c>
      <c r="O16" s="403">
        <f t="shared" si="1"/>
        <v>0</v>
      </c>
      <c r="P16" s="403">
        <f t="shared" si="2"/>
        <v>0</v>
      </c>
    </row>
    <row r="17" spans="2:16" ht="18" customHeight="1" x14ac:dyDescent="0.3">
      <c r="B17" s="266" t="str">
        <f>항목!P3</f>
        <v>경조사회비</v>
      </c>
      <c r="C17" s="346">
        <f>SUMIF('1월'!$J$11:$J$94,연간_항목별지출!$B17,'1월'!$M$11:$M$94)</f>
        <v>0</v>
      </c>
      <c r="D17" s="346">
        <f>SUMIF('2월'!$J$11:$J$94,연간_항목별지출!$B17,'2월'!$M$11:$M$94)</f>
        <v>0</v>
      </c>
      <c r="E17" s="346">
        <f>SUMIF('3월'!$J$11:$J$94,연간_항목별지출!$B17,'3월'!$M$11:$M$94)</f>
        <v>0</v>
      </c>
      <c r="F17" s="346">
        <f>SUMIF('4월'!$J$11:$J$94,연간_항목별지출!$B17,'4월'!$M$11:$M$94)</f>
        <v>0</v>
      </c>
      <c r="G17" s="346">
        <f>SUMIF('5월'!$J$11:$J$94,연간_항목별지출!$B17,'5월'!$M$11:$M$94)</f>
        <v>0</v>
      </c>
      <c r="H17" s="346">
        <f>SUMIF('6월'!$J$11:$J$94,연간_항목별지출!$B17,'6월'!$M$11:$M$94)</f>
        <v>0</v>
      </c>
      <c r="I17" s="346">
        <f>SUMIF('7월'!$J$11:$J$94,연간_항목별지출!$B17,'7월'!$M$11:$M$94)</f>
        <v>0</v>
      </c>
      <c r="J17" s="346">
        <f>SUMIF('8월'!$J$11:$J$94,연간_항목별지출!$B17,'8월'!$M$11:$M$94)</f>
        <v>0</v>
      </c>
      <c r="K17" s="346">
        <f>SUMIF('9월'!$J$11:$J$94,연간_항목별지출!$B17,'9월'!$M$11:$M$94)</f>
        <v>0</v>
      </c>
      <c r="L17" s="346">
        <f>SUMIF('10월'!$J$11:$J$94,연간_항목별지출!$B17,'10월'!$M$11:$M$94)</f>
        <v>0</v>
      </c>
      <c r="M17" s="346">
        <f>SUMIF('11월'!$J$11:$J$94,연간_항목별지출!$B17,'11월'!$M$11:$M$94)</f>
        <v>0</v>
      </c>
      <c r="N17" s="346">
        <f>SUMIF('12월'!$J$11:$J$94,연간_항목별지출!$B17,'12월'!$M$11:$M$94)</f>
        <v>0</v>
      </c>
      <c r="O17" s="403">
        <f t="shared" si="1"/>
        <v>0</v>
      </c>
      <c r="P17" s="403">
        <f t="shared" si="2"/>
        <v>0</v>
      </c>
    </row>
    <row r="18" spans="2:16" ht="18" customHeight="1" thickBot="1" x14ac:dyDescent="0.35">
      <c r="B18" s="511" t="str">
        <f>항목!Q3</f>
        <v>용돈지출</v>
      </c>
      <c r="C18" s="346">
        <f>SUMIF('1월'!$J$11:$J$94,연간_항목별지출!$B18,'1월'!$M$11:$M$94)</f>
        <v>0</v>
      </c>
      <c r="D18" s="349">
        <f>SUMIF('2월'!$J$11:$J$94,연간_항목별지출!$B18,'2월'!$M$11:$M$94)</f>
        <v>0</v>
      </c>
      <c r="E18" s="349">
        <f>SUMIF('3월'!$J$11:$J$94,연간_항목별지출!$B18,'3월'!$M$11:$M$94)</f>
        <v>0</v>
      </c>
      <c r="F18" s="349">
        <f>SUMIF('4월'!$J$11:$J$94,연간_항목별지출!$B18,'4월'!$M$11:$M$94)</f>
        <v>0</v>
      </c>
      <c r="G18" s="349">
        <f>SUMIF('5월'!$J$11:$J$94,연간_항목별지출!$B18,'5월'!$M$11:$M$94)</f>
        <v>0</v>
      </c>
      <c r="H18" s="349">
        <f>SUMIF('6월'!$J$11:$J$94,연간_항목별지출!$B18,'6월'!$M$11:$M$94)</f>
        <v>0</v>
      </c>
      <c r="I18" s="349">
        <f>SUMIF('7월'!$J$11:$J$94,연간_항목별지출!$B18,'7월'!$M$11:$M$94)</f>
        <v>0</v>
      </c>
      <c r="J18" s="349">
        <f>SUMIF('8월'!$J$11:$J$94,연간_항목별지출!$B18,'8월'!$M$11:$M$94)</f>
        <v>0</v>
      </c>
      <c r="K18" s="349">
        <f>SUMIF('9월'!$J$11:$J$94,연간_항목별지출!$B18,'9월'!$M$11:$M$94)</f>
        <v>0</v>
      </c>
      <c r="L18" s="349">
        <f>SUMIF('10월'!$J$11:$J$95,연간_항목별지출!$B18,'10월'!$M$11:$M$95)</f>
        <v>0</v>
      </c>
      <c r="M18" s="349">
        <f>SUMIF('11월'!$J$11:$J$94,연간_항목별지출!$B18,'11월'!$M$11:$M$94)</f>
        <v>0</v>
      </c>
      <c r="N18" s="349">
        <f>SUMIF('12월'!$J$11:$J$94,연간_항목별지출!$B18,'12월'!$M$11:$M$94)</f>
        <v>0</v>
      </c>
      <c r="O18" s="405">
        <f t="shared" si="1"/>
        <v>0</v>
      </c>
      <c r="P18" s="405">
        <f t="shared" si="2"/>
        <v>0</v>
      </c>
    </row>
    <row r="19" spans="2:16" ht="24.95" customHeight="1" thickBot="1" x14ac:dyDescent="0.35">
      <c r="B19" s="406" t="s">
        <v>89</v>
      </c>
      <c r="C19" s="407">
        <f t="shared" ref="C19:O19" si="3">C4+C5</f>
        <v>0</v>
      </c>
      <c r="D19" s="407">
        <f t="shared" si="3"/>
        <v>0</v>
      </c>
      <c r="E19" s="407">
        <f t="shared" si="3"/>
        <v>0</v>
      </c>
      <c r="F19" s="407">
        <f t="shared" si="3"/>
        <v>0</v>
      </c>
      <c r="G19" s="407">
        <f t="shared" si="3"/>
        <v>0</v>
      </c>
      <c r="H19" s="407">
        <f t="shared" si="3"/>
        <v>0</v>
      </c>
      <c r="I19" s="407">
        <f t="shared" si="3"/>
        <v>0</v>
      </c>
      <c r="J19" s="407">
        <f t="shared" si="3"/>
        <v>0</v>
      </c>
      <c r="K19" s="407">
        <f t="shared" si="3"/>
        <v>0</v>
      </c>
      <c r="L19" s="407">
        <f t="shared" si="3"/>
        <v>0</v>
      </c>
      <c r="M19" s="407">
        <f t="shared" si="3"/>
        <v>0</v>
      </c>
      <c r="N19" s="408">
        <f t="shared" si="3"/>
        <v>0</v>
      </c>
      <c r="O19" s="407">
        <f t="shared" si="3"/>
        <v>0</v>
      </c>
      <c r="P19" s="409">
        <f>O19/12</f>
        <v>0</v>
      </c>
    </row>
    <row r="20" spans="2:16" ht="18" customHeight="1" x14ac:dyDescent="0.3">
      <c r="B20" s="265" t="str">
        <f t="shared" ref="B20:B31" si="4">B6&amp;"율"</f>
        <v>식비율</v>
      </c>
      <c r="C20" s="410" t="str">
        <f t="shared" ref="C20:O20" si="5">IF(C6&gt;0,C6/C$5,"")</f>
        <v/>
      </c>
      <c r="D20" s="410" t="str">
        <f t="shared" si="5"/>
        <v/>
      </c>
      <c r="E20" s="410" t="str">
        <f t="shared" si="5"/>
        <v/>
      </c>
      <c r="F20" s="410" t="str">
        <f t="shared" si="5"/>
        <v/>
      </c>
      <c r="G20" s="410" t="str">
        <f t="shared" si="5"/>
        <v/>
      </c>
      <c r="H20" s="410" t="str">
        <f t="shared" si="5"/>
        <v/>
      </c>
      <c r="I20" s="410" t="str">
        <f t="shared" si="5"/>
        <v/>
      </c>
      <c r="J20" s="410" t="str">
        <f t="shared" si="5"/>
        <v/>
      </c>
      <c r="K20" s="410" t="str">
        <f t="shared" si="5"/>
        <v/>
      </c>
      <c r="L20" s="410" t="str">
        <f t="shared" si="5"/>
        <v/>
      </c>
      <c r="M20" s="410" t="str">
        <f t="shared" si="5"/>
        <v/>
      </c>
      <c r="N20" s="411" t="str">
        <f t="shared" si="5"/>
        <v/>
      </c>
      <c r="O20" s="412" t="str">
        <f t="shared" si="5"/>
        <v/>
      </c>
      <c r="P20" s="403"/>
    </row>
    <row r="21" spans="2:16" ht="18" customHeight="1" x14ac:dyDescent="0.3">
      <c r="B21" s="266" t="str">
        <f t="shared" si="4"/>
        <v>주거비율</v>
      </c>
      <c r="C21" s="410" t="str">
        <f t="shared" ref="C21:O21" si="6">IF(C7&gt;0,C7/C$5,"")</f>
        <v/>
      </c>
      <c r="D21" s="410" t="str">
        <f t="shared" si="6"/>
        <v/>
      </c>
      <c r="E21" s="410" t="str">
        <f t="shared" si="6"/>
        <v/>
      </c>
      <c r="F21" s="410" t="str">
        <f t="shared" si="6"/>
        <v/>
      </c>
      <c r="G21" s="410" t="str">
        <f t="shared" si="6"/>
        <v/>
      </c>
      <c r="H21" s="410" t="str">
        <f t="shared" si="6"/>
        <v/>
      </c>
      <c r="I21" s="410" t="str">
        <f t="shared" si="6"/>
        <v/>
      </c>
      <c r="J21" s="410" t="str">
        <f t="shared" si="6"/>
        <v/>
      </c>
      <c r="K21" s="410" t="str">
        <f t="shared" si="6"/>
        <v/>
      </c>
      <c r="L21" s="410" t="str">
        <f t="shared" si="6"/>
        <v/>
      </c>
      <c r="M21" s="410" t="str">
        <f t="shared" si="6"/>
        <v/>
      </c>
      <c r="N21" s="411" t="str">
        <f t="shared" si="6"/>
        <v/>
      </c>
      <c r="O21" s="412" t="str">
        <f t="shared" si="6"/>
        <v/>
      </c>
      <c r="P21" s="413"/>
    </row>
    <row r="22" spans="2:16" ht="18" customHeight="1" x14ac:dyDescent="0.3">
      <c r="B22" s="266" t="str">
        <f t="shared" si="4"/>
        <v>생활용품비율</v>
      </c>
      <c r="C22" s="410" t="str">
        <f t="shared" ref="C22:O22" si="7">IF(C8&gt;0,C8/C$5,"")</f>
        <v/>
      </c>
      <c r="D22" s="410" t="str">
        <f t="shared" si="7"/>
        <v/>
      </c>
      <c r="E22" s="410" t="str">
        <f t="shared" si="7"/>
        <v/>
      </c>
      <c r="F22" s="410" t="str">
        <f t="shared" si="7"/>
        <v/>
      </c>
      <c r="G22" s="410" t="str">
        <f t="shared" si="7"/>
        <v/>
      </c>
      <c r="H22" s="410" t="str">
        <f t="shared" si="7"/>
        <v/>
      </c>
      <c r="I22" s="410" t="str">
        <f t="shared" si="7"/>
        <v/>
      </c>
      <c r="J22" s="410" t="str">
        <f t="shared" si="7"/>
        <v/>
      </c>
      <c r="K22" s="410" t="str">
        <f t="shared" si="7"/>
        <v/>
      </c>
      <c r="L22" s="410" t="str">
        <f t="shared" si="7"/>
        <v/>
      </c>
      <c r="M22" s="410" t="str">
        <f t="shared" si="7"/>
        <v/>
      </c>
      <c r="N22" s="411" t="str">
        <f t="shared" si="7"/>
        <v/>
      </c>
      <c r="O22" s="412" t="str">
        <f t="shared" si="7"/>
        <v/>
      </c>
      <c r="P22" s="413"/>
    </row>
    <row r="23" spans="2:16" ht="18" customHeight="1" x14ac:dyDescent="0.3">
      <c r="B23" s="266" t="str">
        <f t="shared" si="4"/>
        <v>반려동물비율</v>
      </c>
      <c r="C23" s="410" t="str">
        <f t="shared" ref="C23:O23" si="8">IF(C9&gt;0,C9/C$5,"")</f>
        <v/>
      </c>
      <c r="D23" s="410" t="str">
        <f t="shared" si="8"/>
        <v/>
      </c>
      <c r="E23" s="410" t="str">
        <f t="shared" si="8"/>
        <v/>
      </c>
      <c r="F23" s="410" t="str">
        <f t="shared" si="8"/>
        <v/>
      </c>
      <c r="G23" s="410" t="str">
        <f t="shared" si="8"/>
        <v/>
      </c>
      <c r="H23" s="410" t="str">
        <f t="shared" si="8"/>
        <v/>
      </c>
      <c r="I23" s="410" t="str">
        <f t="shared" si="8"/>
        <v/>
      </c>
      <c r="J23" s="410" t="str">
        <f t="shared" si="8"/>
        <v/>
      </c>
      <c r="K23" s="410" t="str">
        <f t="shared" si="8"/>
        <v/>
      </c>
      <c r="L23" s="410" t="str">
        <f t="shared" si="8"/>
        <v/>
      </c>
      <c r="M23" s="410" t="str">
        <f t="shared" si="8"/>
        <v/>
      </c>
      <c r="N23" s="411" t="str">
        <f t="shared" si="8"/>
        <v/>
      </c>
      <c r="O23" s="412" t="str">
        <f t="shared" si="8"/>
        <v/>
      </c>
      <c r="P23" s="413"/>
    </row>
    <row r="24" spans="2:16" ht="18" customHeight="1" x14ac:dyDescent="0.3">
      <c r="B24" s="266" t="str">
        <f t="shared" si="4"/>
        <v>의류비율</v>
      </c>
      <c r="C24" s="410" t="str">
        <f t="shared" ref="C24:O24" si="9">IF(C10&gt;0,C10/C$5,"")</f>
        <v/>
      </c>
      <c r="D24" s="410" t="str">
        <f t="shared" si="9"/>
        <v/>
      </c>
      <c r="E24" s="410" t="str">
        <f t="shared" si="9"/>
        <v/>
      </c>
      <c r="F24" s="410" t="str">
        <f t="shared" si="9"/>
        <v/>
      </c>
      <c r="G24" s="410" t="str">
        <f t="shared" si="9"/>
        <v/>
      </c>
      <c r="H24" s="410" t="str">
        <f t="shared" si="9"/>
        <v/>
      </c>
      <c r="I24" s="410" t="str">
        <f t="shared" si="9"/>
        <v/>
      </c>
      <c r="J24" s="410" t="str">
        <f t="shared" si="9"/>
        <v/>
      </c>
      <c r="K24" s="410" t="str">
        <f t="shared" si="9"/>
        <v/>
      </c>
      <c r="L24" s="410" t="str">
        <f t="shared" si="9"/>
        <v/>
      </c>
      <c r="M24" s="410" t="str">
        <f t="shared" si="9"/>
        <v/>
      </c>
      <c r="N24" s="411" t="str">
        <f t="shared" si="9"/>
        <v/>
      </c>
      <c r="O24" s="412" t="str">
        <f t="shared" si="9"/>
        <v/>
      </c>
      <c r="P24" s="413"/>
    </row>
    <row r="25" spans="2:16" ht="18" customHeight="1" x14ac:dyDescent="0.3">
      <c r="B25" s="266" t="str">
        <f t="shared" si="4"/>
        <v>미용비율</v>
      </c>
      <c r="C25" s="410" t="str">
        <f t="shared" ref="C25:O25" si="10">IF(C11&gt;0,C11/C$5,"")</f>
        <v/>
      </c>
      <c r="D25" s="410" t="str">
        <f t="shared" si="10"/>
        <v/>
      </c>
      <c r="E25" s="410" t="str">
        <f t="shared" si="10"/>
        <v/>
      </c>
      <c r="F25" s="410" t="str">
        <f t="shared" si="10"/>
        <v/>
      </c>
      <c r="G25" s="410" t="str">
        <f t="shared" si="10"/>
        <v/>
      </c>
      <c r="H25" s="410" t="str">
        <f t="shared" si="10"/>
        <v/>
      </c>
      <c r="I25" s="410" t="str">
        <f t="shared" si="10"/>
        <v/>
      </c>
      <c r="J25" s="410" t="str">
        <f t="shared" si="10"/>
        <v/>
      </c>
      <c r="K25" s="410" t="str">
        <f t="shared" si="10"/>
        <v/>
      </c>
      <c r="L25" s="410" t="str">
        <f t="shared" si="10"/>
        <v/>
      </c>
      <c r="M25" s="410" t="str">
        <f t="shared" si="10"/>
        <v/>
      </c>
      <c r="N25" s="411" t="str">
        <f t="shared" si="10"/>
        <v/>
      </c>
      <c r="O25" s="412" t="str">
        <f t="shared" si="10"/>
        <v/>
      </c>
      <c r="P25" s="413"/>
    </row>
    <row r="26" spans="2:16" ht="18" customHeight="1" x14ac:dyDescent="0.3">
      <c r="B26" s="266" t="str">
        <f t="shared" si="4"/>
        <v>교육계발비율</v>
      </c>
      <c r="C26" s="410" t="str">
        <f t="shared" ref="C26:O26" si="11">IF(C12&gt;0,C12/C$5,"")</f>
        <v/>
      </c>
      <c r="D26" s="410" t="str">
        <f t="shared" si="11"/>
        <v/>
      </c>
      <c r="E26" s="410" t="str">
        <f t="shared" si="11"/>
        <v/>
      </c>
      <c r="F26" s="410" t="str">
        <f t="shared" si="11"/>
        <v/>
      </c>
      <c r="G26" s="410" t="str">
        <f t="shared" si="11"/>
        <v/>
      </c>
      <c r="H26" s="410" t="str">
        <f t="shared" si="11"/>
        <v/>
      </c>
      <c r="I26" s="410" t="str">
        <f t="shared" si="11"/>
        <v/>
      </c>
      <c r="J26" s="410" t="str">
        <f t="shared" si="11"/>
        <v/>
      </c>
      <c r="K26" s="410" t="str">
        <f t="shared" si="11"/>
        <v/>
      </c>
      <c r="L26" s="410" t="str">
        <f t="shared" si="11"/>
        <v/>
      </c>
      <c r="M26" s="410" t="str">
        <f t="shared" si="11"/>
        <v/>
      </c>
      <c r="N26" s="411" t="str">
        <f t="shared" si="11"/>
        <v/>
      </c>
      <c r="O26" s="412" t="str">
        <f t="shared" si="11"/>
        <v/>
      </c>
      <c r="P26" s="413"/>
    </row>
    <row r="27" spans="2:16" ht="18" customHeight="1" x14ac:dyDescent="0.3">
      <c r="B27" s="266" t="str">
        <f t="shared" si="4"/>
        <v>문화생활비율</v>
      </c>
      <c r="C27" s="410" t="str">
        <f t="shared" ref="C27:O27" si="12">IF(C13&gt;0,C13/C$5,"")</f>
        <v/>
      </c>
      <c r="D27" s="410" t="str">
        <f t="shared" si="12"/>
        <v/>
      </c>
      <c r="E27" s="410" t="str">
        <f t="shared" si="12"/>
        <v/>
      </c>
      <c r="F27" s="410" t="str">
        <f t="shared" si="12"/>
        <v/>
      </c>
      <c r="G27" s="410" t="str">
        <f t="shared" si="12"/>
        <v/>
      </c>
      <c r="H27" s="410" t="str">
        <f t="shared" si="12"/>
        <v/>
      </c>
      <c r="I27" s="410" t="str">
        <f t="shared" si="12"/>
        <v/>
      </c>
      <c r="J27" s="410" t="str">
        <f t="shared" si="12"/>
        <v/>
      </c>
      <c r="K27" s="410" t="str">
        <f t="shared" si="12"/>
        <v/>
      </c>
      <c r="L27" s="410" t="str">
        <f t="shared" si="12"/>
        <v/>
      </c>
      <c r="M27" s="410" t="str">
        <f t="shared" si="12"/>
        <v/>
      </c>
      <c r="N27" s="411" t="str">
        <f t="shared" si="12"/>
        <v/>
      </c>
      <c r="O27" s="412" t="str">
        <f t="shared" si="12"/>
        <v/>
      </c>
      <c r="P27" s="413"/>
    </row>
    <row r="28" spans="2:16" ht="18" customHeight="1" x14ac:dyDescent="0.3">
      <c r="B28" s="266" t="str">
        <f t="shared" si="4"/>
        <v>의료비율</v>
      </c>
      <c r="C28" s="410" t="str">
        <f t="shared" ref="C28:O28" si="13">IF(C14&gt;0,C14/C$5,"")</f>
        <v/>
      </c>
      <c r="D28" s="410" t="str">
        <f t="shared" si="13"/>
        <v/>
      </c>
      <c r="E28" s="410" t="str">
        <f t="shared" si="13"/>
        <v/>
      </c>
      <c r="F28" s="410" t="str">
        <f t="shared" si="13"/>
        <v/>
      </c>
      <c r="G28" s="410" t="str">
        <f t="shared" si="13"/>
        <v/>
      </c>
      <c r="H28" s="410" t="str">
        <f t="shared" si="13"/>
        <v/>
      </c>
      <c r="I28" s="410" t="str">
        <f t="shared" si="13"/>
        <v/>
      </c>
      <c r="J28" s="410" t="str">
        <f t="shared" si="13"/>
        <v/>
      </c>
      <c r="K28" s="410" t="str">
        <f t="shared" si="13"/>
        <v/>
      </c>
      <c r="L28" s="410" t="str">
        <f t="shared" si="13"/>
        <v/>
      </c>
      <c r="M28" s="410" t="str">
        <f t="shared" si="13"/>
        <v/>
      </c>
      <c r="N28" s="411" t="str">
        <f t="shared" si="13"/>
        <v/>
      </c>
      <c r="O28" s="412" t="str">
        <f t="shared" si="13"/>
        <v/>
      </c>
      <c r="P28" s="413"/>
    </row>
    <row r="29" spans="2:16" ht="18" customHeight="1" x14ac:dyDescent="0.3">
      <c r="B29" s="266" t="str">
        <f t="shared" si="4"/>
        <v>유류교통비율</v>
      </c>
      <c r="C29" s="410" t="str">
        <f t="shared" ref="C29:O29" si="14">IF(C15&gt;0,C15/C$5,"")</f>
        <v/>
      </c>
      <c r="D29" s="410" t="str">
        <f t="shared" si="14"/>
        <v/>
      </c>
      <c r="E29" s="410" t="str">
        <f t="shared" si="14"/>
        <v/>
      </c>
      <c r="F29" s="410" t="str">
        <f t="shared" si="14"/>
        <v/>
      </c>
      <c r="G29" s="410" t="str">
        <f t="shared" si="14"/>
        <v/>
      </c>
      <c r="H29" s="410" t="str">
        <f t="shared" si="14"/>
        <v/>
      </c>
      <c r="I29" s="410" t="str">
        <f t="shared" si="14"/>
        <v/>
      </c>
      <c r="J29" s="410" t="str">
        <f t="shared" si="14"/>
        <v/>
      </c>
      <c r="K29" s="410" t="str">
        <f t="shared" si="14"/>
        <v/>
      </c>
      <c r="L29" s="410" t="str">
        <f t="shared" si="14"/>
        <v/>
      </c>
      <c r="M29" s="410" t="str">
        <f t="shared" si="14"/>
        <v/>
      </c>
      <c r="N29" s="411" t="str">
        <f t="shared" si="14"/>
        <v/>
      </c>
      <c r="O29" s="412" t="str">
        <f t="shared" si="14"/>
        <v/>
      </c>
      <c r="P29" s="413"/>
    </row>
    <row r="30" spans="2:16" ht="18" customHeight="1" x14ac:dyDescent="0.3">
      <c r="B30" s="266" t="str">
        <f t="shared" si="4"/>
        <v>통신비율</v>
      </c>
      <c r="C30" s="410" t="str">
        <f t="shared" ref="C30:O31" si="15">IF(C16&gt;0,C16/C$5,"")</f>
        <v/>
      </c>
      <c r="D30" s="410" t="str">
        <f t="shared" si="15"/>
        <v/>
      </c>
      <c r="E30" s="410" t="str">
        <f t="shared" si="15"/>
        <v/>
      </c>
      <c r="F30" s="410" t="str">
        <f t="shared" si="15"/>
        <v/>
      </c>
      <c r="G30" s="410" t="str">
        <f t="shared" si="15"/>
        <v/>
      </c>
      <c r="H30" s="410" t="str">
        <f t="shared" si="15"/>
        <v/>
      </c>
      <c r="I30" s="410" t="str">
        <f t="shared" si="15"/>
        <v/>
      </c>
      <c r="J30" s="410" t="str">
        <f t="shared" si="15"/>
        <v/>
      </c>
      <c r="K30" s="410" t="str">
        <f t="shared" si="15"/>
        <v/>
      </c>
      <c r="L30" s="410" t="str">
        <f t="shared" si="15"/>
        <v/>
      </c>
      <c r="M30" s="410" t="str">
        <f t="shared" si="15"/>
        <v/>
      </c>
      <c r="N30" s="411" t="str">
        <f t="shared" si="15"/>
        <v/>
      </c>
      <c r="O30" s="412" t="str">
        <f t="shared" si="15"/>
        <v/>
      </c>
      <c r="P30" s="413"/>
    </row>
    <row r="31" spans="2:16" ht="18" customHeight="1" x14ac:dyDescent="0.3">
      <c r="B31" s="266" t="str">
        <f t="shared" si="4"/>
        <v>경조사회비율</v>
      </c>
      <c r="C31" s="410" t="str">
        <f t="shared" si="15"/>
        <v/>
      </c>
      <c r="D31" s="410" t="str">
        <f t="shared" si="15"/>
        <v/>
      </c>
      <c r="E31" s="410" t="str">
        <f t="shared" si="15"/>
        <v/>
      </c>
      <c r="F31" s="410" t="str">
        <f t="shared" si="15"/>
        <v/>
      </c>
      <c r="G31" s="410" t="str">
        <f t="shared" si="15"/>
        <v/>
      </c>
      <c r="H31" s="410" t="str">
        <f t="shared" si="15"/>
        <v/>
      </c>
      <c r="I31" s="410" t="str">
        <f t="shared" si="15"/>
        <v/>
      </c>
      <c r="J31" s="410" t="str">
        <f t="shared" si="15"/>
        <v/>
      </c>
      <c r="K31" s="410" t="str">
        <f t="shared" si="15"/>
        <v/>
      </c>
      <c r="L31" s="410" t="str">
        <f t="shared" si="15"/>
        <v/>
      </c>
      <c r="M31" s="410" t="str">
        <f t="shared" si="15"/>
        <v/>
      </c>
      <c r="N31" s="411" t="str">
        <f t="shared" si="15"/>
        <v/>
      </c>
      <c r="O31" s="412"/>
      <c r="P31" s="414"/>
    </row>
    <row r="32" spans="2:16" ht="18" customHeight="1" thickBot="1" x14ac:dyDescent="0.35">
      <c r="B32" s="404" t="str">
        <f t="shared" ref="B32" si="16">B18&amp;"율"</f>
        <v>용돈지출율</v>
      </c>
      <c r="C32" s="410" t="str">
        <f t="shared" ref="C32:O32" si="17">IF(C18&gt;0,C18/C$5,"")</f>
        <v/>
      </c>
      <c r="D32" s="410" t="str">
        <f t="shared" si="17"/>
        <v/>
      </c>
      <c r="E32" s="410" t="str">
        <f t="shared" si="17"/>
        <v/>
      </c>
      <c r="F32" s="410" t="str">
        <f t="shared" si="17"/>
        <v/>
      </c>
      <c r="G32" s="410" t="str">
        <f t="shared" si="17"/>
        <v/>
      </c>
      <c r="H32" s="410" t="str">
        <f t="shared" si="17"/>
        <v/>
      </c>
      <c r="I32" s="410" t="str">
        <f t="shared" si="17"/>
        <v/>
      </c>
      <c r="J32" s="410" t="str">
        <f t="shared" si="17"/>
        <v/>
      </c>
      <c r="K32" s="410" t="str">
        <f t="shared" si="17"/>
        <v/>
      </c>
      <c r="L32" s="410" t="str">
        <f t="shared" si="17"/>
        <v/>
      </c>
      <c r="M32" s="410" t="str">
        <f t="shared" si="17"/>
        <v/>
      </c>
      <c r="N32" s="411" t="str">
        <f t="shared" si="17"/>
        <v/>
      </c>
      <c r="O32" s="412" t="str">
        <f t="shared" si="17"/>
        <v/>
      </c>
      <c r="P32" s="414"/>
    </row>
    <row r="33" spans="2:16" ht="24.95" customHeight="1" thickBot="1" x14ac:dyDescent="0.35">
      <c r="B33" s="380" t="s">
        <v>162</v>
      </c>
      <c r="C33" s="415">
        <f>SUM(C20:C32)</f>
        <v>0</v>
      </c>
      <c r="D33" s="415">
        <f t="shared" ref="D33:O33" si="18">SUM(D20:D32)</f>
        <v>0</v>
      </c>
      <c r="E33" s="415">
        <f t="shared" si="18"/>
        <v>0</v>
      </c>
      <c r="F33" s="415">
        <f t="shared" si="18"/>
        <v>0</v>
      </c>
      <c r="G33" s="415">
        <f t="shared" si="18"/>
        <v>0</v>
      </c>
      <c r="H33" s="415">
        <f t="shared" si="18"/>
        <v>0</v>
      </c>
      <c r="I33" s="415">
        <f t="shared" si="18"/>
        <v>0</v>
      </c>
      <c r="J33" s="415">
        <f t="shared" si="18"/>
        <v>0</v>
      </c>
      <c r="K33" s="415">
        <f t="shared" si="18"/>
        <v>0</v>
      </c>
      <c r="L33" s="415">
        <f t="shared" si="18"/>
        <v>0</v>
      </c>
      <c r="M33" s="415">
        <f t="shared" si="18"/>
        <v>0</v>
      </c>
      <c r="N33" s="383">
        <f t="shared" si="18"/>
        <v>0</v>
      </c>
      <c r="O33" s="416">
        <f t="shared" si="18"/>
        <v>0</v>
      </c>
      <c r="P33" s="402"/>
    </row>
    <row r="34" spans="2:16" ht="16.5" customHeight="1" x14ac:dyDescent="0.3"/>
    <row r="35" spans="2:16" ht="16.5" customHeight="1" x14ac:dyDescent="0.3">
      <c r="B35" s="228"/>
    </row>
    <row r="36" spans="2:16" ht="16.5" customHeight="1" x14ac:dyDescent="0.3"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229"/>
      <c r="P36" s="229"/>
    </row>
    <row r="37" spans="2:16" ht="16.5" customHeight="1" x14ac:dyDescent="0.3">
      <c r="B37" s="31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1"/>
      <c r="P37" s="231"/>
    </row>
    <row r="38" spans="2:16" ht="16.5" customHeight="1" x14ac:dyDescent="0.3">
      <c r="B38" s="31"/>
      <c r="C38" s="230"/>
      <c r="D38" s="230"/>
      <c r="E38" s="230"/>
      <c r="F38" s="230"/>
      <c r="G38" s="230"/>
      <c r="H38" s="230"/>
      <c r="I38" s="230"/>
      <c r="J38" s="230"/>
      <c r="K38" s="230"/>
      <c r="L38" s="230"/>
      <c r="M38" s="230"/>
      <c r="N38" s="230"/>
      <c r="O38" s="231"/>
      <c r="P38" s="231"/>
    </row>
    <row r="39" spans="2:16" ht="16.5" customHeight="1" x14ac:dyDescent="0.3">
      <c r="B39" s="31"/>
      <c r="C39" s="230"/>
      <c r="D39" s="230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1"/>
      <c r="P39" s="231"/>
    </row>
    <row r="40" spans="2:16" ht="16.5" customHeight="1" x14ac:dyDescent="0.3">
      <c r="B40" s="31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P40" s="231"/>
    </row>
    <row r="41" spans="2:16" ht="16.5" customHeight="1" x14ac:dyDescent="0.3">
      <c r="B41" s="31"/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1"/>
      <c r="P41" s="231"/>
    </row>
    <row r="42" spans="2:16" ht="16.5" customHeight="1" x14ac:dyDescent="0.3">
      <c r="B42" s="31"/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1"/>
      <c r="P42" s="231"/>
    </row>
    <row r="43" spans="2:16" ht="16.5" customHeight="1" x14ac:dyDescent="0.3">
      <c r="B43" s="31"/>
      <c r="C43" s="230"/>
      <c r="D43" s="230"/>
      <c r="E43" s="230"/>
      <c r="F43" s="230"/>
      <c r="G43" s="230"/>
      <c r="H43" s="230"/>
      <c r="I43" s="230"/>
      <c r="J43" s="230"/>
      <c r="K43" s="230"/>
      <c r="L43" s="230"/>
      <c r="M43" s="230"/>
      <c r="N43" s="230"/>
      <c r="O43" s="231"/>
      <c r="P43" s="231"/>
    </row>
    <row r="44" spans="2:16" ht="16.5" customHeight="1" x14ac:dyDescent="0.3">
      <c r="B44" s="31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1"/>
      <c r="P44" s="231"/>
    </row>
    <row r="45" spans="2:16" ht="16.5" customHeight="1" x14ac:dyDescent="0.3">
      <c r="B45" s="31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1"/>
      <c r="P45" s="231"/>
    </row>
    <row r="46" spans="2:16" ht="16.5" customHeight="1" x14ac:dyDescent="0.3">
      <c r="B46" s="31"/>
      <c r="C46" s="230"/>
      <c r="D46" s="230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1"/>
      <c r="P46" s="231"/>
    </row>
    <row r="47" spans="2:16" ht="16.5" customHeight="1" x14ac:dyDescent="0.3">
      <c r="B47" s="31"/>
      <c r="C47" s="230"/>
      <c r="D47" s="230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1"/>
      <c r="P47" s="231"/>
    </row>
    <row r="48" spans="2:16" ht="16.5" customHeight="1" x14ac:dyDescent="0.3">
      <c r="B48" s="31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1"/>
      <c r="P48" s="231"/>
    </row>
    <row r="49" spans="2:16" ht="16.5" customHeight="1" x14ac:dyDescent="0.3">
      <c r="B49" s="31"/>
      <c r="C49" s="230"/>
      <c r="D49" s="230"/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1"/>
      <c r="P49" s="231"/>
    </row>
    <row r="50" spans="2:16" ht="16.5" customHeight="1" x14ac:dyDescent="0.3">
      <c r="B50" s="31"/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1"/>
      <c r="P50" s="231"/>
    </row>
    <row r="51" spans="2:16" ht="16.5" customHeight="1" x14ac:dyDescent="0.3">
      <c r="B51" s="229"/>
      <c r="C51" s="231"/>
      <c r="D51" s="231"/>
      <c r="E51" s="231"/>
      <c r="F51" s="231"/>
      <c r="G51" s="231"/>
      <c r="H51" s="231"/>
      <c r="I51" s="231"/>
      <c r="J51" s="231"/>
      <c r="K51" s="231"/>
      <c r="L51" s="231"/>
      <c r="M51" s="231"/>
      <c r="N51" s="231"/>
      <c r="O51" s="231"/>
      <c r="P51" s="232"/>
    </row>
    <row r="52" spans="2:16" ht="16.5" customHeight="1" x14ac:dyDescent="0.3"/>
    <row r="53" spans="2:16" ht="16.5" customHeight="1" x14ac:dyDescent="0.3"/>
    <row r="54" spans="2:16" ht="16.5" customHeight="1" x14ac:dyDescent="0.3"/>
    <row r="55" spans="2:16" ht="16.5" customHeight="1" x14ac:dyDescent="0.3"/>
    <row r="56" spans="2:16" ht="16.5" customHeight="1" x14ac:dyDescent="0.3"/>
    <row r="57" spans="2:16" ht="16.5" customHeight="1" x14ac:dyDescent="0.3"/>
    <row r="58" spans="2:16" ht="16.5" customHeight="1" x14ac:dyDescent="0.3"/>
    <row r="59" spans="2:16" ht="16.5" customHeight="1" x14ac:dyDescent="0.3"/>
    <row r="60" spans="2:16" ht="16.5" customHeight="1" x14ac:dyDescent="0.3"/>
    <row r="61" spans="2:16" ht="16.5" customHeight="1" x14ac:dyDescent="0.3"/>
    <row r="62" spans="2:16" ht="16.5" customHeight="1" x14ac:dyDescent="0.3"/>
    <row r="63" spans="2:16" ht="16.5" customHeight="1" x14ac:dyDescent="0.3"/>
    <row r="64" spans="2:16" ht="16.5" customHeight="1" x14ac:dyDescent="0.3"/>
    <row r="65" ht="16.5" customHeight="1" x14ac:dyDescent="0.3"/>
    <row r="66" ht="16.5" customHeight="1" x14ac:dyDescent="0.3"/>
    <row r="67" ht="16.5" customHeight="1" x14ac:dyDescent="0.3"/>
    <row r="68" ht="16.5" customHeight="1" x14ac:dyDescent="0.3"/>
    <row r="69" ht="16.5" customHeight="1" x14ac:dyDescent="0.3"/>
    <row r="70" ht="16.5" customHeight="1" x14ac:dyDescent="0.3"/>
    <row r="71" ht="16.5" customHeight="1" x14ac:dyDescent="0.3"/>
    <row r="72" ht="16.5" customHeight="1" x14ac:dyDescent="0.3"/>
    <row r="73" ht="16.5" customHeight="1" x14ac:dyDescent="0.3"/>
    <row r="74" ht="16.5" customHeight="1" x14ac:dyDescent="0.3"/>
    <row r="75" ht="16.5" customHeight="1" x14ac:dyDescent="0.3"/>
    <row r="76" ht="16.5" customHeight="1" x14ac:dyDescent="0.3"/>
    <row r="77" ht="16.5" customHeight="1" x14ac:dyDescent="0.3"/>
    <row r="78" ht="16.5" customHeight="1" x14ac:dyDescent="0.3"/>
    <row r="79" ht="16.5" customHeight="1" x14ac:dyDescent="0.3"/>
    <row r="80" ht="16.5" customHeight="1" x14ac:dyDescent="0.3"/>
    <row r="81" ht="16.5" customHeight="1" x14ac:dyDescent="0.3"/>
    <row r="82" ht="16.5" customHeight="1" x14ac:dyDescent="0.3"/>
    <row r="83" ht="16.5" customHeight="1" x14ac:dyDescent="0.3"/>
    <row r="84" ht="16.5" customHeight="1" x14ac:dyDescent="0.3"/>
    <row r="85" ht="16.5" customHeight="1" x14ac:dyDescent="0.3"/>
    <row r="86" ht="16.5" customHeight="1" x14ac:dyDescent="0.3"/>
    <row r="87" ht="16.5" customHeight="1" x14ac:dyDescent="0.3"/>
    <row r="88" ht="16.5" customHeight="1" x14ac:dyDescent="0.3"/>
    <row r="89" ht="16.5" customHeight="1" x14ac:dyDescent="0.3"/>
    <row r="90" ht="16.5" customHeight="1" x14ac:dyDescent="0.3"/>
    <row r="91" ht="16.5" customHeight="1" x14ac:dyDescent="0.3"/>
    <row r="92" ht="16.5" customHeight="1" x14ac:dyDescent="0.3"/>
    <row r="93" ht="16.5" customHeight="1" x14ac:dyDescent="0.3"/>
    <row r="94" ht="16.5" customHeight="1" x14ac:dyDescent="0.3"/>
    <row r="95" ht="16.5" customHeight="1" x14ac:dyDescent="0.3"/>
    <row r="96" ht="16.5" customHeight="1" x14ac:dyDescent="0.3"/>
    <row r="97" ht="16.5" customHeight="1" x14ac:dyDescent="0.3"/>
    <row r="98" ht="16.5" customHeight="1" x14ac:dyDescent="0.3"/>
    <row r="99" ht="16.5" customHeight="1" x14ac:dyDescent="0.3"/>
    <row r="100" ht="16.5" customHeight="1" x14ac:dyDescent="0.3"/>
    <row r="101" ht="16.5" customHeight="1" x14ac:dyDescent="0.3"/>
    <row r="102" ht="16.5" customHeight="1" x14ac:dyDescent="0.3"/>
    <row r="103" ht="16.5" customHeight="1" x14ac:dyDescent="0.3"/>
    <row r="104" ht="16.5" customHeight="1" x14ac:dyDescent="0.3"/>
    <row r="105" ht="16.5" customHeight="1" x14ac:dyDescent="0.3"/>
    <row r="106" ht="16.5" customHeight="1" x14ac:dyDescent="0.3"/>
    <row r="107" ht="16.5" customHeight="1" x14ac:dyDescent="0.3"/>
    <row r="108" ht="16.5" customHeight="1" x14ac:dyDescent="0.3"/>
    <row r="109" ht="16.5" customHeight="1" x14ac:dyDescent="0.3"/>
    <row r="110" ht="16.5" customHeight="1" x14ac:dyDescent="0.3"/>
    <row r="111" ht="16.5" customHeight="1" x14ac:dyDescent="0.3"/>
    <row r="112" ht="16.5" customHeight="1" x14ac:dyDescent="0.3"/>
    <row r="113" ht="16.5" customHeight="1" x14ac:dyDescent="0.3"/>
    <row r="114" ht="16.5" customHeight="1" x14ac:dyDescent="0.3"/>
    <row r="115" ht="16.5" customHeight="1" x14ac:dyDescent="0.3"/>
    <row r="116" ht="16.5" customHeight="1" x14ac:dyDescent="0.3"/>
    <row r="117" ht="16.5" customHeight="1" x14ac:dyDescent="0.3"/>
    <row r="118" ht="16.5" customHeight="1" x14ac:dyDescent="0.3"/>
    <row r="119" ht="16.5" customHeight="1" x14ac:dyDescent="0.3"/>
    <row r="120" ht="16.5" customHeight="1" x14ac:dyDescent="0.3"/>
    <row r="121" ht="16.5" customHeight="1" x14ac:dyDescent="0.3"/>
    <row r="122" ht="16.5" customHeight="1" x14ac:dyDescent="0.3"/>
    <row r="123" ht="16.5" customHeight="1" x14ac:dyDescent="0.3"/>
  </sheetData>
  <mergeCells count="1">
    <mergeCell ref="B1:C1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theme="7"/>
    <pageSetUpPr autoPageBreaks="0" fitToPage="1"/>
  </sheetPr>
  <dimension ref="A1:S217"/>
  <sheetViews>
    <sheetView showGridLines="0" zoomScaleNormal="100" workbookViewId="0">
      <pane ySplit="3" topLeftCell="A4" activePane="bottomLeft" state="frozen"/>
      <selection activeCell="I14" sqref="I14"/>
      <selection pane="bottomLeft" activeCell="D5" sqref="D5"/>
    </sheetView>
  </sheetViews>
  <sheetFormatPr defaultRowHeight="16.5" x14ac:dyDescent="0.3"/>
  <cols>
    <col min="1" max="1" width="4.625" customWidth="1"/>
    <col min="2" max="2" width="12.625" customWidth="1"/>
    <col min="3" max="17" width="10.625" customWidth="1"/>
    <col min="18" max="18" width="10.625" style="502" customWidth="1"/>
    <col min="19" max="19" width="4.625" customWidth="1"/>
  </cols>
  <sheetData>
    <row r="1" spans="1:19" ht="40.5" customHeight="1" x14ac:dyDescent="0.3">
      <c r="A1" s="14"/>
      <c r="B1" s="590" t="s">
        <v>193</v>
      </c>
      <c r="C1" s="590"/>
      <c r="D1" s="590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501"/>
      <c r="S1" s="14"/>
    </row>
    <row r="2" spans="1:19" ht="17.25" thickBot="1" x14ac:dyDescent="0.35"/>
    <row r="3" spans="1:19" ht="30" customHeight="1" thickBot="1" x14ac:dyDescent="0.35">
      <c r="B3" s="602"/>
      <c r="C3" s="603"/>
      <c r="D3" s="34" t="s">
        <v>45</v>
      </c>
      <c r="E3" s="35" t="s">
        <v>49</v>
      </c>
      <c r="F3" s="35" t="s">
        <v>51</v>
      </c>
      <c r="G3" s="35" t="s">
        <v>53</v>
      </c>
      <c r="H3" s="35" t="s">
        <v>55</v>
      </c>
      <c r="I3" s="35" t="s">
        <v>57</v>
      </c>
      <c r="J3" s="35" t="s">
        <v>58</v>
      </c>
      <c r="K3" s="35" t="s">
        <v>59</v>
      </c>
      <c r="L3" s="35" t="s">
        <v>60</v>
      </c>
      <c r="M3" s="35" t="s">
        <v>61</v>
      </c>
      <c r="N3" s="35" t="s">
        <v>62</v>
      </c>
      <c r="O3" s="36" t="s">
        <v>63</v>
      </c>
      <c r="P3" s="399" t="s">
        <v>5</v>
      </c>
      <c r="Q3" s="399" t="s">
        <v>64</v>
      </c>
      <c r="R3" s="507" t="s">
        <v>273</v>
      </c>
    </row>
    <row r="4" spans="1:19" ht="24.95" customHeight="1" thickBot="1" x14ac:dyDescent="0.35">
      <c r="B4" s="600" t="s">
        <v>266</v>
      </c>
      <c r="C4" s="601"/>
      <c r="D4" s="407">
        <f t="shared" ref="D4:O4" si="0">D5+D21</f>
        <v>0</v>
      </c>
      <c r="E4" s="407">
        <f t="shared" si="0"/>
        <v>0</v>
      </c>
      <c r="F4" s="407">
        <f t="shared" si="0"/>
        <v>0</v>
      </c>
      <c r="G4" s="407">
        <f t="shared" si="0"/>
        <v>0</v>
      </c>
      <c r="H4" s="407">
        <f t="shared" si="0"/>
        <v>0</v>
      </c>
      <c r="I4" s="407">
        <f t="shared" si="0"/>
        <v>0</v>
      </c>
      <c r="J4" s="407">
        <f t="shared" si="0"/>
        <v>0</v>
      </c>
      <c r="K4" s="407">
        <f t="shared" si="0"/>
        <v>0</v>
      </c>
      <c r="L4" s="407">
        <f t="shared" si="0"/>
        <v>0</v>
      </c>
      <c r="M4" s="407">
        <f t="shared" si="0"/>
        <v>0</v>
      </c>
      <c r="N4" s="407">
        <f t="shared" si="0"/>
        <v>0</v>
      </c>
      <c r="O4" s="407">
        <f t="shared" si="0"/>
        <v>0</v>
      </c>
      <c r="P4" s="402">
        <f>SUM(D4:O4)</f>
        <v>0</v>
      </c>
      <c r="Q4" s="409">
        <f>P4/12</f>
        <v>0</v>
      </c>
      <c r="R4" s="504">
        <f>IF(P4&gt;0,$R$5+$R$21,)</f>
        <v>0</v>
      </c>
    </row>
    <row r="5" spans="1:19" s="254" customFormat="1" ht="24.95" customHeight="1" thickBot="1" x14ac:dyDescent="0.35">
      <c r="B5" s="598" t="s">
        <v>300</v>
      </c>
      <c r="C5" s="599"/>
      <c r="D5" s="401">
        <f t="shared" ref="D5:O5" si="1">SUM(D6:D20)</f>
        <v>0</v>
      </c>
      <c r="E5" s="401">
        <f t="shared" si="1"/>
        <v>0</v>
      </c>
      <c r="F5" s="401">
        <f t="shared" si="1"/>
        <v>0</v>
      </c>
      <c r="G5" s="401">
        <f t="shared" si="1"/>
        <v>0</v>
      </c>
      <c r="H5" s="401">
        <f t="shared" si="1"/>
        <v>0</v>
      </c>
      <c r="I5" s="401">
        <f t="shared" si="1"/>
        <v>0</v>
      </c>
      <c r="J5" s="401">
        <f t="shared" si="1"/>
        <v>0</v>
      </c>
      <c r="K5" s="401">
        <f t="shared" si="1"/>
        <v>0</v>
      </c>
      <c r="L5" s="401">
        <f t="shared" si="1"/>
        <v>0</v>
      </c>
      <c r="M5" s="401">
        <f t="shared" si="1"/>
        <v>0</v>
      </c>
      <c r="N5" s="401">
        <f t="shared" si="1"/>
        <v>0</v>
      </c>
      <c r="O5" s="401">
        <f t="shared" si="1"/>
        <v>0</v>
      </c>
      <c r="P5" s="402">
        <f>SUM(D5:O5)</f>
        <v>0</v>
      </c>
      <c r="Q5" s="402">
        <f>P5/12</f>
        <v>0</v>
      </c>
      <c r="R5" s="504" t="str">
        <f>IF(P5&gt;0,P5/$P$4,"")</f>
        <v/>
      </c>
    </row>
    <row r="6" spans="1:19" ht="18" customHeight="1" x14ac:dyDescent="0.3">
      <c r="B6" s="604" t="str">
        <f>IF(항목!D4="","",항목!D4)</f>
        <v>예/적금</v>
      </c>
      <c r="C6" s="605"/>
      <c r="D6" s="346">
        <f>SUMIF('1월'!$K$11:$K$94,연간_세부항목별지출!$B6,'1월'!$M$11:$M$94)</f>
        <v>0</v>
      </c>
      <c r="E6" s="346">
        <f>SUMIF('2월'!$K$11:$K$94,연간_세부항목별지출!$B6,'2월'!$M$11:$M$94)</f>
        <v>0</v>
      </c>
      <c r="F6" s="346">
        <f>SUMIF('3월'!$K$11:$K$94,연간_세부항목별지출!$B6,'3월'!$M$11:$M$94)</f>
        <v>0</v>
      </c>
      <c r="G6" s="346">
        <f>SUMIF('4월'!$K$11:$K$94,연간_세부항목별지출!$B6,'4월'!$M$11:$M$94)</f>
        <v>0</v>
      </c>
      <c r="H6" s="346">
        <f>SUMIF('5월'!$K$11:$K$94,연간_세부항목별지출!$B6,'5월'!$M$11:$M$94)</f>
        <v>0</v>
      </c>
      <c r="I6" s="346">
        <f>SUMIF('6월'!$K$11:$K$94,연간_세부항목별지출!$B6,'6월'!$M$11:$M$94)</f>
        <v>0</v>
      </c>
      <c r="J6" s="346">
        <f>SUMIF('7월'!$K$11:$K$94,연간_세부항목별지출!$B6,'7월'!$M$11:$M$94)</f>
        <v>0</v>
      </c>
      <c r="K6" s="346">
        <f>SUMIF('8월'!$K$11:$K$94,연간_세부항목별지출!$B6,'8월'!$M$11:$M$94)</f>
        <v>0</v>
      </c>
      <c r="L6" s="346">
        <f>SUMIF('9월'!$K$11:$K$94,연간_세부항목별지출!$B6,'9월'!$M$11:$M$94)</f>
        <v>0</v>
      </c>
      <c r="M6" s="346">
        <f>SUMIF('10월'!$K$11:$K$94,연간_세부항목별지출!$B6,'10월'!$M$11:$M$94)</f>
        <v>0</v>
      </c>
      <c r="N6" s="346">
        <f>SUMIF('11월'!$K$11:$K$94,연간_세부항목별지출!$B6,'11월'!$M$11:$M$94)</f>
        <v>0</v>
      </c>
      <c r="O6" s="346">
        <f>SUMIF('12월'!$K$11:$K$94,연간_세부항목별지출!$B6,'12월'!$M$11:$M$94)</f>
        <v>0</v>
      </c>
      <c r="P6" s="403">
        <f t="shared" ref="P6:P173" si="2">SUM(D6:O6)</f>
        <v>0</v>
      </c>
      <c r="Q6" s="403">
        <f t="shared" ref="Q6:Q173" si="3">P6/12</f>
        <v>0</v>
      </c>
      <c r="R6" s="505" t="str">
        <f>IF(P6&gt;0,P6/$P$5,"")</f>
        <v/>
      </c>
    </row>
    <row r="7" spans="1:19" ht="18" customHeight="1" x14ac:dyDescent="0.3">
      <c r="B7" s="592" t="str">
        <f>IF(항목!D5="","",항목!D5)</f>
        <v>주택청약</v>
      </c>
      <c r="C7" s="593"/>
      <c r="D7" s="346">
        <f>SUMIF('1월'!$K$11:$K$94,연간_세부항목별지출!$B7,'1월'!$M$11:$M$94)</f>
        <v>0</v>
      </c>
      <c r="E7" s="346">
        <f>SUMIF('2월'!$K$11:$K$94,연간_세부항목별지출!$B7,'2월'!$M$11:$M$94)</f>
        <v>0</v>
      </c>
      <c r="F7" s="346">
        <f>SUMIF('3월'!$K$11:$K$94,연간_세부항목별지출!$B7,'3월'!$M$11:$M$94)</f>
        <v>0</v>
      </c>
      <c r="G7" s="346">
        <f>SUMIF('4월'!$K$11:$K$94,연간_세부항목별지출!$B7,'4월'!$M$11:$M$94)</f>
        <v>0</v>
      </c>
      <c r="H7" s="346">
        <f>SUMIF('5월'!$K$11:$K$94,연간_세부항목별지출!$B7,'5월'!$M$11:$M$94)</f>
        <v>0</v>
      </c>
      <c r="I7" s="346">
        <f>SUMIF('6월'!$K$11:$K$94,연간_세부항목별지출!$B7,'6월'!$M$11:$M$94)</f>
        <v>0</v>
      </c>
      <c r="J7" s="346">
        <f>SUMIF('7월'!$K$11:$K$94,연간_세부항목별지출!$B7,'7월'!$M$11:$M$94)</f>
        <v>0</v>
      </c>
      <c r="K7" s="346">
        <f>SUMIF('8월'!$K$11:$K$94,연간_세부항목별지출!$B7,'8월'!$M$11:$M$94)</f>
        <v>0</v>
      </c>
      <c r="L7" s="346">
        <f>SUMIF('9월'!$K$11:$K$94,연간_세부항목별지출!$B7,'9월'!$M$11:$M$94)</f>
        <v>0</v>
      </c>
      <c r="M7" s="346">
        <f>SUMIF('10월'!$K$11:$K$94,연간_세부항목별지출!$B7,'10월'!$M$11:$M$94)</f>
        <v>0</v>
      </c>
      <c r="N7" s="346">
        <f>SUMIF('11월'!$K$11:$K$94,연간_세부항목별지출!$B7,'11월'!$M$11:$M$94)</f>
        <v>0</v>
      </c>
      <c r="O7" s="346">
        <f>SUMIF('12월'!$K$11:$K$94,연간_세부항목별지출!$B7,'12월'!$M$11:$M$94)</f>
        <v>0</v>
      </c>
      <c r="P7" s="403">
        <f t="shared" si="2"/>
        <v>0</v>
      </c>
      <c r="Q7" s="403">
        <f t="shared" si="3"/>
        <v>0</v>
      </c>
      <c r="R7" s="503" t="str">
        <f t="shared" ref="R7:R20" si="4">IF(P7&gt;0,P7/$P$5,"")</f>
        <v/>
      </c>
    </row>
    <row r="8" spans="1:19" ht="18" customHeight="1" x14ac:dyDescent="0.3">
      <c r="B8" s="592" t="str">
        <f>IF(항목!D6="","",항목!D6)</f>
        <v>퇴직연금</v>
      </c>
      <c r="C8" s="593"/>
      <c r="D8" s="346">
        <f>SUMIF('1월'!$K$11:$K$94,연간_세부항목별지출!$B8,'1월'!$M$11:$M$94)</f>
        <v>0</v>
      </c>
      <c r="E8" s="346">
        <f>SUMIF('2월'!$K$11:$K$94,연간_세부항목별지출!$B8,'2월'!$M$11:$M$94)</f>
        <v>0</v>
      </c>
      <c r="F8" s="346">
        <f>SUMIF('3월'!$K$11:$K$94,연간_세부항목별지출!$B8,'3월'!$M$11:$M$94)</f>
        <v>0</v>
      </c>
      <c r="G8" s="346">
        <f>SUMIF('4월'!$K$11:$K$94,연간_세부항목별지출!$B8,'4월'!$M$11:$M$94)</f>
        <v>0</v>
      </c>
      <c r="H8" s="346">
        <f>SUMIF('5월'!$K$11:$K$94,연간_세부항목별지출!$B8,'5월'!$M$11:$M$94)</f>
        <v>0</v>
      </c>
      <c r="I8" s="346">
        <f>SUMIF('6월'!$K$11:$K$94,연간_세부항목별지출!$B8,'6월'!$M$11:$M$94)</f>
        <v>0</v>
      </c>
      <c r="J8" s="346">
        <f>SUMIF('7월'!$K$11:$K$94,연간_세부항목별지출!$B8,'7월'!$M$11:$M$94)</f>
        <v>0</v>
      </c>
      <c r="K8" s="346">
        <f>SUMIF('8월'!$K$11:$K$94,연간_세부항목별지출!$B8,'8월'!$M$11:$M$94)</f>
        <v>0</v>
      </c>
      <c r="L8" s="346">
        <f>SUMIF('9월'!$K$11:$K$94,연간_세부항목별지출!$B8,'9월'!$M$11:$M$94)</f>
        <v>0</v>
      </c>
      <c r="M8" s="346">
        <f>SUMIF('10월'!$K$11:$K$94,연간_세부항목별지출!$B8,'10월'!$M$11:$M$94)</f>
        <v>0</v>
      </c>
      <c r="N8" s="346">
        <f>SUMIF('11월'!$K$11:$K$94,연간_세부항목별지출!$B8,'11월'!$M$11:$M$94)</f>
        <v>0</v>
      </c>
      <c r="O8" s="346">
        <f>SUMIF('12월'!$K$11:$K$94,연간_세부항목별지출!$B8,'12월'!$M$11:$M$94)</f>
        <v>0</v>
      </c>
      <c r="P8" s="403">
        <f t="shared" si="2"/>
        <v>0</v>
      </c>
      <c r="Q8" s="403">
        <f t="shared" si="3"/>
        <v>0</v>
      </c>
      <c r="R8" s="503" t="str">
        <f t="shared" si="4"/>
        <v/>
      </c>
    </row>
    <row r="9" spans="1:19" ht="18" customHeight="1" x14ac:dyDescent="0.3">
      <c r="B9" s="592" t="str">
        <f>IF(항목!D7="","",항목!D7)</f>
        <v>비상금</v>
      </c>
      <c r="C9" s="593"/>
      <c r="D9" s="346">
        <f>SUMIF('1월'!$K$11:$K$94,연간_세부항목별지출!$B9,'1월'!$M$11:$M$94)</f>
        <v>0</v>
      </c>
      <c r="E9" s="346">
        <f>SUMIF('2월'!$K$11:$K$94,연간_세부항목별지출!$B9,'2월'!$M$11:$M$94)</f>
        <v>0</v>
      </c>
      <c r="F9" s="346">
        <f>SUMIF('3월'!$K$11:$K$94,연간_세부항목별지출!$B9,'3월'!$M$11:$M$94)</f>
        <v>0</v>
      </c>
      <c r="G9" s="346">
        <f>SUMIF('4월'!$K$11:$K$94,연간_세부항목별지출!$B9,'4월'!$M$11:$M$94)</f>
        <v>0</v>
      </c>
      <c r="H9" s="346">
        <f>SUMIF('5월'!$K$11:$K$94,연간_세부항목별지출!$B9,'5월'!$M$11:$M$94)</f>
        <v>0</v>
      </c>
      <c r="I9" s="346">
        <f>SUMIF('6월'!$K$11:$K$94,연간_세부항목별지출!$B9,'6월'!$M$11:$M$94)</f>
        <v>0</v>
      </c>
      <c r="J9" s="346">
        <f>SUMIF('7월'!$K$11:$K$94,연간_세부항목별지출!$B9,'7월'!$M$11:$M$94)</f>
        <v>0</v>
      </c>
      <c r="K9" s="346">
        <f>SUMIF('8월'!$K$11:$K$94,연간_세부항목별지출!$B9,'8월'!$M$11:$M$94)</f>
        <v>0</v>
      </c>
      <c r="L9" s="346">
        <f>SUMIF('9월'!$K$11:$K$94,연간_세부항목별지출!$B9,'9월'!$M$11:$M$94)</f>
        <v>0</v>
      </c>
      <c r="M9" s="346">
        <f>SUMIF('10월'!$K$11:$K$94,연간_세부항목별지출!$B9,'10월'!$M$11:$M$94)</f>
        <v>0</v>
      </c>
      <c r="N9" s="346">
        <f>SUMIF('11월'!$K$11:$K$94,연간_세부항목별지출!$B9,'11월'!$M$11:$M$94)</f>
        <v>0</v>
      </c>
      <c r="O9" s="346">
        <f>SUMIF('12월'!$K$11:$K$94,연간_세부항목별지출!$B9,'12월'!$M$11:$M$94)</f>
        <v>0</v>
      </c>
      <c r="P9" s="403">
        <f t="shared" si="2"/>
        <v>0</v>
      </c>
      <c r="Q9" s="403">
        <f t="shared" si="3"/>
        <v>0</v>
      </c>
      <c r="R9" s="503" t="str">
        <f t="shared" si="4"/>
        <v/>
      </c>
    </row>
    <row r="10" spans="1:19" ht="18" customHeight="1" x14ac:dyDescent="0.3">
      <c r="B10" s="592" t="str">
        <f>IF(항목!D8="","",항목!D8)</f>
        <v>투자</v>
      </c>
      <c r="C10" s="593"/>
      <c r="D10" s="346">
        <f>SUMIF('1월'!$K$11:$K$94,연간_세부항목별지출!$B10,'1월'!$M$11:$M$94)</f>
        <v>0</v>
      </c>
      <c r="E10" s="346">
        <f>SUMIF('2월'!$K$11:$K$94,연간_세부항목별지출!$B10,'2월'!$M$11:$M$94)</f>
        <v>0</v>
      </c>
      <c r="F10" s="346">
        <f>SUMIF('3월'!$K$11:$K$94,연간_세부항목별지출!$B10,'3월'!$M$11:$M$94)</f>
        <v>0</v>
      </c>
      <c r="G10" s="346">
        <f>SUMIF('4월'!$K$11:$K$94,연간_세부항목별지출!$B10,'4월'!$M$11:$M$94)</f>
        <v>0</v>
      </c>
      <c r="H10" s="346">
        <f>SUMIF('5월'!$K$11:$K$94,연간_세부항목별지출!$B10,'5월'!$M$11:$M$94)</f>
        <v>0</v>
      </c>
      <c r="I10" s="346">
        <f>SUMIF('6월'!$K$11:$K$94,연간_세부항목별지출!$B10,'6월'!$M$11:$M$94)</f>
        <v>0</v>
      </c>
      <c r="J10" s="346">
        <f>SUMIF('7월'!$K$11:$K$94,연간_세부항목별지출!$B10,'7월'!$M$11:$M$94)</f>
        <v>0</v>
      </c>
      <c r="K10" s="346">
        <f>SUMIF('8월'!$K$11:$K$94,연간_세부항목별지출!$B10,'8월'!$M$11:$M$94)</f>
        <v>0</v>
      </c>
      <c r="L10" s="346">
        <f>SUMIF('9월'!$K$11:$K$94,연간_세부항목별지출!$B10,'9월'!$M$11:$M$94)</f>
        <v>0</v>
      </c>
      <c r="M10" s="346">
        <f>SUMIF('10월'!$K$11:$K$94,연간_세부항목별지출!$B10,'10월'!$M$11:$M$94)</f>
        <v>0</v>
      </c>
      <c r="N10" s="346">
        <f>SUMIF('11월'!$K$11:$K$94,연간_세부항목별지출!$B10,'11월'!$M$11:$M$94)</f>
        <v>0</v>
      </c>
      <c r="O10" s="346">
        <f>SUMIF('12월'!$K$11:$K$94,연간_세부항목별지출!$B10,'12월'!$M$11:$M$94)</f>
        <v>0</v>
      </c>
      <c r="P10" s="403">
        <f t="shared" si="2"/>
        <v>0</v>
      </c>
      <c r="Q10" s="403">
        <f t="shared" si="3"/>
        <v>0</v>
      </c>
      <c r="R10" s="503" t="str">
        <f t="shared" si="4"/>
        <v/>
      </c>
    </row>
    <row r="11" spans="1:19" ht="18" customHeight="1" x14ac:dyDescent="0.3">
      <c r="B11" s="592" t="str">
        <f>IF(항목!D9="","",항목!D9)</f>
        <v>기타 저축</v>
      </c>
      <c r="C11" s="593"/>
      <c r="D11" s="346">
        <f>SUMIF('1월'!$K$11:$K$94,연간_세부항목별지출!$B11,'1월'!$M$11:$M$94)</f>
        <v>0</v>
      </c>
      <c r="E11" s="346">
        <f>SUMIF('2월'!$K$11:$K$94,연간_세부항목별지출!$B11,'2월'!$M$11:$M$94)</f>
        <v>0</v>
      </c>
      <c r="F11" s="346">
        <f>SUMIF('3월'!$K$11:$K$94,연간_세부항목별지출!$B11,'3월'!$M$11:$M$94)</f>
        <v>0</v>
      </c>
      <c r="G11" s="346">
        <f>SUMIF('4월'!$K$11:$K$94,연간_세부항목별지출!$B11,'4월'!$M$11:$M$94)</f>
        <v>0</v>
      </c>
      <c r="H11" s="346">
        <f>SUMIF('5월'!$K$11:$K$94,연간_세부항목별지출!$B11,'5월'!$M$11:$M$94)</f>
        <v>0</v>
      </c>
      <c r="I11" s="346">
        <f>SUMIF('6월'!$K$11:$K$94,연간_세부항목별지출!$B11,'6월'!$M$11:$M$94)</f>
        <v>0</v>
      </c>
      <c r="J11" s="346">
        <f>SUMIF('7월'!$K$11:$K$94,연간_세부항목별지출!$B11,'7월'!$M$11:$M$94)</f>
        <v>0</v>
      </c>
      <c r="K11" s="346">
        <f>SUMIF('8월'!$K$11:$K$94,연간_세부항목별지출!$B11,'8월'!$M$11:$M$94)</f>
        <v>0</v>
      </c>
      <c r="L11" s="346">
        <f>SUMIF('9월'!$K$11:$K$94,연간_세부항목별지출!$B11,'9월'!$M$11:$M$94)</f>
        <v>0</v>
      </c>
      <c r="M11" s="346">
        <f>SUMIF('10월'!$K$11:$K$94,연간_세부항목별지출!$B11,'10월'!$M$11:$M$94)</f>
        <v>0</v>
      </c>
      <c r="N11" s="346">
        <f>SUMIF('11월'!$K$11:$K$94,연간_세부항목별지출!$B11,'11월'!$M$11:$M$94)</f>
        <v>0</v>
      </c>
      <c r="O11" s="346">
        <f>SUMIF('12월'!$K$11:$K$94,연간_세부항목별지출!$B11,'12월'!$M$11:$M$94)</f>
        <v>0</v>
      </c>
      <c r="P11" s="403">
        <f t="shared" si="2"/>
        <v>0</v>
      </c>
      <c r="Q11" s="403">
        <f t="shared" si="3"/>
        <v>0</v>
      </c>
      <c r="R11" s="503" t="str">
        <f t="shared" si="4"/>
        <v/>
      </c>
    </row>
    <row r="12" spans="1:19" ht="18" customHeight="1" x14ac:dyDescent="0.3">
      <c r="B12" s="592" t="str">
        <f>IF(항목!D10="","",항목!D10)</f>
        <v/>
      </c>
      <c r="C12" s="593"/>
      <c r="D12" s="346">
        <f>SUMIF('1월'!$K$11:$K$94,연간_세부항목별지출!$B12,'1월'!$M$11:$M$94)</f>
        <v>0</v>
      </c>
      <c r="E12" s="346">
        <f>SUMIF('2월'!$K$11:$K$94,연간_세부항목별지출!$B12,'2월'!$M$11:$M$94)</f>
        <v>0</v>
      </c>
      <c r="F12" s="346">
        <f>SUMIF('3월'!$K$11:$K$94,연간_세부항목별지출!$B12,'3월'!$M$11:$M$94)</f>
        <v>0</v>
      </c>
      <c r="G12" s="346">
        <f>SUMIF('4월'!$K$11:$K$94,연간_세부항목별지출!$B12,'4월'!$M$11:$M$94)</f>
        <v>0</v>
      </c>
      <c r="H12" s="346">
        <f>SUMIF('5월'!$K$11:$K$94,연간_세부항목별지출!$B12,'5월'!$M$11:$M$94)</f>
        <v>0</v>
      </c>
      <c r="I12" s="346">
        <f>SUMIF('6월'!$K$11:$K$94,연간_세부항목별지출!$B12,'6월'!$M$11:$M$94)</f>
        <v>0</v>
      </c>
      <c r="J12" s="346">
        <f>SUMIF('7월'!$K$11:$K$94,연간_세부항목별지출!$B12,'7월'!$M$11:$M$94)</f>
        <v>0</v>
      </c>
      <c r="K12" s="346">
        <f>SUMIF('8월'!$K$11:$K$94,연간_세부항목별지출!$B12,'8월'!$M$11:$M$94)</f>
        <v>0</v>
      </c>
      <c r="L12" s="346">
        <f>SUMIF('9월'!$K$11:$K$94,연간_세부항목별지출!$B12,'9월'!$M$11:$M$94)</f>
        <v>0</v>
      </c>
      <c r="M12" s="346">
        <f>SUMIF('10월'!$K$11:$K$94,연간_세부항목별지출!$B12,'10월'!$M$11:$M$94)</f>
        <v>0</v>
      </c>
      <c r="N12" s="346">
        <f>SUMIF('11월'!$K$11:$K$94,연간_세부항목별지출!$B12,'11월'!$M$11:$M$94)</f>
        <v>0</v>
      </c>
      <c r="O12" s="346">
        <f>SUMIF('12월'!$K$11:$K$94,연간_세부항목별지출!$B12,'12월'!$M$11:$M$94)</f>
        <v>0</v>
      </c>
      <c r="P12" s="403">
        <f t="shared" si="2"/>
        <v>0</v>
      </c>
      <c r="Q12" s="403">
        <f t="shared" si="3"/>
        <v>0</v>
      </c>
      <c r="R12" s="503" t="str">
        <f t="shared" si="4"/>
        <v/>
      </c>
    </row>
    <row r="13" spans="1:19" ht="18" customHeight="1" x14ac:dyDescent="0.3">
      <c r="B13" s="592" t="str">
        <f>IF(항목!D11="","",항목!D11)</f>
        <v/>
      </c>
      <c r="C13" s="593"/>
      <c r="D13" s="346">
        <f>SUMIF('1월'!$K$11:$K$94,연간_세부항목별지출!$B13,'1월'!$M$11:$M$94)</f>
        <v>0</v>
      </c>
      <c r="E13" s="346">
        <f>SUMIF('2월'!$K$11:$K$94,연간_세부항목별지출!$B13,'2월'!$M$11:$M$94)</f>
        <v>0</v>
      </c>
      <c r="F13" s="346">
        <f>SUMIF('3월'!$K$11:$K$94,연간_세부항목별지출!$B13,'3월'!$M$11:$M$94)</f>
        <v>0</v>
      </c>
      <c r="G13" s="346">
        <f>SUMIF('4월'!$K$11:$K$94,연간_세부항목별지출!$B13,'4월'!$M$11:$M$94)</f>
        <v>0</v>
      </c>
      <c r="H13" s="346">
        <f>SUMIF('5월'!$K$11:$K$94,연간_세부항목별지출!$B13,'5월'!$M$11:$M$94)</f>
        <v>0</v>
      </c>
      <c r="I13" s="346">
        <f>SUMIF('6월'!$K$11:$K$94,연간_세부항목별지출!$B13,'6월'!$M$11:$M$94)</f>
        <v>0</v>
      </c>
      <c r="J13" s="346">
        <f>SUMIF('7월'!$K$11:$K$94,연간_세부항목별지출!$B13,'7월'!$M$11:$M$94)</f>
        <v>0</v>
      </c>
      <c r="K13" s="346">
        <f>SUMIF('8월'!$K$11:$K$94,연간_세부항목별지출!$B13,'8월'!$M$11:$M$94)</f>
        <v>0</v>
      </c>
      <c r="L13" s="346">
        <f>SUMIF('9월'!$K$11:$K$94,연간_세부항목별지출!$B13,'9월'!$M$11:$M$94)</f>
        <v>0</v>
      </c>
      <c r="M13" s="346">
        <f>SUMIF('10월'!$K$11:$K$94,연간_세부항목별지출!$B13,'10월'!$M$11:$M$94)</f>
        <v>0</v>
      </c>
      <c r="N13" s="346">
        <f>SUMIF('11월'!$K$11:$K$94,연간_세부항목별지출!$B13,'11월'!$M$11:$M$94)</f>
        <v>0</v>
      </c>
      <c r="O13" s="346">
        <f>SUMIF('12월'!$K$11:$K$94,연간_세부항목별지출!$B13,'12월'!$M$11:$M$94)</f>
        <v>0</v>
      </c>
      <c r="P13" s="403">
        <f t="shared" si="2"/>
        <v>0</v>
      </c>
      <c r="Q13" s="403">
        <f t="shared" si="3"/>
        <v>0</v>
      </c>
      <c r="R13" s="503" t="str">
        <f t="shared" si="4"/>
        <v/>
      </c>
    </row>
    <row r="14" spans="1:19" ht="18" customHeight="1" x14ac:dyDescent="0.3">
      <c r="B14" s="592" t="str">
        <f>IF(항목!D12="","",항목!D12)</f>
        <v/>
      </c>
      <c r="C14" s="593"/>
      <c r="D14" s="346">
        <f>SUMIF('1월'!$K$11:$K$94,연간_세부항목별지출!$B14,'1월'!$M$11:$M$94)</f>
        <v>0</v>
      </c>
      <c r="E14" s="346">
        <f>SUMIF('2월'!$K$11:$K$94,연간_세부항목별지출!$B14,'2월'!$M$11:$M$94)</f>
        <v>0</v>
      </c>
      <c r="F14" s="346">
        <f>SUMIF('3월'!$K$11:$K$94,연간_세부항목별지출!$B14,'3월'!$M$11:$M$94)</f>
        <v>0</v>
      </c>
      <c r="G14" s="346">
        <f>SUMIF('4월'!$K$11:$K$94,연간_세부항목별지출!$B14,'4월'!$M$11:$M$94)</f>
        <v>0</v>
      </c>
      <c r="H14" s="346">
        <f>SUMIF('5월'!$K$11:$K$94,연간_세부항목별지출!$B14,'5월'!$M$11:$M$94)</f>
        <v>0</v>
      </c>
      <c r="I14" s="346">
        <f>SUMIF('6월'!$K$11:$K$94,연간_세부항목별지출!$B14,'6월'!$M$11:$M$94)</f>
        <v>0</v>
      </c>
      <c r="J14" s="346">
        <f>SUMIF('7월'!$K$11:$K$94,연간_세부항목별지출!$B14,'7월'!$M$11:$M$94)</f>
        <v>0</v>
      </c>
      <c r="K14" s="346">
        <f>SUMIF('8월'!$K$11:$K$94,연간_세부항목별지출!$B14,'8월'!$M$11:$M$94)</f>
        <v>0</v>
      </c>
      <c r="L14" s="346">
        <f>SUMIF('9월'!$K$11:$K$94,연간_세부항목별지출!$B14,'9월'!$M$11:$M$94)</f>
        <v>0</v>
      </c>
      <c r="M14" s="346">
        <f>SUMIF('10월'!$K$11:$K$94,연간_세부항목별지출!$B14,'10월'!$M$11:$M$94)</f>
        <v>0</v>
      </c>
      <c r="N14" s="346">
        <f>SUMIF('11월'!$K$11:$K$94,연간_세부항목별지출!$B14,'11월'!$M$11:$M$94)</f>
        <v>0</v>
      </c>
      <c r="O14" s="346">
        <f>SUMIF('12월'!$K$11:$K$94,연간_세부항목별지출!$B14,'12월'!$M$11:$M$94)</f>
        <v>0</v>
      </c>
      <c r="P14" s="403">
        <f t="shared" si="2"/>
        <v>0</v>
      </c>
      <c r="Q14" s="403">
        <f t="shared" si="3"/>
        <v>0</v>
      </c>
      <c r="R14" s="503" t="str">
        <f t="shared" si="4"/>
        <v/>
      </c>
    </row>
    <row r="15" spans="1:19" ht="18" customHeight="1" x14ac:dyDescent="0.3">
      <c r="B15" s="592" t="str">
        <f>IF(항목!D13="","",항목!D13)</f>
        <v/>
      </c>
      <c r="C15" s="593"/>
      <c r="D15" s="346">
        <f>SUMIF('1월'!$K$11:$K$94,연간_세부항목별지출!$B15,'1월'!$M$11:$M$94)</f>
        <v>0</v>
      </c>
      <c r="E15" s="346">
        <f>SUMIF('2월'!$K$11:$K$94,연간_세부항목별지출!$B15,'2월'!$M$11:$M$94)</f>
        <v>0</v>
      </c>
      <c r="F15" s="346">
        <f>SUMIF('3월'!$K$11:$K$94,연간_세부항목별지출!$B15,'3월'!$M$11:$M$94)</f>
        <v>0</v>
      </c>
      <c r="G15" s="346">
        <f>SUMIF('4월'!$K$11:$K$94,연간_세부항목별지출!$B15,'4월'!$M$11:$M$94)</f>
        <v>0</v>
      </c>
      <c r="H15" s="346">
        <f>SUMIF('5월'!$K$11:$K$94,연간_세부항목별지출!$B15,'5월'!$M$11:$M$94)</f>
        <v>0</v>
      </c>
      <c r="I15" s="346">
        <f>SUMIF('6월'!$K$11:$K$94,연간_세부항목별지출!$B15,'6월'!$M$11:$M$94)</f>
        <v>0</v>
      </c>
      <c r="J15" s="346">
        <f>SUMIF('7월'!$K$11:$K$94,연간_세부항목별지출!$B15,'7월'!$M$11:$M$94)</f>
        <v>0</v>
      </c>
      <c r="K15" s="346">
        <f>SUMIF('8월'!$K$11:$K$94,연간_세부항목별지출!$B15,'8월'!$M$11:$M$94)</f>
        <v>0</v>
      </c>
      <c r="L15" s="346">
        <f>SUMIF('9월'!$K$11:$K$94,연간_세부항목별지출!$B15,'9월'!$M$11:$M$94)</f>
        <v>0</v>
      </c>
      <c r="M15" s="346">
        <f>SUMIF('10월'!$K$11:$K$94,연간_세부항목별지출!$B15,'10월'!$M$11:$M$94)</f>
        <v>0</v>
      </c>
      <c r="N15" s="346">
        <f>SUMIF('11월'!$K$11:$K$94,연간_세부항목별지출!$B15,'11월'!$M$11:$M$94)</f>
        <v>0</v>
      </c>
      <c r="O15" s="346">
        <f>SUMIF('12월'!$K$11:$K$94,연간_세부항목별지출!$B15,'12월'!$M$11:$M$94)</f>
        <v>0</v>
      </c>
      <c r="P15" s="403">
        <f t="shared" si="2"/>
        <v>0</v>
      </c>
      <c r="Q15" s="403">
        <f t="shared" si="3"/>
        <v>0</v>
      </c>
      <c r="R15" s="503" t="str">
        <f t="shared" si="4"/>
        <v/>
      </c>
    </row>
    <row r="16" spans="1:19" ht="18" customHeight="1" x14ac:dyDescent="0.3">
      <c r="B16" s="592" t="str">
        <f>IF(항목!D14="","",항목!D14)</f>
        <v/>
      </c>
      <c r="C16" s="593"/>
      <c r="D16" s="346">
        <f>SUMIF('1월'!$K$11:$K$94,연간_세부항목별지출!$B16,'1월'!$M$11:$M$94)</f>
        <v>0</v>
      </c>
      <c r="E16" s="346">
        <f>SUMIF('2월'!$K$11:$K$94,연간_세부항목별지출!$B16,'2월'!$M$11:$M$94)</f>
        <v>0</v>
      </c>
      <c r="F16" s="346">
        <f>SUMIF('3월'!$K$11:$K$94,연간_세부항목별지출!$B16,'3월'!$M$11:$M$94)</f>
        <v>0</v>
      </c>
      <c r="G16" s="346">
        <f>SUMIF('4월'!$K$11:$K$94,연간_세부항목별지출!$B16,'4월'!$M$11:$M$94)</f>
        <v>0</v>
      </c>
      <c r="H16" s="346">
        <f>SUMIF('5월'!$K$11:$K$94,연간_세부항목별지출!$B16,'5월'!$M$11:$M$94)</f>
        <v>0</v>
      </c>
      <c r="I16" s="346">
        <f>SUMIF('6월'!$K$11:$K$94,연간_세부항목별지출!$B16,'6월'!$M$11:$M$94)</f>
        <v>0</v>
      </c>
      <c r="J16" s="346">
        <f>SUMIF('7월'!$K$11:$K$94,연간_세부항목별지출!$B16,'7월'!$M$11:$M$94)</f>
        <v>0</v>
      </c>
      <c r="K16" s="346">
        <f>SUMIF('8월'!$K$11:$K$94,연간_세부항목별지출!$B16,'8월'!$M$11:$M$94)</f>
        <v>0</v>
      </c>
      <c r="L16" s="346">
        <f>SUMIF('9월'!$K$11:$K$94,연간_세부항목별지출!$B16,'9월'!$M$11:$M$94)</f>
        <v>0</v>
      </c>
      <c r="M16" s="346">
        <f>SUMIF('10월'!$K$11:$K$94,연간_세부항목별지출!$B16,'10월'!$M$11:$M$94)</f>
        <v>0</v>
      </c>
      <c r="N16" s="346">
        <f>SUMIF('11월'!$K$11:$K$94,연간_세부항목별지출!$B16,'11월'!$M$11:$M$94)</f>
        <v>0</v>
      </c>
      <c r="O16" s="346">
        <f>SUMIF('12월'!$K$11:$K$94,연간_세부항목별지출!$B16,'12월'!$M$11:$M$94)</f>
        <v>0</v>
      </c>
      <c r="P16" s="403">
        <f t="shared" si="2"/>
        <v>0</v>
      </c>
      <c r="Q16" s="403">
        <f t="shared" si="3"/>
        <v>0</v>
      </c>
      <c r="R16" s="503" t="str">
        <f t="shared" si="4"/>
        <v/>
      </c>
    </row>
    <row r="17" spans="2:18" ht="18" customHeight="1" x14ac:dyDescent="0.3">
      <c r="B17" s="592" t="str">
        <f>IF(항목!D15="","",항목!D15)</f>
        <v/>
      </c>
      <c r="C17" s="593"/>
      <c r="D17" s="346">
        <f>SUMIF('1월'!$K$11:$K$94,연간_세부항목별지출!$B17,'1월'!$M$11:$M$94)</f>
        <v>0</v>
      </c>
      <c r="E17" s="346">
        <f>SUMIF('2월'!$K$11:$K$94,연간_세부항목별지출!$B17,'2월'!$M$11:$M$94)</f>
        <v>0</v>
      </c>
      <c r="F17" s="346">
        <f>SUMIF('3월'!$K$11:$K$94,연간_세부항목별지출!$B17,'3월'!$M$11:$M$94)</f>
        <v>0</v>
      </c>
      <c r="G17" s="346">
        <f>SUMIF('4월'!$K$11:$K$94,연간_세부항목별지출!$B17,'4월'!$M$11:$M$94)</f>
        <v>0</v>
      </c>
      <c r="H17" s="346">
        <f>SUMIF('5월'!$K$11:$K$94,연간_세부항목별지출!$B17,'5월'!$M$11:$M$94)</f>
        <v>0</v>
      </c>
      <c r="I17" s="346">
        <f>SUMIF('6월'!$K$11:$K$94,연간_세부항목별지출!$B17,'6월'!$M$11:$M$94)</f>
        <v>0</v>
      </c>
      <c r="J17" s="346">
        <f>SUMIF('7월'!$K$11:$K$94,연간_세부항목별지출!$B17,'7월'!$M$11:$M$94)</f>
        <v>0</v>
      </c>
      <c r="K17" s="346">
        <f>SUMIF('8월'!$K$11:$K$94,연간_세부항목별지출!$B17,'8월'!$M$11:$M$94)</f>
        <v>0</v>
      </c>
      <c r="L17" s="346">
        <f>SUMIF('9월'!$K$11:$K$94,연간_세부항목별지출!$B17,'9월'!$M$11:$M$94)</f>
        <v>0</v>
      </c>
      <c r="M17" s="346">
        <f>SUMIF('10월'!$K$11:$K$94,연간_세부항목별지출!$B17,'10월'!$M$11:$M$94)</f>
        <v>0</v>
      </c>
      <c r="N17" s="346">
        <f>SUMIF('11월'!$K$11:$K$94,연간_세부항목별지출!$B17,'11월'!$M$11:$M$94)</f>
        <v>0</v>
      </c>
      <c r="O17" s="346">
        <f>SUMIF('12월'!$K$11:$K$94,연간_세부항목별지출!$B17,'12월'!$M$11:$M$94)</f>
        <v>0</v>
      </c>
      <c r="P17" s="403">
        <f t="shared" si="2"/>
        <v>0</v>
      </c>
      <c r="Q17" s="403">
        <f t="shared" si="3"/>
        <v>0</v>
      </c>
      <c r="R17" s="503" t="str">
        <f t="shared" si="4"/>
        <v/>
      </c>
    </row>
    <row r="18" spans="2:18" ht="18" customHeight="1" x14ac:dyDescent="0.3">
      <c r="B18" s="592" t="str">
        <f>IF(항목!D16="","",항목!D16)</f>
        <v/>
      </c>
      <c r="C18" s="593"/>
      <c r="D18" s="346">
        <f>SUMIF('1월'!$K$11:$K$94,연간_세부항목별지출!$B18,'1월'!$M$11:$M$94)</f>
        <v>0</v>
      </c>
      <c r="E18" s="346">
        <f>SUMIF('2월'!$K$11:$K$94,연간_세부항목별지출!$B18,'2월'!$M$11:$M$94)</f>
        <v>0</v>
      </c>
      <c r="F18" s="346">
        <f>SUMIF('3월'!$K$11:$K$94,연간_세부항목별지출!$B18,'3월'!$M$11:$M$94)</f>
        <v>0</v>
      </c>
      <c r="G18" s="346">
        <f>SUMIF('4월'!$K$11:$K$94,연간_세부항목별지출!$B18,'4월'!$M$11:$M$94)</f>
        <v>0</v>
      </c>
      <c r="H18" s="346">
        <f>SUMIF('5월'!$K$11:$K$94,연간_세부항목별지출!$B18,'5월'!$M$11:$M$94)</f>
        <v>0</v>
      </c>
      <c r="I18" s="346">
        <f>SUMIF('6월'!$K$11:$K$94,연간_세부항목별지출!$B18,'6월'!$M$11:$M$94)</f>
        <v>0</v>
      </c>
      <c r="J18" s="346">
        <f>SUMIF('7월'!$K$11:$K$94,연간_세부항목별지출!$B18,'7월'!$M$11:$M$94)</f>
        <v>0</v>
      </c>
      <c r="K18" s="346">
        <f>SUMIF('8월'!$K$11:$K$94,연간_세부항목별지출!$B18,'8월'!$M$11:$M$94)</f>
        <v>0</v>
      </c>
      <c r="L18" s="346">
        <f>SUMIF('9월'!$K$11:$K$94,연간_세부항목별지출!$B18,'9월'!$M$11:$M$94)</f>
        <v>0</v>
      </c>
      <c r="M18" s="346">
        <f>SUMIF('10월'!$K$11:$K$94,연간_세부항목별지출!$B18,'10월'!$M$11:$M$94)</f>
        <v>0</v>
      </c>
      <c r="N18" s="346">
        <f>SUMIF('11월'!$K$11:$K$94,연간_세부항목별지출!$B18,'11월'!$M$11:$M$94)</f>
        <v>0</v>
      </c>
      <c r="O18" s="346">
        <f>SUMIF('12월'!$K$11:$K$94,연간_세부항목별지출!$B18,'12월'!$M$11:$M$94)</f>
        <v>0</v>
      </c>
      <c r="P18" s="403">
        <f t="shared" si="2"/>
        <v>0</v>
      </c>
      <c r="Q18" s="403">
        <f t="shared" si="3"/>
        <v>0</v>
      </c>
      <c r="R18" s="503" t="str">
        <f t="shared" si="4"/>
        <v/>
      </c>
    </row>
    <row r="19" spans="2:18" ht="18" customHeight="1" x14ac:dyDescent="0.3">
      <c r="B19" s="592" t="str">
        <f>IF(항목!D17="","",항목!D17)</f>
        <v/>
      </c>
      <c r="C19" s="593"/>
      <c r="D19" s="346">
        <f>SUMIF('1월'!$K$11:$K$94,연간_세부항목별지출!$B19,'1월'!$M$11:$M$94)</f>
        <v>0</v>
      </c>
      <c r="E19" s="346">
        <f>SUMIF('2월'!$K$11:$K$94,연간_세부항목별지출!$B19,'2월'!$M$11:$M$94)</f>
        <v>0</v>
      </c>
      <c r="F19" s="346">
        <f>SUMIF('3월'!$K$11:$K$94,연간_세부항목별지출!$B19,'3월'!$M$11:$M$94)</f>
        <v>0</v>
      </c>
      <c r="G19" s="346">
        <f>SUMIF('4월'!$K$11:$K$94,연간_세부항목별지출!$B19,'4월'!$M$11:$M$94)</f>
        <v>0</v>
      </c>
      <c r="H19" s="346">
        <f>SUMIF('5월'!$K$11:$K$94,연간_세부항목별지출!$B19,'5월'!$M$11:$M$94)</f>
        <v>0</v>
      </c>
      <c r="I19" s="346">
        <f>SUMIF('6월'!$K$11:$K$94,연간_세부항목별지출!$B19,'6월'!$M$11:$M$94)</f>
        <v>0</v>
      </c>
      <c r="J19" s="346">
        <f>SUMIF('7월'!$K$11:$K$94,연간_세부항목별지출!$B19,'7월'!$M$11:$M$94)</f>
        <v>0</v>
      </c>
      <c r="K19" s="346">
        <f>SUMIF('8월'!$K$11:$K$94,연간_세부항목별지출!$B19,'8월'!$M$11:$M$94)</f>
        <v>0</v>
      </c>
      <c r="L19" s="346">
        <f>SUMIF('9월'!$K$11:$K$94,연간_세부항목별지출!$B19,'9월'!$M$11:$M$94)</f>
        <v>0</v>
      </c>
      <c r="M19" s="346">
        <f>SUMIF('10월'!$K$11:$K$94,연간_세부항목별지출!$B19,'10월'!$M$11:$M$94)</f>
        <v>0</v>
      </c>
      <c r="N19" s="346">
        <f>SUMIF('11월'!$K$11:$K$94,연간_세부항목별지출!$B19,'11월'!$M$11:$M$94)</f>
        <v>0</v>
      </c>
      <c r="O19" s="346">
        <f>SUMIF('12월'!$K$11:$K$94,연간_세부항목별지출!$B19,'12월'!$M$11:$M$94)</f>
        <v>0</v>
      </c>
      <c r="P19" s="403">
        <f t="shared" si="2"/>
        <v>0</v>
      </c>
      <c r="Q19" s="403">
        <f t="shared" si="3"/>
        <v>0</v>
      </c>
      <c r="R19" s="503" t="str">
        <f t="shared" si="4"/>
        <v/>
      </c>
    </row>
    <row r="20" spans="2:18" ht="18" customHeight="1" thickBot="1" x14ac:dyDescent="0.35">
      <c r="B20" s="592" t="str">
        <f>IF(항목!D18="","",항목!D18)</f>
        <v/>
      </c>
      <c r="C20" s="593"/>
      <c r="D20" s="346">
        <f>SUMIF('1월'!$K$11:$K$94,연간_세부항목별지출!$B20,'1월'!$M$11:$M$94)</f>
        <v>0</v>
      </c>
      <c r="E20" s="346">
        <f>SUMIF('2월'!$K$11:$K$94,연간_세부항목별지출!$B20,'2월'!$M$11:$M$94)</f>
        <v>0</v>
      </c>
      <c r="F20" s="346">
        <f>SUMIF('3월'!$K$11:$K$94,연간_세부항목별지출!$B20,'3월'!$M$11:$M$94)</f>
        <v>0</v>
      </c>
      <c r="G20" s="346">
        <f>SUMIF('4월'!$K$11:$K$94,연간_세부항목별지출!$B20,'4월'!$M$11:$M$94)</f>
        <v>0</v>
      </c>
      <c r="H20" s="346">
        <f>SUMIF('5월'!$K$11:$K$94,연간_세부항목별지출!$B20,'5월'!$M$11:$M$94)</f>
        <v>0</v>
      </c>
      <c r="I20" s="346">
        <f>SUMIF('6월'!$K$11:$K$94,연간_세부항목별지출!$B20,'6월'!$M$11:$M$94)</f>
        <v>0</v>
      </c>
      <c r="J20" s="346">
        <f>SUMIF('7월'!$K$11:$K$94,연간_세부항목별지출!$B20,'7월'!$M$11:$M$94)</f>
        <v>0</v>
      </c>
      <c r="K20" s="346">
        <f>SUMIF('8월'!$K$11:$K$94,연간_세부항목별지출!$B20,'8월'!$M$11:$M$94)</f>
        <v>0</v>
      </c>
      <c r="L20" s="346">
        <f>SUMIF('9월'!$K$11:$K$94,연간_세부항목별지출!$B20,'9월'!$M$11:$M$94)</f>
        <v>0</v>
      </c>
      <c r="M20" s="346">
        <f>SUMIF('10월'!$K$11:$K$94,연간_세부항목별지출!$B20,'10월'!$M$11:$M$94)</f>
        <v>0</v>
      </c>
      <c r="N20" s="346">
        <f>SUMIF('11월'!$K$11:$K$94,연간_세부항목별지출!$B20,'11월'!$M$11:$M$94)</f>
        <v>0</v>
      </c>
      <c r="O20" s="346">
        <f>SUMIF('12월'!$K$11:$K$94,연간_세부항목별지출!$B20,'12월'!$M$11:$M$94)</f>
        <v>0</v>
      </c>
      <c r="P20" s="403">
        <f t="shared" si="2"/>
        <v>0</v>
      </c>
      <c r="Q20" s="403">
        <f t="shared" si="3"/>
        <v>0</v>
      </c>
      <c r="R20" s="503" t="str">
        <f t="shared" si="4"/>
        <v/>
      </c>
    </row>
    <row r="21" spans="2:18" s="254" customFormat="1" ht="24.95" customHeight="1" thickBot="1" x14ac:dyDescent="0.35">
      <c r="B21" s="598" t="s">
        <v>301</v>
      </c>
      <c r="C21" s="599"/>
      <c r="D21" s="417">
        <f t="shared" ref="D21:O21" si="5">SUM(D22:D216)</f>
        <v>0</v>
      </c>
      <c r="E21" s="401">
        <f t="shared" si="5"/>
        <v>0</v>
      </c>
      <c r="F21" s="401">
        <f t="shared" si="5"/>
        <v>0</v>
      </c>
      <c r="G21" s="401">
        <f t="shared" si="5"/>
        <v>0</v>
      </c>
      <c r="H21" s="401">
        <f t="shared" si="5"/>
        <v>0</v>
      </c>
      <c r="I21" s="401">
        <f t="shared" si="5"/>
        <v>0</v>
      </c>
      <c r="J21" s="401">
        <f t="shared" si="5"/>
        <v>0</v>
      </c>
      <c r="K21" s="401">
        <f t="shared" si="5"/>
        <v>0</v>
      </c>
      <c r="L21" s="401">
        <f t="shared" si="5"/>
        <v>0</v>
      </c>
      <c r="M21" s="401">
        <f t="shared" si="5"/>
        <v>0</v>
      </c>
      <c r="N21" s="401">
        <f t="shared" si="5"/>
        <v>0</v>
      </c>
      <c r="O21" s="418">
        <f t="shared" si="5"/>
        <v>0</v>
      </c>
      <c r="P21" s="402">
        <f t="shared" si="2"/>
        <v>0</v>
      </c>
      <c r="Q21" s="402">
        <f t="shared" si="3"/>
        <v>0</v>
      </c>
      <c r="R21" s="504" t="str">
        <f>IF(P21&gt;0,P21/$P$4,"")</f>
        <v/>
      </c>
    </row>
    <row r="22" spans="2:18" ht="18" customHeight="1" x14ac:dyDescent="0.3">
      <c r="B22" s="595" t="str">
        <f>항목!E3</f>
        <v>식비</v>
      </c>
      <c r="C22" s="419" t="str">
        <f>IF(항목!E4="","",항목!E4)</f>
        <v>시장/마트</v>
      </c>
      <c r="D22" s="346">
        <f>SUMIF('1월'!$K$11:$K$94,연간_세부항목별지출!$C22,'1월'!$M$11:$M$94)</f>
        <v>0</v>
      </c>
      <c r="E22" s="346">
        <f>SUMIF('2월'!$K$11:$K$94,연간_세부항목별지출!$C22,'2월'!$M$11:$M$94)</f>
        <v>0</v>
      </c>
      <c r="F22" s="346">
        <f>SUMIF('3월'!$K$11:$K$94,연간_세부항목별지출!$C22,'3월'!$M$11:$M$94)</f>
        <v>0</v>
      </c>
      <c r="G22" s="346">
        <f>SUMIF('4월'!$K$11:$K$94,연간_세부항목별지출!$C22,'4월'!$M$11:$M$94)</f>
        <v>0</v>
      </c>
      <c r="H22" s="346">
        <f>SUMIF('5월'!$K$11:$K$94,연간_세부항목별지출!$C22,'5월'!$M$11:$M$94)</f>
        <v>0</v>
      </c>
      <c r="I22" s="346">
        <f>SUMIF('6월'!$K$11:$K$94,연간_세부항목별지출!$C22,'6월'!$M$11:$M$94)</f>
        <v>0</v>
      </c>
      <c r="J22" s="346">
        <f>SUMIF('7월'!$K$11:$K$94,연간_세부항목별지출!$C22,'7월'!$M$11:$M$94)</f>
        <v>0</v>
      </c>
      <c r="K22" s="346">
        <f>SUMIF('8월'!$K$11:$K$94,연간_세부항목별지출!$C22,'8월'!$M$11:$M$94)</f>
        <v>0</v>
      </c>
      <c r="L22" s="346">
        <f>SUMIF('9월'!$K$11:$K$94,연간_세부항목별지출!$C22,'9월'!$M$11:$M$94)</f>
        <v>0</v>
      </c>
      <c r="M22" s="346">
        <f>SUMIF('10월'!$K$11:$K$94,연간_세부항목별지출!$C22,'10월'!$M$11:$M$94)</f>
        <v>0</v>
      </c>
      <c r="N22" s="346">
        <f>SUMIF('11월'!$K$11:$K$94,연간_세부항목별지출!$C22,'11월'!$M$11:$M$94)</f>
        <v>0</v>
      </c>
      <c r="O22" s="346">
        <f>SUMIF('12월'!$K$11:$K$94,연간_세부항목별지출!$C22,'12월'!$M$11:$M$94)</f>
        <v>0</v>
      </c>
      <c r="P22" s="403">
        <f t="shared" si="2"/>
        <v>0</v>
      </c>
      <c r="Q22" s="403">
        <f t="shared" si="3"/>
        <v>0</v>
      </c>
      <c r="R22" s="505" t="str">
        <f t="shared" ref="R22:R53" si="6">IF(P22&gt;0,P22/$P$21,"")</f>
        <v/>
      </c>
    </row>
    <row r="23" spans="2:18" ht="18" customHeight="1" x14ac:dyDescent="0.3">
      <c r="B23" s="595"/>
      <c r="C23" s="420" t="str">
        <f>IF(항목!E5="","",항목!E5)</f>
        <v>외식</v>
      </c>
      <c r="D23" s="346">
        <f>SUMIF('1월'!$K$11:$K$94,연간_세부항목별지출!$C23,'1월'!$M$11:$M$94)</f>
        <v>0</v>
      </c>
      <c r="E23" s="346">
        <f>SUMIF('2월'!$K$11:$K$94,연간_세부항목별지출!$C23,'2월'!$M$11:$M$94)</f>
        <v>0</v>
      </c>
      <c r="F23" s="346">
        <f>SUMIF('3월'!$K$11:$K$94,연간_세부항목별지출!$C23,'3월'!$M$11:$M$94)</f>
        <v>0</v>
      </c>
      <c r="G23" s="346">
        <f>SUMIF('4월'!$K$11:$K$94,연간_세부항목별지출!$C23,'4월'!$M$11:$M$94)</f>
        <v>0</v>
      </c>
      <c r="H23" s="346">
        <f>SUMIF('5월'!$K$11:$K$94,연간_세부항목별지출!$C23,'5월'!$M$11:$M$94)</f>
        <v>0</v>
      </c>
      <c r="I23" s="346">
        <f>SUMIF('6월'!$K$11:$K$94,연간_세부항목별지출!$C23,'6월'!$M$11:$M$94)</f>
        <v>0</v>
      </c>
      <c r="J23" s="346">
        <f>SUMIF('7월'!$K$11:$K$94,연간_세부항목별지출!$C23,'7월'!$M$11:$M$94)</f>
        <v>0</v>
      </c>
      <c r="K23" s="346">
        <f>SUMIF('8월'!$K$11:$K$94,연간_세부항목별지출!$C23,'8월'!$M$11:$M$94)</f>
        <v>0</v>
      </c>
      <c r="L23" s="346">
        <f>SUMIF('9월'!$K$11:$K$94,연간_세부항목별지출!$C23,'9월'!$M$11:$M$94)</f>
        <v>0</v>
      </c>
      <c r="M23" s="346">
        <f>SUMIF('10월'!$K$11:$K$94,연간_세부항목별지출!$C23,'10월'!$M$11:$M$94)</f>
        <v>0</v>
      </c>
      <c r="N23" s="346">
        <f>SUMIF('11월'!$K$11:$K$94,연간_세부항목별지출!$C23,'11월'!$M$11:$M$94)</f>
        <v>0</v>
      </c>
      <c r="O23" s="346">
        <f>SUMIF('12월'!$K$11:$K$94,연간_세부항목별지출!$C23,'12월'!$M$11:$M$94)</f>
        <v>0</v>
      </c>
      <c r="P23" s="413">
        <f t="shared" si="2"/>
        <v>0</v>
      </c>
      <c r="Q23" s="413">
        <f t="shared" si="3"/>
        <v>0</v>
      </c>
      <c r="R23" s="503" t="str">
        <f t="shared" si="6"/>
        <v/>
      </c>
    </row>
    <row r="24" spans="2:18" ht="18" customHeight="1" x14ac:dyDescent="0.3">
      <c r="B24" s="595"/>
      <c r="C24" s="420" t="str">
        <f>IF(항목!E6="","",항목!E6)</f>
        <v>간식</v>
      </c>
      <c r="D24" s="346">
        <f>SUMIF('1월'!$K$11:$K$94,연간_세부항목별지출!$C24,'1월'!$M$11:$M$94)</f>
        <v>0</v>
      </c>
      <c r="E24" s="346">
        <f>SUMIF('2월'!$K$11:$K$94,연간_세부항목별지출!$C24,'2월'!$M$11:$M$94)</f>
        <v>0</v>
      </c>
      <c r="F24" s="346">
        <f>SUMIF('3월'!$K$11:$K$94,연간_세부항목별지출!$C24,'3월'!$M$11:$M$94)</f>
        <v>0</v>
      </c>
      <c r="G24" s="346">
        <f>SUMIF('4월'!$K$11:$K$94,연간_세부항목별지출!$C24,'4월'!$M$11:$M$94)</f>
        <v>0</v>
      </c>
      <c r="H24" s="346">
        <f>SUMIF('5월'!$K$11:$K$94,연간_세부항목별지출!$C24,'5월'!$M$11:$M$94)</f>
        <v>0</v>
      </c>
      <c r="I24" s="346">
        <f>SUMIF('6월'!$K$11:$K$94,연간_세부항목별지출!$C24,'6월'!$M$11:$M$94)</f>
        <v>0</v>
      </c>
      <c r="J24" s="346">
        <f>SUMIF('7월'!$K$11:$K$94,연간_세부항목별지출!$C24,'7월'!$M$11:$M$94)</f>
        <v>0</v>
      </c>
      <c r="K24" s="346">
        <f>SUMIF('8월'!$K$11:$K$94,연간_세부항목별지출!$C24,'8월'!$M$11:$M$94)</f>
        <v>0</v>
      </c>
      <c r="L24" s="346">
        <f>SUMIF('9월'!$K$11:$K$94,연간_세부항목별지출!$C24,'9월'!$M$11:$M$94)</f>
        <v>0</v>
      </c>
      <c r="M24" s="346">
        <f>SUMIF('10월'!$K$11:$K$94,연간_세부항목별지출!$C24,'10월'!$M$11:$M$94)</f>
        <v>0</v>
      </c>
      <c r="N24" s="346">
        <f>SUMIF('11월'!$K$11:$K$94,연간_세부항목별지출!$C24,'11월'!$M$11:$M$94)</f>
        <v>0</v>
      </c>
      <c r="O24" s="346">
        <f>SUMIF('12월'!$K$11:$K$94,연간_세부항목별지출!$C24,'12월'!$M$11:$M$94)</f>
        <v>0</v>
      </c>
      <c r="P24" s="413">
        <f t="shared" si="2"/>
        <v>0</v>
      </c>
      <c r="Q24" s="413">
        <f t="shared" si="3"/>
        <v>0</v>
      </c>
      <c r="R24" s="503" t="str">
        <f t="shared" si="6"/>
        <v/>
      </c>
    </row>
    <row r="25" spans="2:18" ht="18" customHeight="1" x14ac:dyDescent="0.3">
      <c r="B25" s="595"/>
      <c r="C25" s="420" t="str">
        <f>IF(항목!E7="","",항목!E7)</f>
        <v>술/회식</v>
      </c>
      <c r="D25" s="346">
        <f>SUMIF('1월'!$K$11:$K$94,연간_세부항목별지출!$C25,'1월'!$M$11:$M$94)</f>
        <v>0</v>
      </c>
      <c r="E25" s="346">
        <f>SUMIF('2월'!$K$11:$K$94,연간_세부항목별지출!$C25,'2월'!$M$11:$M$94)</f>
        <v>0</v>
      </c>
      <c r="F25" s="346">
        <f>SUMIF('3월'!$K$11:$K$94,연간_세부항목별지출!$C25,'3월'!$M$11:$M$94)</f>
        <v>0</v>
      </c>
      <c r="G25" s="346">
        <f>SUMIF('4월'!$K$11:$K$94,연간_세부항목별지출!$C25,'4월'!$M$11:$M$94)</f>
        <v>0</v>
      </c>
      <c r="H25" s="346">
        <f>SUMIF('5월'!$K$11:$K$94,연간_세부항목별지출!$C25,'5월'!$M$11:$M$94)</f>
        <v>0</v>
      </c>
      <c r="I25" s="346">
        <f>SUMIF('6월'!$K$11:$K$94,연간_세부항목별지출!$C25,'6월'!$M$11:$M$94)</f>
        <v>0</v>
      </c>
      <c r="J25" s="346">
        <f>SUMIF('7월'!$K$11:$K$94,연간_세부항목별지출!$C25,'7월'!$M$11:$M$94)</f>
        <v>0</v>
      </c>
      <c r="K25" s="346">
        <f>SUMIF('8월'!$K$11:$K$94,연간_세부항목별지출!$C25,'8월'!$M$11:$M$94)</f>
        <v>0</v>
      </c>
      <c r="L25" s="346">
        <f>SUMIF('9월'!$K$11:$K$94,연간_세부항목별지출!$C25,'9월'!$M$11:$M$94)</f>
        <v>0</v>
      </c>
      <c r="M25" s="346">
        <f>SUMIF('10월'!$K$11:$K$94,연간_세부항목별지출!$C25,'10월'!$M$11:$M$94)</f>
        <v>0</v>
      </c>
      <c r="N25" s="346">
        <f>SUMIF('11월'!$K$11:$K$94,연간_세부항목별지출!$C25,'11월'!$M$11:$M$94)</f>
        <v>0</v>
      </c>
      <c r="O25" s="346">
        <f>SUMIF('12월'!$K$11:$K$94,연간_세부항목별지출!$C25,'12월'!$M$11:$M$94)</f>
        <v>0</v>
      </c>
      <c r="P25" s="413">
        <f t="shared" si="2"/>
        <v>0</v>
      </c>
      <c r="Q25" s="413">
        <f t="shared" si="3"/>
        <v>0</v>
      </c>
      <c r="R25" s="503" t="str">
        <f t="shared" si="6"/>
        <v/>
      </c>
    </row>
    <row r="26" spans="2:18" ht="18" customHeight="1" x14ac:dyDescent="0.3">
      <c r="B26" s="595"/>
      <c r="C26" s="420" t="str">
        <f>IF(항목!E8="","",항목!E8)</f>
        <v>커피숍</v>
      </c>
      <c r="D26" s="346">
        <f>SUMIF('1월'!$K$11:$K$94,연간_세부항목별지출!$C26,'1월'!$M$11:$M$94)</f>
        <v>0</v>
      </c>
      <c r="E26" s="346">
        <f>SUMIF('2월'!$K$11:$K$94,연간_세부항목별지출!$C26,'2월'!$M$11:$M$94)</f>
        <v>0</v>
      </c>
      <c r="F26" s="346">
        <f>SUMIF('3월'!$K$11:$K$94,연간_세부항목별지출!$C26,'3월'!$M$11:$M$94)</f>
        <v>0</v>
      </c>
      <c r="G26" s="346">
        <f>SUMIF('4월'!$K$11:$K$94,연간_세부항목별지출!$C26,'4월'!$M$11:$M$94)</f>
        <v>0</v>
      </c>
      <c r="H26" s="346">
        <f>SUMIF('5월'!$K$11:$K$94,연간_세부항목별지출!$C26,'5월'!$M$11:$M$94)</f>
        <v>0</v>
      </c>
      <c r="I26" s="346">
        <f>SUMIF('6월'!$K$11:$K$94,연간_세부항목별지출!$C26,'6월'!$M$11:$M$94)</f>
        <v>0</v>
      </c>
      <c r="J26" s="346">
        <f>SUMIF('7월'!$K$11:$K$94,연간_세부항목별지출!$C26,'7월'!$M$11:$M$94)</f>
        <v>0</v>
      </c>
      <c r="K26" s="346">
        <f>SUMIF('8월'!$K$11:$K$94,연간_세부항목별지출!$C26,'8월'!$M$11:$M$94)</f>
        <v>0</v>
      </c>
      <c r="L26" s="346">
        <f>SUMIF('9월'!$K$11:$K$94,연간_세부항목별지출!$C26,'9월'!$M$11:$M$94)</f>
        <v>0</v>
      </c>
      <c r="M26" s="346">
        <f>SUMIF('10월'!$K$11:$K$94,연간_세부항목별지출!$C26,'10월'!$M$11:$M$94)</f>
        <v>0</v>
      </c>
      <c r="N26" s="346">
        <f>SUMIF('11월'!$K$11:$K$94,연간_세부항목별지출!$C26,'11월'!$M$11:$M$94)</f>
        <v>0</v>
      </c>
      <c r="O26" s="346">
        <f>SUMIF('12월'!$K$11:$K$94,연간_세부항목별지출!$C26,'12월'!$M$11:$M$94)</f>
        <v>0</v>
      </c>
      <c r="P26" s="413">
        <f t="shared" si="2"/>
        <v>0</v>
      </c>
      <c r="Q26" s="413">
        <f t="shared" si="3"/>
        <v>0</v>
      </c>
      <c r="R26" s="503" t="str">
        <f t="shared" si="6"/>
        <v/>
      </c>
    </row>
    <row r="27" spans="2:18" ht="18" customHeight="1" x14ac:dyDescent="0.3">
      <c r="B27" s="595"/>
      <c r="C27" s="420" t="str">
        <f>IF(항목!E9="","",항목!E9)</f>
        <v>기타 식비</v>
      </c>
      <c r="D27" s="346">
        <f>SUMIF('1월'!$K$11:$K$94,연간_세부항목별지출!$C27,'1월'!$M$11:$M$94)</f>
        <v>0</v>
      </c>
      <c r="E27" s="346">
        <f>SUMIF('2월'!$K$11:$K$94,연간_세부항목별지출!$C27,'2월'!$M$11:$M$94)</f>
        <v>0</v>
      </c>
      <c r="F27" s="346">
        <f>SUMIF('3월'!$K$11:$K$94,연간_세부항목별지출!$C27,'3월'!$M$11:$M$94)</f>
        <v>0</v>
      </c>
      <c r="G27" s="346">
        <f>SUMIF('4월'!$K$11:$K$94,연간_세부항목별지출!$C27,'4월'!$M$11:$M$94)</f>
        <v>0</v>
      </c>
      <c r="H27" s="346">
        <f>SUMIF('5월'!$K$11:$K$94,연간_세부항목별지출!$C27,'5월'!$M$11:$M$94)</f>
        <v>0</v>
      </c>
      <c r="I27" s="346">
        <f>SUMIF('6월'!$K$11:$K$94,연간_세부항목별지출!$C27,'6월'!$M$11:$M$94)</f>
        <v>0</v>
      </c>
      <c r="J27" s="346">
        <f>SUMIF('7월'!$K$11:$K$94,연간_세부항목별지출!$C27,'7월'!$M$11:$M$94)</f>
        <v>0</v>
      </c>
      <c r="K27" s="346">
        <f>SUMIF('8월'!$K$11:$K$94,연간_세부항목별지출!$C27,'8월'!$M$11:$M$94)</f>
        <v>0</v>
      </c>
      <c r="L27" s="346">
        <f>SUMIF('9월'!$K$11:$K$94,연간_세부항목별지출!$C27,'9월'!$M$11:$M$94)</f>
        <v>0</v>
      </c>
      <c r="M27" s="346">
        <f>SUMIF('10월'!$K$11:$K$94,연간_세부항목별지출!$C27,'10월'!$M$11:$M$94)</f>
        <v>0</v>
      </c>
      <c r="N27" s="346">
        <f>SUMIF('11월'!$K$11:$K$94,연간_세부항목별지출!$C27,'11월'!$M$11:$M$94)</f>
        <v>0</v>
      </c>
      <c r="O27" s="346">
        <f>SUMIF('12월'!$K$11:$K$94,연간_세부항목별지출!$C27,'12월'!$M$11:$M$94)</f>
        <v>0</v>
      </c>
      <c r="P27" s="413">
        <f t="shared" si="2"/>
        <v>0</v>
      </c>
      <c r="Q27" s="413">
        <f t="shared" si="3"/>
        <v>0</v>
      </c>
      <c r="R27" s="503" t="str">
        <f t="shared" si="6"/>
        <v/>
      </c>
    </row>
    <row r="28" spans="2:18" ht="18" customHeight="1" x14ac:dyDescent="0.3">
      <c r="B28" s="595"/>
      <c r="C28" s="420" t="str">
        <f>IF(항목!E10="","",항목!E10)</f>
        <v/>
      </c>
      <c r="D28" s="346">
        <f>SUMIF('1월'!$K$11:$K$94,연간_세부항목별지출!$C28,'1월'!$M$11:$M$94)</f>
        <v>0</v>
      </c>
      <c r="E28" s="346">
        <f>SUMIF('2월'!$K$11:$K$94,연간_세부항목별지출!$C28,'2월'!$M$11:$M$94)</f>
        <v>0</v>
      </c>
      <c r="F28" s="346">
        <f>SUMIF('3월'!$K$11:$K$94,연간_세부항목별지출!$C28,'3월'!$M$11:$M$94)</f>
        <v>0</v>
      </c>
      <c r="G28" s="346">
        <f>SUMIF('4월'!$K$11:$K$94,연간_세부항목별지출!$C28,'4월'!$M$11:$M$94)</f>
        <v>0</v>
      </c>
      <c r="H28" s="346">
        <f>SUMIF('5월'!$K$11:$K$94,연간_세부항목별지출!$C28,'5월'!$M$11:$M$94)</f>
        <v>0</v>
      </c>
      <c r="I28" s="346">
        <f>SUMIF('6월'!$K$11:$K$94,연간_세부항목별지출!$C28,'6월'!$M$11:$M$94)</f>
        <v>0</v>
      </c>
      <c r="J28" s="346">
        <f>SUMIF('7월'!$K$11:$K$94,연간_세부항목별지출!$C28,'7월'!$M$11:$M$94)</f>
        <v>0</v>
      </c>
      <c r="K28" s="346">
        <f>SUMIF('8월'!$K$11:$K$94,연간_세부항목별지출!$C28,'8월'!$M$11:$M$94)</f>
        <v>0</v>
      </c>
      <c r="L28" s="346">
        <f>SUMIF('9월'!$K$11:$K$94,연간_세부항목별지출!$C28,'9월'!$M$11:$M$94)</f>
        <v>0</v>
      </c>
      <c r="M28" s="346">
        <f>SUMIF('10월'!$K$11:$K$94,연간_세부항목별지출!$C28,'10월'!$M$11:$M$94)</f>
        <v>0</v>
      </c>
      <c r="N28" s="346">
        <f>SUMIF('11월'!$K$11:$K$94,연간_세부항목별지출!$C28,'11월'!$M$11:$M$94)</f>
        <v>0</v>
      </c>
      <c r="O28" s="346">
        <f>SUMIF('12월'!$K$11:$K$94,연간_세부항목별지출!$C28,'12월'!$M$11:$M$94)</f>
        <v>0</v>
      </c>
      <c r="P28" s="413">
        <f t="shared" si="2"/>
        <v>0</v>
      </c>
      <c r="Q28" s="413">
        <f t="shared" si="3"/>
        <v>0</v>
      </c>
      <c r="R28" s="503" t="str">
        <f t="shared" si="6"/>
        <v/>
      </c>
    </row>
    <row r="29" spans="2:18" ht="18" customHeight="1" x14ac:dyDescent="0.3">
      <c r="B29" s="595"/>
      <c r="C29" s="420" t="str">
        <f>IF(항목!E11="","",항목!E11)</f>
        <v/>
      </c>
      <c r="D29" s="346">
        <f>SUMIF('1월'!$K$11:$K$94,연간_세부항목별지출!$C29,'1월'!$M$11:$M$94)</f>
        <v>0</v>
      </c>
      <c r="E29" s="346">
        <f>SUMIF('2월'!$K$11:$K$94,연간_세부항목별지출!$C29,'2월'!$M$11:$M$94)</f>
        <v>0</v>
      </c>
      <c r="F29" s="346">
        <f>SUMIF('3월'!$K$11:$K$94,연간_세부항목별지출!$C29,'3월'!$M$11:$M$94)</f>
        <v>0</v>
      </c>
      <c r="G29" s="346">
        <f>SUMIF('4월'!$K$11:$K$94,연간_세부항목별지출!$C29,'4월'!$M$11:$M$94)</f>
        <v>0</v>
      </c>
      <c r="H29" s="346">
        <f>SUMIF('5월'!$K$11:$K$94,연간_세부항목별지출!$C29,'5월'!$M$11:$M$94)</f>
        <v>0</v>
      </c>
      <c r="I29" s="346">
        <f>SUMIF('6월'!$K$11:$K$94,연간_세부항목별지출!$C29,'6월'!$M$11:$M$94)</f>
        <v>0</v>
      </c>
      <c r="J29" s="346">
        <f>SUMIF('7월'!$K$11:$K$94,연간_세부항목별지출!$C29,'7월'!$M$11:$M$94)</f>
        <v>0</v>
      </c>
      <c r="K29" s="346">
        <f>SUMIF('8월'!$K$11:$K$94,연간_세부항목별지출!$C29,'8월'!$M$11:$M$94)</f>
        <v>0</v>
      </c>
      <c r="L29" s="346">
        <f>SUMIF('9월'!$K$11:$K$94,연간_세부항목별지출!$C29,'9월'!$M$11:$M$94)</f>
        <v>0</v>
      </c>
      <c r="M29" s="346">
        <f>SUMIF('10월'!$K$11:$K$94,연간_세부항목별지출!$C29,'10월'!$M$11:$M$94)</f>
        <v>0</v>
      </c>
      <c r="N29" s="346">
        <f>SUMIF('11월'!$K$11:$K$94,연간_세부항목별지출!$C29,'11월'!$M$11:$M$94)</f>
        <v>0</v>
      </c>
      <c r="O29" s="346">
        <f>SUMIF('12월'!$K$11:$K$94,연간_세부항목별지출!$C29,'12월'!$M$11:$M$94)</f>
        <v>0</v>
      </c>
      <c r="P29" s="413">
        <f t="shared" si="2"/>
        <v>0</v>
      </c>
      <c r="Q29" s="413">
        <f t="shared" si="3"/>
        <v>0</v>
      </c>
      <c r="R29" s="503" t="str">
        <f t="shared" si="6"/>
        <v/>
      </c>
    </row>
    <row r="30" spans="2:18" ht="18" customHeight="1" x14ac:dyDescent="0.3">
      <c r="B30" s="595"/>
      <c r="C30" s="420" t="str">
        <f>IF(항목!E12="","",항목!E12)</f>
        <v/>
      </c>
      <c r="D30" s="346">
        <f>SUMIF('1월'!$K$11:$K$94,연간_세부항목별지출!$C30,'1월'!$M$11:$M$94)</f>
        <v>0</v>
      </c>
      <c r="E30" s="346">
        <f>SUMIF('2월'!$K$11:$K$94,연간_세부항목별지출!$C30,'2월'!$M$11:$M$94)</f>
        <v>0</v>
      </c>
      <c r="F30" s="346">
        <f>SUMIF('3월'!$K$11:$K$94,연간_세부항목별지출!$C30,'3월'!$M$11:$M$94)</f>
        <v>0</v>
      </c>
      <c r="G30" s="346">
        <f>SUMIF('4월'!$K$11:$K$94,연간_세부항목별지출!$C30,'4월'!$M$11:$M$94)</f>
        <v>0</v>
      </c>
      <c r="H30" s="346">
        <f>SUMIF('5월'!$K$11:$K$94,연간_세부항목별지출!$C30,'5월'!$M$11:$M$94)</f>
        <v>0</v>
      </c>
      <c r="I30" s="346">
        <f>SUMIF('6월'!$K$11:$K$94,연간_세부항목별지출!$C30,'6월'!$M$11:$M$94)</f>
        <v>0</v>
      </c>
      <c r="J30" s="346">
        <f>SUMIF('7월'!$K$11:$K$94,연간_세부항목별지출!$C30,'7월'!$M$11:$M$94)</f>
        <v>0</v>
      </c>
      <c r="K30" s="346">
        <f>SUMIF('8월'!$K$11:$K$94,연간_세부항목별지출!$C30,'8월'!$M$11:$M$94)</f>
        <v>0</v>
      </c>
      <c r="L30" s="346">
        <f>SUMIF('9월'!$K$11:$K$94,연간_세부항목별지출!$C30,'9월'!$M$11:$M$94)</f>
        <v>0</v>
      </c>
      <c r="M30" s="346">
        <f>SUMIF('10월'!$K$11:$K$94,연간_세부항목별지출!$C30,'10월'!$M$11:$M$94)</f>
        <v>0</v>
      </c>
      <c r="N30" s="346">
        <f>SUMIF('11월'!$K$11:$K$94,연간_세부항목별지출!$C30,'11월'!$M$11:$M$94)</f>
        <v>0</v>
      </c>
      <c r="O30" s="346">
        <f>SUMIF('12월'!$K$11:$K$94,연간_세부항목별지출!$C30,'12월'!$M$11:$M$94)</f>
        <v>0</v>
      </c>
      <c r="P30" s="413">
        <f t="shared" si="2"/>
        <v>0</v>
      </c>
      <c r="Q30" s="413">
        <f t="shared" si="3"/>
        <v>0</v>
      </c>
      <c r="R30" s="503" t="str">
        <f t="shared" si="6"/>
        <v/>
      </c>
    </row>
    <row r="31" spans="2:18" ht="18" customHeight="1" x14ac:dyDescent="0.3">
      <c r="B31" s="595"/>
      <c r="C31" s="420" t="str">
        <f>IF(항목!E13="","",항목!E13)</f>
        <v/>
      </c>
      <c r="D31" s="346">
        <f>SUMIF('1월'!$K$11:$K$94,연간_세부항목별지출!$C31,'1월'!$M$11:$M$94)</f>
        <v>0</v>
      </c>
      <c r="E31" s="346">
        <f>SUMIF('2월'!$K$11:$K$94,연간_세부항목별지출!$C31,'2월'!$M$11:$M$94)</f>
        <v>0</v>
      </c>
      <c r="F31" s="346">
        <f>SUMIF('3월'!$K$11:$K$94,연간_세부항목별지출!$C31,'3월'!$M$11:$M$94)</f>
        <v>0</v>
      </c>
      <c r="G31" s="346">
        <f>SUMIF('4월'!$K$11:$K$94,연간_세부항목별지출!$C31,'4월'!$M$11:$M$94)</f>
        <v>0</v>
      </c>
      <c r="H31" s="346">
        <f>SUMIF('5월'!$K$11:$K$94,연간_세부항목별지출!$C31,'5월'!$M$11:$M$94)</f>
        <v>0</v>
      </c>
      <c r="I31" s="346">
        <f>SUMIF('6월'!$K$11:$K$94,연간_세부항목별지출!$C31,'6월'!$M$11:$M$94)</f>
        <v>0</v>
      </c>
      <c r="J31" s="346">
        <f>SUMIF('7월'!$K$11:$K$94,연간_세부항목별지출!$C31,'7월'!$M$11:$M$94)</f>
        <v>0</v>
      </c>
      <c r="K31" s="346">
        <f>SUMIF('8월'!$K$11:$K$94,연간_세부항목별지출!$C31,'8월'!$M$11:$M$94)</f>
        <v>0</v>
      </c>
      <c r="L31" s="346">
        <f>SUMIF('9월'!$K$11:$K$94,연간_세부항목별지출!$C31,'9월'!$M$11:$M$94)</f>
        <v>0</v>
      </c>
      <c r="M31" s="346">
        <f>SUMIF('10월'!$K$11:$K$94,연간_세부항목별지출!$C31,'10월'!$M$11:$M$94)</f>
        <v>0</v>
      </c>
      <c r="N31" s="346">
        <f>SUMIF('11월'!$K$11:$K$94,연간_세부항목별지출!$C31,'11월'!$M$11:$M$94)</f>
        <v>0</v>
      </c>
      <c r="O31" s="346">
        <f>SUMIF('12월'!$K$11:$K$94,연간_세부항목별지출!$C31,'12월'!$M$11:$M$94)</f>
        <v>0</v>
      </c>
      <c r="P31" s="413">
        <f t="shared" si="2"/>
        <v>0</v>
      </c>
      <c r="Q31" s="413">
        <f t="shared" si="3"/>
        <v>0</v>
      </c>
      <c r="R31" s="503" t="str">
        <f t="shared" si="6"/>
        <v/>
      </c>
    </row>
    <row r="32" spans="2:18" ht="18" customHeight="1" x14ac:dyDescent="0.3">
      <c r="B32" s="595"/>
      <c r="C32" s="420" t="str">
        <f>IF(항목!E14="","",항목!E14)</f>
        <v/>
      </c>
      <c r="D32" s="346">
        <f>SUMIF('1월'!$K$11:$K$94,연간_세부항목별지출!$C32,'1월'!$M$11:$M$94)</f>
        <v>0</v>
      </c>
      <c r="E32" s="346">
        <f>SUMIF('2월'!$K$11:$K$94,연간_세부항목별지출!$C32,'2월'!$M$11:$M$94)</f>
        <v>0</v>
      </c>
      <c r="F32" s="346">
        <f>SUMIF('3월'!$K$11:$K$94,연간_세부항목별지출!$C32,'3월'!$M$11:$M$94)</f>
        <v>0</v>
      </c>
      <c r="G32" s="346">
        <f>SUMIF('4월'!$K$11:$K$94,연간_세부항목별지출!$C32,'4월'!$M$11:$M$94)</f>
        <v>0</v>
      </c>
      <c r="H32" s="346">
        <f>SUMIF('5월'!$K$11:$K$94,연간_세부항목별지출!$C32,'5월'!$M$11:$M$94)</f>
        <v>0</v>
      </c>
      <c r="I32" s="346">
        <f>SUMIF('6월'!$K$11:$K$94,연간_세부항목별지출!$C32,'6월'!$M$11:$M$94)</f>
        <v>0</v>
      </c>
      <c r="J32" s="346">
        <f>SUMIF('7월'!$K$11:$K$94,연간_세부항목별지출!$C32,'7월'!$M$11:$M$94)</f>
        <v>0</v>
      </c>
      <c r="K32" s="346">
        <f>SUMIF('8월'!$K$11:$K$94,연간_세부항목별지출!$C32,'8월'!$M$11:$M$94)</f>
        <v>0</v>
      </c>
      <c r="L32" s="346">
        <f>SUMIF('9월'!$K$11:$K$94,연간_세부항목별지출!$C32,'9월'!$M$11:$M$94)</f>
        <v>0</v>
      </c>
      <c r="M32" s="346">
        <f>SUMIF('10월'!$K$11:$K$94,연간_세부항목별지출!$C32,'10월'!$M$11:$M$94)</f>
        <v>0</v>
      </c>
      <c r="N32" s="346">
        <f>SUMIF('11월'!$K$11:$K$94,연간_세부항목별지출!$C32,'11월'!$M$11:$M$94)</f>
        <v>0</v>
      </c>
      <c r="O32" s="346">
        <f>SUMIF('12월'!$K$11:$K$94,연간_세부항목별지출!$C32,'12월'!$M$11:$M$94)</f>
        <v>0</v>
      </c>
      <c r="P32" s="413">
        <f t="shared" si="2"/>
        <v>0</v>
      </c>
      <c r="Q32" s="413">
        <f t="shared" si="3"/>
        <v>0</v>
      </c>
      <c r="R32" s="503" t="str">
        <f t="shared" si="6"/>
        <v/>
      </c>
    </row>
    <row r="33" spans="2:18" ht="18" customHeight="1" x14ac:dyDescent="0.3">
      <c r="B33" s="595"/>
      <c r="C33" s="420" t="str">
        <f>IF(항목!E15="","",항목!E15)</f>
        <v/>
      </c>
      <c r="D33" s="346">
        <f>SUMIF('1월'!$K$11:$K$94,연간_세부항목별지출!$C33,'1월'!$M$11:$M$94)</f>
        <v>0</v>
      </c>
      <c r="E33" s="346">
        <f>SUMIF('2월'!$K$11:$K$94,연간_세부항목별지출!$C33,'2월'!$M$11:$M$94)</f>
        <v>0</v>
      </c>
      <c r="F33" s="346">
        <f>SUMIF('3월'!$K$11:$K$94,연간_세부항목별지출!$C33,'3월'!$M$11:$M$94)</f>
        <v>0</v>
      </c>
      <c r="G33" s="346">
        <f>SUMIF('4월'!$K$11:$K$94,연간_세부항목별지출!$C33,'4월'!$M$11:$M$94)</f>
        <v>0</v>
      </c>
      <c r="H33" s="346">
        <f>SUMIF('5월'!$K$11:$K$94,연간_세부항목별지출!$C33,'5월'!$M$11:$M$94)</f>
        <v>0</v>
      </c>
      <c r="I33" s="346">
        <f>SUMIF('6월'!$K$11:$K$94,연간_세부항목별지출!$C33,'6월'!$M$11:$M$94)</f>
        <v>0</v>
      </c>
      <c r="J33" s="346">
        <f>SUMIF('7월'!$K$11:$K$94,연간_세부항목별지출!$C33,'7월'!$M$11:$M$94)</f>
        <v>0</v>
      </c>
      <c r="K33" s="346">
        <f>SUMIF('8월'!$K$11:$K$94,연간_세부항목별지출!$C33,'8월'!$M$11:$M$94)</f>
        <v>0</v>
      </c>
      <c r="L33" s="346">
        <f>SUMIF('9월'!$K$11:$K$94,연간_세부항목별지출!$C33,'9월'!$M$11:$M$94)</f>
        <v>0</v>
      </c>
      <c r="M33" s="346">
        <f>SUMIF('10월'!$K$11:$K$94,연간_세부항목별지출!$C33,'10월'!$M$11:$M$94)</f>
        <v>0</v>
      </c>
      <c r="N33" s="346">
        <f>SUMIF('11월'!$K$11:$K$94,연간_세부항목별지출!$C33,'11월'!$M$11:$M$94)</f>
        <v>0</v>
      </c>
      <c r="O33" s="346">
        <f>SUMIF('12월'!$K$11:$K$94,연간_세부항목별지출!$C33,'12월'!$M$11:$M$94)</f>
        <v>0</v>
      </c>
      <c r="P33" s="413">
        <f t="shared" si="2"/>
        <v>0</v>
      </c>
      <c r="Q33" s="413">
        <f t="shared" si="3"/>
        <v>0</v>
      </c>
      <c r="R33" s="503" t="str">
        <f t="shared" si="6"/>
        <v/>
      </c>
    </row>
    <row r="34" spans="2:18" ht="18" customHeight="1" x14ac:dyDescent="0.3">
      <c r="B34" s="595"/>
      <c r="C34" s="420" t="str">
        <f>IF(항목!E16="","",항목!E16)</f>
        <v/>
      </c>
      <c r="D34" s="346">
        <f>SUMIF('1월'!$K$11:$K$94,연간_세부항목별지출!$C34,'1월'!$M$11:$M$94)</f>
        <v>0</v>
      </c>
      <c r="E34" s="346">
        <f>SUMIF('2월'!$K$11:$K$94,연간_세부항목별지출!$C34,'2월'!$M$11:$M$94)</f>
        <v>0</v>
      </c>
      <c r="F34" s="346">
        <f>SUMIF('3월'!$K$11:$K$94,연간_세부항목별지출!$C34,'3월'!$M$11:$M$94)</f>
        <v>0</v>
      </c>
      <c r="G34" s="346">
        <f>SUMIF('4월'!$K$11:$K$94,연간_세부항목별지출!$C34,'4월'!$M$11:$M$94)</f>
        <v>0</v>
      </c>
      <c r="H34" s="346">
        <f>SUMIF('5월'!$K$11:$K$94,연간_세부항목별지출!$C34,'5월'!$M$11:$M$94)</f>
        <v>0</v>
      </c>
      <c r="I34" s="346">
        <f>SUMIF('6월'!$K$11:$K$94,연간_세부항목별지출!$C34,'6월'!$M$11:$M$94)</f>
        <v>0</v>
      </c>
      <c r="J34" s="346">
        <f>SUMIF('7월'!$K$11:$K$94,연간_세부항목별지출!$C34,'7월'!$M$11:$M$94)</f>
        <v>0</v>
      </c>
      <c r="K34" s="346">
        <f>SUMIF('8월'!$K$11:$K$94,연간_세부항목별지출!$C34,'8월'!$M$11:$M$94)</f>
        <v>0</v>
      </c>
      <c r="L34" s="346">
        <f>SUMIF('9월'!$K$11:$K$94,연간_세부항목별지출!$C34,'9월'!$M$11:$M$94)</f>
        <v>0</v>
      </c>
      <c r="M34" s="346">
        <f>SUMIF('10월'!$K$11:$K$94,연간_세부항목별지출!$C34,'10월'!$M$11:$M$94)</f>
        <v>0</v>
      </c>
      <c r="N34" s="346">
        <f>SUMIF('11월'!$K$11:$K$94,연간_세부항목별지출!$C34,'11월'!$M$11:$M$94)</f>
        <v>0</v>
      </c>
      <c r="O34" s="346">
        <f>SUMIF('12월'!$K$11:$K$94,연간_세부항목별지출!$C34,'12월'!$M$11:$M$94)</f>
        <v>0</v>
      </c>
      <c r="P34" s="413">
        <f t="shared" si="2"/>
        <v>0</v>
      </c>
      <c r="Q34" s="413">
        <f t="shared" si="3"/>
        <v>0</v>
      </c>
      <c r="R34" s="503" t="str">
        <f t="shared" si="6"/>
        <v/>
      </c>
    </row>
    <row r="35" spans="2:18" ht="18" customHeight="1" x14ac:dyDescent="0.3">
      <c r="B35" s="595"/>
      <c r="C35" s="420" t="str">
        <f>IF(항목!E17="","",항목!E17)</f>
        <v/>
      </c>
      <c r="D35" s="346">
        <f>SUMIF('1월'!$K$11:$K$94,연간_세부항목별지출!$C35,'1월'!$M$11:$M$94)</f>
        <v>0</v>
      </c>
      <c r="E35" s="346">
        <f>SUMIF('2월'!$K$11:$K$94,연간_세부항목별지출!$C35,'2월'!$M$11:$M$94)</f>
        <v>0</v>
      </c>
      <c r="F35" s="346">
        <f>SUMIF('3월'!$K$11:$K$94,연간_세부항목별지출!$C35,'3월'!$M$11:$M$94)</f>
        <v>0</v>
      </c>
      <c r="G35" s="346">
        <f>SUMIF('4월'!$K$11:$K$94,연간_세부항목별지출!$C35,'4월'!$M$11:$M$94)</f>
        <v>0</v>
      </c>
      <c r="H35" s="346">
        <f>SUMIF('5월'!$K$11:$K$94,연간_세부항목별지출!$C35,'5월'!$M$11:$M$94)</f>
        <v>0</v>
      </c>
      <c r="I35" s="346">
        <f>SUMIF('6월'!$K$11:$K$94,연간_세부항목별지출!$C35,'6월'!$M$11:$M$94)</f>
        <v>0</v>
      </c>
      <c r="J35" s="346">
        <f>SUMIF('7월'!$K$11:$K$94,연간_세부항목별지출!$C35,'7월'!$M$11:$M$94)</f>
        <v>0</v>
      </c>
      <c r="K35" s="346">
        <f>SUMIF('8월'!$K$11:$K$94,연간_세부항목별지출!$C35,'8월'!$M$11:$M$94)</f>
        <v>0</v>
      </c>
      <c r="L35" s="346">
        <f>SUMIF('9월'!$K$11:$K$94,연간_세부항목별지출!$C35,'9월'!$M$11:$M$94)</f>
        <v>0</v>
      </c>
      <c r="M35" s="346">
        <f>SUMIF('10월'!$K$11:$K$94,연간_세부항목별지출!$C35,'10월'!$M$11:$M$94)</f>
        <v>0</v>
      </c>
      <c r="N35" s="346">
        <f>SUMIF('11월'!$K$11:$K$94,연간_세부항목별지출!$C35,'11월'!$M$11:$M$94)</f>
        <v>0</v>
      </c>
      <c r="O35" s="346">
        <f>SUMIF('12월'!$K$11:$K$94,연간_세부항목별지출!$C35,'12월'!$M$11:$M$94)</f>
        <v>0</v>
      </c>
      <c r="P35" s="413">
        <f t="shared" si="2"/>
        <v>0</v>
      </c>
      <c r="Q35" s="413">
        <f t="shared" si="3"/>
        <v>0</v>
      </c>
      <c r="R35" s="503" t="str">
        <f t="shared" si="6"/>
        <v/>
      </c>
    </row>
    <row r="36" spans="2:18" ht="18" customHeight="1" thickBot="1" x14ac:dyDescent="0.35">
      <c r="B36" s="595"/>
      <c r="C36" s="421" t="str">
        <f>IF(항목!E18="","",항목!E18)</f>
        <v/>
      </c>
      <c r="D36" s="387">
        <f>SUMIF('1월'!$K$11:$K$94,연간_세부항목별지출!$C36,'1월'!$M$11:$M$94)</f>
        <v>0</v>
      </c>
      <c r="E36" s="387">
        <f>SUMIF('2월'!$K$11:$K$94,연간_세부항목별지출!$C36,'2월'!$M$11:$M$94)</f>
        <v>0</v>
      </c>
      <c r="F36" s="387">
        <f>SUMIF('3월'!$K$11:$K$94,연간_세부항목별지출!$C36,'3월'!$M$11:$M$94)</f>
        <v>0</v>
      </c>
      <c r="G36" s="387">
        <f>SUMIF('4월'!$K$11:$K$94,연간_세부항목별지출!$C36,'4월'!$M$11:$M$94)</f>
        <v>0</v>
      </c>
      <c r="H36" s="387">
        <f>SUMIF('5월'!$K$11:$K$94,연간_세부항목별지출!$C36,'5월'!$M$11:$M$94)</f>
        <v>0</v>
      </c>
      <c r="I36" s="387">
        <f>SUMIF('6월'!$K$11:$K$94,연간_세부항목별지출!$C36,'6월'!$M$11:$M$94)</f>
        <v>0</v>
      </c>
      <c r="J36" s="387">
        <f>SUMIF('7월'!$K$11:$K$94,연간_세부항목별지출!$C36,'7월'!$M$11:$M$94)</f>
        <v>0</v>
      </c>
      <c r="K36" s="387">
        <f>SUMIF('8월'!$K$11:$K$94,연간_세부항목별지출!$C36,'8월'!$M$11:$M$94)</f>
        <v>0</v>
      </c>
      <c r="L36" s="387">
        <f>SUMIF('9월'!$K$11:$K$94,연간_세부항목별지출!$C36,'9월'!$M$11:$M$94)</f>
        <v>0</v>
      </c>
      <c r="M36" s="387">
        <f>SUMIF('10월'!$K$11:$K$94,연간_세부항목별지출!$C36,'10월'!$M$11:$M$94)</f>
        <v>0</v>
      </c>
      <c r="N36" s="387">
        <f>SUMIF('11월'!$K$11:$K$94,연간_세부항목별지출!$C36,'11월'!$M$11:$M$94)</f>
        <v>0</v>
      </c>
      <c r="O36" s="387">
        <f>SUMIF('12월'!$K$11:$K$94,연간_세부항목별지출!$C36,'12월'!$M$11:$M$94)</f>
        <v>0</v>
      </c>
      <c r="P36" s="422">
        <f t="shared" si="2"/>
        <v>0</v>
      </c>
      <c r="Q36" s="422">
        <f t="shared" si="3"/>
        <v>0</v>
      </c>
      <c r="R36" s="506" t="str">
        <f t="shared" si="6"/>
        <v/>
      </c>
    </row>
    <row r="37" spans="2:18" ht="18" customHeight="1" x14ac:dyDescent="0.3">
      <c r="B37" s="594" t="str">
        <f>항목!F3</f>
        <v>주거비</v>
      </c>
      <c r="C37" s="419" t="str">
        <f>IF(항목!F4="","",항목!F4)</f>
        <v>재산세</v>
      </c>
      <c r="D37" s="346">
        <f>SUMIF('1월'!$K$11:$K$94,연간_세부항목별지출!$C37,'1월'!$M$11:$M$94)</f>
        <v>0</v>
      </c>
      <c r="E37" s="346">
        <f>SUMIF('2월'!$K$11:$K$94,연간_세부항목별지출!$C37,'2월'!$M$11:$M$94)</f>
        <v>0</v>
      </c>
      <c r="F37" s="346">
        <f>SUMIF('3월'!$K$11:$K$94,연간_세부항목별지출!$C37,'3월'!$M$11:$M$94)</f>
        <v>0</v>
      </c>
      <c r="G37" s="346">
        <f>SUMIF('4월'!$K$11:$K$94,연간_세부항목별지출!$C37,'4월'!$M$11:$M$94)</f>
        <v>0</v>
      </c>
      <c r="H37" s="346">
        <f>SUMIF('5월'!$K$11:$K$94,연간_세부항목별지출!$C37,'5월'!$M$11:$M$94)</f>
        <v>0</v>
      </c>
      <c r="I37" s="346">
        <f>SUMIF('6월'!$K$11:$K$94,연간_세부항목별지출!$C37,'6월'!$M$11:$M$94)</f>
        <v>0</v>
      </c>
      <c r="J37" s="346">
        <f>SUMIF('7월'!$K$11:$K$94,연간_세부항목별지출!$C37,'7월'!$M$11:$M$94)</f>
        <v>0</v>
      </c>
      <c r="K37" s="346">
        <f>SUMIF('8월'!$K$11:$K$94,연간_세부항목별지출!$C37,'8월'!$M$11:$M$94)</f>
        <v>0</v>
      </c>
      <c r="L37" s="346">
        <f>SUMIF('9월'!$K$11:$K$94,연간_세부항목별지출!$C37,'9월'!$M$11:$M$94)</f>
        <v>0</v>
      </c>
      <c r="M37" s="346">
        <f>SUMIF('10월'!$K$11:$K$94,연간_세부항목별지출!$C37,'10월'!$M$11:$M$94)</f>
        <v>0</v>
      </c>
      <c r="N37" s="346">
        <f>SUMIF('11월'!$K$11:$K$94,연간_세부항목별지출!$C37,'11월'!$M$11:$M$94)</f>
        <v>0</v>
      </c>
      <c r="O37" s="346">
        <f>SUMIF('12월'!$K$11:$K$94,연간_세부항목별지출!$C37,'12월'!$M$11:$M$94)</f>
        <v>0</v>
      </c>
      <c r="P37" s="403">
        <f t="shared" si="2"/>
        <v>0</v>
      </c>
      <c r="Q37" s="403">
        <f t="shared" si="3"/>
        <v>0</v>
      </c>
      <c r="R37" s="505" t="str">
        <f t="shared" si="6"/>
        <v/>
      </c>
    </row>
    <row r="38" spans="2:18" ht="18" customHeight="1" x14ac:dyDescent="0.3">
      <c r="B38" s="595"/>
      <c r="C38" s="420" t="str">
        <f>IF(항목!F5="","",항목!F5)</f>
        <v>월세</v>
      </c>
      <c r="D38" s="346">
        <f>SUMIF('1월'!$K$11:$K$94,연간_세부항목별지출!$C38,'1월'!$M$11:$M$94)</f>
        <v>0</v>
      </c>
      <c r="E38" s="346">
        <f>SUMIF('2월'!$K$11:$K$94,연간_세부항목별지출!$C38,'2월'!$M$11:$M$94)</f>
        <v>0</v>
      </c>
      <c r="F38" s="346">
        <f>SUMIF('3월'!$K$11:$K$94,연간_세부항목별지출!$C38,'3월'!$M$11:$M$94)</f>
        <v>0</v>
      </c>
      <c r="G38" s="346">
        <f>SUMIF('4월'!$K$11:$K$94,연간_세부항목별지출!$C38,'4월'!$M$11:$M$94)</f>
        <v>0</v>
      </c>
      <c r="H38" s="346">
        <f>SUMIF('5월'!$K$11:$K$94,연간_세부항목별지출!$C38,'5월'!$M$11:$M$94)</f>
        <v>0</v>
      </c>
      <c r="I38" s="346">
        <f>SUMIF('6월'!$K$11:$K$94,연간_세부항목별지출!$C38,'6월'!$M$11:$M$94)</f>
        <v>0</v>
      </c>
      <c r="J38" s="346">
        <f>SUMIF('7월'!$K$11:$K$94,연간_세부항목별지출!$C38,'7월'!$M$11:$M$94)</f>
        <v>0</v>
      </c>
      <c r="K38" s="346">
        <f>SUMIF('8월'!$K$11:$K$94,연간_세부항목별지출!$C38,'8월'!$M$11:$M$94)</f>
        <v>0</v>
      </c>
      <c r="L38" s="346">
        <f>SUMIF('9월'!$K$11:$K$94,연간_세부항목별지출!$C38,'9월'!$M$11:$M$94)</f>
        <v>0</v>
      </c>
      <c r="M38" s="346">
        <f>SUMIF('10월'!$K$11:$K$94,연간_세부항목별지출!$C38,'10월'!$M$11:$M$94)</f>
        <v>0</v>
      </c>
      <c r="N38" s="346">
        <f>SUMIF('11월'!$K$11:$K$94,연간_세부항목별지출!$C38,'11월'!$M$11:$M$94)</f>
        <v>0</v>
      </c>
      <c r="O38" s="346">
        <f>SUMIF('12월'!$K$11:$K$94,연간_세부항목별지출!$C38,'12월'!$M$11:$M$94)</f>
        <v>0</v>
      </c>
      <c r="P38" s="413">
        <f t="shared" si="2"/>
        <v>0</v>
      </c>
      <c r="Q38" s="413">
        <f t="shared" si="3"/>
        <v>0</v>
      </c>
      <c r="R38" s="503" t="str">
        <f t="shared" si="6"/>
        <v/>
      </c>
    </row>
    <row r="39" spans="2:18" ht="18" customHeight="1" x14ac:dyDescent="0.3">
      <c r="B39" s="595"/>
      <c r="C39" s="420" t="str">
        <f>IF(항목!F6="","",항목!F6)</f>
        <v>주담대 이자</v>
      </c>
      <c r="D39" s="346">
        <f>SUMIF('1월'!$K$11:$K$94,연간_세부항목별지출!$C39,'1월'!$M$11:$M$94)</f>
        <v>0</v>
      </c>
      <c r="E39" s="346">
        <f>SUMIF('2월'!$K$11:$K$94,연간_세부항목별지출!$C39,'2월'!$M$11:$M$94)</f>
        <v>0</v>
      </c>
      <c r="F39" s="346">
        <f>SUMIF('3월'!$K$11:$K$94,연간_세부항목별지출!$C39,'3월'!$M$11:$M$94)</f>
        <v>0</v>
      </c>
      <c r="G39" s="346">
        <f>SUMIF('4월'!$K$11:$K$94,연간_세부항목별지출!$C39,'4월'!$M$11:$M$94)</f>
        <v>0</v>
      </c>
      <c r="H39" s="346">
        <f>SUMIF('5월'!$K$11:$K$94,연간_세부항목별지출!$C39,'5월'!$M$11:$M$94)</f>
        <v>0</v>
      </c>
      <c r="I39" s="346">
        <f>SUMIF('6월'!$K$11:$K$94,연간_세부항목별지출!$C39,'6월'!$M$11:$M$94)</f>
        <v>0</v>
      </c>
      <c r="J39" s="346">
        <f>SUMIF('7월'!$K$11:$K$94,연간_세부항목별지출!$C39,'7월'!$M$11:$M$94)</f>
        <v>0</v>
      </c>
      <c r="K39" s="346">
        <f>SUMIF('8월'!$K$11:$K$94,연간_세부항목별지출!$C39,'8월'!$M$11:$M$94)</f>
        <v>0</v>
      </c>
      <c r="L39" s="346">
        <f>SUMIF('9월'!$K$11:$K$94,연간_세부항목별지출!$C39,'9월'!$M$11:$M$94)</f>
        <v>0</v>
      </c>
      <c r="M39" s="346">
        <f>SUMIF('10월'!$K$11:$K$94,연간_세부항목별지출!$C39,'10월'!$M$11:$M$94)</f>
        <v>0</v>
      </c>
      <c r="N39" s="346">
        <f>SUMIF('11월'!$K$11:$K$94,연간_세부항목별지출!$C39,'11월'!$M$11:$M$94)</f>
        <v>0</v>
      </c>
      <c r="O39" s="346">
        <f>SUMIF('12월'!$K$11:$K$94,연간_세부항목별지출!$C39,'12월'!$M$11:$M$94)</f>
        <v>0</v>
      </c>
      <c r="P39" s="413">
        <f t="shared" si="2"/>
        <v>0</v>
      </c>
      <c r="Q39" s="413">
        <f t="shared" si="3"/>
        <v>0</v>
      </c>
      <c r="R39" s="503" t="str">
        <f t="shared" si="6"/>
        <v/>
      </c>
    </row>
    <row r="40" spans="2:18" ht="18" customHeight="1" x14ac:dyDescent="0.3">
      <c r="B40" s="595"/>
      <c r="C40" s="420" t="str">
        <f>IF(항목!F7="","",항목!F7)</f>
        <v>주담대 원금</v>
      </c>
      <c r="D40" s="346">
        <f>SUMIF('1월'!$K$11:$K$94,연간_세부항목별지출!$C40,'1월'!$M$11:$M$94)</f>
        <v>0</v>
      </c>
      <c r="E40" s="346">
        <f>SUMIF('2월'!$K$11:$K$94,연간_세부항목별지출!$C40,'2월'!$M$11:$M$94)</f>
        <v>0</v>
      </c>
      <c r="F40" s="346">
        <f>SUMIF('3월'!$K$11:$K$94,연간_세부항목별지출!$C40,'3월'!$M$11:$M$94)</f>
        <v>0</v>
      </c>
      <c r="G40" s="346">
        <f>SUMIF('4월'!$K$11:$K$94,연간_세부항목별지출!$C40,'4월'!$M$11:$M$94)</f>
        <v>0</v>
      </c>
      <c r="H40" s="346">
        <f>SUMIF('5월'!$K$11:$K$94,연간_세부항목별지출!$C40,'5월'!$M$11:$M$94)</f>
        <v>0</v>
      </c>
      <c r="I40" s="346">
        <f>SUMIF('6월'!$K$11:$K$94,연간_세부항목별지출!$C40,'6월'!$M$11:$M$94)</f>
        <v>0</v>
      </c>
      <c r="J40" s="346">
        <f>SUMIF('7월'!$K$11:$K$94,연간_세부항목별지출!$C40,'7월'!$M$11:$M$94)</f>
        <v>0</v>
      </c>
      <c r="K40" s="346">
        <f>SUMIF('8월'!$K$11:$K$94,연간_세부항목별지출!$C40,'8월'!$M$11:$M$94)</f>
        <v>0</v>
      </c>
      <c r="L40" s="346">
        <f>SUMIF('9월'!$K$11:$K$94,연간_세부항목별지출!$C40,'9월'!$M$11:$M$94)</f>
        <v>0</v>
      </c>
      <c r="M40" s="346">
        <f>SUMIF('10월'!$K$11:$K$94,연간_세부항목별지출!$C40,'10월'!$M$11:$M$94)</f>
        <v>0</v>
      </c>
      <c r="N40" s="346">
        <f>SUMIF('11월'!$K$11:$K$94,연간_세부항목별지출!$C40,'11월'!$M$11:$M$94)</f>
        <v>0</v>
      </c>
      <c r="O40" s="346">
        <f>SUMIF('12월'!$K$11:$K$94,연간_세부항목별지출!$C40,'12월'!$M$11:$M$94)</f>
        <v>0</v>
      </c>
      <c r="P40" s="413">
        <f t="shared" si="2"/>
        <v>0</v>
      </c>
      <c r="Q40" s="413">
        <f t="shared" si="3"/>
        <v>0</v>
      </c>
      <c r="R40" s="503" t="str">
        <f t="shared" si="6"/>
        <v/>
      </c>
    </row>
    <row r="41" spans="2:18" ht="18" customHeight="1" x14ac:dyDescent="0.3">
      <c r="B41" s="595"/>
      <c r="C41" s="420" t="str">
        <f>IF(항목!F8="","",항목!F8)</f>
        <v>관리비</v>
      </c>
      <c r="D41" s="346">
        <f>SUMIF('1월'!$K$11:$K$94,연간_세부항목별지출!$C41,'1월'!$M$11:$M$94)</f>
        <v>0</v>
      </c>
      <c r="E41" s="346">
        <f>SUMIF('2월'!$K$11:$K$94,연간_세부항목별지출!$C41,'2월'!$M$11:$M$94)</f>
        <v>0</v>
      </c>
      <c r="F41" s="346">
        <f>SUMIF('3월'!$K$11:$K$94,연간_세부항목별지출!$C41,'3월'!$M$11:$M$94)</f>
        <v>0</v>
      </c>
      <c r="G41" s="346">
        <f>SUMIF('4월'!$K$11:$K$94,연간_세부항목별지출!$C41,'4월'!$M$11:$M$94)</f>
        <v>0</v>
      </c>
      <c r="H41" s="346">
        <f>SUMIF('5월'!$K$11:$K$94,연간_세부항목별지출!$C41,'5월'!$M$11:$M$94)</f>
        <v>0</v>
      </c>
      <c r="I41" s="346">
        <f>SUMIF('6월'!$K$11:$K$94,연간_세부항목별지출!$C41,'6월'!$M$11:$M$94)</f>
        <v>0</v>
      </c>
      <c r="J41" s="346">
        <f>SUMIF('7월'!$K$11:$K$94,연간_세부항목별지출!$C41,'7월'!$M$11:$M$94)</f>
        <v>0</v>
      </c>
      <c r="K41" s="346">
        <f>SUMIF('8월'!$K$11:$K$94,연간_세부항목별지출!$C41,'8월'!$M$11:$M$94)</f>
        <v>0</v>
      </c>
      <c r="L41" s="346">
        <f>SUMIF('9월'!$K$11:$K$94,연간_세부항목별지출!$C41,'9월'!$M$11:$M$94)</f>
        <v>0</v>
      </c>
      <c r="M41" s="346">
        <f>SUMIF('10월'!$K$11:$K$94,연간_세부항목별지출!$C41,'10월'!$M$11:$M$94)</f>
        <v>0</v>
      </c>
      <c r="N41" s="346">
        <f>SUMIF('11월'!$K$11:$K$94,연간_세부항목별지출!$C41,'11월'!$M$11:$M$94)</f>
        <v>0</v>
      </c>
      <c r="O41" s="346">
        <f>SUMIF('12월'!$K$11:$K$94,연간_세부항목별지출!$C41,'12월'!$M$11:$M$94)</f>
        <v>0</v>
      </c>
      <c r="P41" s="413">
        <f t="shared" si="2"/>
        <v>0</v>
      </c>
      <c r="Q41" s="413">
        <f t="shared" si="3"/>
        <v>0</v>
      </c>
      <c r="R41" s="503" t="str">
        <f t="shared" si="6"/>
        <v/>
      </c>
    </row>
    <row r="42" spans="2:18" ht="18" customHeight="1" x14ac:dyDescent="0.3">
      <c r="B42" s="595"/>
      <c r="C42" s="420" t="str">
        <f>IF(항목!F9="","",항목!F9)</f>
        <v>수도세</v>
      </c>
      <c r="D42" s="346">
        <f>SUMIF('1월'!$K$11:$K$94,연간_세부항목별지출!$C42,'1월'!$M$11:$M$94)</f>
        <v>0</v>
      </c>
      <c r="E42" s="346">
        <f>SUMIF('2월'!$K$11:$K$94,연간_세부항목별지출!$C42,'2월'!$M$11:$M$94)</f>
        <v>0</v>
      </c>
      <c r="F42" s="346">
        <f>SUMIF('3월'!$K$11:$K$94,연간_세부항목별지출!$C42,'3월'!$M$11:$M$94)</f>
        <v>0</v>
      </c>
      <c r="G42" s="346">
        <f>SUMIF('4월'!$K$11:$K$94,연간_세부항목별지출!$C42,'4월'!$M$11:$M$94)</f>
        <v>0</v>
      </c>
      <c r="H42" s="346">
        <f>SUMIF('5월'!$K$11:$K$94,연간_세부항목별지출!$C42,'5월'!$M$11:$M$94)</f>
        <v>0</v>
      </c>
      <c r="I42" s="346">
        <f>SUMIF('6월'!$K$11:$K$94,연간_세부항목별지출!$C42,'6월'!$M$11:$M$94)</f>
        <v>0</v>
      </c>
      <c r="J42" s="346">
        <f>SUMIF('7월'!$K$11:$K$94,연간_세부항목별지출!$C42,'7월'!$M$11:$M$94)</f>
        <v>0</v>
      </c>
      <c r="K42" s="346">
        <f>SUMIF('8월'!$K$11:$K$94,연간_세부항목별지출!$C42,'8월'!$M$11:$M$94)</f>
        <v>0</v>
      </c>
      <c r="L42" s="346">
        <f>SUMIF('9월'!$K$11:$K$94,연간_세부항목별지출!$C42,'9월'!$M$11:$M$94)</f>
        <v>0</v>
      </c>
      <c r="M42" s="346">
        <f>SUMIF('10월'!$K$11:$K$94,연간_세부항목별지출!$C42,'10월'!$M$11:$M$94)</f>
        <v>0</v>
      </c>
      <c r="N42" s="346">
        <f>SUMIF('11월'!$K$11:$K$94,연간_세부항목별지출!$C42,'11월'!$M$11:$M$94)</f>
        <v>0</v>
      </c>
      <c r="O42" s="346">
        <f>SUMIF('12월'!$K$11:$K$94,연간_세부항목별지출!$C42,'12월'!$M$11:$M$94)</f>
        <v>0</v>
      </c>
      <c r="P42" s="413">
        <f t="shared" si="2"/>
        <v>0</v>
      </c>
      <c r="Q42" s="413">
        <f t="shared" si="3"/>
        <v>0</v>
      </c>
      <c r="R42" s="503" t="str">
        <f t="shared" si="6"/>
        <v/>
      </c>
    </row>
    <row r="43" spans="2:18" ht="18" customHeight="1" x14ac:dyDescent="0.3">
      <c r="B43" s="595"/>
      <c r="C43" s="420" t="str">
        <f>IF(항목!F10="","",항목!F10)</f>
        <v>전기세</v>
      </c>
      <c r="D43" s="346">
        <f>SUMIF('1월'!$K$11:$K$94,연간_세부항목별지출!$C43,'1월'!$M$11:$M$94)</f>
        <v>0</v>
      </c>
      <c r="E43" s="346">
        <f>SUMIF('2월'!$K$11:$K$94,연간_세부항목별지출!$C43,'2월'!$M$11:$M$94)</f>
        <v>0</v>
      </c>
      <c r="F43" s="346">
        <f>SUMIF('3월'!$K$11:$K$94,연간_세부항목별지출!$C43,'3월'!$M$11:$M$94)</f>
        <v>0</v>
      </c>
      <c r="G43" s="346">
        <f>SUMIF('4월'!$K$11:$K$94,연간_세부항목별지출!$C43,'4월'!$M$11:$M$94)</f>
        <v>0</v>
      </c>
      <c r="H43" s="346">
        <f>SUMIF('5월'!$K$11:$K$94,연간_세부항목별지출!$C43,'5월'!$M$11:$M$94)</f>
        <v>0</v>
      </c>
      <c r="I43" s="346">
        <f>SUMIF('6월'!$K$11:$K$94,연간_세부항목별지출!$C43,'6월'!$M$11:$M$94)</f>
        <v>0</v>
      </c>
      <c r="J43" s="346">
        <f>SUMIF('7월'!$K$11:$K$94,연간_세부항목별지출!$C43,'7월'!$M$11:$M$94)</f>
        <v>0</v>
      </c>
      <c r="K43" s="346">
        <f>SUMIF('8월'!$K$11:$K$94,연간_세부항목별지출!$C43,'8월'!$M$11:$M$94)</f>
        <v>0</v>
      </c>
      <c r="L43" s="346">
        <f>SUMIF('9월'!$K$11:$K$94,연간_세부항목별지출!$C43,'9월'!$M$11:$M$94)</f>
        <v>0</v>
      </c>
      <c r="M43" s="346">
        <f>SUMIF('10월'!$K$11:$K$94,연간_세부항목별지출!$C43,'10월'!$M$11:$M$94)</f>
        <v>0</v>
      </c>
      <c r="N43" s="346">
        <f>SUMIF('11월'!$K$11:$K$94,연간_세부항목별지출!$C43,'11월'!$M$11:$M$94)</f>
        <v>0</v>
      </c>
      <c r="O43" s="346">
        <f>SUMIF('12월'!$K$11:$K$94,연간_세부항목별지출!$C43,'12월'!$M$11:$M$94)</f>
        <v>0</v>
      </c>
      <c r="P43" s="413">
        <f t="shared" si="2"/>
        <v>0</v>
      </c>
      <c r="Q43" s="413">
        <f t="shared" si="3"/>
        <v>0</v>
      </c>
      <c r="R43" s="503" t="str">
        <f t="shared" si="6"/>
        <v/>
      </c>
    </row>
    <row r="44" spans="2:18" ht="18" customHeight="1" x14ac:dyDescent="0.3">
      <c r="B44" s="595"/>
      <c r="C44" s="420" t="str">
        <f>IF(항목!F11="","",항목!F11)</f>
        <v>가스비</v>
      </c>
      <c r="D44" s="346">
        <f>SUMIF('1월'!$K$11:$K$94,연간_세부항목별지출!$C44,'1월'!$M$11:$M$94)</f>
        <v>0</v>
      </c>
      <c r="E44" s="346">
        <f>SUMIF('2월'!$K$11:$K$94,연간_세부항목별지출!$C44,'2월'!$M$11:$M$94)</f>
        <v>0</v>
      </c>
      <c r="F44" s="346">
        <f>SUMIF('3월'!$K$11:$K$94,연간_세부항목별지출!$C44,'3월'!$M$11:$M$94)</f>
        <v>0</v>
      </c>
      <c r="G44" s="346">
        <f>SUMIF('4월'!$K$11:$K$94,연간_세부항목별지출!$C44,'4월'!$M$11:$M$94)</f>
        <v>0</v>
      </c>
      <c r="H44" s="346">
        <f>SUMIF('5월'!$K$11:$K$94,연간_세부항목별지출!$C44,'5월'!$M$11:$M$94)</f>
        <v>0</v>
      </c>
      <c r="I44" s="346">
        <f>SUMIF('6월'!$K$11:$K$94,연간_세부항목별지출!$C44,'6월'!$M$11:$M$94)</f>
        <v>0</v>
      </c>
      <c r="J44" s="346">
        <f>SUMIF('7월'!$K$11:$K$94,연간_세부항목별지출!$C44,'7월'!$M$11:$M$94)</f>
        <v>0</v>
      </c>
      <c r="K44" s="346">
        <f>SUMIF('8월'!$K$11:$K$94,연간_세부항목별지출!$C44,'8월'!$M$11:$M$94)</f>
        <v>0</v>
      </c>
      <c r="L44" s="346">
        <f>SUMIF('9월'!$K$11:$K$94,연간_세부항목별지출!$C44,'9월'!$M$11:$M$94)</f>
        <v>0</v>
      </c>
      <c r="M44" s="346">
        <f>SUMIF('10월'!$K$11:$K$94,연간_세부항목별지출!$C44,'10월'!$M$11:$M$94)</f>
        <v>0</v>
      </c>
      <c r="N44" s="346">
        <f>SUMIF('11월'!$K$11:$K$94,연간_세부항목별지출!$C44,'11월'!$M$11:$M$94)</f>
        <v>0</v>
      </c>
      <c r="O44" s="346">
        <f>SUMIF('12월'!$K$11:$K$94,연간_세부항목별지출!$C44,'12월'!$M$11:$M$94)</f>
        <v>0</v>
      </c>
      <c r="P44" s="413">
        <f t="shared" si="2"/>
        <v>0</v>
      </c>
      <c r="Q44" s="413">
        <f t="shared" si="3"/>
        <v>0</v>
      </c>
      <c r="R44" s="503" t="str">
        <f t="shared" si="6"/>
        <v/>
      </c>
    </row>
    <row r="45" spans="2:18" ht="18" customHeight="1" x14ac:dyDescent="0.3">
      <c r="B45" s="595"/>
      <c r="C45" s="420" t="str">
        <f>IF(항목!F12="","",항목!F12)</f>
        <v>기타 주거비</v>
      </c>
      <c r="D45" s="346">
        <f>SUMIF('1월'!$K$11:$K$94,연간_세부항목별지출!$C45,'1월'!$M$11:$M$94)</f>
        <v>0</v>
      </c>
      <c r="E45" s="346">
        <f>SUMIF('2월'!$K$11:$K$94,연간_세부항목별지출!$C45,'2월'!$M$11:$M$94)</f>
        <v>0</v>
      </c>
      <c r="F45" s="346">
        <f>SUMIF('3월'!$K$11:$K$94,연간_세부항목별지출!$C45,'3월'!$M$11:$M$94)</f>
        <v>0</v>
      </c>
      <c r="G45" s="346">
        <f>SUMIF('4월'!$K$11:$K$94,연간_세부항목별지출!$C45,'4월'!$M$11:$M$94)</f>
        <v>0</v>
      </c>
      <c r="H45" s="346">
        <f>SUMIF('5월'!$K$11:$K$94,연간_세부항목별지출!$C45,'5월'!$M$11:$M$94)</f>
        <v>0</v>
      </c>
      <c r="I45" s="346">
        <f>SUMIF('6월'!$K$11:$K$94,연간_세부항목별지출!$C45,'6월'!$M$11:$M$94)</f>
        <v>0</v>
      </c>
      <c r="J45" s="346">
        <f>SUMIF('7월'!$K$11:$K$94,연간_세부항목별지출!$C45,'7월'!$M$11:$M$94)</f>
        <v>0</v>
      </c>
      <c r="K45" s="346">
        <f>SUMIF('8월'!$K$11:$K$94,연간_세부항목별지출!$C45,'8월'!$M$11:$M$94)</f>
        <v>0</v>
      </c>
      <c r="L45" s="346">
        <f>SUMIF('9월'!$K$11:$K$94,연간_세부항목별지출!$C45,'9월'!$M$11:$M$94)</f>
        <v>0</v>
      </c>
      <c r="M45" s="346">
        <f>SUMIF('10월'!$K$11:$K$94,연간_세부항목별지출!$C45,'10월'!$M$11:$M$94)</f>
        <v>0</v>
      </c>
      <c r="N45" s="346">
        <f>SUMIF('11월'!$K$11:$K$94,연간_세부항목별지출!$C45,'11월'!$M$11:$M$94)</f>
        <v>0</v>
      </c>
      <c r="O45" s="346">
        <f>SUMIF('12월'!$K$11:$K$94,연간_세부항목별지출!$C45,'12월'!$M$11:$M$94)</f>
        <v>0</v>
      </c>
      <c r="P45" s="413">
        <f t="shared" si="2"/>
        <v>0</v>
      </c>
      <c r="Q45" s="413">
        <f t="shared" si="3"/>
        <v>0</v>
      </c>
      <c r="R45" s="503" t="str">
        <f t="shared" si="6"/>
        <v/>
      </c>
    </row>
    <row r="46" spans="2:18" ht="18" customHeight="1" x14ac:dyDescent="0.3">
      <c r="B46" s="595"/>
      <c r="C46" s="420" t="str">
        <f>IF(항목!F13="","",항목!F13)</f>
        <v/>
      </c>
      <c r="D46" s="346">
        <f>SUMIF('1월'!$K$11:$K$94,연간_세부항목별지출!$C46,'1월'!$M$11:$M$94)</f>
        <v>0</v>
      </c>
      <c r="E46" s="346">
        <f>SUMIF('2월'!$K$11:$K$94,연간_세부항목별지출!$C46,'2월'!$M$11:$M$94)</f>
        <v>0</v>
      </c>
      <c r="F46" s="346">
        <f>SUMIF('3월'!$K$11:$K$94,연간_세부항목별지출!$C46,'3월'!$M$11:$M$94)</f>
        <v>0</v>
      </c>
      <c r="G46" s="346">
        <f>SUMIF('4월'!$K$11:$K$94,연간_세부항목별지출!$C46,'4월'!$M$11:$M$94)</f>
        <v>0</v>
      </c>
      <c r="H46" s="346">
        <f>SUMIF('5월'!$K$11:$K$94,연간_세부항목별지출!$C46,'5월'!$M$11:$M$94)</f>
        <v>0</v>
      </c>
      <c r="I46" s="346">
        <f>SUMIF('6월'!$K$11:$K$94,연간_세부항목별지출!$C46,'6월'!$M$11:$M$94)</f>
        <v>0</v>
      </c>
      <c r="J46" s="346">
        <f>SUMIF('7월'!$K$11:$K$94,연간_세부항목별지출!$C46,'7월'!$M$11:$M$94)</f>
        <v>0</v>
      </c>
      <c r="K46" s="346">
        <f>SUMIF('8월'!$K$11:$K$94,연간_세부항목별지출!$C46,'8월'!$M$11:$M$94)</f>
        <v>0</v>
      </c>
      <c r="L46" s="346">
        <f>SUMIF('9월'!$K$11:$K$94,연간_세부항목별지출!$C46,'9월'!$M$11:$M$94)</f>
        <v>0</v>
      </c>
      <c r="M46" s="346">
        <f>SUMIF('10월'!$K$11:$K$94,연간_세부항목별지출!$C46,'10월'!$M$11:$M$94)</f>
        <v>0</v>
      </c>
      <c r="N46" s="346">
        <f>SUMIF('11월'!$K$11:$K$94,연간_세부항목별지출!$C46,'11월'!$M$11:$M$94)</f>
        <v>0</v>
      </c>
      <c r="O46" s="346">
        <f>SUMIF('12월'!$K$11:$K$94,연간_세부항목별지출!$C46,'12월'!$M$11:$M$94)</f>
        <v>0</v>
      </c>
      <c r="P46" s="413">
        <f t="shared" si="2"/>
        <v>0</v>
      </c>
      <c r="Q46" s="413">
        <f t="shared" si="3"/>
        <v>0</v>
      </c>
      <c r="R46" s="503" t="str">
        <f t="shared" si="6"/>
        <v/>
      </c>
    </row>
    <row r="47" spans="2:18" ht="18" customHeight="1" x14ac:dyDescent="0.3">
      <c r="B47" s="595"/>
      <c r="C47" s="420" t="str">
        <f>IF(항목!F14="","",항목!F14)</f>
        <v/>
      </c>
      <c r="D47" s="346">
        <f>SUMIF('1월'!$K$11:$K$94,연간_세부항목별지출!$C47,'1월'!$M$11:$M$94)</f>
        <v>0</v>
      </c>
      <c r="E47" s="346">
        <f>SUMIF('2월'!$K$11:$K$94,연간_세부항목별지출!$C47,'2월'!$M$11:$M$94)</f>
        <v>0</v>
      </c>
      <c r="F47" s="346">
        <f>SUMIF('3월'!$K$11:$K$94,연간_세부항목별지출!$C47,'3월'!$M$11:$M$94)</f>
        <v>0</v>
      </c>
      <c r="G47" s="346">
        <f>SUMIF('4월'!$K$11:$K$94,연간_세부항목별지출!$C47,'4월'!$M$11:$M$94)</f>
        <v>0</v>
      </c>
      <c r="H47" s="346">
        <f>SUMIF('5월'!$K$11:$K$94,연간_세부항목별지출!$C47,'5월'!$M$11:$M$94)</f>
        <v>0</v>
      </c>
      <c r="I47" s="346">
        <f>SUMIF('6월'!$K$11:$K$94,연간_세부항목별지출!$C47,'6월'!$M$11:$M$94)</f>
        <v>0</v>
      </c>
      <c r="J47" s="346">
        <f>SUMIF('7월'!$K$11:$K$94,연간_세부항목별지출!$C47,'7월'!$M$11:$M$94)</f>
        <v>0</v>
      </c>
      <c r="K47" s="346">
        <f>SUMIF('8월'!$K$11:$K$94,연간_세부항목별지출!$C47,'8월'!$M$11:$M$94)</f>
        <v>0</v>
      </c>
      <c r="L47" s="346">
        <f>SUMIF('9월'!$K$11:$K$94,연간_세부항목별지출!$C47,'9월'!$M$11:$M$94)</f>
        <v>0</v>
      </c>
      <c r="M47" s="346">
        <f>SUMIF('10월'!$K$11:$K$94,연간_세부항목별지출!$C47,'10월'!$M$11:$M$94)</f>
        <v>0</v>
      </c>
      <c r="N47" s="346">
        <f>SUMIF('11월'!$K$11:$K$94,연간_세부항목별지출!$C47,'11월'!$M$11:$M$94)</f>
        <v>0</v>
      </c>
      <c r="O47" s="346">
        <f>SUMIF('12월'!$K$11:$K$94,연간_세부항목별지출!$C47,'12월'!$M$11:$M$94)</f>
        <v>0</v>
      </c>
      <c r="P47" s="413">
        <f t="shared" si="2"/>
        <v>0</v>
      </c>
      <c r="Q47" s="413">
        <f t="shared" si="3"/>
        <v>0</v>
      </c>
      <c r="R47" s="503" t="str">
        <f t="shared" si="6"/>
        <v/>
      </c>
    </row>
    <row r="48" spans="2:18" ht="18" customHeight="1" x14ac:dyDescent="0.3">
      <c r="B48" s="595"/>
      <c r="C48" s="420" t="str">
        <f>IF(항목!F15="","",항목!F15)</f>
        <v/>
      </c>
      <c r="D48" s="346">
        <f>SUMIF('1월'!$K$11:$K$94,연간_세부항목별지출!$C48,'1월'!$M$11:$M$94)</f>
        <v>0</v>
      </c>
      <c r="E48" s="346">
        <f>SUMIF('2월'!$K$11:$K$94,연간_세부항목별지출!$C48,'2월'!$M$11:$M$94)</f>
        <v>0</v>
      </c>
      <c r="F48" s="346">
        <f>SUMIF('3월'!$K$11:$K$94,연간_세부항목별지출!$C48,'3월'!$M$11:$M$94)</f>
        <v>0</v>
      </c>
      <c r="G48" s="346">
        <f>SUMIF('4월'!$K$11:$K$94,연간_세부항목별지출!$C48,'4월'!$M$11:$M$94)</f>
        <v>0</v>
      </c>
      <c r="H48" s="346">
        <f>SUMIF('5월'!$K$11:$K$94,연간_세부항목별지출!$C48,'5월'!$M$11:$M$94)</f>
        <v>0</v>
      </c>
      <c r="I48" s="346">
        <f>SUMIF('6월'!$K$11:$K$94,연간_세부항목별지출!$C48,'6월'!$M$11:$M$94)</f>
        <v>0</v>
      </c>
      <c r="J48" s="346">
        <f>SUMIF('7월'!$K$11:$K$94,연간_세부항목별지출!$C48,'7월'!$M$11:$M$94)</f>
        <v>0</v>
      </c>
      <c r="K48" s="346">
        <f>SUMIF('8월'!$K$11:$K$94,연간_세부항목별지출!$C48,'8월'!$M$11:$M$94)</f>
        <v>0</v>
      </c>
      <c r="L48" s="346">
        <f>SUMIF('9월'!$K$11:$K$94,연간_세부항목별지출!$C48,'9월'!$M$11:$M$94)</f>
        <v>0</v>
      </c>
      <c r="M48" s="346">
        <f>SUMIF('10월'!$K$11:$K$94,연간_세부항목별지출!$C48,'10월'!$M$11:$M$94)</f>
        <v>0</v>
      </c>
      <c r="N48" s="346">
        <f>SUMIF('11월'!$K$11:$K$94,연간_세부항목별지출!$C48,'11월'!$M$11:$M$94)</f>
        <v>0</v>
      </c>
      <c r="O48" s="346">
        <f>SUMIF('12월'!$K$11:$K$94,연간_세부항목별지출!$C48,'12월'!$M$11:$M$94)</f>
        <v>0</v>
      </c>
      <c r="P48" s="413">
        <f t="shared" si="2"/>
        <v>0</v>
      </c>
      <c r="Q48" s="413">
        <f t="shared" si="3"/>
        <v>0</v>
      </c>
      <c r="R48" s="503" t="str">
        <f t="shared" si="6"/>
        <v/>
      </c>
    </row>
    <row r="49" spans="2:18" ht="18" customHeight="1" x14ac:dyDescent="0.3">
      <c r="B49" s="595"/>
      <c r="C49" s="420" t="str">
        <f>IF(항목!F16="","",항목!F16)</f>
        <v/>
      </c>
      <c r="D49" s="346">
        <f>SUMIF('1월'!$K$11:$K$94,연간_세부항목별지출!$C49,'1월'!$M$11:$M$94)</f>
        <v>0</v>
      </c>
      <c r="E49" s="346">
        <f>SUMIF('2월'!$K$11:$K$94,연간_세부항목별지출!$C49,'2월'!$M$11:$M$94)</f>
        <v>0</v>
      </c>
      <c r="F49" s="346">
        <f>SUMIF('3월'!$K$11:$K$94,연간_세부항목별지출!$C49,'3월'!$M$11:$M$94)</f>
        <v>0</v>
      </c>
      <c r="G49" s="346">
        <f>SUMIF('4월'!$K$11:$K$94,연간_세부항목별지출!$C49,'4월'!$M$11:$M$94)</f>
        <v>0</v>
      </c>
      <c r="H49" s="346">
        <f>SUMIF('5월'!$K$11:$K$94,연간_세부항목별지출!$C49,'5월'!$M$11:$M$94)</f>
        <v>0</v>
      </c>
      <c r="I49" s="346">
        <f>SUMIF('6월'!$K$11:$K$94,연간_세부항목별지출!$C49,'6월'!$M$11:$M$94)</f>
        <v>0</v>
      </c>
      <c r="J49" s="346">
        <f>SUMIF('7월'!$K$11:$K$94,연간_세부항목별지출!$C49,'7월'!$M$11:$M$94)</f>
        <v>0</v>
      </c>
      <c r="K49" s="346">
        <f>SUMIF('8월'!$K$11:$K$94,연간_세부항목별지출!$C49,'8월'!$M$11:$M$94)</f>
        <v>0</v>
      </c>
      <c r="L49" s="346">
        <f>SUMIF('9월'!$K$11:$K$94,연간_세부항목별지출!$C49,'9월'!$M$11:$M$94)</f>
        <v>0</v>
      </c>
      <c r="M49" s="346">
        <f>SUMIF('10월'!$K$11:$K$94,연간_세부항목별지출!$C49,'10월'!$M$11:$M$94)</f>
        <v>0</v>
      </c>
      <c r="N49" s="346">
        <f>SUMIF('11월'!$K$11:$K$94,연간_세부항목별지출!$C49,'11월'!$M$11:$M$94)</f>
        <v>0</v>
      </c>
      <c r="O49" s="346">
        <f>SUMIF('12월'!$K$11:$K$94,연간_세부항목별지출!$C49,'12월'!$M$11:$M$94)</f>
        <v>0</v>
      </c>
      <c r="P49" s="413">
        <f t="shared" si="2"/>
        <v>0</v>
      </c>
      <c r="Q49" s="413">
        <f t="shared" si="3"/>
        <v>0</v>
      </c>
      <c r="R49" s="503" t="str">
        <f t="shared" si="6"/>
        <v/>
      </c>
    </row>
    <row r="50" spans="2:18" ht="18" customHeight="1" x14ac:dyDescent="0.3">
      <c r="B50" s="595"/>
      <c r="C50" s="420" t="str">
        <f>IF(항목!F17="","",항목!F17)</f>
        <v/>
      </c>
      <c r="D50" s="346">
        <f>SUMIF('1월'!$K$11:$K$94,연간_세부항목별지출!$C50,'1월'!$M$11:$M$94)</f>
        <v>0</v>
      </c>
      <c r="E50" s="346">
        <f>SUMIF('2월'!$K$11:$K$94,연간_세부항목별지출!$C50,'2월'!$M$11:$M$94)</f>
        <v>0</v>
      </c>
      <c r="F50" s="346">
        <f>SUMIF('3월'!$K$11:$K$94,연간_세부항목별지출!$C50,'3월'!$M$11:$M$94)</f>
        <v>0</v>
      </c>
      <c r="G50" s="346">
        <f>SUMIF('4월'!$K$11:$K$94,연간_세부항목별지출!$C50,'4월'!$M$11:$M$94)</f>
        <v>0</v>
      </c>
      <c r="H50" s="346">
        <f>SUMIF('5월'!$K$11:$K$94,연간_세부항목별지출!$C50,'5월'!$M$11:$M$94)</f>
        <v>0</v>
      </c>
      <c r="I50" s="346">
        <f>SUMIF('6월'!$K$11:$K$94,연간_세부항목별지출!$C50,'6월'!$M$11:$M$94)</f>
        <v>0</v>
      </c>
      <c r="J50" s="346">
        <f>SUMIF('7월'!$K$11:$K$94,연간_세부항목별지출!$C50,'7월'!$M$11:$M$94)</f>
        <v>0</v>
      </c>
      <c r="K50" s="346">
        <f>SUMIF('8월'!$K$11:$K$94,연간_세부항목별지출!$C50,'8월'!$M$11:$M$94)</f>
        <v>0</v>
      </c>
      <c r="L50" s="346">
        <f>SUMIF('9월'!$K$11:$K$94,연간_세부항목별지출!$C50,'9월'!$M$11:$M$94)</f>
        <v>0</v>
      </c>
      <c r="M50" s="346">
        <f>SUMIF('10월'!$K$11:$K$94,연간_세부항목별지출!$C50,'10월'!$M$11:$M$94)</f>
        <v>0</v>
      </c>
      <c r="N50" s="346">
        <f>SUMIF('11월'!$K$11:$K$94,연간_세부항목별지출!$C50,'11월'!$M$11:$M$94)</f>
        <v>0</v>
      </c>
      <c r="O50" s="346">
        <f>SUMIF('12월'!$K$11:$K$94,연간_세부항목별지출!$C50,'12월'!$M$11:$M$94)</f>
        <v>0</v>
      </c>
      <c r="P50" s="413">
        <f t="shared" si="2"/>
        <v>0</v>
      </c>
      <c r="Q50" s="413">
        <f t="shared" si="3"/>
        <v>0</v>
      </c>
      <c r="R50" s="503" t="str">
        <f t="shared" si="6"/>
        <v/>
      </c>
    </row>
    <row r="51" spans="2:18" ht="18" customHeight="1" thickBot="1" x14ac:dyDescent="0.35">
      <c r="B51" s="595"/>
      <c r="C51" s="420" t="str">
        <f>IF(항목!F18="","",항목!F18)</f>
        <v/>
      </c>
      <c r="D51" s="346">
        <f>SUMIF('1월'!$K$11:$K$94,연간_세부항목별지출!$C51,'1월'!$M$11:$M$94)</f>
        <v>0</v>
      </c>
      <c r="E51" s="346">
        <f>SUMIF('2월'!$K$11:$K$94,연간_세부항목별지출!$C51,'2월'!$M$11:$M$94)</f>
        <v>0</v>
      </c>
      <c r="F51" s="346">
        <f>SUMIF('3월'!$K$11:$K$94,연간_세부항목별지출!$C51,'3월'!$M$11:$M$94)</f>
        <v>0</v>
      </c>
      <c r="G51" s="346">
        <f>SUMIF('4월'!$K$11:$K$94,연간_세부항목별지출!$C51,'4월'!$M$11:$M$94)</f>
        <v>0</v>
      </c>
      <c r="H51" s="346">
        <f>SUMIF('5월'!$K$11:$K$94,연간_세부항목별지출!$C51,'5월'!$M$11:$M$94)</f>
        <v>0</v>
      </c>
      <c r="I51" s="346">
        <f>SUMIF('6월'!$K$11:$K$94,연간_세부항목별지출!$C51,'6월'!$M$11:$M$94)</f>
        <v>0</v>
      </c>
      <c r="J51" s="346">
        <f>SUMIF('7월'!$K$11:$K$94,연간_세부항목별지출!$C51,'7월'!$M$11:$M$94)</f>
        <v>0</v>
      </c>
      <c r="K51" s="346">
        <f>SUMIF('8월'!$K$11:$K$94,연간_세부항목별지출!$C51,'8월'!$M$11:$M$94)</f>
        <v>0</v>
      </c>
      <c r="L51" s="346">
        <f>SUMIF('9월'!$K$11:$K$94,연간_세부항목별지출!$C51,'9월'!$M$11:$M$94)</f>
        <v>0</v>
      </c>
      <c r="M51" s="346">
        <f>SUMIF('10월'!$K$11:$K$94,연간_세부항목별지출!$C51,'10월'!$M$11:$M$94)</f>
        <v>0</v>
      </c>
      <c r="N51" s="346">
        <f>SUMIF('11월'!$K$11:$K$94,연간_세부항목별지출!$C51,'11월'!$M$11:$M$94)</f>
        <v>0</v>
      </c>
      <c r="O51" s="346">
        <f>SUMIF('12월'!$K$11:$K$94,연간_세부항목별지출!$C51,'12월'!$M$11:$M$94)</f>
        <v>0</v>
      </c>
      <c r="P51" s="413">
        <f t="shared" si="2"/>
        <v>0</v>
      </c>
      <c r="Q51" s="413">
        <f t="shared" si="3"/>
        <v>0</v>
      </c>
      <c r="R51" s="503" t="str">
        <f t="shared" si="6"/>
        <v/>
      </c>
    </row>
    <row r="52" spans="2:18" ht="18" customHeight="1" x14ac:dyDescent="0.3">
      <c r="B52" s="594" t="str">
        <f>항목!G3</f>
        <v>생활용품비</v>
      </c>
      <c r="C52" s="513" t="str">
        <f>IF(항목!G4="","",항목!G4)</f>
        <v>가구/가전</v>
      </c>
      <c r="D52" s="351">
        <f>SUMIF('1월'!$K$11:$K$94,연간_세부항목별지출!$C52,'1월'!$M$11:$M$94)</f>
        <v>0</v>
      </c>
      <c r="E52" s="351">
        <f>SUMIF('2월'!$K$11:$K$94,연간_세부항목별지출!$C52,'2월'!$M$11:$M$94)</f>
        <v>0</v>
      </c>
      <c r="F52" s="351">
        <f>SUMIF('3월'!$K$11:$K$94,연간_세부항목별지출!$C52,'3월'!$M$11:$M$94)</f>
        <v>0</v>
      </c>
      <c r="G52" s="351">
        <f>SUMIF('4월'!$K$11:$K$94,연간_세부항목별지출!$C52,'4월'!$M$11:$M$94)</f>
        <v>0</v>
      </c>
      <c r="H52" s="351">
        <f>SUMIF('5월'!$K$11:$K$94,연간_세부항목별지출!$C52,'5월'!$M$11:$M$94)</f>
        <v>0</v>
      </c>
      <c r="I52" s="351">
        <f>SUMIF('6월'!$K$11:$K$94,연간_세부항목별지출!$C52,'6월'!$M$11:$M$94)</f>
        <v>0</v>
      </c>
      <c r="J52" s="351">
        <f>SUMIF('7월'!$K$11:$K$94,연간_세부항목별지출!$C52,'7월'!$M$11:$M$94)</f>
        <v>0</v>
      </c>
      <c r="K52" s="351">
        <f>SUMIF('8월'!$K$11:$K$94,연간_세부항목별지출!$C52,'8월'!$M$11:$M$94)</f>
        <v>0</v>
      </c>
      <c r="L52" s="351">
        <f>SUMIF('9월'!$K$11:$K$94,연간_세부항목별지출!$C52,'9월'!$M$11:$M$94)</f>
        <v>0</v>
      </c>
      <c r="M52" s="351">
        <f>SUMIF('10월'!$K$11:$K$94,연간_세부항목별지출!$C52,'10월'!$M$11:$M$94)</f>
        <v>0</v>
      </c>
      <c r="N52" s="351">
        <f>SUMIF('11월'!$K$11:$K$94,연간_세부항목별지출!$C52,'11월'!$M$11:$M$94)</f>
        <v>0</v>
      </c>
      <c r="O52" s="351">
        <f>SUMIF('12월'!$K$11:$K$94,연간_세부항목별지출!$C52,'12월'!$M$11:$M$94)</f>
        <v>0</v>
      </c>
      <c r="P52" s="516">
        <f t="shared" si="2"/>
        <v>0</v>
      </c>
      <c r="Q52" s="516">
        <f t="shared" si="3"/>
        <v>0</v>
      </c>
      <c r="R52" s="517" t="str">
        <f t="shared" si="6"/>
        <v/>
      </c>
    </row>
    <row r="53" spans="2:18" ht="18" customHeight="1" x14ac:dyDescent="0.3">
      <c r="B53" s="595"/>
      <c r="C53" s="420" t="str">
        <f>IF(항목!G5="","",항목!G5)</f>
        <v>주방/욕실</v>
      </c>
      <c r="D53" s="512">
        <f>SUMIF('1월'!$K$11:$K$94,연간_세부항목별지출!$C53,'1월'!$M$11:$M$94)</f>
        <v>0</v>
      </c>
      <c r="E53" s="512">
        <f>SUMIF('2월'!$K$11:$K$94,연간_세부항목별지출!$C53,'2월'!$M$11:$M$94)</f>
        <v>0</v>
      </c>
      <c r="F53" s="512">
        <f>SUMIF('3월'!$K$11:$K$94,연간_세부항목별지출!$C53,'3월'!$M$11:$M$94)</f>
        <v>0</v>
      </c>
      <c r="G53" s="512">
        <f>SUMIF('4월'!$K$11:$K$94,연간_세부항목별지출!$C53,'4월'!$M$11:$M$94)</f>
        <v>0</v>
      </c>
      <c r="H53" s="512">
        <f>SUMIF('5월'!$K$11:$K$94,연간_세부항목별지출!$C53,'5월'!$M$11:$M$94)</f>
        <v>0</v>
      </c>
      <c r="I53" s="512">
        <f>SUMIF('6월'!$K$11:$K$94,연간_세부항목별지출!$C53,'6월'!$M$11:$M$94)</f>
        <v>0</v>
      </c>
      <c r="J53" s="512">
        <f>SUMIF('7월'!$K$11:$K$94,연간_세부항목별지출!$C53,'7월'!$M$11:$M$94)</f>
        <v>0</v>
      </c>
      <c r="K53" s="512">
        <f>SUMIF('8월'!$K$11:$K$94,연간_세부항목별지출!$C53,'8월'!$M$11:$M$94)</f>
        <v>0</v>
      </c>
      <c r="L53" s="512">
        <f>SUMIF('9월'!$K$11:$K$94,연간_세부항목별지출!$C53,'9월'!$M$11:$M$94)</f>
        <v>0</v>
      </c>
      <c r="M53" s="512">
        <f>SUMIF('10월'!$K$11:$K$94,연간_세부항목별지출!$C53,'10월'!$M$11:$M$94)</f>
        <v>0</v>
      </c>
      <c r="N53" s="512">
        <f>SUMIF('11월'!$K$11:$K$94,연간_세부항목별지출!$C53,'11월'!$M$11:$M$94)</f>
        <v>0</v>
      </c>
      <c r="O53" s="512">
        <f>SUMIF('12월'!$K$11:$K$94,연간_세부항목별지출!$C53,'12월'!$M$11:$M$94)</f>
        <v>0</v>
      </c>
      <c r="P53" s="413">
        <f t="shared" si="2"/>
        <v>0</v>
      </c>
      <c r="Q53" s="413">
        <f t="shared" si="3"/>
        <v>0</v>
      </c>
      <c r="R53" s="503" t="str">
        <f t="shared" si="6"/>
        <v/>
      </c>
    </row>
    <row r="54" spans="2:18" ht="18" customHeight="1" x14ac:dyDescent="0.3">
      <c r="B54" s="595"/>
      <c r="C54" s="420" t="str">
        <f>IF(항목!G6="","",항목!G6)</f>
        <v>오피스/문구</v>
      </c>
      <c r="D54" s="512">
        <f>SUMIF('1월'!$K$11:$K$94,연간_세부항목별지출!$C54,'1월'!$M$11:$M$94)</f>
        <v>0</v>
      </c>
      <c r="E54" s="512">
        <f>SUMIF('2월'!$K$11:$K$94,연간_세부항목별지출!$C54,'2월'!$M$11:$M$94)</f>
        <v>0</v>
      </c>
      <c r="F54" s="512">
        <f>SUMIF('3월'!$K$11:$K$94,연간_세부항목별지출!$C54,'3월'!$M$11:$M$94)</f>
        <v>0</v>
      </c>
      <c r="G54" s="512">
        <f>SUMIF('4월'!$K$11:$K$94,연간_세부항목별지출!$C54,'4월'!$M$11:$M$94)</f>
        <v>0</v>
      </c>
      <c r="H54" s="512">
        <f>SUMIF('5월'!$K$11:$K$94,연간_세부항목별지출!$C54,'5월'!$M$11:$M$94)</f>
        <v>0</v>
      </c>
      <c r="I54" s="512">
        <f>SUMIF('6월'!$K$11:$K$94,연간_세부항목별지출!$C54,'6월'!$M$11:$M$94)</f>
        <v>0</v>
      </c>
      <c r="J54" s="512">
        <f>SUMIF('7월'!$K$11:$K$94,연간_세부항목별지출!$C54,'7월'!$M$11:$M$94)</f>
        <v>0</v>
      </c>
      <c r="K54" s="512">
        <f>SUMIF('8월'!$K$11:$K$94,연간_세부항목별지출!$C54,'8월'!$M$11:$M$94)</f>
        <v>0</v>
      </c>
      <c r="L54" s="512">
        <f>SUMIF('9월'!$K$11:$K$94,연간_세부항목별지출!$C54,'9월'!$M$11:$M$94)</f>
        <v>0</v>
      </c>
      <c r="M54" s="512">
        <f>SUMIF('10월'!$K$11:$K$94,연간_세부항목별지출!$C54,'10월'!$M$11:$M$94)</f>
        <v>0</v>
      </c>
      <c r="N54" s="512">
        <f>SUMIF('11월'!$K$11:$K$94,연간_세부항목별지출!$C54,'11월'!$M$11:$M$94)</f>
        <v>0</v>
      </c>
      <c r="O54" s="512">
        <f>SUMIF('12월'!$K$11:$K$94,연간_세부항목별지출!$C54,'12월'!$M$11:$M$94)</f>
        <v>0</v>
      </c>
      <c r="P54" s="413">
        <f t="shared" si="2"/>
        <v>0</v>
      </c>
      <c r="Q54" s="413">
        <f t="shared" si="3"/>
        <v>0</v>
      </c>
      <c r="R54" s="503" t="str">
        <f t="shared" ref="R54:R86" si="7">IF(P54&gt;0,P54/$P$21,"")</f>
        <v/>
      </c>
    </row>
    <row r="55" spans="2:18" ht="18" customHeight="1" x14ac:dyDescent="0.3">
      <c r="B55" s="595"/>
      <c r="C55" s="420" t="str">
        <f>IF(항목!G7="","",항목!G7)</f>
        <v>멤버십</v>
      </c>
      <c r="D55" s="512">
        <f>SUMIF('1월'!$K$11:$K$94,연간_세부항목별지출!$C55,'1월'!$M$11:$M$94)</f>
        <v>0</v>
      </c>
      <c r="E55" s="512">
        <f>SUMIF('2월'!$K$11:$K$94,연간_세부항목별지출!$C55,'2월'!$M$11:$M$94)</f>
        <v>0</v>
      </c>
      <c r="F55" s="512">
        <f>SUMIF('3월'!$K$11:$K$94,연간_세부항목별지출!$C55,'3월'!$M$11:$M$94)</f>
        <v>0</v>
      </c>
      <c r="G55" s="512">
        <f>SUMIF('4월'!$K$11:$K$94,연간_세부항목별지출!$C55,'4월'!$M$11:$M$94)</f>
        <v>0</v>
      </c>
      <c r="H55" s="512">
        <f>SUMIF('5월'!$K$11:$K$94,연간_세부항목별지출!$C55,'5월'!$M$11:$M$94)</f>
        <v>0</v>
      </c>
      <c r="I55" s="512">
        <f>SUMIF('6월'!$K$11:$K$94,연간_세부항목별지출!$C55,'6월'!$M$11:$M$94)</f>
        <v>0</v>
      </c>
      <c r="J55" s="512">
        <f>SUMIF('7월'!$K$11:$K$94,연간_세부항목별지출!$C55,'7월'!$M$11:$M$94)</f>
        <v>0</v>
      </c>
      <c r="K55" s="512">
        <f>SUMIF('8월'!$K$11:$K$94,연간_세부항목별지출!$C55,'8월'!$M$11:$M$94)</f>
        <v>0</v>
      </c>
      <c r="L55" s="512">
        <f>SUMIF('9월'!$K$11:$K$94,연간_세부항목별지출!$C55,'9월'!$M$11:$M$94)</f>
        <v>0</v>
      </c>
      <c r="M55" s="512">
        <f>SUMIF('10월'!$K$11:$K$94,연간_세부항목별지출!$C55,'10월'!$M$11:$M$94)</f>
        <v>0</v>
      </c>
      <c r="N55" s="512">
        <f>SUMIF('11월'!$K$11:$K$94,연간_세부항목별지출!$C55,'11월'!$M$11:$M$94)</f>
        <v>0</v>
      </c>
      <c r="O55" s="512">
        <f>SUMIF('12월'!$K$11:$K$94,연간_세부항목별지출!$C55,'12월'!$M$11:$M$94)</f>
        <v>0</v>
      </c>
      <c r="P55" s="413">
        <f t="shared" si="2"/>
        <v>0</v>
      </c>
      <c r="Q55" s="413">
        <f t="shared" si="3"/>
        <v>0</v>
      </c>
      <c r="R55" s="503" t="str">
        <f t="shared" si="7"/>
        <v/>
      </c>
    </row>
    <row r="56" spans="2:18" ht="18" customHeight="1" x14ac:dyDescent="0.3">
      <c r="B56" s="595"/>
      <c r="C56" s="420" t="str">
        <f>IF(항목!G8="","",항목!G8)</f>
        <v>기타 생활용품</v>
      </c>
      <c r="D56" s="512">
        <f>SUMIF('1월'!$K$11:$K$94,연간_세부항목별지출!$C56,'1월'!$M$11:$M$94)</f>
        <v>0</v>
      </c>
      <c r="E56" s="512">
        <f>SUMIF('2월'!$K$11:$K$94,연간_세부항목별지출!$C56,'2월'!$M$11:$M$94)</f>
        <v>0</v>
      </c>
      <c r="F56" s="512">
        <f>SUMIF('3월'!$K$11:$K$94,연간_세부항목별지출!$C56,'3월'!$M$11:$M$94)</f>
        <v>0</v>
      </c>
      <c r="G56" s="512">
        <f>SUMIF('4월'!$K$11:$K$94,연간_세부항목별지출!$C56,'4월'!$M$11:$M$94)</f>
        <v>0</v>
      </c>
      <c r="H56" s="512">
        <f>SUMIF('5월'!$K$11:$K$94,연간_세부항목별지출!$C56,'5월'!$M$11:$M$94)</f>
        <v>0</v>
      </c>
      <c r="I56" s="512">
        <f>SUMIF('6월'!$K$11:$K$94,연간_세부항목별지출!$C56,'6월'!$M$11:$M$94)</f>
        <v>0</v>
      </c>
      <c r="J56" s="512">
        <f>SUMIF('7월'!$K$11:$K$94,연간_세부항목별지출!$C56,'7월'!$M$11:$M$94)</f>
        <v>0</v>
      </c>
      <c r="K56" s="512">
        <f>SUMIF('8월'!$K$11:$K$94,연간_세부항목별지출!$C56,'8월'!$M$11:$M$94)</f>
        <v>0</v>
      </c>
      <c r="L56" s="512">
        <f>SUMIF('9월'!$K$11:$K$94,연간_세부항목별지출!$C56,'9월'!$M$11:$M$94)</f>
        <v>0</v>
      </c>
      <c r="M56" s="512">
        <f>SUMIF('10월'!$K$11:$K$94,연간_세부항목별지출!$C56,'10월'!$M$11:$M$94)</f>
        <v>0</v>
      </c>
      <c r="N56" s="512">
        <f>SUMIF('11월'!$K$11:$K$94,연간_세부항목별지출!$C56,'11월'!$M$11:$M$94)</f>
        <v>0</v>
      </c>
      <c r="O56" s="512">
        <f>SUMIF('12월'!$K$11:$K$94,연간_세부항목별지출!$C56,'12월'!$M$11:$M$94)</f>
        <v>0</v>
      </c>
      <c r="P56" s="413">
        <f t="shared" si="2"/>
        <v>0</v>
      </c>
      <c r="Q56" s="413">
        <f t="shared" si="3"/>
        <v>0</v>
      </c>
      <c r="R56" s="503" t="str">
        <f t="shared" si="7"/>
        <v/>
      </c>
    </row>
    <row r="57" spans="2:18" ht="18" customHeight="1" x14ac:dyDescent="0.3">
      <c r="B57" s="595"/>
      <c r="C57" s="420" t="str">
        <f>IF(항목!G9="","",항목!G9)</f>
        <v>기타 잡지출</v>
      </c>
      <c r="D57" s="512">
        <f>SUMIF('1월'!$K$11:$K$94,연간_세부항목별지출!$C57,'1월'!$M$11:$M$94)</f>
        <v>0</v>
      </c>
      <c r="E57" s="512">
        <f>SUMIF('2월'!$K$11:$K$94,연간_세부항목별지출!$C57,'2월'!$M$11:$M$94)</f>
        <v>0</v>
      </c>
      <c r="F57" s="512">
        <f>SUMIF('3월'!$K$11:$K$94,연간_세부항목별지출!$C57,'3월'!$M$11:$M$94)</f>
        <v>0</v>
      </c>
      <c r="G57" s="512">
        <f>SUMIF('4월'!$K$11:$K$94,연간_세부항목별지출!$C57,'4월'!$M$11:$M$94)</f>
        <v>0</v>
      </c>
      <c r="H57" s="512">
        <f>SUMIF('5월'!$K$11:$K$94,연간_세부항목별지출!$C57,'5월'!$M$11:$M$94)</f>
        <v>0</v>
      </c>
      <c r="I57" s="512">
        <f>SUMIF('6월'!$K$11:$K$94,연간_세부항목별지출!$C57,'6월'!$M$11:$M$94)</f>
        <v>0</v>
      </c>
      <c r="J57" s="512">
        <f>SUMIF('7월'!$K$11:$K$94,연간_세부항목별지출!$C57,'7월'!$M$11:$M$94)</f>
        <v>0</v>
      </c>
      <c r="K57" s="512">
        <f>SUMIF('8월'!$K$11:$K$94,연간_세부항목별지출!$C57,'8월'!$M$11:$M$94)</f>
        <v>0</v>
      </c>
      <c r="L57" s="512">
        <f>SUMIF('9월'!$K$11:$K$94,연간_세부항목별지출!$C57,'9월'!$M$11:$M$94)</f>
        <v>0</v>
      </c>
      <c r="M57" s="512">
        <f>SUMIF('10월'!$K$11:$K$94,연간_세부항목별지출!$C57,'10월'!$M$11:$M$94)</f>
        <v>0</v>
      </c>
      <c r="N57" s="512">
        <f>SUMIF('11월'!$K$11:$K$94,연간_세부항목별지출!$C57,'11월'!$M$11:$M$94)</f>
        <v>0</v>
      </c>
      <c r="O57" s="512">
        <f>SUMIF('12월'!$K$11:$K$94,연간_세부항목별지출!$C57,'12월'!$M$11:$M$94)</f>
        <v>0</v>
      </c>
      <c r="P57" s="413">
        <f t="shared" si="2"/>
        <v>0</v>
      </c>
      <c r="Q57" s="413">
        <f t="shared" si="3"/>
        <v>0</v>
      </c>
      <c r="R57" s="503" t="str">
        <f t="shared" si="7"/>
        <v/>
      </c>
    </row>
    <row r="58" spans="2:18" ht="18" customHeight="1" x14ac:dyDescent="0.3">
      <c r="B58" s="595"/>
      <c r="C58" s="420" t="str">
        <f>IF(항목!G10="","",항목!G10)</f>
        <v/>
      </c>
      <c r="D58" s="512">
        <f>SUMIF('1월'!$K$11:$K$94,연간_세부항목별지출!$C58,'1월'!$M$11:$M$94)</f>
        <v>0</v>
      </c>
      <c r="E58" s="512">
        <f>SUMIF('2월'!$K$11:$K$94,연간_세부항목별지출!$C58,'2월'!$M$11:$M$94)</f>
        <v>0</v>
      </c>
      <c r="F58" s="512">
        <f>SUMIF('3월'!$K$11:$K$94,연간_세부항목별지출!$C58,'3월'!$M$11:$M$94)</f>
        <v>0</v>
      </c>
      <c r="G58" s="512">
        <f>SUMIF('4월'!$K$11:$K$94,연간_세부항목별지출!$C58,'4월'!$M$11:$M$94)</f>
        <v>0</v>
      </c>
      <c r="H58" s="512">
        <f>SUMIF('5월'!$K$11:$K$94,연간_세부항목별지출!$C58,'5월'!$M$11:$M$94)</f>
        <v>0</v>
      </c>
      <c r="I58" s="512">
        <f>SUMIF('6월'!$K$11:$K$94,연간_세부항목별지출!$C58,'6월'!$M$11:$M$94)</f>
        <v>0</v>
      </c>
      <c r="J58" s="512">
        <f>SUMIF('7월'!$K$11:$K$94,연간_세부항목별지출!$C58,'7월'!$M$11:$M$94)</f>
        <v>0</v>
      </c>
      <c r="K58" s="512">
        <f>SUMIF('8월'!$K$11:$K$94,연간_세부항목별지출!$C58,'8월'!$M$11:$M$94)</f>
        <v>0</v>
      </c>
      <c r="L58" s="512">
        <f>SUMIF('9월'!$K$11:$K$94,연간_세부항목별지출!$C58,'9월'!$M$11:$M$94)</f>
        <v>0</v>
      </c>
      <c r="M58" s="512">
        <f>SUMIF('10월'!$K$11:$K$94,연간_세부항목별지출!$C58,'10월'!$M$11:$M$94)</f>
        <v>0</v>
      </c>
      <c r="N58" s="512">
        <f>SUMIF('11월'!$K$11:$K$94,연간_세부항목별지출!$C58,'11월'!$M$11:$M$94)</f>
        <v>0</v>
      </c>
      <c r="O58" s="512">
        <f>SUMIF('12월'!$K$11:$K$94,연간_세부항목별지출!$C58,'12월'!$M$11:$M$94)</f>
        <v>0</v>
      </c>
      <c r="P58" s="413">
        <f t="shared" si="2"/>
        <v>0</v>
      </c>
      <c r="Q58" s="413">
        <f t="shared" si="3"/>
        <v>0</v>
      </c>
      <c r="R58" s="503" t="str">
        <f t="shared" si="7"/>
        <v/>
      </c>
    </row>
    <row r="59" spans="2:18" ht="18" customHeight="1" x14ac:dyDescent="0.3">
      <c r="B59" s="595"/>
      <c r="C59" s="420" t="str">
        <f>IF(항목!G11="","",항목!G11)</f>
        <v/>
      </c>
      <c r="D59" s="512">
        <f>SUMIF('1월'!$K$11:$K$94,연간_세부항목별지출!$C59,'1월'!$M$11:$M$94)</f>
        <v>0</v>
      </c>
      <c r="E59" s="512">
        <f>SUMIF('2월'!$K$11:$K$94,연간_세부항목별지출!$C59,'2월'!$M$11:$M$94)</f>
        <v>0</v>
      </c>
      <c r="F59" s="512">
        <f>SUMIF('3월'!$K$11:$K$94,연간_세부항목별지출!$C59,'3월'!$M$11:$M$94)</f>
        <v>0</v>
      </c>
      <c r="G59" s="512">
        <f>SUMIF('4월'!$K$11:$K$94,연간_세부항목별지출!$C59,'4월'!$M$11:$M$94)</f>
        <v>0</v>
      </c>
      <c r="H59" s="512">
        <f>SUMIF('5월'!$K$11:$K$94,연간_세부항목별지출!$C59,'5월'!$M$11:$M$94)</f>
        <v>0</v>
      </c>
      <c r="I59" s="512">
        <f>SUMIF('6월'!$K$11:$K$94,연간_세부항목별지출!$C59,'6월'!$M$11:$M$94)</f>
        <v>0</v>
      </c>
      <c r="J59" s="512">
        <f>SUMIF('7월'!$K$11:$K$94,연간_세부항목별지출!$C59,'7월'!$M$11:$M$94)</f>
        <v>0</v>
      </c>
      <c r="K59" s="512">
        <f>SUMIF('8월'!$K$11:$K$94,연간_세부항목별지출!$C59,'8월'!$M$11:$M$94)</f>
        <v>0</v>
      </c>
      <c r="L59" s="512">
        <f>SUMIF('9월'!$K$11:$K$94,연간_세부항목별지출!$C59,'9월'!$M$11:$M$94)</f>
        <v>0</v>
      </c>
      <c r="M59" s="512">
        <f>SUMIF('10월'!$K$11:$K$94,연간_세부항목별지출!$C59,'10월'!$M$11:$M$94)</f>
        <v>0</v>
      </c>
      <c r="N59" s="512">
        <f>SUMIF('11월'!$K$11:$K$94,연간_세부항목별지출!$C59,'11월'!$M$11:$M$94)</f>
        <v>0</v>
      </c>
      <c r="O59" s="512">
        <f>SUMIF('12월'!$K$11:$K$94,연간_세부항목별지출!$C59,'12월'!$M$11:$M$94)</f>
        <v>0</v>
      </c>
      <c r="P59" s="413">
        <f t="shared" si="2"/>
        <v>0</v>
      </c>
      <c r="Q59" s="413">
        <f t="shared" si="3"/>
        <v>0</v>
      </c>
      <c r="R59" s="503" t="str">
        <f t="shared" si="7"/>
        <v/>
      </c>
    </row>
    <row r="60" spans="2:18" ht="18" customHeight="1" x14ac:dyDescent="0.3">
      <c r="B60" s="595"/>
      <c r="C60" s="420" t="str">
        <f>IF(항목!G12="","",항목!G12)</f>
        <v/>
      </c>
      <c r="D60" s="512">
        <f>SUMIF('1월'!$K$11:$K$94,연간_세부항목별지출!$C60,'1월'!$M$11:$M$94)</f>
        <v>0</v>
      </c>
      <c r="E60" s="512">
        <f>SUMIF('2월'!$K$11:$K$94,연간_세부항목별지출!$C60,'2월'!$M$11:$M$94)</f>
        <v>0</v>
      </c>
      <c r="F60" s="512">
        <f>SUMIF('3월'!$K$11:$K$94,연간_세부항목별지출!$C60,'3월'!$M$11:$M$94)</f>
        <v>0</v>
      </c>
      <c r="G60" s="512">
        <f>SUMIF('4월'!$K$11:$K$94,연간_세부항목별지출!$C60,'4월'!$M$11:$M$94)</f>
        <v>0</v>
      </c>
      <c r="H60" s="512">
        <f>SUMIF('5월'!$K$11:$K$94,연간_세부항목별지출!$C60,'5월'!$M$11:$M$94)</f>
        <v>0</v>
      </c>
      <c r="I60" s="512">
        <f>SUMIF('6월'!$K$11:$K$94,연간_세부항목별지출!$C60,'6월'!$M$11:$M$94)</f>
        <v>0</v>
      </c>
      <c r="J60" s="512">
        <f>SUMIF('7월'!$K$11:$K$94,연간_세부항목별지출!$C60,'7월'!$M$11:$M$94)</f>
        <v>0</v>
      </c>
      <c r="K60" s="512">
        <f>SUMIF('8월'!$K$11:$K$94,연간_세부항목별지출!$C60,'8월'!$M$11:$M$94)</f>
        <v>0</v>
      </c>
      <c r="L60" s="512">
        <f>SUMIF('9월'!$K$11:$K$94,연간_세부항목별지출!$C60,'9월'!$M$11:$M$94)</f>
        <v>0</v>
      </c>
      <c r="M60" s="512">
        <f>SUMIF('10월'!$K$11:$K$94,연간_세부항목별지출!$C60,'10월'!$M$11:$M$94)</f>
        <v>0</v>
      </c>
      <c r="N60" s="512">
        <f>SUMIF('11월'!$K$11:$K$94,연간_세부항목별지출!$C60,'11월'!$M$11:$M$94)</f>
        <v>0</v>
      </c>
      <c r="O60" s="512">
        <f>SUMIF('12월'!$K$11:$K$94,연간_세부항목별지출!$C60,'12월'!$M$11:$M$94)</f>
        <v>0</v>
      </c>
      <c r="P60" s="413">
        <f t="shared" si="2"/>
        <v>0</v>
      </c>
      <c r="Q60" s="413">
        <f t="shared" si="3"/>
        <v>0</v>
      </c>
      <c r="R60" s="503" t="str">
        <f t="shared" si="7"/>
        <v/>
      </c>
    </row>
    <row r="61" spans="2:18" ht="18" customHeight="1" x14ac:dyDescent="0.3">
      <c r="B61" s="595"/>
      <c r="C61" s="420" t="str">
        <f>IF(항목!G13="","",항목!G13)</f>
        <v/>
      </c>
      <c r="D61" s="512">
        <f>SUMIF('1월'!$K$11:$K$94,연간_세부항목별지출!$C61,'1월'!$M$11:$M$94)</f>
        <v>0</v>
      </c>
      <c r="E61" s="512">
        <f>SUMIF('2월'!$K$11:$K$94,연간_세부항목별지출!$C61,'2월'!$M$11:$M$94)</f>
        <v>0</v>
      </c>
      <c r="F61" s="512">
        <f>SUMIF('3월'!$K$11:$K$94,연간_세부항목별지출!$C61,'3월'!$M$11:$M$94)</f>
        <v>0</v>
      </c>
      <c r="G61" s="512">
        <f>SUMIF('4월'!$K$11:$K$94,연간_세부항목별지출!$C61,'4월'!$M$11:$M$94)</f>
        <v>0</v>
      </c>
      <c r="H61" s="512">
        <f>SUMIF('5월'!$K$11:$K$94,연간_세부항목별지출!$C61,'5월'!$M$11:$M$94)</f>
        <v>0</v>
      </c>
      <c r="I61" s="512">
        <f>SUMIF('6월'!$K$11:$K$94,연간_세부항목별지출!$C61,'6월'!$M$11:$M$94)</f>
        <v>0</v>
      </c>
      <c r="J61" s="512">
        <f>SUMIF('7월'!$K$11:$K$94,연간_세부항목별지출!$C61,'7월'!$M$11:$M$94)</f>
        <v>0</v>
      </c>
      <c r="K61" s="512">
        <f>SUMIF('8월'!$K$11:$K$94,연간_세부항목별지출!$C61,'8월'!$M$11:$M$94)</f>
        <v>0</v>
      </c>
      <c r="L61" s="512">
        <f>SUMIF('9월'!$K$11:$K$94,연간_세부항목별지출!$C61,'9월'!$M$11:$M$94)</f>
        <v>0</v>
      </c>
      <c r="M61" s="512">
        <f>SUMIF('10월'!$K$11:$K$94,연간_세부항목별지출!$C61,'10월'!$M$11:$M$94)</f>
        <v>0</v>
      </c>
      <c r="N61" s="512">
        <f>SUMIF('11월'!$K$11:$K$94,연간_세부항목별지출!$C61,'11월'!$M$11:$M$94)</f>
        <v>0</v>
      </c>
      <c r="O61" s="512">
        <f>SUMIF('12월'!$K$11:$K$94,연간_세부항목별지출!$C61,'12월'!$M$11:$M$94)</f>
        <v>0</v>
      </c>
      <c r="P61" s="413">
        <f t="shared" si="2"/>
        <v>0</v>
      </c>
      <c r="Q61" s="413">
        <f t="shared" si="3"/>
        <v>0</v>
      </c>
      <c r="R61" s="503" t="str">
        <f t="shared" si="7"/>
        <v/>
      </c>
    </row>
    <row r="62" spans="2:18" ht="18" customHeight="1" x14ac:dyDescent="0.3">
      <c r="B62" s="595"/>
      <c r="C62" s="420" t="str">
        <f>IF(항목!G14="","",항목!G14)</f>
        <v/>
      </c>
      <c r="D62" s="512">
        <f>SUMIF('1월'!$K$11:$K$94,연간_세부항목별지출!$C62,'1월'!$M$11:$M$94)</f>
        <v>0</v>
      </c>
      <c r="E62" s="512">
        <f>SUMIF('2월'!$K$11:$K$94,연간_세부항목별지출!$C62,'2월'!$M$11:$M$94)</f>
        <v>0</v>
      </c>
      <c r="F62" s="512">
        <f>SUMIF('3월'!$K$11:$K$94,연간_세부항목별지출!$C62,'3월'!$M$11:$M$94)</f>
        <v>0</v>
      </c>
      <c r="G62" s="512">
        <f>SUMIF('4월'!$K$11:$K$94,연간_세부항목별지출!$C62,'4월'!$M$11:$M$94)</f>
        <v>0</v>
      </c>
      <c r="H62" s="512">
        <f>SUMIF('5월'!$K$11:$K$94,연간_세부항목별지출!$C62,'5월'!$M$11:$M$94)</f>
        <v>0</v>
      </c>
      <c r="I62" s="512">
        <f>SUMIF('6월'!$K$11:$K$94,연간_세부항목별지출!$C62,'6월'!$M$11:$M$94)</f>
        <v>0</v>
      </c>
      <c r="J62" s="512">
        <f>SUMIF('7월'!$K$11:$K$94,연간_세부항목별지출!$C62,'7월'!$M$11:$M$94)</f>
        <v>0</v>
      </c>
      <c r="K62" s="512">
        <f>SUMIF('8월'!$K$11:$K$94,연간_세부항목별지출!$C62,'8월'!$M$11:$M$94)</f>
        <v>0</v>
      </c>
      <c r="L62" s="512">
        <f>SUMIF('9월'!$K$11:$K$94,연간_세부항목별지출!$C62,'9월'!$M$11:$M$94)</f>
        <v>0</v>
      </c>
      <c r="M62" s="512">
        <f>SUMIF('10월'!$K$11:$K$94,연간_세부항목별지출!$C62,'10월'!$M$11:$M$94)</f>
        <v>0</v>
      </c>
      <c r="N62" s="512">
        <f>SUMIF('11월'!$K$11:$K$94,연간_세부항목별지출!$C62,'11월'!$M$11:$M$94)</f>
        <v>0</v>
      </c>
      <c r="O62" s="512">
        <f>SUMIF('12월'!$K$11:$K$94,연간_세부항목별지출!$C62,'12월'!$M$11:$M$94)</f>
        <v>0</v>
      </c>
      <c r="P62" s="413">
        <f t="shared" si="2"/>
        <v>0</v>
      </c>
      <c r="Q62" s="413">
        <f t="shared" si="3"/>
        <v>0</v>
      </c>
      <c r="R62" s="503" t="str">
        <f t="shared" si="7"/>
        <v/>
      </c>
    </row>
    <row r="63" spans="2:18" ht="18" customHeight="1" x14ac:dyDescent="0.3">
      <c r="B63" s="595"/>
      <c r="C63" s="420" t="str">
        <f>IF(항목!G15="","",항목!G15)</f>
        <v/>
      </c>
      <c r="D63" s="512">
        <f>SUMIF('1월'!$K$11:$K$94,연간_세부항목별지출!$C63,'1월'!$M$11:$M$94)</f>
        <v>0</v>
      </c>
      <c r="E63" s="512">
        <f>SUMIF('2월'!$K$11:$K$94,연간_세부항목별지출!$C63,'2월'!$M$11:$M$94)</f>
        <v>0</v>
      </c>
      <c r="F63" s="512">
        <f>SUMIF('3월'!$K$11:$K$94,연간_세부항목별지출!$C63,'3월'!$M$11:$M$94)</f>
        <v>0</v>
      </c>
      <c r="G63" s="512">
        <f>SUMIF('4월'!$K$11:$K$94,연간_세부항목별지출!$C63,'4월'!$M$11:$M$94)</f>
        <v>0</v>
      </c>
      <c r="H63" s="512">
        <f>SUMIF('5월'!$K$11:$K$94,연간_세부항목별지출!$C63,'5월'!$M$11:$M$94)</f>
        <v>0</v>
      </c>
      <c r="I63" s="512">
        <f>SUMIF('6월'!$K$11:$K$94,연간_세부항목별지출!$C63,'6월'!$M$11:$M$94)</f>
        <v>0</v>
      </c>
      <c r="J63" s="512">
        <f>SUMIF('7월'!$K$11:$K$94,연간_세부항목별지출!$C63,'7월'!$M$11:$M$94)</f>
        <v>0</v>
      </c>
      <c r="K63" s="512">
        <f>SUMIF('8월'!$K$11:$K$94,연간_세부항목별지출!$C63,'8월'!$M$11:$M$94)</f>
        <v>0</v>
      </c>
      <c r="L63" s="512">
        <f>SUMIF('9월'!$K$11:$K$94,연간_세부항목별지출!$C63,'9월'!$M$11:$M$94)</f>
        <v>0</v>
      </c>
      <c r="M63" s="512">
        <f>SUMIF('10월'!$K$11:$K$94,연간_세부항목별지출!$C63,'10월'!$M$11:$M$94)</f>
        <v>0</v>
      </c>
      <c r="N63" s="512">
        <f>SUMIF('11월'!$K$11:$K$94,연간_세부항목별지출!$C63,'11월'!$M$11:$M$94)</f>
        <v>0</v>
      </c>
      <c r="O63" s="512">
        <f>SUMIF('12월'!$K$11:$K$94,연간_세부항목별지출!$C63,'12월'!$M$11:$M$94)</f>
        <v>0</v>
      </c>
      <c r="P63" s="413">
        <f t="shared" si="2"/>
        <v>0</v>
      </c>
      <c r="Q63" s="413">
        <f t="shared" si="3"/>
        <v>0</v>
      </c>
      <c r="R63" s="503" t="str">
        <f t="shared" si="7"/>
        <v/>
      </c>
    </row>
    <row r="64" spans="2:18" ht="18" customHeight="1" x14ac:dyDescent="0.3">
      <c r="B64" s="595"/>
      <c r="C64" s="420" t="str">
        <f>IF(항목!G16="","",항목!G16)</f>
        <v/>
      </c>
      <c r="D64" s="512">
        <f>SUMIF('1월'!$K$11:$K$94,연간_세부항목별지출!$C64,'1월'!$M$11:$M$94)</f>
        <v>0</v>
      </c>
      <c r="E64" s="512">
        <f>SUMIF('2월'!$K$11:$K$94,연간_세부항목별지출!$C64,'2월'!$M$11:$M$94)</f>
        <v>0</v>
      </c>
      <c r="F64" s="512">
        <f>SUMIF('3월'!$K$11:$K$94,연간_세부항목별지출!$C64,'3월'!$M$11:$M$94)</f>
        <v>0</v>
      </c>
      <c r="G64" s="512">
        <f>SUMIF('4월'!$K$11:$K$94,연간_세부항목별지출!$C64,'4월'!$M$11:$M$94)</f>
        <v>0</v>
      </c>
      <c r="H64" s="512">
        <f>SUMIF('5월'!$K$11:$K$94,연간_세부항목별지출!$C64,'5월'!$M$11:$M$94)</f>
        <v>0</v>
      </c>
      <c r="I64" s="512">
        <f>SUMIF('6월'!$K$11:$K$94,연간_세부항목별지출!$C64,'6월'!$M$11:$M$94)</f>
        <v>0</v>
      </c>
      <c r="J64" s="512">
        <f>SUMIF('7월'!$K$11:$K$94,연간_세부항목별지출!$C64,'7월'!$M$11:$M$94)</f>
        <v>0</v>
      </c>
      <c r="K64" s="512">
        <f>SUMIF('8월'!$K$11:$K$94,연간_세부항목별지출!$C64,'8월'!$M$11:$M$94)</f>
        <v>0</v>
      </c>
      <c r="L64" s="512">
        <f>SUMIF('9월'!$K$11:$K$94,연간_세부항목별지출!$C64,'9월'!$M$11:$M$94)</f>
        <v>0</v>
      </c>
      <c r="M64" s="512">
        <f>SUMIF('10월'!$K$11:$K$94,연간_세부항목별지출!$C64,'10월'!$M$11:$M$94)</f>
        <v>0</v>
      </c>
      <c r="N64" s="512">
        <f>SUMIF('11월'!$K$11:$K$94,연간_세부항목별지출!$C64,'11월'!$M$11:$M$94)</f>
        <v>0</v>
      </c>
      <c r="O64" s="512">
        <f>SUMIF('12월'!$K$11:$K$94,연간_세부항목별지출!$C64,'12월'!$M$11:$M$94)</f>
        <v>0</v>
      </c>
      <c r="P64" s="413">
        <f t="shared" si="2"/>
        <v>0</v>
      </c>
      <c r="Q64" s="413">
        <f t="shared" si="3"/>
        <v>0</v>
      </c>
      <c r="R64" s="503" t="str">
        <f t="shared" si="7"/>
        <v/>
      </c>
    </row>
    <row r="65" spans="2:18" ht="18" customHeight="1" x14ac:dyDescent="0.3">
      <c r="B65" s="595"/>
      <c r="C65" s="420" t="str">
        <f>IF(항목!G17="","",항목!G17)</f>
        <v/>
      </c>
      <c r="D65" s="512">
        <f>SUMIF('1월'!$K$11:$K$94,연간_세부항목별지출!$C65,'1월'!$M$11:$M$94)</f>
        <v>0</v>
      </c>
      <c r="E65" s="512">
        <f>SUMIF('2월'!$K$11:$K$94,연간_세부항목별지출!$C65,'2월'!$M$11:$M$94)</f>
        <v>0</v>
      </c>
      <c r="F65" s="512">
        <f>SUMIF('3월'!$K$11:$K$94,연간_세부항목별지출!$C65,'3월'!$M$11:$M$94)</f>
        <v>0</v>
      </c>
      <c r="G65" s="512">
        <f>SUMIF('4월'!$K$11:$K$94,연간_세부항목별지출!$C65,'4월'!$M$11:$M$94)</f>
        <v>0</v>
      </c>
      <c r="H65" s="512">
        <f>SUMIF('5월'!$K$11:$K$94,연간_세부항목별지출!$C65,'5월'!$M$11:$M$94)</f>
        <v>0</v>
      </c>
      <c r="I65" s="512">
        <f>SUMIF('6월'!$K$11:$K$94,연간_세부항목별지출!$C65,'6월'!$M$11:$M$94)</f>
        <v>0</v>
      </c>
      <c r="J65" s="512">
        <f>SUMIF('7월'!$K$11:$K$94,연간_세부항목별지출!$C65,'7월'!$M$11:$M$94)</f>
        <v>0</v>
      </c>
      <c r="K65" s="512">
        <f>SUMIF('8월'!$K$11:$K$94,연간_세부항목별지출!$C65,'8월'!$M$11:$M$94)</f>
        <v>0</v>
      </c>
      <c r="L65" s="512">
        <f>SUMIF('9월'!$K$11:$K$94,연간_세부항목별지출!$C65,'9월'!$M$11:$M$94)</f>
        <v>0</v>
      </c>
      <c r="M65" s="512">
        <f>SUMIF('10월'!$K$11:$K$94,연간_세부항목별지출!$C65,'10월'!$M$11:$M$94)</f>
        <v>0</v>
      </c>
      <c r="N65" s="512">
        <f>SUMIF('11월'!$K$11:$K$94,연간_세부항목별지출!$C65,'11월'!$M$11:$M$94)</f>
        <v>0</v>
      </c>
      <c r="O65" s="512">
        <f>SUMIF('12월'!$K$11:$K$94,연간_세부항목별지출!$C65,'12월'!$M$11:$M$94)</f>
        <v>0</v>
      </c>
      <c r="P65" s="413">
        <f t="shared" si="2"/>
        <v>0</v>
      </c>
      <c r="Q65" s="413">
        <f t="shared" si="3"/>
        <v>0</v>
      </c>
      <c r="R65" s="503" t="str">
        <f t="shared" si="7"/>
        <v/>
      </c>
    </row>
    <row r="66" spans="2:18" ht="18" customHeight="1" thickBot="1" x14ac:dyDescent="0.35">
      <c r="B66" s="596"/>
      <c r="C66" s="421" t="str">
        <f>IF(항목!G18="","",항목!G18)</f>
        <v/>
      </c>
      <c r="D66" s="387">
        <f>SUMIF('1월'!$K$11:$K$94,연간_세부항목별지출!$C66,'1월'!$M$11:$M$94)</f>
        <v>0</v>
      </c>
      <c r="E66" s="387">
        <f>SUMIF('2월'!$K$11:$K$94,연간_세부항목별지출!$C66,'2월'!$M$11:$M$94)</f>
        <v>0</v>
      </c>
      <c r="F66" s="387">
        <f>SUMIF('3월'!$K$11:$K$94,연간_세부항목별지출!$C66,'3월'!$M$11:$M$94)</f>
        <v>0</v>
      </c>
      <c r="G66" s="387">
        <f>SUMIF('4월'!$K$11:$K$94,연간_세부항목별지출!$C66,'4월'!$M$11:$M$94)</f>
        <v>0</v>
      </c>
      <c r="H66" s="387">
        <f>SUMIF('5월'!$K$11:$K$94,연간_세부항목별지출!$C66,'5월'!$M$11:$M$94)</f>
        <v>0</v>
      </c>
      <c r="I66" s="387">
        <f>SUMIF('6월'!$K$11:$K$94,연간_세부항목별지출!$C66,'6월'!$M$11:$M$94)</f>
        <v>0</v>
      </c>
      <c r="J66" s="387">
        <f>SUMIF('7월'!$K$11:$K$94,연간_세부항목별지출!$C66,'7월'!$M$11:$M$94)</f>
        <v>0</v>
      </c>
      <c r="K66" s="387">
        <f>SUMIF('8월'!$K$11:$K$94,연간_세부항목별지출!$C66,'8월'!$M$11:$M$94)</f>
        <v>0</v>
      </c>
      <c r="L66" s="387">
        <f>SUMIF('9월'!$K$11:$K$94,연간_세부항목별지출!$C66,'9월'!$M$11:$M$94)</f>
        <v>0</v>
      </c>
      <c r="M66" s="387">
        <f>SUMIF('10월'!$K$11:$K$94,연간_세부항목별지출!$C66,'10월'!$M$11:$M$94)</f>
        <v>0</v>
      </c>
      <c r="N66" s="387">
        <f>SUMIF('11월'!$K$11:$K$94,연간_세부항목별지출!$C66,'11월'!$M$11:$M$94)</f>
        <v>0</v>
      </c>
      <c r="O66" s="387">
        <f>SUMIF('12월'!$K$11:$K$94,연간_세부항목별지출!$C66,'12월'!$M$11:$M$94)</f>
        <v>0</v>
      </c>
      <c r="P66" s="422">
        <f t="shared" si="2"/>
        <v>0</v>
      </c>
      <c r="Q66" s="422">
        <f t="shared" si="3"/>
        <v>0</v>
      </c>
      <c r="R66" s="506" t="str">
        <f t="shared" si="7"/>
        <v/>
      </c>
    </row>
    <row r="67" spans="2:18" ht="18" customHeight="1" x14ac:dyDescent="0.3">
      <c r="B67" s="594" t="str">
        <f>항목!H3</f>
        <v>반려동물비</v>
      </c>
      <c r="C67" s="513" t="str">
        <f>IF(항목!H4="","",항목!H4)</f>
        <v>사료/간식</v>
      </c>
      <c r="D67" s="351">
        <f>SUMIF('1월'!$K$11:$K$94,연간_세부항목별지출!$C67,'1월'!$M$11:$M$94)</f>
        <v>0</v>
      </c>
      <c r="E67" s="351">
        <f>SUMIF('2월'!$K$11:$K$94,연간_세부항목별지출!$C67,'2월'!$M$11:$M$94)</f>
        <v>0</v>
      </c>
      <c r="F67" s="351">
        <f>SUMIF('3월'!$K$11:$K$94,연간_세부항목별지출!$C67,'3월'!$M$11:$M$94)</f>
        <v>0</v>
      </c>
      <c r="G67" s="351">
        <f>SUMIF('4월'!$K$11:$K$94,연간_세부항목별지출!$C67,'4월'!$M$11:$M$94)</f>
        <v>0</v>
      </c>
      <c r="H67" s="351">
        <f>SUMIF('5월'!$K$11:$K$94,연간_세부항목별지출!$C67,'5월'!$M$11:$M$94)</f>
        <v>0</v>
      </c>
      <c r="I67" s="351">
        <f>SUMIF('6월'!$K$11:$K$94,연간_세부항목별지출!$C67,'6월'!$M$11:$M$94)</f>
        <v>0</v>
      </c>
      <c r="J67" s="351">
        <f>SUMIF('7월'!$K$11:$K$94,연간_세부항목별지출!$C67,'7월'!$M$11:$M$94)</f>
        <v>0</v>
      </c>
      <c r="K67" s="351">
        <f>SUMIF('8월'!$K$11:$K$94,연간_세부항목별지출!$C67,'8월'!$M$11:$M$94)</f>
        <v>0</v>
      </c>
      <c r="L67" s="351">
        <f>SUMIF('9월'!$K$11:$K$94,연간_세부항목별지출!$C67,'9월'!$M$11:$M$94)</f>
        <v>0</v>
      </c>
      <c r="M67" s="351">
        <f>SUMIF('10월'!$K$11:$K$94,연간_세부항목별지출!$C67,'10월'!$M$11:$M$94)</f>
        <v>0</v>
      </c>
      <c r="N67" s="351">
        <f>SUMIF('11월'!$K$11:$K$94,연간_세부항목별지출!$C67,'11월'!$M$11:$M$94)</f>
        <v>0</v>
      </c>
      <c r="O67" s="351">
        <f>SUMIF('12월'!$K$11:$K$94,연간_세부항목별지출!$C67,'12월'!$M$11:$M$94)</f>
        <v>0</v>
      </c>
      <c r="P67" s="516">
        <f t="shared" si="2"/>
        <v>0</v>
      </c>
      <c r="Q67" s="516">
        <f t="shared" si="3"/>
        <v>0</v>
      </c>
      <c r="R67" s="517" t="str">
        <f t="shared" si="7"/>
        <v/>
      </c>
    </row>
    <row r="68" spans="2:18" ht="18" customHeight="1" x14ac:dyDescent="0.3">
      <c r="B68" s="595"/>
      <c r="C68" s="419" t="str">
        <f>IF(항목!H5="","",항목!H5)</f>
        <v>용품/장난감</v>
      </c>
      <c r="D68" s="346">
        <f>SUMIF('1월'!$K$11:$K$94,연간_세부항목별지출!$C68,'1월'!$M$11:$M$94)</f>
        <v>0</v>
      </c>
      <c r="E68" s="346">
        <f>SUMIF('2월'!$K$11:$K$94,연간_세부항목별지출!$C68,'2월'!$M$11:$M$94)</f>
        <v>0</v>
      </c>
      <c r="F68" s="346">
        <f>SUMIF('3월'!$K$11:$K$94,연간_세부항목별지출!$C68,'3월'!$M$11:$M$94)</f>
        <v>0</v>
      </c>
      <c r="G68" s="346">
        <f>SUMIF('4월'!$K$11:$K$94,연간_세부항목별지출!$C68,'4월'!$M$11:$M$94)</f>
        <v>0</v>
      </c>
      <c r="H68" s="346">
        <f>SUMIF('5월'!$K$11:$K$94,연간_세부항목별지출!$C68,'5월'!$M$11:$M$94)</f>
        <v>0</v>
      </c>
      <c r="I68" s="346">
        <f>SUMIF('6월'!$K$11:$K$94,연간_세부항목별지출!$C68,'6월'!$M$11:$M$94)</f>
        <v>0</v>
      </c>
      <c r="J68" s="346">
        <f>SUMIF('7월'!$K$11:$K$94,연간_세부항목별지출!$C68,'7월'!$M$11:$M$94)</f>
        <v>0</v>
      </c>
      <c r="K68" s="346">
        <f>SUMIF('8월'!$K$11:$K$94,연간_세부항목별지출!$C68,'8월'!$M$11:$M$94)</f>
        <v>0</v>
      </c>
      <c r="L68" s="346">
        <f>SUMIF('9월'!$K$11:$K$94,연간_세부항목별지출!$C68,'9월'!$M$11:$M$94)</f>
        <v>0</v>
      </c>
      <c r="M68" s="346">
        <f>SUMIF('10월'!$K$11:$K$94,연간_세부항목별지출!$C68,'10월'!$M$11:$M$94)</f>
        <v>0</v>
      </c>
      <c r="N68" s="346">
        <f>SUMIF('11월'!$K$11:$K$94,연간_세부항목별지출!$C68,'11월'!$M$11:$M$94)</f>
        <v>0</v>
      </c>
      <c r="O68" s="346">
        <f>SUMIF('12월'!$K$11:$K$94,연간_세부항목별지출!$C68,'12월'!$M$11:$M$94)</f>
        <v>0</v>
      </c>
      <c r="P68" s="413">
        <f t="shared" si="2"/>
        <v>0</v>
      </c>
      <c r="Q68" s="413">
        <f t="shared" si="3"/>
        <v>0</v>
      </c>
      <c r="R68" s="503" t="str">
        <f t="shared" si="7"/>
        <v/>
      </c>
    </row>
    <row r="69" spans="2:18" ht="18" customHeight="1" x14ac:dyDescent="0.3">
      <c r="B69" s="595"/>
      <c r="C69" s="419" t="str">
        <f>IF(항목!H6="","",항목!H6)</f>
        <v>병원/접종</v>
      </c>
      <c r="D69" s="346">
        <f>SUMIF('1월'!$K$11:$K$94,연간_세부항목별지출!$C69,'1월'!$M$11:$M$94)</f>
        <v>0</v>
      </c>
      <c r="E69" s="346">
        <f>SUMIF('2월'!$K$11:$K$94,연간_세부항목별지출!$C69,'2월'!$M$11:$M$94)</f>
        <v>0</v>
      </c>
      <c r="F69" s="346">
        <f>SUMIF('3월'!$K$11:$K$94,연간_세부항목별지출!$C69,'3월'!$M$11:$M$94)</f>
        <v>0</v>
      </c>
      <c r="G69" s="346">
        <f>SUMIF('4월'!$K$11:$K$94,연간_세부항목별지출!$C69,'4월'!$M$11:$M$94)</f>
        <v>0</v>
      </c>
      <c r="H69" s="346">
        <f>SUMIF('5월'!$K$11:$K$94,연간_세부항목별지출!$C69,'5월'!$M$11:$M$94)</f>
        <v>0</v>
      </c>
      <c r="I69" s="346">
        <f>SUMIF('6월'!$K$11:$K$94,연간_세부항목별지출!$C69,'6월'!$M$11:$M$94)</f>
        <v>0</v>
      </c>
      <c r="J69" s="346">
        <f>SUMIF('7월'!$K$11:$K$94,연간_세부항목별지출!$C69,'7월'!$M$11:$M$94)</f>
        <v>0</v>
      </c>
      <c r="K69" s="346">
        <f>SUMIF('8월'!$K$11:$K$94,연간_세부항목별지출!$C69,'8월'!$M$11:$M$94)</f>
        <v>0</v>
      </c>
      <c r="L69" s="346">
        <f>SUMIF('9월'!$K$11:$K$94,연간_세부항목별지출!$C69,'9월'!$M$11:$M$94)</f>
        <v>0</v>
      </c>
      <c r="M69" s="346">
        <f>SUMIF('10월'!$K$11:$K$94,연간_세부항목별지출!$C69,'10월'!$M$11:$M$94)</f>
        <v>0</v>
      </c>
      <c r="N69" s="346">
        <f>SUMIF('11월'!$K$11:$K$94,연간_세부항목별지출!$C69,'11월'!$M$11:$M$94)</f>
        <v>0</v>
      </c>
      <c r="O69" s="346">
        <f>SUMIF('12월'!$K$11:$K$94,연간_세부항목별지출!$C69,'12월'!$M$11:$M$94)</f>
        <v>0</v>
      </c>
      <c r="P69" s="413">
        <f t="shared" si="2"/>
        <v>0</v>
      </c>
      <c r="Q69" s="413">
        <f t="shared" si="3"/>
        <v>0</v>
      </c>
      <c r="R69" s="503" t="str">
        <f t="shared" si="7"/>
        <v/>
      </c>
    </row>
    <row r="70" spans="2:18" ht="18" customHeight="1" x14ac:dyDescent="0.3">
      <c r="B70" s="595"/>
      <c r="C70" s="419" t="str">
        <f>IF(항목!H7="","",항목!H7)</f>
        <v>미용</v>
      </c>
      <c r="D70" s="346">
        <f>SUMIF('1월'!$K$11:$K$94,연간_세부항목별지출!$C70,'1월'!$M$11:$M$94)</f>
        <v>0</v>
      </c>
      <c r="E70" s="346">
        <f>SUMIF('2월'!$K$11:$K$94,연간_세부항목별지출!$C70,'2월'!$M$11:$M$94)</f>
        <v>0</v>
      </c>
      <c r="F70" s="346">
        <f>SUMIF('3월'!$K$11:$K$94,연간_세부항목별지출!$C70,'3월'!$M$11:$M$94)</f>
        <v>0</v>
      </c>
      <c r="G70" s="346">
        <f>SUMIF('4월'!$K$11:$K$94,연간_세부항목별지출!$C70,'4월'!$M$11:$M$94)</f>
        <v>0</v>
      </c>
      <c r="H70" s="346">
        <f>SUMIF('5월'!$K$11:$K$94,연간_세부항목별지출!$C70,'5월'!$M$11:$M$94)</f>
        <v>0</v>
      </c>
      <c r="I70" s="346">
        <f>SUMIF('6월'!$K$11:$K$94,연간_세부항목별지출!$C70,'6월'!$M$11:$M$94)</f>
        <v>0</v>
      </c>
      <c r="J70" s="346">
        <f>SUMIF('7월'!$K$11:$K$94,연간_세부항목별지출!$C70,'7월'!$M$11:$M$94)</f>
        <v>0</v>
      </c>
      <c r="K70" s="346">
        <f>SUMIF('8월'!$K$11:$K$94,연간_세부항목별지출!$C70,'8월'!$M$11:$M$94)</f>
        <v>0</v>
      </c>
      <c r="L70" s="346">
        <f>SUMIF('9월'!$K$11:$K$94,연간_세부항목별지출!$C70,'9월'!$M$11:$M$94)</f>
        <v>0</v>
      </c>
      <c r="M70" s="346">
        <f>SUMIF('10월'!$K$11:$K$94,연간_세부항목별지출!$C70,'10월'!$M$11:$M$94)</f>
        <v>0</v>
      </c>
      <c r="N70" s="346">
        <f>SUMIF('11월'!$K$11:$K$94,연간_세부항목별지출!$C70,'11월'!$M$11:$M$94)</f>
        <v>0</v>
      </c>
      <c r="O70" s="346">
        <f>SUMIF('12월'!$K$11:$K$94,연간_세부항목별지출!$C70,'12월'!$M$11:$M$94)</f>
        <v>0</v>
      </c>
      <c r="P70" s="413">
        <f t="shared" si="2"/>
        <v>0</v>
      </c>
      <c r="Q70" s="413">
        <f t="shared" si="3"/>
        <v>0</v>
      </c>
      <c r="R70" s="503" t="str">
        <f t="shared" si="7"/>
        <v/>
      </c>
    </row>
    <row r="71" spans="2:18" ht="18" customHeight="1" x14ac:dyDescent="0.3">
      <c r="B71" s="595"/>
      <c r="C71" s="419" t="str">
        <f>IF(항목!H8="","",항목!H8)</f>
        <v>기타 반려동물</v>
      </c>
      <c r="D71" s="346">
        <f>SUMIF('1월'!$K$11:$K$94,연간_세부항목별지출!$C71,'1월'!$M$11:$M$94)</f>
        <v>0</v>
      </c>
      <c r="E71" s="346">
        <f>SUMIF('2월'!$K$11:$K$94,연간_세부항목별지출!$C71,'2월'!$M$11:$M$94)</f>
        <v>0</v>
      </c>
      <c r="F71" s="346">
        <f>SUMIF('3월'!$K$11:$K$94,연간_세부항목별지출!$C71,'3월'!$M$11:$M$94)</f>
        <v>0</v>
      </c>
      <c r="G71" s="346">
        <f>SUMIF('4월'!$K$11:$K$94,연간_세부항목별지출!$C71,'4월'!$M$11:$M$94)</f>
        <v>0</v>
      </c>
      <c r="H71" s="346">
        <f>SUMIF('5월'!$K$11:$K$94,연간_세부항목별지출!$C71,'5월'!$M$11:$M$94)</f>
        <v>0</v>
      </c>
      <c r="I71" s="346">
        <f>SUMIF('6월'!$K$11:$K$94,연간_세부항목별지출!$C71,'6월'!$M$11:$M$94)</f>
        <v>0</v>
      </c>
      <c r="J71" s="346">
        <f>SUMIF('7월'!$K$11:$K$94,연간_세부항목별지출!$C71,'7월'!$M$11:$M$94)</f>
        <v>0</v>
      </c>
      <c r="K71" s="346">
        <f>SUMIF('8월'!$K$11:$K$94,연간_세부항목별지출!$C71,'8월'!$M$11:$M$94)</f>
        <v>0</v>
      </c>
      <c r="L71" s="346">
        <f>SUMIF('9월'!$K$11:$K$94,연간_세부항목별지출!$C71,'9월'!$M$11:$M$94)</f>
        <v>0</v>
      </c>
      <c r="M71" s="346">
        <f>SUMIF('10월'!$K$11:$K$94,연간_세부항목별지출!$C71,'10월'!$M$11:$M$94)</f>
        <v>0</v>
      </c>
      <c r="N71" s="346">
        <f>SUMIF('11월'!$K$11:$K$94,연간_세부항목별지출!$C71,'11월'!$M$11:$M$94)</f>
        <v>0</v>
      </c>
      <c r="O71" s="346">
        <f>SUMIF('12월'!$K$11:$K$94,연간_세부항목별지출!$C71,'12월'!$M$11:$M$94)</f>
        <v>0</v>
      </c>
      <c r="P71" s="413">
        <f t="shared" si="2"/>
        <v>0</v>
      </c>
      <c r="Q71" s="413">
        <f t="shared" si="3"/>
        <v>0</v>
      </c>
      <c r="R71" s="503" t="str">
        <f t="shared" si="7"/>
        <v/>
      </c>
    </row>
    <row r="72" spans="2:18" ht="18" customHeight="1" x14ac:dyDescent="0.3">
      <c r="B72" s="595"/>
      <c r="C72" s="419" t="str">
        <f>IF(항목!H9="","",항목!H9)</f>
        <v/>
      </c>
      <c r="D72" s="346">
        <f>SUMIF('1월'!$K$11:$K$94,연간_세부항목별지출!$C72,'1월'!$M$11:$M$94)</f>
        <v>0</v>
      </c>
      <c r="E72" s="346">
        <f>SUMIF('2월'!$K$11:$K$94,연간_세부항목별지출!$C72,'2월'!$M$11:$M$94)</f>
        <v>0</v>
      </c>
      <c r="F72" s="346">
        <f>SUMIF('3월'!$K$11:$K$94,연간_세부항목별지출!$C72,'3월'!$M$11:$M$94)</f>
        <v>0</v>
      </c>
      <c r="G72" s="346">
        <f>SUMIF('4월'!$K$11:$K$94,연간_세부항목별지출!$C72,'4월'!$M$11:$M$94)</f>
        <v>0</v>
      </c>
      <c r="H72" s="346">
        <f>SUMIF('5월'!$K$11:$K$94,연간_세부항목별지출!$C72,'5월'!$M$11:$M$94)</f>
        <v>0</v>
      </c>
      <c r="I72" s="346">
        <f>SUMIF('6월'!$K$11:$K$94,연간_세부항목별지출!$C72,'6월'!$M$11:$M$94)</f>
        <v>0</v>
      </c>
      <c r="J72" s="346">
        <f>SUMIF('7월'!$K$11:$K$94,연간_세부항목별지출!$C72,'7월'!$M$11:$M$94)</f>
        <v>0</v>
      </c>
      <c r="K72" s="346">
        <f>SUMIF('8월'!$K$11:$K$94,연간_세부항목별지출!$C72,'8월'!$M$11:$M$94)</f>
        <v>0</v>
      </c>
      <c r="L72" s="346">
        <f>SUMIF('9월'!$K$11:$K$94,연간_세부항목별지출!$C72,'9월'!$M$11:$M$94)</f>
        <v>0</v>
      </c>
      <c r="M72" s="346">
        <f>SUMIF('10월'!$K$11:$K$94,연간_세부항목별지출!$C72,'10월'!$M$11:$M$94)</f>
        <v>0</v>
      </c>
      <c r="N72" s="346">
        <f>SUMIF('11월'!$K$11:$K$94,연간_세부항목별지출!$C72,'11월'!$M$11:$M$94)</f>
        <v>0</v>
      </c>
      <c r="O72" s="346">
        <f>SUMIF('12월'!$K$11:$K$94,연간_세부항목별지출!$C72,'12월'!$M$11:$M$94)</f>
        <v>0</v>
      </c>
      <c r="P72" s="413">
        <f t="shared" si="2"/>
        <v>0</v>
      </c>
      <c r="Q72" s="413">
        <f t="shared" si="3"/>
        <v>0</v>
      </c>
      <c r="R72" s="503" t="str">
        <f t="shared" si="7"/>
        <v/>
      </c>
    </row>
    <row r="73" spans="2:18" ht="18" customHeight="1" x14ac:dyDescent="0.3">
      <c r="B73" s="595"/>
      <c r="C73" s="419" t="str">
        <f>IF(항목!H10="","",항목!H10)</f>
        <v/>
      </c>
      <c r="D73" s="346">
        <f>SUMIF('1월'!$K$11:$K$94,연간_세부항목별지출!$C73,'1월'!$M$11:$M$94)</f>
        <v>0</v>
      </c>
      <c r="E73" s="346">
        <f>SUMIF('2월'!$K$11:$K$94,연간_세부항목별지출!$C73,'2월'!$M$11:$M$94)</f>
        <v>0</v>
      </c>
      <c r="F73" s="346">
        <f>SUMIF('3월'!$K$11:$K$94,연간_세부항목별지출!$C73,'3월'!$M$11:$M$94)</f>
        <v>0</v>
      </c>
      <c r="G73" s="346">
        <f>SUMIF('4월'!$K$11:$K$94,연간_세부항목별지출!$C73,'4월'!$M$11:$M$94)</f>
        <v>0</v>
      </c>
      <c r="H73" s="346">
        <f>SUMIF('5월'!$K$11:$K$94,연간_세부항목별지출!$C73,'5월'!$M$11:$M$94)</f>
        <v>0</v>
      </c>
      <c r="I73" s="346">
        <f>SUMIF('6월'!$K$11:$K$94,연간_세부항목별지출!$C73,'6월'!$M$11:$M$94)</f>
        <v>0</v>
      </c>
      <c r="J73" s="346">
        <f>SUMIF('7월'!$K$11:$K$94,연간_세부항목별지출!$C73,'7월'!$M$11:$M$94)</f>
        <v>0</v>
      </c>
      <c r="K73" s="346">
        <f>SUMIF('8월'!$K$11:$K$94,연간_세부항목별지출!$C73,'8월'!$M$11:$M$94)</f>
        <v>0</v>
      </c>
      <c r="L73" s="346">
        <f>SUMIF('9월'!$K$11:$K$94,연간_세부항목별지출!$C73,'9월'!$M$11:$M$94)</f>
        <v>0</v>
      </c>
      <c r="M73" s="346">
        <f>SUMIF('10월'!$K$11:$K$94,연간_세부항목별지출!$C73,'10월'!$M$11:$M$94)</f>
        <v>0</v>
      </c>
      <c r="N73" s="346">
        <f>SUMIF('11월'!$K$11:$K$94,연간_세부항목별지출!$C73,'11월'!$M$11:$M$94)</f>
        <v>0</v>
      </c>
      <c r="O73" s="346">
        <f>SUMIF('12월'!$K$11:$K$94,연간_세부항목별지출!$C73,'12월'!$M$11:$M$94)</f>
        <v>0</v>
      </c>
      <c r="P73" s="413">
        <f t="shared" si="2"/>
        <v>0</v>
      </c>
      <c r="Q73" s="413">
        <f t="shared" si="3"/>
        <v>0</v>
      </c>
      <c r="R73" s="503" t="str">
        <f t="shared" si="7"/>
        <v/>
      </c>
    </row>
    <row r="74" spans="2:18" ht="18" customHeight="1" x14ac:dyDescent="0.3">
      <c r="B74" s="595"/>
      <c r="C74" s="419" t="str">
        <f>IF(항목!H11="","",항목!H11)</f>
        <v/>
      </c>
      <c r="D74" s="346">
        <f>SUMIF('1월'!$K$11:$K$94,연간_세부항목별지출!$C74,'1월'!$M$11:$M$94)</f>
        <v>0</v>
      </c>
      <c r="E74" s="346">
        <f>SUMIF('2월'!$K$11:$K$94,연간_세부항목별지출!$C74,'2월'!$M$11:$M$94)</f>
        <v>0</v>
      </c>
      <c r="F74" s="346">
        <f>SUMIF('3월'!$K$11:$K$94,연간_세부항목별지출!$C74,'3월'!$M$11:$M$94)</f>
        <v>0</v>
      </c>
      <c r="G74" s="346">
        <f>SUMIF('4월'!$K$11:$K$94,연간_세부항목별지출!$C74,'4월'!$M$11:$M$94)</f>
        <v>0</v>
      </c>
      <c r="H74" s="346">
        <f>SUMIF('5월'!$K$11:$K$94,연간_세부항목별지출!$C74,'5월'!$M$11:$M$94)</f>
        <v>0</v>
      </c>
      <c r="I74" s="346">
        <f>SUMIF('6월'!$K$11:$K$94,연간_세부항목별지출!$C74,'6월'!$M$11:$M$94)</f>
        <v>0</v>
      </c>
      <c r="J74" s="346">
        <f>SUMIF('7월'!$K$11:$K$94,연간_세부항목별지출!$C74,'7월'!$M$11:$M$94)</f>
        <v>0</v>
      </c>
      <c r="K74" s="346">
        <f>SUMIF('8월'!$K$11:$K$94,연간_세부항목별지출!$C74,'8월'!$M$11:$M$94)</f>
        <v>0</v>
      </c>
      <c r="L74" s="346">
        <f>SUMIF('9월'!$K$11:$K$94,연간_세부항목별지출!$C74,'9월'!$M$11:$M$94)</f>
        <v>0</v>
      </c>
      <c r="M74" s="346">
        <f>SUMIF('10월'!$K$11:$K$94,연간_세부항목별지출!$C74,'10월'!$M$11:$M$94)</f>
        <v>0</v>
      </c>
      <c r="N74" s="346">
        <f>SUMIF('11월'!$K$11:$K$94,연간_세부항목별지출!$C74,'11월'!$M$11:$M$94)</f>
        <v>0</v>
      </c>
      <c r="O74" s="346">
        <f>SUMIF('12월'!$K$11:$K$94,연간_세부항목별지출!$C74,'12월'!$M$11:$M$94)</f>
        <v>0</v>
      </c>
      <c r="P74" s="413">
        <f t="shared" si="2"/>
        <v>0</v>
      </c>
      <c r="Q74" s="413">
        <f t="shared" si="3"/>
        <v>0</v>
      </c>
      <c r="R74" s="503" t="str">
        <f t="shared" si="7"/>
        <v/>
      </c>
    </row>
    <row r="75" spans="2:18" ht="18" customHeight="1" x14ac:dyDescent="0.3">
      <c r="B75" s="595"/>
      <c r="C75" s="419" t="str">
        <f>IF(항목!H12="","",항목!H12)</f>
        <v/>
      </c>
      <c r="D75" s="346">
        <f>SUMIF('1월'!$K$11:$K$94,연간_세부항목별지출!$C75,'1월'!$M$11:$M$94)</f>
        <v>0</v>
      </c>
      <c r="E75" s="346">
        <f>SUMIF('2월'!$K$11:$K$94,연간_세부항목별지출!$C75,'2월'!$M$11:$M$94)</f>
        <v>0</v>
      </c>
      <c r="F75" s="346">
        <f>SUMIF('3월'!$K$11:$K$94,연간_세부항목별지출!$C75,'3월'!$M$11:$M$94)</f>
        <v>0</v>
      </c>
      <c r="G75" s="346">
        <f>SUMIF('4월'!$K$11:$K$94,연간_세부항목별지출!$C75,'4월'!$M$11:$M$94)</f>
        <v>0</v>
      </c>
      <c r="H75" s="346">
        <f>SUMIF('5월'!$K$11:$K$94,연간_세부항목별지출!$C75,'5월'!$M$11:$M$94)</f>
        <v>0</v>
      </c>
      <c r="I75" s="346">
        <f>SUMIF('6월'!$K$11:$K$94,연간_세부항목별지출!$C75,'6월'!$M$11:$M$94)</f>
        <v>0</v>
      </c>
      <c r="J75" s="346">
        <f>SUMIF('7월'!$K$11:$K$94,연간_세부항목별지출!$C75,'7월'!$M$11:$M$94)</f>
        <v>0</v>
      </c>
      <c r="K75" s="346">
        <f>SUMIF('8월'!$K$11:$K$94,연간_세부항목별지출!$C75,'8월'!$M$11:$M$94)</f>
        <v>0</v>
      </c>
      <c r="L75" s="346">
        <f>SUMIF('9월'!$K$11:$K$94,연간_세부항목별지출!$C75,'9월'!$M$11:$M$94)</f>
        <v>0</v>
      </c>
      <c r="M75" s="346">
        <f>SUMIF('10월'!$K$11:$K$94,연간_세부항목별지출!$C75,'10월'!$M$11:$M$94)</f>
        <v>0</v>
      </c>
      <c r="N75" s="346">
        <f>SUMIF('11월'!$K$11:$K$94,연간_세부항목별지출!$C75,'11월'!$M$11:$M$94)</f>
        <v>0</v>
      </c>
      <c r="O75" s="346">
        <f>SUMIF('12월'!$K$11:$K$94,연간_세부항목별지출!$C75,'12월'!$M$11:$M$94)</f>
        <v>0</v>
      </c>
      <c r="P75" s="413">
        <f t="shared" si="2"/>
        <v>0</v>
      </c>
      <c r="Q75" s="413">
        <f t="shared" si="3"/>
        <v>0</v>
      </c>
      <c r="R75" s="503" t="str">
        <f t="shared" si="7"/>
        <v/>
      </c>
    </row>
    <row r="76" spans="2:18" ht="18" customHeight="1" x14ac:dyDescent="0.3">
      <c r="B76" s="595"/>
      <c r="C76" s="419" t="str">
        <f>IF(항목!H13="","",항목!H13)</f>
        <v/>
      </c>
      <c r="D76" s="346">
        <f>SUMIF('1월'!$K$11:$K$94,연간_세부항목별지출!$C76,'1월'!$M$11:$M$94)</f>
        <v>0</v>
      </c>
      <c r="E76" s="346">
        <f>SUMIF('2월'!$K$11:$K$94,연간_세부항목별지출!$C76,'2월'!$M$11:$M$94)</f>
        <v>0</v>
      </c>
      <c r="F76" s="346">
        <f>SUMIF('3월'!$K$11:$K$94,연간_세부항목별지출!$C76,'3월'!$M$11:$M$94)</f>
        <v>0</v>
      </c>
      <c r="G76" s="346">
        <f>SUMIF('4월'!$K$11:$K$94,연간_세부항목별지출!$C76,'4월'!$M$11:$M$94)</f>
        <v>0</v>
      </c>
      <c r="H76" s="346">
        <f>SUMIF('5월'!$K$11:$K$94,연간_세부항목별지출!$C76,'5월'!$M$11:$M$94)</f>
        <v>0</v>
      </c>
      <c r="I76" s="346">
        <f>SUMIF('6월'!$K$11:$K$94,연간_세부항목별지출!$C76,'6월'!$M$11:$M$94)</f>
        <v>0</v>
      </c>
      <c r="J76" s="346">
        <f>SUMIF('7월'!$K$11:$K$94,연간_세부항목별지출!$C76,'7월'!$M$11:$M$94)</f>
        <v>0</v>
      </c>
      <c r="K76" s="346">
        <f>SUMIF('8월'!$K$11:$K$94,연간_세부항목별지출!$C76,'8월'!$M$11:$M$94)</f>
        <v>0</v>
      </c>
      <c r="L76" s="346">
        <f>SUMIF('9월'!$K$11:$K$94,연간_세부항목별지출!$C76,'9월'!$M$11:$M$94)</f>
        <v>0</v>
      </c>
      <c r="M76" s="346">
        <f>SUMIF('10월'!$K$11:$K$94,연간_세부항목별지출!$C76,'10월'!$M$11:$M$94)</f>
        <v>0</v>
      </c>
      <c r="N76" s="346">
        <f>SUMIF('11월'!$K$11:$K$94,연간_세부항목별지출!$C76,'11월'!$M$11:$M$94)</f>
        <v>0</v>
      </c>
      <c r="O76" s="346">
        <f>SUMIF('12월'!$K$11:$K$94,연간_세부항목별지출!$C76,'12월'!$M$11:$M$94)</f>
        <v>0</v>
      </c>
      <c r="P76" s="413">
        <f t="shared" si="2"/>
        <v>0</v>
      </c>
      <c r="Q76" s="413">
        <f t="shared" si="3"/>
        <v>0</v>
      </c>
      <c r="R76" s="503" t="str">
        <f t="shared" si="7"/>
        <v/>
      </c>
    </row>
    <row r="77" spans="2:18" ht="18" customHeight="1" x14ac:dyDescent="0.3">
      <c r="B77" s="595"/>
      <c r="C77" s="419" t="str">
        <f>IF(항목!H14="","",항목!H14)</f>
        <v/>
      </c>
      <c r="D77" s="346">
        <f>SUMIF('1월'!$K$11:$K$94,연간_세부항목별지출!$C77,'1월'!$M$11:$M$94)</f>
        <v>0</v>
      </c>
      <c r="E77" s="346">
        <f>SUMIF('2월'!$K$11:$K$94,연간_세부항목별지출!$C77,'2월'!$M$11:$M$94)</f>
        <v>0</v>
      </c>
      <c r="F77" s="346">
        <f>SUMIF('3월'!$K$11:$K$94,연간_세부항목별지출!$C77,'3월'!$M$11:$M$94)</f>
        <v>0</v>
      </c>
      <c r="G77" s="346">
        <f>SUMIF('4월'!$K$11:$K$94,연간_세부항목별지출!$C77,'4월'!$M$11:$M$94)</f>
        <v>0</v>
      </c>
      <c r="H77" s="346">
        <f>SUMIF('5월'!$K$11:$K$94,연간_세부항목별지출!$C77,'5월'!$M$11:$M$94)</f>
        <v>0</v>
      </c>
      <c r="I77" s="346">
        <f>SUMIF('6월'!$K$11:$K$94,연간_세부항목별지출!$C77,'6월'!$M$11:$M$94)</f>
        <v>0</v>
      </c>
      <c r="J77" s="346">
        <f>SUMIF('7월'!$K$11:$K$94,연간_세부항목별지출!$C77,'7월'!$M$11:$M$94)</f>
        <v>0</v>
      </c>
      <c r="K77" s="346">
        <f>SUMIF('8월'!$K$11:$K$94,연간_세부항목별지출!$C77,'8월'!$M$11:$M$94)</f>
        <v>0</v>
      </c>
      <c r="L77" s="346">
        <f>SUMIF('9월'!$K$11:$K$94,연간_세부항목별지출!$C77,'9월'!$M$11:$M$94)</f>
        <v>0</v>
      </c>
      <c r="M77" s="346">
        <f>SUMIF('10월'!$K$11:$K$94,연간_세부항목별지출!$C77,'10월'!$M$11:$M$94)</f>
        <v>0</v>
      </c>
      <c r="N77" s="346">
        <f>SUMIF('11월'!$K$11:$K$94,연간_세부항목별지출!$C77,'11월'!$M$11:$M$94)</f>
        <v>0</v>
      </c>
      <c r="O77" s="346">
        <f>SUMIF('12월'!$K$11:$K$94,연간_세부항목별지출!$C77,'12월'!$M$11:$M$94)</f>
        <v>0</v>
      </c>
      <c r="P77" s="413">
        <f t="shared" si="2"/>
        <v>0</v>
      </c>
      <c r="Q77" s="413">
        <f t="shared" si="3"/>
        <v>0</v>
      </c>
      <c r="R77" s="503" t="str">
        <f t="shared" si="7"/>
        <v/>
      </c>
    </row>
    <row r="78" spans="2:18" ht="18" customHeight="1" x14ac:dyDescent="0.3">
      <c r="B78" s="595"/>
      <c r="C78" s="419" t="str">
        <f>IF(항목!H15="","",항목!H15)</f>
        <v/>
      </c>
      <c r="D78" s="346">
        <f>SUMIF('1월'!$K$11:$K$94,연간_세부항목별지출!$C78,'1월'!$M$11:$M$94)</f>
        <v>0</v>
      </c>
      <c r="E78" s="346">
        <f>SUMIF('2월'!$K$11:$K$94,연간_세부항목별지출!$C78,'2월'!$M$11:$M$94)</f>
        <v>0</v>
      </c>
      <c r="F78" s="346">
        <f>SUMIF('3월'!$K$11:$K$94,연간_세부항목별지출!$C78,'3월'!$M$11:$M$94)</f>
        <v>0</v>
      </c>
      <c r="G78" s="346">
        <f>SUMIF('4월'!$K$11:$K$94,연간_세부항목별지출!$C78,'4월'!$M$11:$M$94)</f>
        <v>0</v>
      </c>
      <c r="H78" s="346">
        <f>SUMIF('5월'!$K$11:$K$94,연간_세부항목별지출!$C78,'5월'!$M$11:$M$94)</f>
        <v>0</v>
      </c>
      <c r="I78" s="346">
        <f>SUMIF('6월'!$K$11:$K$94,연간_세부항목별지출!$C78,'6월'!$M$11:$M$94)</f>
        <v>0</v>
      </c>
      <c r="J78" s="346">
        <f>SUMIF('7월'!$K$11:$K$94,연간_세부항목별지출!$C78,'7월'!$M$11:$M$94)</f>
        <v>0</v>
      </c>
      <c r="K78" s="346">
        <f>SUMIF('8월'!$K$11:$K$94,연간_세부항목별지출!$C78,'8월'!$M$11:$M$94)</f>
        <v>0</v>
      </c>
      <c r="L78" s="346">
        <f>SUMIF('9월'!$K$11:$K$94,연간_세부항목별지출!$C78,'9월'!$M$11:$M$94)</f>
        <v>0</v>
      </c>
      <c r="M78" s="346">
        <f>SUMIF('10월'!$K$11:$K$94,연간_세부항목별지출!$C78,'10월'!$M$11:$M$94)</f>
        <v>0</v>
      </c>
      <c r="N78" s="346">
        <f>SUMIF('11월'!$K$11:$K$94,연간_세부항목별지출!$C78,'11월'!$M$11:$M$94)</f>
        <v>0</v>
      </c>
      <c r="O78" s="346">
        <f>SUMIF('12월'!$K$11:$K$94,연간_세부항목별지출!$C78,'12월'!$M$11:$M$94)</f>
        <v>0</v>
      </c>
      <c r="P78" s="413">
        <f t="shared" si="2"/>
        <v>0</v>
      </c>
      <c r="Q78" s="413">
        <f t="shared" si="3"/>
        <v>0</v>
      </c>
      <c r="R78" s="503" t="str">
        <f t="shared" si="7"/>
        <v/>
      </c>
    </row>
    <row r="79" spans="2:18" ht="18" customHeight="1" x14ac:dyDescent="0.3">
      <c r="B79" s="595"/>
      <c r="C79" s="419" t="str">
        <f>IF(항목!H16="","",항목!H16)</f>
        <v/>
      </c>
      <c r="D79" s="346">
        <f>SUMIF('1월'!$K$11:$K$94,연간_세부항목별지출!$C79,'1월'!$M$11:$M$94)</f>
        <v>0</v>
      </c>
      <c r="E79" s="346">
        <f>SUMIF('2월'!$K$11:$K$94,연간_세부항목별지출!$C79,'2월'!$M$11:$M$94)</f>
        <v>0</v>
      </c>
      <c r="F79" s="346">
        <f>SUMIF('3월'!$K$11:$K$94,연간_세부항목별지출!$C79,'3월'!$M$11:$M$94)</f>
        <v>0</v>
      </c>
      <c r="G79" s="346">
        <f>SUMIF('4월'!$K$11:$K$94,연간_세부항목별지출!$C79,'4월'!$M$11:$M$94)</f>
        <v>0</v>
      </c>
      <c r="H79" s="346">
        <f>SUMIF('5월'!$K$11:$K$94,연간_세부항목별지출!$C79,'5월'!$M$11:$M$94)</f>
        <v>0</v>
      </c>
      <c r="I79" s="346">
        <f>SUMIF('6월'!$K$11:$K$94,연간_세부항목별지출!$C79,'6월'!$M$11:$M$94)</f>
        <v>0</v>
      </c>
      <c r="J79" s="346">
        <f>SUMIF('7월'!$K$11:$K$94,연간_세부항목별지출!$C79,'7월'!$M$11:$M$94)</f>
        <v>0</v>
      </c>
      <c r="K79" s="346">
        <f>SUMIF('8월'!$K$11:$K$94,연간_세부항목별지출!$C79,'8월'!$M$11:$M$94)</f>
        <v>0</v>
      </c>
      <c r="L79" s="346">
        <f>SUMIF('9월'!$K$11:$K$94,연간_세부항목별지출!$C79,'9월'!$M$11:$M$94)</f>
        <v>0</v>
      </c>
      <c r="M79" s="346">
        <f>SUMIF('10월'!$K$11:$K$94,연간_세부항목별지출!$C79,'10월'!$M$11:$M$94)</f>
        <v>0</v>
      </c>
      <c r="N79" s="346">
        <f>SUMIF('11월'!$K$11:$K$94,연간_세부항목별지출!$C79,'11월'!$M$11:$M$94)</f>
        <v>0</v>
      </c>
      <c r="O79" s="346">
        <f>SUMIF('12월'!$K$11:$K$94,연간_세부항목별지출!$C79,'12월'!$M$11:$M$94)</f>
        <v>0</v>
      </c>
      <c r="P79" s="413">
        <f t="shared" si="2"/>
        <v>0</v>
      </c>
      <c r="Q79" s="413">
        <f t="shared" si="3"/>
        <v>0</v>
      </c>
      <c r="R79" s="503" t="str">
        <f t="shared" si="7"/>
        <v/>
      </c>
    </row>
    <row r="80" spans="2:18" ht="18" customHeight="1" x14ac:dyDescent="0.3">
      <c r="B80" s="595"/>
      <c r="C80" s="419" t="str">
        <f>IF(항목!H17="","",항목!H17)</f>
        <v/>
      </c>
      <c r="D80" s="346">
        <f>SUMIF('1월'!$K$11:$K$94,연간_세부항목별지출!$C80,'1월'!$M$11:$M$94)</f>
        <v>0</v>
      </c>
      <c r="E80" s="346">
        <f>SUMIF('2월'!$K$11:$K$94,연간_세부항목별지출!$C80,'2월'!$M$11:$M$94)</f>
        <v>0</v>
      </c>
      <c r="F80" s="346">
        <f>SUMIF('3월'!$K$11:$K$94,연간_세부항목별지출!$C80,'3월'!$M$11:$M$94)</f>
        <v>0</v>
      </c>
      <c r="G80" s="346">
        <f>SUMIF('4월'!$K$11:$K$94,연간_세부항목별지출!$C80,'4월'!$M$11:$M$94)</f>
        <v>0</v>
      </c>
      <c r="H80" s="346">
        <f>SUMIF('5월'!$K$11:$K$94,연간_세부항목별지출!$C80,'5월'!$M$11:$M$94)</f>
        <v>0</v>
      </c>
      <c r="I80" s="346">
        <f>SUMIF('6월'!$K$11:$K$94,연간_세부항목별지출!$C80,'6월'!$M$11:$M$94)</f>
        <v>0</v>
      </c>
      <c r="J80" s="346">
        <f>SUMIF('7월'!$K$11:$K$94,연간_세부항목별지출!$C80,'7월'!$M$11:$M$94)</f>
        <v>0</v>
      </c>
      <c r="K80" s="346">
        <f>SUMIF('8월'!$K$11:$K$94,연간_세부항목별지출!$C80,'8월'!$M$11:$M$94)</f>
        <v>0</v>
      </c>
      <c r="L80" s="346">
        <f>SUMIF('9월'!$K$11:$K$94,연간_세부항목별지출!$C80,'9월'!$M$11:$M$94)</f>
        <v>0</v>
      </c>
      <c r="M80" s="346">
        <f>SUMIF('10월'!$K$11:$K$94,연간_세부항목별지출!$C80,'10월'!$M$11:$M$94)</f>
        <v>0</v>
      </c>
      <c r="N80" s="346">
        <f>SUMIF('11월'!$K$11:$K$94,연간_세부항목별지출!$C80,'11월'!$M$11:$M$94)</f>
        <v>0</v>
      </c>
      <c r="O80" s="346">
        <f>SUMIF('12월'!$K$11:$K$94,연간_세부항목별지출!$C80,'12월'!$M$11:$M$94)</f>
        <v>0</v>
      </c>
      <c r="P80" s="413">
        <f t="shared" si="2"/>
        <v>0</v>
      </c>
      <c r="Q80" s="413">
        <f t="shared" si="3"/>
        <v>0</v>
      </c>
      <c r="R80" s="503" t="str">
        <f t="shared" si="7"/>
        <v/>
      </c>
    </row>
    <row r="81" spans="2:18" ht="18" customHeight="1" thickBot="1" x14ac:dyDescent="0.35">
      <c r="B81" s="596"/>
      <c r="C81" s="514" t="str">
        <f>IF(항목!H18="","",항목!H18)</f>
        <v/>
      </c>
      <c r="D81" s="515">
        <f>SUMIF('1월'!$K$11:$K$94,연간_세부항목별지출!$C81,'1월'!$M$11:$M$94)</f>
        <v>0</v>
      </c>
      <c r="E81" s="515">
        <f>SUMIF('2월'!$K$11:$K$94,연간_세부항목별지출!$C81,'2월'!$M$11:$M$94)</f>
        <v>0</v>
      </c>
      <c r="F81" s="515">
        <f>SUMIF('3월'!$K$11:$K$94,연간_세부항목별지출!$C81,'3월'!$M$11:$M$94)</f>
        <v>0</v>
      </c>
      <c r="G81" s="515">
        <f>SUMIF('4월'!$K$11:$K$94,연간_세부항목별지출!$C81,'4월'!$M$11:$M$94)</f>
        <v>0</v>
      </c>
      <c r="H81" s="515">
        <f>SUMIF('5월'!$K$11:$K$94,연간_세부항목별지출!$C81,'5월'!$M$11:$M$94)</f>
        <v>0</v>
      </c>
      <c r="I81" s="515">
        <f>SUMIF('6월'!$K$11:$K$94,연간_세부항목별지출!$C81,'6월'!$M$11:$M$94)</f>
        <v>0</v>
      </c>
      <c r="J81" s="515">
        <f>SUMIF('7월'!$K$11:$K$94,연간_세부항목별지출!$C81,'7월'!$M$11:$M$94)</f>
        <v>0</v>
      </c>
      <c r="K81" s="515">
        <f>SUMIF('8월'!$K$11:$K$94,연간_세부항목별지출!$C81,'8월'!$M$11:$M$94)</f>
        <v>0</v>
      </c>
      <c r="L81" s="515">
        <f>SUMIF('9월'!$K$11:$K$94,연간_세부항목별지출!$C81,'9월'!$M$11:$M$94)</f>
        <v>0</v>
      </c>
      <c r="M81" s="515">
        <f>SUMIF('10월'!$K$11:$K$94,연간_세부항목별지출!$C81,'10월'!$M$11:$M$94)</f>
        <v>0</v>
      </c>
      <c r="N81" s="515">
        <f>SUMIF('11월'!$K$11:$K$94,연간_세부항목별지출!$C81,'11월'!$M$11:$M$94)</f>
        <v>0</v>
      </c>
      <c r="O81" s="515">
        <f>SUMIF('12월'!$K$11:$K$94,연간_세부항목별지출!$C81,'12월'!$M$11:$M$94)</f>
        <v>0</v>
      </c>
      <c r="P81" s="422">
        <f t="shared" si="2"/>
        <v>0</v>
      </c>
      <c r="Q81" s="422">
        <f t="shared" si="3"/>
        <v>0</v>
      </c>
      <c r="R81" s="506" t="str">
        <f t="shared" si="7"/>
        <v/>
      </c>
    </row>
    <row r="82" spans="2:18" ht="18" customHeight="1" x14ac:dyDescent="0.3">
      <c r="B82" s="594" t="str">
        <f>항목!I3</f>
        <v>의류비</v>
      </c>
      <c r="C82" s="513" t="str">
        <f>IF(항목!I4="","",항목!I4)</f>
        <v>의류</v>
      </c>
      <c r="D82" s="351">
        <f>SUMIF('1월'!$K$11:$K$94,연간_세부항목별지출!$C82,'1월'!$M$11:$M$94)</f>
        <v>0</v>
      </c>
      <c r="E82" s="351">
        <f>SUMIF('2월'!$K$11:$K$94,연간_세부항목별지출!$C82,'2월'!$M$11:$M$94)</f>
        <v>0</v>
      </c>
      <c r="F82" s="351">
        <f>SUMIF('3월'!$K$11:$K$94,연간_세부항목별지출!$C82,'3월'!$M$11:$M$94)</f>
        <v>0</v>
      </c>
      <c r="G82" s="351">
        <f>SUMIF('4월'!$K$11:$K$94,연간_세부항목별지출!$C82,'4월'!$M$11:$M$94)</f>
        <v>0</v>
      </c>
      <c r="H82" s="351">
        <f>SUMIF('5월'!$K$11:$K$94,연간_세부항목별지출!$C82,'5월'!$M$11:$M$94)</f>
        <v>0</v>
      </c>
      <c r="I82" s="351">
        <f>SUMIF('6월'!$K$11:$K$94,연간_세부항목별지출!$C82,'6월'!$M$11:$M$94)</f>
        <v>0</v>
      </c>
      <c r="J82" s="351">
        <f>SUMIF('7월'!$K$11:$K$94,연간_세부항목별지출!$C82,'7월'!$M$11:$M$94)</f>
        <v>0</v>
      </c>
      <c r="K82" s="351">
        <f>SUMIF('8월'!$K$11:$K$94,연간_세부항목별지출!$C82,'8월'!$M$11:$M$94)</f>
        <v>0</v>
      </c>
      <c r="L82" s="351">
        <f>SUMIF('9월'!$K$11:$K$94,연간_세부항목별지출!$C82,'9월'!$M$11:$M$94)</f>
        <v>0</v>
      </c>
      <c r="M82" s="351">
        <f>SUMIF('10월'!$K$11:$K$94,연간_세부항목별지출!$C82,'10월'!$M$11:$M$94)</f>
        <v>0</v>
      </c>
      <c r="N82" s="351">
        <f>SUMIF('11월'!$K$11:$K$94,연간_세부항목별지출!$C82,'11월'!$M$11:$M$94)</f>
        <v>0</v>
      </c>
      <c r="O82" s="351">
        <f>SUMIF('12월'!$K$11:$K$94,연간_세부항목별지출!$C82,'12월'!$M$11:$M$94)</f>
        <v>0</v>
      </c>
      <c r="P82" s="516">
        <f t="shared" si="2"/>
        <v>0</v>
      </c>
      <c r="Q82" s="516">
        <f t="shared" si="3"/>
        <v>0</v>
      </c>
      <c r="R82" s="517" t="str">
        <f t="shared" si="7"/>
        <v/>
      </c>
    </row>
    <row r="83" spans="2:18" ht="18" customHeight="1" x14ac:dyDescent="0.3">
      <c r="B83" s="595"/>
      <c r="C83" s="420" t="str">
        <f>IF(항목!I5="","",항목!I5)</f>
        <v>패션잡화</v>
      </c>
      <c r="D83" s="346">
        <f>SUMIF('1월'!$K$11:$K$94,연간_세부항목별지출!$C83,'1월'!$M$11:$M$94)</f>
        <v>0</v>
      </c>
      <c r="E83" s="346">
        <f>SUMIF('2월'!$K$11:$K$94,연간_세부항목별지출!$C83,'2월'!$M$11:$M$94)</f>
        <v>0</v>
      </c>
      <c r="F83" s="346">
        <f>SUMIF('3월'!$K$11:$K$94,연간_세부항목별지출!$C83,'3월'!$M$11:$M$94)</f>
        <v>0</v>
      </c>
      <c r="G83" s="346">
        <f>SUMIF('4월'!$K$11:$K$94,연간_세부항목별지출!$C83,'4월'!$M$11:$M$94)</f>
        <v>0</v>
      </c>
      <c r="H83" s="346">
        <f>SUMIF('5월'!$K$11:$K$94,연간_세부항목별지출!$C83,'5월'!$M$11:$M$94)</f>
        <v>0</v>
      </c>
      <c r="I83" s="346">
        <f>SUMIF('6월'!$K$11:$K$94,연간_세부항목별지출!$C83,'6월'!$M$11:$M$94)</f>
        <v>0</v>
      </c>
      <c r="J83" s="346">
        <f>SUMIF('7월'!$K$11:$K$94,연간_세부항목별지출!$C83,'7월'!$M$11:$M$94)</f>
        <v>0</v>
      </c>
      <c r="K83" s="346">
        <f>SUMIF('8월'!$K$11:$K$94,연간_세부항목별지출!$C83,'8월'!$M$11:$M$94)</f>
        <v>0</v>
      </c>
      <c r="L83" s="346">
        <f>SUMIF('9월'!$K$11:$K$94,연간_세부항목별지출!$C83,'9월'!$M$11:$M$94)</f>
        <v>0</v>
      </c>
      <c r="M83" s="346">
        <f>SUMIF('10월'!$K$11:$K$94,연간_세부항목별지출!$C83,'10월'!$M$11:$M$94)</f>
        <v>0</v>
      </c>
      <c r="N83" s="346">
        <f>SUMIF('11월'!$K$11:$K$94,연간_세부항목별지출!$C83,'11월'!$M$11:$M$94)</f>
        <v>0</v>
      </c>
      <c r="O83" s="346">
        <f>SUMIF('12월'!$K$11:$K$94,연간_세부항목별지출!$C83,'12월'!$M$11:$M$94)</f>
        <v>0</v>
      </c>
      <c r="P83" s="413">
        <f t="shared" si="2"/>
        <v>0</v>
      </c>
      <c r="Q83" s="413">
        <f t="shared" si="3"/>
        <v>0</v>
      </c>
      <c r="R83" s="503" t="str">
        <f t="shared" si="7"/>
        <v/>
      </c>
    </row>
    <row r="84" spans="2:18" ht="18" customHeight="1" x14ac:dyDescent="0.3">
      <c r="B84" s="595"/>
      <c r="C84" s="420" t="str">
        <f>IF(항목!I6="","",항목!I6)</f>
        <v>세탁비</v>
      </c>
      <c r="D84" s="346">
        <f>SUMIF('1월'!$K$11:$K$94,연간_세부항목별지출!$C84,'1월'!$M$11:$M$94)</f>
        <v>0</v>
      </c>
      <c r="E84" s="346">
        <f>SUMIF('2월'!$K$11:$K$94,연간_세부항목별지출!$C84,'2월'!$M$11:$M$94)</f>
        <v>0</v>
      </c>
      <c r="F84" s="346">
        <f>SUMIF('3월'!$K$11:$K$94,연간_세부항목별지출!$C84,'3월'!$M$11:$M$94)</f>
        <v>0</v>
      </c>
      <c r="G84" s="346">
        <f>SUMIF('4월'!$K$11:$K$94,연간_세부항목별지출!$C84,'4월'!$M$11:$M$94)</f>
        <v>0</v>
      </c>
      <c r="H84" s="346">
        <f>SUMIF('5월'!$K$11:$K$94,연간_세부항목별지출!$C84,'5월'!$M$11:$M$94)</f>
        <v>0</v>
      </c>
      <c r="I84" s="346">
        <f>SUMIF('6월'!$K$11:$K$94,연간_세부항목별지출!$C84,'6월'!$M$11:$M$94)</f>
        <v>0</v>
      </c>
      <c r="J84" s="346">
        <f>SUMIF('7월'!$K$11:$K$94,연간_세부항목별지출!$C84,'7월'!$M$11:$M$94)</f>
        <v>0</v>
      </c>
      <c r="K84" s="346">
        <f>SUMIF('8월'!$K$11:$K$94,연간_세부항목별지출!$C84,'8월'!$M$11:$M$94)</f>
        <v>0</v>
      </c>
      <c r="L84" s="346">
        <f>SUMIF('9월'!$K$11:$K$94,연간_세부항목별지출!$C84,'9월'!$M$11:$M$94)</f>
        <v>0</v>
      </c>
      <c r="M84" s="346">
        <f>SUMIF('10월'!$K$11:$K$94,연간_세부항목별지출!$C84,'10월'!$M$11:$M$94)</f>
        <v>0</v>
      </c>
      <c r="N84" s="346">
        <f>SUMIF('11월'!$K$11:$K$94,연간_세부항목별지출!$C84,'11월'!$M$11:$M$94)</f>
        <v>0</v>
      </c>
      <c r="O84" s="346">
        <f>SUMIF('12월'!$K$11:$K$94,연간_세부항목별지출!$C84,'12월'!$M$11:$M$94)</f>
        <v>0</v>
      </c>
      <c r="P84" s="413">
        <f t="shared" si="2"/>
        <v>0</v>
      </c>
      <c r="Q84" s="413">
        <f t="shared" si="3"/>
        <v>0</v>
      </c>
      <c r="R84" s="503" t="str">
        <f t="shared" si="7"/>
        <v/>
      </c>
    </row>
    <row r="85" spans="2:18" ht="18" customHeight="1" x14ac:dyDescent="0.3">
      <c r="B85" s="595"/>
      <c r="C85" s="420" t="str">
        <f>IF(항목!I7="","",항목!I7)</f>
        <v>기타 의류</v>
      </c>
      <c r="D85" s="346">
        <f>SUMIF('1월'!$K$11:$K$94,연간_세부항목별지출!$C85,'1월'!$M$11:$M$94)</f>
        <v>0</v>
      </c>
      <c r="E85" s="346">
        <f>SUMIF('2월'!$K$11:$K$94,연간_세부항목별지출!$C85,'2월'!$M$11:$M$94)</f>
        <v>0</v>
      </c>
      <c r="F85" s="346">
        <f>SUMIF('3월'!$K$11:$K$94,연간_세부항목별지출!$C85,'3월'!$M$11:$M$94)</f>
        <v>0</v>
      </c>
      <c r="G85" s="346">
        <f>SUMIF('4월'!$K$11:$K$94,연간_세부항목별지출!$C85,'4월'!$M$11:$M$94)</f>
        <v>0</v>
      </c>
      <c r="H85" s="346">
        <f>SUMIF('5월'!$K$11:$K$94,연간_세부항목별지출!$C85,'5월'!$M$11:$M$94)</f>
        <v>0</v>
      </c>
      <c r="I85" s="346">
        <f>SUMIF('6월'!$K$11:$K$94,연간_세부항목별지출!$C85,'6월'!$M$11:$M$94)</f>
        <v>0</v>
      </c>
      <c r="J85" s="346">
        <f>SUMIF('7월'!$K$11:$K$94,연간_세부항목별지출!$C85,'7월'!$M$11:$M$94)</f>
        <v>0</v>
      </c>
      <c r="K85" s="346">
        <f>SUMIF('8월'!$K$11:$K$94,연간_세부항목별지출!$C85,'8월'!$M$11:$M$94)</f>
        <v>0</v>
      </c>
      <c r="L85" s="346">
        <f>SUMIF('9월'!$K$11:$K$94,연간_세부항목별지출!$C85,'9월'!$M$11:$M$94)</f>
        <v>0</v>
      </c>
      <c r="M85" s="346">
        <f>SUMIF('10월'!$K$11:$K$94,연간_세부항목별지출!$C85,'10월'!$M$11:$M$94)</f>
        <v>0</v>
      </c>
      <c r="N85" s="346">
        <f>SUMIF('11월'!$K$11:$K$94,연간_세부항목별지출!$C85,'11월'!$M$11:$M$94)</f>
        <v>0</v>
      </c>
      <c r="O85" s="346">
        <f>SUMIF('12월'!$K$11:$K$94,연간_세부항목별지출!$C85,'12월'!$M$11:$M$94)</f>
        <v>0</v>
      </c>
      <c r="P85" s="413">
        <f t="shared" si="2"/>
        <v>0</v>
      </c>
      <c r="Q85" s="413">
        <f t="shared" si="3"/>
        <v>0</v>
      </c>
      <c r="R85" s="503" t="str">
        <f t="shared" si="7"/>
        <v/>
      </c>
    </row>
    <row r="86" spans="2:18" ht="18" customHeight="1" x14ac:dyDescent="0.3">
      <c r="B86" s="595"/>
      <c r="C86" s="420" t="str">
        <f>IF(항목!I8="","",항목!I8)</f>
        <v/>
      </c>
      <c r="D86" s="346">
        <f>SUMIF('1월'!$K$11:$K$94,연간_세부항목별지출!$C86,'1월'!$M$11:$M$94)</f>
        <v>0</v>
      </c>
      <c r="E86" s="346">
        <f>SUMIF('2월'!$K$11:$K$94,연간_세부항목별지출!$C86,'2월'!$M$11:$M$94)</f>
        <v>0</v>
      </c>
      <c r="F86" s="346">
        <f>SUMIF('3월'!$K$11:$K$94,연간_세부항목별지출!$C86,'3월'!$M$11:$M$94)</f>
        <v>0</v>
      </c>
      <c r="G86" s="346">
        <f>SUMIF('4월'!$K$11:$K$94,연간_세부항목별지출!$C86,'4월'!$M$11:$M$94)</f>
        <v>0</v>
      </c>
      <c r="H86" s="346">
        <f>SUMIF('5월'!$K$11:$K$94,연간_세부항목별지출!$C86,'5월'!$M$11:$M$94)</f>
        <v>0</v>
      </c>
      <c r="I86" s="346">
        <f>SUMIF('6월'!$K$11:$K$94,연간_세부항목별지출!$C86,'6월'!$M$11:$M$94)</f>
        <v>0</v>
      </c>
      <c r="J86" s="346">
        <f>SUMIF('7월'!$K$11:$K$94,연간_세부항목별지출!$C86,'7월'!$M$11:$M$94)</f>
        <v>0</v>
      </c>
      <c r="K86" s="346">
        <f>SUMIF('8월'!$K$11:$K$94,연간_세부항목별지출!$C86,'8월'!$M$11:$M$94)</f>
        <v>0</v>
      </c>
      <c r="L86" s="346">
        <f>SUMIF('9월'!$K$11:$K$94,연간_세부항목별지출!$C86,'9월'!$M$11:$M$94)</f>
        <v>0</v>
      </c>
      <c r="M86" s="346">
        <f>SUMIF('10월'!$K$11:$K$94,연간_세부항목별지출!$C86,'10월'!$M$11:$M$94)</f>
        <v>0</v>
      </c>
      <c r="N86" s="346">
        <f>SUMIF('11월'!$K$11:$K$94,연간_세부항목별지출!$C86,'11월'!$M$11:$M$94)</f>
        <v>0</v>
      </c>
      <c r="O86" s="346">
        <f>SUMIF('12월'!$K$11:$K$94,연간_세부항목별지출!$C86,'12월'!$M$11:$M$94)</f>
        <v>0</v>
      </c>
      <c r="P86" s="413">
        <f t="shared" si="2"/>
        <v>0</v>
      </c>
      <c r="Q86" s="413">
        <f t="shared" si="3"/>
        <v>0</v>
      </c>
      <c r="R86" s="503" t="str">
        <f t="shared" si="7"/>
        <v/>
      </c>
    </row>
    <row r="87" spans="2:18" ht="18" customHeight="1" x14ac:dyDescent="0.3">
      <c r="B87" s="595"/>
      <c r="C87" s="420" t="str">
        <f>IF(항목!I9="","",항목!I9)</f>
        <v/>
      </c>
      <c r="D87" s="346">
        <f>SUMIF('1월'!$K$11:$K$94,연간_세부항목별지출!$C87,'1월'!$M$11:$M$94)</f>
        <v>0</v>
      </c>
      <c r="E87" s="346">
        <f>SUMIF('2월'!$K$11:$K$94,연간_세부항목별지출!$C87,'2월'!$M$11:$M$94)</f>
        <v>0</v>
      </c>
      <c r="F87" s="346">
        <f>SUMIF('3월'!$K$11:$K$94,연간_세부항목별지출!$C87,'3월'!$M$11:$M$94)</f>
        <v>0</v>
      </c>
      <c r="G87" s="346">
        <f>SUMIF('4월'!$K$11:$K$94,연간_세부항목별지출!$C87,'4월'!$M$11:$M$94)</f>
        <v>0</v>
      </c>
      <c r="H87" s="346">
        <f>SUMIF('5월'!$K$11:$K$94,연간_세부항목별지출!$C87,'5월'!$M$11:$M$94)</f>
        <v>0</v>
      </c>
      <c r="I87" s="346">
        <f>SUMIF('6월'!$K$11:$K$94,연간_세부항목별지출!$C87,'6월'!$M$11:$M$94)</f>
        <v>0</v>
      </c>
      <c r="J87" s="346">
        <f>SUMIF('7월'!$K$11:$K$94,연간_세부항목별지출!$C87,'7월'!$M$11:$M$94)</f>
        <v>0</v>
      </c>
      <c r="K87" s="346">
        <f>SUMIF('8월'!$K$11:$K$94,연간_세부항목별지출!$C87,'8월'!$M$11:$M$94)</f>
        <v>0</v>
      </c>
      <c r="L87" s="346">
        <f>SUMIF('9월'!$K$11:$K$94,연간_세부항목별지출!$C87,'9월'!$M$11:$M$94)</f>
        <v>0</v>
      </c>
      <c r="M87" s="346">
        <f>SUMIF('10월'!$K$11:$K$94,연간_세부항목별지출!$C87,'10월'!$M$11:$M$94)</f>
        <v>0</v>
      </c>
      <c r="N87" s="346">
        <f>SUMIF('11월'!$K$11:$K$94,연간_세부항목별지출!$C87,'11월'!$M$11:$M$94)</f>
        <v>0</v>
      </c>
      <c r="O87" s="346">
        <f>SUMIF('12월'!$K$11:$K$94,연간_세부항목별지출!$C87,'12월'!$M$11:$M$94)</f>
        <v>0</v>
      </c>
      <c r="P87" s="413">
        <f t="shared" si="2"/>
        <v>0</v>
      </c>
      <c r="Q87" s="413">
        <f t="shared" si="3"/>
        <v>0</v>
      </c>
      <c r="R87" s="503" t="str">
        <f t="shared" ref="R87:R150" si="8">IF(P87&gt;0,P87/$P$21,"")</f>
        <v/>
      </c>
    </row>
    <row r="88" spans="2:18" ht="18" customHeight="1" x14ac:dyDescent="0.3">
      <c r="B88" s="595"/>
      <c r="C88" s="420" t="str">
        <f>IF(항목!I10="","",항목!I10)</f>
        <v/>
      </c>
      <c r="D88" s="346">
        <f>SUMIF('1월'!$K$11:$K$94,연간_세부항목별지출!$C88,'1월'!$M$11:$M$94)</f>
        <v>0</v>
      </c>
      <c r="E88" s="346">
        <f>SUMIF('2월'!$K$11:$K$94,연간_세부항목별지출!$C88,'2월'!$M$11:$M$94)</f>
        <v>0</v>
      </c>
      <c r="F88" s="346">
        <f>SUMIF('3월'!$K$11:$K$94,연간_세부항목별지출!$C88,'3월'!$M$11:$M$94)</f>
        <v>0</v>
      </c>
      <c r="G88" s="346">
        <f>SUMIF('4월'!$K$11:$K$94,연간_세부항목별지출!$C88,'4월'!$M$11:$M$94)</f>
        <v>0</v>
      </c>
      <c r="H88" s="346">
        <f>SUMIF('5월'!$K$11:$K$94,연간_세부항목별지출!$C88,'5월'!$M$11:$M$94)</f>
        <v>0</v>
      </c>
      <c r="I88" s="346">
        <f>SUMIF('6월'!$K$11:$K$94,연간_세부항목별지출!$C88,'6월'!$M$11:$M$94)</f>
        <v>0</v>
      </c>
      <c r="J88" s="346">
        <f>SUMIF('7월'!$K$11:$K$94,연간_세부항목별지출!$C88,'7월'!$M$11:$M$94)</f>
        <v>0</v>
      </c>
      <c r="K88" s="346">
        <f>SUMIF('8월'!$K$11:$K$94,연간_세부항목별지출!$C88,'8월'!$M$11:$M$94)</f>
        <v>0</v>
      </c>
      <c r="L88" s="346">
        <f>SUMIF('9월'!$K$11:$K$94,연간_세부항목별지출!$C88,'9월'!$M$11:$M$94)</f>
        <v>0</v>
      </c>
      <c r="M88" s="346">
        <f>SUMIF('10월'!$K$11:$K$94,연간_세부항목별지출!$C88,'10월'!$M$11:$M$94)</f>
        <v>0</v>
      </c>
      <c r="N88" s="346">
        <f>SUMIF('11월'!$K$11:$K$94,연간_세부항목별지출!$C88,'11월'!$M$11:$M$94)</f>
        <v>0</v>
      </c>
      <c r="O88" s="346">
        <f>SUMIF('12월'!$K$11:$K$94,연간_세부항목별지출!$C88,'12월'!$M$11:$M$94)</f>
        <v>0</v>
      </c>
      <c r="P88" s="413">
        <f t="shared" si="2"/>
        <v>0</v>
      </c>
      <c r="Q88" s="413">
        <f t="shared" si="3"/>
        <v>0</v>
      </c>
      <c r="R88" s="503" t="str">
        <f t="shared" si="8"/>
        <v/>
      </c>
    </row>
    <row r="89" spans="2:18" ht="18" customHeight="1" x14ac:dyDescent="0.3">
      <c r="B89" s="595"/>
      <c r="C89" s="420" t="str">
        <f>IF(항목!I11="","",항목!I11)</f>
        <v/>
      </c>
      <c r="D89" s="346">
        <f>SUMIF('1월'!$K$11:$K$94,연간_세부항목별지출!$C89,'1월'!$M$11:$M$94)</f>
        <v>0</v>
      </c>
      <c r="E89" s="346">
        <f>SUMIF('2월'!$K$11:$K$94,연간_세부항목별지출!$C89,'2월'!$M$11:$M$94)</f>
        <v>0</v>
      </c>
      <c r="F89" s="346">
        <f>SUMIF('3월'!$K$11:$K$94,연간_세부항목별지출!$C89,'3월'!$M$11:$M$94)</f>
        <v>0</v>
      </c>
      <c r="G89" s="346">
        <f>SUMIF('4월'!$K$11:$K$94,연간_세부항목별지출!$C89,'4월'!$M$11:$M$94)</f>
        <v>0</v>
      </c>
      <c r="H89" s="346">
        <f>SUMIF('5월'!$K$11:$K$94,연간_세부항목별지출!$C89,'5월'!$M$11:$M$94)</f>
        <v>0</v>
      </c>
      <c r="I89" s="346">
        <f>SUMIF('6월'!$K$11:$K$94,연간_세부항목별지출!$C89,'6월'!$M$11:$M$94)</f>
        <v>0</v>
      </c>
      <c r="J89" s="346">
        <f>SUMIF('7월'!$K$11:$K$94,연간_세부항목별지출!$C89,'7월'!$M$11:$M$94)</f>
        <v>0</v>
      </c>
      <c r="K89" s="346">
        <f>SUMIF('8월'!$K$11:$K$94,연간_세부항목별지출!$C89,'8월'!$M$11:$M$94)</f>
        <v>0</v>
      </c>
      <c r="L89" s="346">
        <f>SUMIF('9월'!$K$11:$K$94,연간_세부항목별지출!$C89,'9월'!$M$11:$M$94)</f>
        <v>0</v>
      </c>
      <c r="M89" s="346">
        <f>SUMIF('10월'!$K$11:$K$94,연간_세부항목별지출!$C89,'10월'!$M$11:$M$94)</f>
        <v>0</v>
      </c>
      <c r="N89" s="346">
        <f>SUMIF('11월'!$K$11:$K$94,연간_세부항목별지출!$C89,'11월'!$M$11:$M$94)</f>
        <v>0</v>
      </c>
      <c r="O89" s="346">
        <f>SUMIF('12월'!$K$11:$K$94,연간_세부항목별지출!$C89,'12월'!$M$11:$M$94)</f>
        <v>0</v>
      </c>
      <c r="P89" s="413">
        <f t="shared" si="2"/>
        <v>0</v>
      </c>
      <c r="Q89" s="413">
        <f t="shared" si="3"/>
        <v>0</v>
      </c>
      <c r="R89" s="503" t="str">
        <f t="shared" si="8"/>
        <v/>
      </c>
    </row>
    <row r="90" spans="2:18" ht="18" customHeight="1" x14ac:dyDescent="0.3">
      <c r="B90" s="595"/>
      <c r="C90" s="420" t="str">
        <f>IF(항목!I12="","",항목!I12)</f>
        <v/>
      </c>
      <c r="D90" s="346">
        <f>SUMIF('1월'!$K$11:$K$94,연간_세부항목별지출!$C90,'1월'!$M$11:$M$94)</f>
        <v>0</v>
      </c>
      <c r="E90" s="346">
        <f>SUMIF('2월'!$K$11:$K$94,연간_세부항목별지출!$C90,'2월'!$M$11:$M$94)</f>
        <v>0</v>
      </c>
      <c r="F90" s="346">
        <f>SUMIF('3월'!$K$11:$K$94,연간_세부항목별지출!$C90,'3월'!$M$11:$M$94)</f>
        <v>0</v>
      </c>
      <c r="G90" s="346">
        <f>SUMIF('4월'!$K$11:$K$94,연간_세부항목별지출!$C90,'4월'!$M$11:$M$94)</f>
        <v>0</v>
      </c>
      <c r="H90" s="346">
        <f>SUMIF('5월'!$K$11:$K$94,연간_세부항목별지출!$C90,'5월'!$M$11:$M$94)</f>
        <v>0</v>
      </c>
      <c r="I90" s="346">
        <f>SUMIF('6월'!$K$11:$K$94,연간_세부항목별지출!$C90,'6월'!$M$11:$M$94)</f>
        <v>0</v>
      </c>
      <c r="J90" s="346">
        <f>SUMIF('7월'!$K$11:$K$94,연간_세부항목별지출!$C90,'7월'!$M$11:$M$94)</f>
        <v>0</v>
      </c>
      <c r="K90" s="346">
        <f>SUMIF('8월'!$K$11:$K$94,연간_세부항목별지출!$C90,'8월'!$M$11:$M$94)</f>
        <v>0</v>
      </c>
      <c r="L90" s="346">
        <f>SUMIF('9월'!$K$11:$K$94,연간_세부항목별지출!$C90,'9월'!$M$11:$M$94)</f>
        <v>0</v>
      </c>
      <c r="M90" s="346">
        <f>SUMIF('10월'!$K$11:$K$94,연간_세부항목별지출!$C90,'10월'!$M$11:$M$94)</f>
        <v>0</v>
      </c>
      <c r="N90" s="346">
        <f>SUMIF('11월'!$K$11:$K$94,연간_세부항목별지출!$C90,'11월'!$M$11:$M$94)</f>
        <v>0</v>
      </c>
      <c r="O90" s="346">
        <f>SUMIF('12월'!$K$11:$K$94,연간_세부항목별지출!$C90,'12월'!$M$11:$M$94)</f>
        <v>0</v>
      </c>
      <c r="P90" s="413">
        <f t="shared" si="2"/>
        <v>0</v>
      </c>
      <c r="Q90" s="413">
        <f t="shared" si="3"/>
        <v>0</v>
      </c>
      <c r="R90" s="503" t="str">
        <f t="shared" si="8"/>
        <v/>
      </c>
    </row>
    <row r="91" spans="2:18" ht="18" customHeight="1" x14ac:dyDescent="0.3">
      <c r="B91" s="595"/>
      <c r="C91" s="420" t="str">
        <f>IF(항목!I13="","",항목!I13)</f>
        <v/>
      </c>
      <c r="D91" s="346">
        <f>SUMIF('1월'!$K$11:$K$94,연간_세부항목별지출!$C91,'1월'!$M$11:$M$94)</f>
        <v>0</v>
      </c>
      <c r="E91" s="346">
        <f>SUMIF('2월'!$K$11:$K$94,연간_세부항목별지출!$C91,'2월'!$M$11:$M$94)</f>
        <v>0</v>
      </c>
      <c r="F91" s="346">
        <f>SUMIF('3월'!$K$11:$K$94,연간_세부항목별지출!$C91,'3월'!$M$11:$M$94)</f>
        <v>0</v>
      </c>
      <c r="G91" s="346">
        <f>SUMIF('4월'!$K$11:$K$94,연간_세부항목별지출!$C91,'4월'!$M$11:$M$94)</f>
        <v>0</v>
      </c>
      <c r="H91" s="346">
        <f>SUMIF('5월'!$K$11:$K$94,연간_세부항목별지출!$C91,'5월'!$M$11:$M$94)</f>
        <v>0</v>
      </c>
      <c r="I91" s="346">
        <f>SUMIF('6월'!$K$11:$K$94,연간_세부항목별지출!$C91,'6월'!$M$11:$M$94)</f>
        <v>0</v>
      </c>
      <c r="J91" s="346">
        <f>SUMIF('7월'!$K$11:$K$94,연간_세부항목별지출!$C91,'7월'!$M$11:$M$94)</f>
        <v>0</v>
      </c>
      <c r="K91" s="346">
        <f>SUMIF('8월'!$K$11:$K$94,연간_세부항목별지출!$C91,'8월'!$M$11:$M$94)</f>
        <v>0</v>
      </c>
      <c r="L91" s="346">
        <f>SUMIF('9월'!$K$11:$K$94,연간_세부항목별지출!$C91,'9월'!$M$11:$M$94)</f>
        <v>0</v>
      </c>
      <c r="M91" s="346">
        <f>SUMIF('10월'!$K$11:$K$94,연간_세부항목별지출!$C91,'10월'!$M$11:$M$94)</f>
        <v>0</v>
      </c>
      <c r="N91" s="346">
        <f>SUMIF('11월'!$K$11:$K$94,연간_세부항목별지출!$C91,'11월'!$M$11:$M$94)</f>
        <v>0</v>
      </c>
      <c r="O91" s="346">
        <f>SUMIF('12월'!$K$11:$K$94,연간_세부항목별지출!$C91,'12월'!$M$11:$M$94)</f>
        <v>0</v>
      </c>
      <c r="P91" s="413">
        <f t="shared" si="2"/>
        <v>0</v>
      </c>
      <c r="Q91" s="413">
        <f t="shared" si="3"/>
        <v>0</v>
      </c>
      <c r="R91" s="503" t="str">
        <f t="shared" si="8"/>
        <v/>
      </c>
    </row>
    <row r="92" spans="2:18" ht="18" customHeight="1" x14ac:dyDescent="0.3">
      <c r="B92" s="595"/>
      <c r="C92" s="420" t="str">
        <f>IF(항목!I14="","",항목!I14)</f>
        <v/>
      </c>
      <c r="D92" s="346">
        <f>SUMIF('1월'!$K$11:$K$94,연간_세부항목별지출!$C92,'1월'!$M$11:$M$94)</f>
        <v>0</v>
      </c>
      <c r="E92" s="346">
        <f>SUMIF('2월'!$K$11:$K$94,연간_세부항목별지출!$C92,'2월'!$M$11:$M$94)</f>
        <v>0</v>
      </c>
      <c r="F92" s="346">
        <f>SUMIF('3월'!$K$11:$K$94,연간_세부항목별지출!$C92,'3월'!$M$11:$M$94)</f>
        <v>0</v>
      </c>
      <c r="G92" s="346">
        <f>SUMIF('4월'!$K$11:$K$94,연간_세부항목별지출!$C92,'4월'!$M$11:$M$94)</f>
        <v>0</v>
      </c>
      <c r="H92" s="346">
        <f>SUMIF('5월'!$K$11:$K$94,연간_세부항목별지출!$C92,'5월'!$M$11:$M$94)</f>
        <v>0</v>
      </c>
      <c r="I92" s="346">
        <f>SUMIF('6월'!$K$11:$K$94,연간_세부항목별지출!$C92,'6월'!$M$11:$M$94)</f>
        <v>0</v>
      </c>
      <c r="J92" s="346">
        <f>SUMIF('7월'!$K$11:$K$94,연간_세부항목별지출!$C92,'7월'!$M$11:$M$94)</f>
        <v>0</v>
      </c>
      <c r="K92" s="346">
        <f>SUMIF('8월'!$K$11:$K$94,연간_세부항목별지출!$C92,'8월'!$M$11:$M$94)</f>
        <v>0</v>
      </c>
      <c r="L92" s="346">
        <f>SUMIF('9월'!$K$11:$K$94,연간_세부항목별지출!$C92,'9월'!$M$11:$M$94)</f>
        <v>0</v>
      </c>
      <c r="M92" s="346">
        <f>SUMIF('10월'!$K$11:$K$94,연간_세부항목별지출!$C92,'10월'!$M$11:$M$94)</f>
        <v>0</v>
      </c>
      <c r="N92" s="346">
        <f>SUMIF('11월'!$K$11:$K$94,연간_세부항목별지출!$C92,'11월'!$M$11:$M$94)</f>
        <v>0</v>
      </c>
      <c r="O92" s="346">
        <f>SUMIF('12월'!$K$11:$K$94,연간_세부항목별지출!$C92,'12월'!$M$11:$M$94)</f>
        <v>0</v>
      </c>
      <c r="P92" s="413">
        <f t="shared" si="2"/>
        <v>0</v>
      </c>
      <c r="Q92" s="413">
        <f t="shared" si="3"/>
        <v>0</v>
      </c>
      <c r="R92" s="503" t="str">
        <f t="shared" si="8"/>
        <v/>
      </c>
    </row>
    <row r="93" spans="2:18" ht="18" customHeight="1" x14ac:dyDescent="0.3">
      <c r="B93" s="595"/>
      <c r="C93" s="420" t="str">
        <f>IF(항목!I15="","",항목!I15)</f>
        <v/>
      </c>
      <c r="D93" s="346">
        <f>SUMIF('1월'!$K$11:$K$94,연간_세부항목별지출!$C93,'1월'!$M$11:$M$94)</f>
        <v>0</v>
      </c>
      <c r="E93" s="346">
        <f>SUMIF('2월'!$K$11:$K$94,연간_세부항목별지출!$C93,'2월'!$M$11:$M$94)</f>
        <v>0</v>
      </c>
      <c r="F93" s="346">
        <f>SUMIF('3월'!$K$11:$K$94,연간_세부항목별지출!$C93,'3월'!$M$11:$M$94)</f>
        <v>0</v>
      </c>
      <c r="G93" s="346">
        <f>SUMIF('4월'!$K$11:$K$94,연간_세부항목별지출!$C93,'4월'!$M$11:$M$94)</f>
        <v>0</v>
      </c>
      <c r="H93" s="346">
        <f>SUMIF('5월'!$K$11:$K$94,연간_세부항목별지출!$C93,'5월'!$M$11:$M$94)</f>
        <v>0</v>
      </c>
      <c r="I93" s="346">
        <f>SUMIF('6월'!$K$11:$K$94,연간_세부항목별지출!$C93,'6월'!$M$11:$M$94)</f>
        <v>0</v>
      </c>
      <c r="J93" s="346">
        <f>SUMIF('7월'!$K$11:$K$94,연간_세부항목별지출!$C93,'7월'!$M$11:$M$94)</f>
        <v>0</v>
      </c>
      <c r="K93" s="346">
        <f>SUMIF('8월'!$K$11:$K$94,연간_세부항목별지출!$C93,'8월'!$M$11:$M$94)</f>
        <v>0</v>
      </c>
      <c r="L93" s="346">
        <f>SUMIF('9월'!$K$11:$K$94,연간_세부항목별지출!$C93,'9월'!$M$11:$M$94)</f>
        <v>0</v>
      </c>
      <c r="M93" s="346">
        <f>SUMIF('10월'!$K$11:$K$94,연간_세부항목별지출!$C93,'10월'!$M$11:$M$94)</f>
        <v>0</v>
      </c>
      <c r="N93" s="346">
        <f>SUMIF('11월'!$K$11:$K$94,연간_세부항목별지출!$C93,'11월'!$M$11:$M$94)</f>
        <v>0</v>
      </c>
      <c r="O93" s="346">
        <f>SUMIF('12월'!$K$11:$K$94,연간_세부항목별지출!$C93,'12월'!$M$11:$M$94)</f>
        <v>0</v>
      </c>
      <c r="P93" s="413">
        <f t="shared" si="2"/>
        <v>0</v>
      </c>
      <c r="Q93" s="413">
        <f t="shared" si="3"/>
        <v>0</v>
      </c>
      <c r="R93" s="503" t="str">
        <f t="shared" si="8"/>
        <v/>
      </c>
    </row>
    <row r="94" spans="2:18" ht="18" customHeight="1" x14ac:dyDescent="0.3">
      <c r="B94" s="595"/>
      <c r="C94" s="420" t="str">
        <f>IF(항목!I16="","",항목!I16)</f>
        <v/>
      </c>
      <c r="D94" s="346">
        <f>SUMIF('1월'!$K$11:$K$94,연간_세부항목별지출!$C94,'1월'!$M$11:$M$94)</f>
        <v>0</v>
      </c>
      <c r="E94" s="346">
        <f>SUMIF('2월'!$K$11:$K$94,연간_세부항목별지출!$C94,'2월'!$M$11:$M$94)</f>
        <v>0</v>
      </c>
      <c r="F94" s="346">
        <f>SUMIF('3월'!$K$11:$K$94,연간_세부항목별지출!$C94,'3월'!$M$11:$M$94)</f>
        <v>0</v>
      </c>
      <c r="G94" s="346">
        <f>SUMIF('4월'!$K$11:$K$94,연간_세부항목별지출!$C94,'4월'!$M$11:$M$94)</f>
        <v>0</v>
      </c>
      <c r="H94" s="346">
        <f>SUMIF('5월'!$K$11:$K$94,연간_세부항목별지출!$C94,'5월'!$M$11:$M$94)</f>
        <v>0</v>
      </c>
      <c r="I94" s="346">
        <f>SUMIF('6월'!$K$11:$K$94,연간_세부항목별지출!$C94,'6월'!$M$11:$M$94)</f>
        <v>0</v>
      </c>
      <c r="J94" s="346">
        <f>SUMIF('7월'!$K$11:$K$94,연간_세부항목별지출!$C94,'7월'!$M$11:$M$94)</f>
        <v>0</v>
      </c>
      <c r="K94" s="346">
        <f>SUMIF('8월'!$K$11:$K$94,연간_세부항목별지출!$C94,'8월'!$M$11:$M$94)</f>
        <v>0</v>
      </c>
      <c r="L94" s="346">
        <f>SUMIF('9월'!$K$11:$K$94,연간_세부항목별지출!$C94,'9월'!$M$11:$M$94)</f>
        <v>0</v>
      </c>
      <c r="M94" s="346">
        <f>SUMIF('10월'!$K$11:$K$94,연간_세부항목별지출!$C94,'10월'!$M$11:$M$94)</f>
        <v>0</v>
      </c>
      <c r="N94" s="346">
        <f>SUMIF('11월'!$K$11:$K$94,연간_세부항목별지출!$C94,'11월'!$M$11:$M$94)</f>
        <v>0</v>
      </c>
      <c r="O94" s="346">
        <f>SUMIF('12월'!$K$11:$K$94,연간_세부항목별지출!$C94,'12월'!$M$11:$M$94)</f>
        <v>0</v>
      </c>
      <c r="P94" s="413">
        <f t="shared" si="2"/>
        <v>0</v>
      </c>
      <c r="Q94" s="413">
        <f t="shared" si="3"/>
        <v>0</v>
      </c>
      <c r="R94" s="503" t="str">
        <f t="shared" si="8"/>
        <v/>
      </c>
    </row>
    <row r="95" spans="2:18" ht="18" customHeight="1" x14ac:dyDescent="0.3">
      <c r="B95" s="595"/>
      <c r="C95" s="420" t="str">
        <f>IF(항목!I17="","",항목!I17)</f>
        <v/>
      </c>
      <c r="D95" s="346">
        <f>SUMIF('1월'!$K$11:$K$94,연간_세부항목별지출!$C95,'1월'!$M$11:$M$94)</f>
        <v>0</v>
      </c>
      <c r="E95" s="346">
        <f>SUMIF('2월'!$K$11:$K$94,연간_세부항목별지출!$C95,'2월'!$M$11:$M$94)</f>
        <v>0</v>
      </c>
      <c r="F95" s="346">
        <f>SUMIF('3월'!$K$11:$K$94,연간_세부항목별지출!$C95,'3월'!$M$11:$M$94)</f>
        <v>0</v>
      </c>
      <c r="G95" s="346">
        <f>SUMIF('4월'!$K$11:$K$94,연간_세부항목별지출!$C95,'4월'!$M$11:$M$94)</f>
        <v>0</v>
      </c>
      <c r="H95" s="346">
        <f>SUMIF('5월'!$K$11:$K$94,연간_세부항목별지출!$C95,'5월'!$M$11:$M$94)</f>
        <v>0</v>
      </c>
      <c r="I95" s="346">
        <f>SUMIF('6월'!$K$11:$K$94,연간_세부항목별지출!$C95,'6월'!$M$11:$M$94)</f>
        <v>0</v>
      </c>
      <c r="J95" s="346">
        <f>SUMIF('7월'!$K$11:$K$94,연간_세부항목별지출!$C95,'7월'!$M$11:$M$94)</f>
        <v>0</v>
      </c>
      <c r="K95" s="346">
        <f>SUMIF('8월'!$K$11:$K$94,연간_세부항목별지출!$C95,'8월'!$M$11:$M$94)</f>
        <v>0</v>
      </c>
      <c r="L95" s="346">
        <f>SUMIF('9월'!$K$11:$K$94,연간_세부항목별지출!$C95,'9월'!$M$11:$M$94)</f>
        <v>0</v>
      </c>
      <c r="M95" s="346">
        <f>SUMIF('10월'!$K$11:$K$94,연간_세부항목별지출!$C95,'10월'!$M$11:$M$94)</f>
        <v>0</v>
      </c>
      <c r="N95" s="346">
        <f>SUMIF('11월'!$K$11:$K$94,연간_세부항목별지출!$C95,'11월'!$M$11:$M$94)</f>
        <v>0</v>
      </c>
      <c r="O95" s="346">
        <f>SUMIF('12월'!$K$11:$K$94,연간_세부항목별지출!$C95,'12월'!$M$11:$M$94)</f>
        <v>0</v>
      </c>
      <c r="P95" s="413">
        <f t="shared" si="2"/>
        <v>0</v>
      </c>
      <c r="Q95" s="413">
        <f t="shared" si="3"/>
        <v>0</v>
      </c>
      <c r="R95" s="503" t="str">
        <f t="shared" si="8"/>
        <v/>
      </c>
    </row>
    <row r="96" spans="2:18" ht="18" customHeight="1" thickBot="1" x14ac:dyDescent="0.35">
      <c r="B96" s="596"/>
      <c r="C96" s="421" t="str">
        <f>IF(항목!I18="","",항목!I18)</f>
        <v/>
      </c>
      <c r="D96" s="515">
        <f>SUMIF('1월'!$K$11:$K$94,연간_세부항목별지출!$C96,'1월'!$M$11:$M$94)</f>
        <v>0</v>
      </c>
      <c r="E96" s="515">
        <f>SUMIF('2월'!$K$11:$K$94,연간_세부항목별지출!$C96,'2월'!$M$11:$M$94)</f>
        <v>0</v>
      </c>
      <c r="F96" s="515">
        <f>SUMIF('3월'!$K$11:$K$94,연간_세부항목별지출!$C96,'3월'!$M$11:$M$94)</f>
        <v>0</v>
      </c>
      <c r="G96" s="515">
        <f>SUMIF('4월'!$K$11:$K$94,연간_세부항목별지출!$C96,'4월'!$M$11:$M$94)</f>
        <v>0</v>
      </c>
      <c r="H96" s="515">
        <f>SUMIF('5월'!$K$11:$K$94,연간_세부항목별지출!$C96,'5월'!$M$11:$M$94)</f>
        <v>0</v>
      </c>
      <c r="I96" s="515">
        <f>SUMIF('6월'!$K$11:$K$94,연간_세부항목별지출!$C96,'6월'!$M$11:$M$94)</f>
        <v>0</v>
      </c>
      <c r="J96" s="515">
        <f>SUMIF('7월'!$K$11:$K$94,연간_세부항목별지출!$C96,'7월'!$M$11:$M$94)</f>
        <v>0</v>
      </c>
      <c r="K96" s="515">
        <f>SUMIF('8월'!$K$11:$K$94,연간_세부항목별지출!$C96,'8월'!$M$11:$M$94)</f>
        <v>0</v>
      </c>
      <c r="L96" s="515">
        <f>SUMIF('9월'!$K$11:$K$94,연간_세부항목별지출!$C96,'9월'!$M$11:$M$94)</f>
        <v>0</v>
      </c>
      <c r="M96" s="515">
        <f>SUMIF('10월'!$K$11:$K$94,연간_세부항목별지출!$C96,'10월'!$M$11:$M$94)</f>
        <v>0</v>
      </c>
      <c r="N96" s="515">
        <f>SUMIF('11월'!$K$11:$K$94,연간_세부항목별지출!$C96,'11월'!$M$11:$M$94)</f>
        <v>0</v>
      </c>
      <c r="O96" s="515">
        <f>SUMIF('12월'!$K$11:$K$94,연간_세부항목별지출!$C96,'12월'!$M$11:$M$94)</f>
        <v>0</v>
      </c>
      <c r="P96" s="422">
        <f t="shared" si="2"/>
        <v>0</v>
      </c>
      <c r="Q96" s="422">
        <f t="shared" si="3"/>
        <v>0</v>
      </c>
      <c r="R96" s="506" t="str">
        <f t="shared" si="8"/>
        <v/>
      </c>
    </row>
    <row r="97" spans="2:18" ht="18" customHeight="1" x14ac:dyDescent="0.3">
      <c r="B97" s="594" t="str">
        <f>항목!J3</f>
        <v>미용비</v>
      </c>
      <c r="C97" s="513" t="str">
        <f>IF(항목!J4="","",항목!J4)</f>
        <v>화장품구입</v>
      </c>
      <c r="D97" s="351">
        <f>SUMIF('1월'!$K$11:$K$94,연간_세부항목별지출!$C97,'1월'!$M$11:$M$94)</f>
        <v>0</v>
      </c>
      <c r="E97" s="351">
        <f>SUMIF('2월'!$K$11:$K$94,연간_세부항목별지출!$C97,'2월'!$M$11:$M$94)</f>
        <v>0</v>
      </c>
      <c r="F97" s="351">
        <f>SUMIF('3월'!$K$11:$K$94,연간_세부항목별지출!$C97,'3월'!$M$11:$M$94)</f>
        <v>0</v>
      </c>
      <c r="G97" s="351">
        <f>SUMIF('4월'!$K$11:$K$94,연간_세부항목별지출!$C97,'4월'!$M$11:$M$94)</f>
        <v>0</v>
      </c>
      <c r="H97" s="351">
        <f>SUMIF('5월'!$K$11:$K$94,연간_세부항목별지출!$C97,'5월'!$M$11:$M$94)</f>
        <v>0</v>
      </c>
      <c r="I97" s="351">
        <f>SUMIF('6월'!$K$11:$K$94,연간_세부항목별지출!$C97,'6월'!$M$11:$M$94)</f>
        <v>0</v>
      </c>
      <c r="J97" s="351">
        <f>SUMIF('7월'!$K$11:$K$94,연간_세부항목별지출!$C97,'7월'!$M$11:$M$94)</f>
        <v>0</v>
      </c>
      <c r="K97" s="351">
        <f>SUMIF('8월'!$K$11:$K$94,연간_세부항목별지출!$C97,'8월'!$M$11:$M$94)</f>
        <v>0</v>
      </c>
      <c r="L97" s="351">
        <f>SUMIF('9월'!$K$11:$K$94,연간_세부항목별지출!$C97,'9월'!$M$11:$M$94)</f>
        <v>0</v>
      </c>
      <c r="M97" s="351">
        <f>SUMIF('10월'!$K$11:$K$94,연간_세부항목별지출!$C97,'10월'!$M$11:$M$94)</f>
        <v>0</v>
      </c>
      <c r="N97" s="351">
        <f>SUMIF('11월'!$K$11:$K$94,연간_세부항목별지출!$C97,'11월'!$M$11:$M$94)</f>
        <v>0</v>
      </c>
      <c r="O97" s="351">
        <f>SUMIF('12월'!$K$11:$K$94,연간_세부항목별지출!$C97,'12월'!$M$11:$M$94)</f>
        <v>0</v>
      </c>
      <c r="P97" s="516">
        <f t="shared" si="2"/>
        <v>0</v>
      </c>
      <c r="Q97" s="516">
        <f t="shared" si="3"/>
        <v>0</v>
      </c>
      <c r="R97" s="517" t="str">
        <f t="shared" si="8"/>
        <v/>
      </c>
    </row>
    <row r="98" spans="2:18" ht="18" customHeight="1" x14ac:dyDescent="0.3">
      <c r="B98" s="595"/>
      <c r="C98" s="419" t="str">
        <f>IF(항목!J5="","",항목!J5)</f>
        <v>헤어샵</v>
      </c>
      <c r="D98" s="346">
        <f>SUMIF('1월'!$K$11:$K$94,연간_세부항목별지출!$C98,'1월'!$M$11:$M$94)</f>
        <v>0</v>
      </c>
      <c r="E98" s="346">
        <f>SUMIF('2월'!$K$11:$K$94,연간_세부항목별지출!$C98,'2월'!$M$11:$M$94)</f>
        <v>0</v>
      </c>
      <c r="F98" s="346">
        <f>SUMIF('3월'!$K$11:$K$94,연간_세부항목별지출!$C98,'3월'!$M$11:$M$94)</f>
        <v>0</v>
      </c>
      <c r="G98" s="346">
        <f>SUMIF('4월'!$K$11:$K$94,연간_세부항목별지출!$C98,'4월'!$M$11:$M$94)</f>
        <v>0</v>
      </c>
      <c r="H98" s="346">
        <f>SUMIF('5월'!$K$11:$K$94,연간_세부항목별지출!$C98,'5월'!$M$11:$M$94)</f>
        <v>0</v>
      </c>
      <c r="I98" s="346">
        <f>SUMIF('6월'!$K$11:$K$94,연간_세부항목별지출!$C98,'6월'!$M$11:$M$94)</f>
        <v>0</v>
      </c>
      <c r="J98" s="346">
        <f>SUMIF('7월'!$K$11:$K$94,연간_세부항목별지출!$C98,'7월'!$M$11:$M$94)</f>
        <v>0</v>
      </c>
      <c r="K98" s="346">
        <f>SUMIF('8월'!$K$11:$K$94,연간_세부항목별지출!$C98,'8월'!$M$11:$M$94)</f>
        <v>0</v>
      </c>
      <c r="L98" s="346">
        <f>SUMIF('9월'!$K$11:$K$94,연간_세부항목별지출!$C98,'9월'!$M$11:$M$94)</f>
        <v>0</v>
      </c>
      <c r="M98" s="346">
        <f>SUMIF('10월'!$K$11:$K$94,연간_세부항목별지출!$C98,'10월'!$M$11:$M$94)</f>
        <v>0</v>
      </c>
      <c r="N98" s="346">
        <f>SUMIF('11월'!$K$11:$K$94,연간_세부항목별지출!$C98,'11월'!$M$11:$M$94)</f>
        <v>0</v>
      </c>
      <c r="O98" s="346">
        <f>SUMIF('12월'!$K$11:$K$94,연간_세부항목별지출!$C98,'12월'!$M$11:$M$94)</f>
        <v>0</v>
      </c>
      <c r="P98" s="413">
        <f t="shared" si="2"/>
        <v>0</v>
      </c>
      <c r="Q98" s="413">
        <f t="shared" si="3"/>
        <v>0</v>
      </c>
      <c r="R98" s="503" t="str">
        <f t="shared" si="8"/>
        <v/>
      </c>
    </row>
    <row r="99" spans="2:18" ht="18" customHeight="1" x14ac:dyDescent="0.3">
      <c r="B99" s="595"/>
      <c r="C99" s="419" t="str">
        <f>IF(항목!J6="","",항목!J6)</f>
        <v>기타 미용</v>
      </c>
      <c r="D99" s="346">
        <f>SUMIF('1월'!$K$11:$K$94,연간_세부항목별지출!$C99,'1월'!$M$11:$M$94)</f>
        <v>0</v>
      </c>
      <c r="E99" s="346">
        <f>SUMIF('2월'!$K$11:$K$94,연간_세부항목별지출!$C99,'2월'!$M$11:$M$94)</f>
        <v>0</v>
      </c>
      <c r="F99" s="346">
        <f>SUMIF('3월'!$K$11:$K$94,연간_세부항목별지출!$C99,'3월'!$M$11:$M$94)</f>
        <v>0</v>
      </c>
      <c r="G99" s="346">
        <f>SUMIF('4월'!$K$11:$K$94,연간_세부항목별지출!$C99,'4월'!$M$11:$M$94)</f>
        <v>0</v>
      </c>
      <c r="H99" s="346">
        <f>SUMIF('5월'!$K$11:$K$94,연간_세부항목별지출!$C99,'5월'!$M$11:$M$94)</f>
        <v>0</v>
      </c>
      <c r="I99" s="346">
        <f>SUMIF('6월'!$K$11:$K$94,연간_세부항목별지출!$C99,'6월'!$M$11:$M$94)</f>
        <v>0</v>
      </c>
      <c r="J99" s="346">
        <f>SUMIF('7월'!$K$11:$K$94,연간_세부항목별지출!$C99,'7월'!$M$11:$M$94)</f>
        <v>0</v>
      </c>
      <c r="K99" s="346">
        <f>SUMIF('8월'!$K$11:$K$94,연간_세부항목별지출!$C99,'8월'!$M$11:$M$94)</f>
        <v>0</v>
      </c>
      <c r="L99" s="346">
        <f>SUMIF('9월'!$K$11:$K$94,연간_세부항목별지출!$C99,'9월'!$M$11:$M$94)</f>
        <v>0</v>
      </c>
      <c r="M99" s="346">
        <f>SUMIF('10월'!$K$11:$K$94,연간_세부항목별지출!$C99,'10월'!$M$11:$M$94)</f>
        <v>0</v>
      </c>
      <c r="N99" s="346">
        <f>SUMIF('11월'!$K$11:$K$94,연간_세부항목별지출!$C99,'11월'!$M$11:$M$94)</f>
        <v>0</v>
      </c>
      <c r="O99" s="346">
        <f>SUMIF('12월'!$K$11:$K$94,연간_세부항목별지출!$C99,'12월'!$M$11:$M$94)</f>
        <v>0</v>
      </c>
      <c r="P99" s="413">
        <f t="shared" si="2"/>
        <v>0</v>
      </c>
      <c r="Q99" s="413">
        <f t="shared" si="3"/>
        <v>0</v>
      </c>
      <c r="R99" s="503" t="str">
        <f t="shared" si="8"/>
        <v/>
      </c>
    </row>
    <row r="100" spans="2:18" ht="18" customHeight="1" x14ac:dyDescent="0.3">
      <c r="B100" s="595"/>
      <c r="C100" s="419" t="str">
        <f>IF(항목!J7="","",항목!J7)</f>
        <v/>
      </c>
      <c r="D100" s="346">
        <f>SUMIF('1월'!$K$11:$K$94,연간_세부항목별지출!$C100,'1월'!$M$11:$M$94)</f>
        <v>0</v>
      </c>
      <c r="E100" s="346">
        <f>SUMIF('2월'!$K$11:$K$94,연간_세부항목별지출!$C100,'2월'!$M$11:$M$94)</f>
        <v>0</v>
      </c>
      <c r="F100" s="346">
        <f>SUMIF('3월'!$K$11:$K$94,연간_세부항목별지출!$C100,'3월'!$M$11:$M$94)</f>
        <v>0</v>
      </c>
      <c r="G100" s="346">
        <f>SUMIF('4월'!$K$11:$K$94,연간_세부항목별지출!$C100,'4월'!$M$11:$M$94)</f>
        <v>0</v>
      </c>
      <c r="H100" s="346">
        <f>SUMIF('5월'!$K$11:$K$94,연간_세부항목별지출!$C100,'5월'!$M$11:$M$94)</f>
        <v>0</v>
      </c>
      <c r="I100" s="346">
        <f>SUMIF('6월'!$K$11:$K$94,연간_세부항목별지출!$C100,'6월'!$M$11:$M$94)</f>
        <v>0</v>
      </c>
      <c r="J100" s="346">
        <f>SUMIF('7월'!$K$11:$K$94,연간_세부항목별지출!$C100,'7월'!$M$11:$M$94)</f>
        <v>0</v>
      </c>
      <c r="K100" s="346">
        <f>SUMIF('8월'!$K$11:$K$94,연간_세부항목별지출!$C100,'8월'!$M$11:$M$94)</f>
        <v>0</v>
      </c>
      <c r="L100" s="346">
        <f>SUMIF('9월'!$K$11:$K$94,연간_세부항목별지출!$C100,'9월'!$M$11:$M$94)</f>
        <v>0</v>
      </c>
      <c r="M100" s="346">
        <f>SUMIF('10월'!$K$11:$K$94,연간_세부항목별지출!$C100,'10월'!$M$11:$M$94)</f>
        <v>0</v>
      </c>
      <c r="N100" s="346">
        <f>SUMIF('11월'!$K$11:$K$94,연간_세부항목별지출!$C100,'11월'!$M$11:$M$94)</f>
        <v>0</v>
      </c>
      <c r="O100" s="346">
        <f>SUMIF('12월'!$K$11:$K$94,연간_세부항목별지출!$C100,'12월'!$M$11:$M$94)</f>
        <v>0</v>
      </c>
      <c r="P100" s="413">
        <f t="shared" si="2"/>
        <v>0</v>
      </c>
      <c r="Q100" s="413">
        <f t="shared" si="3"/>
        <v>0</v>
      </c>
      <c r="R100" s="503" t="str">
        <f t="shared" si="8"/>
        <v/>
      </c>
    </row>
    <row r="101" spans="2:18" ht="18" customHeight="1" x14ac:dyDescent="0.3">
      <c r="B101" s="595"/>
      <c r="C101" s="419" t="str">
        <f>IF(항목!J8="","",항목!J8)</f>
        <v/>
      </c>
      <c r="D101" s="346">
        <f>SUMIF('1월'!$K$11:$K$94,연간_세부항목별지출!$C101,'1월'!$M$11:$M$94)</f>
        <v>0</v>
      </c>
      <c r="E101" s="346">
        <f>SUMIF('2월'!$K$11:$K$94,연간_세부항목별지출!$C101,'2월'!$M$11:$M$94)</f>
        <v>0</v>
      </c>
      <c r="F101" s="346">
        <f>SUMIF('3월'!$K$11:$K$94,연간_세부항목별지출!$C101,'3월'!$M$11:$M$94)</f>
        <v>0</v>
      </c>
      <c r="G101" s="346">
        <f>SUMIF('4월'!$K$11:$K$94,연간_세부항목별지출!$C101,'4월'!$M$11:$M$94)</f>
        <v>0</v>
      </c>
      <c r="H101" s="346">
        <f>SUMIF('5월'!$K$11:$K$94,연간_세부항목별지출!$C101,'5월'!$M$11:$M$94)</f>
        <v>0</v>
      </c>
      <c r="I101" s="346">
        <f>SUMIF('6월'!$K$11:$K$94,연간_세부항목별지출!$C101,'6월'!$M$11:$M$94)</f>
        <v>0</v>
      </c>
      <c r="J101" s="346">
        <f>SUMIF('7월'!$K$11:$K$94,연간_세부항목별지출!$C101,'7월'!$M$11:$M$94)</f>
        <v>0</v>
      </c>
      <c r="K101" s="346">
        <f>SUMIF('8월'!$K$11:$K$94,연간_세부항목별지출!$C101,'8월'!$M$11:$M$94)</f>
        <v>0</v>
      </c>
      <c r="L101" s="346">
        <f>SUMIF('9월'!$K$11:$K$94,연간_세부항목별지출!$C101,'9월'!$M$11:$M$94)</f>
        <v>0</v>
      </c>
      <c r="M101" s="346">
        <f>SUMIF('10월'!$K$11:$K$94,연간_세부항목별지출!$C101,'10월'!$M$11:$M$94)</f>
        <v>0</v>
      </c>
      <c r="N101" s="346">
        <f>SUMIF('11월'!$K$11:$K$94,연간_세부항목별지출!$C101,'11월'!$M$11:$M$94)</f>
        <v>0</v>
      </c>
      <c r="O101" s="346">
        <f>SUMIF('12월'!$K$11:$K$94,연간_세부항목별지출!$C101,'12월'!$M$11:$M$94)</f>
        <v>0</v>
      </c>
      <c r="P101" s="413">
        <f t="shared" si="2"/>
        <v>0</v>
      </c>
      <c r="Q101" s="413">
        <f t="shared" si="3"/>
        <v>0</v>
      </c>
      <c r="R101" s="503" t="str">
        <f t="shared" si="8"/>
        <v/>
      </c>
    </row>
    <row r="102" spans="2:18" ht="18" customHeight="1" x14ac:dyDescent="0.3">
      <c r="B102" s="595"/>
      <c r="C102" s="419" t="str">
        <f>IF(항목!J9="","",항목!J9)</f>
        <v/>
      </c>
      <c r="D102" s="346">
        <f>SUMIF('1월'!$K$11:$K$94,연간_세부항목별지출!$C102,'1월'!$M$11:$M$94)</f>
        <v>0</v>
      </c>
      <c r="E102" s="346">
        <f>SUMIF('2월'!$K$11:$K$94,연간_세부항목별지출!$C102,'2월'!$M$11:$M$94)</f>
        <v>0</v>
      </c>
      <c r="F102" s="346">
        <f>SUMIF('3월'!$K$11:$K$94,연간_세부항목별지출!$C102,'3월'!$M$11:$M$94)</f>
        <v>0</v>
      </c>
      <c r="G102" s="346">
        <f>SUMIF('4월'!$K$11:$K$94,연간_세부항목별지출!$C102,'4월'!$M$11:$M$94)</f>
        <v>0</v>
      </c>
      <c r="H102" s="346">
        <f>SUMIF('5월'!$K$11:$K$94,연간_세부항목별지출!$C102,'5월'!$M$11:$M$94)</f>
        <v>0</v>
      </c>
      <c r="I102" s="346">
        <f>SUMIF('6월'!$K$11:$K$94,연간_세부항목별지출!$C102,'6월'!$M$11:$M$94)</f>
        <v>0</v>
      </c>
      <c r="J102" s="346">
        <f>SUMIF('7월'!$K$11:$K$94,연간_세부항목별지출!$C102,'7월'!$M$11:$M$94)</f>
        <v>0</v>
      </c>
      <c r="K102" s="346">
        <f>SUMIF('8월'!$K$11:$K$94,연간_세부항목별지출!$C102,'8월'!$M$11:$M$94)</f>
        <v>0</v>
      </c>
      <c r="L102" s="346">
        <f>SUMIF('9월'!$K$11:$K$94,연간_세부항목별지출!$C102,'9월'!$M$11:$M$94)</f>
        <v>0</v>
      </c>
      <c r="M102" s="346">
        <f>SUMIF('10월'!$K$11:$K$94,연간_세부항목별지출!$C102,'10월'!$M$11:$M$94)</f>
        <v>0</v>
      </c>
      <c r="N102" s="346">
        <f>SUMIF('11월'!$K$11:$K$94,연간_세부항목별지출!$C102,'11월'!$M$11:$M$94)</f>
        <v>0</v>
      </c>
      <c r="O102" s="346">
        <f>SUMIF('12월'!$K$11:$K$94,연간_세부항목별지출!$C102,'12월'!$M$11:$M$94)</f>
        <v>0</v>
      </c>
      <c r="P102" s="413">
        <f t="shared" si="2"/>
        <v>0</v>
      </c>
      <c r="Q102" s="413">
        <f t="shared" si="3"/>
        <v>0</v>
      </c>
      <c r="R102" s="503" t="str">
        <f t="shared" si="8"/>
        <v/>
      </c>
    </row>
    <row r="103" spans="2:18" ht="18" customHeight="1" x14ac:dyDescent="0.3">
      <c r="B103" s="595"/>
      <c r="C103" s="419" t="str">
        <f>IF(항목!J10="","",항목!J10)</f>
        <v/>
      </c>
      <c r="D103" s="346">
        <f>SUMIF('1월'!$K$11:$K$94,연간_세부항목별지출!$C103,'1월'!$M$11:$M$94)</f>
        <v>0</v>
      </c>
      <c r="E103" s="346">
        <f>SUMIF('2월'!$K$11:$K$94,연간_세부항목별지출!$C103,'2월'!$M$11:$M$94)</f>
        <v>0</v>
      </c>
      <c r="F103" s="346">
        <f>SUMIF('3월'!$K$11:$K$94,연간_세부항목별지출!$C103,'3월'!$M$11:$M$94)</f>
        <v>0</v>
      </c>
      <c r="G103" s="346">
        <f>SUMIF('4월'!$K$11:$K$94,연간_세부항목별지출!$C103,'4월'!$M$11:$M$94)</f>
        <v>0</v>
      </c>
      <c r="H103" s="346">
        <f>SUMIF('5월'!$K$11:$K$94,연간_세부항목별지출!$C103,'5월'!$M$11:$M$94)</f>
        <v>0</v>
      </c>
      <c r="I103" s="346">
        <f>SUMIF('6월'!$K$11:$K$94,연간_세부항목별지출!$C103,'6월'!$M$11:$M$94)</f>
        <v>0</v>
      </c>
      <c r="J103" s="346">
        <f>SUMIF('7월'!$K$11:$K$94,연간_세부항목별지출!$C103,'7월'!$M$11:$M$94)</f>
        <v>0</v>
      </c>
      <c r="K103" s="346">
        <f>SUMIF('8월'!$K$11:$K$94,연간_세부항목별지출!$C103,'8월'!$M$11:$M$94)</f>
        <v>0</v>
      </c>
      <c r="L103" s="346">
        <f>SUMIF('9월'!$K$11:$K$94,연간_세부항목별지출!$C103,'9월'!$M$11:$M$94)</f>
        <v>0</v>
      </c>
      <c r="M103" s="346">
        <f>SUMIF('10월'!$K$11:$K$94,연간_세부항목별지출!$C103,'10월'!$M$11:$M$94)</f>
        <v>0</v>
      </c>
      <c r="N103" s="346">
        <f>SUMIF('11월'!$K$11:$K$94,연간_세부항목별지출!$C103,'11월'!$M$11:$M$94)</f>
        <v>0</v>
      </c>
      <c r="O103" s="346">
        <f>SUMIF('12월'!$K$11:$K$94,연간_세부항목별지출!$C103,'12월'!$M$11:$M$94)</f>
        <v>0</v>
      </c>
      <c r="P103" s="413">
        <f t="shared" si="2"/>
        <v>0</v>
      </c>
      <c r="Q103" s="413">
        <f t="shared" si="3"/>
        <v>0</v>
      </c>
      <c r="R103" s="503" t="str">
        <f t="shared" si="8"/>
        <v/>
      </c>
    </row>
    <row r="104" spans="2:18" ht="18" customHeight="1" x14ac:dyDescent="0.3">
      <c r="B104" s="595"/>
      <c r="C104" s="419" t="str">
        <f>IF(항목!J11="","",항목!J11)</f>
        <v/>
      </c>
      <c r="D104" s="346">
        <f>SUMIF('1월'!$K$11:$K$94,연간_세부항목별지출!$C104,'1월'!$M$11:$M$94)</f>
        <v>0</v>
      </c>
      <c r="E104" s="346">
        <f>SUMIF('2월'!$K$11:$K$94,연간_세부항목별지출!$C104,'2월'!$M$11:$M$94)</f>
        <v>0</v>
      </c>
      <c r="F104" s="346">
        <f>SUMIF('3월'!$K$11:$K$94,연간_세부항목별지출!$C104,'3월'!$M$11:$M$94)</f>
        <v>0</v>
      </c>
      <c r="G104" s="346">
        <f>SUMIF('4월'!$K$11:$K$94,연간_세부항목별지출!$C104,'4월'!$M$11:$M$94)</f>
        <v>0</v>
      </c>
      <c r="H104" s="346">
        <f>SUMIF('5월'!$K$11:$K$94,연간_세부항목별지출!$C104,'5월'!$M$11:$M$94)</f>
        <v>0</v>
      </c>
      <c r="I104" s="346">
        <f>SUMIF('6월'!$K$11:$K$94,연간_세부항목별지출!$C104,'6월'!$M$11:$M$94)</f>
        <v>0</v>
      </c>
      <c r="J104" s="346">
        <f>SUMIF('7월'!$K$11:$K$94,연간_세부항목별지출!$C104,'7월'!$M$11:$M$94)</f>
        <v>0</v>
      </c>
      <c r="K104" s="346">
        <f>SUMIF('8월'!$K$11:$K$94,연간_세부항목별지출!$C104,'8월'!$M$11:$M$94)</f>
        <v>0</v>
      </c>
      <c r="L104" s="346">
        <f>SUMIF('9월'!$K$11:$K$94,연간_세부항목별지출!$C104,'9월'!$M$11:$M$94)</f>
        <v>0</v>
      </c>
      <c r="M104" s="346">
        <f>SUMIF('10월'!$K$11:$K$94,연간_세부항목별지출!$C104,'10월'!$M$11:$M$94)</f>
        <v>0</v>
      </c>
      <c r="N104" s="346">
        <f>SUMIF('11월'!$K$11:$K$94,연간_세부항목별지출!$C104,'11월'!$M$11:$M$94)</f>
        <v>0</v>
      </c>
      <c r="O104" s="346">
        <f>SUMIF('12월'!$K$11:$K$94,연간_세부항목별지출!$C104,'12월'!$M$11:$M$94)</f>
        <v>0</v>
      </c>
      <c r="P104" s="413">
        <f t="shared" si="2"/>
        <v>0</v>
      </c>
      <c r="Q104" s="413">
        <f t="shared" si="3"/>
        <v>0</v>
      </c>
      <c r="R104" s="503" t="str">
        <f t="shared" si="8"/>
        <v/>
      </c>
    </row>
    <row r="105" spans="2:18" ht="18" customHeight="1" x14ac:dyDescent="0.3">
      <c r="B105" s="595"/>
      <c r="C105" s="419" t="str">
        <f>IF(항목!J12="","",항목!J12)</f>
        <v/>
      </c>
      <c r="D105" s="346">
        <f>SUMIF('1월'!$K$11:$K$94,연간_세부항목별지출!$C105,'1월'!$M$11:$M$94)</f>
        <v>0</v>
      </c>
      <c r="E105" s="346">
        <f>SUMIF('2월'!$K$11:$K$94,연간_세부항목별지출!$C105,'2월'!$M$11:$M$94)</f>
        <v>0</v>
      </c>
      <c r="F105" s="346">
        <f>SUMIF('3월'!$K$11:$K$94,연간_세부항목별지출!$C105,'3월'!$M$11:$M$94)</f>
        <v>0</v>
      </c>
      <c r="G105" s="346">
        <f>SUMIF('4월'!$K$11:$K$94,연간_세부항목별지출!$C105,'4월'!$M$11:$M$94)</f>
        <v>0</v>
      </c>
      <c r="H105" s="346">
        <f>SUMIF('5월'!$K$11:$K$94,연간_세부항목별지출!$C105,'5월'!$M$11:$M$94)</f>
        <v>0</v>
      </c>
      <c r="I105" s="346">
        <f>SUMIF('6월'!$K$11:$K$94,연간_세부항목별지출!$C105,'6월'!$M$11:$M$94)</f>
        <v>0</v>
      </c>
      <c r="J105" s="346">
        <f>SUMIF('7월'!$K$11:$K$94,연간_세부항목별지출!$C105,'7월'!$M$11:$M$94)</f>
        <v>0</v>
      </c>
      <c r="K105" s="346">
        <f>SUMIF('8월'!$K$11:$K$94,연간_세부항목별지출!$C105,'8월'!$M$11:$M$94)</f>
        <v>0</v>
      </c>
      <c r="L105" s="346">
        <f>SUMIF('9월'!$K$11:$K$94,연간_세부항목별지출!$C105,'9월'!$M$11:$M$94)</f>
        <v>0</v>
      </c>
      <c r="M105" s="346">
        <f>SUMIF('10월'!$K$11:$K$94,연간_세부항목별지출!$C105,'10월'!$M$11:$M$94)</f>
        <v>0</v>
      </c>
      <c r="N105" s="346">
        <f>SUMIF('11월'!$K$11:$K$94,연간_세부항목별지출!$C105,'11월'!$M$11:$M$94)</f>
        <v>0</v>
      </c>
      <c r="O105" s="346">
        <f>SUMIF('12월'!$K$11:$K$94,연간_세부항목별지출!$C105,'12월'!$M$11:$M$94)</f>
        <v>0</v>
      </c>
      <c r="P105" s="413">
        <f t="shared" si="2"/>
        <v>0</v>
      </c>
      <c r="Q105" s="413">
        <f t="shared" si="3"/>
        <v>0</v>
      </c>
      <c r="R105" s="503" t="str">
        <f t="shared" si="8"/>
        <v/>
      </c>
    </row>
    <row r="106" spans="2:18" ht="18" customHeight="1" x14ac:dyDescent="0.3">
      <c r="B106" s="595"/>
      <c r="C106" s="419" t="str">
        <f>IF(항목!J13="","",항목!J13)</f>
        <v/>
      </c>
      <c r="D106" s="346">
        <f>SUMIF('1월'!$K$11:$K$94,연간_세부항목별지출!$C106,'1월'!$M$11:$M$94)</f>
        <v>0</v>
      </c>
      <c r="E106" s="346">
        <f>SUMIF('2월'!$K$11:$K$94,연간_세부항목별지출!$C106,'2월'!$M$11:$M$94)</f>
        <v>0</v>
      </c>
      <c r="F106" s="346">
        <f>SUMIF('3월'!$K$11:$K$94,연간_세부항목별지출!$C106,'3월'!$M$11:$M$94)</f>
        <v>0</v>
      </c>
      <c r="G106" s="346">
        <f>SUMIF('4월'!$K$11:$K$94,연간_세부항목별지출!$C106,'4월'!$M$11:$M$94)</f>
        <v>0</v>
      </c>
      <c r="H106" s="346">
        <f>SUMIF('5월'!$K$11:$K$94,연간_세부항목별지출!$C106,'5월'!$M$11:$M$94)</f>
        <v>0</v>
      </c>
      <c r="I106" s="346">
        <f>SUMIF('6월'!$K$11:$K$94,연간_세부항목별지출!$C106,'6월'!$M$11:$M$94)</f>
        <v>0</v>
      </c>
      <c r="J106" s="346">
        <f>SUMIF('7월'!$K$11:$K$94,연간_세부항목별지출!$C106,'7월'!$M$11:$M$94)</f>
        <v>0</v>
      </c>
      <c r="K106" s="346">
        <f>SUMIF('8월'!$K$11:$K$94,연간_세부항목별지출!$C106,'8월'!$M$11:$M$94)</f>
        <v>0</v>
      </c>
      <c r="L106" s="346">
        <f>SUMIF('9월'!$K$11:$K$94,연간_세부항목별지출!$C106,'9월'!$M$11:$M$94)</f>
        <v>0</v>
      </c>
      <c r="M106" s="346">
        <f>SUMIF('10월'!$K$11:$K$94,연간_세부항목별지출!$C106,'10월'!$M$11:$M$94)</f>
        <v>0</v>
      </c>
      <c r="N106" s="346">
        <f>SUMIF('11월'!$K$11:$K$94,연간_세부항목별지출!$C106,'11월'!$M$11:$M$94)</f>
        <v>0</v>
      </c>
      <c r="O106" s="346">
        <f>SUMIF('12월'!$K$11:$K$94,연간_세부항목별지출!$C106,'12월'!$M$11:$M$94)</f>
        <v>0</v>
      </c>
      <c r="P106" s="413">
        <f t="shared" si="2"/>
        <v>0</v>
      </c>
      <c r="Q106" s="413">
        <f t="shared" si="3"/>
        <v>0</v>
      </c>
      <c r="R106" s="503" t="str">
        <f t="shared" si="8"/>
        <v/>
      </c>
    </row>
    <row r="107" spans="2:18" ht="18" customHeight="1" x14ac:dyDescent="0.3">
      <c r="B107" s="595"/>
      <c r="C107" s="419" t="str">
        <f>IF(항목!J14="","",항목!J14)</f>
        <v/>
      </c>
      <c r="D107" s="346">
        <f>SUMIF('1월'!$K$11:$K$94,연간_세부항목별지출!$C107,'1월'!$M$11:$M$94)</f>
        <v>0</v>
      </c>
      <c r="E107" s="346">
        <f>SUMIF('2월'!$K$11:$K$94,연간_세부항목별지출!$C107,'2월'!$M$11:$M$94)</f>
        <v>0</v>
      </c>
      <c r="F107" s="346">
        <f>SUMIF('3월'!$K$11:$K$94,연간_세부항목별지출!$C107,'3월'!$M$11:$M$94)</f>
        <v>0</v>
      </c>
      <c r="G107" s="346">
        <f>SUMIF('4월'!$K$11:$K$94,연간_세부항목별지출!$C107,'4월'!$M$11:$M$94)</f>
        <v>0</v>
      </c>
      <c r="H107" s="346">
        <f>SUMIF('5월'!$K$11:$K$94,연간_세부항목별지출!$C107,'5월'!$M$11:$M$94)</f>
        <v>0</v>
      </c>
      <c r="I107" s="346">
        <f>SUMIF('6월'!$K$11:$K$94,연간_세부항목별지출!$C107,'6월'!$M$11:$M$94)</f>
        <v>0</v>
      </c>
      <c r="J107" s="346">
        <f>SUMIF('7월'!$K$11:$K$94,연간_세부항목별지출!$C107,'7월'!$M$11:$M$94)</f>
        <v>0</v>
      </c>
      <c r="K107" s="346">
        <f>SUMIF('8월'!$K$11:$K$94,연간_세부항목별지출!$C107,'8월'!$M$11:$M$94)</f>
        <v>0</v>
      </c>
      <c r="L107" s="346">
        <f>SUMIF('9월'!$K$11:$K$94,연간_세부항목별지출!$C107,'9월'!$M$11:$M$94)</f>
        <v>0</v>
      </c>
      <c r="M107" s="346">
        <f>SUMIF('10월'!$K$11:$K$94,연간_세부항목별지출!$C107,'10월'!$M$11:$M$94)</f>
        <v>0</v>
      </c>
      <c r="N107" s="346">
        <f>SUMIF('11월'!$K$11:$K$94,연간_세부항목별지출!$C107,'11월'!$M$11:$M$94)</f>
        <v>0</v>
      </c>
      <c r="O107" s="346">
        <f>SUMIF('12월'!$K$11:$K$94,연간_세부항목별지출!$C107,'12월'!$M$11:$M$94)</f>
        <v>0</v>
      </c>
      <c r="P107" s="413">
        <f t="shared" si="2"/>
        <v>0</v>
      </c>
      <c r="Q107" s="413">
        <f t="shared" si="3"/>
        <v>0</v>
      </c>
      <c r="R107" s="503" t="str">
        <f t="shared" si="8"/>
        <v/>
      </c>
    </row>
    <row r="108" spans="2:18" ht="18" customHeight="1" x14ac:dyDescent="0.3">
      <c r="B108" s="595"/>
      <c r="C108" s="419" t="str">
        <f>IF(항목!J15="","",항목!J15)</f>
        <v/>
      </c>
      <c r="D108" s="346">
        <f>SUMIF('1월'!$K$11:$K$94,연간_세부항목별지출!$C108,'1월'!$M$11:$M$94)</f>
        <v>0</v>
      </c>
      <c r="E108" s="346">
        <f>SUMIF('2월'!$K$11:$K$94,연간_세부항목별지출!$C108,'2월'!$M$11:$M$94)</f>
        <v>0</v>
      </c>
      <c r="F108" s="346">
        <f>SUMIF('3월'!$K$11:$K$94,연간_세부항목별지출!$C108,'3월'!$M$11:$M$94)</f>
        <v>0</v>
      </c>
      <c r="G108" s="346">
        <f>SUMIF('4월'!$K$11:$K$94,연간_세부항목별지출!$C108,'4월'!$M$11:$M$94)</f>
        <v>0</v>
      </c>
      <c r="H108" s="346">
        <f>SUMIF('5월'!$K$11:$K$94,연간_세부항목별지출!$C108,'5월'!$M$11:$M$94)</f>
        <v>0</v>
      </c>
      <c r="I108" s="346">
        <f>SUMIF('6월'!$K$11:$K$94,연간_세부항목별지출!$C108,'6월'!$M$11:$M$94)</f>
        <v>0</v>
      </c>
      <c r="J108" s="346">
        <f>SUMIF('7월'!$K$11:$K$94,연간_세부항목별지출!$C108,'7월'!$M$11:$M$94)</f>
        <v>0</v>
      </c>
      <c r="K108" s="346">
        <f>SUMIF('8월'!$K$11:$K$94,연간_세부항목별지출!$C108,'8월'!$M$11:$M$94)</f>
        <v>0</v>
      </c>
      <c r="L108" s="346">
        <f>SUMIF('9월'!$K$11:$K$94,연간_세부항목별지출!$C108,'9월'!$M$11:$M$94)</f>
        <v>0</v>
      </c>
      <c r="M108" s="346">
        <f>SUMIF('10월'!$K$11:$K$94,연간_세부항목별지출!$C108,'10월'!$M$11:$M$94)</f>
        <v>0</v>
      </c>
      <c r="N108" s="346">
        <f>SUMIF('11월'!$K$11:$K$94,연간_세부항목별지출!$C108,'11월'!$M$11:$M$94)</f>
        <v>0</v>
      </c>
      <c r="O108" s="346">
        <f>SUMIF('12월'!$K$11:$K$94,연간_세부항목별지출!$C108,'12월'!$M$11:$M$94)</f>
        <v>0</v>
      </c>
      <c r="P108" s="413">
        <f t="shared" si="2"/>
        <v>0</v>
      </c>
      <c r="Q108" s="413">
        <f t="shared" si="3"/>
        <v>0</v>
      </c>
      <c r="R108" s="503" t="str">
        <f t="shared" si="8"/>
        <v/>
      </c>
    </row>
    <row r="109" spans="2:18" ht="18" customHeight="1" x14ac:dyDescent="0.3">
      <c r="B109" s="595"/>
      <c r="C109" s="419" t="str">
        <f>IF(항목!J16="","",항목!J16)</f>
        <v/>
      </c>
      <c r="D109" s="346">
        <f>SUMIF('1월'!$K$11:$K$94,연간_세부항목별지출!$C109,'1월'!$M$11:$M$94)</f>
        <v>0</v>
      </c>
      <c r="E109" s="346">
        <f>SUMIF('2월'!$K$11:$K$94,연간_세부항목별지출!$C109,'2월'!$M$11:$M$94)</f>
        <v>0</v>
      </c>
      <c r="F109" s="346">
        <f>SUMIF('3월'!$K$11:$K$94,연간_세부항목별지출!$C109,'3월'!$M$11:$M$94)</f>
        <v>0</v>
      </c>
      <c r="G109" s="346">
        <f>SUMIF('4월'!$K$11:$K$94,연간_세부항목별지출!$C109,'4월'!$M$11:$M$94)</f>
        <v>0</v>
      </c>
      <c r="H109" s="346">
        <f>SUMIF('5월'!$K$11:$K$94,연간_세부항목별지출!$C109,'5월'!$M$11:$M$94)</f>
        <v>0</v>
      </c>
      <c r="I109" s="346">
        <f>SUMIF('6월'!$K$11:$K$94,연간_세부항목별지출!$C109,'6월'!$M$11:$M$94)</f>
        <v>0</v>
      </c>
      <c r="J109" s="346">
        <f>SUMIF('7월'!$K$11:$K$94,연간_세부항목별지출!$C109,'7월'!$M$11:$M$94)</f>
        <v>0</v>
      </c>
      <c r="K109" s="346">
        <f>SUMIF('8월'!$K$11:$K$94,연간_세부항목별지출!$C109,'8월'!$M$11:$M$94)</f>
        <v>0</v>
      </c>
      <c r="L109" s="346">
        <f>SUMIF('9월'!$K$11:$K$94,연간_세부항목별지출!$C109,'9월'!$M$11:$M$94)</f>
        <v>0</v>
      </c>
      <c r="M109" s="346">
        <f>SUMIF('10월'!$K$11:$K$94,연간_세부항목별지출!$C109,'10월'!$M$11:$M$94)</f>
        <v>0</v>
      </c>
      <c r="N109" s="346">
        <f>SUMIF('11월'!$K$11:$K$94,연간_세부항목별지출!$C109,'11월'!$M$11:$M$94)</f>
        <v>0</v>
      </c>
      <c r="O109" s="346">
        <f>SUMIF('12월'!$K$11:$K$94,연간_세부항목별지출!$C109,'12월'!$M$11:$M$94)</f>
        <v>0</v>
      </c>
      <c r="P109" s="413">
        <f t="shared" si="2"/>
        <v>0</v>
      </c>
      <c r="Q109" s="413">
        <f t="shared" si="3"/>
        <v>0</v>
      </c>
      <c r="R109" s="503" t="str">
        <f t="shared" si="8"/>
        <v/>
      </c>
    </row>
    <row r="110" spans="2:18" ht="18" customHeight="1" x14ac:dyDescent="0.3">
      <c r="B110" s="595"/>
      <c r="C110" s="419" t="str">
        <f>IF(항목!J17="","",항목!J17)</f>
        <v/>
      </c>
      <c r="D110" s="346">
        <f>SUMIF('1월'!$K$11:$K$94,연간_세부항목별지출!$C110,'1월'!$M$11:$M$94)</f>
        <v>0</v>
      </c>
      <c r="E110" s="346">
        <f>SUMIF('2월'!$K$11:$K$94,연간_세부항목별지출!$C110,'2월'!$M$11:$M$94)</f>
        <v>0</v>
      </c>
      <c r="F110" s="346">
        <f>SUMIF('3월'!$K$11:$K$94,연간_세부항목별지출!$C110,'3월'!$M$11:$M$94)</f>
        <v>0</v>
      </c>
      <c r="G110" s="346">
        <f>SUMIF('4월'!$K$11:$K$94,연간_세부항목별지출!$C110,'4월'!$M$11:$M$94)</f>
        <v>0</v>
      </c>
      <c r="H110" s="346">
        <f>SUMIF('5월'!$K$11:$K$94,연간_세부항목별지출!$C110,'5월'!$M$11:$M$94)</f>
        <v>0</v>
      </c>
      <c r="I110" s="346">
        <f>SUMIF('6월'!$K$11:$K$94,연간_세부항목별지출!$C110,'6월'!$M$11:$M$94)</f>
        <v>0</v>
      </c>
      <c r="J110" s="346">
        <f>SUMIF('7월'!$K$11:$K$94,연간_세부항목별지출!$C110,'7월'!$M$11:$M$94)</f>
        <v>0</v>
      </c>
      <c r="K110" s="346">
        <f>SUMIF('8월'!$K$11:$K$94,연간_세부항목별지출!$C110,'8월'!$M$11:$M$94)</f>
        <v>0</v>
      </c>
      <c r="L110" s="346">
        <f>SUMIF('9월'!$K$11:$K$94,연간_세부항목별지출!$C110,'9월'!$M$11:$M$94)</f>
        <v>0</v>
      </c>
      <c r="M110" s="346">
        <f>SUMIF('10월'!$K$11:$K$94,연간_세부항목별지출!$C110,'10월'!$M$11:$M$94)</f>
        <v>0</v>
      </c>
      <c r="N110" s="346">
        <f>SUMIF('11월'!$K$11:$K$94,연간_세부항목별지출!$C110,'11월'!$M$11:$M$94)</f>
        <v>0</v>
      </c>
      <c r="O110" s="346">
        <f>SUMIF('12월'!$K$11:$K$94,연간_세부항목별지출!$C110,'12월'!$M$11:$M$94)</f>
        <v>0</v>
      </c>
      <c r="P110" s="413">
        <f t="shared" si="2"/>
        <v>0</v>
      </c>
      <c r="Q110" s="413">
        <f t="shared" si="3"/>
        <v>0</v>
      </c>
      <c r="R110" s="503" t="str">
        <f t="shared" si="8"/>
        <v/>
      </c>
    </row>
    <row r="111" spans="2:18" ht="18" customHeight="1" thickBot="1" x14ac:dyDescent="0.35">
      <c r="B111" s="596"/>
      <c r="C111" s="514" t="str">
        <f>IF(항목!J18="","",항목!J18)</f>
        <v/>
      </c>
      <c r="D111" s="515">
        <f>SUMIF('1월'!$K$11:$K$94,연간_세부항목별지출!$C111,'1월'!$M$11:$M$94)</f>
        <v>0</v>
      </c>
      <c r="E111" s="515">
        <f>SUMIF('2월'!$K$11:$K$94,연간_세부항목별지출!$C111,'2월'!$M$11:$M$94)</f>
        <v>0</v>
      </c>
      <c r="F111" s="515">
        <f>SUMIF('3월'!$K$11:$K$94,연간_세부항목별지출!$C111,'3월'!$M$11:$M$94)</f>
        <v>0</v>
      </c>
      <c r="G111" s="515">
        <f>SUMIF('4월'!$K$11:$K$94,연간_세부항목별지출!$C111,'4월'!$M$11:$M$94)</f>
        <v>0</v>
      </c>
      <c r="H111" s="515">
        <f>SUMIF('5월'!$K$11:$K$94,연간_세부항목별지출!$C111,'5월'!$M$11:$M$94)</f>
        <v>0</v>
      </c>
      <c r="I111" s="515">
        <f>SUMIF('6월'!$K$11:$K$94,연간_세부항목별지출!$C111,'6월'!$M$11:$M$94)</f>
        <v>0</v>
      </c>
      <c r="J111" s="515">
        <f>SUMIF('7월'!$K$11:$K$94,연간_세부항목별지출!$C111,'7월'!$M$11:$M$94)</f>
        <v>0</v>
      </c>
      <c r="K111" s="515">
        <f>SUMIF('8월'!$K$11:$K$94,연간_세부항목별지출!$C111,'8월'!$M$11:$M$94)</f>
        <v>0</v>
      </c>
      <c r="L111" s="515">
        <f>SUMIF('9월'!$K$11:$K$94,연간_세부항목별지출!$C111,'9월'!$M$11:$M$94)</f>
        <v>0</v>
      </c>
      <c r="M111" s="515">
        <f>SUMIF('10월'!$K$11:$K$94,연간_세부항목별지출!$C111,'10월'!$M$11:$M$94)</f>
        <v>0</v>
      </c>
      <c r="N111" s="515">
        <f>SUMIF('11월'!$K$11:$K$94,연간_세부항목별지출!$C111,'11월'!$M$11:$M$94)</f>
        <v>0</v>
      </c>
      <c r="O111" s="515">
        <f>SUMIF('12월'!$K$11:$K$94,연간_세부항목별지출!$C111,'12월'!$M$11:$M$94)</f>
        <v>0</v>
      </c>
      <c r="P111" s="422">
        <f t="shared" si="2"/>
        <v>0</v>
      </c>
      <c r="Q111" s="422">
        <f t="shared" si="3"/>
        <v>0</v>
      </c>
      <c r="R111" s="506" t="str">
        <f t="shared" si="8"/>
        <v/>
      </c>
    </row>
    <row r="112" spans="2:18" ht="18" customHeight="1" x14ac:dyDescent="0.3">
      <c r="B112" s="594" t="str">
        <f>항목!K3</f>
        <v>교육계발비</v>
      </c>
      <c r="C112" s="513" t="str">
        <f>IF(항목!K4="","",항목!K4)</f>
        <v>학교</v>
      </c>
      <c r="D112" s="351">
        <f>SUMIF('1월'!$K$11:$K$94,연간_세부항목별지출!$C112,'1월'!$M$11:$M$94)</f>
        <v>0</v>
      </c>
      <c r="E112" s="351">
        <f>SUMIF('2월'!$K$11:$K$94,연간_세부항목별지출!$C112,'2월'!$M$11:$M$94)</f>
        <v>0</v>
      </c>
      <c r="F112" s="351">
        <f>SUMIF('3월'!$K$11:$K$94,연간_세부항목별지출!$C112,'3월'!$M$11:$M$94)</f>
        <v>0</v>
      </c>
      <c r="G112" s="351">
        <f>SUMIF('4월'!$K$11:$K$94,연간_세부항목별지출!$C112,'4월'!$M$11:$M$94)</f>
        <v>0</v>
      </c>
      <c r="H112" s="351">
        <f>SUMIF('5월'!$K$11:$K$94,연간_세부항목별지출!$C112,'5월'!$M$11:$M$94)</f>
        <v>0</v>
      </c>
      <c r="I112" s="351">
        <f>SUMIF('6월'!$K$11:$K$94,연간_세부항목별지출!$C112,'6월'!$M$11:$M$94)</f>
        <v>0</v>
      </c>
      <c r="J112" s="351">
        <f>SUMIF('7월'!$K$11:$K$94,연간_세부항목별지출!$C112,'7월'!$M$11:$M$94)</f>
        <v>0</v>
      </c>
      <c r="K112" s="351">
        <f>SUMIF('8월'!$K$11:$K$94,연간_세부항목별지출!$C112,'8월'!$M$11:$M$94)</f>
        <v>0</v>
      </c>
      <c r="L112" s="351">
        <f>SUMIF('9월'!$K$11:$K$94,연간_세부항목별지출!$C112,'9월'!$M$11:$M$94)</f>
        <v>0</v>
      </c>
      <c r="M112" s="351">
        <f>SUMIF('10월'!$K$11:$K$94,연간_세부항목별지출!$C112,'10월'!$M$11:$M$94)</f>
        <v>0</v>
      </c>
      <c r="N112" s="351">
        <f>SUMIF('11월'!$K$11:$K$94,연간_세부항목별지출!$C112,'11월'!$M$11:$M$94)</f>
        <v>0</v>
      </c>
      <c r="O112" s="351">
        <f>SUMIF('12월'!$K$11:$K$94,연간_세부항목별지출!$C112,'12월'!$M$11:$M$94)</f>
        <v>0</v>
      </c>
      <c r="P112" s="516">
        <f t="shared" si="2"/>
        <v>0</v>
      </c>
      <c r="Q112" s="516">
        <f t="shared" si="3"/>
        <v>0</v>
      </c>
      <c r="R112" s="517" t="str">
        <f t="shared" si="8"/>
        <v/>
      </c>
    </row>
    <row r="113" spans="2:18" ht="18" customHeight="1" x14ac:dyDescent="0.3">
      <c r="B113" s="595"/>
      <c r="C113" s="420" t="str">
        <f>IF(항목!K5="","",항목!K5)</f>
        <v>학원</v>
      </c>
      <c r="D113" s="346">
        <f>SUMIF('1월'!$K$11:$K$94,연간_세부항목별지출!$C113,'1월'!$M$11:$M$94)</f>
        <v>0</v>
      </c>
      <c r="E113" s="346">
        <f>SUMIF('2월'!$K$11:$K$94,연간_세부항목별지출!$C113,'2월'!$M$11:$M$94)</f>
        <v>0</v>
      </c>
      <c r="F113" s="346">
        <f>SUMIF('3월'!$K$11:$K$94,연간_세부항목별지출!$C113,'3월'!$M$11:$M$94)</f>
        <v>0</v>
      </c>
      <c r="G113" s="346">
        <f>SUMIF('4월'!$K$11:$K$94,연간_세부항목별지출!$C113,'4월'!$M$11:$M$94)</f>
        <v>0</v>
      </c>
      <c r="H113" s="346">
        <f>SUMIF('5월'!$K$11:$K$94,연간_세부항목별지출!$C113,'5월'!$M$11:$M$94)</f>
        <v>0</v>
      </c>
      <c r="I113" s="346">
        <f>SUMIF('6월'!$K$11:$K$94,연간_세부항목별지출!$C113,'6월'!$M$11:$M$94)</f>
        <v>0</v>
      </c>
      <c r="J113" s="346">
        <f>SUMIF('7월'!$K$11:$K$94,연간_세부항목별지출!$C113,'7월'!$M$11:$M$94)</f>
        <v>0</v>
      </c>
      <c r="K113" s="346">
        <f>SUMIF('8월'!$K$11:$K$94,연간_세부항목별지출!$C113,'8월'!$M$11:$M$94)</f>
        <v>0</v>
      </c>
      <c r="L113" s="346">
        <f>SUMIF('9월'!$K$11:$K$94,연간_세부항목별지출!$C113,'9월'!$M$11:$M$94)</f>
        <v>0</v>
      </c>
      <c r="M113" s="346">
        <f>SUMIF('10월'!$K$11:$K$94,연간_세부항목별지출!$C113,'10월'!$M$11:$M$94)</f>
        <v>0</v>
      </c>
      <c r="N113" s="346">
        <f>SUMIF('11월'!$K$11:$K$94,연간_세부항목별지출!$C113,'11월'!$M$11:$M$94)</f>
        <v>0</v>
      </c>
      <c r="O113" s="346">
        <f>SUMIF('12월'!$K$11:$K$94,연간_세부항목별지출!$C113,'12월'!$M$11:$M$94)</f>
        <v>0</v>
      </c>
      <c r="P113" s="413">
        <f t="shared" si="2"/>
        <v>0</v>
      </c>
      <c r="Q113" s="413">
        <f t="shared" si="3"/>
        <v>0</v>
      </c>
      <c r="R113" s="503" t="str">
        <f t="shared" si="8"/>
        <v/>
      </c>
    </row>
    <row r="114" spans="2:18" ht="18" customHeight="1" x14ac:dyDescent="0.3">
      <c r="B114" s="595"/>
      <c r="C114" s="420" t="str">
        <f>IF(항목!K6="","",항목!K6)</f>
        <v>도서</v>
      </c>
      <c r="D114" s="346">
        <f>SUMIF('1월'!$K$11:$K$94,연간_세부항목별지출!$C114,'1월'!$M$11:$M$94)</f>
        <v>0</v>
      </c>
      <c r="E114" s="346">
        <f>SUMIF('2월'!$K$11:$K$94,연간_세부항목별지출!$C114,'2월'!$M$11:$M$94)</f>
        <v>0</v>
      </c>
      <c r="F114" s="346">
        <f>SUMIF('3월'!$K$11:$K$94,연간_세부항목별지출!$C114,'3월'!$M$11:$M$94)</f>
        <v>0</v>
      </c>
      <c r="G114" s="346">
        <f>SUMIF('4월'!$K$11:$K$94,연간_세부항목별지출!$C114,'4월'!$M$11:$M$94)</f>
        <v>0</v>
      </c>
      <c r="H114" s="346">
        <f>SUMIF('5월'!$K$11:$K$94,연간_세부항목별지출!$C114,'5월'!$M$11:$M$94)</f>
        <v>0</v>
      </c>
      <c r="I114" s="346">
        <f>SUMIF('6월'!$K$11:$K$94,연간_세부항목별지출!$C114,'6월'!$M$11:$M$94)</f>
        <v>0</v>
      </c>
      <c r="J114" s="346">
        <f>SUMIF('7월'!$K$11:$K$94,연간_세부항목별지출!$C114,'7월'!$M$11:$M$94)</f>
        <v>0</v>
      </c>
      <c r="K114" s="346">
        <f>SUMIF('8월'!$K$11:$K$94,연간_세부항목별지출!$C114,'8월'!$M$11:$M$94)</f>
        <v>0</v>
      </c>
      <c r="L114" s="346">
        <f>SUMIF('9월'!$K$11:$K$94,연간_세부항목별지출!$C114,'9월'!$M$11:$M$94)</f>
        <v>0</v>
      </c>
      <c r="M114" s="346">
        <f>SUMIF('10월'!$K$11:$K$94,연간_세부항목별지출!$C114,'10월'!$M$11:$M$94)</f>
        <v>0</v>
      </c>
      <c r="N114" s="346">
        <f>SUMIF('11월'!$K$11:$K$94,연간_세부항목별지출!$C114,'11월'!$M$11:$M$94)</f>
        <v>0</v>
      </c>
      <c r="O114" s="346">
        <f>SUMIF('12월'!$K$11:$K$94,연간_세부항목별지출!$C114,'12월'!$M$11:$M$94)</f>
        <v>0</v>
      </c>
      <c r="P114" s="413">
        <f t="shared" si="2"/>
        <v>0</v>
      </c>
      <c r="Q114" s="413">
        <f t="shared" si="3"/>
        <v>0</v>
      </c>
      <c r="R114" s="503" t="str">
        <f t="shared" si="8"/>
        <v/>
      </c>
    </row>
    <row r="115" spans="2:18" ht="18" customHeight="1" x14ac:dyDescent="0.3">
      <c r="B115" s="595"/>
      <c r="C115" s="420" t="str">
        <f>IF(항목!K7="","",항목!K7)</f>
        <v>강의</v>
      </c>
      <c r="D115" s="346">
        <f>SUMIF('1월'!$K$11:$K$94,연간_세부항목별지출!$C115,'1월'!$M$11:$M$94)</f>
        <v>0</v>
      </c>
      <c r="E115" s="346">
        <f>SUMIF('2월'!$K$11:$K$94,연간_세부항목별지출!$C115,'2월'!$M$11:$M$94)</f>
        <v>0</v>
      </c>
      <c r="F115" s="346">
        <f>SUMIF('3월'!$K$11:$K$94,연간_세부항목별지출!$C115,'3월'!$M$11:$M$94)</f>
        <v>0</v>
      </c>
      <c r="G115" s="346">
        <f>SUMIF('4월'!$K$11:$K$94,연간_세부항목별지출!$C115,'4월'!$M$11:$M$94)</f>
        <v>0</v>
      </c>
      <c r="H115" s="346">
        <f>SUMIF('5월'!$K$11:$K$94,연간_세부항목별지출!$C115,'5월'!$M$11:$M$94)</f>
        <v>0</v>
      </c>
      <c r="I115" s="346">
        <f>SUMIF('6월'!$K$11:$K$94,연간_세부항목별지출!$C115,'6월'!$M$11:$M$94)</f>
        <v>0</v>
      </c>
      <c r="J115" s="346">
        <f>SUMIF('7월'!$K$11:$K$94,연간_세부항목별지출!$C115,'7월'!$M$11:$M$94)</f>
        <v>0</v>
      </c>
      <c r="K115" s="346">
        <f>SUMIF('8월'!$K$11:$K$94,연간_세부항목별지출!$C115,'8월'!$M$11:$M$94)</f>
        <v>0</v>
      </c>
      <c r="L115" s="346">
        <f>SUMIF('9월'!$K$11:$K$94,연간_세부항목별지출!$C115,'9월'!$M$11:$M$94)</f>
        <v>0</v>
      </c>
      <c r="M115" s="346">
        <f>SUMIF('10월'!$K$11:$K$94,연간_세부항목별지출!$C115,'10월'!$M$11:$M$94)</f>
        <v>0</v>
      </c>
      <c r="N115" s="346">
        <f>SUMIF('11월'!$K$11:$K$94,연간_세부항목별지출!$C115,'11월'!$M$11:$M$94)</f>
        <v>0</v>
      </c>
      <c r="O115" s="346">
        <f>SUMIF('12월'!$K$11:$K$94,연간_세부항목별지출!$C115,'12월'!$M$11:$M$94)</f>
        <v>0</v>
      </c>
      <c r="P115" s="413">
        <f t="shared" si="2"/>
        <v>0</v>
      </c>
      <c r="Q115" s="413">
        <f t="shared" si="3"/>
        <v>0</v>
      </c>
      <c r="R115" s="503" t="str">
        <f t="shared" si="8"/>
        <v/>
      </c>
    </row>
    <row r="116" spans="2:18" ht="18" customHeight="1" x14ac:dyDescent="0.3">
      <c r="B116" s="595"/>
      <c r="C116" s="420" t="str">
        <f>IF(항목!K8="","",항목!K8)</f>
        <v>기타 교육</v>
      </c>
      <c r="D116" s="346">
        <f>SUMIF('1월'!$K$11:$K$94,연간_세부항목별지출!$C116,'1월'!$M$11:$M$94)</f>
        <v>0</v>
      </c>
      <c r="E116" s="346">
        <f>SUMIF('2월'!$K$11:$K$94,연간_세부항목별지출!$C116,'2월'!$M$11:$M$94)</f>
        <v>0</v>
      </c>
      <c r="F116" s="346">
        <f>SUMIF('3월'!$K$11:$K$94,연간_세부항목별지출!$C116,'3월'!$M$11:$M$94)</f>
        <v>0</v>
      </c>
      <c r="G116" s="346">
        <f>SUMIF('4월'!$K$11:$K$94,연간_세부항목별지출!$C116,'4월'!$M$11:$M$94)</f>
        <v>0</v>
      </c>
      <c r="H116" s="346">
        <f>SUMIF('5월'!$K$11:$K$94,연간_세부항목별지출!$C116,'5월'!$M$11:$M$94)</f>
        <v>0</v>
      </c>
      <c r="I116" s="346">
        <f>SUMIF('6월'!$K$11:$K$94,연간_세부항목별지출!$C116,'6월'!$M$11:$M$94)</f>
        <v>0</v>
      </c>
      <c r="J116" s="346">
        <f>SUMIF('7월'!$K$11:$K$94,연간_세부항목별지출!$C116,'7월'!$M$11:$M$94)</f>
        <v>0</v>
      </c>
      <c r="K116" s="346">
        <f>SUMIF('8월'!$K$11:$K$94,연간_세부항목별지출!$C116,'8월'!$M$11:$M$94)</f>
        <v>0</v>
      </c>
      <c r="L116" s="346">
        <f>SUMIF('9월'!$K$11:$K$94,연간_세부항목별지출!$C116,'9월'!$M$11:$M$94)</f>
        <v>0</v>
      </c>
      <c r="M116" s="346">
        <f>SUMIF('10월'!$K$11:$K$94,연간_세부항목별지출!$C116,'10월'!$M$11:$M$94)</f>
        <v>0</v>
      </c>
      <c r="N116" s="346">
        <f>SUMIF('11월'!$K$11:$K$94,연간_세부항목별지출!$C116,'11월'!$M$11:$M$94)</f>
        <v>0</v>
      </c>
      <c r="O116" s="346">
        <f>SUMIF('12월'!$K$11:$K$94,연간_세부항목별지출!$C116,'12월'!$M$11:$M$94)</f>
        <v>0</v>
      </c>
      <c r="P116" s="413">
        <f t="shared" si="2"/>
        <v>0</v>
      </c>
      <c r="Q116" s="413">
        <f t="shared" si="3"/>
        <v>0</v>
      </c>
      <c r="R116" s="503" t="str">
        <f t="shared" si="8"/>
        <v/>
      </c>
    </row>
    <row r="117" spans="2:18" ht="18" customHeight="1" x14ac:dyDescent="0.3">
      <c r="B117" s="595"/>
      <c r="C117" s="420" t="str">
        <f>IF(항목!K9="","",항목!K9)</f>
        <v>기타 자기계발</v>
      </c>
      <c r="D117" s="346">
        <f>SUMIF('1월'!$K$11:$K$94,연간_세부항목별지출!$C117,'1월'!$M$11:$M$94)</f>
        <v>0</v>
      </c>
      <c r="E117" s="346">
        <f>SUMIF('2월'!$K$11:$K$94,연간_세부항목별지출!$C117,'2월'!$M$11:$M$94)</f>
        <v>0</v>
      </c>
      <c r="F117" s="346">
        <f>SUMIF('3월'!$K$11:$K$94,연간_세부항목별지출!$C117,'3월'!$M$11:$M$94)</f>
        <v>0</v>
      </c>
      <c r="G117" s="346">
        <f>SUMIF('4월'!$K$11:$K$94,연간_세부항목별지출!$C117,'4월'!$M$11:$M$94)</f>
        <v>0</v>
      </c>
      <c r="H117" s="346">
        <f>SUMIF('5월'!$K$11:$K$94,연간_세부항목별지출!$C117,'5월'!$M$11:$M$94)</f>
        <v>0</v>
      </c>
      <c r="I117" s="346">
        <f>SUMIF('6월'!$K$11:$K$94,연간_세부항목별지출!$C117,'6월'!$M$11:$M$94)</f>
        <v>0</v>
      </c>
      <c r="J117" s="346">
        <f>SUMIF('7월'!$K$11:$K$94,연간_세부항목별지출!$C117,'7월'!$M$11:$M$94)</f>
        <v>0</v>
      </c>
      <c r="K117" s="346">
        <f>SUMIF('8월'!$K$11:$K$94,연간_세부항목별지출!$C117,'8월'!$M$11:$M$94)</f>
        <v>0</v>
      </c>
      <c r="L117" s="346">
        <f>SUMIF('9월'!$K$11:$K$94,연간_세부항목별지출!$C117,'9월'!$M$11:$M$94)</f>
        <v>0</v>
      </c>
      <c r="M117" s="346">
        <f>SUMIF('10월'!$K$11:$K$94,연간_세부항목별지출!$C117,'10월'!$M$11:$M$94)</f>
        <v>0</v>
      </c>
      <c r="N117" s="346">
        <f>SUMIF('11월'!$K$11:$K$94,연간_세부항목별지출!$C117,'11월'!$M$11:$M$94)</f>
        <v>0</v>
      </c>
      <c r="O117" s="346">
        <f>SUMIF('12월'!$K$11:$K$94,연간_세부항목별지출!$C117,'12월'!$M$11:$M$94)</f>
        <v>0</v>
      </c>
      <c r="P117" s="413">
        <f t="shared" si="2"/>
        <v>0</v>
      </c>
      <c r="Q117" s="413">
        <f t="shared" si="3"/>
        <v>0</v>
      </c>
      <c r="R117" s="503" t="str">
        <f t="shared" si="8"/>
        <v/>
      </c>
    </row>
    <row r="118" spans="2:18" ht="18" customHeight="1" x14ac:dyDescent="0.3">
      <c r="B118" s="595"/>
      <c r="C118" s="420" t="str">
        <f>IF(항목!K10="","",항목!K10)</f>
        <v/>
      </c>
      <c r="D118" s="346">
        <f>SUMIF('1월'!$K$11:$K$94,연간_세부항목별지출!$C118,'1월'!$M$11:$M$94)</f>
        <v>0</v>
      </c>
      <c r="E118" s="346">
        <f>SUMIF('2월'!$K$11:$K$94,연간_세부항목별지출!$C118,'2월'!$M$11:$M$94)</f>
        <v>0</v>
      </c>
      <c r="F118" s="346">
        <f>SUMIF('3월'!$K$11:$K$94,연간_세부항목별지출!$C118,'3월'!$M$11:$M$94)</f>
        <v>0</v>
      </c>
      <c r="G118" s="346">
        <f>SUMIF('4월'!$K$11:$K$94,연간_세부항목별지출!$C118,'4월'!$M$11:$M$94)</f>
        <v>0</v>
      </c>
      <c r="H118" s="346">
        <f>SUMIF('5월'!$K$11:$K$94,연간_세부항목별지출!$C118,'5월'!$M$11:$M$94)</f>
        <v>0</v>
      </c>
      <c r="I118" s="346">
        <f>SUMIF('6월'!$K$11:$K$94,연간_세부항목별지출!$C118,'6월'!$M$11:$M$94)</f>
        <v>0</v>
      </c>
      <c r="J118" s="346">
        <f>SUMIF('7월'!$K$11:$K$94,연간_세부항목별지출!$C118,'7월'!$M$11:$M$94)</f>
        <v>0</v>
      </c>
      <c r="K118" s="346">
        <f>SUMIF('8월'!$K$11:$K$94,연간_세부항목별지출!$C118,'8월'!$M$11:$M$94)</f>
        <v>0</v>
      </c>
      <c r="L118" s="346">
        <f>SUMIF('9월'!$K$11:$K$94,연간_세부항목별지출!$C118,'9월'!$M$11:$M$94)</f>
        <v>0</v>
      </c>
      <c r="M118" s="346">
        <f>SUMIF('10월'!$K$11:$K$94,연간_세부항목별지출!$C118,'10월'!$M$11:$M$94)</f>
        <v>0</v>
      </c>
      <c r="N118" s="346">
        <f>SUMIF('11월'!$K$11:$K$94,연간_세부항목별지출!$C118,'11월'!$M$11:$M$94)</f>
        <v>0</v>
      </c>
      <c r="O118" s="346">
        <f>SUMIF('12월'!$K$11:$K$94,연간_세부항목별지출!$C118,'12월'!$M$11:$M$94)</f>
        <v>0</v>
      </c>
      <c r="P118" s="413">
        <f t="shared" si="2"/>
        <v>0</v>
      </c>
      <c r="Q118" s="413">
        <f t="shared" si="3"/>
        <v>0</v>
      </c>
      <c r="R118" s="503" t="str">
        <f t="shared" si="8"/>
        <v/>
      </c>
    </row>
    <row r="119" spans="2:18" ht="18" customHeight="1" x14ac:dyDescent="0.3">
      <c r="B119" s="595"/>
      <c r="C119" s="420" t="str">
        <f>IF(항목!K11="","",항목!K11)</f>
        <v/>
      </c>
      <c r="D119" s="346">
        <f>SUMIF('1월'!$K$11:$K$94,연간_세부항목별지출!$C119,'1월'!$M$11:$M$94)</f>
        <v>0</v>
      </c>
      <c r="E119" s="346">
        <f>SUMIF('2월'!$K$11:$K$94,연간_세부항목별지출!$C119,'2월'!$M$11:$M$94)</f>
        <v>0</v>
      </c>
      <c r="F119" s="346">
        <f>SUMIF('3월'!$K$11:$K$94,연간_세부항목별지출!$C119,'3월'!$M$11:$M$94)</f>
        <v>0</v>
      </c>
      <c r="G119" s="346">
        <f>SUMIF('4월'!$K$11:$K$94,연간_세부항목별지출!$C119,'4월'!$M$11:$M$94)</f>
        <v>0</v>
      </c>
      <c r="H119" s="346">
        <f>SUMIF('5월'!$K$11:$K$94,연간_세부항목별지출!$C119,'5월'!$M$11:$M$94)</f>
        <v>0</v>
      </c>
      <c r="I119" s="346">
        <f>SUMIF('6월'!$K$11:$K$94,연간_세부항목별지출!$C119,'6월'!$M$11:$M$94)</f>
        <v>0</v>
      </c>
      <c r="J119" s="346">
        <f>SUMIF('7월'!$K$11:$K$94,연간_세부항목별지출!$C119,'7월'!$M$11:$M$94)</f>
        <v>0</v>
      </c>
      <c r="K119" s="346">
        <f>SUMIF('8월'!$K$11:$K$94,연간_세부항목별지출!$C119,'8월'!$M$11:$M$94)</f>
        <v>0</v>
      </c>
      <c r="L119" s="346">
        <f>SUMIF('9월'!$K$11:$K$94,연간_세부항목별지출!$C119,'9월'!$M$11:$M$94)</f>
        <v>0</v>
      </c>
      <c r="M119" s="346">
        <f>SUMIF('10월'!$K$11:$K$94,연간_세부항목별지출!$C119,'10월'!$M$11:$M$94)</f>
        <v>0</v>
      </c>
      <c r="N119" s="346">
        <f>SUMIF('11월'!$K$11:$K$94,연간_세부항목별지출!$C119,'11월'!$M$11:$M$94)</f>
        <v>0</v>
      </c>
      <c r="O119" s="346">
        <f>SUMIF('12월'!$K$11:$K$94,연간_세부항목별지출!$C119,'12월'!$M$11:$M$94)</f>
        <v>0</v>
      </c>
      <c r="P119" s="413">
        <f t="shared" si="2"/>
        <v>0</v>
      </c>
      <c r="Q119" s="413">
        <f t="shared" si="3"/>
        <v>0</v>
      </c>
      <c r="R119" s="503" t="str">
        <f t="shared" si="8"/>
        <v/>
      </c>
    </row>
    <row r="120" spans="2:18" ht="18" customHeight="1" x14ac:dyDescent="0.3">
      <c r="B120" s="595"/>
      <c r="C120" s="420" t="str">
        <f>IF(항목!K12="","",항목!K12)</f>
        <v/>
      </c>
      <c r="D120" s="346">
        <f>SUMIF('1월'!$K$11:$K$94,연간_세부항목별지출!$C120,'1월'!$M$11:$M$94)</f>
        <v>0</v>
      </c>
      <c r="E120" s="346">
        <f>SUMIF('2월'!$K$11:$K$94,연간_세부항목별지출!$C120,'2월'!$M$11:$M$94)</f>
        <v>0</v>
      </c>
      <c r="F120" s="346">
        <f>SUMIF('3월'!$K$11:$K$94,연간_세부항목별지출!$C120,'3월'!$M$11:$M$94)</f>
        <v>0</v>
      </c>
      <c r="G120" s="346">
        <f>SUMIF('4월'!$K$11:$K$94,연간_세부항목별지출!$C120,'4월'!$M$11:$M$94)</f>
        <v>0</v>
      </c>
      <c r="H120" s="346">
        <f>SUMIF('5월'!$K$11:$K$94,연간_세부항목별지출!$C120,'5월'!$M$11:$M$94)</f>
        <v>0</v>
      </c>
      <c r="I120" s="346">
        <f>SUMIF('6월'!$K$11:$K$94,연간_세부항목별지출!$C120,'6월'!$M$11:$M$94)</f>
        <v>0</v>
      </c>
      <c r="J120" s="346">
        <f>SUMIF('7월'!$K$11:$K$94,연간_세부항목별지출!$C120,'7월'!$M$11:$M$94)</f>
        <v>0</v>
      </c>
      <c r="K120" s="346">
        <f>SUMIF('8월'!$K$11:$K$94,연간_세부항목별지출!$C120,'8월'!$M$11:$M$94)</f>
        <v>0</v>
      </c>
      <c r="L120" s="346">
        <f>SUMIF('9월'!$K$11:$K$94,연간_세부항목별지출!$C120,'9월'!$M$11:$M$94)</f>
        <v>0</v>
      </c>
      <c r="M120" s="346">
        <f>SUMIF('10월'!$K$11:$K$94,연간_세부항목별지출!$C120,'10월'!$M$11:$M$94)</f>
        <v>0</v>
      </c>
      <c r="N120" s="346">
        <f>SUMIF('11월'!$K$11:$K$94,연간_세부항목별지출!$C120,'11월'!$M$11:$M$94)</f>
        <v>0</v>
      </c>
      <c r="O120" s="346">
        <f>SUMIF('12월'!$K$11:$K$94,연간_세부항목별지출!$C120,'12월'!$M$11:$M$94)</f>
        <v>0</v>
      </c>
      <c r="P120" s="413">
        <f t="shared" si="2"/>
        <v>0</v>
      </c>
      <c r="Q120" s="413">
        <f t="shared" si="3"/>
        <v>0</v>
      </c>
      <c r="R120" s="503" t="str">
        <f t="shared" si="8"/>
        <v/>
      </c>
    </row>
    <row r="121" spans="2:18" ht="18" customHeight="1" x14ac:dyDescent="0.3">
      <c r="B121" s="595"/>
      <c r="C121" s="420" t="str">
        <f>IF(항목!K13="","",항목!K13)</f>
        <v/>
      </c>
      <c r="D121" s="346">
        <f>SUMIF('1월'!$K$11:$K$94,연간_세부항목별지출!$C121,'1월'!$M$11:$M$94)</f>
        <v>0</v>
      </c>
      <c r="E121" s="346">
        <f>SUMIF('2월'!$K$11:$K$94,연간_세부항목별지출!$C121,'2월'!$M$11:$M$94)</f>
        <v>0</v>
      </c>
      <c r="F121" s="346">
        <f>SUMIF('3월'!$K$11:$K$94,연간_세부항목별지출!$C121,'3월'!$M$11:$M$94)</f>
        <v>0</v>
      </c>
      <c r="G121" s="346">
        <f>SUMIF('4월'!$K$11:$K$94,연간_세부항목별지출!$C121,'4월'!$M$11:$M$94)</f>
        <v>0</v>
      </c>
      <c r="H121" s="346">
        <f>SUMIF('5월'!$K$11:$K$94,연간_세부항목별지출!$C121,'5월'!$M$11:$M$94)</f>
        <v>0</v>
      </c>
      <c r="I121" s="346">
        <f>SUMIF('6월'!$K$11:$K$94,연간_세부항목별지출!$C121,'6월'!$M$11:$M$94)</f>
        <v>0</v>
      </c>
      <c r="J121" s="346">
        <f>SUMIF('7월'!$K$11:$K$94,연간_세부항목별지출!$C121,'7월'!$M$11:$M$94)</f>
        <v>0</v>
      </c>
      <c r="K121" s="346">
        <f>SUMIF('8월'!$K$11:$K$94,연간_세부항목별지출!$C121,'8월'!$M$11:$M$94)</f>
        <v>0</v>
      </c>
      <c r="L121" s="346">
        <f>SUMIF('9월'!$K$11:$K$94,연간_세부항목별지출!$C121,'9월'!$M$11:$M$94)</f>
        <v>0</v>
      </c>
      <c r="M121" s="346">
        <f>SUMIF('10월'!$K$11:$K$94,연간_세부항목별지출!$C121,'10월'!$M$11:$M$94)</f>
        <v>0</v>
      </c>
      <c r="N121" s="346">
        <f>SUMIF('11월'!$K$11:$K$94,연간_세부항목별지출!$C121,'11월'!$M$11:$M$94)</f>
        <v>0</v>
      </c>
      <c r="O121" s="346">
        <f>SUMIF('12월'!$K$11:$K$94,연간_세부항목별지출!$C121,'12월'!$M$11:$M$94)</f>
        <v>0</v>
      </c>
      <c r="P121" s="413">
        <f t="shared" si="2"/>
        <v>0</v>
      </c>
      <c r="Q121" s="413">
        <f t="shared" si="3"/>
        <v>0</v>
      </c>
      <c r="R121" s="503" t="str">
        <f t="shared" si="8"/>
        <v/>
      </c>
    </row>
    <row r="122" spans="2:18" ht="18" customHeight="1" x14ac:dyDescent="0.3">
      <c r="B122" s="595"/>
      <c r="C122" s="420" t="str">
        <f>IF(항목!K14="","",항목!K14)</f>
        <v/>
      </c>
      <c r="D122" s="346">
        <f>SUMIF('1월'!$K$11:$K$94,연간_세부항목별지출!$C122,'1월'!$M$11:$M$94)</f>
        <v>0</v>
      </c>
      <c r="E122" s="346">
        <f>SUMIF('2월'!$K$11:$K$94,연간_세부항목별지출!$C122,'2월'!$M$11:$M$94)</f>
        <v>0</v>
      </c>
      <c r="F122" s="346">
        <f>SUMIF('3월'!$K$11:$K$94,연간_세부항목별지출!$C122,'3월'!$M$11:$M$94)</f>
        <v>0</v>
      </c>
      <c r="G122" s="346">
        <f>SUMIF('4월'!$K$11:$K$94,연간_세부항목별지출!$C122,'4월'!$M$11:$M$94)</f>
        <v>0</v>
      </c>
      <c r="H122" s="346">
        <f>SUMIF('5월'!$K$11:$K$94,연간_세부항목별지출!$C122,'5월'!$M$11:$M$94)</f>
        <v>0</v>
      </c>
      <c r="I122" s="346">
        <f>SUMIF('6월'!$K$11:$K$94,연간_세부항목별지출!$C122,'6월'!$M$11:$M$94)</f>
        <v>0</v>
      </c>
      <c r="J122" s="346">
        <f>SUMIF('7월'!$K$11:$K$94,연간_세부항목별지출!$C122,'7월'!$M$11:$M$94)</f>
        <v>0</v>
      </c>
      <c r="K122" s="346">
        <f>SUMIF('8월'!$K$11:$K$94,연간_세부항목별지출!$C122,'8월'!$M$11:$M$94)</f>
        <v>0</v>
      </c>
      <c r="L122" s="346">
        <f>SUMIF('9월'!$K$11:$K$94,연간_세부항목별지출!$C122,'9월'!$M$11:$M$94)</f>
        <v>0</v>
      </c>
      <c r="M122" s="346">
        <f>SUMIF('10월'!$K$11:$K$94,연간_세부항목별지출!$C122,'10월'!$M$11:$M$94)</f>
        <v>0</v>
      </c>
      <c r="N122" s="346">
        <f>SUMIF('11월'!$K$11:$K$94,연간_세부항목별지출!$C122,'11월'!$M$11:$M$94)</f>
        <v>0</v>
      </c>
      <c r="O122" s="346">
        <f>SUMIF('12월'!$K$11:$K$94,연간_세부항목별지출!$C122,'12월'!$M$11:$M$94)</f>
        <v>0</v>
      </c>
      <c r="P122" s="413">
        <f t="shared" si="2"/>
        <v>0</v>
      </c>
      <c r="Q122" s="413">
        <f t="shared" si="3"/>
        <v>0</v>
      </c>
      <c r="R122" s="503" t="str">
        <f t="shared" si="8"/>
        <v/>
      </c>
    </row>
    <row r="123" spans="2:18" ht="18" customHeight="1" x14ac:dyDescent="0.3">
      <c r="B123" s="595"/>
      <c r="C123" s="420" t="str">
        <f>IF(항목!K15="","",항목!K15)</f>
        <v/>
      </c>
      <c r="D123" s="346">
        <f>SUMIF('1월'!$K$11:$K$94,연간_세부항목별지출!$C123,'1월'!$M$11:$M$94)</f>
        <v>0</v>
      </c>
      <c r="E123" s="346">
        <f>SUMIF('2월'!$K$11:$K$94,연간_세부항목별지출!$C123,'2월'!$M$11:$M$94)</f>
        <v>0</v>
      </c>
      <c r="F123" s="346">
        <f>SUMIF('3월'!$K$11:$K$94,연간_세부항목별지출!$C123,'3월'!$M$11:$M$94)</f>
        <v>0</v>
      </c>
      <c r="G123" s="346">
        <f>SUMIF('4월'!$K$11:$K$94,연간_세부항목별지출!$C123,'4월'!$M$11:$M$94)</f>
        <v>0</v>
      </c>
      <c r="H123" s="346">
        <f>SUMIF('5월'!$K$11:$K$94,연간_세부항목별지출!$C123,'5월'!$M$11:$M$94)</f>
        <v>0</v>
      </c>
      <c r="I123" s="346">
        <f>SUMIF('6월'!$K$11:$K$94,연간_세부항목별지출!$C123,'6월'!$M$11:$M$94)</f>
        <v>0</v>
      </c>
      <c r="J123" s="346">
        <f>SUMIF('7월'!$K$11:$K$94,연간_세부항목별지출!$C123,'7월'!$M$11:$M$94)</f>
        <v>0</v>
      </c>
      <c r="K123" s="346">
        <f>SUMIF('8월'!$K$11:$K$94,연간_세부항목별지출!$C123,'8월'!$M$11:$M$94)</f>
        <v>0</v>
      </c>
      <c r="L123" s="346">
        <f>SUMIF('9월'!$K$11:$K$94,연간_세부항목별지출!$C123,'9월'!$M$11:$M$94)</f>
        <v>0</v>
      </c>
      <c r="M123" s="346">
        <f>SUMIF('10월'!$K$11:$K$94,연간_세부항목별지출!$C123,'10월'!$M$11:$M$94)</f>
        <v>0</v>
      </c>
      <c r="N123" s="346">
        <f>SUMIF('11월'!$K$11:$K$94,연간_세부항목별지출!$C123,'11월'!$M$11:$M$94)</f>
        <v>0</v>
      </c>
      <c r="O123" s="346">
        <f>SUMIF('12월'!$K$11:$K$94,연간_세부항목별지출!$C123,'12월'!$M$11:$M$94)</f>
        <v>0</v>
      </c>
      <c r="P123" s="413">
        <f t="shared" si="2"/>
        <v>0</v>
      </c>
      <c r="Q123" s="413">
        <f t="shared" si="3"/>
        <v>0</v>
      </c>
      <c r="R123" s="503" t="str">
        <f t="shared" si="8"/>
        <v/>
      </c>
    </row>
    <row r="124" spans="2:18" ht="18" customHeight="1" x14ac:dyDescent="0.3">
      <c r="B124" s="595"/>
      <c r="C124" s="420" t="str">
        <f>IF(항목!K16="","",항목!K16)</f>
        <v/>
      </c>
      <c r="D124" s="346">
        <f>SUMIF('1월'!$K$11:$K$94,연간_세부항목별지출!$C124,'1월'!$M$11:$M$94)</f>
        <v>0</v>
      </c>
      <c r="E124" s="346">
        <f>SUMIF('2월'!$K$11:$K$94,연간_세부항목별지출!$C124,'2월'!$M$11:$M$94)</f>
        <v>0</v>
      </c>
      <c r="F124" s="346">
        <f>SUMIF('3월'!$K$11:$K$94,연간_세부항목별지출!$C124,'3월'!$M$11:$M$94)</f>
        <v>0</v>
      </c>
      <c r="G124" s="346">
        <f>SUMIF('4월'!$K$11:$K$94,연간_세부항목별지출!$C124,'4월'!$M$11:$M$94)</f>
        <v>0</v>
      </c>
      <c r="H124" s="346">
        <f>SUMIF('5월'!$K$11:$K$94,연간_세부항목별지출!$C124,'5월'!$M$11:$M$94)</f>
        <v>0</v>
      </c>
      <c r="I124" s="346">
        <f>SUMIF('6월'!$K$11:$K$94,연간_세부항목별지출!$C124,'6월'!$M$11:$M$94)</f>
        <v>0</v>
      </c>
      <c r="J124" s="346">
        <f>SUMIF('7월'!$K$11:$K$94,연간_세부항목별지출!$C124,'7월'!$M$11:$M$94)</f>
        <v>0</v>
      </c>
      <c r="K124" s="346">
        <f>SUMIF('8월'!$K$11:$K$94,연간_세부항목별지출!$C124,'8월'!$M$11:$M$94)</f>
        <v>0</v>
      </c>
      <c r="L124" s="346">
        <f>SUMIF('9월'!$K$11:$K$94,연간_세부항목별지출!$C124,'9월'!$M$11:$M$94)</f>
        <v>0</v>
      </c>
      <c r="M124" s="346">
        <f>SUMIF('10월'!$K$11:$K$94,연간_세부항목별지출!$C124,'10월'!$M$11:$M$94)</f>
        <v>0</v>
      </c>
      <c r="N124" s="346">
        <f>SUMIF('11월'!$K$11:$K$94,연간_세부항목별지출!$C124,'11월'!$M$11:$M$94)</f>
        <v>0</v>
      </c>
      <c r="O124" s="346">
        <f>SUMIF('12월'!$K$11:$K$94,연간_세부항목별지출!$C124,'12월'!$M$11:$M$94)</f>
        <v>0</v>
      </c>
      <c r="P124" s="413">
        <f t="shared" si="2"/>
        <v>0</v>
      </c>
      <c r="Q124" s="413">
        <f t="shared" si="3"/>
        <v>0</v>
      </c>
      <c r="R124" s="503" t="str">
        <f t="shared" si="8"/>
        <v/>
      </c>
    </row>
    <row r="125" spans="2:18" ht="18" customHeight="1" x14ac:dyDescent="0.3">
      <c r="B125" s="595"/>
      <c r="C125" s="420" t="str">
        <f>IF(항목!K17="","",항목!K17)</f>
        <v/>
      </c>
      <c r="D125" s="346">
        <f>SUMIF('1월'!$K$11:$K$94,연간_세부항목별지출!$C125,'1월'!$M$11:$M$94)</f>
        <v>0</v>
      </c>
      <c r="E125" s="346">
        <f>SUMIF('2월'!$K$11:$K$94,연간_세부항목별지출!$C125,'2월'!$M$11:$M$94)</f>
        <v>0</v>
      </c>
      <c r="F125" s="346">
        <f>SUMIF('3월'!$K$11:$K$94,연간_세부항목별지출!$C125,'3월'!$M$11:$M$94)</f>
        <v>0</v>
      </c>
      <c r="G125" s="346">
        <f>SUMIF('4월'!$K$11:$K$94,연간_세부항목별지출!$C125,'4월'!$M$11:$M$94)</f>
        <v>0</v>
      </c>
      <c r="H125" s="346">
        <f>SUMIF('5월'!$K$11:$K$94,연간_세부항목별지출!$C125,'5월'!$M$11:$M$94)</f>
        <v>0</v>
      </c>
      <c r="I125" s="346">
        <f>SUMIF('6월'!$K$11:$K$94,연간_세부항목별지출!$C125,'6월'!$M$11:$M$94)</f>
        <v>0</v>
      </c>
      <c r="J125" s="346">
        <f>SUMIF('7월'!$K$11:$K$94,연간_세부항목별지출!$C125,'7월'!$M$11:$M$94)</f>
        <v>0</v>
      </c>
      <c r="K125" s="346">
        <f>SUMIF('8월'!$K$11:$K$94,연간_세부항목별지출!$C125,'8월'!$M$11:$M$94)</f>
        <v>0</v>
      </c>
      <c r="L125" s="346">
        <f>SUMIF('9월'!$K$11:$K$94,연간_세부항목별지출!$C125,'9월'!$M$11:$M$94)</f>
        <v>0</v>
      </c>
      <c r="M125" s="346">
        <f>SUMIF('10월'!$K$11:$K$94,연간_세부항목별지출!$C125,'10월'!$M$11:$M$94)</f>
        <v>0</v>
      </c>
      <c r="N125" s="346">
        <f>SUMIF('11월'!$K$11:$K$94,연간_세부항목별지출!$C125,'11월'!$M$11:$M$94)</f>
        <v>0</v>
      </c>
      <c r="O125" s="346">
        <f>SUMIF('12월'!$K$11:$K$94,연간_세부항목별지출!$C125,'12월'!$M$11:$M$94)</f>
        <v>0</v>
      </c>
      <c r="P125" s="413">
        <f t="shared" si="2"/>
        <v>0</v>
      </c>
      <c r="Q125" s="413">
        <f t="shared" si="3"/>
        <v>0</v>
      </c>
      <c r="R125" s="503" t="str">
        <f t="shared" si="8"/>
        <v/>
      </c>
    </row>
    <row r="126" spans="2:18" ht="18" customHeight="1" thickBot="1" x14ac:dyDescent="0.35">
      <c r="B126" s="596"/>
      <c r="C126" s="421" t="str">
        <f>IF(항목!K18="","",항목!K18)</f>
        <v/>
      </c>
      <c r="D126" s="515">
        <f>SUMIF('1월'!$K$11:$K$94,연간_세부항목별지출!$C126,'1월'!$M$11:$M$94)</f>
        <v>0</v>
      </c>
      <c r="E126" s="515">
        <f>SUMIF('2월'!$K$11:$K$94,연간_세부항목별지출!$C126,'2월'!$M$11:$M$94)</f>
        <v>0</v>
      </c>
      <c r="F126" s="515">
        <f>SUMIF('3월'!$K$11:$K$94,연간_세부항목별지출!$C126,'3월'!$M$11:$M$94)</f>
        <v>0</v>
      </c>
      <c r="G126" s="515">
        <f>SUMIF('4월'!$K$11:$K$94,연간_세부항목별지출!$C126,'4월'!$M$11:$M$94)</f>
        <v>0</v>
      </c>
      <c r="H126" s="515">
        <f>SUMIF('5월'!$K$11:$K$94,연간_세부항목별지출!$C126,'5월'!$M$11:$M$94)</f>
        <v>0</v>
      </c>
      <c r="I126" s="515">
        <f>SUMIF('6월'!$K$11:$K$94,연간_세부항목별지출!$C126,'6월'!$M$11:$M$94)</f>
        <v>0</v>
      </c>
      <c r="J126" s="515">
        <f>SUMIF('7월'!$K$11:$K$94,연간_세부항목별지출!$C126,'7월'!$M$11:$M$94)</f>
        <v>0</v>
      </c>
      <c r="K126" s="515">
        <f>SUMIF('8월'!$K$11:$K$94,연간_세부항목별지출!$C126,'8월'!$M$11:$M$94)</f>
        <v>0</v>
      </c>
      <c r="L126" s="515">
        <f>SUMIF('9월'!$K$11:$K$94,연간_세부항목별지출!$C126,'9월'!$M$11:$M$94)</f>
        <v>0</v>
      </c>
      <c r="M126" s="515">
        <f>SUMIF('10월'!$K$11:$K$94,연간_세부항목별지출!$C126,'10월'!$M$11:$M$94)</f>
        <v>0</v>
      </c>
      <c r="N126" s="515">
        <f>SUMIF('11월'!$K$11:$K$94,연간_세부항목별지출!$C126,'11월'!$M$11:$M$94)</f>
        <v>0</v>
      </c>
      <c r="O126" s="515">
        <f>SUMIF('12월'!$K$11:$K$94,연간_세부항목별지출!$C126,'12월'!$M$11:$M$94)</f>
        <v>0</v>
      </c>
      <c r="P126" s="422">
        <f t="shared" si="2"/>
        <v>0</v>
      </c>
      <c r="Q126" s="422">
        <f t="shared" si="3"/>
        <v>0</v>
      </c>
      <c r="R126" s="506" t="str">
        <f t="shared" si="8"/>
        <v/>
      </c>
    </row>
    <row r="127" spans="2:18" ht="18" customHeight="1" x14ac:dyDescent="0.3">
      <c r="B127" s="594" t="str">
        <f>항목!L3</f>
        <v>문화생활비</v>
      </c>
      <c r="C127" s="513" t="str">
        <f>IF(항목!L4="","",항목!L4)</f>
        <v>영화/관람</v>
      </c>
      <c r="D127" s="351">
        <f>SUMIF('1월'!$K$11:$K$94,연간_세부항목별지출!$C127,'1월'!$M$11:$M$94)</f>
        <v>0</v>
      </c>
      <c r="E127" s="351">
        <f>SUMIF('2월'!$K$11:$K$94,연간_세부항목별지출!$C127,'2월'!$M$11:$M$94)</f>
        <v>0</v>
      </c>
      <c r="F127" s="351">
        <f>SUMIF('3월'!$K$11:$K$94,연간_세부항목별지출!$C127,'3월'!$M$11:$M$94)</f>
        <v>0</v>
      </c>
      <c r="G127" s="351">
        <f>SUMIF('4월'!$K$11:$K$94,연간_세부항목별지출!$C127,'4월'!$M$11:$M$94)</f>
        <v>0</v>
      </c>
      <c r="H127" s="351">
        <f>SUMIF('5월'!$K$11:$K$94,연간_세부항목별지출!$C127,'5월'!$M$11:$M$94)</f>
        <v>0</v>
      </c>
      <c r="I127" s="351">
        <f>SUMIF('6월'!$K$11:$K$94,연간_세부항목별지출!$C127,'6월'!$M$11:$M$94)</f>
        <v>0</v>
      </c>
      <c r="J127" s="351">
        <f>SUMIF('7월'!$K$11:$K$94,연간_세부항목별지출!$C127,'7월'!$M$11:$M$94)</f>
        <v>0</v>
      </c>
      <c r="K127" s="351">
        <f>SUMIF('8월'!$K$11:$K$94,연간_세부항목별지출!$C127,'8월'!$M$11:$M$94)</f>
        <v>0</v>
      </c>
      <c r="L127" s="351">
        <f>SUMIF('9월'!$K$11:$K$94,연간_세부항목별지출!$C127,'9월'!$M$11:$M$94)</f>
        <v>0</v>
      </c>
      <c r="M127" s="351">
        <f>SUMIF('10월'!$K$11:$K$94,연간_세부항목별지출!$C127,'10월'!$M$11:$M$94)</f>
        <v>0</v>
      </c>
      <c r="N127" s="351">
        <f>SUMIF('11월'!$K$11:$K$94,연간_세부항목별지출!$C127,'11월'!$M$11:$M$94)</f>
        <v>0</v>
      </c>
      <c r="O127" s="351">
        <f>SUMIF('12월'!$K$11:$K$94,연간_세부항목별지출!$C127,'12월'!$M$11:$M$94)</f>
        <v>0</v>
      </c>
      <c r="P127" s="516">
        <f t="shared" si="2"/>
        <v>0</v>
      </c>
      <c r="Q127" s="516">
        <f t="shared" si="3"/>
        <v>0</v>
      </c>
      <c r="R127" s="517" t="str">
        <f t="shared" si="8"/>
        <v/>
      </c>
    </row>
    <row r="128" spans="2:18" ht="18" customHeight="1" x14ac:dyDescent="0.3">
      <c r="B128" s="595"/>
      <c r="C128" s="419" t="str">
        <f>IF(항목!L5="","",항목!L5)</f>
        <v>여가</v>
      </c>
      <c r="D128" s="346">
        <f>SUMIF('1월'!$K$11:$K$94,연간_세부항목별지출!$C128,'1월'!$M$11:$M$94)</f>
        <v>0</v>
      </c>
      <c r="E128" s="346">
        <f>SUMIF('2월'!$K$11:$K$94,연간_세부항목별지출!$C128,'2월'!$M$11:$M$94)</f>
        <v>0</v>
      </c>
      <c r="F128" s="346">
        <f>SUMIF('3월'!$K$11:$K$94,연간_세부항목별지출!$C128,'3월'!$M$11:$M$94)</f>
        <v>0</v>
      </c>
      <c r="G128" s="346">
        <f>SUMIF('4월'!$K$11:$K$94,연간_세부항목별지출!$C128,'4월'!$M$11:$M$94)</f>
        <v>0</v>
      </c>
      <c r="H128" s="346">
        <f>SUMIF('5월'!$K$11:$K$94,연간_세부항목별지출!$C128,'5월'!$M$11:$M$94)</f>
        <v>0</v>
      </c>
      <c r="I128" s="346">
        <f>SUMIF('6월'!$K$11:$K$94,연간_세부항목별지출!$C128,'6월'!$M$11:$M$94)</f>
        <v>0</v>
      </c>
      <c r="J128" s="346">
        <f>SUMIF('7월'!$K$11:$K$94,연간_세부항목별지출!$C128,'7월'!$M$11:$M$94)</f>
        <v>0</v>
      </c>
      <c r="K128" s="346">
        <f>SUMIF('8월'!$K$11:$K$94,연간_세부항목별지출!$C128,'8월'!$M$11:$M$94)</f>
        <v>0</v>
      </c>
      <c r="L128" s="346">
        <f>SUMIF('9월'!$K$11:$K$94,연간_세부항목별지출!$C128,'9월'!$M$11:$M$94)</f>
        <v>0</v>
      </c>
      <c r="M128" s="346">
        <f>SUMIF('10월'!$K$11:$K$94,연간_세부항목별지출!$C128,'10월'!$M$11:$M$94)</f>
        <v>0</v>
      </c>
      <c r="N128" s="346">
        <f>SUMIF('11월'!$K$11:$K$94,연간_세부항목별지출!$C128,'11월'!$M$11:$M$94)</f>
        <v>0</v>
      </c>
      <c r="O128" s="346">
        <f>SUMIF('12월'!$K$11:$K$94,연간_세부항목별지출!$C128,'12월'!$M$11:$M$94)</f>
        <v>0</v>
      </c>
      <c r="P128" s="413">
        <f t="shared" si="2"/>
        <v>0</v>
      </c>
      <c r="Q128" s="413">
        <f t="shared" si="3"/>
        <v>0</v>
      </c>
      <c r="R128" s="503" t="str">
        <f t="shared" si="8"/>
        <v/>
      </c>
    </row>
    <row r="129" spans="2:18" ht="18" customHeight="1" x14ac:dyDescent="0.3">
      <c r="B129" s="595"/>
      <c r="C129" s="419" t="str">
        <f>IF(항목!L6="","",항목!L6)</f>
        <v>여행</v>
      </c>
      <c r="D129" s="346">
        <f>SUMIF('1월'!$K$11:$K$94,연간_세부항목별지출!$C129,'1월'!$M$11:$M$94)</f>
        <v>0</v>
      </c>
      <c r="E129" s="346">
        <f>SUMIF('2월'!$K$11:$K$94,연간_세부항목별지출!$C129,'2월'!$M$11:$M$94)</f>
        <v>0</v>
      </c>
      <c r="F129" s="346">
        <f>SUMIF('3월'!$K$11:$K$94,연간_세부항목별지출!$C129,'3월'!$M$11:$M$94)</f>
        <v>0</v>
      </c>
      <c r="G129" s="346">
        <f>SUMIF('4월'!$K$11:$K$94,연간_세부항목별지출!$C129,'4월'!$M$11:$M$94)</f>
        <v>0</v>
      </c>
      <c r="H129" s="346">
        <f>SUMIF('5월'!$K$11:$K$94,연간_세부항목별지출!$C129,'5월'!$M$11:$M$94)</f>
        <v>0</v>
      </c>
      <c r="I129" s="346">
        <f>SUMIF('6월'!$K$11:$K$94,연간_세부항목별지출!$C129,'6월'!$M$11:$M$94)</f>
        <v>0</v>
      </c>
      <c r="J129" s="346">
        <f>SUMIF('7월'!$K$11:$K$94,연간_세부항목별지출!$C129,'7월'!$M$11:$M$94)</f>
        <v>0</v>
      </c>
      <c r="K129" s="346">
        <f>SUMIF('8월'!$K$11:$K$94,연간_세부항목별지출!$C129,'8월'!$M$11:$M$94)</f>
        <v>0</v>
      </c>
      <c r="L129" s="346">
        <f>SUMIF('9월'!$K$11:$K$94,연간_세부항목별지출!$C129,'9월'!$M$11:$M$94)</f>
        <v>0</v>
      </c>
      <c r="M129" s="346">
        <f>SUMIF('10월'!$K$11:$K$94,연간_세부항목별지출!$C129,'10월'!$M$11:$M$94)</f>
        <v>0</v>
      </c>
      <c r="N129" s="346">
        <f>SUMIF('11월'!$K$11:$K$94,연간_세부항목별지출!$C129,'11월'!$M$11:$M$94)</f>
        <v>0</v>
      </c>
      <c r="O129" s="346">
        <f>SUMIF('12월'!$K$11:$K$94,연간_세부항목별지출!$C129,'12월'!$M$11:$M$94)</f>
        <v>0</v>
      </c>
      <c r="P129" s="413">
        <f t="shared" si="2"/>
        <v>0</v>
      </c>
      <c r="Q129" s="413">
        <f t="shared" si="3"/>
        <v>0</v>
      </c>
      <c r="R129" s="503" t="str">
        <f t="shared" si="8"/>
        <v/>
      </c>
    </row>
    <row r="130" spans="2:18" ht="18" customHeight="1" x14ac:dyDescent="0.3">
      <c r="B130" s="595"/>
      <c r="C130" s="419" t="str">
        <f>IF(항목!L7="","",항목!L7)</f>
        <v>OTT</v>
      </c>
      <c r="D130" s="346">
        <f>SUMIF('1월'!$K$11:$K$94,연간_세부항목별지출!$C130,'1월'!$M$11:$M$94)</f>
        <v>0</v>
      </c>
      <c r="E130" s="346">
        <f>SUMIF('2월'!$K$11:$K$94,연간_세부항목별지출!$C130,'2월'!$M$11:$M$94)</f>
        <v>0</v>
      </c>
      <c r="F130" s="346">
        <f>SUMIF('3월'!$K$11:$K$94,연간_세부항목별지출!$C130,'3월'!$M$11:$M$94)</f>
        <v>0</v>
      </c>
      <c r="G130" s="346">
        <f>SUMIF('4월'!$K$11:$K$94,연간_세부항목별지출!$C130,'4월'!$M$11:$M$94)</f>
        <v>0</v>
      </c>
      <c r="H130" s="346">
        <f>SUMIF('5월'!$K$11:$K$94,연간_세부항목별지출!$C130,'5월'!$M$11:$M$94)</f>
        <v>0</v>
      </c>
      <c r="I130" s="346">
        <f>SUMIF('6월'!$K$11:$K$94,연간_세부항목별지출!$C130,'6월'!$M$11:$M$94)</f>
        <v>0</v>
      </c>
      <c r="J130" s="346">
        <f>SUMIF('7월'!$K$11:$K$94,연간_세부항목별지출!$C130,'7월'!$M$11:$M$94)</f>
        <v>0</v>
      </c>
      <c r="K130" s="346">
        <f>SUMIF('8월'!$K$11:$K$94,연간_세부항목별지출!$C130,'8월'!$M$11:$M$94)</f>
        <v>0</v>
      </c>
      <c r="L130" s="346">
        <f>SUMIF('9월'!$K$11:$K$94,연간_세부항목별지출!$C130,'9월'!$M$11:$M$94)</f>
        <v>0</v>
      </c>
      <c r="M130" s="346">
        <f>SUMIF('10월'!$K$11:$K$94,연간_세부항목별지출!$C130,'10월'!$M$11:$M$94)</f>
        <v>0</v>
      </c>
      <c r="N130" s="346">
        <f>SUMIF('11월'!$K$11:$K$94,연간_세부항목별지출!$C130,'11월'!$M$11:$M$94)</f>
        <v>0</v>
      </c>
      <c r="O130" s="346">
        <f>SUMIF('12월'!$K$11:$K$94,연간_세부항목별지출!$C130,'12월'!$M$11:$M$94)</f>
        <v>0</v>
      </c>
      <c r="P130" s="413">
        <f t="shared" si="2"/>
        <v>0</v>
      </c>
      <c r="Q130" s="413">
        <f t="shared" si="3"/>
        <v>0</v>
      </c>
      <c r="R130" s="503" t="str">
        <f t="shared" si="8"/>
        <v/>
      </c>
    </row>
    <row r="131" spans="2:18" ht="18" customHeight="1" x14ac:dyDescent="0.3">
      <c r="B131" s="595"/>
      <c r="C131" s="419" t="str">
        <f>IF(항목!L8="","",항목!L8)</f>
        <v>기타 문화생활</v>
      </c>
      <c r="D131" s="346">
        <f>SUMIF('1월'!$K$11:$K$94,연간_세부항목별지출!$C131,'1월'!$M$11:$M$94)</f>
        <v>0</v>
      </c>
      <c r="E131" s="346">
        <f>SUMIF('2월'!$K$11:$K$94,연간_세부항목별지출!$C131,'2월'!$M$11:$M$94)</f>
        <v>0</v>
      </c>
      <c r="F131" s="346">
        <f>SUMIF('3월'!$K$11:$K$94,연간_세부항목별지출!$C131,'3월'!$M$11:$M$94)</f>
        <v>0</v>
      </c>
      <c r="G131" s="346">
        <f>SUMIF('4월'!$K$11:$K$94,연간_세부항목별지출!$C131,'4월'!$M$11:$M$94)</f>
        <v>0</v>
      </c>
      <c r="H131" s="346">
        <f>SUMIF('5월'!$K$11:$K$94,연간_세부항목별지출!$C131,'5월'!$M$11:$M$94)</f>
        <v>0</v>
      </c>
      <c r="I131" s="346">
        <f>SUMIF('6월'!$K$11:$K$94,연간_세부항목별지출!$C131,'6월'!$M$11:$M$94)</f>
        <v>0</v>
      </c>
      <c r="J131" s="346">
        <f>SUMIF('7월'!$K$11:$K$94,연간_세부항목별지출!$C131,'7월'!$M$11:$M$94)</f>
        <v>0</v>
      </c>
      <c r="K131" s="346">
        <f>SUMIF('8월'!$K$11:$K$94,연간_세부항목별지출!$C131,'8월'!$M$11:$M$94)</f>
        <v>0</v>
      </c>
      <c r="L131" s="346">
        <f>SUMIF('9월'!$K$11:$K$94,연간_세부항목별지출!$C131,'9월'!$M$11:$M$94)</f>
        <v>0</v>
      </c>
      <c r="M131" s="346">
        <f>SUMIF('10월'!$K$11:$K$94,연간_세부항목별지출!$C131,'10월'!$M$11:$M$94)</f>
        <v>0</v>
      </c>
      <c r="N131" s="346">
        <f>SUMIF('11월'!$K$11:$K$94,연간_세부항목별지출!$C131,'11월'!$M$11:$M$94)</f>
        <v>0</v>
      </c>
      <c r="O131" s="346">
        <f>SUMIF('12월'!$K$11:$K$94,연간_세부항목별지출!$C131,'12월'!$M$11:$M$94)</f>
        <v>0</v>
      </c>
      <c r="P131" s="413">
        <f t="shared" si="2"/>
        <v>0</v>
      </c>
      <c r="Q131" s="413">
        <f t="shared" si="3"/>
        <v>0</v>
      </c>
      <c r="R131" s="503" t="str">
        <f t="shared" si="8"/>
        <v/>
      </c>
    </row>
    <row r="132" spans="2:18" ht="18" customHeight="1" x14ac:dyDescent="0.3">
      <c r="B132" s="595"/>
      <c r="C132" s="419" t="str">
        <f>IF(항목!L9="","",항목!L9)</f>
        <v/>
      </c>
      <c r="D132" s="346">
        <f>SUMIF('1월'!$K$11:$K$94,연간_세부항목별지출!$C132,'1월'!$M$11:$M$94)</f>
        <v>0</v>
      </c>
      <c r="E132" s="346">
        <f>SUMIF('2월'!$K$11:$K$94,연간_세부항목별지출!$C132,'2월'!$M$11:$M$94)</f>
        <v>0</v>
      </c>
      <c r="F132" s="346">
        <f>SUMIF('3월'!$K$11:$K$94,연간_세부항목별지출!$C132,'3월'!$M$11:$M$94)</f>
        <v>0</v>
      </c>
      <c r="G132" s="346">
        <f>SUMIF('4월'!$K$11:$K$94,연간_세부항목별지출!$C132,'4월'!$M$11:$M$94)</f>
        <v>0</v>
      </c>
      <c r="H132" s="346">
        <f>SUMIF('5월'!$K$11:$K$94,연간_세부항목별지출!$C132,'5월'!$M$11:$M$94)</f>
        <v>0</v>
      </c>
      <c r="I132" s="346">
        <f>SUMIF('6월'!$K$11:$K$94,연간_세부항목별지출!$C132,'6월'!$M$11:$M$94)</f>
        <v>0</v>
      </c>
      <c r="J132" s="346">
        <f>SUMIF('7월'!$K$11:$K$94,연간_세부항목별지출!$C132,'7월'!$M$11:$M$94)</f>
        <v>0</v>
      </c>
      <c r="K132" s="346">
        <f>SUMIF('8월'!$K$11:$K$94,연간_세부항목별지출!$C132,'8월'!$M$11:$M$94)</f>
        <v>0</v>
      </c>
      <c r="L132" s="346">
        <f>SUMIF('9월'!$K$11:$K$94,연간_세부항목별지출!$C132,'9월'!$M$11:$M$94)</f>
        <v>0</v>
      </c>
      <c r="M132" s="346">
        <f>SUMIF('10월'!$K$11:$K$94,연간_세부항목별지출!$C132,'10월'!$M$11:$M$94)</f>
        <v>0</v>
      </c>
      <c r="N132" s="346">
        <f>SUMIF('11월'!$K$11:$K$94,연간_세부항목별지출!$C132,'11월'!$M$11:$M$94)</f>
        <v>0</v>
      </c>
      <c r="O132" s="346">
        <f>SUMIF('12월'!$K$11:$K$94,연간_세부항목별지출!$C132,'12월'!$M$11:$M$94)</f>
        <v>0</v>
      </c>
      <c r="P132" s="413">
        <f t="shared" si="2"/>
        <v>0</v>
      </c>
      <c r="Q132" s="413">
        <f t="shared" si="3"/>
        <v>0</v>
      </c>
      <c r="R132" s="503" t="str">
        <f t="shared" si="8"/>
        <v/>
      </c>
    </row>
    <row r="133" spans="2:18" ht="18" customHeight="1" x14ac:dyDescent="0.3">
      <c r="B133" s="595"/>
      <c r="C133" s="419" t="str">
        <f>IF(항목!L10="","",항목!L10)</f>
        <v/>
      </c>
      <c r="D133" s="346">
        <f>SUMIF('1월'!$K$11:$K$94,연간_세부항목별지출!$C133,'1월'!$M$11:$M$94)</f>
        <v>0</v>
      </c>
      <c r="E133" s="346">
        <f>SUMIF('2월'!$K$11:$K$94,연간_세부항목별지출!$C133,'2월'!$M$11:$M$94)</f>
        <v>0</v>
      </c>
      <c r="F133" s="346">
        <f>SUMIF('3월'!$K$11:$K$94,연간_세부항목별지출!$C133,'3월'!$M$11:$M$94)</f>
        <v>0</v>
      </c>
      <c r="G133" s="346">
        <f>SUMIF('4월'!$K$11:$K$94,연간_세부항목별지출!$C133,'4월'!$M$11:$M$94)</f>
        <v>0</v>
      </c>
      <c r="H133" s="346">
        <f>SUMIF('5월'!$K$11:$K$94,연간_세부항목별지출!$C133,'5월'!$M$11:$M$94)</f>
        <v>0</v>
      </c>
      <c r="I133" s="346">
        <f>SUMIF('6월'!$K$11:$K$94,연간_세부항목별지출!$C133,'6월'!$M$11:$M$94)</f>
        <v>0</v>
      </c>
      <c r="J133" s="346">
        <f>SUMIF('7월'!$K$11:$K$94,연간_세부항목별지출!$C133,'7월'!$M$11:$M$94)</f>
        <v>0</v>
      </c>
      <c r="K133" s="346">
        <f>SUMIF('8월'!$K$11:$K$94,연간_세부항목별지출!$C133,'8월'!$M$11:$M$94)</f>
        <v>0</v>
      </c>
      <c r="L133" s="346">
        <f>SUMIF('9월'!$K$11:$K$94,연간_세부항목별지출!$C133,'9월'!$M$11:$M$94)</f>
        <v>0</v>
      </c>
      <c r="M133" s="346">
        <f>SUMIF('10월'!$K$11:$K$94,연간_세부항목별지출!$C133,'10월'!$M$11:$M$94)</f>
        <v>0</v>
      </c>
      <c r="N133" s="346">
        <f>SUMIF('11월'!$K$11:$K$94,연간_세부항목별지출!$C133,'11월'!$M$11:$M$94)</f>
        <v>0</v>
      </c>
      <c r="O133" s="346">
        <f>SUMIF('12월'!$K$11:$K$94,연간_세부항목별지출!$C133,'12월'!$M$11:$M$94)</f>
        <v>0</v>
      </c>
      <c r="P133" s="413">
        <f t="shared" si="2"/>
        <v>0</v>
      </c>
      <c r="Q133" s="413">
        <f t="shared" si="3"/>
        <v>0</v>
      </c>
      <c r="R133" s="503" t="str">
        <f t="shared" si="8"/>
        <v/>
      </c>
    </row>
    <row r="134" spans="2:18" ht="18" customHeight="1" x14ac:dyDescent="0.3">
      <c r="B134" s="595"/>
      <c r="C134" s="419" t="str">
        <f>IF(항목!L11="","",항목!L11)</f>
        <v/>
      </c>
      <c r="D134" s="346">
        <f>SUMIF('1월'!$K$11:$K$94,연간_세부항목별지출!$C134,'1월'!$M$11:$M$94)</f>
        <v>0</v>
      </c>
      <c r="E134" s="346">
        <f>SUMIF('2월'!$K$11:$K$94,연간_세부항목별지출!$C134,'2월'!$M$11:$M$94)</f>
        <v>0</v>
      </c>
      <c r="F134" s="346">
        <f>SUMIF('3월'!$K$11:$K$94,연간_세부항목별지출!$C134,'3월'!$M$11:$M$94)</f>
        <v>0</v>
      </c>
      <c r="G134" s="346">
        <f>SUMIF('4월'!$K$11:$K$94,연간_세부항목별지출!$C134,'4월'!$M$11:$M$94)</f>
        <v>0</v>
      </c>
      <c r="H134" s="346">
        <f>SUMIF('5월'!$K$11:$K$94,연간_세부항목별지출!$C134,'5월'!$M$11:$M$94)</f>
        <v>0</v>
      </c>
      <c r="I134" s="346">
        <f>SUMIF('6월'!$K$11:$K$94,연간_세부항목별지출!$C134,'6월'!$M$11:$M$94)</f>
        <v>0</v>
      </c>
      <c r="J134" s="346">
        <f>SUMIF('7월'!$K$11:$K$94,연간_세부항목별지출!$C134,'7월'!$M$11:$M$94)</f>
        <v>0</v>
      </c>
      <c r="K134" s="346">
        <f>SUMIF('8월'!$K$11:$K$94,연간_세부항목별지출!$C134,'8월'!$M$11:$M$94)</f>
        <v>0</v>
      </c>
      <c r="L134" s="346">
        <f>SUMIF('9월'!$K$11:$K$94,연간_세부항목별지출!$C134,'9월'!$M$11:$M$94)</f>
        <v>0</v>
      </c>
      <c r="M134" s="346">
        <f>SUMIF('10월'!$K$11:$K$94,연간_세부항목별지출!$C134,'10월'!$M$11:$M$94)</f>
        <v>0</v>
      </c>
      <c r="N134" s="346">
        <f>SUMIF('11월'!$K$11:$K$94,연간_세부항목별지출!$C134,'11월'!$M$11:$M$94)</f>
        <v>0</v>
      </c>
      <c r="O134" s="346">
        <f>SUMIF('12월'!$K$11:$K$94,연간_세부항목별지출!$C134,'12월'!$M$11:$M$94)</f>
        <v>0</v>
      </c>
      <c r="P134" s="413">
        <f t="shared" si="2"/>
        <v>0</v>
      </c>
      <c r="Q134" s="413">
        <f t="shared" si="3"/>
        <v>0</v>
      </c>
      <c r="R134" s="503" t="str">
        <f t="shared" si="8"/>
        <v/>
      </c>
    </row>
    <row r="135" spans="2:18" ht="18" customHeight="1" x14ac:dyDescent="0.3">
      <c r="B135" s="595"/>
      <c r="C135" s="419" t="str">
        <f>IF(항목!L12="","",항목!L12)</f>
        <v/>
      </c>
      <c r="D135" s="346">
        <f>SUMIF('1월'!$K$11:$K$94,연간_세부항목별지출!$C135,'1월'!$M$11:$M$94)</f>
        <v>0</v>
      </c>
      <c r="E135" s="346">
        <f>SUMIF('2월'!$K$11:$K$94,연간_세부항목별지출!$C135,'2월'!$M$11:$M$94)</f>
        <v>0</v>
      </c>
      <c r="F135" s="346">
        <f>SUMIF('3월'!$K$11:$K$94,연간_세부항목별지출!$C135,'3월'!$M$11:$M$94)</f>
        <v>0</v>
      </c>
      <c r="G135" s="346">
        <f>SUMIF('4월'!$K$11:$K$94,연간_세부항목별지출!$C135,'4월'!$M$11:$M$94)</f>
        <v>0</v>
      </c>
      <c r="H135" s="346">
        <f>SUMIF('5월'!$K$11:$K$94,연간_세부항목별지출!$C135,'5월'!$M$11:$M$94)</f>
        <v>0</v>
      </c>
      <c r="I135" s="346">
        <f>SUMIF('6월'!$K$11:$K$94,연간_세부항목별지출!$C135,'6월'!$M$11:$M$94)</f>
        <v>0</v>
      </c>
      <c r="J135" s="346">
        <f>SUMIF('7월'!$K$11:$K$94,연간_세부항목별지출!$C135,'7월'!$M$11:$M$94)</f>
        <v>0</v>
      </c>
      <c r="K135" s="346">
        <f>SUMIF('8월'!$K$11:$K$94,연간_세부항목별지출!$C135,'8월'!$M$11:$M$94)</f>
        <v>0</v>
      </c>
      <c r="L135" s="346">
        <f>SUMIF('9월'!$K$11:$K$94,연간_세부항목별지출!$C135,'9월'!$M$11:$M$94)</f>
        <v>0</v>
      </c>
      <c r="M135" s="346">
        <f>SUMIF('10월'!$K$11:$K$94,연간_세부항목별지출!$C135,'10월'!$M$11:$M$94)</f>
        <v>0</v>
      </c>
      <c r="N135" s="346">
        <f>SUMIF('11월'!$K$11:$K$94,연간_세부항목별지출!$C135,'11월'!$M$11:$M$94)</f>
        <v>0</v>
      </c>
      <c r="O135" s="346">
        <f>SUMIF('12월'!$K$11:$K$94,연간_세부항목별지출!$C135,'12월'!$M$11:$M$94)</f>
        <v>0</v>
      </c>
      <c r="P135" s="413">
        <f t="shared" si="2"/>
        <v>0</v>
      </c>
      <c r="Q135" s="413">
        <f t="shared" si="3"/>
        <v>0</v>
      </c>
      <c r="R135" s="503" t="str">
        <f t="shared" si="8"/>
        <v/>
      </c>
    </row>
    <row r="136" spans="2:18" ht="18" customHeight="1" x14ac:dyDescent="0.3">
      <c r="B136" s="595"/>
      <c r="C136" s="419" t="str">
        <f>IF(항목!L13="","",항목!L13)</f>
        <v/>
      </c>
      <c r="D136" s="346">
        <f>SUMIF('1월'!$K$11:$K$94,연간_세부항목별지출!$C136,'1월'!$M$11:$M$94)</f>
        <v>0</v>
      </c>
      <c r="E136" s="346">
        <f>SUMIF('2월'!$K$11:$K$94,연간_세부항목별지출!$C136,'2월'!$M$11:$M$94)</f>
        <v>0</v>
      </c>
      <c r="F136" s="346">
        <f>SUMIF('3월'!$K$11:$K$94,연간_세부항목별지출!$C136,'3월'!$M$11:$M$94)</f>
        <v>0</v>
      </c>
      <c r="G136" s="346">
        <f>SUMIF('4월'!$K$11:$K$94,연간_세부항목별지출!$C136,'4월'!$M$11:$M$94)</f>
        <v>0</v>
      </c>
      <c r="H136" s="346">
        <f>SUMIF('5월'!$K$11:$K$94,연간_세부항목별지출!$C136,'5월'!$M$11:$M$94)</f>
        <v>0</v>
      </c>
      <c r="I136" s="346">
        <f>SUMIF('6월'!$K$11:$K$94,연간_세부항목별지출!$C136,'6월'!$M$11:$M$94)</f>
        <v>0</v>
      </c>
      <c r="J136" s="346">
        <f>SUMIF('7월'!$K$11:$K$94,연간_세부항목별지출!$C136,'7월'!$M$11:$M$94)</f>
        <v>0</v>
      </c>
      <c r="K136" s="346">
        <f>SUMIF('8월'!$K$11:$K$94,연간_세부항목별지출!$C136,'8월'!$M$11:$M$94)</f>
        <v>0</v>
      </c>
      <c r="L136" s="346">
        <f>SUMIF('9월'!$K$11:$K$94,연간_세부항목별지출!$C136,'9월'!$M$11:$M$94)</f>
        <v>0</v>
      </c>
      <c r="M136" s="346">
        <f>SUMIF('10월'!$K$11:$K$94,연간_세부항목별지출!$C136,'10월'!$M$11:$M$94)</f>
        <v>0</v>
      </c>
      <c r="N136" s="346">
        <f>SUMIF('11월'!$K$11:$K$94,연간_세부항목별지출!$C136,'11월'!$M$11:$M$94)</f>
        <v>0</v>
      </c>
      <c r="O136" s="346">
        <f>SUMIF('12월'!$K$11:$K$94,연간_세부항목별지출!$C136,'12월'!$M$11:$M$94)</f>
        <v>0</v>
      </c>
      <c r="P136" s="413">
        <f t="shared" si="2"/>
        <v>0</v>
      </c>
      <c r="Q136" s="413">
        <f t="shared" si="3"/>
        <v>0</v>
      </c>
      <c r="R136" s="503" t="str">
        <f t="shared" si="8"/>
        <v/>
      </c>
    </row>
    <row r="137" spans="2:18" ht="18" customHeight="1" x14ac:dyDescent="0.3">
      <c r="B137" s="595"/>
      <c r="C137" s="419" t="str">
        <f>IF(항목!L14="","",항목!L14)</f>
        <v/>
      </c>
      <c r="D137" s="346">
        <f>SUMIF('1월'!$K$11:$K$94,연간_세부항목별지출!$C137,'1월'!$M$11:$M$94)</f>
        <v>0</v>
      </c>
      <c r="E137" s="346">
        <f>SUMIF('2월'!$K$11:$K$94,연간_세부항목별지출!$C137,'2월'!$M$11:$M$94)</f>
        <v>0</v>
      </c>
      <c r="F137" s="346">
        <f>SUMIF('3월'!$K$11:$K$94,연간_세부항목별지출!$C137,'3월'!$M$11:$M$94)</f>
        <v>0</v>
      </c>
      <c r="G137" s="346">
        <f>SUMIF('4월'!$K$11:$K$94,연간_세부항목별지출!$C137,'4월'!$M$11:$M$94)</f>
        <v>0</v>
      </c>
      <c r="H137" s="346">
        <f>SUMIF('5월'!$K$11:$K$94,연간_세부항목별지출!$C137,'5월'!$M$11:$M$94)</f>
        <v>0</v>
      </c>
      <c r="I137" s="346">
        <f>SUMIF('6월'!$K$11:$K$94,연간_세부항목별지출!$C137,'6월'!$M$11:$M$94)</f>
        <v>0</v>
      </c>
      <c r="J137" s="346">
        <f>SUMIF('7월'!$K$11:$K$94,연간_세부항목별지출!$C137,'7월'!$M$11:$M$94)</f>
        <v>0</v>
      </c>
      <c r="K137" s="346">
        <f>SUMIF('8월'!$K$11:$K$94,연간_세부항목별지출!$C137,'8월'!$M$11:$M$94)</f>
        <v>0</v>
      </c>
      <c r="L137" s="346">
        <f>SUMIF('9월'!$K$11:$K$94,연간_세부항목별지출!$C137,'9월'!$M$11:$M$94)</f>
        <v>0</v>
      </c>
      <c r="M137" s="346">
        <f>SUMIF('10월'!$K$11:$K$94,연간_세부항목별지출!$C137,'10월'!$M$11:$M$94)</f>
        <v>0</v>
      </c>
      <c r="N137" s="346">
        <f>SUMIF('11월'!$K$11:$K$94,연간_세부항목별지출!$C137,'11월'!$M$11:$M$94)</f>
        <v>0</v>
      </c>
      <c r="O137" s="346">
        <f>SUMIF('12월'!$K$11:$K$94,연간_세부항목별지출!$C137,'12월'!$M$11:$M$94)</f>
        <v>0</v>
      </c>
      <c r="P137" s="413">
        <f t="shared" si="2"/>
        <v>0</v>
      </c>
      <c r="Q137" s="413">
        <f t="shared" si="3"/>
        <v>0</v>
      </c>
      <c r="R137" s="503" t="str">
        <f t="shared" si="8"/>
        <v/>
      </c>
    </row>
    <row r="138" spans="2:18" ht="18" customHeight="1" x14ac:dyDescent="0.3">
      <c r="B138" s="595"/>
      <c r="C138" s="419" t="str">
        <f>IF(항목!L15="","",항목!L15)</f>
        <v/>
      </c>
      <c r="D138" s="346">
        <f>SUMIF('1월'!$K$11:$K$94,연간_세부항목별지출!$C138,'1월'!$M$11:$M$94)</f>
        <v>0</v>
      </c>
      <c r="E138" s="346">
        <f>SUMIF('2월'!$K$11:$K$94,연간_세부항목별지출!$C138,'2월'!$M$11:$M$94)</f>
        <v>0</v>
      </c>
      <c r="F138" s="346">
        <f>SUMIF('3월'!$K$11:$K$94,연간_세부항목별지출!$C138,'3월'!$M$11:$M$94)</f>
        <v>0</v>
      </c>
      <c r="G138" s="346">
        <f>SUMIF('4월'!$K$11:$K$94,연간_세부항목별지출!$C138,'4월'!$M$11:$M$94)</f>
        <v>0</v>
      </c>
      <c r="H138" s="346">
        <f>SUMIF('5월'!$K$11:$K$94,연간_세부항목별지출!$C138,'5월'!$M$11:$M$94)</f>
        <v>0</v>
      </c>
      <c r="I138" s="346">
        <f>SUMIF('6월'!$K$11:$K$94,연간_세부항목별지출!$C138,'6월'!$M$11:$M$94)</f>
        <v>0</v>
      </c>
      <c r="J138" s="346">
        <f>SUMIF('7월'!$K$11:$K$94,연간_세부항목별지출!$C138,'7월'!$M$11:$M$94)</f>
        <v>0</v>
      </c>
      <c r="K138" s="346">
        <f>SUMIF('8월'!$K$11:$K$94,연간_세부항목별지출!$C138,'8월'!$M$11:$M$94)</f>
        <v>0</v>
      </c>
      <c r="L138" s="346">
        <f>SUMIF('9월'!$K$11:$K$94,연간_세부항목별지출!$C138,'9월'!$M$11:$M$94)</f>
        <v>0</v>
      </c>
      <c r="M138" s="346">
        <f>SUMIF('10월'!$K$11:$K$94,연간_세부항목별지출!$C138,'10월'!$M$11:$M$94)</f>
        <v>0</v>
      </c>
      <c r="N138" s="346">
        <f>SUMIF('11월'!$K$11:$K$94,연간_세부항목별지출!$C138,'11월'!$M$11:$M$94)</f>
        <v>0</v>
      </c>
      <c r="O138" s="346">
        <f>SUMIF('12월'!$K$11:$K$94,연간_세부항목별지출!$C138,'12월'!$M$11:$M$94)</f>
        <v>0</v>
      </c>
      <c r="P138" s="413">
        <f t="shared" si="2"/>
        <v>0</v>
      </c>
      <c r="Q138" s="413">
        <f t="shared" si="3"/>
        <v>0</v>
      </c>
      <c r="R138" s="503" t="str">
        <f t="shared" si="8"/>
        <v/>
      </c>
    </row>
    <row r="139" spans="2:18" ht="18" customHeight="1" x14ac:dyDescent="0.3">
      <c r="B139" s="595"/>
      <c r="C139" s="419" t="str">
        <f>IF(항목!L16="","",항목!L16)</f>
        <v/>
      </c>
      <c r="D139" s="346">
        <f>SUMIF('1월'!$K$11:$K$94,연간_세부항목별지출!$C139,'1월'!$M$11:$M$94)</f>
        <v>0</v>
      </c>
      <c r="E139" s="346">
        <f>SUMIF('2월'!$K$11:$K$94,연간_세부항목별지출!$C139,'2월'!$M$11:$M$94)</f>
        <v>0</v>
      </c>
      <c r="F139" s="346">
        <f>SUMIF('3월'!$K$11:$K$94,연간_세부항목별지출!$C139,'3월'!$M$11:$M$94)</f>
        <v>0</v>
      </c>
      <c r="G139" s="346">
        <f>SUMIF('4월'!$K$11:$K$94,연간_세부항목별지출!$C139,'4월'!$M$11:$M$94)</f>
        <v>0</v>
      </c>
      <c r="H139" s="346">
        <f>SUMIF('5월'!$K$11:$K$94,연간_세부항목별지출!$C139,'5월'!$M$11:$M$94)</f>
        <v>0</v>
      </c>
      <c r="I139" s="346">
        <f>SUMIF('6월'!$K$11:$K$94,연간_세부항목별지출!$C139,'6월'!$M$11:$M$94)</f>
        <v>0</v>
      </c>
      <c r="J139" s="346">
        <f>SUMIF('7월'!$K$11:$K$94,연간_세부항목별지출!$C139,'7월'!$M$11:$M$94)</f>
        <v>0</v>
      </c>
      <c r="K139" s="346">
        <f>SUMIF('8월'!$K$11:$K$94,연간_세부항목별지출!$C139,'8월'!$M$11:$M$94)</f>
        <v>0</v>
      </c>
      <c r="L139" s="346">
        <f>SUMIF('9월'!$K$11:$K$94,연간_세부항목별지출!$C139,'9월'!$M$11:$M$94)</f>
        <v>0</v>
      </c>
      <c r="M139" s="346">
        <f>SUMIF('10월'!$K$11:$K$94,연간_세부항목별지출!$C139,'10월'!$M$11:$M$94)</f>
        <v>0</v>
      </c>
      <c r="N139" s="346">
        <f>SUMIF('11월'!$K$11:$K$94,연간_세부항목별지출!$C139,'11월'!$M$11:$M$94)</f>
        <v>0</v>
      </c>
      <c r="O139" s="346">
        <f>SUMIF('12월'!$K$11:$K$94,연간_세부항목별지출!$C139,'12월'!$M$11:$M$94)</f>
        <v>0</v>
      </c>
      <c r="P139" s="413">
        <f t="shared" si="2"/>
        <v>0</v>
      </c>
      <c r="Q139" s="413">
        <f t="shared" si="3"/>
        <v>0</v>
      </c>
      <c r="R139" s="503" t="str">
        <f t="shared" si="8"/>
        <v/>
      </c>
    </row>
    <row r="140" spans="2:18" ht="18" customHeight="1" x14ac:dyDescent="0.3">
      <c r="B140" s="595"/>
      <c r="C140" s="419" t="str">
        <f>IF(항목!L17="","",항목!L17)</f>
        <v/>
      </c>
      <c r="D140" s="346">
        <f>SUMIF('1월'!$K$11:$K$94,연간_세부항목별지출!$C140,'1월'!$M$11:$M$94)</f>
        <v>0</v>
      </c>
      <c r="E140" s="346">
        <f>SUMIF('2월'!$K$11:$K$94,연간_세부항목별지출!$C140,'2월'!$M$11:$M$94)</f>
        <v>0</v>
      </c>
      <c r="F140" s="346">
        <f>SUMIF('3월'!$K$11:$K$94,연간_세부항목별지출!$C140,'3월'!$M$11:$M$94)</f>
        <v>0</v>
      </c>
      <c r="G140" s="346">
        <f>SUMIF('4월'!$K$11:$K$94,연간_세부항목별지출!$C140,'4월'!$M$11:$M$94)</f>
        <v>0</v>
      </c>
      <c r="H140" s="346">
        <f>SUMIF('5월'!$K$11:$K$94,연간_세부항목별지출!$C140,'5월'!$M$11:$M$94)</f>
        <v>0</v>
      </c>
      <c r="I140" s="346">
        <f>SUMIF('6월'!$K$11:$K$94,연간_세부항목별지출!$C140,'6월'!$M$11:$M$94)</f>
        <v>0</v>
      </c>
      <c r="J140" s="346">
        <f>SUMIF('7월'!$K$11:$K$94,연간_세부항목별지출!$C140,'7월'!$M$11:$M$94)</f>
        <v>0</v>
      </c>
      <c r="K140" s="346">
        <f>SUMIF('8월'!$K$11:$K$94,연간_세부항목별지출!$C140,'8월'!$M$11:$M$94)</f>
        <v>0</v>
      </c>
      <c r="L140" s="346">
        <f>SUMIF('9월'!$K$11:$K$94,연간_세부항목별지출!$C140,'9월'!$M$11:$M$94)</f>
        <v>0</v>
      </c>
      <c r="M140" s="346">
        <f>SUMIF('10월'!$K$11:$K$94,연간_세부항목별지출!$C140,'10월'!$M$11:$M$94)</f>
        <v>0</v>
      </c>
      <c r="N140" s="346">
        <f>SUMIF('11월'!$K$11:$K$94,연간_세부항목별지출!$C140,'11월'!$M$11:$M$94)</f>
        <v>0</v>
      </c>
      <c r="O140" s="346">
        <f>SUMIF('12월'!$K$11:$K$94,연간_세부항목별지출!$C140,'12월'!$M$11:$M$94)</f>
        <v>0</v>
      </c>
      <c r="P140" s="413">
        <f t="shared" si="2"/>
        <v>0</v>
      </c>
      <c r="Q140" s="413">
        <f t="shared" si="3"/>
        <v>0</v>
      </c>
      <c r="R140" s="503" t="str">
        <f t="shared" si="8"/>
        <v/>
      </c>
    </row>
    <row r="141" spans="2:18" ht="18" customHeight="1" thickBot="1" x14ac:dyDescent="0.35">
      <c r="B141" s="596"/>
      <c r="C141" s="514" t="str">
        <f>IF(항목!L18="","",항목!L18)</f>
        <v/>
      </c>
      <c r="D141" s="515">
        <f>SUMIF('1월'!$K$11:$K$94,연간_세부항목별지출!$C141,'1월'!$M$11:$M$94)</f>
        <v>0</v>
      </c>
      <c r="E141" s="515">
        <f>SUMIF('2월'!$K$11:$K$94,연간_세부항목별지출!$C141,'2월'!$M$11:$M$94)</f>
        <v>0</v>
      </c>
      <c r="F141" s="515">
        <f>SUMIF('3월'!$K$11:$K$94,연간_세부항목별지출!$C141,'3월'!$M$11:$M$94)</f>
        <v>0</v>
      </c>
      <c r="G141" s="515">
        <f>SUMIF('4월'!$K$11:$K$94,연간_세부항목별지출!$C141,'4월'!$M$11:$M$94)</f>
        <v>0</v>
      </c>
      <c r="H141" s="515">
        <f>SUMIF('5월'!$K$11:$K$94,연간_세부항목별지출!$C141,'5월'!$M$11:$M$94)</f>
        <v>0</v>
      </c>
      <c r="I141" s="515">
        <f>SUMIF('6월'!$K$11:$K$94,연간_세부항목별지출!$C141,'6월'!$M$11:$M$94)</f>
        <v>0</v>
      </c>
      <c r="J141" s="515">
        <f>SUMIF('7월'!$K$11:$K$94,연간_세부항목별지출!$C141,'7월'!$M$11:$M$94)</f>
        <v>0</v>
      </c>
      <c r="K141" s="515">
        <f>SUMIF('8월'!$K$11:$K$94,연간_세부항목별지출!$C141,'8월'!$M$11:$M$94)</f>
        <v>0</v>
      </c>
      <c r="L141" s="515">
        <f>SUMIF('9월'!$K$11:$K$94,연간_세부항목별지출!$C141,'9월'!$M$11:$M$94)</f>
        <v>0</v>
      </c>
      <c r="M141" s="515">
        <f>SUMIF('10월'!$K$11:$K$94,연간_세부항목별지출!$C141,'10월'!$M$11:$M$94)</f>
        <v>0</v>
      </c>
      <c r="N141" s="515">
        <f>SUMIF('11월'!$K$11:$K$94,연간_세부항목별지출!$C141,'11월'!$M$11:$M$94)</f>
        <v>0</v>
      </c>
      <c r="O141" s="515">
        <f>SUMIF('12월'!$K$11:$K$94,연간_세부항목별지출!$C141,'12월'!$M$11:$M$94)</f>
        <v>0</v>
      </c>
      <c r="P141" s="422">
        <f t="shared" si="2"/>
        <v>0</v>
      </c>
      <c r="Q141" s="422">
        <f t="shared" si="3"/>
        <v>0</v>
      </c>
      <c r="R141" s="506" t="str">
        <f t="shared" si="8"/>
        <v/>
      </c>
    </row>
    <row r="142" spans="2:18" ht="18" customHeight="1" x14ac:dyDescent="0.3">
      <c r="B142" s="594" t="str">
        <f>항목!M3</f>
        <v>의료비</v>
      </c>
      <c r="C142" s="513" t="str">
        <f>IF(항목!M4="","",항목!M4)</f>
        <v>병원</v>
      </c>
      <c r="D142" s="351">
        <f>SUMIF('1월'!$K$11:$K$94,연간_세부항목별지출!$C142,'1월'!$M$11:$M$94)</f>
        <v>0</v>
      </c>
      <c r="E142" s="351">
        <f>SUMIF('2월'!$K$11:$K$94,연간_세부항목별지출!$C142,'2월'!$M$11:$M$94)</f>
        <v>0</v>
      </c>
      <c r="F142" s="351">
        <f>SUMIF('3월'!$K$11:$K$94,연간_세부항목별지출!$C142,'3월'!$M$11:$M$94)</f>
        <v>0</v>
      </c>
      <c r="G142" s="351">
        <f>SUMIF('4월'!$K$11:$K$94,연간_세부항목별지출!$C142,'4월'!$M$11:$M$94)</f>
        <v>0</v>
      </c>
      <c r="H142" s="351">
        <f>SUMIF('5월'!$K$11:$K$94,연간_세부항목별지출!$C142,'5월'!$M$11:$M$94)</f>
        <v>0</v>
      </c>
      <c r="I142" s="351">
        <f>SUMIF('6월'!$K$11:$K$94,연간_세부항목별지출!$C142,'6월'!$M$11:$M$94)</f>
        <v>0</v>
      </c>
      <c r="J142" s="351">
        <f>SUMIF('7월'!$K$11:$K$94,연간_세부항목별지출!$C142,'7월'!$M$11:$M$94)</f>
        <v>0</v>
      </c>
      <c r="K142" s="351">
        <f>SUMIF('8월'!$K$11:$K$94,연간_세부항목별지출!$C142,'8월'!$M$11:$M$94)</f>
        <v>0</v>
      </c>
      <c r="L142" s="351">
        <f>SUMIF('9월'!$K$11:$K$94,연간_세부항목별지출!$C142,'9월'!$M$11:$M$94)</f>
        <v>0</v>
      </c>
      <c r="M142" s="351">
        <f>SUMIF('10월'!$K$11:$K$94,연간_세부항목별지출!$C142,'10월'!$M$11:$M$94)</f>
        <v>0</v>
      </c>
      <c r="N142" s="351">
        <f>SUMIF('11월'!$K$11:$K$94,연간_세부항목별지출!$C142,'11월'!$M$11:$M$94)</f>
        <v>0</v>
      </c>
      <c r="O142" s="351">
        <f>SUMIF('12월'!$K$11:$K$94,연간_세부항목별지출!$C142,'12월'!$M$11:$M$94)</f>
        <v>0</v>
      </c>
      <c r="P142" s="516">
        <f t="shared" si="2"/>
        <v>0</v>
      </c>
      <c r="Q142" s="516">
        <f t="shared" si="3"/>
        <v>0</v>
      </c>
      <c r="R142" s="517" t="str">
        <f t="shared" si="8"/>
        <v/>
      </c>
    </row>
    <row r="143" spans="2:18" ht="18" customHeight="1" x14ac:dyDescent="0.3">
      <c r="B143" s="595"/>
      <c r="C143" s="420" t="str">
        <f>IF(항목!M5="","",항목!M5)</f>
        <v>의약품</v>
      </c>
      <c r="D143" s="346">
        <f>SUMIF('1월'!$K$11:$K$94,연간_세부항목별지출!$C143,'1월'!$M$11:$M$94)</f>
        <v>0</v>
      </c>
      <c r="E143" s="346">
        <f>SUMIF('2월'!$K$11:$K$94,연간_세부항목별지출!$C143,'2월'!$M$11:$M$94)</f>
        <v>0</v>
      </c>
      <c r="F143" s="346">
        <f>SUMIF('3월'!$K$11:$K$94,연간_세부항목별지출!$C143,'3월'!$M$11:$M$94)</f>
        <v>0</v>
      </c>
      <c r="G143" s="346">
        <f>SUMIF('4월'!$K$11:$K$94,연간_세부항목별지출!$C143,'4월'!$M$11:$M$94)</f>
        <v>0</v>
      </c>
      <c r="H143" s="346">
        <f>SUMIF('5월'!$K$11:$K$94,연간_세부항목별지출!$C143,'5월'!$M$11:$M$94)</f>
        <v>0</v>
      </c>
      <c r="I143" s="346">
        <f>SUMIF('6월'!$K$11:$K$94,연간_세부항목별지출!$C143,'6월'!$M$11:$M$94)</f>
        <v>0</v>
      </c>
      <c r="J143" s="346">
        <f>SUMIF('7월'!$K$11:$K$94,연간_세부항목별지출!$C143,'7월'!$M$11:$M$94)</f>
        <v>0</v>
      </c>
      <c r="K143" s="346">
        <f>SUMIF('8월'!$K$11:$K$94,연간_세부항목별지출!$C143,'8월'!$M$11:$M$94)</f>
        <v>0</v>
      </c>
      <c r="L143" s="346">
        <f>SUMIF('9월'!$K$11:$K$94,연간_세부항목별지출!$C143,'9월'!$M$11:$M$94)</f>
        <v>0</v>
      </c>
      <c r="M143" s="346">
        <f>SUMIF('10월'!$K$11:$K$94,연간_세부항목별지출!$C143,'10월'!$M$11:$M$94)</f>
        <v>0</v>
      </c>
      <c r="N143" s="346">
        <f>SUMIF('11월'!$K$11:$K$94,연간_세부항목별지출!$C143,'11월'!$M$11:$M$94)</f>
        <v>0</v>
      </c>
      <c r="O143" s="346">
        <f>SUMIF('12월'!$K$11:$K$94,연간_세부항목별지출!$C143,'12월'!$M$11:$M$94)</f>
        <v>0</v>
      </c>
      <c r="P143" s="413">
        <f t="shared" si="2"/>
        <v>0</v>
      </c>
      <c r="Q143" s="413">
        <f t="shared" si="3"/>
        <v>0</v>
      </c>
      <c r="R143" s="503" t="str">
        <f t="shared" si="8"/>
        <v/>
      </c>
    </row>
    <row r="144" spans="2:18" ht="18" customHeight="1" x14ac:dyDescent="0.3">
      <c r="B144" s="595"/>
      <c r="C144" s="420" t="str">
        <f>IF(항목!M6="","",항목!M6)</f>
        <v>영양제</v>
      </c>
      <c r="D144" s="346">
        <f>SUMIF('1월'!$K$11:$K$94,연간_세부항목별지출!$C144,'1월'!$M$11:$M$94)</f>
        <v>0</v>
      </c>
      <c r="E144" s="346">
        <f>SUMIF('2월'!$K$11:$K$94,연간_세부항목별지출!$C144,'2월'!$M$11:$M$94)</f>
        <v>0</v>
      </c>
      <c r="F144" s="346">
        <f>SUMIF('3월'!$K$11:$K$94,연간_세부항목별지출!$C144,'3월'!$M$11:$M$94)</f>
        <v>0</v>
      </c>
      <c r="G144" s="346">
        <f>SUMIF('4월'!$K$11:$K$94,연간_세부항목별지출!$C144,'4월'!$M$11:$M$94)</f>
        <v>0</v>
      </c>
      <c r="H144" s="346">
        <f>SUMIF('5월'!$K$11:$K$94,연간_세부항목별지출!$C144,'5월'!$M$11:$M$94)</f>
        <v>0</v>
      </c>
      <c r="I144" s="346">
        <f>SUMIF('6월'!$K$11:$K$94,연간_세부항목별지출!$C144,'6월'!$M$11:$M$94)</f>
        <v>0</v>
      </c>
      <c r="J144" s="346">
        <f>SUMIF('7월'!$K$11:$K$94,연간_세부항목별지출!$C144,'7월'!$M$11:$M$94)</f>
        <v>0</v>
      </c>
      <c r="K144" s="346">
        <f>SUMIF('8월'!$K$11:$K$94,연간_세부항목별지출!$C144,'8월'!$M$11:$M$94)</f>
        <v>0</v>
      </c>
      <c r="L144" s="346">
        <f>SUMIF('9월'!$K$11:$K$94,연간_세부항목별지출!$C144,'9월'!$M$11:$M$94)</f>
        <v>0</v>
      </c>
      <c r="M144" s="346">
        <f>SUMIF('10월'!$K$11:$K$94,연간_세부항목별지출!$C144,'10월'!$M$11:$M$94)</f>
        <v>0</v>
      </c>
      <c r="N144" s="346">
        <f>SUMIF('11월'!$K$11:$K$94,연간_세부항목별지출!$C144,'11월'!$M$11:$M$94)</f>
        <v>0</v>
      </c>
      <c r="O144" s="346">
        <f>SUMIF('12월'!$K$11:$K$94,연간_세부항목별지출!$C144,'12월'!$M$11:$M$94)</f>
        <v>0</v>
      </c>
      <c r="P144" s="413">
        <f t="shared" si="2"/>
        <v>0</v>
      </c>
      <c r="Q144" s="413">
        <f t="shared" si="3"/>
        <v>0</v>
      </c>
      <c r="R144" s="503" t="str">
        <f t="shared" si="8"/>
        <v/>
      </c>
    </row>
    <row r="145" spans="2:18" ht="18" customHeight="1" x14ac:dyDescent="0.3">
      <c r="B145" s="595"/>
      <c r="C145" s="420" t="str">
        <f>IF(항목!M7="","",항목!M7)</f>
        <v>보험료</v>
      </c>
      <c r="D145" s="346">
        <f>SUMIF('1월'!$K$11:$K$94,연간_세부항목별지출!$C145,'1월'!$M$11:$M$94)</f>
        <v>0</v>
      </c>
      <c r="E145" s="346">
        <f>SUMIF('2월'!$K$11:$K$94,연간_세부항목별지출!$C145,'2월'!$M$11:$M$94)</f>
        <v>0</v>
      </c>
      <c r="F145" s="346">
        <f>SUMIF('3월'!$K$11:$K$94,연간_세부항목별지출!$C145,'3월'!$M$11:$M$94)</f>
        <v>0</v>
      </c>
      <c r="G145" s="346">
        <f>SUMIF('4월'!$K$11:$K$94,연간_세부항목별지출!$C145,'4월'!$M$11:$M$94)</f>
        <v>0</v>
      </c>
      <c r="H145" s="346">
        <f>SUMIF('5월'!$K$11:$K$94,연간_세부항목별지출!$C145,'5월'!$M$11:$M$94)</f>
        <v>0</v>
      </c>
      <c r="I145" s="346">
        <f>SUMIF('6월'!$K$11:$K$94,연간_세부항목별지출!$C145,'6월'!$M$11:$M$94)</f>
        <v>0</v>
      </c>
      <c r="J145" s="346">
        <f>SUMIF('7월'!$K$11:$K$94,연간_세부항목별지출!$C145,'7월'!$M$11:$M$94)</f>
        <v>0</v>
      </c>
      <c r="K145" s="346">
        <f>SUMIF('8월'!$K$11:$K$94,연간_세부항목별지출!$C145,'8월'!$M$11:$M$94)</f>
        <v>0</v>
      </c>
      <c r="L145" s="346">
        <f>SUMIF('9월'!$K$11:$K$94,연간_세부항목별지출!$C145,'9월'!$M$11:$M$94)</f>
        <v>0</v>
      </c>
      <c r="M145" s="346">
        <f>SUMIF('10월'!$K$11:$K$94,연간_세부항목별지출!$C145,'10월'!$M$11:$M$94)</f>
        <v>0</v>
      </c>
      <c r="N145" s="346">
        <f>SUMIF('11월'!$K$11:$K$94,연간_세부항목별지출!$C145,'11월'!$M$11:$M$94)</f>
        <v>0</v>
      </c>
      <c r="O145" s="346">
        <f>SUMIF('12월'!$K$11:$K$94,연간_세부항목별지출!$C145,'12월'!$M$11:$M$94)</f>
        <v>0</v>
      </c>
      <c r="P145" s="413">
        <f t="shared" si="2"/>
        <v>0</v>
      </c>
      <c r="Q145" s="413">
        <f t="shared" si="3"/>
        <v>0</v>
      </c>
      <c r="R145" s="503" t="str">
        <f t="shared" si="8"/>
        <v/>
      </c>
    </row>
    <row r="146" spans="2:18" ht="18" customHeight="1" x14ac:dyDescent="0.3">
      <c r="B146" s="595"/>
      <c r="C146" s="420" t="str">
        <f>IF(항목!M8="","",항목!M8)</f>
        <v>기타 의료비</v>
      </c>
      <c r="D146" s="346">
        <f>SUMIF('1월'!$K$11:$K$94,연간_세부항목별지출!$C146,'1월'!$M$11:$M$94)</f>
        <v>0</v>
      </c>
      <c r="E146" s="346">
        <f>SUMIF('2월'!$K$11:$K$94,연간_세부항목별지출!$C146,'2월'!$M$11:$M$94)</f>
        <v>0</v>
      </c>
      <c r="F146" s="346">
        <f>SUMIF('3월'!$K$11:$K$94,연간_세부항목별지출!$C146,'3월'!$M$11:$M$94)</f>
        <v>0</v>
      </c>
      <c r="G146" s="346">
        <f>SUMIF('4월'!$K$11:$K$94,연간_세부항목별지출!$C146,'4월'!$M$11:$M$94)</f>
        <v>0</v>
      </c>
      <c r="H146" s="346">
        <f>SUMIF('5월'!$K$11:$K$94,연간_세부항목별지출!$C146,'5월'!$M$11:$M$94)</f>
        <v>0</v>
      </c>
      <c r="I146" s="346">
        <f>SUMIF('6월'!$K$11:$K$94,연간_세부항목별지출!$C146,'6월'!$M$11:$M$94)</f>
        <v>0</v>
      </c>
      <c r="J146" s="346">
        <f>SUMIF('7월'!$K$11:$K$94,연간_세부항목별지출!$C146,'7월'!$M$11:$M$94)</f>
        <v>0</v>
      </c>
      <c r="K146" s="346">
        <f>SUMIF('8월'!$K$11:$K$94,연간_세부항목별지출!$C146,'8월'!$M$11:$M$94)</f>
        <v>0</v>
      </c>
      <c r="L146" s="346">
        <f>SUMIF('9월'!$K$11:$K$94,연간_세부항목별지출!$C146,'9월'!$M$11:$M$94)</f>
        <v>0</v>
      </c>
      <c r="M146" s="346">
        <f>SUMIF('10월'!$K$11:$K$94,연간_세부항목별지출!$C146,'10월'!$M$11:$M$94)</f>
        <v>0</v>
      </c>
      <c r="N146" s="346">
        <f>SUMIF('11월'!$K$11:$K$94,연간_세부항목별지출!$C146,'11월'!$M$11:$M$94)</f>
        <v>0</v>
      </c>
      <c r="O146" s="346">
        <f>SUMIF('12월'!$K$11:$K$94,연간_세부항목별지출!$C146,'12월'!$M$11:$M$94)</f>
        <v>0</v>
      </c>
      <c r="P146" s="413">
        <f t="shared" si="2"/>
        <v>0</v>
      </c>
      <c r="Q146" s="413">
        <f t="shared" si="3"/>
        <v>0</v>
      </c>
      <c r="R146" s="503" t="str">
        <f t="shared" si="8"/>
        <v/>
      </c>
    </row>
    <row r="147" spans="2:18" ht="18" customHeight="1" x14ac:dyDescent="0.3">
      <c r="B147" s="595"/>
      <c r="C147" s="420" t="str">
        <f>IF(항목!M9="","",항목!M9)</f>
        <v/>
      </c>
      <c r="D147" s="346">
        <f>SUMIF('1월'!$K$11:$K$94,연간_세부항목별지출!$C147,'1월'!$M$11:$M$94)</f>
        <v>0</v>
      </c>
      <c r="E147" s="346">
        <f>SUMIF('2월'!$K$11:$K$94,연간_세부항목별지출!$C147,'2월'!$M$11:$M$94)</f>
        <v>0</v>
      </c>
      <c r="F147" s="346">
        <f>SUMIF('3월'!$K$11:$K$94,연간_세부항목별지출!$C147,'3월'!$M$11:$M$94)</f>
        <v>0</v>
      </c>
      <c r="G147" s="346">
        <f>SUMIF('4월'!$K$11:$K$94,연간_세부항목별지출!$C147,'4월'!$M$11:$M$94)</f>
        <v>0</v>
      </c>
      <c r="H147" s="346">
        <f>SUMIF('5월'!$K$11:$K$94,연간_세부항목별지출!$C147,'5월'!$M$11:$M$94)</f>
        <v>0</v>
      </c>
      <c r="I147" s="346">
        <f>SUMIF('6월'!$K$11:$K$94,연간_세부항목별지출!$C147,'6월'!$M$11:$M$94)</f>
        <v>0</v>
      </c>
      <c r="J147" s="346">
        <f>SUMIF('7월'!$K$11:$K$94,연간_세부항목별지출!$C147,'7월'!$M$11:$M$94)</f>
        <v>0</v>
      </c>
      <c r="K147" s="346">
        <f>SUMIF('8월'!$K$11:$K$94,연간_세부항목별지출!$C147,'8월'!$M$11:$M$94)</f>
        <v>0</v>
      </c>
      <c r="L147" s="346">
        <f>SUMIF('9월'!$K$11:$K$94,연간_세부항목별지출!$C147,'9월'!$M$11:$M$94)</f>
        <v>0</v>
      </c>
      <c r="M147" s="346">
        <f>SUMIF('10월'!$K$11:$K$94,연간_세부항목별지출!$C147,'10월'!$M$11:$M$94)</f>
        <v>0</v>
      </c>
      <c r="N147" s="346">
        <f>SUMIF('11월'!$K$11:$K$94,연간_세부항목별지출!$C147,'11월'!$M$11:$M$94)</f>
        <v>0</v>
      </c>
      <c r="O147" s="346">
        <f>SUMIF('12월'!$K$11:$K$94,연간_세부항목별지출!$C147,'12월'!$M$11:$M$94)</f>
        <v>0</v>
      </c>
      <c r="P147" s="413">
        <f t="shared" si="2"/>
        <v>0</v>
      </c>
      <c r="Q147" s="413">
        <f t="shared" si="3"/>
        <v>0</v>
      </c>
      <c r="R147" s="503" t="str">
        <f t="shared" si="8"/>
        <v/>
      </c>
    </row>
    <row r="148" spans="2:18" ht="18" customHeight="1" x14ac:dyDescent="0.3">
      <c r="B148" s="595"/>
      <c r="C148" s="420" t="str">
        <f>IF(항목!M10="","",항목!M10)</f>
        <v/>
      </c>
      <c r="D148" s="346">
        <f>SUMIF('1월'!$K$11:$K$94,연간_세부항목별지출!$C148,'1월'!$M$11:$M$94)</f>
        <v>0</v>
      </c>
      <c r="E148" s="346">
        <f>SUMIF('2월'!$K$11:$K$94,연간_세부항목별지출!$C148,'2월'!$M$11:$M$94)</f>
        <v>0</v>
      </c>
      <c r="F148" s="346">
        <f>SUMIF('3월'!$K$11:$K$94,연간_세부항목별지출!$C148,'3월'!$M$11:$M$94)</f>
        <v>0</v>
      </c>
      <c r="G148" s="346">
        <f>SUMIF('4월'!$K$11:$K$94,연간_세부항목별지출!$C148,'4월'!$M$11:$M$94)</f>
        <v>0</v>
      </c>
      <c r="H148" s="346">
        <f>SUMIF('5월'!$K$11:$K$94,연간_세부항목별지출!$C148,'5월'!$M$11:$M$94)</f>
        <v>0</v>
      </c>
      <c r="I148" s="346">
        <f>SUMIF('6월'!$K$11:$K$94,연간_세부항목별지출!$C148,'6월'!$M$11:$M$94)</f>
        <v>0</v>
      </c>
      <c r="J148" s="346">
        <f>SUMIF('7월'!$K$11:$K$94,연간_세부항목별지출!$C148,'7월'!$M$11:$M$94)</f>
        <v>0</v>
      </c>
      <c r="K148" s="346">
        <f>SUMIF('8월'!$K$11:$K$94,연간_세부항목별지출!$C148,'8월'!$M$11:$M$94)</f>
        <v>0</v>
      </c>
      <c r="L148" s="346">
        <f>SUMIF('9월'!$K$11:$K$94,연간_세부항목별지출!$C148,'9월'!$M$11:$M$94)</f>
        <v>0</v>
      </c>
      <c r="M148" s="346">
        <f>SUMIF('10월'!$K$11:$K$94,연간_세부항목별지출!$C148,'10월'!$M$11:$M$94)</f>
        <v>0</v>
      </c>
      <c r="N148" s="346">
        <f>SUMIF('11월'!$K$11:$K$94,연간_세부항목별지출!$C148,'11월'!$M$11:$M$94)</f>
        <v>0</v>
      </c>
      <c r="O148" s="346">
        <f>SUMIF('12월'!$K$11:$K$94,연간_세부항목별지출!$C148,'12월'!$M$11:$M$94)</f>
        <v>0</v>
      </c>
      <c r="P148" s="413">
        <f t="shared" si="2"/>
        <v>0</v>
      </c>
      <c r="Q148" s="413">
        <f t="shared" si="3"/>
        <v>0</v>
      </c>
      <c r="R148" s="503" t="str">
        <f t="shared" si="8"/>
        <v/>
      </c>
    </row>
    <row r="149" spans="2:18" ht="18" customHeight="1" x14ac:dyDescent="0.3">
      <c r="B149" s="595"/>
      <c r="C149" s="420" t="str">
        <f>IF(항목!M11="","",항목!M11)</f>
        <v/>
      </c>
      <c r="D149" s="346">
        <f>SUMIF('1월'!$K$11:$K$94,연간_세부항목별지출!$C149,'1월'!$M$11:$M$94)</f>
        <v>0</v>
      </c>
      <c r="E149" s="346">
        <f>SUMIF('2월'!$K$11:$K$94,연간_세부항목별지출!$C149,'2월'!$M$11:$M$94)</f>
        <v>0</v>
      </c>
      <c r="F149" s="346">
        <f>SUMIF('3월'!$K$11:$K$94,연간_세부항목별지출!$C149,'3월'!$M$11:$M$94)</f>
        <v>0</v>
      </c>
      <c r="G149" s="346">
        <f>SUMIF('4월'!$K$11:$K$94,연간_세부항목별지출!$C149,'4월'!$M$11:$M$94)</f>
        <v>0</v>
      </c>
      <c r="H149" s="346">
        <f>SUMIF('5월'!$K$11:$K$94,연간_세부항목별지출!$C149,'5월'!$M$11:$M$94)</f>
        <v>0</v>
      </c>
      <c r="I149" s="346">
        <f>SUMIF('6월'!$K$11:$K$94,연간_세부항목별지출!$C149,'6월'!$M$11:$M$94)</f>
        <v>0</v>
      </c>
      <c r="J149" s="346">
        <f>SUMIF('7월'!$K$11:$K$94,연간_세부항목별지출!$C149,'7월'!$M$11:$M$94)</f>
        <v>0</v>
      </c>
      <c r="K149" s="346">
        <f>SUMIF('8월'!$K$11:$K$94,연간_세부항목별지출!$C149,'8월'!$M$11:$M$94)</f>
        <v>0</v>
      </c>
      <c r="L149" s="346">
        <f>SUMIF('9월'!$K$11:$K$94,연간_세부항목별지출!$C149,'9월'!$M$11:$M$94)</f>
        <v>0</v>
      </c>
      <c r="M149" s="346">
        <f>SUMIF('10월'!$K$11:$K$94,연간_세부항목별지출!$C149,'10월'!$M$11:$M$94)</f>
        <v>0</v>
      </c>
      <c r="N149" s="346">
        <f>SUMIF('11월'!$K$11:$K$94,연간_세부항목별지출!$C149,'11월'!$M$11:$M$94)</f>
        <v>0</v>
      </c>
      <c r="O149" s="346">
        <f>SUMIF('12월'!$K$11:$K$94,연간_세부항목별지출!$C149,'12월'!$M$11:$M$94)</f>
        <v>0</v>
      </c>
      <c r="P149" s="413">
        <f t="shared" si="2"/>
        <v>0</v>
      </c>
      <c r="Q149" s="413">
        <f t="shared" si="3"/>
        <v>0</v>
      </c>
      <c r="R149" s="503" t="str">
        <f t="shared" si="8"/>
        <v/>
      </c>
    </row>
    <row r="150" spans="2:18" ht="18" customHeight="1" x14ac:dyDescent="0.3">
      <c r="B150" s="595"/>
      <c r="C150" s="420" t="str">
        <f>IF(항목!M12="","",항목!M12)</f>
        <v/>
      </c>
      <c r="D150" s="346">
        <f>SUMIF('1월'!$K$11:$K$94,연간_세부항목별지출!$C150,'1월'!$M$11:$M$94)</f>
        <v>0</v>
      </c>
      <c r="E150" s="346">
        <f>SUMIF('2월'!$K$11:$K$94,연간_세부항목별지출!$C150,'2월'!$M$11:$M$94)</f>
        <v>0</v>
      </c>
      <c r="F150" s="346">
        <f>SUMIF('3월'!$K$11:$K$94,연간_세부항목별지출!$C150,'3월'!$M$11:$M$94)</f>
        <v>0</v>
      </c>
      <c r="G150" s="346">
        <f>SUMIF('4월'!$K$11:$K$94,연간_세부항목별지출!$C150,'4월'!$M$11:$M$94)</f>
        <v>0</v>
      </c>
      <c r="H150" s="346">
        <f>SUMIF('5월'!$K$11:$K$94,연간_세부항목별지출!$C150,'5월'!$M$11:$M$94)</f>
        <v>0</v>
      </c>
      <c r="I150" s="346">
        <f>SUMIF('6월'!$K$11:$K$94,연간_세부항목별지출!$C150,'6월'!$M$11:$M$94)</f>
        <v>0</v>
      </c>
      <c r="J150" s="346">
        <f>SUMIF('7월'!$K$11:$K$94,연간_세부항목별지출!$C150,'7월'!$M$11:$M$94)</f>
        <v>0</v>
      </c>
      <c r="K150" s="346">
        <f>SUMIF('8월'!$K$11:$K$94,연간_세부항목별지출!$C150,'8월'!$M$11:$M$94)</f>
        <v>0</v>
      </c>
      <c r="L150" s="346">
        <f>SUMIF('9월'!$K$11:$K$94,연간_세부항목별지출!$C150,'9월'!$M$11:$M$94)</f>
        <v>0</v>
      </c>
      <c r="M150" s="346">
        <f>SUMIF('10월'!$K$11:$K$94,연간_세부항목별지출!$C150,'10월'!$M$11:$M$94)</f>
        <v>0</v>
      </c>
      <c r="N150" s="346">
        <f>SUMIF('11월'!$K$11:$K$94,연간_세부항목별지출!$C150,'11월'!$M$11:$M$94)</f>
        <v>0</v>
      </c>
      <c r="O150" s="346">
        <f>SUMIF('12월'!$K$11:$K$94,연간_세부항목별지출!$C150,'12월'!$M$11:$M$94)</f>
        <v>0</v>
      </c>
      <c r="P150" s="413">
        <f t="shared" si="2"/>
        <v>0</v>
      </c>
      <c r="Q150" s="413">
        <f t="shared" si="3"/>
        <v>0</v>
      </c>
      <c r="R150" s="503" t="str">
        <f t="shared" si="8"/>
        <v/>
      </c>
    </row>
    <row r="151" spans="2:18" ht="18" customHeight="1" x14ac:dyDescent="0.3">
      <c r="B151" s="595"/>
      <c r="C151" s="420" t="str">
        <f>IF(항목!M13="","",항목!M13)</f>
        <v/>
      </c>
      <c r="D151" s="346">
        <f>SUMIF('1월'!$K$11:$K$94,연간_세부항목별지출!$C151,'1월'!$M$11:$M$94)</f>
        <v>0</v>
      </c>
      <c r="E151" s="346">
        <f>SUMIF('2월'!$K$11:$K$94,연간_세부항목별지출!$C151,'2월'!$M$11:$M$94)</f>
        <v>0</v>
      </c>
      <c r="F151" s="346">
        <f>SUMIF('3월'!$K$11:$K$94,연간_세부항목별지출!$C151,'3월'!$M$11:$M$94)</f>
        <v>0</v>
      </c>
      <c r="G151" s="346">
        <f>SUMIF('4월'!$K$11:$K$94,연간_세부항목별지출!$C151,'4월'!$M$11:$M$94)</f>
        <v>0</v>
      </c>
      <c r="H151" s="346">
        <f>SUMIF('5월'!$K$11:$K$94,연간_세부항목별지출!$C151,'5월'!$M$11:$M$94)</f>
        <v>0</v>
      </c>
      <c r="I151" s="346">
        <f>SUMIF('6월'!$K$11:$K$94,연간_세부항목별지출!$C151,'6월'!$M$11:$M$94)</f>
        <v>0</v>
      </c>
      <c r="J151" s="346">
        <f>SUMIF('7월'!$K$11:$K$94,연간_세부항목별지출!$C151,'7월'!$M$11:$M$94)</f>
        <v>0</v>
      </c>
      <c r="K151" s="346">
        <f>SUMIF('8월'!$K$11:$K$94,연간_세부항목별지출!$C151,'8월'!$M$11:$M$94)</f>
        <v>0</v>
      </c>
      <c r="L151" s="346">
        <f>SUMIF('9월'!$K$11:$K$94,연간_세부항목별지출!$C151,'9월'!$M$11:$M$94)</f>
        <v>0</v>
      </c>
      <c r="M151" s="346">
        <f>SUMIF('10월'!$K$11:$K$94,연간_세부항목별지출!$C151,'10월'!$M$11:$M$94)</f>
        <v>0</v>
      </c>
      <c r="N151" s="346">
        <f>SUMIF('11월'!$K$11:$K$94,연간_세부항목별지출!$C151,'11월'!$M$11:$M$94)</f>
        <v>0</v>
      </c>
      <c r="O151" s="346">
        <f>SUMIF('12월'!$K$11:$K$94,연간_세부항목별지출!$C151,'12월'!$M$11:$M$94)</f>
        <v>0</v>
      </c>
      <c r="P151" s="413">
        <f t="shared" si="2"/>
        <v>0</v>
      </c>
      <c r="Q151" s="413">
        <f t="shared" si="3"/>
        <v>0</v>
      </c>
      <c r="R151" s="503" t="str">
        <f t="shared" ref="R151:R182" si="9">IF(P151&gt;0,P151/$P$21,"")</f>
        <v/>
      </c>
    </row>
    <row r="152" spans="2:18" ht="18" customHeight="1" x14ac:dyDescent="0.3">
      <c r="B152" s="595"/>
      <c r="C152" s="420" t="str">
        <f>IF(항목!M14="","",항목!M14)</f>
        <v/>
      </c>
      <c r="D152" s="346">
        <f>SUMIF('1월'!$K$11:$K$94,연간_세부항목별지출!$C152,'1월'!$M$11:$M$94)</f>
        <v>0</v>
      </c>
      <c r="E152" s="346">
        <f>SUMIF('2월'!$K$11:$K$94,연간_세부항목별지출!$C152,'2월'!$M$11:$M$94)</f>
        <v>0</v>
      </c>
      <c r="F152" s="346">
        <f>SUMIF('3월'!$K$11:$K$94,연간_세부항목별지출!$C152,'3월'!$M$11:$M$94)</f>
        <v>0</v>
      </c>
      <c r="G152" s="346">
        <f>SUMIF('4월'!$K$11:$K$94,연간_세부항목별지출!$C152,'4월'!$M$11:$M$94)</f>
        <v>0</v>
      </c>
      <c r="H152" s="346">
        <f>SUMIF('5월'!$K$11:$K$94,연간_세부항목별지출!$C152,'5월'!$M$11:$M$94)</f>
        <v>0</v>
      </c>
      <c r="I152" s="346">
        <f>SUMIF('6월'!$K$11:$K$94,연간_세부항목별지출!$C152,'6월'!$M$11:$M$94)</f>
        <v>0</v>
      </c>
      <c r="J152" s="346">
        <f>SUMIF('7월'!$K$11:$K$94,연간_세부항목별지출!$C152,'7월'!$M$11:$M$94)</f>
        <v>0</v>
      </c>
      <c r="K152" s="346">
        <f>SUMIF('8월'!$K$11:$K$94,연간_세부항목별지출!$C152,'8월'!$M$11:$M$94)</f>
        <v>0</v>
      </c>
      <c r="L152" s="346">
        <f>SUMIF('9월'!$K$11:$K$94,연간_세부항목별지출!$C152,'9월'!$M$11:$M$94)</f>
        <v>0</v>
      </c>
      <c r="M152" s="346">
        <f>SUMIF('10월'!$K$11:$K$94,연간_세부항목별지출!$C152,'10월'!$M$11:$M$94)</f>
        <v>0</v>
      </c>
      <c r="N152" s="346">
        <f>SUMIF('11월'!$K$11:$K$94,연간_세부항목별지출!$C152,'11월'!$M$11:$M$94)</f>
        <v>0</v>
      </c>
      <c r="O152" s="346">
        <f>SUMIF('12월'!$K$11:$K$94,연간_세부항목별지출!$C152,'12월'!$M$11:$M$94)</f>
        <v>0</v>
      </c>
      <c r="P152" s="413">
        <f t="shared" si="2"/>
        <v>0</v>
      </c>
      <c r="Q152" s="413">
        <f t="shared" si="3"/>
        <v>0</v>
      </c>
      <c r="R152" s="503" t="str">
        <f t="shared" si="9"/>
        <v/>
      </c>
    </row>
    <row r="153" spans="2:18" ht="18" customHeight="1" x14ac:dyDescent="0.3">
      <c r="B153" s="595"/>
      <c r="C153" s="420" t="str">
        <f>IF(항목!M15="","",항목!M15)</f>
        <v/>
      </c>
      <c r="D153" s="346">
        <f>SUMIF('1월'!$K$11:$K$94,연간_세부항목별지출!$C153,'1월'!$M$11:$M$94)</f>
        <v>0</v>
      </c>
      <c r="E153" s="346">
        <f>SUMIF('2월'!$K$11:$K$94,연간_세부항목별지출!$C153,'2월'!$M$11:$M$94)</f>
        <v>0</v>
      </c>
      <c r="F153" s="346">
        <f>SUMIF('3월'!$K$11:$K$94,연간_세부항목별지출!$C153,'3월'!$M$11:$M$94)</f>
        <v>0</v>
      </c>
      <c r="G153" s="346">
        <f>SUMIF('4월'!$K$11:$K$94,연간_세부항목별지출!$C153,'4월'!$M$11:$M$94)</f>
        <v>0</v>
      </c>
      <c r="H153" s="346">
        <f>SUMIF('5월'!$K$11:$K$94,연간_세부항목별지출!$C153,'5월'!$M$11:$M$94)</f>
        <v>0</v>
      </c>
      <c r="I153" s="346">
        <f>SUMIF('6월'!$K$11:$K$94,연간_세부항목별지출!$C153,'6월'!$M$11:$M$94)</f>
        <v>0</v>
      </c>
      <c r="J153" s="346">
        <f>SUMIF('7월'!$K$11:$K$94,연간_세부항목별지출!$C153,'7월'!$M$11:$M$94)</f>
        <v>0</v>
      </c>
      <c r="K153" s="346">
        <f>SUMIF('8월'!$K$11:$K$94,연간_세부항목별지출!$C153,'8월'!$M$11:$M$94)</f>
        <v>0</v>
      </c>
      <c r="L153" s="346">
        <f>SUMIF('9월'!$K$11:$K$94,연간_세부항목별지출!$C153,'9월'!$M$11:$M$94)</f>
        <v>0</v>
      </c>
      <c r="M153" s="346">
        <f>SUMIF('10월'!$K$11:$K$94,연간_세부항목별지출!$C153,'10월'!$M$11:$M$94)</f>
        <v>0</v>
      </c>
      <c r="N153" s="346">
        <f>SUMIF('11월'!$K$11:$K$94,연간_세부항목별지출!$C153,'11월'!$M$11:$M$94)</f>
        <v>0</v>
      </c>
      <c r="O153" s="346">
        <f>SUMIF('12월'!$K$11:$K$94,연간_세부항목별지출!$C153,'12월'!$M$11:$M$94)</f>
        <v>0</v>
      </c>
      <c r="P153" s="413">
        <f t="shared" si="2"/>
        <v>0</v>
      </c>
      <c r="Q153" s="413">
        <f t="shared" si="3"/>
        <v>0</v>
      </c>
      <c r="R153" s="503" t="str">
        <f t="shared" si="9"/>
        <v/>
      </c>
    </row>
    <row r="154" spans="2:18" ht="18" customHeight="1" x14ac:dyDescent="0.3">
      <c r="B154" s="595"/>
      <c r="C154" s="420" t="str">
        <f>IF(항목!M16="","",항목!M16)</f>
        <v/>
      </c>
      <c r="D154" s="346">
        <f>SUMIF('1월'!$K$11:$K$94,연간_세부항목별지출!$C154,'1월'!$M$11:$M$94)</f>
        <v>0</v>
      </c>
      <c r="E154" s="346">
        <f>SUMIF('2월'!$K$11:$K$94,연간_세부항목별지출!$C154,'2월'!$M$11:$M$94)</f>
        <v>0</v>
      </c>
      <c r="F154" s="346">
        <f>SUMIF('3월'!$K$11:$K$94,연간_세부항목별지출!$C154,'3월'!$M$11:$M$94)</f>
        <v>0</v>
      </c>
      <c r="G154" s="346">
        <f>SUMIF('4월'!$K$11:$K$94,연간_세부항목별지출!$C154,'4월'!$M$11:$M$94)</f>
        <v>0</v>
      </c>
      <c r="H154" s="346">
        <f>SUMIF('5월'!$K$11:$K$94,연간_세부항목별지출!$C154,'5월'!$M$11:$M$94)</f>
        <v>0</v>
      </c>
      <c r="I154" s="346">
        <f>SUMIF('6월'!$K$11:$K$94,연간_세부항목별지출!$C154,'6월'!$M$11:$M$94)</f>
        <v>0</v>
      </c>
      <c r="J154" s="346">
        <f>SUMIF('7월'!$K$11:$K$94,연간_세부항목별지출!$C154,'7월'!$M$11:$M$94)</f>
        <v>0</v>
      </c>
      <c r="K154" s="346">
        <f>SUMIF('8월'!$K$11:$K$94,연간_세부항목별지출!$C154,'8월'!$M$11:$M$94)</f>
        <v>0</v>
      </c>
      <c r="L154" s="346">
        <f>SUMIF('9월'!$K$11:$K$94,연간_세부항목별지출!$C154,'9월'!$M$11:$M$94)</f>
        <v>0</v>
      </c>
      <c r="M154" s="346">
        <f>SUMIF('10월'!$K$11:$K$94,연간_세부항목별지출!$C154,'10월'!$M$11:$M$94)</f>
        <v>0</v>
      </c>
      <c r="N154" s="346">
        <f>SUMIF('11월'!$K$11:$K$94,연간_세부항목별지출!$C154,'11월'!$M$11:$M$94)</f>
        <v>0</v>
      </c>
      <c r="O154" s="346">
        <f>SUMIF('12월'!$K$11:$K$94,연간_세부항목별지출!$C154,'12월'!$M$11:$M$94)</f>
        <v>0</v>
      </c>
      <c r="P154" s="413">
        <f t="shared" si="2"/>
        <v>0</v>
      </c>
      <c r="Q154" s="413">
        <f t="shared" si="3"/>
        <v>0</v>
      </c>
      <c r="R154" s="503" t="str">
        <f t="shared" si="9"/>
        <v/>
      </c>
    </row>
    <row r="155" spans="2:18" ht="18" customHeight="1" x14ac:dyDescent="0.3">
      <c r="B155" s="595"/>
      <c r="C155" s="420" t="str">
        <f>IF(항목!M17="","",항목!M17)</f>
        <v/>
      </c>
      <c r="D155" s="346">
        <f>SUMIF('1월'!$K$11:$K$94,연간_세부항목별지출!$C155,'1월'!$M$11:$M$94)</f>
        <v>0</v>
      </c>
      <c r="E155" s="346">
        <f>SUMIF('2월'!$K$11:$K$94,연간_세부항목별지출!$C155,'2월'!$M$11:$M$94)</f>
        <v>0</v>
      </c>
      <c r="F155" s="346">
        <f>SUMIF('3월'!$K$11:$K$94,연간_세부항목별지출!$C155,'3월'!$M$11:$M$94)</f>
        <v>0</v>
      </c>
      <c r="G155" s="346">
        <f>SUMIF('4월'!$K$11:$K$94,연간_세부항목별지출!$C155,'4월'!$M$11:$M$94)</f>
        <v>0</v>
      </c>
      <c r="H155" s="346">
        <f>SUMIF('5월'!$K$11:$K$94,연간_세부항목별지출!$C155,'5월'!$M$11:$M$94)</f>
        <v>0</v>
      </c>
      <c r="I155" s="346">
        <f>SUMIF('6월'!$K$11:$K$94,연간_세부항목별지출!$C155,'6월'!$M$11:$M$94)</f>
        <v>0</v>
      </c>
      <c r="J155" s="346">
        <f>SUMIF('7월'!$K$11:$K$94,연간_세부항목별지출!$C155,'7월'!$M$11:$M$94)</f>
        <v>0</v>
      </c>
      <c r="K155" s="346">
        <f>SUMIF('8월'!$K$11:$K$94,연간_세부항목별지출!$C155,'8월'!$M$11:$M$94)</f>
        <v>0</v>
      </c>
      <c r="L155" s="346">
        <f>SUMIF('9월'!$K$11:$K$94,연간_세부항목별지출!$C155,'9월'!$M$11:$M$94)</f>
        <v>0</v>
      </c>
      <c r="M155" s="346">
        <f>SUMIF('10월'!$K$11:$K$94,연간_세부항목별지출!$C155,'10월'!$M$11:$M$94)</f>
        <v>0</v>
      </c>
      <c r="N155" s="346">
        <f>SUMIF('11월'!$K$11:$K$94,연간_세부항목별지출!$C155,'11월'!$M$11:$M$94)</f>
        <v>0</v>
      </c>
      <c r="O155" s="346">
        <f>SUMIF('12월'!$K$11:$K$94,연간_세부항목별지출!$C155,'12월'!$M$11:$M$94)</f>
        <v>0</v>
      </c>
      <c r="P155" s="413">
        <f t="shared" si="2"/>
        <v>0</v>
      </c>
      <c r="Q155" s="413">
        <f t="shared" si="3"/>
        <v>0</v>
      </c>
      <c r="R155" s="503" t="str">
        <f t="shared" si="9"/>
        <v/>
      </c>
    </row>
    <row r="156" spans="2:18" ht="18" customHeight="1" thickBot="1" x14ac:dyDescent="0.35">
      <c r="B156" s="596"/>
      <c r="C156" s="421" t="str">
        <f>IF(항목!M18="","",항목!M18)</f>
        <v/>
      </c>
      <c r="D156" s="515">
        <f>SUMIF('1월'!$K$11:$K$94,연간_세부항목별지출!$C156,'1월'!$M$11:$M$94)</f>
        <v>0</v>
      </c>
      <c r="E156" s="515">
        <f>SUMIF('2월'!$K$11:$K$94,연간_세부항목별지출!$C156,'2월'!$M$11:$M$94)</f>
        <v>0</v>
      </c>
      <c r="F156" s="515">
        <f>SUMIF('3월'!$K$11:$K$94,연간_세부항목별지출!$C156,'3월'!$M$11:$M$94)</f>
        <v>0</v>
      </c>
      <c r="G156" s="515">
        <f>SUMIF('4월'!$K$11:$K$94,연간_세부항목별지출!$C156,'4월'!$M$11:$M$94)</f>
        <v>0</v>
      </c>
      <c r="H156" s="515">
        <f>SUMIF('5월'!$K$11:$K$94,연간_세부항목별지출!$C156,'5월'!$M$11:$M$94)</f>
        <v>0</v>
      </c>
      <c r="I156" s="515">
        <f>SUMIF('6월'!$K$11:$K$94,연간_세부항목별지출!$C156,'6월'!$M$11:$M$94)</f>
        <v>0</v>
      </c>
      <c r="J156" s="515">
        <f>SUMIF('7월'!$K$11:$K$94,연간_세부항목별지출!$C156,'7월'!$M$11:$M$94)</f>
        <v>0</v>
      </c>
      <c r="K156" s="515">
        <f>SUMIF('8월'!$K$11:$K$94,연간_세부항목별지출!$C156,'8월'!$M$11:$M$94)</f>
        <v>0</v>
      </c>
      <c r="L156" s="515">
        <f>SUMIF('9월'!$K$11:$K$94,연간_세부항목별지출!$C156,'9월'!$M$11:$M$94)</f>
        <v>0</v>
      </c>
      <c r="M156" s="515">
        <f>SUMIF('10월'!$K$11:$K$94,연간_세부항목별지출!$C156,'10월'!$M$11:$M$94)</f>
        <v>0</v>
      </c>
      <c r="N156" s="515">
        <f>SUMIF('11월'!$K$11:$K$94,연간_세부항목별지출!$C156,'11월'!$M$11:$M$94)</f>
        <v>0</v>
      </c>
      <c r="O156" s="515">
        <f>SUMIF('12월'!$K$11:$K$94,연간_세부항목별지출!$C156,'12월'!$M$11:$M$94)</f>
        <v>0</v>
      </c>
      <c r="P156" s="422">
        <f t="shared" si="2"/>
        <v>0</v>
      </c>
      <c r="Q156" s="422">
        <f t="shared" si="3"/>
        <v>0</v>
      </c>
      <c r="R156" s="506" t="str">
        <f t="shared" si="9"/>
        <v/>
      </c>
    </row>
    <row r="157" spans="2:18" ht="18" customHeight="1" x14ac:dyDescent="0.3">
      <c r="B157" s="594" t="str">
        <f>항목!N3</f>
        <v>유류교통비</v>
      </c>
      <c r="C157" s="513" t="str">
        <f>IF(항목!N4="","",항목!N4)</f>
        <v>자동차보험</v>
      </c>
      <c r="D157" s="351">
        <f>SUMIF('1월'!$K$11:$K$94,연간_세부항목별지출!$C157,'1월'!$M$11:$M$94)</f>
        <v>0</v>
      </c>
      <c r="E157" s="351">
        <f>SUMIF('2월'!$K$11:$K$94,연간_세부항목별지출!$C157,'2월'!$M$11:$M$94)</f>
        <v>0</v>
      </c>
      <c r="F157" s="351">
        <f>SUMIF('3월'!$K$11:$K$94,연간_세부항목별지출!$C157,'3월'!$M$11:$M$94)</f>
        <v>0</v>
      </c>
      <c r="G157" s="351">
        <f>SUMIF('4월'!$K$11:$K$94,연간_세부항목별지출!$C157,'4월'!$M$11:$M$94)</f>
        <v>0</v>
      </c>
      <c r="H157" s="351">
        <f>SUMIF('5월'!$K$11:$K$94,연간_세부항목별지출!$C157,'5월'!$M$11:$M$94)</f>
        <v>0</v>
      </c>
      <c r="I157" s="351">
        <f>SUMIF('6월'!$K$11:$K$94,연간_세부항목별지출!$C157,'6월'!$M$11:$M$94)</f>
        <v>0</v>
      </c>
      <c r="J157" s="351">
        <f>SUMIF('7월'!$K$11:$K$94,연간_세부항목별지출!$C157,'7월'!$M$11:$M$94)</f>
        <v>0</v>
      </c>
      <c r="K157" s="351">
        <f>SUMIF('8월'!$K$11:$K$94,연간_세부항목별지출!$C157,'8월'!$M$11:$M$94)</f>
        <v>0</v>
      </c>
      <c r="L157" s="351">
        <f>SUMIF('9월'!$K$11:$K$94,연간_세부항목별지출!$C157,'9월'!$M$11:$M$94)</f>
        <v>0</v>
      </c>
      <c r="M157" s="351">
        <f>SUMIF('10월'!$K$11:$K$94,연간_세부항목별지출!$C157,'10월'!$M$11:$M$94)</f>
        <v>0</v>
      </c>
      <c r="N157" s="351">
        <f>SUMIF('11월'!$K$11:$K$94,연간_세부항목별지출!$C157,'11월'!$M$11:$M$94)</f>
        <v>0</v>
      </c>
      <c r="O157" s="351">
        <f>SUMIF('12월'!$K$11:$K$94,연간_세부항목별지출!$C157,'12월'!$M$11:$M$94)</f>
        <v>0</v>
      </c>
      <c r="P157" s="516">
        <f t="shared" si="2"/>
        <v>0</v>
      </c>
      <c r="Q157" s="516">
        <f t="shared" si="3"/>
        <v>0</v>
      </c>
      <c r="R157" s="517" t="str">
        <f t="shared" si="9"/>
        <v/>
      </c>
    </row>
    <row r="158" spans="2:18" ht="18" customHeight="1" x14ac:dyDescent="0.3">
      <c r="B158" s="595"/>
      <c r="C158" s="419" t="str">
        <f>IF(항목!N5="","",항목!N5)</f>
        <v>자동차할부</v>
      </c>
      <c r="D158" s="346">
        <f>SUMIF('1월'!$K$11:$K$94,연간_세부항목별지출!$C158,'1월'!$M$11:$M$94)</f>
        <v>0</v>
      </c>
      <c r="E158" s="346">
        <f>SUMIF('2월'!$K$11:$K$94,연간_세부항목별지출!$C158,'2월'!$M$11:$M$94)</f>
        <v>0</v>
      </c>
      <c r="F158" s="346">
        <f>SUMIF('3월'!$K$11:$K$94,연간_세부항목별지출!$C158,'3월'!$M$11:$M$94)</f>
        <v>0</v>
      </c>
      <c r="G158" s="346">
        <f>SUMIF('4월'!$K$11:$K$94,연간_세부항목별지출!$C158,'4월'!$M$11:$M$94)</f>
        <v>0</v>
      </c>
      <c r="H158" s="346">
        <f>SUMIF('5월'!$K$11:$K$94,연간_세부항목별지출!$C158,'5월'!$M$11:$M$94)</f>
        <v>0</v>
      </c>
      <c r="I158" s="346">
        <f>SUMIF('6월'!$K$11:$K$94,연간_세부항목별지출!$C158,'6월'!$M$11:$M$94)</f>
        <v>0</v>
      </c>
      <c r="J158" s="346">
        <f>SUMIF('7월'!$K$11:$K$94,연간_세부항목별지출!$C158,'7월'!$M$11:$M$94)</f>
        <v>0</v>
      </c>
      <c r="K158" s="346">
        <f>SUMIF('8월'!$K$11:$K$94,연간_세부항목별지출!$C158,'8월'!$M$11:$M$94)</f>
        <v>0</v>
      </c>
      <c r="L158" s="346">
        <f>SUMIF('9월'!$K$11:$K$94,연간_세부항목별지출!$C158,'9월'!$M$11:$M$94)</f>
        <v>0</v>
      </c>
      <c r="M158" s="346">
        <f>SUMIF('10월'!$K$11:$K$94,연간_세부항목별지출!$C158,'10월'!$M$11:$M$94)</f>
        <v>0</v>
      </c>
      <c r="N158" s="346">
        <f>SUMIF('11월'!$K$11:$K$94,연간_세부항목별지출!$C158,'11월'!$M$11:$M$94)</f>
        <v>0</v>
      </c>
      <c r="O158" s="346">
        <f>SUMIF('12월'!$K$11:$K$94,연간_세부항목별지출!$C158,'12월'!$M$11:$M$94)</f>
        <v>0</v>
      </c>
      <c r="P158" s="413">
        <f t="shared" si="2"/>
        <v>0</v>
      </c>
      <c r="Q158" s="413">
        <f t="shared" si="3"/>
        <v>0</v>
      </c>
      <c r="R158" s="503" t="str">
        <f t="shared" si="9"/>
        <v/>
      </c>
    </row>
    <row r="159" spans="2:18" ht="18" customHeight="1" x14ac:dyDescent="0.3">
      <c r="B159" s="595"/>
      <c r="C159" s="419" t="str">
        <f>IF(항목!N6="","",항목!N6)</f>
        <v>자동차세</v>
      </c>
      <c r="D159" s="346">
        <f>SUMIF('1월'!$K$11:$K$94,연간_세부항목별지출!$C159,'1월'!$M$11:$M$94)</f>
        <v>0</v>
      </c>
      <c r="E159" s="346">
        <f>SUMIF('2월'!$K$11:$K$94,연간_세부항목별지출!$C159,'2월'!$M$11:$M$94)</f>
        <v>0</v>
      </c>
      <c r="F159" s="346">
        <f>SUMIF('3월'!$K$11:$K$94,연간_세부항목별지출!$C159,'3월'!$M$11:$M$94)</f>
        <v>0</v>
      </c>
      <c r="G159" s="346">
        <f>SUMIF('4월'!$K$11:$K$94,연간_세부항목별지출!$C159,'4월'!$M$11:$M$94)</f>
        <v>0</v>
      </c>
      <c r="H159" s="346">
        <f>SUMIF('5월'!$K$11:$K$94,연간_세부항목별지출!$C159,'5월'!$M$11:$M$94)</f>
        <v>0</v>
      </c>
      <c r="I159" s="346">
        <f>SUMIF('6월'!$K$11:$K$94,연간_세부항목별지출!$C159,'6월'!$M$11:$M$94)</f>
        <v>0</v>
      </c>
      <c r="J159" s="346">
        <f>SUMIF('7월'!$K$11:$K$94,연간_세부항목별지출!$C159,'7월'!$M$11:$M$94)</f>
        <v>0</v>
      </c>
      <c r="K159" s="346">
        <f>SUMIF('8월'!$K$11:$K$94,연간_세부항목별지출!$C159,'8월'!$M$11:$M$94)</f>
        <v>0</v>
      </c>
      <c r="L159" s="346">
        <f>SUMIF('9월'!$K$11:$K$94,연간_세부항목별지출!$C159,'9월'!$M$11:$M$94)</f>
        <v>0</v>
      </c>
      <c r="M159" s="346">
        <f>SUMIF('10월'!$K$11:$K$94,연간_세부항목별지출!$C159,'10월'!$M$11:$M$94)</f>
        <v>0</v>
      </c>
      <c r="N159" s="346">
        <f>SUMIF('11월'!$K$11:$K$94,연간_세부항목별지출!$C159,'11월'!$M$11:$M$94)</f>
        <v>0</v>
      </c>
      <c r="O159" s="346">
        <f>SUMIF('12월'!$K$11:$K$94,연간_세부항목별지출!$C159,'12월'!$M$11:$M$94)</f>
        <v>0</v>
      </c>
      <c r="P159" s="413">
        <f t="shared" si="2"/>
        <v>0</v>
      </c>
      <c r="Q159" s="413">
        <f t="shared" si="3"/>
        <v>0</v>
      </c>
      <c r="R159" s="503" t="str">
        <f t="shared" si="9"/>
        <v/>
      </c>
    </row>
    <row r="160" spans="2:18" ht="18" customHeight="1" x14ac:dyDescent="0.3">
      <c r="B160" s="595"/>
      <c r="C160" s="419" t="str">
        <f>IF(항목!N7="","",항목!N7)</f>
        <v>유류비</v>
      </c>
      <c r="D160" s="346">
        <f>SUMIF('1월'!$K$11:$K$94,연간_세부항목별지출!$C160,'1월'!$M$11:$M$94)</f>
        <v>0</v>
      </c>
      <c r="E160" s="346">
        <f>SUMIF('2월'!$K$11:$K$94,연간_세부항목별지출!$C160,'2월'!$M$11:$M$94)</f>
        <v>0</v>
      </c>
      <c r="F160" s="346">
        <f>SUMIF('3월'!$K$11:$K$94,연간_세부항목별지출!$C160,'3월'!$M$11:$M$94)</f>
        <v>0</v>
      </c>
      <c r="G160" s="346">
        <f>SUMIF('4월'!$K$11:$K$94,연간_세부항목별지출!$C160,'4월'!$M$11:$M$94)</f>
        <v>0</v>
      </c>
      <c r="H160" s="346">
        <f>SUMIF('5월'!$K$11:$K$94,연간_세부항목별지출!$C160,'5월'!$M$11:$M$94)</f>
        <v>0</v>
      </c>
      <c r="I160" s="346">
        <f>SUMIF('6월'!$K$11:$K$94,연간_세부항목별지출!$C160,'6월'!$M$11:$M$94)</f>
        <v>0</v>
      </c>
      <c r="J160" s="346">
        <f>SUMIF('7월'!$K$11:$K$94,연간_세부항목별지출!$C160,'7월'!$M$11:$M$94)</f>
        <v>0</v>
      </c>
      <c r="K160" s="346">
        <f>SUMIF('8월'!$K$11:$K$94,연간_세부항목별지출!$C160,'8월'!$M$11:$M$94)</f>
        <v>0</v>
      </c>
      <c r="L160" s="346">
        <f>SUMIF('9월'!$K$11:$K$94,연간_세부항목별지출!$C160,'9월'!$M$11:$M$94)</f>
        <v>0</v>
      </c>
      <c r="M160" s="346">
        <f>SUMIF('10월'!$K$11:$K$94,연간_세부항목별지출!$C160,'10월'!$M$11:$M$94)</f>
        <v>0</v>
      </c>
      <c r="N160" s="346">
        <f>SUMIF('11월'!$K$11:$K$94,연간_세부항목별지출!$C160,'11월'!$M$11:$M$94)</f>
        <v>0</v>
      </c>
      <c r="O160" s="346">
        <f>SUMIF('12월'!$K$11:$K$94,연간_세부항목별지출!$C160,'12월'!$M$11:$M$94)</f>
        <v>0</v>
      </c>
      <c r="P160" s="413">
        <f t="shared" si="2"/>
        <v>0</v>
      </c>
      <c r="Q160" s="413">
        <f t="shared" si="3"/>
        <v>0</v>
      </c>
      <c r="R160" s="503" t="str">
        <f t="shared" si="9"/>
        <v/>
      </c>
    </row>
    <row r="161" spans="2:18" ht="18" customHeight="1" x14ac:dyDescent="0.3">
      <c r="B161" s="595"/>
      <c r="C161" s="419" t="str">
        <f>IF(항목!N8="","",항목!N8)</f>
        <v>기타 유지비</v>
      </c>
      <c r="D161" s="346">
        <f>SUMIF('1월'!$K$11:$K$94,연간_세부항목별지출!$C161,'1월'!$M$11:$M$94)</f>
        <v>0</v>
      </c>
      <c r="E161" s="346">
        <f>SUMIF('2월'!$K$11:$K$94,연간_세부항목별지출!$C161,'2월'!$M$11:$M$94)</f>
        <v>0</v>
      </c>
      <c r="F161" s="346">
        <f>SUMIF('3월'!$K$11:$K$94,연간_세부항목별지출!$C161,'3월'!$M$11:$M$94)</f>
        <v>0</v>
      </c>
      <c r="G161" s="346">
        <f>SUMIF('4월'!$K$11:$K$94,연간_세부항목별지출!$C161,'4월'!$M$11:$M$94)</f>
        <v>0</v>
      </c>
      <c r="H161" s="346">
        <f>SUMIF('5월'!$K$11:$K$94,연간_세부항목별지출!$C161,'5월'!$M$11:$M$94)</f>
        <v>0</v>
      </c>
      <c r="I161" s="346">
        <f>SUMIF('6월'!$K$11:$K$94,연간_세부항목별지출!$C161,'6월'!$M$11:$M$94)</f>
        <v>0</v>
      </c>
      <c r="J161" s="346">
        <f>SUMIF('7월'!$K$11:$K$94,연간_세부항목별지출!$C161,'7월'!$M$11:$M$94)</f>
        <v>0</v>
      </c>
      <c r="K161" s="346">
        <f>SUMIF('8월'!$K$11:$K$94,연간_세부항목별지출!$C161,'8월'!$M$11:$M$94)</f>
        <v>0</v>
      </c>
      <c r="L161" s="346">
        <f>SUMIF('9월'!$K$11:$K$94,연간_세부항목별지출!$C161,'9월'!$M$11:$M$94)</f>
        <v>0</v>
      </c>
      <c r="M161" s="346">
        <f>SUMIF('10월'!$K$11:$K$94,연간_세부항목별지출!$C161,'10월'!$M$11:$M$94)</f>
        <v>0</v>
      </c>
      <c r="N161" s="346">
        <f>SUMIF('11월'!$K$11:$K$94,연간_세부항목별지출!$C161,'11월'!$M$11:$M$94)</f>
        <v>0</v>
      </c>
      <c r="O161" s="346">
        <f>SUMIF('12월'!$K$11:$K$94,연간_세부항목별지출!$C161,'12월'!$M$11:$M$94)</f>
        <v>0</v>
      </c>
      <c r="P161" s="413">
        <f t="shared" si="2"/>
        <v>0</v>
      </c>
      <c r="Q161" s="413">
        <f t="shared" si="3"/>
        <v>0</v>
      </c>
      <c r="R161" s="503" t="str">
        <f t="shared" si="9"/>
        <v/>
      </c>
    </row>
    <row r="162" spans="2:18" ht="18" customHeight="1" x14ac:dyDescent="0.3">
      <c r="B162" s="595"/>
      <c r="C162" s="419" t="str">
        <f>IF(항목!N9="","",항목!N9)</f>
        <v>버스/지하철</v>
      </c>
      <c r="D162" s="346">
        <f>SUMIF('1월'!$K$11:$K$94,연간_세부항목별지출!$C162,'1월'!$M$11:$M$94)</f>
        <v>0</v>
      </c>
      <c r="E162" s="346">
        <f>SUMIF('2월'!$K$11:$K$94,연간_세부항목별지출!$C162,'2월'!$M$11:$M$94)</f>
        <v>0</v>
      </c>
      <c r="F162" s="346">
        <f>SUMIF('3월'!$K$11:$K$94,연간_세부항목별지출!$C162,'3월'!$M$11:$M$94)</f>
        <v>0</v>
      </c>
      <c r="G162" s="346">
        <f>SUMIF('4월'!$K$11:$K$94,연간_세부항목별지출!$C162,'4월'!$M$11:$M$94)</f>
        <v>0</v>
      </c>
      <c r="H162" s="346">
        <f>SUMIF('5월'!$K$11:$K$94,연간_세부항목별지출!$C162,'5월'!$M$11:$M$94)</f>
        <v>0</v>
      </c>
      <c r="I162" s="346">
        <f>SUMIF('6월'!$K$11:$K$94,연간_세부항목별지출!$C162,'6월'!$M$11:$M$94)</f>
        <v>0</v>
      </c>
      <c r="J162" s="346">
        <f>SUMIF('7월'!$K$11:$K$94,연간_세부항목별지출!$C162,'7월'!$M$11:$M$94)</f>
        <v>0</v>
      </c>
      <c r="K162" s="346">
        <f>SUMIF('8월'!$K$11:$K$94,연간_세부항목별지출!$C162,'8월'!$M$11:$M$94)</f>
        <v>0</v>
      </c>
      <c r="L162" s="346">
        <f>SUMIF('9월'!$K$11:$K$94,연간_세부항목별지출!$C162,'9월'!$M$11:$M$94)</f>
        <v>0</v>
      </c>
      <c r="M162" s="346">
        <f>SUMIF('10월'!$K$11:$K$94,연간_세부항목별지출!$C162,'10월'!$M$11:$M$94)</f>
        <v>0</v>
      </c>
      <c r="N162" s="346">
        <f>SUMIF('11월'!$K$11:$K$94,연간_세부항목별지출!$C162,'11월'!$M$11:$M$94)</f>
        <v>0</v>
      </c>
      <c r="O162" s="346">
        <f>SUMIF('12월'!$K$11:$K$94,연간_세부항목별지출!$C162,'12월'!$M$11:$M$94)</f>
        <v>0</v>
      </c>
      <c r="P162" s="413">
        <f t="shared" si="2"/>
        <v>0</v>
      </c>
      <c r="Q162" s="413">
        <f t="shared" si="3"/>
        <v>0</v>
      </c>
      <c r="R162" s="503" t="str">
        <f t="shared" si="9"/>
        <v/>
      </c>
    </row>
    <row r="163" spans="2:18" ht="18" customHeight="1" x14ac:dyDescent="0.3">
      <c r="B163" s="595"/>
      <c r="C163" s="419" t="str">
        <f>IF(항목!N10="","",항목!N10)</f>
        <v>택시</v>
      </c>
      <c r="D163" s="346">
        <f>SUMIF('1월'!$K$11:$K$94,연간_세부항목별지출!$C163,'1월'!$M$11:$M$94)</f>
        <v>0</v>
      </c>
      <c r="E163" s="346">
        <f>SUMIF('2월'!$K$11:$K$94,연간_세부항목별지출!$C163,'2월'!$M$11:$M$94)</f>
        <v>0</v>
      </c>
      <c r="F163" s="346">
        <f>SUMIF('3월'!$K$11:$K$94,연간_세부항목별지출!$C163,'3월'!$M$11:$M$94)</f>
        <v>0</v>
      </c>
      <c r="G163" s="346">
        <f>SUMIF('4월'!$K$11:$K$94,연간_세부항목별지출!$C163,'4월'!$M$11:$M$94)</f>
        <v>0</v>
      </c>
      <c r="H163" s="346">
        <f>SUMIF('5월'!$K$11:$K$94,연간_세부항목별지출!$C163,'5월'!$M$11:$M$94)</f>
        <v>0</v>
      </c>
      <c r="I163" s="346">
        <f>SUMIF('6월'!$K$11:$K$94,연간_세부항목별지출!$C163,'6월'!$M$11:$M$94)</f>
        <v>0</v>
      </c>
      <c r="J163" s="346">
        <f>SUMIF('7월'!$K$11:$K$94,연간_세부항목별지출!$C163,'7월'!$M$11:$M$94)</f>
        <v>0</v>
      </c>
      <c r="K163" s="346">
        <f>SUMIF('8월'!$K$11:$K$94,연간_세부항목별지출!$C163,'8월'!$M$11:$M$94)</f>
        <v>0</v>
      </c>
      <c r="L163" s="346">
        <f>SUMIF('9월'!$K$11:$K$94,연간_세부항목별지출!$C163,'9월'!$M$11:$M$94)</f>
        <v>0</v>
      </c>
      <c r="M163" s="346">
        <f>SUMIF('10월'!$K$11:$K$94,연간_세부항목별지출!$C163,'10월'!$M$11:$M$94)</f>
        <v>0</v>
      </c>
      <c r="N163" s="346">
        <f>SUMIF('11월'!$K$11:$K$94,연간_세부항목별지출!$C163,'11월'!$M$11:$M$94)</f>
        <v>0</v>
      </c>
      <c r="O163" s="346">
        <f>SUMIF('12월'!$K$11:$K$94,연간_세부항목별지출!$C163,'12월'!$M$11:$M$94)</f>
        <v>0</v>
      </c>
      <c r="P163" s="413">
        <f t="shared" si="2"/>
        <v>0</v>
      </c>
      <c r="Q163" s="413">
        <f t="shared" si="3"/>
        <v>0</v>
      </c>
      <c r="R163" s="503" t="str">
        <f t="shared" si="9"/>
        <v/>
      </c>
    </row>
    <row r="164" spans="2:18" ht="18" customHeight="1" x14ac:dyDescent="0.3">
      <c r="B164" s="595"/>
      <c r="C164" s="419" t="str">
        <f>IF(항목!N11="","",항목!N11)</f>
        <v>기차</v>
      </c>
      <c r="D164" s="346">
        <f>SUMIF('1월'!$K$11:$K$94,연간_세부항목별지출!$C164,'1월'!$M$11:$M$94)</f>
        <v>0</v>
      </c>
      <c r="E164" s="346">
        <f>SUMIF('2월'!$K$11:$K$94,연간_세부항목별지출!$C164,'2월'!$M$11:$M$94)</f>
        <v>0</v>
      </c>
      <c r="F164" s="346">
        <f>SUMIF('3월'!$K$11:$K$94,연간_세부항목별지출!$C164,'3월'!$M$11:$M$94)</f>
        <v>0</v>
      </c>
      <c r="G164" s="346">
        <f>SUMIF('4월'!$K$11:$K$94,연간_세부항목별지출!$C164,'4월'!$M$11:$M$94)</f>
        <v>0</v>
      </c>
      <c r="H164" s="346">
        <f>SUMIF('5월'!$K$11:$K$94,연간_세부항목별지출!$C164,'5월'!$M$11:$M$94)</f>
        <v>0</v>
      </c>
      <c r="I164" s="346">
        <f>SUMIF('6월'!$K$11:$K$94,연간_세부항목별지출!$C164,'6월'!$M$11:$M$94)</f>
        <v>0</v>
      </c>
      <c r="J164" s="346">
        <f>SUMIF('7월'!$K$11:$K$94,연간_세부항목별지출!$C164,'7월'!$M$11:$M$94)</f>
        <v>0</v>
      </c>
      <c r="K164" s="346">
        <f>SUMIF('8월'!$K$11:$K$94,연간_세부항목별지출!$C164,'8월'!$M$11:$M$94)</f>
        <v>0</v>
      </c>
      <c r="L164" s="346">
        <f>SUMIF('9월'!$K$11:$K$94,연간_세부항목별지출!$C164,'9월'!$M$11:$M$94)</f>
        <v>0</v>
      </c>
      <c r="M164" s="346">
        <f>SUMIF('10월'!$K$11:$K$94,연간_세부항목별지출!$C164,'10월'!$M$11:$M$94)</f>
        <v>0</v>
      </c>
      <c r="N164" s="346">
        <f>SUMIF('11월'!$K$11:$K$94,연간_세부항목별지출!$C164,'11월'!$M$11:$M$94)</f>
        <v>0</v>
      </c>
      <c r="O164" s="346">
        <f>SUMIF('12월'!$K$11:$K$94,연간_세부항목별지출!$C164,'12월'!$M$11:$M$94)</f>
        <v>0</v>
      </c>
      <c r="P164" s="413">
        <f t="shared" si="2"/>
        <v>0</v>
      </c>
      <c r="Q164" s="413">
        <f t="shared" si="3"/>
        <v>0</v>
      </c>
      <c r="R164" s="503" t="str">
        <f t="shared" si="9"/>
        <v/>
      </c>
    </row>
    <row r="165" spans="2:18" ht="18" customHeight="1" x14ac:dyDescent="0.3">
      <c r="B165" s="595"/>
      <c r="C165" s="419" t="str">
        <f>IF(항목!N12="","",항목!N12)</f>
        <v>항공</v>
      </c>
      <c r="D165" s="346">
        <f>SUMIF('1월'!$K$11:$K$94,연간_세부항목별지출!$C165,'1월'!$M$11:$M$94)</f>
        <v>0</v>
      </c>
      <c r="E165" s="346">
        <f>SUMIF('2월'!$K$11:$K$94,연간_세부항목별지출!$C165,'2월'!$M$11:$M$94)</f>
        <v>0</v>
      </c>
      <c r="F165" s="346">
        <f>SUMIF('3월'!$K$11:$K$94,연간_세부항목별지출!$C165,'3월'!$M$11:$M$94)</f>
        <v>0</v>
      </c>
      <c r="G165" s="346">
        <f>SUMIF('4월'!$K$11:$K$94,연간_세부항목별지출!$C165,'4월'!$M$11:$M$94)</f>
        <v>0</v>
      </c>
      <c r="H165" s="346">
        <f>SUMIF('5월'!$K$11:$K$94,연간_세부항목별지출!$C165,'5월'!$M$11:$M$94)</f>
        <v>0</v>
      </c>
      <c r="I165" s="346">
        <f>SUMIF('6월'!$K$11:$K$94,연간_세부항목별지출!$C165,'6월'!$M$11:$M$94)</f>
        <v>0</v>
      </c>
      <c r="J165" s="346">
        <f>SUMIF('7월'!$K$11:$K$94,연간_세부항목별지출!$C165,'7월'!$M$11:$M$94)</f>
        <v>0</v>
      </c>
      <c r="K165" s="346">
        <f>SUMIF('8월'!$K$11:$K$94,연간_세부항목별지출!$C165,'8월'!$M$11:$M$94)</f>
        <v>0</v>
      </c>
      <c r="L165" s="346">
        <f>SUMIF('9월'!$K$11:$K$94,연간_세부항목별지출!$C165,'9월'!$M$11:$M$94)</f>
        <v>0</v>
      </c>
      <c r="M165" s="346">
        <f>SUMIF('10월'!$K$11:$K$94,연간_세부항목별지출!$C165,'10월'!$M$11:$M$94)</f>
        <v>0</v>
      </c>
      <c r="N165" s="346">
        <f>SUMIF('11월'!$K$11:$K$94,연간_세부항목별지출!$C165,'11월'!$M$11:$M$94)</f>
        <v>0</v>
      </c>
      <c r="O165" s="346">
        <f>SUMIF('12월'!$K$11:$K$94,연간_세부항목별지출!$C165,'12월'!$M$11:$M$94)</f>
        <v>0</v>
      </c>
      <c r="P165" s="413">
        <f t="shared" si="2"/>
        <v>0</v>
      </c>
      <c r="Q165" s="413">
        <f t="shared" si="3"/>
        <v>0</v>
      </c>
      <c r="R165" s="503" t="str">
        <f t="shared" si="9"/>
        <v/>
      </c>
    </row>
    <row r="166" spans="2:18" ht="18" customHeight="1" x14ac:dyDescent="0.3">
      <c r="B166" s="595"/>
      <c r="C166" s="419" t="str">
        <f>IF(항목!N13="","",항목!N13)</f>
        <v>기타 교통</v>
      </c>
      <c r="D166" s="346">
        <f>SUMIF('1월'!$K$11:$K$94,연간_세부항목별지출!$C166,'1월'!$M$11:$M$94)</f>
        <v>0</v>
      </c>
      <c r="E166" s="346">
        <f>SUMIF('2월'!$K$11:$K$94,연간_세부항목별지출!$C166,'2월'!$M$11:$M$94)</f>
        <v>0</v>
      </c>
      <c r="F166" s="346">
        <f>SUMIF('3월'!$K$11:$K$94,연간_세부항목별지출!$C166,'3월'!$M$11:$M$94)</f>
        <v>0</v>
      </c>
      <c r="G166" s="346">
        <f>SUMIF('4월'!$K$11:$K$94,연간_세부항목별지출!$C166,'4월'!$M$11:$M$94)</f>
        <v>0</v>
      </c>
      <c r="H166" s="346">
        <f>SUMIF('5월'!$K$11:$K$94,연간_세부항목별지출!$C166,'5월'!$M$11:$M$94)</f>
        <v>0</v>
      </c>
      <c r="I166" s="346">
        <f>SUMIF('6월'!$K$11:$K$94,연간_세부항목별지출!$C166,'6월'!$M$11:$M$94)</f>
        <v>0</v>
      </c>
      <c r="J166" s="346">
        <f>SUMIF('7월'!$K$11:$K$94,연간_세부항목별지출!$C166,'7월'!$M$11:$M$94)</f>
        <v>0</v>
      </c>
      <c r="K166" s="346">
        <f>SUMIF('8월'!$K$11:$K$94,연간_세부항목별지출!$C166,'8월'!$M$11:$M$94)</f>
        <v>0</v>
      </c>
      <c r="L166" s="346">
        <f>SUMIF('9월'!$K$11:$K$94,연간_세부항목별지출!$C166,'9월'!$M$11:$M$94)</f>
        <v>0</v>
      </c>
      <c r="M166" s="346">
        <f>SUMIF('10월'!$K$11:$K$94,연간_세부항목별지출!$C166,'10월'!$M$11:$M$94)</f>
        <v>0</v>
      </c>
      <c r="N166" s="346">
        <f>SUMIF('11월'!$K$11:$K$94,연간_세부항목별지출!$C166,'11월'!$M$11:$M$94)</f>
        <v>0</v>
      </c>
      <c r="O166" s="346">
        <f>SUMIF('12월'!$K$11:$K$94,연간_세부항목별지출!$C166,'12월'!$M$11:$M$94)</f>
        <v>0</v>
      </c>
      <c r="P166" s="413">
        <f t="shared" si="2"/>
        <v>0</v>
      </c>
      <c r="Q166" s="413">
        <f t="shared" si="3"/>
        <v>0</v>
      </c>
      <c r="R166" s="503" t="str">
        <f t="shared" si="9"/>
        <v/>
      </c>
    </row>
    <row r="167" spans="2:18" ht="18" customHeight="1" x14ac:dyDescent="0.3">
      <c r="B167" s="595"/>
      <c r="C167" s="419" t="str">
        <f>IF(항목!N14="","",항목!N14)</f>
        <v/>
      </c>
      <c r="D167" s="346">
        <f>SUMIF('1월'!$K$11:$K$94,연간_세부항목별지출!$C167,'1월'!$M$11:$M$94)</f>
        <v>0</v>
      </c>
      <c r="E167" s="346">
        <f>SUMIF('2월'!$K$11:$K$94,연간_세부항목별지출!$C167,'2월'!$M$11:$M$94)</f>
        <v>0</v>
      </c>
      <c r="F167" s="346">
        <f>SUMIF('3월'!$K$11:$K$94,연간_세부항목별지출!$C167,'3월'!$M$11:$M$94)</f>
        <v>0</v>
      </c>
      <c r="G167" s="346">
        <f>SUMIF('4월'!$K$11:$K$94,연간_세부항목별지출!$C167,'4월'!$M$11:$M$94)</f>
        <v>0</v>
      </c>
      <c r="H167" s="346">
        <f>SUMIF('5월'!$K$11:$K$94,연간_세부항목별지출!$C167,'5월'!$M$11:$M$94)</f>
        <v>0</v>
      </c>
      <c r="I167" s="346">
        <f>SUMIF('6월'!$K$11:$K$94,연간_세부항목별지출!$C167,'6월'!$M$11:$M$94)</f>
        <v>0</v>
      </c>
      <c r="J167" s="346">
        <f>SUMIF('7월'!$K$11:$K$94,연간_세부항목별지출!$C167,'7월'!$M$11:$M$94)</f>
        <v>0</v>
      </c>
      <c r="K167" s="346">
        <f>SUMIF('8월'!$K$11:$K$94,연간_세부항목별지출!$C167,'8월'!$M$11:$M$94)</f>
        <v>0</v>
      </c>
      <c r="L167" s="346">
        <f>SUMIF('9월'!$K$11:$K$94,연간_세부항목별지출!$C167,'9월'!$M$11:$M$94)</f>
        <v>0</v>
      </c>
      <c r="M167" s="346">
        <f>SUMIF('10월'!$K$11:$K$94,연간_세부항목별지출!$C167,'10월'!$M$11:$M$94)</f>
        <v>0</v>
      </c>
      <c r="N167" s="346">
        <f>SUMIF('11월'!$K$11:$K$94,연간_세부항목별지출!$C167,'11월'!$M$11:$M$94)</f>
        <v>0</v>
      </c>
      <c r="O167" s="346">
        <f>SUMIF('12월'!$K$11:$K$94,연간_세부항목별지출!$C167,'12월'!$M$11:$M$94)</f>
        <v>0</v>
      </c>
      <c r="P167" s="413">
        <f t="shared" si="2"/>
        <v>0</v>
      </c>
      <c r="Q167" s="413">
        <f t="shared" si="3"/>
        <v>0</v>
      </c>
      <c r="R167" s="503" t="str">
        <f t="shared" si="9"/>
        <v/>
      </c>
    </row>
    <row r="168" spans="2:18" ht="18" customHeight="1" x14ac:dyDescent="0.3">
      <c r="B168" s="595"/>
      <c r="C168" s="419" t="str">
        <f>IF(항목!N15="","",항목!N15)</f>
        <v/>
      </c>
      <c r="D168" s="346">
        <f>SUMIF('1월'!$K$11:$K$94,연간_세부항목별지출!$C168,'1월'!$M$11:$M$94)</f>
        <v>0</v>
      </c>
      <c r="E168" s="346">
        <f>SUMIF('2월'!$K$11:$K$94,연간_세부항목별지출!$C168,'2월'!$M$11:$M$94)</f>
        <v>0</v>
      </c>
      <c r="F168" s="346">
        <f>SUMIF('3월'!$K$11:$K$94,연간_세부항목별지출!$C168,'3월'!$M$11:$M$94)</f>
        <v>0</v>
      </c>
      <c r="G168" s="346">
        <f>SUMIF('4월'!$K$11:$K$94,연간_세부항목별지출!$C168,'4월'!$M$11:$M$94)</f>
        <v>0</v>
      </c>
      <c r="H168" s="346">
        <f>SUMIF('5월'!$K$11:$K$94,연간_세부항목별지출!$C168,'5월'!$M$11:$M$94)</f>
        <v>0</v>
      </c>
      <c r="I168" s="346">
        <f>SUMIF('6월'!$K$11:$K$94,연간_세부항목별지출!$C168,'6월'!$M$11:$M$94)</f>
        <v>0</v>
      </c>
      <c r="J168" s="346">
        <f>SUMIF('7월'!$K$11:$K$94,연간_세부항목별지출!$C168,'7월'!$M$11:$M$94)</f>
        <v>0</v>
      </c>
      <c r="K168" s="346">
        <f>SUMIF('8월'!$K$11:$K$94,연간_세부항목별지출!$C168,'8월'!$M$11:$M$94)</f>
        <v>0</v>
      </c>
      <c r="L168" s="346">
        <f>SUMIF('9월'!$K$11:$K$94,연간_세부항목별지출!$C168,'9월'!$M$11:$M$94)</f>
        <v>0</v>
      </c>
      <c r="M168" s="346">
        <f>SUMIF('10월'!$K$11:$K$94,연간_세부항목별지출!$C168,'10월'!$M$11:$M$94)</f>
        <v>0</v>
      </c>
      <c r="N168" s="346">
        <f>SUMIF('11월'!$K$11:$K$94,연간_세부항목별지출!$C168,'11월'!$M$11:$M$94)</f>
        <v>0</v>
      </c>
      <c r="O168" s="346">
        <f>SUMIF('12월'!$K$11:$K$94,연간_세부항목별지출!$C168,'12월'!$M$11:$M$94)</f>
        <v>0</v>
      </c>
      <c r="P168" s="413">
        <f t="shared" si="2"/>
        <v>0</v>
      </c>
      <c r="Q168" s="413">
        <f t="shared" si="3"/>
        <v>0</v>
      </c>
      <c r="R168" s="503" t="str">
        <f t="shared" si="9"/>
        <v/>
      </c>
    </row>
    <row r="169" spans="2:18" ht="18" customHeight="1" x14ac:dyDescent="0.3">
      <c r="B169" s="595"/>
      <c r="C169" s="419" t="str">
        <f>IF(항목!N16="","",항목!N16)</f>
        <v/>
      </c>
      <c r="D169" s="346">
        <f>SUMIF('1월'!$K$11:$K$94,연간_세부항목별지출!$C169,'1월'!$M$11:$M$94)</f>
        <v>0</v>
      </c>
      <c r="E169" s="346">
        <f>SUMIF('2월'!$K$11:$K$94,연간_세부항목별지출!$C169,'2월'!$M$11:$M$94)</f>
        <v>0</v>
      </c>
      <c r="F169" s="346">
        <f>SUMIF('3월'!$K$11:$K$94,연간_세부항목별지출!$C169,'3월'!$M$11:$M$94)</f>
        <v>0</v>
      </c>
      <c r="G169" s="346">
        <f>SUMIF('4월'!$K$11:$K$94,연간_세부항목별지출!$C169,'4월'!$M$11:$M$94)</f>
        <v>0</v>
      </c>
      <c r="H169" s="346">
        <f>SUMIF('5월'!$K$11:$K$94,연간_세부항목별지출!$C169,'5월'!$M$11:$M$94)</f>
        <v>0</v>
      </c>
      <c r="I169" s="346">
        <f>SUMIF('6월'!$K$11:$K$94,연간_세부항목별지출!$C169,'6월'!$M$11:$M$94)</f>
        <v>0</v>
      </c>
      <c r="J169" s="346">
        <f>SUMIF('7월'!$K$11:$K$94,연간_세부항목별지출!$C169,'7월'!$M$11:$M$94)</f>
        <v>0</v>
      </c>
      <c r="K169" s="346">
        <f>SUMIF('8월'!$K$11:$K$94,연간_세부항목별지출!$C169,'8월'!$M$11:$M$94)</f>
        <v>0</v>
      </c>
      <c r="L169" s="346">
        <f>SUMIF('9월'!$K$11:$K$94,연간_세부항목별지출!$C169,'9월'!$M$11:$M$94)</f>
        <v>0</v>
      </c>
      <c r="M169" s="346">
        <f>SUMIF('10월'!$K$11:$K$94,연간_세부항목별지출!$C169,'10월'!$M$11:$M$94)</f>
        <v>0</v>
      </c>
      <c r="N169" s="346">
        <f>SUMIF('11월'!$K$11:$K$94,연간_세부항목별지출!$C169,'11월'!$M$11:$M$94)</f>
        <v>0</v>
      </c>
      <c r="O169" s="346">
        <f>SUMIF('12월'!$K$11:$K$94,연간_세부항목별지출!$C169,'12월'!$M$11:$M$94)</f>
        <v>0</v>
      </c>
      <c r="P169" s="413">
        <f t="shared" si="2"/>
        <v>0</v>
      </c>
      <c r="Q169" s="413">
        <f t="shared" si="3"/>
        <v>0</v>
      </c>
      <c r="R169" s="503" t="str">
        <f t="shared" si="9"/>
        <v/>
      </c>
    </row>
    <row r="170" spans="2:18" ht="18" customHeight="1" x14ac:dyDescent="0.3">
      <c r="B170" s="595"/>
      <c r="C170" s="419" t="str">
        <f>IF(항목!N17="","",항목!N17)</f>
        <v/>
      </c>
      <c r="D170" s="346">
        <f>SUMIF('1월'!$K$11:$K$94,연간_세부항목별지출!$C170,'1월'!$M$11:$M$94)</f>
        <v>0</v>
      </c>
      <c r="E170" s="346">
        <f>SUMIF('2월'!$K$11:$K$94,연간_세부항목별지출!$C170,'2월'!$M$11:$M$94)</f>
        <v>0</v>
      </c>
      <c r="F170" s="346">
        <f>SUMIF('3월'!$K$11:$K$94,연간_세부항목별지출!$C170,'3월'!$M$11:$M$94)</f>
        <v>0</v>
      </c>
      <c r="G170" s="346">
        <f>SUMIF('4월'!$K$11:$K$94,연간_세부항목별지출!$C170,'4월'!$M$11:$M$94)</f>
        <v>0</v>
      </c>
      <c r="H170" s="346">
        <f>SUMIF('5월'!$K$11:$K$94,연간_세부항목별지출!$C170,'5월'!$M$11:$M$94)</f>
        <v>0</v>
      </c>
      <c r="I170" s="346">
        <f>SUMIF('6월'!$K$11:$K$94,연간_세부항목별지출!$C170,'6월'!$M$11:$M$94)</f>
        <v>0</v>
      </c>
      <c r="J170" s="346">
        <f>SUMIF('7월'!$K$11:$K$94,연간_세부항목별지출!$C170,'7월'!$M$11:$M$94)</f>
        <v>0</v>
      </c>
      <c r="K170" s="346">
        <f>SUMIF('8월'!$K$11:$K$94,연간_세부항목별지출!$C170,'8월'!$M$11:$M$94)</f>
        <v>0</v>
      </c>
      <c r="L170" s="346">
        <f>SUMIF('9월'!$K$11:$K$94,연간_세부항목별지출!$C170,'9월'!$M$11:$M$94)</f>
        <v>0</v>
      </c>
      <c r="M170" s="346">
        <f>SUMIF('10월'!$K$11:$K$94,연간_세부항목별지출!$C170,'10월'!$M$11:$M$94)</f>
        <v>0</v>
      </c>
      <c r="N170" s="346">
        <f>SUMIF('11월'!$K$11:$K$94,연간_세부항목별지출!$C170,'11월'!$M$11:$M$94)</f>
        <v>0</v>
      </c>
      <c r="O170" s="346">
        <f>SUMIF('12월'!$K$11:$K$94,연간_세부항목별지출!$C170,'12월'!$M$11:$M$94)</f>
        <v>0</v>
      </c>
      <c r="P170" s="413">
        <f t="shared" si="2"/>
        <v>0</v>
      </c>
      <c r="Q170" s="413">
        <f t="shared" si="3"/>
        <v>0</v>
      </c>
      <c r="R170" s="503" t="str">
        <f t="shared" si="9"/>
        <v/>
      </c>
    </row>
    <row r="171" spans="2:18" ht="18" customHeight="1" thickBot="1" x14ac:dyDescent="0.35">
      <c r="B171" s="596"/>
      <c r="C171" s="514" t="str">
        <f>IF(항목!N18="","",항목!N18)</f>
        <v/>
      </c>
      <c r="D171" s="515">
        <f>SUMIF('1월'!$K$11:$K$94,연간_세부항목별지출!$C171,'1월'!$M$11:$M$94)</f>
        <v>0</v>
      </c>
      <c r="E171" s="515">
        <f>SUMIF('2월'!$K$11:$K$94,연간_세부항목별지출!$C171,'2월'!$M$11:$M$94)</f>
        <v>0</v>
      </c>
      <c r="F171" s="515">
        <f>SUMIF('3월'!$K$11:$K$94,연간_세부항목별지출!$C171,'3월'!$M$11:$M$94)</f>
        <v>0</v>
      </c>
      <c r="G171" s="515">
        <f>SUMIF('4월'!$K$11:$K$94,연간_세부항목별지출!$C171,'4월'!$M$11:$M$94)</f>
        <v>0</v>
      </c>
      <c r="H171" s="515">
        <f>SUMIF('5월'!$K$11:$K$94,연간_세부항목별지출!$C171,'5월'!$M$11:$M$94)</f>
        <v>0</v>
      </c>
      <c r="I171" s="515">
        <f>SUMIF('6월'!$K$11:$K$94,연간_세부항목별지출!$C171,'6월'!$M$11:$M$94)</f>
        <v>0</v>
      </c>
      <c r="J171" s="515">
        <f>SUMIF('7월'!$K$11:$K$94,연간_세부항목별지출!$C171,'7월'!$M$11:$M$94)</f>
        <v>0</v>
      </c>
      <c r="K171" s="515">
        <f>SUMIF('8월'!$K$11:$K$94,연간_세부항목별지출!$C171,'8월'!$M$11:$M$94)</f>
        <v>0</v>
      </c>
      <c r="L171" s="515">
        <f>SUMIF('9월'!$K$11:$K$94,연간_세부항목별지출!$C171,'9월'!$M$11:$M$94)</f>
        <v>0</v>
      </c>
      <c r="M171" s="515">
        <f>SUMIF('10월'!$K$11:$K$94,연간_세부항목별지출!$C171,'10월'!$M$11:$M$94)</f>
        <v>0</v>
      </c>
      <c r="N171" s="515">
        <f>SUMIF('11월'!$K$11:$K$94,연간_세부항목별지출!$C171,'11월'!$M$11:$M$94)</f>
        <v>0</v>
      </c>
      <c r="O171" s="515">
        <f>SUMIF('12월'!$K$11:$K$94,연간_세부항목별지출!$C171,'12월'!$M$11:$M$94)</f>
        <v>0</v>
      </c>
      <c r="P171" s="422">
        <f t="shared" si="2"/>
        <v>0</v>
      </c>
      <c r="Q171" s="422">
        <f t="shared" si="3"/>
        <v>0</v>
      </c>
      <c r="R171" s="506" t="str">
        <f t="shared" si="9"/>
        <v/>
      </c>
    </row>
    <row r="172" spans="2:18" ht="18" customHeight="1" x14ac:dyDescent="0.3">
      <c r="B172" s="594" t="str">
        <f>항목!O3</f>
        <v>통신비</v>
      </c>
      <c r="C172" s="513" t="str">
        <f>IF(항목!O4="","",항목!O4)</f>
        <v>핸드폰</v>
      </c>
      <c r="D172" s="351">
        <f>SUMIF('1월'!$K$11:$K$94,연간_세부항목별지출!$C172,'1월'!$M$11:$M$94)</f>
        <v>0</v>
      </c>
      <c r="E172" s="351">
        <f>SUMIF('2월'!$K$11:$K$94,연간_세부항목별지출!$C172,'2월'!$M$11:$M$94)</f>
        <v>0</v>
      </c>
      <c r="F172" s="351">
        <f>SUMIF('3월'!$K$11:$K$94,연간_세부항목별지출!$C172,'3월'!$M$11:$M$94)</f>
        <v>0</v>
      </c>
      <c r="G172" s="351">
        <f>SUMIF('4월'!$K$11:$K$94,연간_세부항목별지출!$C172,'4월'!$M$11:$M$94)</f>
        <v>0</v>
      </c>
      <c r="H172" s="351">
        <f>SUMIF('5월'!$K$11:$K$94,연간_세부항목별지출!$C172,'5월'!$M$11:$M$94)</f>
        <v>0</v>
      </c>
      <c r="I172" s="351">
        <f>SUMIF('6월'!$K$11:$K$94,연간_세부항목별지출!$C172,'6월'!$M$11:$M$94)</f>
        <v>0</v>
      </c>
      <c r="J172" s="351">
        <f>SUMIF('7월'!$K$11:$K$94,연간_세부항목별지출!$C172,'7월'!$M$11:$M$94)</f>
        <v>0</v>
      </c>
      <c r="K172" s="351">
        <f>SUMIF('8월'!$K$11:$K$94,연간_세부항목별지출!$C172,'8월'!$M$11:$M$94)</f>
        <v>0</v>
      </c>
      <c r="L172" s="351">
        <f>SUMIF('9월'!$K$11:$K$94,연간_세부항목별지출!$C172,'9월'!$M$11:$M$94)</f>
        <v>0</v>
      </c>
      <c r="M172" s="351">
        <f>SUMIF('10월'!$K$11:$K$94,연간_세부항목별지출!$C172,'10월'!$M$11:$M$94)</f>
        <v>0</v>
      </c>
      <c r="N172" s="351">
        <f>SUMIF('11월'!$K$11:$K$94,연간_세부항목별지출!$C172,'11월'!$M$11:$M$94)</f>
        <v>0</v>
      </c>
      <c r="O172" s="351">
        <f>SUMIF('12월'!$K$11:$K$94,연간_세부항목별지출!$C172,'12월'!$M$11:$M$94)</f>
        <v>0</v>
      </c>
      <c r="P172" s="516">
        <f t="shared" si="2"/>
        <v>0</v>
      </c>
      <c r="Q172" s="516">
        <f t="shared" si="3"/>
        <v>0</v>
      </c>
      <c r="R172" s="517" t="str">
        <f t="shared" si="9"/>
        <v/>
      </c>
    </row>
    <row r="173" spans="2:18" ht="18" customHeight="1" x14ac:dyDescent="0.3">
      <c r="B173" s="595"/>
      <c r="C173" s="420" t="str">
        <f>IF(항목!O5="","",항목!O5)</f>
        <v>인터넷</v>
      </c>
      <c r="D173" s="346">
        <f>SUMIF('1월'!$K$11:$K$94,연간_세부항목별지출!$C173,'1월'!$M$11:$M$94)</f>
        <v>0</v>
      </c>
      <c r="E173" s="346">
        <f>SUMIF('2월'!$K$11:$K$94,연간_세부항목별지출!$C173,'2월'!$M$11:$M$94)</f>
        <v>0</v>
      </c>
      <c r="F173" s="346">
        <f>SUMIF('3월'!$K$11:$K$94,연간_세부항목별지출!$C173,'3월'!$M$11:$M$94)</f>
        <v>0</v>
      </c>
      <c r="G173" s="346">
        <f>SUMIF('4월'!$K$11:$K$94,연간_세부항목별지출!$C173,'4월'!$M$11:$M$94)</f>
        <v>0</v>
      </c>
      <c r="H173" s="346">
        <f>SUMIF('5월'!$K$11:$K$94,연간_세부항목별지출!$C173,'5월'!$M$11:$M$94)</f>
        <v>0</v>
      </c>
      <c r="I173" s="346">
        <f>SUMIF('6월'!$K$11:$K$94,연간_세부항목별지출!$C173,'6월'!$M$11:$M$94)</f>
        <v>0</v>
      </c>
      <c r="J173" s="346">
        <f>SUMIF('7월'!$K$11:$K$94,연간_세부항목별지출!$C173,'7월'!$M$11:$M$94)</f>
        <v>0</v>
      </c>
      <c r="K173" s="346">
        <f>SUMIF('8월'!$K$11:$K$94,연간_세부항목별지출!$C173,'8월'!$M$11:$M$94)</f>
        <v>0</v>
      </c>
      <c r="L173" s="346">
        <f>SUMIF('9월'!$K$11:$K$94,연간_세부항목별지출!$C173,'9월'!$M$11:$M$94)</f>
        <v>0</v>
      </c>
      <c r="M173" s="346">
        <f>SUMIF('10월'!$K$11:$K$94,연간_세부항목별지출!$C173,'10월'!$M$11:$M$94)</f>
        <v>0</v>
      </c>
      <c r="N173" s="346">
        <f>SUMIF('11월'!$K$11:$K$94,연간_세부항목별지출!$C173,'11월'!$M$11:$M$94)</f>
        <v>0</v>
      </c>
      <c r="O173" s="346">
        <f>SUMIF('12월'!$K$11:$K$94,연간_세부항목별지출!$C173,'12월'!$M$11:$M$94)</f>
        <v>0</v>
      </c>
      <c r="P173" s="413">
        <f t="shared" si="2"/>
        <v>0</v>
      </c>
      <c r="Q173" s="413">
        <f t="shared" si="3"/>
        <v>0</v>
      </c>
      <c r="R173" s="503" t="str">
        <f t="shared" si="9"/>
        <v/>
      </c>
    </row>
    <row r="174" spans="2:18" ht="18" customHeight="1" x14ac:dyDescent="0.3">
      <c r="B174" s="595"/>
      <c r="C174" s="420" t="str">
        <f>IF(항목!O6="","",항목!O6)</f>
        <v>IPTV</v>
      </c>
      <c r="D174" s="346">
        <f>SUMIF('1월'!$K$11:$K$94,연간_세부항목별지출!$C174,'1월'!$M$11:$M$94)</f>
        <v>0</v>
      </c>
      <c r="E174" s="346">
        <f>SUMIF('2월'!$K$11:$K$94,연간_세부항목별지출!$C174,'2월'!$M$11:$M$94)</f>
        <v>0</v>
      </c>
      <c r="F174" s="346">
        <f>SUMIF('3월'!$K$11:$K$94,연간_세부항목별지출!$C174,'3월'!$M$11:$M$94)</f>
        <v>0</v>
      </c>
      <c r="G174" s="346">
        <f>SUMIF('4월'!$K$11:$K$94,연간_세부항목별지출!$C174,'4월'!$M$11:$M$94)</f>
        <v>0</v>
      </c>
      <c r="H174" s="346">
        <f>SUMIF('5월'!$K$11:$K$94,연간_세부항목별지출!$C174,'5월'!$M$11:$M$94)</f>
        <v>0</v>
      </c>
      <c r="I174" s="346">
        <f>SUMIF('6월'!$K$11:$K$94,연간_세부항목별지출!$C174,'6월'!$M$11:$M$94)</f>
        <v>0</v>
      </c>
      <c r="J174" s="346">
        <f>SUMIF('7월'!$K$11:$K$94,연간_세부항목별지출!$C174,'7월'!$M$11:$M$94)</f>
        <v>0</v>
      </c>
      <c r="K174" s="346">
        <f>SUMIF('8월'!$K$11:$K$94,연간_세부항목별지출!$C174,'8월'!$M$11:$M$94)</f>
        <v>0</v>
      </c>
      <c r="L174" s="346">
        <f>SUMIF('9월'!$K$11:$K$94,연간_세부항목별지출!$C174,'9월'!$M$11:$M$94)</f>
        <v>0</v>
      </c>
      <c r="M174" s="346">
        <f>SUMIF('10월'!$K$11:$K$94,연간_세부항목별지출!$C174,'10월'!$M$11:$M$94)</f>
        <v>0</v>
      </c>
      <c r="N174" s="346">
        <f>SUMIF('11월'!$K$11:$K$94,연간_세부항목별지출!$C174,'11월'!$M$11:$M$94)</f>
        <v>0</v>
      </c>
      <c r="O174" s="346">
        <f>SUMIF('12월'!$K$11:$K$94,연간_세부항목별지출!$C174,'12월'!$M$11:$M$94)</f>
        <v>0</v>
      </c>
      <c r="P174" s="413">
        <f t="shared" ref="P174:P216" si="10">SUM(D174:O174)</f>
        <v>0</v>
      </c>
      <c r="Q174" s="413">
        <f t="shared" ref="Q174:Q216" si="11">P174/12</f>
        <v>0</v>
      </c>
      <c r="R174" s="503" t="str">
        <f t="shared" si="9"/>
        <v/>
      </c>
    </row>
    <row r="175" spans="2:18" ht="18" customHeight="1" x14ac:dyDescent="0.3">
      <c r="B175" s="595"/>
      <c r="C175" s="420" t="str">
        <f>IF(항목!O7="","",항목!O7)</f>
        <v>우편/택배</v>
      </c>
      <c r="D175" s="346">
        <f>SUMIF('1월'!$K$11:$K$94,연간_세부항목별지출!$C175,'1월'!$M$11:$M$94)</f>
        <v>0</v>
      </c>
      <c r="E175" s="346">
        <f>SUMIF('2월'!$K$11:$K$94,연간_세부항목별지출!$C175,'2월'!$M$11:$M$94)</f>
        <v>0</v>
      </c>
      <c r="F175" s="346">
        <f>SUMIF('3월'!$K$11:$K$94,연간_세부항목별지출!$C175,'3월'!$M$11:$M$94)</f>
        <v>0</v>
      </c>
      <c r="G175" s="346">
        <f>SUMIF('4월'!$K$11:$K$94,연간_세부항목별지출!$C175,'4월'!$M$11:$M$94)</f>
        <v>0</v>
      </c>
      <c r="H175" s="346">
        <f>SUMIF('5월'!$K$11:$K$94,연간_세부항목별지출!$C175,'5월'!$M$11:$M$94)</f>
        <v>0</v>
      </c>
      <c r="I175" s="346">
        <f>SUMIF('6월'!$K$11:$K$94,연간_세부항목별지출!$C175,'6월'!$M$11:$M$94)</f>
        <v>0</v>
      </c>
      <c r="J175" s="346">
        <f>SUMIF('7월'!$K$11:$K$94,연간_세부항목별지출!$C175,'7월'!$M$11:$M$94)</f>
        <v>0</v>
      </c>
      <c r="K175" s="346">
        <f>SUMIF('8월'!$K$11:$K$94,연간_세부항목별지출!$C175,'8월'!$M$11:$M$94)</f>
        <v>0</v>
      </c>
      <c r="L175" s="346">
        <f>SUMIF('9월'!$K$11:$K$94,연간_세부항목별지출!$C175,'9월'!$M$11:$M$94)</f>
        <v>0</v>
      </c>
      <c r="M175" s="346">
        <f>SUMIF('10월'!$K$11:$K$94,연간_세부항목별지출!$C175,'10월'!$M$11:$M$94)</f>
        <v>0</v>
      </c>
      <c r="N175" s="346">
        <f>SUMIF('11월'!$K$11:$K$94,연간_세부항목별지출!$C175,'11월'!$M$11:$M$94)</f>
        <v>0</v>
      </c>
      <c r="O175" s="346">
        <f>SUMIF('12월'!$K$11:$K$94,연간_세부항목별지출!$C175,'12월'!$M$11:$M$94)</f>
        <v>0</v>
      </c>
      <c r="P175" s="413">
        <f t="shared" si="10"/>
        <v>0</v>
      </c>
      <c r="Q175" s="413">
        <f t="shared" si="11"/>
        <v>0</v>
      </c>
      <c r="R175" s="503" t="str">
        <f t="shared" si="9"/>
        <v/>
      </c>
    </row>
    <row r="176" spans="2:18" ht="18" customHeight="1" x14ac:dyDescent="0.3">
      <c r="B176" s="595"/>
      <c r="C176" s="420" t="str">
        <f>IF(항목!O8="","",항목!O8)</f>
        <v>기타 통신</v>
      </c>
      <c r="D176" s="346">
        <f>SUMIF('1월'!$K$11:$K$94,연간_세부항목별지출!$C176,'1월'!$M$11:$M$94)</f>
        <v>0</v>
      </c>
      <c r="E176" s="346">
        <f>SUMIF('2월'!$K$11:$K$94,연간_세부항목별지출!$C176,'2월'!$M$11:$M$94)</f>
        <v>0</v>
      </c>
      <c r="F176" s="346">
        <f>SUMIF('3월'!$K$11:$K$94,연간_세부항목별지출!$C176,'3월'!$M$11:$M$94)</f>
        <v>0</v>
      </c>
      <c r="G176" s="346">
        <f>SUMIF('4월'!$K$11:$K$94,연간_세부항목별지출!$C176,'4월'!$M$11:$M$94)</f>
        <v>0</v>
      </c>
      <c r="H176" s="346">
        <f>SUMIF('5월'!$K$11:$K$94,연간_세부항목별지출!$C176,'5월'!$M$11:$M$94)</f>
        <v>0</v>
      </c>
      <c r="I176" s="346">
        <f>SUMIF('6월'!$K$11:$K$94,연간_세부항목별지출!$C176,'6월'!$M$11:$M$94)</f>
        <v>0</v>
      </c>
      <c r="J176" s="346">
        <f>SUMIF('7월'!$K$11:$K$94,연간_세부항목별지출!$C176,'7월'!$M$11:$M$94)</f>
        <v>0</v>
      </c>
      <c r="K176" s="346">
        <f>SUMIF('8월'!$K$11:$K$94,연간_세부항목별지출!$C176,'8월'!$M$11:$M$94)</f>
        <v>0</v>
      </c>
      <c r="L176" s="346">
        <f>SUMIF('9월'!$K$11:$K$94,연간_세부항목별지출!$C176,'9월'!$M$11:$M$94)</f>
        <v>0</v>
      </c>
      <c r="M176" s="346">
        <f>SUMIF('10월'!$K$11:$K$94,연간_세부항목별지출!$C176,'10월'!$M$11:$M$94)</f>
        <v>0</v>
      </c>
      <c r="N176" s="346">
        <f>SUMIF('11월'!$K$11:$K$94,연간_세부항목별지출!$C176,'11월'!$M$11:$M$94)</f>
        <v>0</v>
      </c>
      <c r="O176" s="346">
        <f>SUMIF('12월'!$K$11:$K$94,연간_세부항목별지출!$C176,'12월'!$M$11:$M$94)</f>
        <v>0</v>
      </c>
      <c r="P176" s="413">
        <f t="shared" si="10"/>
        <v>0</v>
      </c>
      <c r="Q176" s="413">
        <f t="shared" si="11"/>
        <v>0</v>
      </c>
      <c r="R176" s="503" t="str">
        <f t="shared" si="9"/>
        <v/>
      </c>
    </row>
    <row r="177" spans="2:18" ht="18" customHeight="1" x14ac:dyDescent="0.3">
      <c r="B177" s="595"/>
      <c r="C177" s="420" t="str">
        <f>IF(항목!O9="","",항목!O9)</f>
        <v/>
      </c>
      <c r="D177" s="346">
        <f>SUMIF('1월'!$K$11:$K$94,연간_세부항목별지출!$C177,'1월'!$M$11:$M$94)</f>
        <v>0</v>
      </c>
      <c r="E177" s="346">
        <f>SUMIF('2월'!$K$11:$K$94,연간_세부항목별지출!$C177,'2월'!$M$11:$M$94)</f>
        <v>0</v>
      </c>
      <c r="F177" s="346">
        <f>SUMIF('3월'!$K$11:$K$94,연간_세부항목별지출!$C177,'3월'!$M$11:$M$94)</f>
        <v>0</v>
      </c>
      <c r="G177" s="346">
        <f>SUMIF('4월'!$K$11:$K$94,연간_세부항목별지출!$C177,'4월'!$M$11:$M$94)</f>
        <v>0</v>
      </c>
      <c r="H177" s="346">
        <f>SUMIF('5월'!$K$11:$K$94,연간_세부항목별지출!$C177,'5월'!$M$11:$M$94)</f>
        <v>0</v>
      </c>
      <c r="I177" s="346">
        <f>SUMIF('6월'!$K$11:$K$94,연간_세부항목별지출!$C177,'6월'!$M$11:$M$94)</f>
        <v>0</v>
      </c>
      <c r="J177" s="346">
        <f>SUMIF('7월'!$K$11:$K$94,연간_세부항목별지출!$C177,'7월'!$M$11:$M$94)</f>
        <v>0</v>
      </c>
      <c r="K177" s="346">
        <f>SUMIF('8월'!$K$11:$K$94,연간_세부항목별지출!$C177,'8월'!$M$11:$M$94)</f>
        <v>0</v>
      </c>
      <c r="L177" s="346">
        <f>SUMIF('9월'!$K$11:$K$94,연간_세부항목별지출!$C177,'9월'!$M$11:$M$94)</f>
        <v>0</v>
      </c>
      <c r="M177" s="346">
        <f>SUMIF('10월'!$K$11:$K$94,연간_세부항목별지출!$C177,'10월'!$M$11:$M$94)</f>
        <v>0</v>
      </c>
      <c r="N177" s="346">
        <f>SUMIF('11월'!$K$11:$K$94,연간_세부항목별지출!$C177,'11월'!$M$11:$M$94)</f>
        <v>0</v>
      </c>
      <c r="O177" s="346">
        <f>SUMIF('12월'!$K$11:$K$94,연간_세부항목별지출!$C177,'12월'!$M$11:$M$94)</f>
        <v>0</v>
      </c>
      <c r="P177" s="413">
        <f t="shared" si="10"/>
        <v>0</v>
      </c>
      <c r="Q177" s="413">
        <f t="shared" si="11"/>
        <v>0</v>
      </c>
      <c r="R177" s="503" t="str">
        <f t="shared" si="9"/>
        <v/>
      </c>
    </row>
    <row r="178" spans="2:18" ht="18" customHeight="1" x14ac:dyDescent="0.3">
      <c r="B178" s="595"/>
      <c r="C178" s="420" t="str">
        <f>IF(항목!O10="","",항목!O10)</f>
        <v/>
      </c>
      <c r="D178" s="346">
        <f>SUMIF('1월'!$K$11:$K$94,연간_세부항목별지출!$C178,'1월'!$M$11:$M$94)</f>
        <v>0</v>
      </c>
      <c r="E178" s="346">
        <f>SUMIF('2월'!$K$11:$K$94,연간_세부항목별지출!$C178,'2월'!$M$11:$M$94)</f>
        <v>0</v>
      </c>
      <c r="F178" s="346">
        <f>SUMIF('3월'!$K$11:$K$94,연간_세부항목별지출!$C178,'3월'!$M$11:$M$94)</f>
        <v>0</v>
      </c>
      <c r="G178" s="346">
        <f>SUMIF('4월'!$K$11:$K$94,연간_세부항목별지출!$C178,'4월'!$M$11:$M$94)</f>
        <v>0</v>
      </c>
      <c r="H178" s="346">
        <f>SUMIF('5월'!$K$11:$K$94,연간_세부항목별지출!$C178,'5월'!$M$11:$M$94)</f>
        <v>0</v>
      </c>
      <c r="I178" s="346">
        <f>SUMIF('6월'!$K$11:$K$94,연간_세부항목별지출!$C178,'6월'!$M$11:$M$94)</f>
        <v>0</v>
      </c>
      <c r="J178" s="346">
        <f>SUMIF('7월'!$K$11:$K$94,연간_세부항목별지출!$C178,'7월'!$M$11:$M$94)</f>
        <v>0</v>
      </c>
      <c r="K178" s="346">
        <f>SUMIF('8월'!$K$11:$K$94,연간_세부항목별지출!$C178,'8월'!$M$11:$M$94)</f>
        <v>0</v>
      </c>
      <c r="L178" s="346">
        <f>SUMIF('9월'!$K$11:$K$94,연간_세부항목별지출!$C178,'9월'!$M$11:$M$94)</f>
        <v>0</v>
      </c>
      <c r="M178" s="346">
        <f>SUMIF('10월'!$K$11:$K$94,연간_세부항목별지출!$C178,'10월'!$M$11:$M$94)</f>
        <v>0</v>
      </c>
      <c r="N178" s="346">
        <f>SUMIF('11월'!$K$11:$K$94,연간_세부항목별지출!$C178,'11월'!$M$11:$M$94)</f>
        <v>0</v>
      </c>
      <c r="O178" s="346">
        <f>SUMIF('12월'!$K$11:$K$94,연간_세부항목별지출!$C178,'12월'!$M$11:$M$94)</f>
        <v>0</v>
      </c>
      <c r="P178" s="413">
        <f t="shared" si="10"/>
        <v>0</v>
      </c>
      <c r="Q178" s="413">
        <f t="shared" si="11"/>
        <v>0</v>
      </c>
      <c r="R178" s="503" t="str">
        <f t="shared" si="9"/>
        <v/>
      </c>
    </row>
    <row r="179" spans="2:18" ht="18" customHeight="1" x14ac:dyDescent="0.3">
      <c r="B179" s="595"/>
      <c r="C179" s="420" t="str">
        <f>IF(항목!O11="","",항목!O11)</f>
        <v/>
      </c>
      <c r="D179" s="346">
        <f>SUMIF('1월'!$K$11:$K$94,연간_세부항목별지출!$C179,'1월'!$M$11:$M$94)</f>
        <v>0</v>
      </c>
      <c r="E179" s="346">
        <f>SUMIF('2월'!$K$11:$K$94,연간_세부항목별지출!$C179,'2월'!$M$11:$M$94)</f>
        <v>0</v>
      </c>
      <c r="F179" s="346">
        <f>SUMIF('3월'!$K$11:$K$94,연간_세부항목별지출!$C179,'3월'!$M$11:$M$94)</f>
        <v>0</v>
      </c>
      <c r="G179" s="346">
        <f>SUMIF('4월'!$K$11:$K$94,연간_세부항목별지출!$C179,'4월'!$M$11:$M$94)</f>
        <v>0</v>
      </c>
      <c r="H179" s="346">
        <f>SUMIF('5월'!$K$11:$K$94,연간_세부항목별지출!$C179,'5월'!$M$11:$M$94)</f>
        <v>0</v>
      </c>
      <c r="I179" s="346">
        <f>SUMIF('6월'!$K$11:$K$94,연간_세부항목별지출!$C179,'6월'!$M$11:$M$94)</f>
        <v>0</v>
      </c>
      <c r="J179" s="346">
        <f>SUMIF('7월'!$K$11:$K$94,연간_세부항목별지출!$C179,'7월'!$M$11:$M$94)</f>
        <v>0</v>
      </c>
      <c r="K179" s="346">
        <f>SUMIF('8월'!$K$11:$K$94,연간_세부항목별지출!$C179,'8월'!$M$11:$M$94)</f>
        <v>0</v>
      </c>
      <c r="L179" s="346">
        <f>SUMIF('9월'!$K$11:$K$94,연간_세부항목별지출!$C179,'9월'!$M$11:$M$94)</f>
        <v>0</v>
      </c>
      <c r="M179" s="346">
        <f>SUMIF('10월'!$K$11:$K$94,연간_세부항목별지출!$C179,'10월'!$M$11:$M$94)</f>
        <v>0</v>
      </c>
      <c r="N179" s="346">
        <f>SUMIF('11월'!$K$11:$K$94,연간_세부항목별지출!$C179,'11월'!$M$11:$M$94)</f>
        <v>0</v>
      </c>
      <c r="O179" s="346">
        <f>SUMIF('12월'!$K$11:$K$94,연간_세부항목별지출!$C179,'12월'!$M$11:$M$94)</f>
        <v>0</v>
      </c>
      <c r="P179" s="413">
        <f t="shared" si="10"/>
        <v>0</v>
      </c>
      <c r="Q179" s="413">
        <f t="shared" si="11"/>
        <v>0</v>
      </c>
      <c r="R179" s="503" t="str">
        <f t="shared" si="9"/>
        <v/>
      </c>
    </row>
    <row r="180" spans="2:18" ht="18" customHeight="1" x14ac:dyDescent="0.3">
      <c r="B180" s="595"/>
      <c r="C180" s="420" t="str">
        <f>IF(항목!O12="","",항목!O12)</f>
        <v/>
      </c>
      <c r="D180" s="346">
        <f>SUMIF('1월'!$K$11:$K$94,연간_세부항목별지출!$C180,'1월'!$M$11:$M$94)</f>
        <v>0</v>
      </c>
      <c r="E180" s="346">
        <f>SUMIF('2월'!$K$11:$K$94,연간_세부항목별지출!$C180,'2월'!$M$11:$M$94)</f>
        <v>0</v>
      </c>
      <c r="F180" s="346">
        <f>SUMIF('3월'!$K$11:$K$94,연간_세부항목별지출!$C180,'3월'!$M$11:$M$94)</f>
        <v>0</v>
      </c>
      <c r="G180" s="346">
        <f>SUMIF('4월'!$K$11:$K$94,연간_세부항목별지출!$C180,'4월'!$M$11:$M$94)</f>
        <v>0</v>
      </c>
      <c r="H180" s="346">
        <f>SUMIF('5월'!$K$11:$K$94,연간_세부항목별지출!$C180,'5월'!$M$11:$M$94)</f>
        <v>0</v>
      </c>
      <c r="I180" s="346">
        <f>SUMIF('6월'!$K$11:$K$94,연간_세부항목별지출!$C180,'6월'!$M$11:$M$94)</f>
        <v>0</v>
      </c>
      <c r="J180" s="346">
        <f>SUMIF('7월'!$K$11:$K$94,연간_세부항목별지출!$C180,'7월'!$M$11:$M$94)</f>
        <v>0</v>
      </c>
      <c r="K180" s="346">
        <f>SUMIF('8월'!$K$11:$K$94,연간_세부항목별지출!$C180,'8월'!$M$11:$M$94)</f>
        <v>0</v>
      </c>
      <c r="L180" s="346">
        <f>SUMIF('9월'!$K$11:$K$94,연간_세부항목별지출!$C180,'9월'!$M$11:$M$94)</f>
        <v>0</v>
      </c>
      <c r="M180" s="346">
        <f>SUMIF('10월'!$K$11:$K$94,연간_세부항목별지출!$C180,'10월'!$M$11:$M$94)</f>
        <v>0</v>
      </c>
      <c r="N180" s="346">
        <f>SUMIF('11월'!$K$11:$K$94,연간_세부항목별지출!$C180,'11월'!$M$11:$M$94)</f>
        <v>0</v>
      </c>
      <c r="O180" s="346">
        <f>SUMIF('12월'!$K$11:$K$94,연간_세부항목별지출!$C180,'12월'!$M$11:$M$94)</f>
        <v>0</v>
      </c>
      <c r="P180" s="413">
        <f t="shared" si="10"/>
        <v>0</v>
      </c>
      <c r="Q180" s="413">
        <f t="shared" si="11"/>
        <v>0</v>
      </c>
      <c r="R180" s="503" t="str">
        <f t="shared" si="9"/>
        <v/>
      </c>
    </row>
    <row r="181" spans="2:18" ht="18" customHeight="1" x14ac:dyDescent="0.3">
      <c r="B181" s="595"/>
      <c r="C181" s="420" t="str">
        <f>IF(항목!O13="","",항목!O13)</f>
        <v/>
      </c>
      <c r="D181" s="346">
        <f>SUMIF('1월'!$K$11:$K$94,연간_세부항목별지출!$C181,'1월'!$M$11:$M$94)</f>
        <v>0</v>
      </c>
      <c r="E181" s="346">
        <f>SUMIF('2월'!$K$11:$K$94,연간_세부항목별지출!$C181,'2월'!$M$11:$M$94)</f>
        <v>0</v>
      </c>
      <c r="F181" s="346">
        <f>SUMIF('3월'!$K$11:$K$94,연간_세부항목별지출!$C181,'3월'!$M$11:$M$94)</f>
        <v>0</v>
      </c>
      <c r="G181" s="346">
        <f>SUMIF('4월'!$K$11:$K$94,연간_세부항목별지출!$C181,'4월'!$M$11:$M$94)</f>
        <v>0</v>
      </c>
      <c r="H181" s="346">
        <f>SUMIF('5월'!$K$11:$K$94,연간_세부항목별지출!$C181,'5월'!$M$11:$M$94)</f>
        <v>0</v>
      </c>
      <c r="I181" s="346">
        <f>SUMIF('6월'!$K$11:$K$94,연간_세부항목별지출!$C181,'6월'!$M$11:$M$94)</f>
        <v>0</v>
      </c>
      <c r="J181" s="346">
        <f>SUMIF('7월'!$K$11:$K$94,연간_세부항목별지출!$C181,'7월'!$M$11:$M$94)</f>
        <v>0</v>
      </c>
      <c r="K181" s="346">
        <f>SUMIF('8월'!$K$11:$K$94,연간_세부항목별지출!$C181,'8월'!$M$11:$M$94)</f>
        <v>0</v>
      </c>
      <c r="L181" s="346">
        <f>SUMIF('9월'!$K$11:$K$94,연간_세부항목별지출!$C181,'9월'!$M$11:$M$94)</f>
        <v>0</v>
      </c>
      <c r="M181" s="346">
        <f>SUMIF('10월'!$K$11:$K$94,연간_세부항목별지출!$C181,'10월'!$M$11:$M$94)</f>
        <v>0</v>
      </c>
      <c r="N181" s="346">
        <f>SUMIF('11월'!$K$11:$K$94,연간_세부항목별지출!$C181,'11월'!$M$11:$M$94)</f>
        <v>0</v>
      </c>
      <c r="O181" s="346">
        <f>SUMIF('12월'!$K$11:$K$94,연간_세부항목별지출!$C181,'12월'!$M$11:$M$94)</f>
        <v>0</v>
      </c>
      <c r="P181" s="413">
        <f t="shared" si="10"/>
        <v>0</v>
      </c>
      <c r="Q181" s="413">
        <f t="shared" si="11"/>
        <v>0</v>
      </c>
      <c r="R181" s="503" t="str">
        <f t="shared" si="9"/>
        <v/>
      </c>
    </row>
    <row r="182" spans="2:18" ht="18" customHeight="1" x14ac:dyDescent="0.3">
      <c r="B182" s="595"/>
      <c r="C182" s="420" t="str">
        <f>IF(항목!O14="","",항목!O14)</f>
        <v/>
      </c>
      <c r="D182" s="346">
        <f>SUMIF('1월'!$K$11:$K$94,연간_세부항목별지출!$C182,'1월'!$M$11:$M$94)</f>
        <v>0</v>
      </c>
      <c r="E182" s="346">
        <f>SUMIF('2월'!$K$11:$K$94,연간_세부항목별지출!$C182,'2월'!$M$11:$M$94)</f>
        <v>0</v>
      </c>
      <c r="F182" s="346">
        <f>SUMIF('3월'!$K$11:$K$94,연간_세부항목별지출!$C182,'3월'!$M$11:$M$94)</f>
        <v>0</v>
      </c>
      <c r="G182" s="346">
        <f>SUMIF('4월'!$K$11:$K$94,연간_세부항목별지출!$C182,'4월'!$M$11:$M$94)</f>
        <v>0</v>
      </c>
      <c r="H182" s="346">
        <f>SUMIF('5월'!$K$11:$K$94,연간_세부항목별지출!$C182,'5월'!$M$11:$M$94)</f>
        <v>0</v>
      </c>
      <c r="I182" s="346">
        <f>SUMIF('6월'!$K$11:$K$94,연간_세부항목별지출!$C182,'6월'!$M$11:$M$94)</f>
        <v>0</v>
      </c>
      <c r="J182" s="346">
        <f>SUMIF('7월'!$K$11:$K$94,연간_세부항목별지출!$C182,'7월'!$M$11:$M$94)</f>
        <v>0</v>
      </c>
      <c r="K182" s="346">
        <f>SUMIF('8월'!$K$11:$K$94,연간_세부항목별지출!$C182,'8월'!$M$11:$M$94)</f>
        <v>0</v>
      </c>
      <c r="L182" s="346">
        <f>SUMIF('9월'!$K$11:$K$94,연간_세부항목별지출!$C182,'9월'!$M$11:$M$94)</f>
        <v>0</v>
      </c>
      <c r="M182" s="346">
        <f>SUMIF('10월'!$K$11:$K$94,연간_세부항목별지출!$C182,'10월'!$M$11:$M$94)</f>
        <v>0</v>
      </c>
      <c r="N182" s="346">
        <f>SUMIF('11월'!$K$11:$K$94,연간_세부항목별지출!$C182,'11월'!$M$11:$M$94)</f>
        <v>0</v>
      </c>
      <c r="O182" s="346">
        <f>SUMIF('12월'!$K$11:$K$94,연간_세부항목별지출!$C182,'12월'!$M$11:$M$94)</f>
        <v>0</v>
      </c>
      <c r="P182" s="413">
        <f t="shared" si="10"/>
        <v>0</v>
      </c>
      <c r="Q182" s="413">
        <f t="shared" si="11"/>
        <v>0</v>
      </c>
      <c r="R182" s="503" t="str">
        <f t="shared" si="9"/>
        <v/>
      </c>
    </row>
    <row r="183" spans="2:18" ht="18" customHeight="1" x14ac:dyDescent="0.3">
      <c r="B183" s="595"/>
      <c r="C183" s="420" t="str">
        <f>IF(항목!O15="","",항목!O15)</f>
        <v/>
      </c>
      <c r="D183" s="346">
        <f>SUMIF('1월'!$K$11:$K$94,연간_세부항목별지출!$C183,'1월'!$M$11:$M$94)</f>
        <v>0</v>
      </c>
      <c r="E183" s="346">
        <f>SUMIF('2월'!$K$11:$K$94,연간_세부항목별지출!$C183,'2월'!$M$11:$M$94)</f>
        <v>0</v>
      </c>
      <c r="F183" s="346">
        <f>SUMIF('3월'!$K$11:$K$94,연간_세부항목별지출!$C183,'3월'!$M$11:$M$94)</f>
        <v>0</v>
      </c>
      <c r="G183" s="346">
        <f>SUMIF('4월'!$K$11:$K$94,연간_세부항목별지출!$C183,'4월'!$M$11:$M$94)</f>
        <v>0</v>
      </c>
      <c r="H183" s="346">
        <f>SUMIF('5월'!$K$11:$K$94,연간_세부항목별지출!$C183,'5월'!$M$11:$M$94)</f>
        <v>0</v>
      </c>
      <c r="I183" s="346">
        <f>SUMIF('6월'!$K$11:$K$94,연간_세부항목별지출!$C183,'6월'!$M$11:$M$94)</f>
        <v>0</v>
      </c>
      <c r="J183" s="346">
        <f>SUMIF('7월'!$K$11:$K$94,연간_세부항목별지출!$C183,'7월'!$M$11:$M$94)</f>
        <v>0</v>
      </c>
      <c r="K183" s="346">
        <f>SUMIF('8월'!$K$11:$K$94,연간_세부항목별지출!$C183,'8월'!$M$11:$M$94)</f>
        <v>0</v>
      </c>
      <c r="L183" s="346">
        <f>SUMIF('9월'!$K$11:$K$94,연간_세부항목별지출!$C183,'9월'!$M$11:$M$94)</f>
        <v>0</v>
      </c>
      <c r="M183" s="346">
        <f>SUMIF('10월'!$K$11:$K$94,연간_세부항목별지출!$C183,'10월'!$M$11:$M$94)</f>
        <v>0</v>
      </c>
      <c r="N183" s="346">
        <f>SUMIF('11월'!$K$11:$K$94,연간_세부항목별지출!$C183,'11월'!$M$11:$M$94)</f>
        <v>0</v>
      </c>
      <c r="O183" s="346">
        <f>SUMIF('12월'!$K$11:$K$94,연간_세부항목별지출!$C183,'12월'!$M$11:$M$94)</f>
        <v>0</v>
      </c>
      <c r="P183" s="413">
        <f t="shared" si="10"/>
        <v>0</v>
      </c>
      <c r="Q183" s="413">
        <f t="shared" si="11"/>
        <v>0</v>
      </c>
      <c r="R183" s="503" t="str">
        <f t="shared" ref="R183:R216" si="12">IF(P183&gt;0,P183/$P$21,"")</f>
        <v/>
      </c>
    </row>
    <row r="184" spans="2:18" ht="18" customHeight="1" x14ac:dyDescent="0.3">
      <c r="B184" s="595"/>
      <c r="C184" s="420" t="str">
        <f>IF(항목!O16="","",항목!O16)</f>
        <v/>
      </c>
      <c r="D184" s="346">
        <f>SUMIF('1월'!$K$11:$K$94,연간_세부항목별지출!$C184,'1월'!$M$11:$M$94)</f>
        <v>0</v>
      </c>
      <c r="E184" s="346">
        <f>SUMIF('2월'!$K$11:$K$94,연간_세부항목별지출!$C184,'2월'!$M$11:$M$94)</f>
        <v>0</v>
      </c>
      <c r="F184" s="346">
        <f>SUMIF('3월'!$K$11:$K$94,연간_세부항목별지출!$C184,'3월'!$M$11:$M$94)</f>
        <v>0</v>
      </c>
      <c r="G184" s="346">
        <f>SUMIF('4월'!$K$11:$K$94,연간_세부항목별지출!$C184,'4월'!$M$11:$M$94)</f>
        <v>0</v>
      </c>
      <c r="H184" s="346">
        <f>SUMIF('5월'!$K$11:$K$94,연간_세부항목별지출!$C184,'5월'!$M$11:$M$94)</f>
        <v>0</v>
      </c>
      <c r="I184" s="346">
        <f>SUMIF('6월'!$K$11:$K$94,연간_세부항목별지출!$C184,'6월'!$M$11:$M$94)</f>
        <v>0</v>
      </c>
      <c r="J184" s="346">
        <f>SUMIF('7월'!$K$11:$K$94,연간_세부항목별지출!$C184,'7월'!$M$11:$M$94)</f>
        <v>0</v>
      </c>
      <c r="K184" s="346">
        <f>SUMIF('8월'!$K$11:$K$94,연간_세부항목별지출!$C184,'8월'!$M$11:$M$94)</f>
        <v>0</v>
      </c>
      <c r="L184" s="346">
        <f>SUMIF('9월'!$K$11:$K$94,연간_세부항목별지출!$C184,'9월'!$M$11:$M$94)</f>
        <v>0</v>
      </c>
      <c r="M184" s="346">
        <f>SUMIF('10월'!$K$11:$K$94,연간_세부항목별지출!$C184,'10월'!$M$11:$M$94)</f>
        <v>0</v>
      </c>
      <c r="N184" s="346">
        <f>SUMIF('11월'!$K$11:$K$94,연간_세부항목별지출!$C184,'11월'!$M$11:$M$94)</f>
        <v>0</v>
      </c>
      <c r="O184" s="346">
        <f>SUMIF('12월'!$K$11:$K$94,연간_세부항목별지출!$C184,'12월'!$M$11:$M$94)</f>
        <v>0</v>
      </c>
      <c r="P184" s="413">
        <f t="shared" si="10"/>
        <v>0</v>
      </c>
      <c r="Q184" s="413">
        <f t="shared" si="11"/>
        <v>0</v>
      </c>
      <c r="R184" s="503" t="str">
        <f t="shared" si="12"/>
        <v/>
      </c>
    </row>
    <row r="185" spans="2:18" ht="18" customHeight="1" x14ac:dyDescent="0.3">
      <c r="B185" s="595"/>
      <c r="C185" s="420" t="str">
        <f>IF(항목!O17="","",항목!O17)</f>
        <v/>
      </c>
      <c r="D185" s="346">
        <f>SUMIF('1월'!$K$11:$K$94,연간_세부항목별지출!$C185,'1월'!$M$11:$M$94)</f>
        <v>0</v>
      </c>
      <c r="E185" s="346">
        <f>SUMIF('2월'!$K$11:$K$94,연간_세부항목별지출!$C185,'2월'!$M$11:$M$94)</f>
        <v>0</v>
      </c>
      <c r="F185" s="346">
        <f>SUMIF('3월'!$K$11:$K$94,연간_세부항목별지출!$C185,'3월'!$M$11:$M$94)</f>
        <v>0</v>
      </c>
      <c r="G185" s="346">
        <f>SUMIF('4월'!$K$11:$K$94,연간_세부항목별지출!$C185,'4월'!$M$11:$M$94)</f>
        <v>0</v>
      </c>
      <c r="H185" s="346">
        <f>SUMIF('5월'!$K$11:$K$94,연간_세부항목별지출!$C185,'5월'!$M$11:$M$94)</f>
        <v>0</v>
      </c>
      <c r="I185" s="346">
        <f>SUMIF('6월'!$K$11:$K$94,연간_세부항목별지출!$C185,'6월'!$M$11:$M$94)</f>
        <v>0</v>
      </c>
      <c r="J185" s="346">
        <f>SUMIF('7월'!$K$11:$K$94,연간_세부항목별지출!$C185,'7월'!$M$11:$M$94)</f>
        <v>0</v>
      </c>
      <c r="K185" s="346">
        <f>SUMIF('8월'!$K$11:$K$94,연간_세부항목별지출!$C185,'8월'!$M$11:$M$94)</f>
        <v>0</v>
      </c>
      <c r="L185" s="346">
        <f>SUMIF('9월'!$K$11:$K$94,연간_세부항목별지출!$C185,'9월'!$M$11:$M$94)</f>
        <v>0</v>
      </c>
      <c r="M185" s="346">
        <f>SUMIF('10월'!$K$11:$K$94,연간_세부항목별지출!$C185,'10월'!$M$11:$M$94)</f>
        <v>0</v>
      </c>
      <c r="N185" s="346">
        <f>SUMIF('11월'!$K$11:$K$94,연간_세부항목별지출!$C185,'11월'!$M$11:$M$94)</f>
        <v>0</v>
      </c>
      <c r="O185" s="346">
        <f>SUMIF('12월'!$K$11:$K$94,연간_세부항목별지출!$C185,'12월'!$M$11:$M$94)</f>
        <v>0</v>
      </c>
      <c r="P185" s="413">
        <f t="shared" si="10"/>
        <v>0</v>
      </c>
      <c r="Q185" s="413">
        <f t="shared" si="11"/>
        <v>0</v>
      </c>
      <c r="R185" s="503" t="str">
        <f t="shared" si="12"/>
        <v/>
      </c>
    </row>
    <row r="186" spans="2:18" ht="18" customHeight="1" thickBot="1" x14ac:dyDescent="0.35">
      <c r="B186" s="596"/>
      <c r="C186" s="421" t="str">
        <f>IF(항목!O18="","",항목!O18)</f>
        <v/>
      </c>
      <c r="D186" s="515">
        <f>SUMIF('1월'!$K$11:$K$94,연간_세부항목별지출!$C186,'1월'!$M$11:$M$94)</f>
        <v>0</v>
      </c>
      <c r="E186" s="515">
        <f>SUMIF('2월'!$K$11:$K$94,연간_세부항목별지출!$C186,'2월'!$M$11:$M$94)</f>
        <v>0</v>
      </c>
      <c r="F186" s="515">
        <f>SUMIF('3월'!$K$11:$K$94,연간_세부항목별지출!$C186,'3월'!$M$11:$M$94)</f>
        <v>0</v>
      </c>
      <c r="G186" s="515">
        <f>SUMIF('4월'!$K$11:$K$94,연간_세부항목별지출!$C186,'4월'!$M$11:$M$94)</f>
        <v>0</v>
      </c>
      <c r="H186" s="515">
        <f>SUMIF('5월'!$K$11:$K$94,연간_세부항목별지출!$C186,'5월'!$M$11:$M$94)</f>
        <v>0</v>
      </c>
      <c r="I186" s="515">
        <f>SUMIF('6월'!$K$11:$K$94,연간_세부항목별지출!$C186,'6월'!$M$11:$M$94)</f>
        <v>0</v>
      </c>
      <c r="J186" s="515">
        <f>SUMIF('7월'!$K$11:$K$94,연간_세부항목별지출!$C186,'7월'!$M$11:$M$94)</f>
        <v>0</v>
      </c>
      <c r="K186" s="515">
        <f>SUMIF('8월'!$K$11:$K$94,연간_세부항목별지출!$C186,'8월'!$M$11:$M$94)</f>
        <v>0</v>
      </c>
      <c r="L186" s="515">
        <f>SUMIF('9월'!$K$11:$K$94,연간_세부항목별지출!$C186,'9월'!$M$11:$M$94)</f>
        <v>0</v>
      </c>
      <c r="M186" s="515">
        <f>SUMIF('10월'!$K$11:$K$94,연간_세부항목별지출!$C186,'10월'!$M$11:$M$94)</f>
        <v>0</v>
      </c>
      <c r="N186" s="515">
        <f>SUMIF('11월'!$K$11:$K$94,연간_세부항목별지출!$C186,'11월'!$M$11:$M$94)</f>
        <v>0</v>
      </c>
      <c r="O186" s="515">
        <f>SUMIF('12월'!$K$11:$K$94,연간_세부항목별지출!$C186,'12월'!$M$11:$M$94)</f>
        <v>0</v>
      </c>
      <c r="P186" s="422">
        <f t="shared" si="10"/>
        <v>0</v>
      </c>
      <c r="Q186" s="422">
        <f t="shared" si="11"/>
        <v>0</v>
      </c>
      <c r="R186" s="506" t="str">
        <f t="shared" si="12"/>
        <v/>
      </c>
    </row>
    <row r="187" spans="2:18" ht="18" customHeight="1" x14ac:dyDescent="0.3">
      <c r="B187" s="594" t="str">
        <f>항목!P3</f>
        <v>경조사회비</v>
      </c>
      <c r="C187" s="513" t="str">
        <f>IF(항목!P4="","",항목!P4)</f>
        <v>축의금</v>
      </c>
      <c r="D187" s="351">
        <f>SUMIF('1월'!$K$11:$K$94,연간_세부항목별지출!$C187,'1월'!$M$11:$M$94)</f>
        <v>0</v>
      </c>
      <c r="E187" s="351">
        <f>SUMIF('2월'!$K$11:$K$94,연간_세부항목별지출!$C187,'2월'!$M$11:$M$94)</f>
        <v>0</v>
      </c>
      <c r="F187" s="351">
        <f>SUMIF('3월'!$K$11:$K$94,연간_세부항목별지출!$C187,'3월'!$M$11:$M$94)</f>
        <v>0</v>
      </c>
      <c r="G187" s="351">
        <f>SUMIF('4월'!$K$11:$K$94,연간_세부항목별지출!$C187,'4월'!$M$11:$M$94)</f>
        <v>0</v>
      </c>
      <c r="H187" s="351">
        <f>SUMIF('5월'!$K$11:$K$94,연간_세부항목별지출!$C187,'5월'!$M$11:$M$94)</f>
        <v>0</v>
      </c>
      <c r="I187" s="351">
        <f>SUMIF('6월'!$K$11:$K$94,연간_세부항목별지출!$C187,'6월'!$M$11:$M$94)</f>
        <v>0</v>
      </c>
      <c r="J187" s="351">
        <f>SUMIF('7월'!$K$11:$K$94,연간_세부항목별지출!$C187,'7월'!$M$11:$M$94)</f>
        <v>0</v>
      </c>
      <c r="K187" s="351">
        <f>SUMIF('8월'!$K$11:$K$94,연간_세부항목별지출!$C187,'8월'!$M$11:$M$94)</f>
        <v>0</v>
      </c>
      <c r="L187" s="351">
        <f>SUMIF('9월'!$K$11:$K$94,연간_세부항목별지출!$C187,'9월'!$M$11:$M$94)</f>
        <v>0</v>
      </c>
      <c r="M187" s="351">
        <f>SUMIF('10월'!$K$11:$K$94,연간_세부항목별지출!$C187,'10월'!$M$11:$M$94)</f>
        <v>0</v>
      </c>
      <c r="N187" s="351">
        <f>SUMIF('11월'!$K$11:$K$94,연간_세부항목별지출!$C187,'11월'!$M$11:$M$94)</f>
        <v>0</v>
      </c>
      <c r="O187" s="351">
        <f>SUMIF('12월'!$K$11:$K$94,연간_세부항목별지출!$C187,'12월'!$M$11:$M$94)</f>
        <v>0</v>
      </c>
      <c r="P187" s="516">
        <f t="shared" si="10"/>
        <v>0</v>
      </c>
      <c r="Q187" s="516">
        <f t="shared" si="11"/>
        <v>0</v>
      </c>
      <c r="R187" s="517" t="str">
        <f t="shared" si="12"/>
        <v/>
      </c>
    </row>
    <row r="188" spans="2:18" ht="18" customHeight="1" x14ac:dyDescent="0.3">
      <c r="B188" s="595"/>
      <c r="C188" s="419" t="str">
        <f>IF(항목!P5="","",항목!P5)</f>
        <v>조의금</v>
      </c>
      <c r="D188" s="346">
        <f>SUMIF('1월'!$K$11:$K$94,연간_세부항목별지출!$C188,'1월'!$M$11:$M$94)</f>
        <v>0</v>
      </c>
      <c r="E188" s="346">
        <f>SUMIF('2월'!$K$11:$K$94,연간_세부항목별지출!$C188,'2월'!$M$11:$M$94)</f>
        <v>0</v>
      </c>
      <c r="F188" s="346">
        <f>SUMIF('3월'!$K$11:$K$94,연간_세부항목별지출!$C188,'3월'!$M$11:$M$94)</f>
        <v>0</v>
      </c>
      <c r="G188" s="346">
        <f>SUMIF('4월'!$K$11:$K$94,연간_세부항목별지출!$C188,'4월'!$M$11:$M$94)</f>
        <v>0</v>
      </c>
      <c r="H188" s="346">
        <f>SUMIF('5월'!$K$11:$K$94,연간_세부항목별지출!$C188,'5월'!$M$11:$M$94)</f>
        <v>0</v>
      </c>
      <c r="I188" s="346">
        <f>SUMIF('6월'!$K$11:$K$94,연간_세부항목별지출!$C188,'6월'!$M$11:$M$94)</f>
        <v>0</v>
      </c>
      <c r="J188" s="346">
        <f>SUMIF('7월'!$K$11:$K$94,연간_세부항목별지출!$C188,'7월'!$M$11:$M$94)</f>
        <v>0</v>
      </c>
      <c r="K188" s="346">
        <f>SUMIF('8월'!$K$11:$K$94,연간_세부항목별지출!$C188,'8월'!$M$11:$M$94)</f>
        <v>0</v>
      </c>
      <c r="L188" s="346">
        <f>SUMIF('9월'!$K$11:$K$94,연간_세부항목별지출!$C188,'9월'!$M$11:$M$94)</f>
        <v>0</v>
      </c>
      <c r="M188" s="346">
        <f>SUMIF('10월'!$K$11:$K$94,연간_세부항목별지출!$C188,'10월'!$M$11:$M$94)</f>
        <v>0</v>
      </c>
      <c r="N188" s="346">
        <f>SUMIF('11월'!$K$11:$K$94,연간_세부항목별지출!$C188,'11월'!$M$11:$M$94)</f>
        <v>0</v>
      </c>
      <c r="O188" s="346">
        <f>SUMIF('12월'!$K$11:$K$94,연간_세부항목별지출!$C188,'12월'!$M$11:$M$94)</f>
        <v>0</v>
      </c>
      <c r="P188" s="413">
        <f t="shared" si="10"/>
        <v>0</v>
      </c>
      <c r="Q188" s="413">
        <f t="shared" si="11"/>
        <v>0</v>
      </c>
      <c r="R188" s="503" t="str">
        <f t="shared" si="12"/>
        <v/>
      </c>
    </row>
    <row r="189" spans="2:18" ht="18" customHeight="1" x14ac:dyDescent="0.3">
      <c r="B189" s="595"/>
      <c r="C189" s="419" t="str">
        <f>IF(항목!P6="","",항목!P6)</f>
        <v>기부금</v>
      </c>
      <c r="D189" s="346">
        <f>SUMIF('1월'!$K$11:$K$94,연간_세부항목별지출!$C189,'1월'!$M$11:$M$94)</f>
        <v>0</v>
      </c>
      <c r="E189" s="346">
        <f>SUMIF('2월'!$K$11:$K$94,연간_세부항목별지출!$C189,'2월'!$M$11:$M$94)</f>
        <v>0</v>
      </c>
      <c r="F189" s="346">
        <f>SUMIF('3월'!$K$11:$K$94,연간_세부항목별지출!$C189,'3월'!$M$11:$M$94)</f>
        <v>0</v>
      </c>
      <c r="G189" s="346">
        <f>SUMIF('4월'!$K$11:$K$94,연간_세부항목별지출!$C189,'4월'!$M$11:$M$94)</f>
        <v>0</v>
      </c>
      <c r="H189" s="346">
        <f>SUMIF('5월'!$K$11:$K$94,연간_세부항목별지출!$C189,'5월'!$M$11:$M$94)</f>
        <v>0</v>
      </c>
      <c r="I189" s="346">
        <f>SUMIF('6월'!$K$11:$K$94,연간_세부항목별지출!$C189,'6월'!$M$11:$M$94)</f>
        <v>0</v>
      </c>
      <c r="J189" s="346">
        <f>SUMIF('7월'!$K$11:$K$94,연간_세부항목별지출!$C189,'7월'!$M$11:$M$94)</f>
        <v>0</v>
      </c>
      <c r="K189" s="346">
        <f>SUMIF('8월'!$K$11:$K$94,연간_세부항목별지출!$C189,'8월'!$M$11:$M$94)</f>
        <v>0</v>
      </c>
      <c r="L189" s="346">
        <f>SUMIF('9월'!$K$11:$K$94,연간_세부항목별지출!$C189,'9월'!$M$11:$M$94)</f>
        <v>0</v>
      </c>
      <c r="M189" s="346">
        <f>SUMIF('10월'!$K$11:$K$94,연간_세부항목별지출!$C189,'10월'!$M$11:$M$94)</f>
        <v>0</v>
      </c>
      <c r="N189" s="346">
        <f>SUMIF('11월'!$K$11:$K$94,연간_세부항목별지출!$C189,'11월'!$M$11:$M$94)</f>
        <v>0</v>
      </c>
      <c r="O189" s="346">
        <f>SUMIF('12월'!$K$11:$K$94,연간_세부항목별지출!$C189,'12월'!$M$11:$M$94)</f>
        <v>0</v>
      </c>
      <c r="P189" s="413">
        <f t="shared" si="10"/>
        <v>0</v>
      </c>
      <c r="Q189" s="413">
        <f t="shared" si="11"/>
        <v>0</v>
      </c>
      <c r="R189" s="503" t="str">
        <f t="shared" si="12"/>
        <v/>
      </c>
    </row>
    <row r="190" spans="2:18" ht="18" customHeight="1" x14ac:dyDescent="0.3">
      <c r="B190" s="595"/>
      <c r="C190" s="419" t="str">
        <f>IF(항목!P7="","",항목!P7)</f>
        <v>모임회비</v>
      </c>
      <c r="D190" s="346">
        <f>SUMIF('1월'!$K$11:$K$94,연간_세부항목별지출!$C190,'1월'!$M$11:$M$94)</f>
        <v>0</v>
      </c>
      <c r="E190" s="346">
        <f>SUMIF('2월'!$K$11:$K$94,연간_세부항목별지출!$C190,'2월'!$M$11:$M$94)</f>
        <v>0</v>
      </c>
      <c r="F190" s="346">
        <f>SUMIF('3월'!$K$11:$K$94,연간_세부항목별지출!$C190,'3월'!$M$11:$M$94)</f>
        <v>0</v>
      </c>
      <c r="G190" s="346">
        <f>SUMIF('4월'!$K$11:$K$94,연간_세부항목별지출!$C190,'4월'!$M$11:$M$94)</f>
        <v>0</v>
      </c>
      <c r="H190" s="346">
        <f>SUMIF('5월'!$K$11:$K$94,연간_세부항목별지출!$C190,'5월'!$M$11:$M$94)</f>
        <v>0</v>
      </c>
      <c r="I190" s="346">
        <f>SUMIF('6월'!$K$11:$K$94,연간_세부항목별지출!$C190,'6월'!$M$11:$M$94)</f>
        <v>0</v>
      </c>
      <c r="J190" s="346">
        <f>SUMIF('7월'!$K$11:$K$94,연간_세부항목별지출!$C190,'7월'!$M$11:$M$94)</f>
        <v>0</v>
      </c>
      <c r="K190" s="346">
        <f>SUMIF('8월'!$K$11:$K$94,연간_세부항목별지출!$C190,'8월'!$M$11:$M$94)</f>
        <v>0</v>
      </c>
      <c r="L190" s="346">
        <f>SUMIF('9월'!$K$11:$K$94,연간_세부항목별지출!$C190,'9월'!$M$11:$M$94)</f>
        <v>0</v>
      </c>
      <c r="M190" s="346">
        <f>SUMIF('10월'!$K$11:$K$94,연간_세부항목별지출!$C190,'10월'!$M$11:$M$94)</f>
        <v>0</v>
      </c>
      <c r="N190" s="346">
        <f>SUMIF('11월'!$K$11:$K$94,연간_세부항목별지출!$C190,'11월'!$M$11:$M$94)</f>
        <v>0</v>
      </c>
      <c r="O190" s="346">
        <f>SUMIF('12월'!$K$11:$K$94,연간_세부항목별지출!$C190,'12월'!$M$11:$M$94)</f>
        <v>0</v>
      </c>
      <c r="P190" s="413">
        <f t="shared" si="10"/>
        <v>0</v>
      </c>
      <c r="Q190" s="413">
        <f t="shared" si="11"/>
        <v>0</v>
      </c>
      <c r="R190" s="503" t="str">
        <f t="shared" si="12"/>
        <v/>
      </c>
    </row>
    <row r="191" spans="2:18" ht="18" customHeight="1" x14ac:dyDescent="0.3">
      <c r="B191" s="595"/>
      <c r="C191" s="419" t="str">
        <f>IF(항목!P8="","",항목!P8)</f>
        <v>선물</v>
      </c>
      <c r="D191" s="346">
        <f>SUMIF('1월'!$K$11:$K$94,연간_세부항목별지출!$C191,'1월'!$M$11:$M$94)</f>
        <v>0</v>
      </c>
      <c r="E191" s="346">
        <f>SUMIF('2월'!$K$11:$K$94,연간_세부항목별지출!$C191,'2월'!$M$11:$M$94)</f>
        <v>0</v>
      </c>
      <c r="F191" s="346">
        <f>SUMIF('3월'!$K$11:$K$94,연간_세부항목별지출!$C191,'3월'!$M$11:$M$94)</f>
        <v>0</v>
      </c>
      <c r="G191" s="346">
        <f>SUMIF('4월'!$K$11:$K$94,연간_세부항목별지출!$C191,'4월'!$M$11:$M$94)</f>
        <v>0</v>
      </c>
      <c r="H191" s="346">
        <f>SUMIF('5월'!$K$11:$K$94,연간_세부항목별지출!$C191,'5월'!$M$11:$M$94)</f>
        <v>0</v>
      </c>
      <c r="I191" s="346">
        <f>SUMIF('6월'!$K$11:$K$94,연간_세부항목별지출!$C191,'6월'!$M$11:$M$94)</f>
        <v>0</v>
      </c>
      <c r="J191" s="346">
        <f>SUMIF('7월'!$K$11:$K$94,연간_세부항목별지출!$C191,'7월'!$M$11:$M$94)</f>
        <v>0</v>
      </c>
      <c r="K191" s="346">
        <f>SUMIF('8월'!$K$11:$K$94,연간_세부항목별지출!$C191,'8월'!$M$11:$M$94)</f>
        <v>0</v>
      </c>
      <c r="L191" s="346">
        <f>SUMIF('9월'!$K$11:$K$94,연간_세부항목별지출!$C191,'9월'!$M$11:$M$94)</f>
        <v>0</v>
      </c>
      <c r="M191" s="346">
        <f>SUMIF('10월'!$K$11:$K$94,연간_세부항목별지출!$C191,'10월'!$M$11:$M$94)</f>
        <v>0</v>
      </c>
      <c r="N191" s="346">
        <f>SUMIF('11월'!$K$11:$K$94,연간_세부항목별지출!$C191,'11월'!$M$11:$M$94)</f>
        <v>0</v>
      </c>
      <c r="O191" s="346">
        <f>SUMIF('12월'!$K$11:$K$94,연간_세부항목별지출!$C191,'12월'!$M$11:$M$94)</f>
        <v>0</v>
      </c>
      <c r="P191" s="413">
        <f t="shared" si="10"/>
        <v>0</v>
      </c>
      <c r="Q191" s="413">
        <f t="shared" si="11"/>
        <v>0</v>
      </c>
      <c r="R191" s="503" t="str">
        <f t="shared" si="12"/>
        <v/>
      </c>
    </row>
    <row r="192" spans="2:18" ht="18" customHeight="1" x14ac:dyDescent="0.3">
      <c r="B192" s="595"/>
      <c r="C192" s="419" t="str">
        <f>IF(항목!P9="","",항목!P9)</f>
        <v>기타 경조사</v>
      </c>
      <c r="D192" s="346">
        <f>SUMIF('1월'!$K$11:$K$94,연간_세부항목별지출!$C192,'1월'!$M$11:$M$94)</f>
        <v>0</v>
      </c>
      <c r="E192" s="346">
        <f>SUMIF('2월'!$K$11:$K$94,연간_세부항목별지출!$C192,'2월'!$M$11:$M$94)</f>
        <v>0</v>
      </c>
      <c r="F192" s="346">
        <f>SUMIF('3월'!$K$11:$K$94,연간_세부항목별지출!$C192,'3월'!$M$11:$M$94)</f>
        <v>0</v>
      </c>
      <c r="G192" s="346">
        <f>SUMIF('4월'!$K$11:$K$94,연간_세부항목별지출!$C192,'4월'!$M$11:$M$94)</f>
        <v>0</v>
      </c>
      <c r="H192" s="346">
        <f>SUMIF('5월'!$K$11:$K$94,연간_세부항목별지출!$C192,'5월'!$M$11:$M$94)</f>
        <v>0</v>
      </c>
      <c r="I192" s="346">
        <f>SUMIF('6월'!$K$11:$K$94,연간_세부항목별지출!$C192,'6월'!$M$11:$M$94)</f>
        <v>0</v>
      </c>
      <c r="J192" s="346">
        <f>SUMIF('7월'!$K$11:$K$94,연간_세부항목별지출!$C192,'7월'!$M$11:$M$94)</f>
        <v>0</v>
      </c>
      <c r="K192" s="346">
        <f>SUMIF('8월'!$K$11:$K$94,연간_세부항목별지출!$C192,'8월'!$M$11:$M$94)</f>
        <v>0</v>
      </c>
      <c r="L192" s="346">
        <f>SUMIF('9월'!$K$11:$K$94,연간_세부항목별지출!$C192,'9월'!$M$11:$M$94)</f>
        <v>0</v>
      </c>
      <c r="M192" s="346">
        <f>SUMIF('10월'!$K$11:$K$94,연간_세부항목별지출!$C192,'10월'!$M$11:$M$94)</f>
        <v>0</v>
      </c>
      <c r="N192" s="346">
        <f>SUMIF('11월'!$K$11:$K$94,연간_세부항목별지출!$C192,'11월'!$M$11:$M$94)</f>
        <v>0</v>
      </c>
      <c r="O192" s="346">
        <f>SUMIF('12월'!$K$11:$K$94,연간_세부항목별지출!$C192,'12월'!$M$11:$M$94)</f>
        <v>0</v>
      </c>
      <c r="P192" s="413">
        <f t="shared" si="10"/>
        <v>0</v>
      </c>
      <c r="Q192" s="413">
        <f t="shared" si="11"/>
        <v>0</v>
      </c>
      <c r="R192" s="503" t="str">
        <f t="shared" si="12"/>
        <v/>
      </c>
    </row>
    <row r="193" spans="2:18" ht="18" customHeight="1" x14ac:dyDescent="0.3">
      <c r="B193" s="595"/>
      <c r="C193" s="419" t="str">
        <f>IF(항목!P10="","",항목!P10)</f>
        <v/>
      </c>
      <c r="D193" s="346">
        <f>SUMIF('1월'!$K$11:$K$94,연간_세부항목별지출!$C193,'1월'!$M$11:$M$94)</f>
        <v>0</v>
      </c>
      <c r="E193" s="346">
        <f>SUMIF('2월'!$K$11:$K$94,연간_세부항목별지출!$C193,'2월'!$M$11:$M$94)</f>
        <v>0</v>
      </c>
      <c r="F193" s="346">
        <f>SUMIF('3월'!$K$11:$K$94,연간_세부항목별지출!$C193,'3월'!$M$11:$M$94)</f>
        <v>0</v>
      </c>
      <c r="G193" s="346">
        <f>SUMIF('4월'!$K$11:$K$94,연간_세부항목별지출!$C193,'4월'!$M$11:$M$94)</f>
        <v>0</v>
      </c>
      <c r="H193" s="346">
        <f>SUMIF('5월'!$K$11:$K$94,연간_세부항목별지출!$C193,'5월'!$M$11:$M$94)</f>
        <v>0</v>
      </c>
      <c r="I193" s="346">
        <f>SUMIF('6월'!$K$11:$K$94,연간_세부항목별지출!$C193,'6월'!$M$11:$M$94)</f>
        <v>0</v>
      </c>
      <c r="J193" s="346">
        <f>SUMIF('7월'!$K$11:$K$94,연간_세부항목별지출!$C193,'7월'!$M$11:$M$94)</f>
        <v>0</v>
      </c>
      <c r="K193" s="346">
        <f>SUMIF('8월'!$K$11:$K$94,연간_세부항목별지출!$C193,'8월'!$M$11:$M$94)</f>
        <v>0</v>
      </c>
      <c r="L193" s="346">
        <f>SUMIF('9월'!$K$11:$K$94,연간_세부항목별지출!$C193,'9월'!$M$11:$M$94)</f>
        <v>0</v>
      </c>
      <c r="M193" s="346">
        <f>SUMIF('10월'!$K$11:$K$94,연간_세부항목별지출!$C193,'10월'!$M$11:$M$94)</f>
        <v>0</v>
      </c>
      <c r="N193" s="346">
        <f>SUMIF('11월'!$K$11:$K$94,연간_세부항목별지출!$C193,'11월'!$M$11:$M$94)</f>
        <v>0</v>
      </c>
      <c r="O193" s="346">
        <f>SUMIF('12월'!$K$11:$K$94,연간_세부항목별지출!$C193,'12월'!$M$11:$M$94)</f>
        <v>0</v>
      </c>
      <c r="P193" s="413">
        <f t="shared" si="10"/>
        <v>0</v>
      </c>
      <c r="Q193" s="413">
        <f t="shared" si="11"/>
        <v>0</v>
      </c>
      <c r="R193" s="503" t="str">
        <f t="shared" si="12"/>
        <v/>
      </c>
    </row>
    <row r="194" spans="2:18" ht="18" customHeight="1" x14ac:dyDescent="0.3">
      <c r="B194" s="595"/>
      <c r="C194" s="419" t="str">
        <f>IF(항목!P11="","",항목!P11)</f>
        <v/>
      </c>
      <c r="D194" s="346">
        <f>SUMIF('1월'!$K$11:$K$94,연간_세부항목별지출!$C194,'1월'!$M$11:$M$94)</f>
        <v>0</v>
      </c>
      <c r="E194" s="346">
        <f>SUMIF('2월'!$K$11:$K$94,연간_세부항목별지출!$C194,'2월'!$M$11:$M$94)</f>
        <v>0</v>
      </c>
      <c r="F194" s="346">
        <f>SUMIF('3월'!$K$11:$K$94,연간_세부항목별지출!$C194,'3월'!$M$11:$M$94)</f>
        <v>0</v>
      </c>
      <c r="G194" s="346">
        <f>SUMIF('4월'!$K$11:$K$94,연간_세부항목별지출!$C194,'4월'!$M$11:$M$94)</f>
        <v>0</v>
      </c>
      <c r="H194" s="346">
        <f>SUMIF('5월'!$K$11:$K$94,연간_세부항목별지출!$C194,'5월'!$M$11:$M$94)</f>
        <v>0</v>
      </c>
      <c r="I194" s="346">
        <f>SUMIF('6월'!$K$11:$K$94,연간_세부항목별지출!$C194,'6월'!$M$11:$M$94)</f>
        <v>0</v>
      </c>
      <c r="J194" s="346">
        <f>SUMIF('7월'!$K$11:$K$94,연간_세부항목별지출!$C194,'7월'!$M$11:$M$94)</f>
        <v>0</v>
      </c>
      <c r="K194" s="346">
        <f>SUMIF('8월'!$K$11:$K$94,연간_세부항목별지출!$C194,'8월'!$M$11:$M$94)</f>
        <v>0</v>
      </c>
      <c r="L194" s="346">
        <f>SUMIF('9월'!$K$11:$K$94,연간_세부항목별지출!$C194,'9월'!$M$11:$M$94)</f>
        <v>0</v>
      </c>
      <c r="M194" s="346">
        <f>SUMIF('10월'!$K$11:$K$94,연간_세부항목별지출!$C194,'10월'!$M$11:$M$94)</f>
        <v>0</v>
      </c>
      <c r="N194" s="346">
        <f>SUMIF('11월'!$K$11:$K$94,연간_세부항목별지출!$C194,'11월'!$M$11:$M$94)</f>
        <v>0</v>
      </c>
      <c r="O194" s="346">
        <f>SUMIF('12월'!$K$11:$K$94,연간_세부항목별지출!$C194,'12월'!$M$11:$M$94)</f>
        <v>0</v>
      </c>
      <c r="P194" s="413">
        <f t="shared" si="10"/>
        <v>0</v>
      </c>
      <c r="Q194" s="413">
        <f t="shared" si="11"/>
        <v>0</v>
      </c>
      <c r="R194" s="503" t="str">
        <f t="shared" si="12"/>
        <v/>
      </c>
    </row>
    <row r="195" spans="2:18" ht="18" customHeight="1" x14ac:dyDescent="0.3">
      <c r="B195" s="595"/>
      <c r="C195" s="419" t="str">
        <f>IF(항목!P12="","",항목!P12)</f>
        <v/>
      </c>
      <c r="D195" s="346">
        <f>SUMIF('1월'!$K$11:$K$94,연간_세부항목별지출!$C195,'1월'!$M$11:$M$94)</f>
        <v>0</v>
      </c>
      <c r="E195" s="346">
        <f>SUMIF('2월'!$K$11:$K$94,연간_세부항목별지출!$C195,'2월'!$M$11:$M$94)</f>
        <v>0</v>
      </c>
      <c r="F195" s="346">
        <f>SUMIF('3월'!$K$11:$K$94,연간_세부항목별지출!$C195,'3월'!$M$11:$M$94)</f>
        <v>0</v>
      </c>
      <c r="G195" s="346">
        <f>SUMIF('4월'!$K$11:$K$94,연간_세부항목별지출!$C195,'4월'!$M$11:$M$94)</f>
        <v>0</v>
      </c>
      <c r="H195" s="346">
        <f>SUMIF('5월'!$K$11:$K$94,연간_세부항목별지출!$C195,'5월'!$M$11:$M$94)</f>
        <v>0</v>
      </c>
      <c r="I195" s="346">
        <f>SUMIF('6월'!$K$11:$K$94,연간_세부항목별지출!$C195,'6월'!$M$11:$M$94)</f>
        <v>0</v>
      </c>
      <c r="J195" s="346">
        <f>SUMIF('7월'!$K$11:$K$94,연간_세부항목별지출!$C195,'7월'!$M$11:$M$94)</f>
        <v>0</v>
      </c>
      <c r="K195" s="346">
        <f>SUMIF('8월'!$K$11:$K$94,연간_세부항목별지출!$C195,'8월'!$M$11:$M$94)</f>
        <v>0</v>
      </c>
      <c r="L195" s="346">
        <f>SUMIF('9월'!$K$11:$K$94,연간_세부항목별지출!$C195,'9월'!$M$11:$M$94)</f>
        <v>0</v>
      </c>
      <c r="M195" s="346">
        <f>SUMIF('10월'!$K$11:$K$94,연간_세부항목별지출!$C195,'10월'!$M$11:$M$94)</f>
        <v>0</v>
      </c>
      <c r="N195" s="346">
        <f>SUMIF('11월'!$K$11:$K$94,연간_세부항목별지출!$C195,'11월'!$M$11:$M$94)</f>
        <v>0</v>
      </c>
      <c r="O195" s="346">
        <f>SUMIF('12월'!$K$11:$K$94,연간_세부항목별지출!$C195,'12월'!$M$11:$M$94)</f>
        <v>0</v>
      </c>
      <c r="P195" s="413">
        <f t="shared" si="10"/>
        <v>0</v>
      </c>
      <c r="Q195" s="413">
        <f t="shared" si="11"/>
        <v>0</v>
      </c>
      <c r="R195" s="503" t="str">
        <f t="shared" si="12"/>
        <v/>
      </c>
    </row>
    <row r="196" spans="2:18" ht="18" customHeight="1" x14ac:dyDescent="0.3">
      <c r="B196" s="595"/>
      <c r="C196" s="419" t="str">
        <f>IF(항목!P13="","",항목!P13)</f>
        <v/>
      </c>
      <c r="D196" s="346">
        <f>SUMIF('1월'!$K$11:$K$94,연간_세부항목별지출!$C196,'1월'!$M$11:$M$94)</f>
        <v>0</v>
      </c>
      <c r="E196" s="346">
        <f>SUMIF('2월'!$K$11:$K$94,연간_세부항목별지출!$C196,'2월'!$M$11:$M$94)</f>
        <v>0</v>
      </c>
      <c r="F196" s="346">
        <f>SUMIF('3월'!$K$11:$K$94,연간_세부항목별지출!$C196,'3월'!$M$11:$M$94)</f>
        <v>0</v>
      </c>
      <c r="G196" s="346">
        <f>SUMIF('4월'!$K$11:$K$94,연간_세부항목별지출!$C196,'4월'!$M$11:$M$94)</f>
        <v>0</v>
      </c>
      <c r="H196" s="346">
        <f>SUMIF('5월'!$K$11:$K$94,연간_세부항목별지출!$C196,'5월'!$M$11:$M$94)</f>
        <v>0</v>
      </c>
      <c r="I196" s="346">
        <f>SUMIF('6월'!$K$11:$K$94,연간_세부항목별지출!$C196,'6월'!$M$11:$M$94)</f>
        <v>0</v>
      </c>
      <c r="J196" s="346">
        <f>SUMIF('7월'!$K$11:$K$94,연간_세부항목별지출!$C196,'7월'!$M$11:$M$94)</f>
        <v>0</v>
      </c>
      <c r="K196" s="346">
        <f>SUMIF('8월'!$K$11:$K$94,연간_세부항목별지출!$C196,'8월'!$M$11:$M$94)</f>
        <v>0</v>
      </c>
      <c r="L196" s="346">
        <f>SUMIF('9월'!$K$11:$K$94,연간_세부항목별지출!$C196,'9월'!$M$11:$M$94)</f>
        <v>0</v>
      </c>
      <c r="M196" s="346">
        <f>SUMIF('10월'!$K$11:$K$94,연간_세부항목별지출!$C196,'10월'!$M$11:$M$94)</f>
        <v>0</v>
      </c>
      <c r="N196" s="346">
        <f>SUMIF('11월'!$K$11:$K$94,연간_세부항목별지출!$C196,'11월'!$M$11:$M$94)</f>
        <v>0</v>
      </c>
      <c r="O196" s="346">
        <f>SUMIF('12월'!$K$11:$K$94,연간_세부항목별지출!$C196,'12월'!$M$11:$M$94)</f>
        <v>0</v>
      </c>
      <c r="P196" s="413">
        <f t="shared" si="10"/>
        <v>0</v>
      </c>
      <c r="Q196" s="413">
        <f t="shared" si="11"/>
        <v>0</v>
      </c>
      <c r="R196" s="503" t="str">
        <f t="shared" si="12"/>
        <v/>
      </c>
    </row>
    <row r="197" spans="2:18" ht="18" customHeight="1" x14ac:dyDescent="0.3">
      <c r="B197" s="595"/>
      <c r="C197" s="419" t="str">
        <f>IF(항목!P14="","",항목!P14)</f>
        <v/>
      </c>
      <c r="D197" s="346">
        <f>SUMIF('1월'!$K$11:$K$94,연간_세부항목별지출!$C197,'1월'!$M$11:$M$94)</f>
        <v>0</v>
      </c>
      <c r="E197" s="346">
        <f>SUMIF('2월'!$K$11:$K$94,연간_세부항목별지출!$C197,'2월'!$M$11:$M$94)</f>
        <v>0</v>
      </c>
      <c r="F197" s="346">
        <f>SUMIF('3월'!$K$11:$K$94,연간_세부항목별지출!$C197,'3월'!$M$11:$M$94)</f>
        <v>0</v>
      </c>
      <c r="G197" s="346">
        <f>SUMIF('4월'!$K$11:$K$94,연간_세부항목별지출!$C197,'4월'!$M$11:$M$94)</f>
        <v>0</v>
      </c>
      <c r="H197" s="346">
        <f>SUMIF('5월'!$K$11:$K$94,연간_세부항목별지출!$C197,'5월'!$M$11:$M$94)</f>
        <v>0</v>
      </c>
      <c r="I197" s="346">
        <f>SUMIF('6월'!$K$11:$K$94,연간_세부항목별지출!$C197,'6월'!$M$11:$M$94)</f>
        <v>0</v>
      </c>
      <c r="J197" s="346">
        <f>SUMIF('7월'!$K$11:$K$94,연간_세부항목별지출!$C197,'7월'!$M$11:$M$94)</f>
        <v>0</v>
      </c>
      <c r="K197" s="346">
        <f>SUMIF('8월'!$K$11:$K$94,연간_세부항목별지출!$C197,'8월'!$M$11:$M$94)</f>
        <v>0</v>
      </c>
      <c r="L197" s="346">
        <f>SUMIF('9월'!$K$11:$K$94,연간_세부항목별지출!$C197,'9월'!$M$11:$M$94)</f>
        <v>0</v>
      </c>
      <c r="M197" s="346">
        <f>SUMIF('10월'!$K$11:$K$94,연간_세부항목별지출!$C197,'10월'!$M$11:$M$94)</f>
        <v>0</v>
      </c>
      <c r="N197" s="346">
        <f>SUMIF('11월'!$K$11:$K$94,연간_세부항목별지출!$C197,'11월'!$M$11:$M$94)</f>
        <v>0</v>
      </c>
      <c r="O197" s="346">
        <f>SUMIF('12월'!$K$11:$K$94,연간_세부항목별지출!$C197,'12월'!$M$11:$M$94)</f>
        <v>0</v>
      </c>
      <c r="P197" s="413">
        <f t="shared" si="10"/>
        <v>0</v>
      </c>
      <c r="Q197" s="413">
        <f t="shared" si="11"/>
        <v>0</v>
      </c>
      <c r="R197" s="503" t="str">
        <f t="shared" si="12"/>
        <v/>
      </c>
    </row>
    <row r="198" spans="2:18" ht="18" customHeight="1" x14ac:dyDescent="0.3">
      <c r="B198" s="595"/>
      <c r="C198" s="419" t="str">
        <f>IF(항목!P15="","",항목!P15)</f>
        <v/>
      </c>
      <c r="D198" s="346">
        <f>SUMIF('1월'!$K$11:$K$94,연간_세부항목별지출!$C198,'1월'!$M$11:$M$94)</f>
        <v>0</v>
      </c>
      <c r="E198" s="346">
        <f>SUMIF('2월'!$K$11:$K$94,연간_세부항목별지출!$C198,'2월'!$M$11:$M$94)</f>
        <v>0</v>
      </c>
      <c r="F198" s="346">
        <f>SUMIF('3월'!$K$11:$K$94,연간_세부항목별지출!$C198,'3월'!$M$11:$M$94)</f>
        <v>0</v>
      </c>
      <c r="G198" s="346">
        <f>SUMIF('4월'!$K$11:$K$94,연간_세부항목별지출!$C198,'4월'!$M$11:$M$94)</f>
        <v>0</v>
      </c>
      <c r="H198" s="346">
        <f>SUMIF('5월'!$K$11:$K$94,연간_세부항목별지출!$C198,'5월'!$M$11:$M$94)</f>
        <v>0</v>
      </c>
      <c r="I198" s="346">
        <f>SUMIF('6월'!$K$11:$K$94,연간_세부항목별지출!$C198,'6월'!$M$11:$M$94)</f>
        <v>0</v>
      </c>
      <c r="J198" s="346">
        <f>SUMIF('7월'!$K$11:$K$94,연간_세부항목별지출!$C198,'7월'!$M$11:$M$94)</f>
        <v>0</v>
      </c>
      <c r="K198" s="346">
        <f>SUMIF('8월'!$K$11:$K$94,연간_세부항목별지출!$C198,'8월'!$M$11:$M$94)</f>
        <v>0</v>
      </c>
      <c r="L198" s="346">
        <f>SUMIF('9월'!$K$11:$K$94,연간_세부항목별지출!$C198,'9월'!$M$11:$M$94)</f>
        <v>0</v>
      </c>
      <c r="M198" s="346">
        <f>SUMIF('10월'!$K$11:$K$94,연간_세부항목별지출!$C198,'10월'!$M$11:$M$94)</f>
        <v>0</v>
      </c>
      <c r="N198" s="346">
        <f>SUMIF('11월'!$K$11:$K$94,연간_세부항목별지출!$C198,'11월'!$M$11:$M$94)</f>
        <v>0</v>
      </c>
      <c r="O198" s="346">
        <f>SUMIF('12월'!$K$11:$K$94,연간_세부항목별지출!$C198,'12월'!$M$11:$M$94)</f>
        <v>0</v>
      </c>
      <c r="P198" s="413">
        <f t="shared" si="10"/>
        <v>0</v>
      </c>
      <c r="Q198" s="413">
        <f t="shared" si="11"/>
        <v>0</v>
      </c>
      <c r="R198" s="503" t="str">
        <f t="shared" si="12"/>
        <v/>
      </c>
    </row>
    <row r="199" spans="2:18" ht="18" customHeight="1" x14ac:dyDescent="0.3">
      <c r="B199" s="595"/>
      <c r="C199" s="419" t="str">
        <f>IF(항목!P16="","",항목!P16)</f>
        <v/>
      </c>
      <c r="D199" s="346">
        <f>SUMIF('1월'!$K$11:$K$94,연간_세부항목별지출!$C199,'1월'!$M$11:$M$94)</f>
        <v>0</v>
      </c>
      <c r="E199" s="346">
        <f>SUMIF('2월'!$K$11:$K$94,연간_세부항목별지출!$C199,'2월'!$M$11:$M$94)</f>
        <v>0</v>
      </c>
      <c r="F199" s="346">
        <f>SUMIF('3월'!$K$11:$K$94,연간_세부항목별지출!$C199,'3월'!$M$11:$M$94)</f>
        <v>0</v>
      </c>
      <c r="G199" s="346">
        <f>SUMIF('4월'!$K$11:$K$94,연간_세부항목별지출!$C199,'4월'!$M$11:$M$94)</f>
        <v>0</v>
      </c>
      <c r="H199" s="346">
        <f>SUMIF('5월'!$K$11:$K$94,연간_세부항목별지출!$C199,'5월'!$M$11:$M$94)</f>
        <v>0</v>
      </c>
      <c r="I199" s="346">
        <f>SUMIF('6월'!$K$11:$K$94,연간_세부항목별지출!$C199,'6월'!$M$11:$M$94)</f>
        <v>0</v>
      </c>
      <c r="J199" s="346">
        <f>SUMIF('7월'!$K$11:$K$94,연간_세부항목별지출!$C199,'7월'!$M$11:$M$94)</f>
        <v>0</v>
      </c>
      <c r="K199" s="346">
        <f>SUMIF('8월'!$K$11:$K$94,연간_세부항목별지출!$C199,'8월'!$M$11:$M$94)</f>
        <v>0</v>
      </c>
      <c r="L199" s="346">
        <f>SUMIF('9월'!$K$11:$K$94,연간_세부항목별지출!$C199,'9월'!$M$11:$M$94)</f>
        <v>0</v>
      </c>
      <c r="M199" s="346">
        <f>SUMIF('10월'!$K$11:$K$94,연간_세부항목별지출!$C199,'10월'!$M$11:$M$94)</f>
        <v>0</v>
      </c>
      <c r="N199" s="346">
        <f>SUMIF('11월'!$K$11:$K$94,연간_세부항목별지출!$C199,'11월'!$M$11:$M$94)</f>
        <v>0</v>
      </c>
      <c r="O199" s="346">
        <f>SUMIF('12월'!$K$11:$K$94,연간_세부항목별지출!$C199,'12월'!$M$11:$M$94)</f>
        <v>0</v>
      </c>
      <c r="P199" s="413">
        <f t="shared" si="10"/>
        <v>0</v>
      </c>
      <c r="Q199" s="413">
        <f t="shared" si="11"/>
        <v>0</v>
      </c>
      <c r="R199" s="503" t="str">
        <f t="shared" si="12"/>
        <v/>
      </c>
    </row>
    <row r="200" spans="2:18" ht="18" customHeight="1" x14ac:dyDescent="0.3">
      <c r="B200" s="595"/>
      <c r="C200" s="419" t="str">
        <f>IF(항목!P17="","",항목!P17)</f>
        <v/>
      </c>
      <c r="D200" s="346">
        <f>SUMIF('1월'!$K$11:$K$94,연간_세부항목별지출!$C200,'1월'!$M$11:$M$94)</f>
        <v>0</v>
      </c>
      <c r="E200" s="346">
        <f>SUMIF('2월'!$K$11:$K$94,연간_세부항목별지출!$C200,'2월'!$M$11:$M$94)</f>
        <v>0</v>
      </c>
      <c r="F200" s="346">
        <f>SUMIF('3월'!$K$11:$K$94,연간_세부항목별지출!$C200,'3월'!$M$11:$M$94)</f>
        <v>0</v>
      </c>
      <c r="G200" s="346">
        <f>SUMIF('4월'!$K$11:$K$94,연간_세부항목별지출!$C200,'4월'!$M$11:$M$94)</f>
        <v>0</v>
      </c>
      <c r="H200" s="346">
        <f>SUMIF('5월'!$K$11:$K$94,연간_세부항목별지출!$C200,'5월'!$M$11:$M$94)</f>
        <v>0</v>
      </c>
      <c r="I200" s="346">
        <f>SUMIF('6월'!$K$11:$K$94,연간_세부항목별지출!$C200,'6월'!$M$11:$M$94)</f>
        <v>0</v>
      </c>
      <c r="J200" s="346">
        <f>SUMIF('7월'!$K$11:$K$94,연간_세부항목별지출!$C200,'7월'!$M$11:$M$94)</f>
        <v>0</v>
      </c>
      <c r="K200" s="346">
        <f>SUMIF('8월'!$K$11:$K$94,연간_세부항목별지출!$C200,'8월'!$M$11:$M$94)</f>
        <v>0</v>
      </c>
      <c r="L200" s="346">
        <f>SUMIF('9월'!$K$11:$K$94,연간_세부항목별지출!$C200,'9월'!$M$11:$M$94)</f>
        <v>0</v>
      </c>
      <c r="M200" s="346">
        <f>SUMIF('10월'!$K$11:$K$94,연간_세부항목별지출!$C200,'10월'!$M$11:$M$94)</f>
        <v>0</v>
      </c>
      <c r="N200" s="346">
        <f>SUMIF('11월'!$K$11:$K$94,연간_세부항목별지출!$C200,'11월'!$M$11:$M$94)</f>
        <v>0</v>
      </c>
      <c r="O200" s="346">
        <f>SUMIF('12월'!$K$11:$K$94,연간_세부항목별지출!$C200,'12월'!$M$11:$M$94)</f>
        <v>0</v>
      </c>
      <c r="P200" s="413">
        <f t="shared" si="10"/>
        <v>0</v>
      </c>
      <c r="Q200" s="413">
        <f t="shared" si="11"/>
        <v>0</v>
      </c>
      <c r="R200" s="503" t="str">
        <f t="shared" si="12"/>
        <v/>
      </c>
    </row>
    <row r="201" spans="2:18" ht="18" customHeight="1" thickBot="1" x14ac:dyDescent="0.35">
      <c r="B201" s="596"/>
      <c r="C201" s="514" t="str">
        <f>IF(항목!P18="","",항목!P18)</f>
        <v/>
      </c>
      <c r="D201" s="515">
        <f>SUMIF('1월'!$K$11:$K$94,연간_세부항목별지출!$C201,'1월'!$M$11:$M$94)</f>
        <v>0</v>
      </c>
      <c r="E201" s="515">
        <f>SUMIF('2월'!$K$11:$K$94,연간_세부항목별지출!$C201,'2월'!$M$11:$M$94)</f>
        <v>0</v>
      </c>
      <c r="F201" s="515">
        <f>SUMIF('3월'!$K$11:$K$94,연간_세부항목별지출!$C201,'3월'!$M$11:$M$94)</f>
        <v>0</v>
      </c>
      <c r="G201" s="515">
        <f>SUMIF('4월'!$K$11:$K$94,연간_세부항목별지출!$C201,'4월'!$M$11:$M$94)</f>
        <v>0</v>
      </c>
      <c r="H201" s="515">
        <f>SUMIF('5월'!$K$11:$K$94,연간_세부항목별지출!$C201,'5월'!$M$11:$M$94)</f>
        <v>0</v>
      </c>
      <c r="I201" s="515">
        <f>SUMIF('6월'!$K$11:$K$94,연간_세부항목별지출!$C201,'6월'!$M$11:$M$94)</f>
        <v>0</v>
      </c>
      <c r="J201" s="515">
        <f>SUMIF('7월'!$K$11:$K$94,연간_세부항목별지출!$C201,'7월'!$M$11:$M$94)</f>
        <v>0</v>
      </c>
      <c r="K201" s="515">
        <f>SUMIF('8월'!$K$11:$K$94,연간_세부항목별지출!$C201,'8월'!$M$11:$M$94)</f>
        <v>0</v>
      </c>
      <c r="L201" s="515">
        <f>SUMIF('9월'!$K$11:$K$94,연간_세부항목별지출!$C201,'9월'!$M$11:$M$94)</f>
        <v>0</v>
      </c>
      <c r="M201" s="515">
        <f>SUMIF('10월'!$K$11:$K$94,연간_세부항목별지출!$C201,'10월'!$M$11:$M$94)</f>
        <v>0</v>
      </c>
      <c r="N201" s="515">
        <f>SUMIF('11월'!$K$11:$K$94,연간_세부항목별지출!$C201,'11월'!$M$11:$M$94)</f>
        <v>0</v>
      </c>
      <c r="O201" s="515">
        <f>SUMIF('12월'!$K$11:$K$94,연간_세부항목별지출!$C201,'12월'!$M$11:$M$94)</f>
        <v>0</v>
      </c>
      <c r="P201" s="422">
        <f t="shared" si="10"/>
        <v>0</v>
      </c>
      <c r="Q201" s="422">
        <f t="shared" si="11"/>
        <v>0</v>
      </c>
      <c r="R201" s="506" t="str">
        <f t="shared" si="12"/>
        <v/>
      </c>
    </row>
    <row r="202" spans="2:18" ht="18" customHeight="1" x14ac:dyDescent="0.3">
      <c r="B202" s="594" t="str">
        <f>항목!Q3</f>
        <v>용돈지출</v>
      </c>
      <c r="C202" s="513" t="str">
        <f>IF(항목!Q4="","",항목!Q4)</f>
        <v>부모님 용돈</v>
      </c>
      <c r="D202" s="351">
        <f>SUMIF('1월'!$K$11:$K$94,연간_세부항목별지출!$C202,'1월'!$M$11:$M$94)</f>
        <v>0</v>
      </c>
      <c r="E202" s="351">
        <f>SUMIF('2월'!$K$11:$K$94,연간_세부항목별지출!$C202,'2월'!$M$11:$M$94)</f>
        <v>0</v>
      </c>
      <c r="F202" s="351">
        <f>SUMIF('3월'!$K$11:$K$94,연간_세부항목별지출!$C202,'3월'!$M$11:$M$94)</f>
        <v>0</v>
      </c>
      <c r="G202" s="351">
        <f>SUMIF('4월'!$K$11:$K$94,연간_세부항목별지출!$C202,'4월'!$M$11:$M$94)</f>
        <v>0</v>
      </c>
      <c r="H202" s="351">
        <f>SUMIF('5월'!$K$11:$K$94,연간_세부항목별지출!$C202,'5월'!$M$11:$M$94)</f>
        <v>0</v>
      </c>
      <c r="I202" s="351">
        <f>SUMIF('6월'!$K$11:$K$94,연간_세부항목별지출!$C202,'6월'!$M$11:$M$94)</f>
        <v>0</v>
      </c>
      <c r="J202" s="351">
        <f>SUMIF('7월'!$K$11:$K$94,연간_세부항목별지출!$C202,'7월'!$M$11:$M$94)</f>
        <v>0</v>
      </c>
      <c r="K202" s="351">
        <f>SUMIF('8월'!$K$11:$K$94,연간_세부항목별지출!$C202,'8월'!$M$11:$M$94)</f>
        <v>0</v>
      </c>
      <c r="L202" s="351">
        <f>SUMIF('9월'!$K$11:$K$94,연간_세부항목별지출!$C202,'9월'!$M$11:$M$94)</f>
        <v>0</v>
      </c>
      <c r="M202" s="351">
        <f>SUMIF('10월'!$K$11:$K$94,연간_세부항목별지출!$C202,'10월'!$M$11:$M$94)</f>
        <v>0</v>
      </c>
      <c r="N202" s="351">
        <f>SUMIF('11월'!$K$11:$K$94,연간_세부항목별지출!$C202,'11월'!$M$11:$M$94)</f>
        <v>0</v>
      </c>
      <c r="O202" s="351">
        <f>SUMIF('12월'!$K$11:$K$94,연간_세부항목별지출!$C202,'12월'!$M$11:$M$94)</f>
        <v>0</v>
      </c>
      <c r="P202" s="516">
        <f t="shared" si="10"/>
        <v>0</v>
      </c>
      <c r="Q202" s="516">
        <f t="shared" si="11"/>
        <v>0</v>
      </c>
      <c r="R202" s="517" t="str">
        <f t="shared" si="12"/>
        <v/>
      </c>
    </row>
    <row r="203" spans="2:18" ht="18" customHeight="1" x14ac:dyDescent="0.3">
      <c r="B203" s="595"/>
      <c r="C203" s="420" t="str">
        <f>IF(항목!Q5="","",항목!Q5)</f>
        <v>친정 용돈</v>
      </c>
      <c r="D203" s="346">
        <f>SUMIF('1월'!$K$11:$K$94,연간_세부항목별지출!$C203,'1월'!$M$11:$M$94)</f>
        <v>0</v>
      </c>
      <c r="E203" s="346">
        <f>SUMIF('2월'!$K$11:$K$94,연간_세부항목별지출!$C203,'2월'!$M$11:$M$94)</f>
        <v>0</v>
      </c>
      <c r="F203" s="346">
        <f>SUMIF('3월'!$K$11:$K$94,연간_세부항목별지출!$C203,'3월'!$M$11:$M$94)</f>
        <v>0</v>
      </c>
      <c r="G203" s="346">
        <f>SUMIF('4월'!$K$11:$K$94,연간_세부항목별지출!$C203,'4월'!$M$11:$M$94)</f>
        <v>0</v>
      </c>
      <c r="H203" s="346">
        <f>SUMIF('5월'!$K$11:$K$94,연간_세부항목별지출!$C203,'5월'!$M$11:$M$94)</f>
        <v>0</v>
      </c>
      <c r="I203" s="346">
        <f>SUMIF('6월'!$K$11:$K$94,연간_세부항목별지출!$C203,'6월'!$M$11:$M$94)</f>
        <v>0</v>
      </c>
      <c r="J203" s="346">
        <f>SUMIF('7월'!$K$11:$K$94,연간_세부항목별지출!$C203,'7월'!$M$11:$M$94)</f>
        <v>0</v>
      </c>
      <c r="K203" s="346">
        <f>SUMIF('8월'!$K$11:$K$94,연간_세부항목별지출!$C203,'8월'!$M$11:$M$94)</f>
        <v>0</v>
      </c>
      <c r="L203" s="346">
        <f>SUMIF('9월'!$K$11:$K$94,연간_세부항목별지출!$C203,'9월'!$M$11:$M$94)</f>
        <v>0</v>
      </c>
      <c r="M203" s="346">
        <f>SUMIF('10월'!$K$11:$K$94,연간_세부항목별지출!$C203,'10월'!$M$11:$M$94)</f>
        <v>0</v>
      </c>
      <c r="N203" s="346">
        <f>SUMIF('11월'!$K$11:$K$94,연간_세부항목별지출!$C203,'11월'!$M$11:$M$94)</f>
        <v>0</v>
      </c>
      <c r="O203" s="346">
        <f>SUMIF('12월'!$K$11:$K$94,연간_세부항목별지출!$C203,'12월'!$M$11:$M$94)</f>
        <v>0</v>
      </c>
      <c r="P203" s="413">
        <f t="shared" si="10"/>
        <v>0</v>
      </c>
      <c r="Q203" s="413">
        <f t="shared" si="11"/>
        <v>0</v>
      </c>
      <c r="R203" s="503" t="str">
        <f t="shared" si="12"/>
        <v/>
      </c>
    </row>
    <row r="204" spans="2:18" ht="18" customHeight="1" x14ac:dyDescent="0.3">
      <c r="B204" s="595"/>
      <c r="C204" s="420" t="str">
        <f>IF(항목!Q6="","",항목!Q6)</f>
        <v>시댁 용돈</v>
      </c>
      <c r="D204" s="346">
        <f>SUMIF('1월'!$K$11:$K$94,연간_세부항목별지출!$C204,'1월'!$M$11:$M$94)</f>
        <v>0</v>
      </c>
      <c r="E204" s="346">
        <f>SUMIF('2월'!$K$11:$K$94,연간_세부항목별지출!$C204,'2월'!$M$11:$M$94)</f>
        <v>0</v>
      </c>
      <c r="F204" s="346">
        <f>SUMIF('3월'!$K$11:$K$94,연간_세부항목별지출!$C204,'3월'!$M$11:$M$94)</f>
        <v>0</v>
      </c>
      <c r="G204" s="346">
        <f>SUMIF('4월'!$K$11:$K$94,연간_세부항목별지출!$C204,'4월'!$M$11:$M$94)</f>
        <v>0</v>
      </c>
      <c r="H204" s="346">
        <f>SUMIF('5월'!$K$11:$K$94,연간_세부항목별지출!$C204,'5월'!$M$11:$M$94)</f>
        <v>0</v>
      </c>
      <c r="I204" s="346">
        <f>SUMIF('6월'!$K$11:$K$94,연간_세부항목별지출!$C204,'6월'!$M$11:$M$94)</f>
        <v>0</v>
      </c>
      <c r="J204" s="346">
        <f>SUMIF('7월'!$K$11:$K$94,연간_세부항목별지출!$C204,'7월'!$M$11:$M$94)</f>
        <v>0</v>
      </c>
      <c r="K204" s="346">
        <f>SUMIF('8월'!$K$11:$K$94,연간_세부항목별지출!$C204,'8월'!$M$11:$M$94)</f>
        <v>0</v>
      </c>
      <c r="L204" s="346">
        <f>SUMIF('9월'!$K$11:$K$94,연간_세부항목별지출!$C204,'9월'!$M$11:$M$94)</f>
        <v>0</v>
      </c>
      <c r="M204" s="346">
        <f>SUMIF('10월'!$K$11:$K$94,연간_세부항목별지출!$C204,'10월'!$M$11:$M$94)</f>
        <v>0</v>
      </c>
      <c r="N204" s="346">
        <f>SUMIF('11월'!$K$11:$K$94,연간_세부항목별지출!$C204,'11월'!$M$11:$M$94)</f>
        <v>0</v>
      </c>
      <c r="O204" s="346">
        <f>SUMIF('12월'!$K$11:$K$94,연간_세부항목별지출!$C204,'12월'!$M$11:$M$94)</f>
        <v>0</v>
      </c>
      <c r="P204" s="413">
        <f t="shared" si="10"/>
        <v>0</v>
      </c>
      <c r="Q204" s="413">
        <f t="shared" si="11"/>
        <v>0</v>
      </c>
      <c r="R204" s="503" t="str">
        <f t="shared" si="12"/>
        <v/>
      </c>
    </row>
    <row r="205" spans="2:18" ht="18" customHeight="1" x14ac:dyDescent="0.3">
      <c r="B205" s="595"/>
      <c r="C205" s="420" t="str">
        <f>IF(항목!Q7="","",항목!Q7)</f>
        <v>첫째 용돈</v>
      </c>
      <c r="D205" s="346">
        <f>SUMIF('1월'!$K$11:$K$94,연간_세부항목별지출!$C205,'1월'!$M$11:$M$94)</f>
        <v>0</v>
      </c>
      <c r="E205" s="346">
        <f>SUMIF('2월'!$K$11:$K$94,연간_세부항목별지출!$C205,'2월'!$M$11:$M$94)</f>
        <v>0</v>
      </c>
      <c r="F205" s="346">
        <f>SUMIF('3월'!$K$11:$K$94,연간_세부항목별지출!$C205,'3월'!$M$11:$M$94)</f>
        <v>0</v>
      </c>
      <c r="G205" s="346">
        <f>SUMIF('4월'!$K$11:$K$94,연간_세부항목별지출!$C205,'4월'!$M$11:$M$94)</f>
        <v>0</v>
      </c>
      <c r="H205" s="346">
        <f>SUMIF('5월'!$K$11:$K$94,연간_세부항목별지출!$C205,'5월'!$M$11:$M$94)</f>
        <v>0</v>
      </c>
      <c r="I205" s="346">
        <f>SUMIF('6월'!$K$11:$K$94,연간_세부항목별지출!$C205,'6월'!$M$11:$M$94)</f>
        <v>0</v>
      </c>
      <c r="J205" s="346">
        <f>SUMIF('7월'!$K$11:$K$94,연간_세부항목별지출!$C205,'7월'!$M$11:$M$94)</f>
        <v>0</v>
      </c>
      <c r="K205" s="346">
        <f>SUMIF('8월'!$K$11:$K$94,연간_세부항목별지출!$C205,'8월'!$M$11:$M$94)</f>
        <v>0</v>
      </c>
      <c r="L205" s="346">
        <f>SUMIF('9월'!$K$11:$K$94,연간_세부항목별지출!$C205,'9월'!$M$11:$M$94)</f>
        <v>0</v>
      </c>
      <c r="M205" s="346">
        <f>SUMIF('10월'!$K$11:$K$94,연간_세부항목별지출!$C205,'10월'!$M$11:$M$94)</f>
        <v>0</v>
      </c>
      <c r="N205" s="346">
        <f>SUMIF('11월'!$K$11:$K$94,연간_세부항목별지출!$C205,'11월'!$M$11:$M$94)</f>
        <v>0</v>
      </c>
      <c r="O205" s="346">
        <f>SUMIF('12월'!$K$11:$K$94,연간_세부항목별지출!$C205,'12월'!$M$11:$M$94)</f>
        <v>0</v>
      </c>
      <c r="P205" s="413">
        <f t="shared" si="10"/>
        <v>0</v>
      </c>
      <c r="Q205" s="413">
        <f t="shared" si="11"/>
        <v>0</v>
      </c>
      <c r="R205" s="503" t="str">
        <f t="shared" si="12"/>
        <v/>
      </c>
    </row>
    <row r="206" spans="2:18" ht="18" customHeight="1" x14ac:dyDescent="0.3">
      <c r="B206" s="595"/>
      <c r="C206" s="420" t="str">
        <f>IF(항목!Q8="","",항목!Q8)</f>
        <v>둘째 용돈</v>
      </c>
      <c r="D206" s="346">
        <f>SUMIF('1월'!$K$11:$K$94,연간_세부항목별지출!$C206,'1월'!$M$11:$M$94)</f>
        <v>0</v>
      </c>
      <c r="E206" s="346">
        <f>SUMIF('2월'!$K$11:$K$94,연간_세부항목별지출!$C206,'2월'!$M$11:$M$94)</f>
        <v>0</v>
      </c>
      <c r="F206" s="346">
        <f>SUMIF('3월'!$K$11:$K$94,연간_세부항목별지출!$C206,'3월'!$M$11:$M$94)</f>
        <v>0</v>
      </c>
      <c r="G206" s="346">
        <f>SUMIF('4월'!$K$11:$K$94,연간_세부항목별지출!$C206,'4월'!$M$11:$M$94)</f>
        <v>0</v>
      </c>
      <c r="H206" s="346">
        <f>SUMIF('5월'!$K$11:$K$94,연간_세부항목별지출!$C206,'5월'!$M$11:$M$94)</f>
        <v>0</v>
      </c>
      <c r="I206" s="346">
        <f>SUMIF('6월'!$K$11:$K$94,연간_세부항목별지출!$C206,'6월'!$M$11:$M$94)</f>
        <v>0</v>
      </c>
      <c r="J206" s="346">
        <f>SUMIF('7월'!$K$11:$K$94,연간_세부항목별지출!$C206,'7월'!$M$11:$M$94)</f>
        <v>0</v>
      </c>
      <c r="K206" s="346">
        <f>SUMIF('8월'!$K$11:$K$94,연간_세부항목별지출!$C206,'8월'!$M$11:$M$94)</f>
        <v>0</v>
      </c>
      <c r="L206" s="346">
        <f>SUMIF('9월'!$K$11:$K$94,연간_세부항목별지출!$C206,'9월'!$M$11:$M$94)</f>
        <v>0</v>
      </c>
      <c r="M206" s="346">
        <f>SUMIF('10월'!$K$11:$K$94,연간_세부항목별지출!$C206,'10월'!$M$11:$M$94)</f>
        <v>0</v>
      </c>
      <c r="N206" s="346">
        <f>SUMIF('11월'!$K$11:$K$94,연간_세부항목별지출!$C206,'11월'!$M$11:$M$94)</f>
        <v>0</v>
      </c>
      <c r="O206" s="346">
        <f>SUMIF('12월'!$K$11:$K$94,연간_세부항목별지출!$C206,'12월'!$M$11:$M$94)</f>
        <v>0</v>
      </c>
      <c r="P206" s="413">
        <f t="shared" si="10"/>
        <v>0</v>
      </c>
      <c r="Q206" s="413">
        <f t="shared" si="11"/>
        <v>0</v>
      </c>
      <c r="R206" s="503" t="str">
        <f t="shared" si="12"/>
        <v/>
      </c>
    </row>
    <row r="207" spans="2:18" ht="18" customHeight="1" x14ac:dyDescent="0.3">
      <c r="B207" s="595"/>
      <c r="C207" s="420" t="str">
        <f>IF(항목!Q9="","",항목!Q9)</f>
        <v>기타 용돈</v>
      </c>
      <c r="D207" s="346">
        <f>SUMIF('1월'!$K$11:$K$94,연간_세부항목별지출!$C207,'1월'!$M$11:$M$94)</f>
        <v>0</v>
      </c>
      <c r="E207" s="346">
        <f>SUMIF('2월'!$K$11:$K$94,연간_세부항목별지출!$C207,'2월'!$M$11:$M$94)</f>
        <v>0</v>
      </c>
      <c r="F207" s="346">
        <f>SUMIF('3월'!$K$11:$K$94,연간_세부항목별지출!$C207,'3월'!$M$11:$M$94)</f>
        <v>0</v>
      </c>
      <c r="G207" s="346">
        <f>SUMIF('4월'!$K$11:$K$94,연간_세부항목별지출!$C207,'4월'!$M$11:$M$94)</f>
        <v>0</v>
      </c>
      <c r="H207" s="346">
        <f>SUMIF('5월'!$K$11:$K$94,연간_세부항목별지출!$C207,'5월'!$M$11:$M$94)</f>
        <v>0</v>
      </c>
      <c r="I207" s="346">
        <f>SUMIF('6월'!$K$11:$K$94,연간_세부항목별지출!$C207,'6월'!$M$11:$M$94)</f>
        <v>0</v>
      </c>
      <c r="J207" s="346">
        <f>SUMIF('7월'!$K$11:$K$94,연간_세부항목별지출!$C207,'7월'!$M$11:$M$94)</f>
        <v>0</v>
      </c>
      <c r="K207" s="346">
        <f>SUMIF('8월'!$K$11:$K$94,연간_세부항목별지출!$C207,'8월'!$M$11:$M$94)</f>
        <v>0</v>
      </c>
      <c r="L207" s="346">
        <f>SUMIF('9월'!$K$11:$K$94,연간_세부항목별지출!$C207,'9월'!$M$11:$M$94)</f>
        <v>0</v>
      </c>
      <c r="M207" s="346">
        <f>SUMIF('10월'!$K$11:$K$94,연간_세부항목별지출!$C207,'10월'!$M$11:$M$94)</f>
        <v>0</v>
      </c>
      <c r="N207" s="346">
        <f>SUMIF('11월'!$K$11:$K$94,연간_세부항목별지출!$C207,'11월'!$M$11:$M$94)</f>
        <v>0</v>
      </c>
      <c r="O207" s="346">
        <f>SUMIF('12월'!$K$11:$K$94,연간_세부항목별지출!$C207,'12월'!$M$11:$M$94)</f>
        <v>0</v>
      </c>
      <c r="P207" s="413">
        <f t="shared" si="10"/>
        <v>0</v>
      </c>
      <c r="Q207" s="413">
        <f t="shared" si="11"/>
        <v>0</v>
      </c>
      <c r="R207" s="503" t="str">
        <f t="shared" si="12"/>
        <v/>
      </c>
    </row>
    <row r="208" spans="2:18" ht="18" customHeight="1" x14ac:dyDescent="0.3">
      <c r="B208" s="595"/>
      <c r="C208" s="420" t="str">
        <f>IF(항목!Q10="","",항목!Q10)</f>
        <v/>
      </c>
      <c r="D208" s="346">
        <f>SUMIF('1월'!$K$11:$K$94,연간_세부항목별지출!$C208,'1월'!$M$11:$M$94)</f>
        <v>0</v>
      </c>
      <c r="E208" s="346">
        <f>SUMIF('2월'!$K$11:$K$94,연간_세부항목별지출!$C208,'2월'!$M$11:$M$94)</f>
        <v>0</v>
      </c>
      <c r="F208" s="346">
        <f>SUMIF('3월'!$K$11:$K$94,연간_세부항목별지출!$C208,'3월'!$M$11:$M$94)</f>
        <v>0</v>
      </c>
      <c r="G208" s="346">
        <f>SUMIF('4월'!$K$11:$K$94,연간_세부항목별지출!$C208,'4월'!$M$11:$M$94)</f>
        <v>0</v>
      </c>
      <c r="H208" s="346">
        <f>SUMIF('5월'!$K$11:$K$94,연간_세부항목별지출!$C208,'5월'!$M$11:$M$94)</f>
        <v>0</v>
      </c>
      <c r="I208" s="346">
        <f>SUMIF('6월'!$K$11:$K$94,연간_세부항목별지출!$C208,'6월'!$M$11:$M$94)</f>
        <v>0</v>
      </c>
      <c r="J208" s="346">
        <f>SUMIF('7월'!$K$11:$K$94,연간_세부항목별지출!$C208,'7월'!$M$11:$M$94)</f>
        <v>0</v>
      </c>
      <c r="K208" s="346">
        <f>SUMIF('8월'!$K$11:$K$94,연간_세부항목별지출!$C208,'8월'!$M$11:$M$94)</f>
        <v>0</v>
      </c>
      <c r="L208" s="346">
        <f>SUMIF('9월'!$K$11:$K$94,연간_세부항목별지출!$C208,'9월'!$M$11:$M$94)</f>
        <v>0</v>
      </c>
      <c r="M208" s="346">
        <f>SUMIF('10월'!$K$11:$K$94,연간_세부항목별지출!$C208,'10월'!$M$11:$M$94)</f>
        <v>0</v>
      </c>
      <c r="N208" s="346">
        <f>SUMIF('11월'!$K$11:$K$94,연간_세부항목별지출!$C208,'11월'!$M$11:$M$94)</f>
        <v>0</v>
      </c>
      <c r="O208" s="346">
        <f>SUMIF('12월'!$K$11:$K$94,연간_세부항목별지출!$C208,'12월'!$M$11:$M$94)</f>
        <v>0</v>
      </c>
      <c r="P208" s="413">
        <f t="shared" si="10"/>
        <v>0</v>
      </c>
      <c r="Q208" s="413">
        <f t="shared" si="11"/>
        <v>0</v>
      </c>
      <c r="R208" s="503" t="str">
        <f t="shared" si="12"/>
        <v/>
      </c>
    </row>
    <row r="209" spans="2:18" ht="18" customHeight="1" x14ac:dyDescent="0.3">
      <c r="B209" s="595"/>
      <c r="C209" s="420" t="str">
        <f>IF(항목!Q11="","",항목!Q11)</f>
        <v/>
      </c>
      <c r="D209" s="346">
        <f>SUMIF('1월'!$K$11:$K$94,연간_세부항목별지출!$C209,'1월'!$M$11:$M$94)</f>
        <v>0</v>
      </c>
      <c r="E209" s="346">
        <f>SUMIF('2월'!$K$11:$K$94,연간_세부항목별지출!$C209,'2월'!$M$11:$M$94)</f>
        <v>0</v>
      </c>
      <c r="F209" s="346">
        <f>SUMIF('3월'!$K$11:$K$94,연간_세부항목별지출!$C209,'3월'!$M$11:$M$94)</f>
        <v>0</v>
      </c>
      <c r="G209" s="346">
        <f>SUMIF('4월'!$K$11:$K$94,연간_세부항목별지출!$C209,'4월'!$M$11:$M$94)</f>
        <v>0</v>
      </c>
      <c r="H209" s="346">
        <f>SUMIF('5월'!$K$11:$K$94,연간_세부항목별지출!$C209,'5월'!$M$11:$M$94)</f>
        <v>0</v>
      </c>
      <c r="I209" s="346">
        <f>SUMIF('6월'!$K$11:$K$94,연간_세부항목별지출!$C209,'6월'!$M$11:$M$94)</f>
        <v>0</v>
      </c>
      <c r="J209" s="346">
        <f>SUMIF('7월'!$K$11:$K$94,연간_세부항목별지출!$C209,'7월'!$M$11:$M$94)</f>
        <v>0</v>
      </c>
      <c r="K209" s="346">
        <f>SUMIF('8월'!$K$11:$K$94,연간_세부항목별지출!$C209,'8월'!$M$11:$M$94)</f>
        <v>0</v>
      </c>
      <c r="L209" s="346">
        <f>SUMIF('9월'!$K$11:$K$94,연간_세부항목별지출!$C209,'9월'!$M$11:$M$94)</f>
        <v>0</v>
      </c>
      <c r="M209" s="346">
        <f>SUMIF('10월'!$K$11:$K$94,연간_세부항목별지출!$C209,'10월'!$M$11:$M$94)</f>
        <v>0</v>
      </c>
      <c r="N209" s="346">
        <f>SUMIF('11월'!$K$11:$K$94,연간_세부항목별지출!$C209,'11월'!$M$11:$M$94)</f>
        <v>0</v>
      </c>
      <c r="O209" s="346">
        <f>SUMIF('12월'!$K$11:$K$94,연간_세부항목별지출!$C209,'12월'!$M$11:$M$94)</f>
        <v>0</v>
      </c>
      <c r="P209" s="413">
        <f t="shared" si="10"/>
        <v>0</v>
      </c>
      <c r="Q209" s="413">
        <f t="shared" si="11"/>
        <v>0</v>
      </c>
      <c r="R209" s="503" t="str">
        <f t="shared" si="12"/>
        <v/>
      </c>
    </row>
    <row r="210" spans="2:18" ht="18" customHeight="1" x14ac:dyDescent="0.3">
      <c r="B210" s="595"/>
      <c r="C210" s="420" t="str">
        <f>IF(항목!Q12="","",항목!Q12)</f>
        <v/>
      </c>
      <c r="D210" s="346">
        <f>SUMIF('1월'!$K$11:$K$94,연간_세부항목별지출!$C210,'1월'!$M$11:$M$94)</f>
        <v>0</v>
      </c>
      <c r="E210" s="346">
        <f>SUMIF('2월'!$K$11:$K$94,연간_세부항목별지출!$C210,'2월'!$M$11:$M$94)</f>
        <v>0</v>
      </c>
      <c r="F210" s="346">
        <f>SUMIF('3월'!$K$11:$K$94,연간_세부항목별지출!$C210,'3월'!$M$11:$M$94)</f>
        <v>0</v>
      </c>
      <c r="G210" s="346">
        <f>SUMIF('4월'!$K$11:$K$94,연간_세부항목별지출!$C210,'4월'!$M$11:$M$94)</f>
        <v>0</v>
      </c>
      <c r="H210" s="346">
        <f>SUMIF('5월'!$K$11:$K$94,연간_세부항목별지출!$C210,'5월'!$M$11:$M$94)</f>
        <v>0</v>
      </c>
      <c r="I210" s="346">
        <f>SUMIF('6월'!$K$11:$K$94,연간_세부항목별지출!$C210,'6월'!$M$11:$M$94)</f>
        <v>0</v>
      </c>
      <c r="J210" s="346">
        <f>SUMIF('7월'!$K$11:$K$94,연간_세부항목별지출!$C210,'7월'!$M$11:$M$94)</f>
        <v>0</v>
      </c>
      <c r="K210" s="346">
        <f>SUMIF('8월'!$K$11:$K$94,연간_세부항목별지출!$C210,'8월'!$M$11:$M$94)</f>
        <v>0</v>
      </c>
      <c r="L210" s="346">
        <f>SUMIF('9월'!$K$11:$K$94,연간_세부항목별지출!$C210,'9월'!$M$11:$M$94)</f>
        <v>0</v>
      </c>
      <c r="M210" s="346">
        <f>SUMIF('10월'!$K$11:$K$94,연간_세부항목별지출!$C210,'10월'!$M$11:$M$94)</f>
        <v>0</v>
      </c>
      <c r="N210" s="346">
        <f>SUMIF('11월'!$K$11:$K$94,연간_세부항목별지출!$C210,'11월'!$M$11:$M$94)</f>
        <v>0</v>
      </c>
      <c r="O210" s="346">
        <f>SUMIF('12월'!$K$11:$K$94,연간_세부항목별지출!$C210,'12월'!$M$11:$M$94)</f>
        <v>0</v>
      </c>
      <c r="P210" s="413">
        <f t="shared" si="10"/>
        <v>0</v>
      </c>
      <c r="Q210" s="413">
        <f t="shared" si="11"/>
        <v>0</v>
      </c>
      <c r="R210" s="503" t="str">
        <f t="shared" si="12"/>
        <v/>
      </c>
    </row>
    <row r="211" spans="2:18" ht="18" customHeight="1" x14ac:dyDescent="0.3">
      <c r="B211" s="595"/>
      <c r="C211" s="420" t="str">
        <f>IF(항목!Q13="","",항목!Q13)</f>
        <v/>
      </c>
      <c r="D211" s="346">
        <f>SUMIF('1월'!$K$11:$K$94,연간_세부항목별지출!$C211,'1월'!$M$11:$M$94)</f>
        <v>0</v>
      </c>
      <c r="E211" s="346">
        <f>SUMIF('2월'!$K$11:$K$94,연간_세부항목별지출!$C211,'2월'!$M$11:$M$94)</f>
        <v>0</v>
      </c>
      <c r="F211" s="346">
        <f>SUMIF('3월'!$K$11:$K$94,연간_세부항목별지출!$C211,'3월'!$M$11:$M$94)</f>
        <v>0</v>
      </c>
      <c r="G211" s="346">
        <f>SUMIF('4월'!$K$11:$K$94,연간_세부항목별지출!$C211,'4월'!$M$11:$M$94)</f>
        <v>0</v>
      </c>
      <c r="H211" s="346">
        <f>SUMIF('5월'!$K$11:$K$94,연간_세부항목별지출!$C211,'5월'!$M$11:$M$94)</f>
        <v>0</v>
      </c>
      <c r="I211" s="346">
        <f>SUMIF('6월'!$K$11:$K$94,연간_세부항목별지출!$C211,'6월'!$M$11:$M$94)</f>
        <v>0</v>
      </c>
      <c r="J211" s="346">
        <f>SUMIF('7월'!$K$11:$K$94,연간_세부항목별지출!$C211,'7월'!$M$11:$M$94)</f>
        <v>0</v>
      </c>
      <c r="K211" s="346">
        <f>SUMIF('8월'!$K$11:$K$94,연간_세부항목별지출!$C211,'8월'!$M$11:$M$94)</f>
        <v>0</v>
      </c>
      <c r="L211" s="346">
        <f>SUMIF('9월'!$K$11:$K$94,연간_세부항목별지출!$C211,'9월'!$M$11:$M$94)</f>
        <v>0</v>
      </c>
      <c r="M211" s="346">
        <f>SUMIF('10월'!$K$11:$K$94,연간_세부항목별지출!$C211,'10월'!$M$11:$M$94)</f>
        <v>0</v>
      </c>
      <c r="N211" s="346">
        <f>SUMIF('11월'!$K$11:$K$94,연간_세부항목별지출!$C211,'11월'!$M$11:$M$94)</f>
        <v>0</v>
      </c>
      <c r="O211" s="346">
        <f>SUMIF('12월'!$K$11:$K$94,연간_세부항목별지출!$C211,'12월'!$M$11:$M$94)</f>
        <v>0</v>
      </c>
      <c r="P211" s="413">
        <f t="shared" si="10"/>
        <v>0</v>
      </c>
      <c r="Q211" s="413">
        <f t="shared" si="11"/>
        <v>0</v>
      </c>
      <c r="R211" s="503" t="str">
        <f t="shared" si="12"/>
        <v/>
      </c>
    </row>
    <row r="212" spans="2:18" ht="18" customHeight="1" x14ac:dyDescent="0.3">
      <c r="B212" s="595"/>
      <c r="C212" s="420" t="str">
        <f>IF(항목!Q14="","",항목!Q14)</f>
        <v/>
      </c>
      <c r="D212" s="346">
        <f>SUMIF('1월'!$K$11:$K$94,연간_세부항목별지출!$C212,'1월'!$M$11:$M$94)</f>
        <v>0</v>
      </c>
      <c r="E212" s="346">
        <f>SUMIF('2월'!$K$11:$K$94,연간_세부항목별지출!$C212,'2월'!$M$11:$M$94)</f>
        <v>0</v>
      </c>
      <c r="F212" s="346">
        <f>SUMIF('3월'!$K$11:$K$94,연간_세부항목별지출!$C212,'3월'!$M$11:$M$94)</f>
        <v>0</v>
      </c>
      <c r="G212" s="346">
        <f>SUMIF('4월'!$K$11:$K$94,연간_세부항목별지출!$C212,'4월'!$M$11:$M$94)</f>
        <v>0</v>
      </c>
      <c r="H212" s="346">
        <f>SUMIF('5월'!$K$11:$K$94,연간_세부항목별지출!$C212,'5월'!$M$11:$M$94)</f>
        <v>0</v>
      </c>
      <c r="I212" s="346">
        <f>SUMIF('6월'!$K$11:$K$94,연간_세부항목별지출!$C212,'6월'!$M$11:$M$94)</f>
        <v>0</v>
      </c>
      <c r="J212" s="346">
        <f>SUMIF('7월'!$K$11:$K$94,연간_세부항목별지출!$C212,'7월'!$M$11:$M$94)</f>
        <v>0</v>
      </c>
      <c r="K212" s="346">
        <f>SUMIF('8월'!$K$11:$K$94,연간_세부항목별지출!$C212,'8월'!$M$11:$M$94)</f>
        <v>0</v>
      </c>
      <c r="L212" s="346">
        <f>SUMIF('9월'!$K$11:$K$94,연간_세부항목별지출!$C212,'9월'!$M$11:$M$94)</f>
        <v>0</v>
      </c>
      <c r="M212" s="346">
        <f>SUMIF('10월'!$K$11:$K$94,연간_세부항목별지출!$C212,'10월'!$M$11:$M$94)</f>
        <v>0</v>
      </c>
      <c r="N212" s="346">
        <f>SUMIF('11월'!$K$11:$K$94,연간_세부항목별지출!$C212,'11월'!$M$11:$M$94)</f>
        <v>0</v>
      </c>
      <c r="O212" s="346">
        <f>SUMIF('12월'!$K$11:$K$94,연간_세부항목별지출!$C212,'12월'!$M$11:$M$94)</f>
        <v>0</v>
      </c>
      <c r="P212" s="413">
        <f t="shared" si="10"/>
        <v>0</v>
      </c>
      <c r="Q212" s="413">
        <f t="shared" si="11"/>
        <v>0</v>
      </c>
      <c r="R212" s="503" t="str">
        <f t="shared" si="12"/>
        <v/>
      </c>
    </row>
    <row r="213" spans="2:18" ht="18" customHeight="1" x14ac:dyDescent="0.3">
      <c r="B213" s="595"/>
      <c r="C213" s="420" t="str">
        <f>IF(항목!Q15="","",항목!Q15)</f>
        <v/>
      </c>
      <c r="D213" s="346">
        <f>SUMIF('1월'!$K$11:$K$94,연간_세부항목별지출!$C213,'1월'!$M$11:$M$94)</f>
        <v>0</v>
      </c>
      <c r="E213" s="346">
        <f>SUMIF('2월'!$K$11:$K$94,연간_세부항목별지출!$C213,'2월'!$M$11:$M$94)</f>
        <v>0</v>
      </c>
      <c r="F213" s="346">
        <f>SUMIF('3월'!$K$11:$K$94,연간_세부항목별지출!$C213,'3월'!$M$11:$M$94)</f>
        <v>0</v>
      </c>
      <c r="G213" s="346">
        <f>SUMIF('4월'!$K$11:$K$94,연간_세부항목별지출!$C213,'4월'!$M$11:$M$94)</f>
        <v>0</v>
      </c>
      <c r="H213" s="346">
        <f>SUMIF('5월'!$K$11:$K$94,연간_세부항목별지출!$C213,'5월'!$M$11:$M$94)</f>
        <v>0</v>
      </c>
      <c r="I213" s="346">
        <f>SUMIF('6월'!$K$11:$K$94,연간_세부항목별지출!$C213,'6월'!$M$11:$M$94)</f>
        <v>0</v>
      </c>
      <c r="J213" s="346">
        <f>SUMIF('7월'!$K$11:$K$94,연간_세부항목별지출!$C213,'7월'!$M$11:$M$94)</f>
        <v>0</v>
      </c>
      <c r="K213" s="346">
        <f>SUMIF('8월'!$K$11:$K$94,연간_세부항목별지출!$C213,'8월'!$M$11:$M$94)</f>
        <v>0</v>
      </c>
      <c r="L213" s="346">
        <f>SUMIF('9월'!$K$11:$K$94,연간_세부항목별지출!$C213,'9월'!$M$11:$M$94)</f>
        <v>0</v>
      </c>
      <c r="M213" s="346">
        <f>SUMIF('10월'!$K$11:$K$94,연간_세부항목별지출!$C213,'10월'!$M$11:$M$94)</f>
        <v>0</v>
      </c>
      <c r="N213" s="346">
        <f>SUMIF('11월'!$K$11:$K$94,연간_세부항목별지출!$C213,'11월'!$M$11:$M$94)</f>
        <v>0</v>
      </c>
      <c r="O213" s="346">
        <f>SUMIF('12월'!$K$11:$K$94,연간_세부항목별지출!$C213,'12월'!$M$11:$M$94)</f>
        <v>0</v>
      </c>
      <c r="P213" s="413">
        <f t="shared" si="10"/>
        <v>0</v>
      </c>
      <c r="Q213" s="413">
        <f t="shared" si="11"/>
        <v>0</v>
      </c>
      <c r="R213" s="503" t="str">
        <f t="shared" si="12"/>
        <v/>
      </c>
    </row>
    <row r="214" spans="2:18" ht="18" customHeight="1" x14ac:dyDescent="0.3">
      <c r="B214" s="595"/>
      <c r="C214" s="420" t="str">
        <f>IF(항목!Q16="","",항목!Q16)</f>
        <v/>
      </c>
      <c r="D214" s="346">
        <f>SUMIF('1월'!$K$11:$K$94,연간_세부항목별지출!$C214,'1월'!$M$11:$M$94)</f>
        <v>0</v>
      </c>
      <c r="E214" s="346">
        <f>SUMIF('2월'!$K$11:$K$94,연간_세부항목별지출!$C214,'2월'!$M$11:$M$94)</f>
        <v>0</v>
      </c>
      <c r="F214" s="346">
        <f>SUMIF('3월'!$K$11:$K$94,연간_세부항목별지출!$C214,'3월'!$M$11:$M$94)</f>
        <v>0</v>
      </c>
      <c r="G214" s="346">
        <f>SUMIF('4월'!$K$11:$K$94,연간_세부항목별지출!$C214,'4월'!$M$11:$M$94)</f>
        <v>0</v>
      </c>
      <c r="H214" s="346">
        <f>SUMIF('5월'!$K$11:$K$94,연간_세부항목별지출!$C214,'5월'!$M$11:$M$94)</f>
        <v>0</v>
      </c>
      <c r="I214" s="346">
        <f>SUMIF('6월'!$K$11:$K$94,연간_세부항목별지출!$C214,'6월'!$M$11:$M$94)</f>
        <v>0</v>
      </c>
      <c r="J214" s="346">
        <f>SUMIF('7월'!$K$11:$K$94,연간_세부항목별지출!$C214,'7월'!$M$11:$M$94)</f>
        <v>0</v>
      </c>
      <c r="K214" s="346">
        <f>SUMIF('8월'!$K$11:$K$94,연간_세부항목별지출!$C214,'8월'!$M$11:$M$94)</f>
        <v>0</v>
      </c>
      <c r="L214" s="346">
        <f>SUMIF('9월'!$K$11:$K$94,연간_세부항목별지출!$C214,'9월'!$M$11:$M$94)</f>
        <v>0</v>
      </c>
      <c r="M214" s="346">
        <f>SUMIF('10월'!$K$11:$K$94,연간_세부항목별지출!$C214,'10월'!$M$11:$M$94)</f>
        <v>0</v>
      </c>
      <c r="N214" s="346">
        <f>SUMIF('11월'!$K$11:$K$94,연간_세부항목별지출!$C214,'11월'!$M$11:$M$94)</f>
        <v>0</v>
      </c>
      <c r="O214" s="346">
        <f>SUMIF('12월'!$K$11:$K$94,연간_세부항목별지출!$C214,'12월'!$M$11:$M$94)</f>
        <v>0</v>
      </c>
      <c r="P214" s="413">
        <f t="shared" si="10"/>
        <v>0</v>
      </c>
      <c r="Q214" s="413">
        <f t="shared" si="11"/>
        <v>0</v>
      </c>
      <c r="R214" s="503" t="str">
        <f t="shared" si="12"/>
        <v/>
      </c>
    </row>
    <row r="215" spans="2:18" ht="18" customHeight="1" x14ac:dyDescent="0.3">
      <c r="B215" s="595"/>
      <c r="C215" s="420" t="str">
        <f>IF(항목!Q17="","",항목!Q17)</f>
        <v/>
      </c>
      <c r="D215" s="346">
        <f>SUMIF('1월'!$K$11:$K$94,연간_세부항목별지출!$C215,'1월'!$M$11:$M$94)</f>
        <v>0</v>
      </c>
      <c r="E215" s="346">
        <f>SUMIF('2월'!$K$11:$K$94,연간_세부항목별지출!$C215,'2월'!$M$11:$M$94)</f>
        <v>0</v>
      </c>
      <c r="F215" s="346">
        <f>SUMIF('3월'!$K$11:$K$94,연간_세부항목별지출!$C215,'3월'!$M$11:$M$94)</f>
        <v>0</v>
      </c>
      <c r="G215" s="346">
        <f>SUMIF('4월'!$K$11:$K$94,연간_세부항목별지출!$C215,'4월'!$M$11:$M$94)</f>
        <v>0</v>
      </c>
      <c r="H215" s="346">
        <f>SUMIF('5월'!$K$11:$K$94,연간_세부항목별지출!$C215,'5월'!$M$11:$M$94)</f>
        <v>0</v>
      </c>
      <c r="I215" s="346">
        <f>SUMIF('6월'!$K$11:$K$94,연간_세부항목별지출!$C215,'6월'!$M$11:$M$94)</f>
        <v>0</v>
      </c>
      <c r="J215" s="346">
        <f>SUMIF('7월'!$K$11:$K$94,연간_세부항목별지출!$C215,'7월'!$M$11:$M$94)</f>
        <v>0</v>
      </c>
      <c r="K215" s="346">
        <f>SUMIF('8월'!$K$11:$K$94,연간_세부항목별지출!$C215,'8월'!$M$11:$M$94)</f>
        <v>0</v>
      </c>
      <c r="L215" s="346">
        <f>SUMIF('9월'!$K$11:$K$94,연간_세부항목별지출!$C215,'9월'!$M$11:$M$94)</f>
        <v>0</v>
      </c>
      <c r="M215" s="346">
        <f>SUMIF('10월'!$K$11:$K$94,연간_세부항목별지출!$C215,'10월'!$M$11:$M$94)</f>
        <v>0</v>
      </c>
      <c r="N215" s="346">
        <f>SUMIF('11월'!$K$11:$K$94,연간_세부항목별지출!$C215,'11월'!$M$11:$M$94)</f>
        <v>0</v>
      </c>
      <c r="O215" s="346">
        <f>SUMIF('12월'!$K$11:$K$94,연간_세부항목별지출!$C215,'12월'!$M$11:$M$94)</f>
        <v>0</v>
      </c>
      <c r="P215" s="413">
        <f t="shared" si="10"/>
        <v>0</v>
      </c>
      <c r="Q215" s="413">
        <f t="shared" si="11"/>
        <v>0</v>
      </c>
      <c r="R215" s="503" t="str">
        <f t="shared" si="12"/>
        <v/>
      </c>
    </row>
    <row r="216" spans="2:18" ht="18" customHeight="1" x14ac:dyDescent="0.3">
      <c r="B216" s="597"/>
      <c r="C216" s="420" t="str">
        <f>IF(항목!Q18="","",항목!Q18)</f>
        <v/>
      </c>
      <c r="D216" s="346">
        <f>SUMIF('1월'!$K$11:$K$94,연간_세부항목별지출!$C216,'1월'!$M$11:$M$94)</f>
        <v>0</v>
      </c>
      <c r="E216" s="346">
        <f>SUMIF('2월'!$K$11:$K$94,연간_세부항목별지출!$C216,'2월'!$M$11:$M$94)</f>
        <v>0</v>
      </c>
      <c r="F216" s="346">
        <f>SUMIF('3월'!$K$11:$K$94,연간_세부항목별지출!$C216,'3월'!$M$11:$M$94)</f>
        <v>0</v>
      </c>
      <c r="G216" s="346">
        <f>SUMIF('4월'!$K$11:$K$94,연간_세부항목별지출!$C216,'4월'!$M$11:$M$94)</f>
        <v>0</v>
      </c>
      <c r="H216" s="346">
        <f>SUMIF('5월'!$K$11:$K$94,연간_세부항목별지출!$C216,'5월'!$M$11:$M$94)</f>
        <v>0</v>
      </c>
      <c r="I216" s="346">
        <f>SUMIF('6월'!$K$11:$K$94,연간_세부항목별지출!$C216,'6월'!$M$11:$M$94)</f>
        <v>0</v>
      </c>
      <c r="J216" s="346">
        <f>SUMIF('7월'!$K$11:$K$94,연간_세부항목별지출!$C216,'7월'!$M$11:$M$94)</f>
        <v>0</v>
      </c>
      <c r="K216" s="346">
        <f>SUMIF('8월'!$K$11:$K$94,연간_세부항목별지출!$C216,'8월'!$M$11:$M$94)</f>
        <v>0</v>
      </c>
      <c r="L216" s="346">
        <f>SUMIF('9월'!$K$11:$K$94,연간_세부항목별지출!$C216,'9월'!$M$11:$M$94)</f>
        <v>0</v>
      </c>
      <c r="M216" s="346">
        <f>SUMIF('10월'!$K$11:$K$94,연간_세부항목별지출!$C216,'10월'!$M$11:$M$94)</f>
        <v>0</v>
      </c>
      <c r="N216" s="346">
        <f>SUMIF('11월'!$K$11:$K$94,연간_세부항목별지출!$C216,'11월'!$M$11:$M$94)</f>
        <v>0</v>
      </c>
      <c r="O216" s="346">
        <f>SUMIF('12월'!$K$11:$K$94,연간_세부항목별지출!$C216,'12월'!$M$11:$M$94)</f>
        <v>0</v>
      </c>
      <c r="P216" s="413">
        <f t="shared" si="10"/>
        <v>0</v>
      </c>
      <c r="Q216" s="413">
        <f t="shared" si="11"/>
        <v>0</v>
      </c>
      <c r="R216" s="503" t="str">
        <f t="shared" si="12"/>
        <v/>
      </c>
    </row>
    <row r="217" spans="2:18" ht="24.95" customHeight="1" x14ac:dyDescent="0.3"/>
  </sheetData>
  <mergeCells count="33">
    <mergeCell ref="B1:D1"/>
    <mergeCell ref="B112:B126"/>
    <mergeCell ref="B127:B141"/>
    <mergeCell ref="B5:C5"/>
    <mergeCell ref="B21:C21"/>
    <mergeCell ref="B20:C20"/>
    <mergeCell ref="B19:C19"/>
    <mergeCell ref="B18:C18"/>
    <mergeCell ref="B4:C4"/>
    <mergeCell ref="B8:C8"/>
    <mergeCell ref="B11:C11"/>
    <mergeCell ref="B3:C3"/>
    <mergeCell ref="B6:C6"/>
    <mergeCell ref="B15:C15"/>
    <mergeCell ref="B22:B36"/>
    <mergeCell ref="B37:B51"/>
    <mergeCell ref="B202:B216"/>
    <mergeCell ref="B172:B186"/>
    <mergeCell ref="B187:B201"/>
    <mergeCell ref="B17:C17"/>
    <mergeCell ref="B16:C16"/>
    <mergeCell ref="B52:B66"/>
    <mergeCell ref="B142:B156"/>
    <mergeCell ref="B67:B81"/>
    <mergeCell ref="B82:B96"/>
    <mergeCell ref="B97:B111"/>
    <mergeCell ref="B14:C14"/>
    <mergeCell ref="B13:C13"/>
    <mergeCell ref="B12:C12"/>
    <mergeCell ref="B7:C7"/>
    <mergeCell ref="B157:B171"/>
    <mergeCell ref="B10:C10"/>
    <mergeCell ref="B9:C9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4" fitToHeight="0" orientation="portrait" r:id="rId1"/>
  <rowBreaks count="3" manualBreakCount="3">
    <brk id="81" max="17" man="1"/>
    <brk id="111" max="17" man="1"/>
    <brk id="156" max="17" man="1"/>
  </rowBreaks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8B159-5A75-413F-8CA3-4338FFC0F476}">
  <sheetPr codeName="Sheet22">
    <tabColor rgb="FF7030A0"/>
    <pageSetUpPr autoPageBreaks="0" fitToPage="1"/>
  </sheetPr>
  <dimension ref="A1:P29"/>
  <sheetViews>
    <sheetView showGridLines="0" zoomScaleNormal="100" workbookViewId="0">
      <selection activeCell="D10" sqref="D10"/>
    </sheetView>
  </sheetViews>
  <sheetFormatPr defaultColWidth="8.875" defaultRowHeight="11.25" x14ac:dyDescent="0.3"/>
  <cols>
    <col min="1" max="1" width="4.625" style="57" customWidth="1"/>
    <col min="2" max="6" width="11.625" style="56" customWidth="1"/>
    <col min="7" max="7" width="4.625" style="57" customWidth="1"/>
    <col min="8" max="9" width="11.625" style="57" customWidth="1"/>
    <col min="10" max="10" width="4.625" style="57" customWidth="1"/>
    <col min="11" max="15" width="11.625" style="57" customWidth="1"/>
    <col min="16" max="16" width="4.625" style="57" customWidth="1"/>
    <col min="17" max="16384" width="8.875" style="57"/>
  </cols>
  <sheetData>
    <row r="1" spans="1:16" ht="40.5" customHeight="1" x14ac:dyDescent="0.3">
      <c r="A1" s="58"/>
      <c r="B1" s="590" t="s">
        <v>222</v>
      </c>
      <c r="C1" s="590"/>
      <c r="D1" s="590"/>
      <c r="E1" s="590"/>
      <c r="F1" s="590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16.5" customHeight="1" thickBot="1" x14ac:dyDescent="0.35">
      <c r="B2" s="57"/>
      <c r="C2" s="57"/>
      <c r="D2" s="57"/>
    </row>
    <row r="3" spans="1:16" ht="24.95" customHeight="1" thickBot="1" x14ac:dyDescent="0.35">
      <c r="B3" s="303" t="s">
        <v>210</v>
      </c>
      <c r="C3" s="317"/>
      <c r="D3" s="609" t="s">
        <v>241</v>
      </c>
      <c r="E3" s="610"/>
      <c r="F3" s="444">
        <f ca="1">E17</f>
        <v>0</v>
      </c>
      <c r="G3" s="3"/>
      <c r="H3" s="319" t="s">
        <v>320</v>
      </c>
      <c r="I3" s="3"/>
    </row>
    <row r="4" spans="1:16" ht="24.95" customHeight="1" thickBot="1" x14ac:dyDescent="0.35">
      <c r="B4" s="303" t="s">
        <v>211</v>
      </c>
      <c r="C4" s="317"/>
      <c r="D4" s="609" t="s">
        <v>244</v>
      </c>
      <c r="E4" s="610"/>
      <c r="F4" s="444">
        <f>E23</f>
        <v>0</v>
      </c>
      <c r="G4" s="3"/>
      <c r="H4" s="546" t="s">
        <v>309</v>
      </c>
      <c r="I4" s="547"/>
    </row>
    <row r="5" spans="1:16" ht="24.95" customHeight="1" thickBot="1" x14ac:dyDescent="0.35">
      <c r="B5" s="303" t="s">
        <v>209</v>
      </c>
      <c r="C5" s="317"/>
      <c r="D5" s="611" t="s">
        <v>240</v>
      </c>
      <c r="E5" s="612"/>
      <c r="F5" s="445">
        <f ca="1">부채관리!$M$4</f>
        <v>0</v>
      </c>
      <c r="G5" s="3"/>
      <c r="H5" s="44" t="s">
        <v>310</v>
      </c>
      <c r="I5" s="13">
        <f>D10</f>
        <v>0</v>
      </c>
    </row>
    <row r="6" spans="1:16" ht="24.95" customHeight="1" thickBot="1" x14ac:dyDescent="0.35">
      <c r="B6" s="303" t="s">
        <v>212</v>
      </c>
      <c r="C6" s="317"/>
      <c r="D6" s="613" t="s">
        <v>245</v>
      </c>
      <c r="E6" s="614"/>
      <c r="F6" s="446">
        <f ca="1">F3+F4-F5</f>
        <v>0</v>
      </c>
      <c r="G6" s="3"/>
      <c r="H6" s="37" t="s">
        <v>311</v>
      </c>
      <c r="I6" s="552">
        <f>I4-I5</f>
        <v>0</v>
      </c>
    </row>
    <row r="7" spans="1:16" ht="24.95" customHeight="1" thickBot="1" x14ac:dyDescent="0.35">
      <c r="B7" s="303" t="s">
        <v>243</v>
      </c>
      <c r="C7" s="317"/>
      <c r="D7" s="615" t="s">
        <v>255</v>
      </c>
      <c r="E7" s="616"/>
      <c r="F7" s="447" t="e">
        <f ca="1">F5/F6</f>
        <v>#DIV/0!</v>
      </c>
      <c r="G7" s="3"/>
      <c r="H7" s="37" t="s">
        <v>312</v>
      </c>
      <c r="I7" s="548"/>
    </row>
    <row r="8" spans="1:16" ht="24.95" customHeight="1" thickBot="1" x14ac:dyDescent="0.35">
      <c r="B8" s="549"/>
      <c r="C8" s="57"/>
      <c r="D8" s="57"/>
      <c r="H8" s="37" t="s">
        <v>313</v>
      </c>
      <c r="I8" s="548"/>
    </row>
    <row r="9" spans="1:16" ht="24.95" customHeight="1" thickBot="1" x14ac:dyDescent="0.35">
      <c r="B9" s="57"/>
      <c r="C9" s="57"/>
      <c r="D9" s="34" t="s">
        <v>257</v>
      </c>
      <c r="E9" s="35" t="s">
        <v>258</v>
      </c>
      <c r="F9" s="301" t="s">
        <v>256</v>
      </c>
      <c r="H9" s="44" t="s">
        <v>314</v>
      </c>
      <c r="I9" s="553">
        <f ca="1">TODAY()</f>
        <v>44942</v>
      </c>
    </row>
    <row r="10" spans="1:16" ht="24.95" customHeight="1" x14ac:dyDescent="0.3">
      <c r="B10" s="57"/>
      <c r="C10" s="57"/>
      <c r="D10" s="325"/>
      <c r="E10" s="442">
        <f ca="1">F6</f>
        <v>0</v>
      </c>
      <c r="F10" s="443" t="e">
        <f ca="1">(E10-D10)/E10</f>
        <v>#DIV/0!</v>
      </c>
      <c r="H10" s="37" t="s">
        <v>315</v>
      </c>
      <c r="I10" s="554">
        <f>DATEDIF(I7,I8+1,"m")</f>
        <v>0</v>
      </c>
    </row>
    <row r="11" spans="1:16" ht="24.95" customHeight="1" x14ac:dyDescent="0.3">
      <c r="B11" s="53"/>
      <c r="C11" s="53"/>
      <c r="D11" s="316"/>
      <c r="H11" s="37" t="s">
        <v>81</v>
      </c>
      <c r="I11" s="554" t="e">
        <f ca="1">DATEDIF(I9,I8+1,"m")</f>
        <v>#NUM!</v>
      </c>
    </row>
    <row r="12" spans="1:16" ht="24.95" customHeight="1" thickBot="1" x14ac:dyDescent="0.35">
      <c r="B12" s="319" t="s">
        <v>249</v>
      </c>
      <c r="C12" s="318"/>
      <c r="H12" s="37" t="s">
        <v>316</v>
      </c>
      <c r="I12" s="444">
        <f ca="1">E10-I5</f>
        <v>0</v>
      </c>
    </row>
    <row r="13" spans="1:16" ht="24.95" customHeight="1" thickBot="1" x14ac:dyDescent="0.35">
      <c r="B13" s="34" t="s">
        <v>107</v>
      </c>
      <c r="C13" s="617" t="s">
        <v>44</v>
      </c>
      <c r="D13" s="606"/>
      <c r="E13" s="35" t="s">
        <v>2</v>
      </c>
      <c r="F13" s="36" t="s">
        <v>110</v>
      </c>
      <c r="H13" s="37" t="s">
        <v>317</v>
      </c>
      <c r="I13" s="444">
        <f ca="1">I6-I12</f>
        <v>0</v>
      </c>
    </row>
    <row r="14" spans="1:16" ht="24.95" customHeight="1" thickBot="1" x14ac:dyDescent="0.35">
      <c r="B14" s="343" t="s">
        <v>108</v>
      </c>
      <c r="C14" s="618" t="s">
        <v>324</v>
      </c>
      <c r="D14" s="619"/>
      <c r="E14" s="328">
        <f>SUMIF(예금관리!$G$7:$G$100,자산현황!$B14,예금관리!$J$7:$J$100)+SUMIF(적금관리!$G$7:$G$100,자산현황!$B14,적금관리!$O$7:$O$100)</f>
        <v>0</v>
      </c>
      <c r="F14" s="440" t="e">
        <f ca="1">E14/$E$17</f>
        <v>#DIV/0!</v>
      </c>
      <c r="H14" s="39" t="s">
        <v>318</v>
      </c>
      <c r="I14" s="555" t="e">
        <f ca="1">(I6-I13)/I6</f>
        <v>#DIV/0!</v>
      </c>
    </row>
    <row r="15" spans="1:16" ht="24.95" customHeight="1" thickBot="1" x14ac:dyDescent="0.35">
      <c r="B15" s="344" t="s">
        <v>208</v>
      </c>
      <c r="C15" s="620" t="s">
        <v>220</v>
      </c>
      <c r="D15" s="621"/>
      <c r="E15" s="328">
        <f>SUMIF(예금관리!$G$7:$G$100,자산현황!$B15,예금관리!$J$7:$J$100)+SUMIF(적금관리!$G$7:$G$100,자산현황!$B15,적금관리!$O$7:$O$100)</f>
        <v>0</v>
      </c>
      <c r="F15" s="440" t="e">
        <f t="shared" ref="F15:F16" ca="1" si="0">E15/$E$17</f>
        <v>#DIV/0!</v>
      </c>
      <c r="H15" s="556" t="s">
        <v>319</v>
      </c>
      <c r="I15" s="457" t="e">
        <f ca="1">I13/DATEDIF(I9,I8,"m")</f>
        <v>#NUM!</v>
      </c>
    </row>
    <row r="16" spans="1:16" ht="24.95" customHeight="1" thickBot="1" x14ac:dyDescent="0.35">
      <c r="B16" s="450" t="s">
        <v>109</v>
      </c>
      <c r="C16" s="622" t="s">
        <v>221</v>
      </c>
      <c r="D16" s="623"/>
      <c r="E16" s="441">
        <f ca="1">SUMIF(예금관리!$G$7:$G$100,자산현황!$B16,예금관리!$J$7:$J$100)+SUMIF(적금관리!$G$7:$G$100,자산현황!$B16,적금관리!$O$7:$O$100)+비상금관리!E3+비상금관리!J3+비상금관리!O3+계좌현황!J3</f>
        <v>0</v>
      </c>
      <c r="F16" s="440" t="e">
        <f t="shared" ca="1" si="0"/>
        <v>#DIV/0!</v>
      </c>
    </row>
    <row r="17" spans="1:6" ht="24.95" customHeight="1" thickBot="1" x14ac:dyDescent="0.35">
      <c r="B17" s="602" t="s">
        <v>253</v>
      </c>
      <c r="C17" s="602"/>
      <c r="D17" s="606"/>
      <c r="E17" s="305">
        <f ca="1">SUM(E14:E16)</f>
        <v>0</v>
      </c>
      <c r="F17" s="306" t="e">
        <f ca="1">SUM(F14:F16)</f>
        <v>#DIV/0!</v>
      </c>
    </row>
    <row r="18" spans="1:6" ht="24.95" customHeight="1" x14ac:dyDescent="0.3">
      <c r="B18" s="57"/>
      <c r="C18" s="57"/>
      <c r="D18" s="57"/>
      <c r="E18" s="57"/>
      <c r="F18" s="57"/>
    </row>
    <row r="19" spans="1:6" ht="24.95" customHeight="1" thickBot="1" x14ac:dyDescent="0.35">
      <c r="B19" s="319" t="s">
        <v>242</v>
      </c>
      <c r="C19" s="318"/>
      <c r="D19" s="57"/>
      <c r="E19" s="57"/>
      <c r="F19" s="57"/>
    </row>
    <row r="20" spans="1:6" ht="24.95" customHeight="1" thickBot="1" x14ac:dyDescent="0.35">
      <c r="A20" s="56"/>
      <c r="B20" s="308" t="s">
        <v>254</v>
      </c>
      <c r="C20" s="617" t="s">
        <v>250</v>
      </c>
      <c r="D20" s="606"/>
      <c r="E20" s="277" t="s">
        <v>251</v>
      </c>
      <c r="F20" s="278" t="s">
        <v>252</v>
      </c>
    </row>
    <row r="21" spans="1:6" ht="24.95" customHeight="1" x14ac:dyDescent="0.3">
      <c r="B21" s="311">
        <v>1</v>
      </c>
      <c r="C21" s="618" t="s">
        <v>246</v>
      </c>
      <c r="D21" s="619"/>
      <c r="E21" s="312">
        <v>0</v>
      </c>
      <c r="F21" s="448" t="e">
        <f>E21/$E$23</f>
        <v>#DIV/0!</v>
      </c>
    </row>
    <row r="22" spans="1:6" ht="24.95" customHeight="1" thickBot="1" x14ac:dyDescent="0.35">
      <c r="B22" s="307">
        <v>2</v>
      </c>
      <c r="C22" s="622" t="s">
        <v>247</v>
      </c>
      <c r="D22" s="623"/>
      <c r="E22" s="314">
        <v>0</v>
      </c>
      <c r="F22" s="449" t="e">
        <f>E22/$E$23</f>
        <v>#DIV/0!</v>
      </c>
    </row>
    <row r="23" spans="1:6" ht="24.95" customHeight="1" thickBot="1" x14ac:dyDescent="0.35">
      <c r="B23" s="607" t="s">
        <v>253</v>
      </c>
      <c r="C23" s="607"/>
      <c r="D23" s="608"/>
      <c r="E23" s="309">
        <f>IF(E21="","",SUM($E$21:$E$22))</f>
        <v>0</v>
      </c>
      <c r="F23" s="310" t="e">
        <f>SUM(F21:F22)</f>
        <v>#DIV/0!</v>
      </c>
    </row>
    <row r="24" spans="1:6" ht="24.95" customHeight="1" x14ac:dyDescent="0.3">
      <c r="B24" s="57"/>
      <c r="C24" s="57"/>
      <c r="D24" s="57"/>
      <c r="E24" s="57"/>
      <c r="F24" s="57"/>
    </row>
    <row r="25" spans="1:6" ht="24.95" customHeight="1" x14ac:dyDescent="0.3">
      <c r="B25" s="57"/>
      <c r="C25" s="57"/>
      <c r="D25" s="57"/>
      <c r="E25" s="57"/>
      <c r="F25" s="57"/>
    </row>
    <row r="26" spans="1:6" ht="24.95" customHeight="1" x14ac:dyDescent="0.3">
      <c r="B26" s="57"/>
      <c r="C26" s="57"/>
      <c r="D26" s="57"/>
      <c r="E26" s="57"/>
      <c r="F26" s="57"/>
    </row>
    <row r="27" spans="1:6" ht="24.95" customHeight="1" x14ac:dyDescent="0.3">
      <c r="D27" s="57"/>
      <c r="E27" s="57"/>
      <c r="F27" s="57"/>
    </row>
    <row r="28" spans="1:6" ht="24.95" customHeight="1" x14ac:dyDescent="0.3">
      <c r="D28" s="57"/>
      <c r="E28" s="57"/>
      <c r="F28" s="57"/>
    </row>
    <row r="29" spans="1:6" ht="24.95" customHeight="1" x14ac:dyDescent="0.3">
      <c r="D29" s="57"/>
      <c r="E29" s="57"/>
      <c r="F29" s="57"/>
    </row>
  </sheetData>
  <mergeCells count="15">
    <mergeCell ref="B1:F1"/>
    <mergeCell ref="B17:D17"/>
    <mergeCell ref="B23:D23"/>
    <mergeCell ref="D3:E3"/>
    <mergeCell ref="D4:E4"/>
    <mergeCell ref="D5:E5"/>
    <mergeCell ref="D6:E6"/>
    <mergeCell ref="D7:E7"/>
    <mergeCell ref="C13:D13"/>
    <mergeCell ref="C14:D14"/>
    <mergeCell ref="C15:D15"/>
    <mergeCell ref="C16:D16"/>
    <mergeCell ref="C20:D20"/>
    <mergeCell ref="C21:D21"/>
    <mergeCell ref="C22:D22"/>
  </mergeCells>
  <phoneticPr fontId="3" type="noConversion"/>
  <dataValidations count="3">
    <dataValidation allowBlank="1" showInputMessage="1" showErrorMessage="1" prompt="목표 금액 입력" sqref="I4" xr:uid="{603C5686-4105-4010-8E8F-B9C33C1E0745}"/>
    <dataValidation allowBlank="1" showInputMessage="1" showErrorMessage="1" prompt="시작일 입력 년-월-일 순" sqref="I7" xr:uid="{BB5DFAD7-C4AC-4566-94C0-0F07FD5DB25B}"/>
    <dataValidation allowBlank="1" showInputMessage="1" showErrorMessage="1" prompt="목표일 입력 년-월-일 순" sqref="I8" xr:uid="{D2B4C965-5649-46FB-8E1E-B9DE974C28B0}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79" orientation="landscape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F806-EB65-4FFF-A49C-E5A3C93D7E20}">
  <sheetPr codeName="Sheet25">
    <tabColor rgb="FF7030A0"/>
    <pageSetUpPr autoPageBreaks="0" fitToPage="1"/>
  </sheetPr>
  <dimension ref="A1:R46"/>
  <sheetViews>
    <sheetView showGridLines="0" zoomScaleNormal="100" workbookViewId="0">
      <pane ySplit="5" topLeftCell="A6" activePane="bottomLeft" state="frozen"/>
      <selection pane="bottomLeft" activeCell="C6" sqref="C6"/>
    </sheetView>
  </sheetViews>
  <sheetFormatPr defaultColWidth="8.875" defaultRowHeight="11.25" x14ac:dyDescent="0.3"/>
  <cols>
    <col min="1" max="1" width="4.625" style="57" customWidth="1"/>
    <col min="2" max="4" width="6.625" style="56" customWidth="1"/>
    <col min="5" max="8" width="20.625" style="56" customWidth="1"/>
    <col min="9" max="10" width="11.625" style="56" customWidth="1"/>
    <col min="11" max="11" width="4.625" style="57" customWidth="1"/>
    <col min="12" max="12" width="9.25" style="57" customWidth="1"/>
    <col min="13" max="13" width="9.25" style="57" bestFit="1" customWidth="1"/>
    <col min="14" max="16384" width="8.875" style="57"/>
  </cols>
  <sheetData>
    <row r="1" spans="1:18" ht="40.5" customHeight="1" x14ac:dyDescent="0.3">
      <c r="A1" s="58"/>
      <c r="B1" s="590" t="s">
        <v>194</v>
      </c>
      <c r="C1" s="590"/>
      <c r="D1" s="590"/>
      <c r="E1" s="590"/>
      <c r="F1" s="59"/>
      <c r="G1" s="59"/>
      <c r="H1" s="59"/>
      <c r="I1" s="59"/>
      <c r="J1" s="59"/>
      <c r="K1" s="58"/>
    </row>
    <row r="2" spans="1:18" ht="16.5" customHeight="1" thickBot="1" x14ac:dyDescent="0.35"/>
    <row r="3" spans="1:18" ht="24.95" customHeight="1" thickBot="1" x14ac:dyDescent="0.35">
      <c r="I3" s="34" t="s">
        <v>213</v>
      </c>
      <c r="J3" s="289">
        <f>SUM($J$6:$J$100)</f>
        <v>0</v>
      </c>
    </row>
    <row r="4" spans="1:18" ht="16.5" customHeight="1" thickBot="1" x14ac:dyDescent="0.35"/>
    <row r="5" spans="1:18" ht="30" customHeight="1" thickBot="1" x14ac:dyDescent="0.35">
      <c r="B5" s="34" t="s">
        <v>195</v>
      </c>
      <c r="C5" s="293" t="s">
        <v>79</v>
      </c>
      <c r="D5" s="294" t="s">
        <v>82</v>
      </c>
      <c r="E5" s="294" t="s">
        <v>83</v>
      </c>
      <c r="F5" s="294" t="s">
        <v>103</v>
      </c>
      <c r="G5" s="294" t="s">
        <v>104</v>
      </c>
      <c r="H5" s="295" t="s">
        <v>80</v>
      </c>
      <c r="I5" s="294" t="s">
        <v>105</v>
      </c>
      <c r="J5" s="295" t="s">
        <v>88</v>
      </c>
      <c r="L5" s="624"/>
      <c r="M5" s="624"/>
      <c r="N5" s="624"/>
      <c r="O5" s="624"/>
      <c r="P5" s="624"/>
      <c r="Q5" s="624"/>
      <c r="R5" s="624"/>
    </row>
    <row r="6" spans="1:18" ht="24.95" customHeight="1" x14ac:dyDescent="0.3">
      <c r="B6" s="44">
        <v>1</v>
      </c>
      <c r="C6" s="37"/>
      <c r="D6" s="7"/>
      <c r="E6" s="7"/>
      <c r="F6" s="7"/>
      <c r="G6" s="7"/>
      <c r="H6" s="290"/>
      <c r="I6" s="291"/>
      <c r="J6" s="72"/>
      <c r="L6" s="31"/>
      <c r="M6" s="31"/>
      <c r="N6" s="151"/>
      <c r="O6" s="152"/>
      <c r="P6" s="152"/>
      <c r="Q6" s="153"/>
      <c r="R6" s="151"/>
    </row>
    <row r="7" spans="1:18" ht="24.95" customHeight="1" x14ac:dyDescent="0.3">
      <c r="B7" s="44">
        <v>2</v>
      </c>
      <c r="C7" s="37"/>
      <c r="D7" s="7"/>
      <c r="E7" s="7"/>
      <c r="F7" s="7"/>
      <c r="G7" s="7"/>
      <c r="H7" s="290"/>
      <c r="I7" s="291"/>
      <c r="J7" s="72"/>
      <c r="L7" s="31"/>
      <c r="M7" s="31"/>
      <c r="N7" s="151"/>
      <c r="O7" s="152"/>
      <c r="P7" s="152"/>
      <c r="Q7" s="153"/>
      <c r="R7" s="151"/>
    </row>
    <row r="8" spans="1:18" ht="24.95" customHeight="1" x14ac:dyDescent="0.3">
      <c r="B8" s="44">
        <v>3</v>
      </c>
      <c r="C8" s="37"/>
      <c r="D8" s="7"/>
      <c r="E8" s="7"/>
      <c r="F8" s="7"/>
      <c r="G8" s="7"/>
      <c r="H8" s="290"/>
      <c r="I8" s="291"/>
      <c r="J8" s="72"/>
      <c r="L8" s="31"/>
      <c r="M8" s="31"/>
      <c r="N8" s="151"/>
      <c r="O8" s="152"/>
      <c r="P8" s="152"/>
      <c r="Q8" s="153"/>
      <c r="R8" s="151"/>
    </row>
    <row r="9" spans="1:18" ht="24.95" customHeight="1" x14ac:dyDescent="0.3">
      <c r="B9" s="44">
        <v>4</v>
      </c>
      <c r="C9" s="37"/>
      <c r="D9" s="7"/>
      <c r="E9" s="7"/>
      <c r="F9" s="7"/>
      <c r="G9" s="7"/>
      <c r="H9" s="290"/>
      <c r="I9" s="291"/>
      <c r="J9" s="72"/>
      <c r="L9" s="31"/>
      <c r="M9" s="31"/>
      <c r="N9" s="151"/>
      <c r="O9" s="152"/>
      <c r="P9" s="152"/>
      <c r="Q9" s="153"/>
      <c r="R9" s="151"/>
    </row>
    <row r="10" spans="1:18" ht="24.95" customHeight="1" x14ac:dyDescent="0.3">
      <c r="B10" s="44">
        <v>5</v>
      </c>
      <c r="C10" s="37"/>
      <c r="D10" s="7"/>
      <c r="E10" s="7"/>
      <c r="F10" s="292"/>
      <c r="G10" s="7"/>
      <c r="H10" s="290"/>
      <c r="I10" s="291"/>
      <c r="J10" s="72"/>
      <c r="L10" s="31"/>
      <c r="M10" s="31"/>
      <c r="N10" s="151"/>
      <c r="O10" s="152"/>
      <c r="P10" s="152"/>
      <c r="Q10" s="153"/>
      <c r="R10" s="151"/>
    </row>
    <row r="11" spans="1:18" ht="24.95" customHeight="1" x14ac:dyDescent="0.3">
      <c r="B11" s="44">
        <v>6</v>
      </c>
      <c r="C11" s="37"/>
      <c r="D11" s="7"/>
      <c r="E11" s="7"/>
      <c r="F11" s="7"/>
      <c r="G11" s="7"/>
      <c r="H11" s="290"/>
      <c r="I11" s="291"/>
      <c r="J11" s="72"/>
      <c r="L11" s="624"/>
      <c r="M11" s="624"/>
      <c r="N11" s="624"/>
      <c r="O11" s="624"/>
      <c r="P11" s="624"/>
      <c r="Q11" s="624"/>
      <c r="R11" s="154"/>
    </row>
    <row r="12" spans="1:18" ht="24.95" customHeight="1" x14ac:dyDescent="0.3">
      <c r="B12" s="44">
        <v>7</v>
      </c>
      <c r="C12" s="37"/>
      <c r="D12" s="7"/>
      <c r="E12" s="7"/>
      <c r="F12" s="7"/>
      <c r="G12" s="7"/>
      <c r="H12" s="7"/>
      <c r="I12" s="291"/>
      <c r="J12" s="72"/>
      <c r="L12" s="155"/>
    </row>
    <row r="13" spans="1:18" ht="24.95" customHeight="1" x14ac:dyDescent="0.3">
      <c r="B13" s="44">
        <v>8</v>
      </c>
      <c r="C13" s="37"/>
      <c r="D13" s="7"/>
      <c r="E13" s="7"/>
      <c r="F13" s="7"/>
      <c r="G13" s="7"/>
      <c r="H13" s="7"/>
      <c r="I13" s="291"/>
      <c r="J13" s="72"/>
      <c r="M13" s="31"/>
      <c r="N13" s="31"/>
      <c r="O13" s="31"/>
      <c r="P13" s="31"/>
      <c r="Q13" s="31"/>
      <c r="R13" s="31"/>
    </row>
    <row r="14" spans="1:18" ht="24.95" customHeight="1" x14ac:dyDescent="0.3">
      <c r="B14" s="44">
        <v>9</v>
      </c>
      <c r="C14" s="37"/>
      <c r="D14" s="7"/>
      <c r="E14" s="7"/>
      <c r="F14" s="292"/>
      <c r="G14" s="292"/>
      <c r="H14" s="292"/>
      <c r="I14" s="291"/>
      <c r="J14" s="72"/>
      <c r="L14" s="31"/>
      <c r="M14" s="151"/>
      <c r="N14" s="151"/>
      <c r="O14" s="151"/>
      <c r="P14" s="151"/>
      <c r="Q14" s="151"/>
      <c r="R14" s="151"/>
    </row>
    <row r="15" spans="1:18" ht="24.95" customHeight="1" x14ac:dyDescent="0.3">
      <c r="B15" s="44">
        <v>10</v>
      </c>
      <c r="C15" s="37"/>
      <c r="D15" s="7"/>
      <c r="E15" s="7"/>
      <c r="F15" s="7"/>
      <c r="G15" s="7"/>
      <c r="H15" s="7"/>
      <c r="I15" s="291"/>
      <c r="J15" s="72"/>
      <c r="L15" s="31"/>
      <c r="M15" s="151"/>
      <c r="N15" s="151"/>
      <c r="O15" s="151"/>
      <c r="P15" s="151"/>
      <c r="Q15" s="151"/>
      <c r="R15" s="151"/>
    </row>
    <row r="16" spans="1:18" ht="24.95" customHeight="1" x14ac:dyDescent="0.3">
      <c r="B16" s="44">
        <v>11</v>
      </c>
      <c r="C16" s="37"/>
      <c r="D16" s="7"/>
      <c r="E16" s="7"/>
      <c r="F16" s="7"/>
      <c r="G16" s="7"/>
      <c r="H16" s="7"/>
      <c r="I16" s="291"/>
      <c r="J16" s="72"/>
      <c r="L16" s="31"/>
      <c r="M16" s="151"/>
      <c r="N16" s="151"/>
      <c r="O16" s="151"/>
      <c r="P16" s="151"/>
      <c r="Q16" s="151"/>
      <c r="R16" s="151"/>
    </row>
    <row r="17" spans="2:18" ht="24.95" customHeight="1" x14ac:dyDescent="0.3">
      <c r="B17" s="44">
        <v>12</v>
      </c>
      <c r="C17" s="37"/>
      <c r="D17" s="7"/>
      <c r="E17" s="7"/>
      <c r="F17" s="7"/>
      <c r="G17" s="7"/>
      <c r="H17" s="7"/>
      <c r="I17" s="291"/>
      <c r="J17" s="72"/>
      <c r="L17" s="156"/>
      <c r="M17" s="151"/>
      <c r="N17" s="151"/>
      <c r="O17" s="151"/>
      <c r="P17" s="151"/>
      <c r="Q17" s="151"/>
      <c r="R17" s="151"/>
    </row>
    <row r="18" spans="2:18" ht="24.95" customHeight="1" x14ac:dyDescent="0.3">
      <c r="B18" s="44">
        <v>13</v>
      </c>
      <c r="C18" s="37"/>
      <c r="D18" s="7"/>
      <c r="E18" s="7"/>
      <c r="F18" s="7"/>
      <c r="G18" s="7"/>
      <c r="H18" s="7"/>
      <c r="I18" s="291"/>
      <c r="J18" s="72"/>
      <c r="L18" s="31"/>
      <c r="M18" s="151"/>
      <c r="N18" s="151"/>
      <c r="O18" s="151"/>
      <c r="P18" s="151"/>
      <c r="Q18" s="151"/>
      <c r="R18" s="151"/>
    </row>
    <row r="19" spans="2:18" ht="24.95" customHeight="1" x14ac:dyDescent="0.3">
      <c r="B19" s="44">
        <v>14</v>
      </c>
      <c r="C19" s="37"/>
      <c r="D19" s="7"/>
      <c r="E19" s="7"/>
      <c r="F19" s="7"/>
      <c r="G19" s="7"/>
      <c r="H19" s="7"/>
      <c r="I19" s="291"/>
      <c r="J19" s="72"/>
      <c r="L19" s="31"/>
      <c r="M19" s="151"/>
      <c r="N19" s="151"/>
      <c r="O19" s="151"/>
      <c r="P19" s="151"/>
      <c r="Q19" s="151"/>
      <c r="R19" s="151"/>
    </row>
    <row r="20" spans="2:18" ht="24.95" customHeight="1" x14ac:dyDescent="0.3">
      <c r="B20" s="44">
        <v>15</v>
      </c>
      <c r="C20" s="37"/>
      <c r="D20" s="7"/>
      <c r="E20" s="7"/>
      <c r="F20" s="7"/>
      <c r="G20" s="7"/>
      <c r="H20" s="7"/>
      <c r="I20" s="47"/>
      <c r="J20" s="9"/>
      <c r="L20" s="31"/>
      <c r="M20" s="154"/>
      <c r="N20" s="154"/>
      <c r="O20" s="154"/>
      <c r="P20" s="154"/>
      <c r="Q20" s="154"/>
      <c r="R20" s="154"/>
    </row>
    <row r="21" spans="2:18" ht="24.95" customHeight="1" x14ac:dyDescent="0.3">
      <c r="B21" s="44">
        <v>16</v>
      </c>
      <c r="C21" s="37"/>
      <c r="D21" s="7"/>
      <c r="E21" s="7"/>
      <c r="F21" s="7"/>
      <c r="G21" s="7"/>
      <c r="H21" s="7"/>
      <c r="I21" s="291"/>
      <c r="J21" s="72"/>
    </row>
    <row r="22" spans="2:18" ht="24.95" customHeight="1" x14ac:dyDescent="0.3">
      <c r="B22" s="44">
        <v>17</v>
      </c>
      <c r="C22" s="37"/>
      <c r="D22" s="7"/>
      <c r="E22" s="7"/>
      <c r="F22" s="7"/>
      <c r="G22" s="7"/>
      <c r="H22" s="7"/>
      <c r="I22" s="291"/>
      <c r="J22" s="72"/>
    </row>
    <row r="23" spans="2:18" ht="24.95" customHeight="1" x14ac:dyDescent="0.3">
      <c r="B23" s="44">
        <v>18</v>
      </c>
      <c r="C23" s="37"/>
      <c r="D23" s="7"/>
      <c r="E23" s="7"/>
      <c r="F23" s="7"/>
      <c r="G23" s="7"/>
      <c r="H23" s="7"/>
      <c r="I23" s="47"/>
      <c r="J23" s="9"/>
    </row>
    <row r="24" spans="2:18" ht="24.95" customHeight="1" x14ac:dyDescent="0.3">
      <c r="B24" s="44">
        <v>19</v>
      </c>
      <c r="C24" s="37"/>
      <c r="D24" s="7"/>
      <c r="E24" s="7"/>
      <c r="F24" s="7"/>
      <c r="G24" s="7"/>
      <c r="H24" s="7"/>
      <c r="I24" s="47"/>
      <c r="J24" s="72"/>
    </row>
    <row r="25" spans="2:18" ht="24.95" customHeight="1" x14ac:dyDescent="0.3">
      <c r="B25" s="44">
        <v>20</v>
      </c>
      <c r="C25" s="37"/>
      <c r="D25" s="7"/>
      <c r="E25" s="7"/>
      <c r="F25" s="7"/>
      <c r="G25" s="7"/>
      <c r="H25" s="7"/>
      <c r="I25" s="47"/>
      <c r="J25" s="9"/>
    </row>
    <row r="26" spans="2:18" ht="24.95" customHeight="1" x14ac:dyDescent="0.3"/>
    <row r="27" spans="2:18" ht="24.95" customHeight="1" x14ac:dyDescent="0.3"/>
    <row r="28" spans="2:18" ht="24.95" customHeight="1" x14ac:dyDescent="0.3"/>
    <row r="29" spans="2:18" ht="24.95" customHeight="1" x14ac:dyDescent="0.3"/>
    <row r="30" spans="2:18" ht="24.95" customHeight="1" x14ac:dyDescent="0.3"/>
    <row r="31" spans="2:18" ht="24.95" customHeight="1" x14ac:dyDescent="0.3"/>
    <row r="32" spans="2:18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</sheetData>
  <mergeCells count="3">
    <mergeCell ref="L5:R5"/>
    <mergeCell ref="L11:Q11"/>
    <mergeCell ref="B1:E1"/>
  </mergeCells>
  <phoneticPr fontId="3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92EF-B095-4948-9B49-B8A4647C4B78}">
  <sheetPr codeName="Sheet44">
    <tabColor rgb="FF7030A0"/>
    <pageSetUpPr fitToPage="1"/>
  </sheetPr>
  <dimension ref="A1:P581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8.875" defaultRowHeight="16.5" x14ac:dyDescent="0.3"/>
  <cols>
    <col min="1" max="1" width="4.625" style="1" customWidth="1"/>
    <col min="2" max="2" width="9.625" style="138" customWidth="1"/>
    <col min="3" max="3" width="30.625" style="88" customWidth="1"/>
    <col min="4" max="4" width="10.625" style="139" customWidth="1"/>
    <col min="5" max="5" width="10.625" style="64" customWidth="1"/>
    <col min="6" max="6" width="4.625" style="62" customWidth="1"/>
    <col min="7" max="7" width="9.625" style="63" customWidth="1"/>
    <col min="8" max="8" width="30.625" style="77" customWidth="1"/>
    <col min="9" max="9" width="10.625" style="64" customWidth="1"/>
    <col min="10" max="10" width="10.625" style="79" customWidth="1"/>
    <col min="11" max="11" width="4.625" style="64" customWidth="1"/>
    <col min="12" max="12" width="9.625" style="1" customWidth="1"/>
    <col min="13" max="13" width="30.625" style="1" customWidth="1"/>
    <col min="14" max="15" width="10.625" style="1" customWidth="1"/>
    <col min="16" max="16" width="4.625" style="1" customWidth="1"/>
    <col min="17" max="16384" width="8.875" style="1"/>
  </cols>
  <sheetData>
    <row r="1" spans="1:16" ht="40.5" customHeight="1" x14ac:dyDescent="0.3">
      <c r="A1" s="60"/>
      <c r="B1" s="590" t="s">
        <v>218</v>
      </c>
      <c r="C1" s="590"/>
      <c r="D1" s="590"/>
      <c r="E1" s="137"/>
      <c r="F1" s="76"/>
      <c r="G1" s="61"/>
      <c r="H1" s="61"/>
      <c r="I1" s="78"/>
      <c r="J1" s="142"/>
      <c r="K1" s="143"/>
      <c r="L1" s="144"/>
      <c r="M1" s="144"/>
      <c r="N1" s="144"/>
      <c r="O1" s="144"/>
      <c r="P1" s="144"/>
    </row>
    <row r="3" spans="1:16" ht="18" customHeight="1" thickBot="1" x14ac:dyDescent="0.35">
      <c r="B3" s="319" t="s">
        <v>173</v>
      </c>
      <c r="C3" s="107"/>
      <c r="D3" s="324" t="s">
        <v>116</v>
      </c>
      <c r="E3" s="284" t="str">
        <f ca="1">IF(D5="","0",VLOOKUP(TODAY(),$B$5:$E$200,4,TRUE))</f>
        <v>0</v>
      </c>
      <c r="G3" s="140" t="s">
        <v>174</v>
      </c>
      <c r="H3" s="107"/>
      <c r="I3" s="324" t="s">
        <v>172</v>
      </c>
      <c r="J3" s="284" t="str">
        <f ca="1">IF(I5="","0",VLOOKUP(TODAY(),$G$5:$J$200,4,TRUE))</f>
        <v>0</v>
      </c>
      <c r="L3" s="319" t="s">
        <v>175</v>
      </c>
      <c r="M3" s="107"/>
      <c r="N3" s="324" t="s">
        <v>116</v>
      </c>
      <c r="O3" s="284" t="str">
        <f ca="1">IF(N5="","0",VLOOKUP(TODAY(),$L$5:$O$200,4,TRUE))</f>
        <v>0</v>
      </c>
    </row>
    <row r="4" spans="1:16" ht="30" customHeight="1" thickBot="1" x14ac:dyDescent="0.35">
      <c r="B4" s="34" t="s">
        <v>0</v>
      </c>
      <c r="C4" s="35" t="s">
        <v>44</v>
      </c>
      <c r="D4" s="285" t="s">
        <v>2</v>
      </c>
      <c r="E4" s="320" t="s">
        <v>87</v>
      </c>
      <c r="F4" s="53"/>
      <c r="G4" s="34" t="s">
        <v>0</v>
      </c>
      <c r="H4" s="35" t="s">
        <v>44</v>
      </c>
      <c r="I4" s="285" t="s">
        <v>2</v>
      </c>
      <c r="J4" s="320" t="s">
        <v>87</v>
      </c>
      <c r="K4" s="284"/>
      <c r="L4" s="34" t="s">
        <v>0</v>
      </c>
      <c r="M4" s="35" t="s">
        <v>44</v>
      </c>
      <c r="N4" s="285" t="s">
        <v>2</v>
      </c>
      <c r="O4" s="320" t="s">
        <v>87</v>
      </c>
    </row>
    <row r="5" spans="1:16" ht="18" customHeight="1" x14ac:dyDescent="0.3">
      <c r="B5" s="6"/>
      <c r="C5" s="8"/>
      <c r="D5" s="321"/>
      <c r="E5" s="329">
        <f>D5</f>
        <v>0</v>
      </c>
      <c r="F5" s="322"/>
      <c r="G5" s="6"/>
      <c r="H5" s="8"/>
      <c r="I5" s="321"/>
      <c r="J5" s="330">
        <f>I5</f>
        <v>0</v>
      </c>
      <c r="K5" s="284"/>
      <c r="L5" s="10"/>
      <c r="M5" s="12"/>
      <c r="N5" s="323"/>
      <c r="O5" s="329">
        <f>N5</f>
        <v>0</v>
      </c>
    </row>
    <row r="6" spans="1:16" ht="18" customHeight="1" x14ac:dyDescent="0.3">
      <c r="B6" s="6"/>
      <c r="C6" s="8"/>
      <c r="D6" s="321"/>
      <c r="E6" s="330" t="str">
        <f>IF(D6="","",E5+D6)</f>
        <v/>
      </c>
      <c r="F6" s="322"/>
      <c r="G6" s="6"/>
      <c r="H6" s="8"/>
      <c r="I6" s="321"/>
      <c r="J6" s="330" t="str">
        <f>IF(I6="","",J5+I6)</f>
        <v/>
      </c>
      <c r="K6" s="284"/>
      <c r="L6" s="6"/>
      <c r="M6" s="8"/>
      <c r="N6" s="321"/>
      <c r="O6" s="330" t="str">
        <f>IF(N6="","",O5+N6)</f>
        <v/>
      </c>
    </row>
    <row r="7" spans="1:16" ht="18" customHeight="1" x14ac:dyDescent="0.3">
      <c r="B7" s="6"/>
      <c r="C7" s="8"/>
      <c r="D7" s="321"/>
      <c r="E7" s="330" t="str">
        <f t="shared" ref="E7:E44" si="0">IF(D7="","",E6+D7)</f>
        <v/>
      </c>
      <c r="F7" s="322"/>
      <c r="G7" s="6"/>
      <c r="H7" s="8"/>
      <c r="I7" s="321"/>
      <c r="J7" s="330" t="str">
        <f t="shared" ref="J7:J44" si="1">IF(I7="","",J6+I7)</f>
        <v/>
      </c>
      <c r="K7" s="284"/>
      <c r="L7" s="6"/>
      <c r="M7" s="8"/>
      <c r="N7" s="321"/>
      <c r="O7" s="330" t="str">
        <f t="shared" ref="O7:O44" si="2">IF(N7="","",O6+N7)</f>
        <v/>
      </c>
    </row>
    <row r="8" spans="1:16" ht="18" customHeight="1" x14ac:dyDescent="0.3">
      <c r="B8" s="6"/>
      <c r="C8" s="8"/>
      <c r="D8" s="321"/>
      <c r="E8" s="330" t="str">
        <f t="shared" si="0"/>
        <v/>
      </c>
      <c r="F8" s="322"/>
      <c r="G8" s="6"/>
      <c r="H8" s="8"/>
      <c r="I8" s="321"/>
      <c r="J8" s="330" t="str">
        <f t="shared" si="1"/>
        <v/>
      </c>
      <c r="K8" s="284"/>
      <c r="L8" s="6"/>
      <c r="M8" s="8"/>
      <c r="N8" s="321"/>
      <c r="O8" s="330" t="str">
        <f t="shared" si="2"/>
        <v/>
      </c>
    </row>
    <row r="9" spans="1:16" ht="18" customHeight="1" x14ac:dyDescent="0.3">
      <c r="B9" s="6"/>
      <c r="C9" s="8"/>
      <c r="D9" s="321"/>
      <c r="E9" s="330" t="str">
        <f t="shared" si="0"/>
        <v/>
      </c>
      <c r="F9" s="322"/>
      <c r="G9" s="6"/>
      <c r="H9" s="8"/>
      <c r="I9" s="321"/>
      <c r="J9" s="330" t="str">
        <f t="shared" si="1"/>
        <v/>
      </c>
      <c r="K9" s="284"/>
      <c r="L9" s="6"/>
      <c r="M9" s="8"/>
      <c r="N9" s="321"/>
      <c r="O9" s="330" t="str">
        <f t="shared" si="2"/>
        <v/>
      </c>
    </row>
    <row r="10" spans="1:16" ht="18" customHeight="1" x14ac:dyDescent="0.3">
      <c r="B10" s="6"/>
      <c r="C10" s="8"/>
      <c r="D10" s="321"/>
      <c r="E10" s="330" t="str">
        <f t="shared" si="0"/>
        <v/>
      </c>
      <c r="F10" s="322"/>
      <c r="G10" s="6"/>
      <c r="H10" s="8"/>
      <c r="I10" s="321"/>
      <c r="J10" s="330" t="str">
        <f t="shared" si="1"/>
        <v/>
      </c>
      <c r="K10" s="284"/>
      <c r="L10" s="6"/>
      <c r="M10" s="8"/>
      <c r="N10" s="321"/>
      <c r="O10" s="330" t="str">
        <f t="shared" si="2"/>
        <v/>
      </c>
    </row>
    <row r="11" spans="1:16" ht="18" customHeight="1" x14ac:dyDescent="0.3">
      <c r="B11" s="6"/>
      <c r="C11" s="8"/>
      <c r="D11" s="321"/>
      <c r="E11" s="330" t="str">
        <f t="shared" si="0"/>
        <v/>
      </c>
      <c r="F11" s="322"/>
      <c r="G11" s="6"/>
      <c r="H11" s="8"/>
      <c r="I11" s="321"/>
      <c r="J11" s="330" t="str">
        <f t="shared" si="1"/>
        <v/>
      </c>
      <c r="K11" s="284"/>
      <c r="L11" s="6"/>
      <c r="M11" s="8"/>
      <c r="N11" s="321"/>
      <c r="O11" s="330" t="str">
        <f t="shared" si="2"/>
        <v/>
      </c>
    </row>
    <row r="12" spans="1:16" ht="18" customHeight="1" x14ac:dyDescent="0.3">
      <c r="B12" s="6"/>
      <c r="C12" s="8"/>
      <c r="D12" s="321"/>
      <c r="E12" s="330" t="str">
        <f t="shared" si="0"/>
        <v/>
      </c>
      <c r="F12" s="322"/>
      <c r="G12" s="6"/>
      <c r="H12" s="8"/>
      <c r="I12" s="321"/>
      <c r="J12" s="330" t="str">
        <f t="shared" si="1"/>
        <v/>
      </c>
      <c r="K12" s="284"/>
      <c r="L12" s="6"/>
      <c r="M12" s="8"/>
      <c r="N12" s="321"/>
      <c r="O12" s="330" t="str">
        <f t="shared" si="2"/>
        <v/>
      </c>
    </row>
    <row r="13" spans="1:16" ht="18" customHeight="1" x14ac:dyDescent="0.3">
      <c r="B13" s="6"/>
      <c r="C13" s="8"/>
      <c r="D13" s="321"/>
      <c r="E13" s="330" t="str">
        <f t="shared" si="0"/>
        <v/>
      </c>
      <c r="F13" s="322"/>
      <c r="G13" s="6"/>
      <c r="H13" s="8"/>
      <c r="I13" s="321"/>
      <c r="J13" s="330" t="str">
        <f t="shared" si="1"/>
        <v/>
      </c>
      <c r="K13" s="284"/>
      <c r="L13" s="6"/>
      <c r="M13" s="8"/>
      <c r="N13" s="321"/>
      <c r="O13" s="330" t="str">
        <f t="shared" si="2"/>
        <v/>
      </c>
    </row>
    <row r="14" spans="1:16" ht="18" customHeight="1" x14ac:dyDescent="0.3">
      <c r="B14" s="6"/>
      <c r="C14" s="8"/>
      <c r="D14" s="321"/>
      <c r="E14" s="330" t="str">
        <f t="shared" si="0"/>
        <v/>
      </c>
      <c r="F14" s="322"/>
      <c r="G14" s="6"/>
      <c r="H14" s="8"/>
      <c r="I14" s="321"/>
      <c r="J14" s="330" t="str">
        <f t="shared" si="1"/>
        <v/>
      </c>
      <c r="K14" s="284"/>
      <c r="L14" s="6"/>
      <c r="M14" s="8"/>
      <c r="N14" s="321"/>
      <c r="O14" s="330" t="str">
        <f t="shared" si="2"/>
        <v/>
      </c>
    </row>
    <row r="15" spans="1:16" ht="18" customHeight="1" x14ac:dyDescent="0.3">
      <c r="B15" s="6"/>
      <c r="C15" s="8"/>
      <c r="D15" s="321"/>
      <c r="E15" s="330" t="str">
        <f t="shared" si="0"/>
        <v/>
      </c>
      <c r="F15" s="322"/>
      <c r="G15" s="6"/>
      <c r="H15" s="8"/>
      <c r="I15" s="321"/>
      <c r="J15" s="330" t="str">
        <f t="shared" si="1"/>
        <v/>
      </c>
      <c r="K15" s="50"/>
      <c r="L15" s="6"/>
      <c r="M15" s="8"/>
      <c r="N15" s="321"/>
      <c r="O15" s="330" t="str">
        <f t="shared" si="2"/>
        <v/>
      </c>
    </row>
    <row r="16" spans="1:16" ht="18" customHeight="1" x14ac:dyDescent="0.3">
      <c r="B16" s="6"/>
      <c r="C16" s="8"/>
      <c r="D16" s="321"/>
      <c r="E16" s="330" t="str">
        <f t="shared" si="0"/>
        <v/>
      </c>
      <c r="F16" s="322"/>
      <c r="G16" s="6"/>
      <c r="H16" s="8"/>
      <c r="I16" s="321"/>
      <c r="J16" s="330" t="str">
        <f t="shared" si="1"/>
        <v/>
      </c>
      <c r="K16" s="50"/>
      <c r="L16" s="6"/>
      <c r="M16" s="8"/>
      <c r="N16" s="321"/>
      <c r="O16" s="330" t="str">
        <f t="shared" si="2"/>
        <v/>
      </c>
    </row>
    <row r="17" spans="2:15" ht="18" customHeight="1" x14ac:dyDescent="0.3">
      <c r="B17" s="6"/>
      <c r="C17" s="8"/>
      <c r="D17" s="321"/>
      <c r="E17" s="330" t="str">
        <f t="shared" si="0"/>
        <v/>
      </c>
      <c r="F17" s="322"/>
      <c r="G17" s="6"/>
      <c r="H17" s="8"/>
      <c r="I17" s="321"/>
      <c r="J17" s="330" t="str">
        <f t="shared" si="1"/>
        <v/>
      </c>
      <c r="K17" s="50"/>
      <c r="L17" s="6"/>
      <c r="M17" s="8"/>
      <c r="N17" s="321"/>
      <c r="O17" s="330" t="str">
        <f t="shared" si="2"/>
        <v/>
      </c>
    </row>
    <row r="18" spans="2:15" ht="18" customHeight="1" x14ac:dyDescent="0.3">
      <c r="B18" s="6"/>
      <c r="C18" s="8"/>
      <c r="D18" s="321"/>
      <c r="E18" s="330" t="str">
        <f t="shared" si="0"/>
        <v/>
      </c>
      <c r="F18" s="322"/>
      <c r="G18" s="6"/>
      <c r="H18" s="8"/>
      <c r="I18" s="321"/>
      <c r="J18" s="330" t="str">
        <f t="shared" si="1"/>
        <v/>
      </c>
      <c r="K18" s="50"/>
      <c r="L18" s="6"/>
      <c r="M18" s="8"/>
      <c r="N18" s="321"/>
      <c r="O18" s="330" t="str">
        <f t="shared" si="2"/>
        <v/>
      </c>
    </row>
    <row r="19" spans="2:15" ht="18" customHeight="1" x14ac:dyDescent="0.3">
      <c r="B19" s="6"/>
      <c r="C19" s="8"/>
      <c r="D19" s="321"/>
      <c r="E19" s="330" t="str">
        <f t="shared" si="0"/>
        <v/>
      </c>
      <c r="F19" s="322"/>
      <c r="G19" s="6"/>
      <c r="H19" s="8"/>
      <c r="I19" s="321"/>
      <c r="J19" s="330" t="str">
        <f t="shared" si="1"/>
        <v/>
      </c>
      <c r="K19" s="50"/>
      <c r="L19" s="6"/>
      <c r="M19" s="8"/>
      <c r="N19" s="321"/>
      <c r="O19" s="330" t="str">
        <f t="shared" si="2"/>
        <v/>
      </c>
    </row>
    <row r="20" spans="2:15" ht="18" customHeight="1" x14ac:dyDescent="0.3">
      <c r="B20" s="6"/>
      <c r="C20" s="8"/>
      <c r="D20" s="321"/>
      <c r="E20" s="330" t="str">
        <f t="shared" si="0"/>
        <v/>
      </c>
      <c r="F20" s="322"/>
      <c r="G20" s="6"/>
      <c r="H20" s="8"/>
      <c r="I20" s="321"/>
      <c r="J20" s="330" t="str">
        <f t="shared" si="1"/>
        <v/>
      </c>
      <c r="K20" s="50"/>
      <c r="L20" s="6"/>
      <c r="M20" s="8"/>
      <c r="N20" s="321"/>
      <c r="O20" s="330" t="str">
        <f t="shared" si="2"/>
        <v/>
      </c>
    </row>
    <row r="21" spans="2:15" ht="18" customHeight="1" x14ac:dyDescent="0.3">
      <c r="B21" s="6"/>
      <c r="C21" s="8"/>
      <c r="D21" s="321"/>
      <c r="E21" s="330" t="str">
        <f t="shared" si="0"/>
        <v/>
      </c>
      <c r="F21" s="322"/>
      <c r="G21" s="6"/>
      <c r="H21" s="8"/>
      <c r="I21" s="321"/>
      <c r="J21" s="330" t="str">
        <f t="shared" si="1"/>
        <v/>
      </c>
      <c r="K21" s="50"/>
      <c r="L21" s="6"/>
      <c r="M21" s="8"/>
      <c r="N21" s="321"/>
      <c r="O21" s="330" t="str">
        <f t="shared" si="2"/>
        <v/>
      </c>
    </row>
    <row r="22" spans="2:15" ht="18" customHeight="1" x14ac:dyDescent="0.3">
      <c r="B22" s="6"/>
      <c r="C22" s="8"/>
      <c r="D22" s="321"/>
      <c r="E22" s="330" t="str">
        <f t="shared" si="0"/>
        <v/>
      </c>
      <c r="F22" s="322"/>
      <c r="G22" s="6"/>
      <c r="H22" s="8"/>
      <c r="I22" s="321"/>
      <c r="J22" s="330" t="str">
        <f t="shared" si="1"/>
        <v/>
      </c>
      <c r="K22" s="50"/>
      <c r="L22" s="6"/>
      <c r="M22" s="8"/>
      <c r="N22" s="321"/>
      <c r="O22" s="330" t="str">
        <f t="shared" si="2"/>
        <v/>
      </c>
    </row>
    <row r="23" spans="2:15" ht="18" customHeight="1" x14ac:dyDescent="0.3">
      <c r="B23" s="6"/>
      <c r="C23" s="8"/>
      <c r="D23" s="321"/>
      <c r="E23" s="330" t="str">
        <f t="shared" si="0"/>
        <v/>
      </c>
      <c r="F23" s="322"/>
      <c r="G23" s="6"/>
      <c r="H23" s="8"/>
      <c r="I23" s="321"/>
      <c r="J23" s="330" t="str">
        <f t="shared" si="1"/>
        <v/>
      </c>
      <c r="K23" s="50"/>
      <c r="L23" s="6"/>
      <c r="M23" s="8"/>
      <c r="N23" s="321"/>
      <c r="O23" s="330" t="str">
        <f t="shared" si="2"/>
        <v/>
      </c>
    </row>
    <row r="24" spans="2:15" ht="18" customHeight="1" x14ac:dyDescent="0.3">
      <c r="B24" s="6"/>
      <c r="C24" s="8"/>
      <c r="D24" s="321"/>
      <c r="E24" s="330" t="str">
        <f t="shared" si="0"/>
        <v/>
      </c>
      <c r="F24" s="322"/>
      <c r="G24" s="6"/>
      <c r="H24" s="8"/>
      <c r="I24" s="321"/>
      <c r="J24" s="330" t="str">
        <f t="shared" si="1"/>
        <v/>
      </c>
      <c r="K24" s="50"/>
      <c r="L24" s="6"/>
      <c r="M24" s="8"/>
      <c r="N24" s="321"/>
      <c r="O24" s="330" t="str">
        <f t="shared" si="2"/>
        <v/>
      </c>
    </row>
    <row r="25" spans="2:15" ht="18" customHeight="1" x14ac:dyDescent="0.3">
      <c r="B25" s="6"/>
      <c r="C25" s="8"/>
      <c r="D25" s="321"/>
      <c r="E25" s="330" t="str">
        <f t="shared" si="0"/>
        <v/>
      </c>
      <c r="F25" s="322"/>
      <c r="G25" s="6"/>
      <c r="H25" s="8"/>
      <c r="I25" s="321"/>
      <c r="J25" s="330" t="str">
        <f t="shared" si="1"/>
        <v/>
      </c>
      <c r="K25" s="50"/>
      <c r="L25" s="6"/>
      <c r="M25" s="8"/>
      <c r="N25" s="321"/>
      <c r="O25" s="330" t="str">
        <f t="shared" si="2"/>
        <v/>
      </c>
    </row>
    <row r="26" spans="2:15" ht="18" customHeight="1" x14ac:dyDescent="0.3">
      <c r="B26" s="6"/>
      <c r="C26" s="8"/>
      <c r="D26" s="321"/>
      <c r="E26" s="330" t="str">
        <f t="shared" si="0"/>
        <v/>
      </c>
      <c r="F26" s="322"/>
      <c r="G26" s="6"/>
      <c r="H26" s="8"/>
      <c r="I26" s="321"/>
      <c r="J26" s="330" t="str">
        <f t="shared" si="1"/>
        <v/>
      </c>
      <c r="K26" s="50"/>
      <c r="L26" s="6"/>
      <c r="M26" s="8"/>
      <c r="N26" s="321"/>
      <c r="O26" s="330" t="str">
        <f t="shared" si="2"/>
        <v/>
      </c>
    </row>
    <row r="27" spans="2:15" ht="18" customHeight="1" x14ac:dyDescent="0.3">
      <c r="B27" s="6"/>
      <c r="C27" s="8"/>
      <c r="D27" s="321"/>
      <c r="E27" s="330" t="str">
        <f t="shared" si="0"/>
        <v/>
      </c>
      <c r="F27" s="322"/>
      <c r="G27" s="6"/>
      <c r="H27" s="8"/>
      <c r="I27" s="321"/>
      <c r="J27" s="330" t="str">
        <f t="shared" si="1"/>
        <v/>
      </c>
      <c r="K27" s="50"/>
      <c r="L27" s="6"/>
      <c r="M27" s="8"/>
      <c r="N27" s="321"/>
      <c r="O27" s="330" t="str">
        <f t="shared" si="2"/>
        <v/>
      </c>
    </row>
    <row r="28" spans="2:15" ht="18" customHeight="1" x14ac:dyDescent="0.3">
      <c r="B28" s="6"/>
      <c r="C28" s="8"/>
      <c r="D28" s="321"/>
      <c r="E28" s="330" t="str">
        <f t="shared" si="0"/>
        <v/>
      </c>
      <c r="F28" s="322"/>
      <c r="G28" s="6"/>
      <c r="H28" s="8"/>
      <c r="I28" s="321"/>
      <c r="J28" s="330" t="str">
        <f t="shared" si="1"/>
        <v/>
      </c>
      <c r="K28" s="50"/>
      <c r="L28" s="6"/>
      <c r="M28" s="8"/>
      <c r="N28" s="321"/>
      <c r="O28" s="330" t="str">
        <f t="shared" si="2"/>
        <v/>
      </c>
    </row>
    <row r="29" spans="2:15" ht="18" customHeight="1" x14ac:dyDescent="0.3">
      <c r="B29" s="6"/>
      <c r="C29" s="8"/>
      <c r="D29" s="321"/>
      <c r="E29" s="330" t="str">
        <f t="shared" si="0"/>
        <v/>
      </c>
      <c r="F29" s="322"/>
      <c r="G29" s="6"/>
      <c r="H29" s="8"/>
      <c r="I29" s="321"/>
      <c r="J29" s="330" t="str">
        <f t="shared" si="1"/>
        <v/>
      </c>
      <c r="K29" s="50"/>
      <c r="L29" s="6"/>
      <c r="M29" s="8"/>
      <c r="N29" s="321"/>
      <c r="O29" s="330" t="str">
        <f t="shared" si="2"/>
        <v/>
      </c>
    </row>
    <row r="30" spans="2:15" ht="18" customHeight="1" x14ac:dyDescent="0.3">
      <c r="B30" s="6"/>
      <c r="C30" s="8"/>
      <c r="D30" s="321"/>
      <c r="E30" s="330" t="str">
        <f t="shared" si="0"/>
        <v/>
      </c>
      <c r="F30" s="322"/>
      <c r="G30" s="6"/>
      <c r="H30" s="8"/>
      <c r="I30" s="321"/>
      <c r="J30" s="330" t="str">
        <f t="shared" si="1"/>
        <v/>
      </c>
      <c r="K30" s="50"/>
      <c r="L30" s="6"/>
      <c r="M30" s="8"/>
      <c r="N30" s="321"/>
      <c r="O30" s="330" t="str">
        <f t="shared" si="2"/>
        <v/>
      </c>
    </row>
    <row r="31" spans="2:15" ht="18" customHeight="1" x14ac:dyDescent="0.3">
      <c r="B31" s="6"/>
      <c r="C31" s="8"/>
      <c r="D31" s="321"/>
      <c r="E31" s="330" t="str">
        <f t="shared" si="0"/>
        <v/>
      </c>
      <c r="F31" s="322"/>
      <c r="G31" s="6"/>
      <c r="H31" s="8"/>
      <c r="I31" s="321"/>
      <c r="J31" s="330" t="str">
        <f t="shared" si="1"/>
        <v/>
      </c>
      <c r="K31" s="50"/>
      <c r="L31" s="6"/>
      <c r="M31" s="8"/>
      <c r="N31" s="321"/>
      <c r="O31" s="330" t="str">
        <f t="shared" si="2"/>
        <v/>
      </c>
    </row>
    <row r="32" spans="2:15" ht="18" customHeight="1" x14ac:dyDescent="0.3">
      <c r="B32" s="6"/>
      <c r="C32" s="8"/>
      <c r="D32" s="321"/>
      <c r="E32" s="330" t="str">
        <f t="shared" si="0"/>
        <v/>
      </c>
      <c r="F32" s="322"/>
      <c r="G32" s="6"/>
      <c r="H32" s="8"/>
      <c r="I32" s="321"/>
      <c r="J32" s="330" t="str">
        <f t="shared" si="1"/>
        <v/>
      </c>
      <c r="K32" s="50"/>
      <c r="L32" s="6"/>
      <c r="M32" s="8"/>
      <c r="N32" s="321"/>
      <c r="O32" s="330" t="str">
        <f t="shared" si="2"/>
        <v/>
      </c>
    </row>
    <row r="33" spans="2:15" ht="18" customHeight="1" x14ac:dyDescent="0.3">
      <c r="B33" s="6"/>
      <c r="C33" s="8"/>
      <c r="D33" s="321"/>
      <c r="E33" s="330" t="str">
        <f t="shared" si="0"/>
        <v/>
      </c>
      <c r="F33" s="322"/>
      <c r="G33" s="6"/>
      <c r="H33" s="8"/>
      <c r="I33" s="321"/>
      <c r="J33" s="330" t="str">
        <f t="shared" si="1"/>
        <v/>
      </c>
      <c r="K33" s="50"/>
      <c r="L33" s="6"/>
      <c r="M33" s="8"/>
      <c r="N33" s="321"/>
      <c r="O33" s="330" t="str">
        <f t="shared" si="2"/>
        <v/>
      </c>
    </row>
    <row r="34" spans="2:15" ht="18" customHeight="1" x14ac:dyDescent="0.3">
      <c r="B34" s="6"/>
      <c r="C34" s="8"/>
      <c r="D34" s="321"/>
      <c r="E34" s="330" t="str">
        <f t="shared" si="0"/>
        <v/>
      </c>
      <c r="F34" s="322"/>
      <c r="G34" s="6"/>
      <c r="H34" s="8"/>
      <c r="I34" s="321"/>
      <c r="J34" s="330" t="str">
        <f t="shared" si="1"/>
        <v/>
      </c>
      <c r="K34" s="50"/>
      <c r="L34" s="6"/>
      <c r="M34" s="8"/>
      <c r="N34" s="321"/>
      <c r="O34" s="330" t="str">
        <f t="shared" si="2"/>
        <v/>
      </c>
    </row>
    <row r="35" spans="2:15" ht="18" customHeight="1" x14ac:dyDescent="0.3">
      <c r="B35" s="6"/>
      <c r="C35" s="8"/>
      <c r="D35" s="321"/>
      <c r="E35" s="330" t="str">
        <f t="shared" si="0"/>
        <v/>
      </c>
      <c r="F35" s="322"/>
      <c r="G35" s="6"/>
      <c r="H35" s="8"/>
      <c r="I35" s="321"/>
      <c r="J35" s="330" t="str">
        <f t="shared" si="1"/>
        <v/>
      </c>
      <c r="K35" s="50"/>
      <c r="L35" s="6"/>
      <c r="M35" s="8"/>
      <c r="N35" s="321"/>
      <c r="O35" s="330" t="str">
        <f t="shared" si="2"/>
        <v/>
      </c>
    </row>
    <row r="36" spans="2:15" ht="18" customHeight="1" x14ac:dyDescent="0.3">
      <c r="B36" s="6"/>
      <c r="C36" s="8"/>
      <c r="D36" s="321"/>
      <c r="E36" s="330" t="str">
        <f t="shared" si="0"/>
        <v/>
      </c>
      <c r="F36" s="322"/>
      <c r="G36" s="6"/>
      <c r="H36" s="8"/>
      <c r="I36" s="321"/>
      <c r="J36" s="330" t="str">
        <f t="shared" si="1"/>
        <v/>
      </c>
      <c r="K36" s="50"/>
      <c r="L36" s="6"/>
      <c r="M36" s="8"/>
      <c r="N36" s="321"/>
      <c r="O36" s="330" t="str">
        <f t="shared" si="2"/>
        <v/>
      </c>
    </row>
    <row r="37" spans="2:15" ht="18" customHeight="1" x14ac:dyDescent="0.3">
      <c r="B37" s="6"/>
      <c r="C37" s="8"/>
      <c r="D37" s="321"/>
      <c r="E37" s="330" t="str">
        <f t="shared" si="0"/>
        <v/>
      </c>
      <c r="F37" s="322"/>
      <c r="G37" s="6"/>
      <c r="H37" s="8"/>
      <c r="I37" s="321"/>
      <c r="J37" s="330" t="str">
        <f t="shared" si="1"/>
        <v/>
      </c>
      <c r="K37" s="50"/>
      <c r="L37" s="6"/>
      <c r="M37" s="8"/>
      <c r="N37" s="321"/>
      <c r="O37" s="330" t="str">
        <f t="shared" si="2"/>
        <v/>
      </c>
    </row>
    <row r="38" spans="2:15" ht="18" customHeight="1" x14ac:dyDescent="0.3">
      <c r="B38" s="6"/>
      <c r="C38" s="8"/>
      <c r="D38" s="321"/>
      <c r="E38" s="330" t="str">
        <f t="shared" si="0"/>
        <v/>
      </c>
      <c r="F38" s="322"/>
      <c r="G38" s="6"/>
      <c r="H38" s="8"/>
      <c r="I38" s="321"/>
      <c r="J38" s="330" t="str">
        <f t="shared" si="1"/>
        <v/>
      </c>
      <c r="K38" s="50"/>
      <c r="L38" s="6"/>
      <c r="M38" s="8"/>
      <c r="N38" s="321"/>
      <c r="O38" s="330" t="str">
        <f t="shared" si="2"/>
        <v/>
      </c>
    </row>
    <row r="39" spans="2:15" ht="18" customHeight="1" x14ac:dyDescent="0.3">
      <c r="B39" s="6"/>
      <c r="C39" s="8"/>
      <c r="D39" s="321"/>
      <c r="E39" s="330" t="str">
        <f t="shared" si="0"/>
        <v/>
      </c>
      <c r="F39" s="322"/>
      <c r="G39" s="6"/>
      <c r="H39" s="8"/>
      <c r="I39" s="321"/>
      <c r="J39" s="330" t="str">
        <f t="shared" si="1"/>
        <v/>
      </c>
      <c r="K39" s="50"/>
      <c r="L39" s="6"/>
      <c r="M39" s="8"/>
      <c r="N39" s="321"/>
      <c r="O39" s="330" t="str">
        <f t="shared" si="2"/>
        <v/>
      </c>
    </row>
    <row r="40" spans="2:15" ht="18" customHeight="1" x14ac:dyDescent="0.3">
      <c r="B40" s="6"/>
      <c r="C40" s="8"/>
      <c r="D40" s="321"/>
      <c r="E40" s="330" t="str">
        <f t="shared" si="0"/>
        <v/>
      </c>
      <c r="F40" s="322"/>
      <c r="G40" s="6"/>
      <c r="H40" s="8"/>
      <c r="I40" s="321"/>
      <c r="J40" s="330" t="str">
        <f t="shared" si="1"/>
        <v/>
      </c>
      <c r="K40" s="50"/>
      <c r="L40" s="6"/>
      <c r="M40" s="8"/>
      <c r="N40" s="321"/>
      <c r="O40" s="330" t="str">
        <f t="shared" si="2"/>
        <v/>
      </c>
    </row>
    <row r="41" spans="2:15" ht="18" customHeight="1" x14ac:dyDescent="0.3">
      <c r="B41" s="6"/>
      <c r="C41" s="8"/>
      <c r="D41" s="321"/>
      <c r="E41" s="330" t="str">
        <f t="shared" si="0"/>
        <v/>
      </c>
      <c r="F41" s="322"/>
      <c r="G41" s="6"/>
      <c r="H41" s="8"/>
      <c r="I41" s="321"/>
      <c r="J41" s="330" t="str">
        <f t="shared" si="1"/>
        <v/>
      </c>
      <c r="K41" s="50"/>
      <c r="L41" s="6"/>
      <c r="M41" s="8"/>
      <c r="N41" s="321"/>
      <c r="O41" s="330" t="str">
        <f t="shared" si="2"/>
        <v/>
      </c>
    </row>
    <row r="42" spans="2:15" ht="18" customHeight="1" x14ac:dyDescent="0.3">
      <c r="B42" s="6"/>
      <c r="C42" s="8"/>
      <c r="D42" s="321"/>
      <c r="E42" s="330" t="str">
        <f t="shared" si="0"/>
        <v/>
      </c>
      <c r="F42" s="322"/>
      <c r="G42" s="6"/>
      <c r="H42" s="8"/>
      <c r="I42" s="321"/>
      <c r="J42" s="330" t="str">
        <f t="shared" si="1"/>
        <v/>
      </c>
      <c r="K42" s="50"/>
      <c r="L42" s="6"/>
      <c r="M42" s="8"/>
      <c r="N42" s="321"/>
      <c r="O42" s="330" t="str">
        <f t="shared" si="2"/>
        <v/>
      </c>
    </row>
    <row r="43" spans="2:15" ht="18" customHeight="1" x14ac:dyDescent="0.3">
      <c r="B43" s="6"/>
      <c r="C43" s="8"/>
      <c r="D43" s="321"/>
      <c r="E43" s="330" t="str">
        <f t="shared" si="0"/>
        <v/>
      </c>
      <c r="F43" s="322"/>
      <c r="G43" s="6"/>
      <c r="H43" s="8"/>
      <c r="I43" s="321"/>
      <c r="J43" s="330" t="str">
        <f t="shared" si="1"/>
        <v/>
      </c>
      <c r="K43" s="50"/>
      <c r="L43" s="6"/>
      <c r="M43" s="8"/>
      <c r="N43" s="321"/>
      <c r="O43" s="330" t="str">
        <f t="shared" si="2"/>
        <v/>
      </c>
    </row>
    <row r="44" spans="2:15" ht="18" customHeight="1" x14ac:dyDescent="0.3">
      <c r="B44" s="6"/>
      <c r="C44" s="8"/>
      <c r="D44" s="321"/>
      <c r="E44" s="330" t="str">
        <f t="shared" si="0"/>
        <v/>
      </c>
      <c r="F44" s="322"/>
      <c r="G44" s="6"/>
      <c r="H44" s="8"/>
      <c r="I44" s="321"/>
      <c r="J44" s="330" t="str">
        <f t="shared" si="1"/>
        <v/>
      </c>
      <c r="K44" s="50"/>
      <c r="L44" s="6"/>
      <c r="M44" s="8"/>
      <c r="N44" s="321"/>
      <c r="O44" s="330" t="str">
        <f t="shared" si="2"/>
        <v/>
      </c>
    </row>
    <row r="45" spans="2:15" ht="18" customHeight="1" x14ac:dyDescent="0.3">
      <c r="D45" s="251"/>
      <c r="E45" s="252"/>
      <c r="F45" s="63"/>
      <c r="G45" s="77"/>
      <c r="H45" s="64"/>
      <c r="I45" s="79"/>
      <c r="J45" s="136"/>
      <c r="K45" s="43"/>
    </row>
    <row r="46" spans="2:15" ht="18" customHeight="1" x14ac:dyDescent="0.3">
      <c r="D46" s="251"/>
      <c r="E46" s="252"/>
      <c r="F46" s="63"/>
      <c r="G46" s="77"/>
      <c r="H46" s="64"/>
      <c r="J46" s="136"/>
      <c r="K46" s="43"/>
    </row>
    <row r="47" spans="2:15" ht="18" customHeight="1" x14ac:dyDescent="0.3">
      <c r="D47" s="251"/>
      <c r="E47" s="252"/>
      <c r="F47" s="63"/>
      <c r="G47" s="77"/>
      <c r="H47" s="64"/>
      <c r="I47" s="79"/>
      <c r="J47" s="136"/>
      <c r="K47" s="43"/>
    </row>
    <row r="48" spans="2:15" ht="18" customHeight="1" x14ac:dyDescent="0.3">
      <c r="D48" s="251"/>
      <c r="E48" s="252"/>
      <c r="F48" s="63"/>
      <c r="G48" s="77"/>
      <c r="H48" s="64"/>
      <c r="I48" s="79"/>
      <c r="J48" s="136"/>
      <c r="K48" s="43"/>
    </row>
    <row r="49" spans="4:11" ht="18" customHeight="1" x14ac:dyDescent="0.3">
      <c r="D49" s="251"/>
      <c r="E49" s="252"/>
      <c r="F49" s="1"/>
      <c r="G49" s="1"/>
      <c r="H49" s="1"/>
      <c r="I49" s="1"/>
      <c r="J49" s="1"/>
      <c r="K49" s="1"/>
    </row>
    <row r="50" spans="4:11" ht="18" customHeight="1" x14ac:dyDescent="0.3">
      <c r="D50" s="251"/>
      <c r="E50" s="252"/>
      <c r="F50" s="1"/>
      <c r="G50" s="1"/>
      <c r="H50" s="1"/>
      <c r="I50" s="1"/>
      <c r="J50" s="1"/>
      <c r="K50" s="1"/>
    </row>
    <row r="51" spans="4:11" ht="18" customHeight="1" x14ac:dyDescent="0.3">
      <c r="D51" s="251"/>
      <c r="E51" s="252"/>
      <c r="F51" s="1"/>
      <c r="G51" s="1"/>
      <c r="H51" s="1"/>
      <c r="I51" s="1"/>
      <c r="J51" s="1"/>
      <c r="K51" s="1"/>
    </row>
    <row r="52" spans="4:11" ht="18" customHeight="1" x14ac:dyDescent="0.3">
      <c r="D52" s="251"/>
      <c r="E52" s="252"/>
      <c r="F52" s="1"/>
      <c r="G52" s="1"/>
      <c r="H52" s="1"/>
      <c r="I52" s="1"/>
      <c r="J52" s="1"/>
      <c r="K52" s="1"/>
    </row>
    <row r="53" spans="4:11" ht="18" customHeight="1" x14ac:dyDescent="0.3">
      <c r="D53" s="251"/>
      <c r="E53" s="252"/>
      <c r="F53" s="1"/>
      <c r="G53" s="1"/>
      <c r="H53" s="1"/>
      <c r="I53" s="1"/>
      <c r="J53" s="1"/>
      <c r="K53" s="1"/>
    </row>
    <row r="54" spans="4:11" ht="18" customHeight="1" x14ac:dyDescent="0.3">
      <c r="D54" s="251"/>
      <c r="E54" s="252"/>
      <c r="F54" s="1"/>
      <c r="G54" s="1"/>
      <c r="H54" s="1"/>
      <c r="I54" s="1"/>
      <c r="J54" s="1"/>
      <c r="K54" s="1"/>
    </row>
    <row r="55" spans="4:11" ht="18" customHeight="1" x14ac:dyDescent="0.3">
      <c r="D55" s="251"/>
      <c r="E55" s="252"/>
      <c r="F55" s="1"/>
      <c r="G55" s="1"/>
      <c r="H55" s="1"/>
      <c r="I55" s="1"/>
      <c r="J55" s="1"/>
      <c r="K55" s="1"/>
    </row>
    <row r="56" spans="4:11" ht="18" customHeight="1" x14ac:dyDescent="0.3">
      <c r="D56" s="251"/>
      <c r="E56" s="252"/>
      <c r="F56" s="1"/>
      <c r="G56" s="1"/>
      <c r="H56" s="1"/>
      <c r="I56" s="1"/>
      <c r="J56" s="1"/>
      <c r="K56" s="1"/>
    </row>
    <row r="57" spans="4:11" ht="18" customHeight="1" x14ac:dyDescent="0.3">
      <c r="D57" s="251"/>
      <c r="E57" s="252"/>
      <c r="F57" s="1"/>
      <c r="G57" s="1"/>
      <c r="H57" s="1"/>
      <c r="I57" s="1"/>
      <c r="J57" s="1"/>
      <c r="K57" s="1"/>
    </row>
    <row r="58" spans="4:11" ht="18" customHeight="1" x14ac:dyDescent="0.3">
      <c r="D58" s="251"/>
      <c r="E58" s="252"/>
      <c r="F58" s="1"/>
      <c r="G58" s="1"/>
      <c r="H58" s="1"/>
      <c r="I58" s="1"/>
      <c r="J58" s="1"/>
      <c r="K58" s="1"/>
    </row>
    <row r="59" spans="4:11" ht="18" customHeight="1" x14ac:dyDescent="0.3">
      <c r="D59" s="251"/>
      <c r="E59" s="252"/>
      <c r="F59" s="1"/>
      <c r="G59" s="1"/>
      <c r="H59" s="1"/>
      <c r="I59" s="1"/>
      <c r="J59" s="1"/>
      <c r="K59" s="1"/>
    </row>
    <row r="60" spans="4:11" ht="18" customHeight="1" x14ac:dyDescent="0.3">
      <c r="D60" s="251"/>
      <c r="E60" s="252"/>
      <c r="F60" s="1"/>
      <c r="G60" s="1"/>
      <c r="H60" s="1"/>
      <c r="I60" s="1"/>
      <c r="J60" s="1"/>
      <c r="K60" s="1"/>
    </row>
    <row r="61" spans="4:11" ht="18" customHeight="1" x14ac:dyDescent="0.3">
      <c r="D61" s="251"/>
      <c r="E61" s="252"/>
      <c r="F61" s="1"/>
      <c r="G61" s="1"/>
      <c r="H61" s="1"/>
      <c r="I61" s="1"/>
      <c r="J61" s="1"/>
      <c r="K61" s="1"/>
    </row>
    <row r="62" spans="4:11" ht="18" customHeight="1" x14ac:dyDescent="0.3">
      <c r="D62" s="251"/>
      <c r="E62" s="252"/>
      <c r="F62" s="1"/>
      <c r="G62" s="1"/>
      <c r="H62" s="1"/>
      <c r="I62" s="1"/>
      <c r="J62" s="1"/>
      <c r="K62" s="1"/>
    </row>
    <row r="63" spans="4:11" ht="18" customHeight="1" x14ac:dyDescent="0.3">
      <c r="D63" s="251"/>
      <c r="E63" s="252"/>
      <c r="F63" s="63"/>
      <c r="G63" s="77"/>
      <c r="H63" s="64"/>
      <c r="I63" s="79"/>
      <c r="J63" s="136"/>
      <c r="K63" s="43"/>
    </row>
    <row r="64" spans="4:11" ht="18" customHeight="1" x14ac:dyDescent="0.3">
      <c r="D64" s="251"/>
      <c r="E64" s="252"/>
      <c r="F64" s="63"/>
      <c r="G64" s="77"/>
      <c r="H64" s="64"/>
      <c r="I64" s="79"/>
      <c r="J64" s="136"/>
      <c r="K64" s="43"/>
    </row>
    <row r="65" spans="4:11" ht="18" customHeight="1" x14ac:dyDescent="0.3">
      <c r="D65" s="251"/>
      <c r="E65" s="252"/>
      <c r="F65" s="63"/>
      <c r="G65" s="77"/>
      <c r="H65" s="64"/>
      <c r="J65" s="136"/>
      <c r="K65" s="43"/>
    </row>
    <row r="66" spans="4:11" ht="18" customHeight="1" x14ac:dyDescent="0.3">
      <c r="D66" s="251"/>
      <c r="E66" s="252"/>
      <c r="F66" s="63"/>
      <c r="G66" s="77"/>
      <c r="H66" s="64"/>
      <c r="J66" s="136"/>
      <c r="K66" s="43"/>
    </row>
    <row r="67" spans="4:11" ht="18" customHeight="1" x14ac:dyDescent="0.3">
      <c r="D67" s="251"/>
      <c r="E67" s="252"/>
      <c r="F67" s="63"/>
      <c r="G67" s="77"/>
      <c r="H67" s="64"/>
      <c r="I67" s="79"/>
      <c r="J67" s="136"/>
      <c r="K67" s="43"/>
    </row>
    <row r="68" spans="4:11" ht="18" customHeight="1" x14ac:dyDescent="0.3">
      <c r="D68" s="251"/>
      <c r="E68" s="252"/>
      <c r="F68" s="63"/>
      <c r="G68" s="77"/>
      <c r="H68" s="64"/>
      <c r="I68" s="79"/>
      <c r="J68" s="136"/>
      <c r="K68" s="43"/>
    </row>
    <row r="69" spans="4:11" ht="18" customHeight="1" x14ac:dyDescent="0.3">
      <c r="D69" s="251"/>
      <c r="E69" s="252"/>
      <c r="F69" s="63"/>
      <c r="G69" s="77"/>
      <c r="H69" s="64"/>
      <c r="I69" s="79"/>
      <c r="J69" s="136"/>
      <c r="K69" s="43"/>
    </row>
    <row r="70" spans="4:11" ht="18" customHeight="1" x14ac:dyDescent="0.3">
      <c r="D70" s="251"/>
      <c r="E70" s="252"/>
      <c r="F70" s="63"/>
      <c r="G70" s="77"/>
      <c r="H70" s="64"/>
      <c r="I70" s="79"/>
      <c r="J70" s="136"/>
      <c r="K70" s="43"/>
    </row>
    <row r="71" spans="4:11" ht="18" customHeight="1" x14ac:dyDescent="0.3">
      <c r="D71" s="251"/>
      <c r="E71" s="252"/>
      <c r="F71" s="63"/>
      <c r="G71" s="77"/>
      <c r="H71" s="64"/>
      <c r="I71" s="79"/>
      <c r="J71" s="136"/>
      <c r="K71" s="43"/>
    </row>
    <row r="72" spans="4:11" ht="18" customHeight="1" x14ac:dyDescent="0.3">
      <c r="D72" s="251"/>
      <c r="E72" s="252"/>
      <c r="F72" s="63"/>
      <c r="G72" s="77"/>
      <c r="H72" s="64"/>
      <c r="I72" s="79"/>
      <c r="J72" s="136"/>
      <c r="K72" s="43"/>
    </row>
    <row r="73" spans="4:11" ht="18" customHeight="1" x14ac:dyDescent="0.3">
      <c r="D73" s="251"/>
      <c r="E73" s="252"/>
      <c r="F73" s="63"/>
      <c r="G73" s="77"/>
      <c r="H73" s="64"/>
      <c r="I73" s="79"/>
      <c r="J73" s="136"/>
      <c r="K73" s="43"/>
    </row>
    <row r="74" spans="4:11" ht="18" customHeight="1" x14ac:dyDescent="0.3">
      <c r="D74" s="251"/>
      <c r="E74" s="252"/>
      <c r="F74" s="63"/>
      <c r="G74" s="77"/>
      <c r="H74" s="64"/>
      <c r="I74" s="79"/>
      <c r="J74" s="136"/>
      <c r="K74" s="43"/>
    </row>
    <row r="75" spans="4:11" ht="18" customHeight="1" x14ac:dyDescent="0.3">
      <c r="D75" s="251"/>
      <c r="E75" s="252"/>
      <c r="F75" s="63"/>
      <c r="G75" s="77"/>
      <c r="H75" s="64"/>
      <c r="I75" s="79"/>
      <c r="J75" s="136"/>
      <c r="K75" s="43"/>
    </row>
    <row r="76" spans="4:11" ht="18" customHeight="1" x14ac:dyDescent="0.3">
      <c r="D76" s="251"/>
      <c r="E76" s="252"/>
      <c r="F76" s="63"/>
      <c r="G76" s="77"/>
      <c r="H76" s="64"/>
      <c r="I76" s="79"/>
      <c r="J76" s="136"/>
      <c r="K76" s="43"/>
    </row>
    <row r="77" spans="4:11" ht="18" customHeight="1" x14ac:dyDescent="0.3">
      <c r="D77" s="251"/>
      <c r="E77" s="252"/>
      <c r="F77" s="63"/>
      <c r="G77" s="77"/>
      <c r="H77" s="64"/>
      <c r="I77" s="79"/>
      <c r="J77" s="136"/>
      <c r="K77" s="43"/>
    </row>
    <row r="78" spans="4:11" ht="18" customHeight="1" x14ac:dyDescent="0.3">
      <c r="D78" s="251"/>
      <c r="E78" s="252"/>
      <c r="F78" s="63"/>
      <c r="G78" s="77"/>
      <c r="H78" s="64"/>
      <c r="I78" s="79"/>
      <c r="J78" s="136"/>
      <c r="K78" s="43"/>
    </row>
    <row r="79" spans="4:11" ht="18" customHeight="1" x14ac:dyDescent="0.3">
      <c r="F79" s="63"/>
      <c r="G79" s="77"/>
      <c r="H79" s="64"/>
      <c r="I79" s="79"/>
      <c r="J79" s="136"/>
      <c r="K79" s="43"/>
    </row>
    <row r="80" spans="4:11" ht="18" customHeight="1" x14ac:dyDescent="0.3">
      <c r="F80" s="63"/>
      <c r="G80" s="77"/>
      <c r="H80" s="64"/>
      <c r="I80" s="79"/>
      <c r="J80" s="136"/>
      <c r="K80" s="43"/>
    </row>
    <row r="81" spans="6:11" ht="18" customHeight="1" x14ac:dyDescent="0.3">
      <c r="F81" s="63"/>
      <c r="G81" s="77"/>
      <c r="H81" s="64"/>
      <c r="I81" s="79"/>
      <c r="J81" s="136"/>
      <c r="K81" s="43"/>
    </row>
    <row r="82" spans="6:11" ht="18" customHeight="1" x14ac:dyDescent="0.3">
      <c r="F82" s="63"/>
      <c r="G82" s="77"/>
      <c r="H82" s="64"/>
      <c r="I82" s="79"/>
      <c r="J82" s="136"/>
      <c r="K82" s="43"/>
    </row>
    <row r="83" spans="6:11" ht="18" customHeight="1" x14ac:dyDescent="0.3">
      <c r="F83" s="63"/>
      <c r="G83" s="77"/>
      <c r="H83" s="64"/>
      <c r="I83" s="79"/>
      <c r="J83" s="136"/>
      <c r="K83" s="43"/>
    </row>
    <row r="84" spans="6:11" ht="18" customHeight="1" x14ac:dyDescent="0.3">
      <c r="F84" s="63"/>
      <c r="G84" s="77"/>
      <c r="H84" s="64"/>
      <c r="I84" s="79"/>
      <c r="J84" s="136"/>
      <c r="K84" s="43"/>
    </row>
    <row r="85" spans="6:11" ht="18" customHeight="1" x14ac:dyDescent="0.3">
      <c r="F85" s="63"/>
      <c r="G85" s="77"/>
      <c r="H85" s="64"/>
      <c r="I85" s="79"/>
      <c r="J85" s="136"/>
      <c r="K85" s="43"/>
    </row>
    <row r="86" spans="6:11" ht="18" customHeight="1" x14ac:dyDescent="0.3">
      <c r="F86" s="63"/>
      <c r="G86" s="77"/>
      <c r="H86" s="64"/>
      <c r="I86" s="79"/>
      <c r="J86" s="136"/>
      <c r="K86" s="43"/>
    </row>
    <row r="87" spans="6:11" ht="18" customHeight="1" x14ac:dyDescent="0.3">
      <c r="F87" s="63"/>
      <c r="G87" s="77"/>
      <c r="H87" s="64"/>
      <c r="I87" s="79"/>
      <c r="J87" s="136"/>
      <c r="K87" s="43"/>
    </row>
    <row r="88" spans="6:11" ht="18" customHeight="1" x14ac:dyDescent="0.3">
      <c r="F88" s="63"/>
      <c r="G88" s="77"/>
      <c r="H88" s="64"/>
      <c r="I88" s="79"/>
      <c r="J88" s="136"/>
      <c r="K88" s="43"/>
    </row>
    <row r="89" spans="6:11" ht="18" customHeight="1" x14ac:dyDescent="0.3">
      <c r="F89" s="63"/>
      <c r="G89" s="77"/>
      <c r="H89" s="64"/>
      <c r="I89" s="79"/>
      <c r="J89" s="136"/>
      <c r="K89" s="43"/>
    </row>
    <row r="90" spans="6:11" ht="18" customHeight="1" x14ac:dyDescent="0.3">
      <c r="F90" s="63"/>
      <c r="G90" s="77"/>
      <c r="H90" s="64"/>
      <c r="I90" s="79"/>
      <c r="J90" s="136"/>
      <c r="K90" s="43"/>
    </row>
    <row r="91" spans="6:11" ht="18" customHeight="1" x14ac:dyDescent="0.3">
      <c r="F91" s="63"/>
      <c r="G91" s="77"/>
      <c r="H91" s="64"/>
      <c r="I91" s="79"/>
      <c r="J91" s="136"/>
      <c r="K91" s="43"/>
    </row>
    <row r="92" spans="6:11" ht="18" customHeight="1" x14ac:dyDescent="0.3">
      <c r="F92" s="63"/>
      <c r="G92" s="77"/>
      <c r="H92" s="64"/>
      <c r="I92" s="79"/>
      <c r="J92" s="136"/>
      <c r="K92" s="43"/>
    </row>
    <row r="93" spans="6:11" ht="18" customHeight="1" x14ac:dyDescent="0.3">
      <c r="F93" s="63"/>
      <c r="G93" s="77"/>
      <c r="H93" s="64"/>
      <c r="I93" s="79"/>
      <c r="J93" s="136"/>
      <c r="K93" s="43"/>
    </row>
    <row r="94" spans="6:11" ht="18" customHeight="1" x14ac:dyDescent="0.3">
      <c r="F94" s="63"/>
      <c r="G94" s="77"/>
      <c r="H94" s="64"/>
      <c r="I94" s="79"/>
      <c r="J94" s="136"/>
      <c r="K94" s="43"/>
    </row>
    <row r="95" spans="6:11" ht="18" customHeight="1" x14ac:dyDescent="0.3">
      <c r="F95" s="63"/>
      <c r="G95" s="77"/>
      <c r="H95" s="64"/>
      <c r="I95" s="79"/>
      <c r="J95" s="136"/>
      <c r="K95" s="43"/>
    </row>
    <row r="96" spans="6:11" ht="18" customHeight="1" x14ac:dyDescent="0.3">
      <c r="F96" s="63"/>
      <c r="G96" s="77"/>
      <c r="H96" s="64"/>
      <c r="I96" s="79"/>
      <c r="J96" s="136"/>
      <c r="K96" s="43"/>
    </row>
    <row r="97" spans="6:11" ht="18" customHeight="1" x14ac:dyDescent="0.3">
      <c r="F97" s="63"/>
      <c r="G97" s="77"/>
      <c r="H97" s="64"/>
      <c r="I97" s="79"/>
      <c r="J97" s="136"/>
      <c r="K97" s="43"/>
    </row>
    <row r="98" spans="6:11" ht="18" customHeight="1" x14ac:dyDescent="0.3">
      <c r="F98" s="63"/>
      <c r="G98" s="77"/>
      <c r="H98" s="64"/>
      <c r="I98" s="79"/>
      <c r="J98" s="136"/>
      <c r="K98" s="43"/>
    </row>
    <row r="99" spans="6:11" ht="18" customHeight="1" x14ac:dyDescent="0.3">
      <c r="F99" s="63"/>
      <c r="G99" s="77"/>
      <c r="H99" s="64"/>
      <c r="I99" s="79"/>
      <c r="J99" s="136"/>
      <c r="K99" s="43"/>
    </row>
    <row r="100" spans="6:11" ht="18" customHeight="1" x14ac:dyDescent="0.3">
      <c r="F100" s="63"/>
      <c r="G100" s="77"/>
      <c r="H100" s="64"/>
      <c r="I100" s="79"/>
      <c r="J100" s="136"/>
      <c r="K100" s="43"/>
    </row>
    <row r="101" spans="6:11" ht="18" customHeight="1" x14ac:dyDescent="0.3">
      <c r="F101" s="63"/>
      <c r="G101" s="77"/>
      <c r="H101" s="64"/>
      <c r="I101" s="79"/>
      <c r="J101" s="136"/>
      <c r="K101" s="43"/>
    </row>
    <row r="102" spans="6:11" ht="18" customHeight="1" x14ac:dyDescent="0.3">
      <c r="F102" s="63"/>
      <c r="G102" s="77"/>
      <c r="H102" s="64"/>
      <c r="I102" s="79"/>
      <c r="J102" s="136"/>
      <c r="K102" s="43"/>
    </row>
    <row r="103" spans="6:11" ht="18" customHeight="1" x14ac:dyDescent="0.3">
      <c r="F103" s="63"/>
      <c r="G103" s="77"/>
      <c r="H103" s="64"/>
      <c r="I103" s="79"/>
      <c r="J103" s="136"/>
      <c r="K103" s="43"/>
    </row>
    <row r="104" spans="6:11" ht="18" customHeight="1" x14ac:dyDescent="0.3">
      <c r="F104" s="63"/>
      <c r="G104" s="77"/>
      <c r="H104" s="64"/>
      <c r="I104" s="79"/>
      <c r="J104" s="136"/>
      <c r="K104" s="43"/>
    </row>
    <row r="105" spans="6:11" ht="18" customHeight="1" x14ac:dyDescent="0.3">
      <c r="F105" s="63"/>
      <c r="G105" s="77"/>
      <c r="H105" s="64"/>
      <c r="I105" s="79"/>
      <c r="J105" s="136"/>
      <c r="K105" s="43"/>
    </row>
    <row r="106" spans="6:11" ht="18" customHeight="1" x14ac:dyDescent="0.3">
      <c r="F106" s="63"/>
      <c r="G106" s="77"/>
      <c r="H106" s="64"/>
      <c r="I106" s="79"/>
      <c r="J106" s="136"/>
      <c r="K106" s="43"/>
    </row>
    <row r="107" spans="6:11" ht="18" customHeight="1" x14ac:dyDescent="0.3">
      <c r="F107" s="63"/>
      <c r="G107" s="77"/>
      <c r="H107" s="64"/>
      <c r="I107" s="79"/>
      <c r="J107" s="136"/>
      <c r="K107" s="43"/>
    </row>
    <row r="108" spans="6:11" ht="18" customHeight="1" x14ac:dyDescent="0.3">
      <c r="F108" s="63"/>
      <c r="G108" s="77"/>
      <c r="H108" s="64"/>
      <c r="I108" s="79"/>
      <c r="J108" s="136"/>
      <c r="K108" s="43"/>
    </row>
    <row r="109" spans="6:11" ht="18" customHeight="1" x14ac:dyDescent="0.3">
      <c r="F109" s="63"/>
      <c r="G109" s="77"/>
      <c r="H109" s="64"/>
      <c r="I109" s="79"/>
      <c r="J109" s="136"/>
      <c r="K109" s="43"/>
    </row>
    <row r="110" spans="6:11" ht="18" customHeight="1" x14ac:dyDescent="0.3">
      <c r="F110" s="63"/>
      <c r="G110" s="77"/>
      <c r="H110" s="64"/>
      <c r="I110" s="79"/>
      <c r="J110" s="136"/>
      <c r="K110" s="43"/>
    </row>
    <row r="111" spans="6:11" ht="18" customHeight="1" x14ac:dyDescent="0.3">
      <c r="F111" s="63"/>
      <c r="G111" s="77"/>
      <c r="H111" s="64"/>
      <c r="I111" s="79"/>
      <c r="J111" s="136"/>
      <c r="K111" s="43"/>
    </row>
    <row r="112" spans="6:11" ht="18" customHeight="1" x14ac:dyDescent="0.3">
      <c r="F112" s="63"/>
      <c r="G112" s="77"/>
      <c r="H112" s="64"/>
      <c r="I112" s="79"/>
      <c r="J112" s="136"/>
      <c r="K112" s="43"/>
    </row>
    <row r="113" spans="6:11" ht="18" customHeight="1" x14ac:dyDescent="0.3">
      <c r="F113" s="63"/>
      <c r="G113" s="77"/>
      <c r="H113" s="64"/>
      <c r="I113" s="79"/>
      <c r="J113" s="136"/>
      <c r="K113" s="43"/>
    </row>
    <row r="114" spans="6:11" ht="18" customHeight="1" x14ac:dyDescent="0.3">
      <c r="F114" s="63"/>
      <c r="G114" s="77"/>
      <c r="H114" s="64"/>
      <c r="I114" s="79"/>
      <c r="J114" s="136"/>
      <c r="K114" s="43"/>
    </row>
    <row r="115" spans="6:11" ht="18" customHeight="1" x14ac:dyDescent="0.3">
      <c r="F115" s="63"/>
      <c r="G115" s="77"/>
      <c r="H115" s="64"/>
      <c r="I115" s="79"/>
      <c r="J115" s="136"/>
      <c r="K115" s="43"/>
    </row>
    <row r="116" spans="6:11" ht="18" customHeight="1" x14ac:dyDescent="0.3">
      <c r="F116" s="63"/>
      <c r="G116" s="77"/>
      <c r="H116" s="64"/>
      <c r="I116" s="79"/>
      <c r="J116" s="136"/>
      <c r="K116" s="43"/>
    </row>
    <row r="117" spans="6:11" ht="18" customHeight="1" x14ac:dyDescent="0.3">
      <c r="F117" s="63"/>
      <c r="G117" s="77"/>
      <c r="H117" s="64"/>
      <c r="I117" s="79"/>
      <c r="J117" s="136"/>
      <c r="K117" s="43"/>
    </row>
    <row r="118" spans="6:11" ht="18" customHeight="1" x14ac:dyDescent="0.3">
      <c r="F118" s="63"/>
      <c r="G118" s="77"/>
      <c r="H118" s="64"/>
      <c r="I118" s="79"/>
      <c r="J118" s="136"/>
      <c r="K118" s="43"/>
    </row>
    <row r="119" spans="6:11" ht="18" customHeight="1" x14ac:dyDescent="0.3">
      <c r="F119" s="63"/>
      <c r="G119" s="77"/>
      <c r="H119" s="64"/>
      <c r="I119" s="79"/>
      <c r="J119" s="136"/>
      <c r="K119" s="43"/>
    </row>
    <row r="120" spans="6:11" ht="18" customHeight="1" x14ac:dyDescent="0.3">
      <c r="F120" s="63"/>
      <c r="G120" s="77"/>
      <c r="H120" s="64"/>
      <c r="I120" s="79"/>
      <c r="J120" s="136"/>
      <c r="K120" s="43"/>
    </row>
    <row r="121" spans="6:11" ht="18" customHeight="1" x14ac:dyDescent="0.3">
      <c r="F121" s="63"/>
      <c r="G121" s="77"/>
      <c r="H121" s="64"/>
      <c r="I121" s="79"/>
      <c r="J121" s="136"/>
      <c r="K121" s="43"/>
    </row>
    <row r="122" spans="6:11" ht="18" customHeight="1" x14ac:dyDescent="0.3">
      <c r="F122" s="63"/>
      <c r="G122" s="77"/>
      <c r="H122" s="64"/>
      <c r="I122" s="79"/>
      <c r="J122" s="136"/>
      <c r="K122" s="43"/>
    </row>
    <row r="123" spans="6:11" ht="18" customHeight="1" x14ac:dyDescent="0.3">
      <c r="F123" s="63"/>
      <c r="G123" s="77"/>
      <c r="H123" s="64"/>
      <c r="I123" s="79"/>
      <c r="J123" s="136"/>
      <c r="K123" s="43"/>
    </row>
    <row r="124" spans="6:11" ht="18" customHeight="1" x14ac:dyDescent="0.3">
      <c r="F124" s="63"/>
      <c r="G124" s="77"/>
      <c r="H124" s="64"/>
      <c r="I124" s="79"/>
      <c r="J124" s="136"/>
      <c r="K124" s="43"/>
    </row>
    <row r="125" spans="6:11" ht="18" customHeight="1" x14ac:dyDescent="0.3">
      <c r="F125" s="63"/>
      <c r="G125" s="77"/>
      <c r="H125" s="64"/>
      <c r="I125" s="79"/>
      <c r="J125" s="136"/>
      <c r="K125" s="43"/>
    </row>
    <row r="126" spans="6:11" ht="18" customHeight="1" x14ac:dyDescent="0.3">
      <c r="F126" s="63"/>
      <c r="G126" s="77"/>
      <c r="H126" s="64"/>
      <c r="I126" s="79"/>
      <c r="J126" s="136"/>
      <c r="K126" s="43"/>
    </row>
    <row r="127" spans="6:11" ht="18" customHeight="1" x14ac:dyDescent="0.3">
      <c r="F127" s="63"/>
      <c r="G127" s="77"/>
      <c r="H127" s="64"/>
      <c r="I127" s="79"/>
      <c r="J127" s="136"/>
      <c r="K127" s="43"/>
    </row>
    <row r="128" spans="6:11" ht="18" customHeight="1" x14ac:dyDescent="0.3">
      <c r="F128" s="63"/>
      <c r="G128" s="77"/>
      <c r="H128" s="64"/>
      <c r="I128" s="79"/>
      <c r="J128" s="136"/>
      <c r="K128" s="43"/>
    </row>
    <row r="129" spans="6:11" ht="18" customHeight="1" x14ac:dyDescent="0.3">
      <c r="F129" s="63"/>
      <c r="G129" s="77"/>
      <c r="H129" s="64"/>
      <c r="I129" s="79"/>
      <c r="J129" s="136"/>
      <c r="K129" s="43"/>
    </row>
    <row r="130" spans="6:11" ht="18" customHeight="1" x14ac:dyDescent="0.3">
      <c r="F130" s="63"/>
      <c r="G130" s="77"/>
      <c r="H130" s="64"/>
      <c r="I130" s="79"/>
      <c r="J130" s="136"/>
      <c r="K130" s="43"/>
    </row>
    <row r="131" spans="6:11" ht="18" customHeight="1" x14ac:dyDescent="0.3">
      <c r="F131" s="63"/>
      <c r="G131" s="77"/>
      <c r="H131" s="64"/>
      <c r="I131" s="79"/>
      <c r="J131" s="136"/>
      <c r="K131" s="43"/>
    </row>
    <row r="132" spans="6:11" ht="18" customHeight="1" x14ac:dyDescent="0.3">
      <c r="F132" s="63"/>
      <c r="G132" s="77"/>
      <c r="H132" s="64"/>
      <c r="I132" s="79"/>
      <c r="J132" s="136"/>
      <c r="K132" s="43"/>
    </row>
    <row r="133" spans="6:11" ht="18" customHeight="1" x14ac:dyDescent="0.3">
      <c r="F133" s="63"/>
      <c r="G133" s="77"/>
      <c r="H133" s="64"/>
      <c r="I133" s="79"/>
      <c r="J133" s="136"/>
      <c r="K133" s="43"/>
    </row>
    <row r="134" spans="6:11" ht="18" customHeight="1" x14ac:dyDescent="0.3">
      <c r="F134" s="63"/>
      <c r="G134" s="77"/>
      <c r="H134" s="64"/>
      <c r="I134" s="79"/>
      <c r="J134" s="136"/>
      <c r="K134" s="43"/>
    </row>
    <row r="135" spans="6:11" ht="18" customHeight="1" x14ac:dyDescent="0.3">
      <c r="F135" s="63"/>
      <c r="G135" s="77"/>
      <c r="H135" s="64"/>
      <c r="I135" s="79"/>
      <c r="J135" s="136"/>
      <c r="K135" s="43"/>
    </row>
    <row r="136" spans="6:11" ht="18" customHeight="1" x14ac:dyDescent="0.3">
      <c r="F136" s="63"/>
      <c r="G136" s="77"/>
      <c r="H136" s="64"/>
      <c r="I136" s="79"/>
      <c r="J136" s="136"/>
      <c r="K136" s="43"/>
    </row>
    <row r="137" spans="6:11" ht="18" customHeight="1" x14ac:dyDescent="0.3">
      <c r="F137" s="63"/>
      <c r="G137" s="77"/>
      <c r="H137" s="64"/>
      <c r="I137" s="79"/>
      <c r="J137" s="136"/>
      <c r="K137" s="43"/>
    </row>
    <row r="138" spans="6:11" ht="18" customHeight="1" x14ac:dyDescent="0.3">
      <c r="F138" s="63"/>
      <c r="G138" s="77"/>
      <c r="H138" s="64"/>
      <c r="I138" s="79"/>
      <c r="J138" s="136"/>
      <c r="K138" s="43"/>
    </row>
    <row r="139" spans="6:11" ht="18" customHeight="1" x14ac:dyDescent="0.3">
      <c r="F139" s="63"/>
      <c r="G139" s="77"/>
      <c r="H139" s="64"/>
      <c r="I139" s="79"/>
      <c r="J139" s="136"/>
      <c r="K139" s="43"/>
    </row>
    <row r="140" spans="6:11" ht="18" customHeight="1" x14ac:dyDescent="0.3">
      <c r="F140" s="63"/>
      <c r="G140" s="77"/>
      <c r="H140" s="64"/>
      <c r="I140" s="79"/>
      <c r="J140" s="136"/>
      <c r="K140" s="43"/>
    </row>
    <row r="141" spans="6:11" ht="18" customHeight="1" x14ac:dyDescent="0.3">
      <c r="F141" s="63"/>
      <c r="G141" s="77"/>
      <c r="H141" s="64"/>
      <c r="I141" s="79"/>
      <c r="J141" s="136"/>
      <c r="K141" s="43"/>
    </row>
    <row r="142" spans="6:11" ht="18" customHeight="1" x14ac:dyDescent="0.3">
      <c r="F142" s="63"/>
      <c r="G142" s="77"/>
      <c r="H142" s="64"/>
      <c r="I142" s="79"/>
      <c r="J142" s="136"/>
      <c r="K142" s="43"/>
    </row>
    <row r="143" spans="6:11" ht="18" customHeight="1" x14ac:dyDescent="0.3">
      <c r="F143" s="63"/>
      <c r="G143" s="77"/>
      <c r="H143" s="64"/>
      <c r="I143" s="79"/>
      <c r="J143" s="136"/>
      <c r="K143" s="43"/>
    </row>
    <row r="144" spans="6:11" ht="18" customHeight="1" x14ac:dyDescent="0.3">
      <c r="F144" s="63"/>
      <c r="G144" s="77"/>
      <c r="H144" s="64"/>
      <c r="I144" s="79"/>
      <c r="J144" s="136"/>
      <c r="K144" s="43"/>
    </row>
    <row r="145" spans="6:11" ht="18" customHeight="1" x14ac:dyDescent="0.3">
      <c r="F145" s="63"/>
      <c r="G145" s="77"/>
      <c r="H145" s="64"/>
      <c r="I145" s="79"/>
      <c r="J145" s="136"/>
      <c r="K145" s="43"/>
    </row>
    <row r="146" spans="6:11" ht="18" customHeight="1" x14ac:dyDescent="0.3">
      <c r="F146" s="63"/>
      <c r="G146" s="77"/>
      <c r="H146" s="64"/>
      <c r="I146" s="79"/>
      <c r="J146" s="136"/>
      <c r="K146" s="43"/>
    </row>
    <row r="147" spans="6:11" ht="18" customHeight="1" x14ac:dyDescent="0.3">
      <c r="F147" s="63"/>
      <c r="G147" s="77"/>
      <c r="H147" s="64"/>
      <c r="I147" s="79"/>
      <c r="J147" s="136"/>
      <c r="K147" s="43"/>
    </row>
    <row r="148" spans="6:11" ht="18" customHeight="1" x14ac:dyDescent="0.3">
      <c r="F148" s="63"/>
      <c r="G148" s="77"/>
      <c r="H148" s="64"/>
      <c r="I148" s="79"/>
      <c r="J148" s="136"/>
      <c r="K148" s="43"/>
    </row>
    <row r="149" spans="6:11" ht="18" customHeight="1" x14ac:dyDescent="0.3">
      <c r="F149" s="63"/>
      <c r="G149" s="77"/>
      <c r="H149" s="64"/>
      <c r="I149" s="79"/>
      <c r="J149" s="136"/>
      <c r="K149" s="43"/>
    </row>
    <row r="150" spans="6:11" ht="18" customHeight="1" x14ac:dyDescent="0.3">
      <c r="F150" s="63"/>
      <c r="G150" s="77"/>
      <c r="H150" s="64"/>
      <c r="I150" s="79"/>
      <c r="J150" s="136"/>
      <c r="K150" s="43"/>
    </row>
    <row r="151" spans="6:11" ht="18" customHeight="1" x14ac:dyDescent="0.3">
      <c r="F151" s="63"/>
      <c r="G151" s="77"/>
      <c r="H151" s="64"/>
      <c r="I151" s="79"/>
      <c r="J151" s="136"/>
      <c r="K151" s="43"/>
    </row>
    <row r="152" spans="6:11" ht="18" customHeight="1" x14ac:dyDescent="0.3">
      <c r="F152" s="63"/>
      <c r="G152" s="77"/>
      <c r="H152" s="64"/>
      <c r="I152" s="79"/>
      <c r="J152" s="136"/>
      <c r="K152" s="43"/>
    </row>
    <row r="153" spans="6:11" ht="18" customHeight="1" x14ac:dyDescent="0.3">
      <c r="F153" s="63"/>
      <c r="G153" s="77"/>
      <c r="H153" s="64"/>
      <c r="I153" s="79"/>
      <c r="J153" s="136"/>
      <c r="K153" s="43"/>
    </row>
    <row r="154" spans="6:11" ht="18" customHeight="1" x14ac:dyDescent="0.3">
      <c r="F154" s="63"/>
      <c r="G154" s="77"/>
      <c r="H154" s="64"/>
      <c r="I154" s="79"/>
      <c r="J154" s="136"/>
      <c r="K154" s="43"/>
    </row>
    <row r="155" spans="6:11" ht="18" customHeight="1" x14ac:dyDescent="0.3">
      <c r="F155" s="63"/>
      <c r="G155" s="77"/>
      <c r="H155" s="64"/>
      <c r="I155" s="79"/>
      <c r="J155" s="136"/>
      <c r="K155" s="43"/>
    </row>
    <row r="156" spans="6:11" ht="18" customHeight="1" x14ac:dyDescent="0.3">
      <c r="F156" s="63"/>
      <c r="G156" s="77"/>
      <c r="H156" s="64"/>
      <c r="I156" s="79"/>
      <c r="J156" s="136"/>
      <c r="K156" s="43"/>
    </row>
    <row r="157" spans="6:11" ht="18" customHeight="1" x14ac:dyDescent="0.3">
      <c r="F157" s="63"/>
      <c r="G157" s="77"/>
      <c r="H157" s="64"/>
      <c r="I157" s="79"/>
      <c r="J157" s="136"/>
      <c r="K157" s="43"/>
    </row>
    <row r="158" spans="6:11" ht="18" customHeight="1" x14ac:dyDescent="0.3">
      <c r="F158" s="63"/>
      <c r="G158" s="77"/>
      <c r="H158" s="64"/>
      <c r="I158" s="79"/>
      <c r="J158" s="136"/>
      <c r="K158" s="43"/>
    </row>
    <row r="159" spans="6:11" ht="18" customHeight="1" x14ac:dyDescent="0.3">
      <c r="F159" s="63"/>
      <c r="G159" s="77"/>
      <c r="H159" s="64"/>
      <c r="I159" s="79"/>
      <c r="J159" s="136"/>
      <c r="K159" s="43"/>
    </row>
    <row r="160" spans="6:11" ht="18" customHeight="1" x14ac:dyDescent="0.3">
      <c r="F160" s="63"/>
      <c r="G160" s="77"/>
      <c r="H160" s="64"/>
      <c r="I160" s="79"/>
      <c r="J160" s="136"/>
      <c r="K160" s="43"/>
    </row>
    <row r="161" spans="6:11" ht="18" customHeight="1" x14ac:dyDescent="0.3">
      <c r="F161" s="63"/>
      <c r="G161" s="77"/>
      <c r="H161" s="64"/>
      <c r="I161" s="79"/>
      <c r="J161" s="136"/>
      <c r="K161" s="43"/>
    </row>
    <row r="162" spans="6:11" ht="18" customHeight="1" x14ac:dyDescent="0.3">
      <c r="F162" s="63"/>
      <c r="G162" s="77"/>
      <c r="H162" s="64"/>
      <c r="I162" s="79"/>
      <c r="J162" s="136"/>
      <c r="K162" s="43"/>
    </row>
    <row r="163" spans="6:11" ht="18" customHeight="1" x14ac:dyDescent="0.3">
      <c r="F163" s="63"/>
      <c r="G163" s="77"/>
      <c r="H163" s="64"/>
      <c r="I163" s="79"/>
      <c r="J163" s="136"/>
      <c r="K163" s="43"/>
    </row>
    <row r="164" spans="6:11" ht="18" customHeight="1" x14ac:dyDescent="0.3">
      <c r="F164" s="63"/>
      <c r="G164" s="77"/>
      <c r="H164" s="64"/>
      <c r="I164" s="79"/>
      <c r="J164" s="136"/>
      <c r="K164" s="43"/>
    </row>
    <row r="165" spans="6:11" ht="18" customHeight="1" x14ac:dyDescent="0.3">
      <c r="F165" s="63"/>
      <c r="G165" s="77"/>
      <c r="H165" s="64"/>
      <c r="I165" s="79"/>
      <c r="J165" s="136"/>
      <c r="K165" s="43"/>
    </row>
    <row r="166" spans="6:11" ht="18" customHeight="1" x14ac:dyDescent="0.3">
      <c r="F166" s="63"/>
      <c r="G166" s="77"/>
      <c r="H166" s="64"/>
      <c r="I166" s="79"/>
      <c r="J166" s="136"/>
      <c r="K166" s="43"/>
    </row>
    <row r="167" spans="6:11" ht="18" customHeight="1" x14ac:dyDescent="0.3">
      <c r="F167" s="63"/>
      <c r="G167" s="77"/>
      <c r="H167" s="64"/>
      <c r="I167" s="79"/>
      <c r="J167" s="136"/>
      <c r="K167" s="43"/>
    </row>
    <row r="168" spans="6:11" ht="18" customHeight="1" x14ac:dyDescent="0.3">
      <c r="F168" s="63"/>
      <c r="G168" s="77"/>
      <c r="H168" s="64"/>
      <c r="I168" s="79"/>
      <c r="J168" s="136"/>
      <c r="K168" s="43"/>
    </row>
    <row r="169" spans="6:11" ht="18" customHeight="1" x14ac:dyDescent="0.3">
      <c r="F169" s="63"/>
      <c r="G169" s="77"/>
      <c r="H169" s="64"/>
      <c r="I169" s="79"/>
      <c r="J169" s="136"/>
      <c r="K169" s="43"/>
    </row>
    <row r="170" spans="6:11" ht="18" customHeight="1" x14ac:dyDescent="0.3">
      <c r="F170" s="63"/>
      <c r="G170" s="77"/>
      <c r="H170" s="64"/>
      <c r="I170" s="79"/>
      <c r="J170" s="136"/>
      <c r="K170" s="43"/>
    </row>
    <row r="171" spans="6:11" ht="18" customHeight="1" x14ac:dyDescent="0.3">
      <c r="F171" s="63"/>
      <c r="G171" s="77"/>
      <c r="H171" s="64"/>
      <c r="I171" s="79"/>
      <c r="J171" s="136"/>
      <c r="K171" s="43"/>
    </row>
    <row r="172" spans="6:11" ht="18" customHeight="1" x14ac:dyDescent="0.3">
      <c r="F172" s="63"/>
      <c r="G172" s="77"/>
      <c r="H172" s="64"/>
      <c r="I172" s="79"/>
      <c r="J172" s="136"/>
      <c r="K172" s="43"/>
    </row>
    <row r="173" spans="6:11" ht="18" customHeight="1" x14ac:dyDescent="0.3">
      <c r="F173" s="63"/>
      <c r="G173" s="77"/>
      <c r="H173" s="64"/>
      <c r="I173" s="79"/>
      <c r="J173" s="136"/>
      <c r="K173" s="43"/>
    </row>
    <row r="174" spans="6:11" ht="18" customHeight="1" x14ac:dyDescent="0.3">
      <c r="F174" s="63"/>
      <c r="G174" s="77"/>
      <c r="H174" s="64"/>
      <c r="I174" s="79"/>
      <c r="J174" s="136"/>
      <c r="K174" s="43"/>
    </row>
    <row r="175" spans="6:11" ht="18" customHeight="1" x14ac:dyDescent="0.3">
      <c r="F175" s="63"/>
      <c r="G175" s="77"/>
      <c r="H175" s="64"/>
      <c r="I175" s="79"/>
      <c r="J175" s="136"/>
      <c r="K175" s="43"/>
    </row>
    <row r="176" spans="6:11" ht="18" customHeight="1" x14ac:dyDescent="0.3">
      <c r="F176" s="63"/>
      <c r="G176" s="77"/>
      <c r="H176" s="64"/>
      <c r="I176" s="79"/>
      <c r="J176" s="136"/>
      <c r="K176" s="43"/>
    </row>
    <row r="177" spans="3:11" ht="18" customHeight="1" x14ac:dyDescent="0.3">
      <c r="F177" s="63"/>
      <c r="G177" s="77"/>
      <c r="H177" s="64"/>
      <c r="I177" s="79"/>
      <c r="J177" s="136"/>
      <c r="K177" s="43"/>
    </row>
    <row r="178" spans="3:11" ht="18" customHeight="1" x14ac:dyDescent="0.3">
      <c r="F178" s="63"/>
      <c r="G178" s="77"/>
      <c r="H178" s="64"/>
      <c r="I178" s="79"/>
      <c r="J178" s="136"/>
      <c r="K178" s="43"/>
    </row>
    <row r="179" spans="3:11" ht="18" customHeight="1" x14ac:dyDescent="0.3">
      <c r="F179" s="63"/>
      <c r="G179" s="77"/>
      <c r="H179" s="64"/>
      <c r="I179" s="79"/>
      <c r="J179" s="136"/>
      <c r="K179" s="43"/>
    </row>
    <row r="180" spans="3:11" ht="18" customHeight="1" x14ac:dyDescent="0.3">
      <c r="F180" s="63"/>
      <c r="G180" s="77"/>
      <c r="H180" s="64"/>
      <c r="I180" s="79"/>
      <c r="J180" s="136"/>
      <c r="K180" s="43"/>
    </row>
    <row r="181" spans="3:11" ht="18" customHeight="1" x14ac:dyDescent="0.3">
      <c r="F181" s="63"/>
      <c r="G181" s="77"/>
      <c r="H181" s="64"/>
      <c r="I181" s="79"/>
      <c r="J181" s="136"/>
      <c r="K181" s="43"/>
    </row>
    <row r="182" spans="3:11" ht="18" customHeight="1" x14ac:dyDescent="0.3">
      <c r="F182" s="63"/>
      <c r="G182" s="77"/>
      <c r="H182" s="64"/>
      <c r="I182" s="79"/>
      <c r="J182" s="136"/>
      <c r="K182" s="43"/>
    </row>
    <row r="183" spans="3:11" ht="18" customHeight="1" x14ac:dyDescent="0.3">
      <c r="F183" s="63"/>
      <c r="G183" s="77"/>
      <c r="H183" s="64"/>
      <c r="I183" s="79"/>
      <c r="J183" s="136"/>
      <c r="K183" s="43"/>
    </row>
    <row r="184" spans="3:11" ht="18" customHeight="1" x14ac:dyDescent="0.3">
      <c r="F184" s="63"/>
      <c r="G184" s="77"/>
      <c r="H184" s="64"/>
      <c r="I184" s="79"/>
      <c r="J184" s="136"/>
      <c r="K184" s="43"/>
    </row>
    <row r="185" spans="3:11" ht="18" customHeight="1" x14ac:dyDescent="0.3">
      <c r="C185" s="141"/>
      <c r="F185" s="63"/>
      <c r="G185" s="77"/>
      <c r="H185" s="64"/>
      <c r="I185" s="79"/>
      <c r="J185" s="136"/>
      <c r="K185" s="43"/>
    </row>
    <row r="186" spans="3:11" ht="18" customHeight="1" x14ac:dyDescent="0.3">
      <c r="C186" s="141"/>
      <c r="F186" s="63"/>
      <c r="G186" s="77"/>
      <c r="H186" s="64"/>
      <c r="I186" s="79"/>
      <c r="J186" s="136"/>
      <c r="K186" s="43"/>
    </row>
    <row r="187" spans="3:11" ht="18" customHeight="1" x14ac:dyDescent="0.3">
      <c r="C187" s="141"/>
      <c r="F187" s="63"/>
      <c r="G187" s="77"/>
      <c r="H187" s="64"/>
      <c r="I187" s="79"/>
      <c r="J187" s="136"/>
      <c r="K187" s="43"/>
    </row>
    <row r="188" spans="3:11" ht="18" customHeight="1" x14ac:dyDescent="0.3">
      <c r="C188" s="141"/>
      <c r="F188" s="63"/>
      <c r="G188" s="77"/>
      <c r="H188" s="64"/>
      <c r="I188" s="79"/>
      <c r="J188" s="136"/>
      <c r="K188" s="43"/>
    </row>
    <row r="189" spans="3:11" ht="18" customHeight="1" x14ac:dyDescent="0.3">
      <c r="C189" s="141"/>
      <c r="F189" s="63"/>
      <c r="G189" s="77"/>
      <c r="H189" s="64"/>
      <c r="I189" s="79"/>
      <c r="J189" s="136"/>
      <c r="K189" s="43"/>
    </row>
    <row r="190" spans="3:11" ht="18" customHeight="1" x14ac:dyDescent="0.3">
      <c r="C190" s="141"/>
      <c r="F190" s="63"/>
      <c r="G190" s="77"/>
      <c r="H190" s="64"/>
      <c r="I190" s="79"/>
      <c r="J190" s="136"/>
      <c r="K190" s="43"/>
    </row>
    <row r="191" spans="3:11" ht="18" customHeight="1" x14ac:dyDescent="0.3">
      <c r="C191" s="141"/>
      <c r="F191" s="63"/>
      <c r="G191" s="77"/>
      <c r="H191" s="64"/>
      <c r="I191" s="79"/>
      <c r="J191" s="136"/>
      <c r="K191" s="43"/>
    </row>
    <row r="192" spans="3:11" ht="18" customHeight="1" x14ac:dyDescent="0.3">
      <c r="C192" s="141"/>
      <c r="F192" s="63"/>
      <c r="G192" s="77"/>
      <c r="H192" s="64"/>
      <c r="I192" s="79"/>
      <c r="J192" s="136"/>
      <c r="K192" s="43"/>
    </row>
    <row r="193" spans="1:11" ht="18" customHeight="1" x14ac:dyDescent="0.3">
      <c r="C193" s="141"/>
      <c r="F193" s="63"/>
      <c r="G193" s="77"/>
      <c r="H193" s="64"/>
      <c r="I193" s="79"/>
      <c r="J193" s="136"/>
      <c r="K193" s="43"/>
    </row>
    <row r="194" spans="1:11" ht="18" customHeight="1" x14ac:dyDescent="0.3">
      <c r="C194" s="141"/>
      <c r="F194" s="63"/>
      <c r="G194" s="77"/>
      <c r="H194" s="64"/>
      <c r="I194" s="79"/>
      <c r="J194" s="136"/>
      <c r="K194" s="43"/>
    </row>
    <row r="195" spans="1:11" ht="18" customHeight="1" x14ac:dyDescent="0.3">
      <c r="C195" s="141"/>
      <c r="F195" s="63"/>
      <c r="G195" s="77"/>
      <c r="H195" s="64"/>
      <c r="I195" s="79"/>
      <c r="J195" s="136"/>
      <c r="K195" s="43"/>
    </row>
    <row r="196" spans="1:11" ht="18" customHeight="1" x14ac:dyDescent="0.3">
      <c r="C196" s="141"/>
      <c r="F196" s="63"/>
      <c r="G196" s="77"/>
      <c r="H196" s="64"/>
      <c r="I196" s="79"/>
      <c r="J196" s="136"/>
      <c r="K196" s="43"/>
    </row>
    <row r="197" spans="1:11" ht="18" customHeight="1" x14ac:dyDescent="0.3">
      <c r="C197" s="141"/>
      <c r="F197" s="63"/>
      <c r="G197" s="77"/>
      <c r="H197" s="64"/>
      <c r="I197" s="79"/>
      <c r="J197" s="136"/>
      <c r="K197" s="43"/>
    </row>
    <row r="198" spans="1:11" ht="18" customHeight="1" x14ac:dyDescent="0.3">
      <c r="C198" s="141"/>
      <c r="F198" s="63"/>
      <c r="G198" s="77"/>
      <c r="H198" s="64"/>
      <c r="I198" s="79"/>
      <c r="J198" s="136"/>
      <c r="K198" s="43"/>
    </row>
    <row r="199" spans="1:11" ht="18" customHeight="1" x14ac:dyDescent="0.3">
      <c r="C199" s="141"/>
      <c r="F199" s="63"/>
      <c r="K199" s="43"/>
    </row>
    <row r="200" spans="1:11" s="43" customFormat="1" ht="18" customHeight="1" x14ac:dyDescent="0.3">
      <c r="A200" s="1"/>
      <c r="B200" s="138"/>
      <c r="C200" s="141"/>
      <c r="D200" s="139"/>
      <c r="E200" s="64"/>
      <c r="F200" s="62"/>
      <c r="G200" s="63"/>
      <c r="H200" s="77"/>
      <c r="I200" s="64"/>
      <c r="J200" s="79"/>
      <c r="K200" s="136"/>
    </row>
    <row r="201" spans="1:11" s="43" customFormat="1" ht="18" customHeight="1" x14ac:dyDescent="0.3">
      <c r="A201" s="1"/>
      <c r="B201" s="138"/>
      <c r="C201" s="141"/>
      <c r="D201" s="139"/>
      <c r="E201" s="64"/>
      <c r="F201" s="62"/>
      <c r="G201" s="63"/>
      <c r="H201" s="77"/>
      <c r="I201" s="64"/>
      <c r="J201" s="79"/>
      <c r="K201" s="136"/>
    </row>
    <row r="202" spans="1:11" s="43" customFormat="1" ht="18" customHeight="1" x14ac:dyDescent="0.3">
      <c r="A202" s="1"/>
      <c r="B202" s="138"/>
      <c r="C202" s="141"/>
      <c r="D202" s="139"/>
      <c r="E202" s="64"/>
      <c r="F202" s="62"/>
      <c r="G202" s="63"/>
      <c r="H202" s="77"/>
      <c r="I202" s="64"/>
      <c r="J202" s="79"/>
      <c r="K202" s="136"/>
    </row>
    <row r="203" spans="1:11" s="43" customFormat="1" ht="18" customHeight="1" x14ac:dyDescent="0.3">
      <c r="A203" s="1"/>
      <c r="B203" s="138"/>
      <c r="C203" s="141"/>
      <c r="D203" s="139"/>
      <c r="E203" s="64"/>
      <c r="F203" s="62"/>
      <c r="G203" s="63"/>
      <c r="H203" s="77"/>
      <c r="I203" s="64"/>
      <c r="J203" s="79"/>
      <c r="K203" s="136"/>
    </row>
    <row r="204" spans="1:11" s="43" customFormat="1" ht="18" customHeight="1" x14ac:dyDescent="0.3">
      <c r="A204" s="1"/>
      <c r="B204" s="138"/>
      <c r="C204" s="141"/>
      <c r="D204" s="139"/>
      <c r="E204" s="64"/>
      <c r="F204" s="62"/>
      <c r="G204" s="63"/>
      <c r="H204" s="77"/>
      <c r="I204" s="64"/>
      <c r="J204" s="79"/>
      <c r="K204" s="136"/>
    </row>
    <row r="205" spans="1:11" s="43" customFormat="1" ht="18" customHeight="1" x14ac:dyDescent="0.3">
      <c r="A205" s="1"/>
      <c r="B205" s="138"/>
      <c r="C205" s="141"/>
      <c r="D205" s="139"/>
      <c r="E205" s="64"/>
      <c r="F205" s="62"/>
      <c r="G205" s="63"/>
      <c r="H205" s="77"/>
      <c r="I205" s="64"/>
      <c r="J205" s="79"/>
      <c r="K205" s="136"/>
    </row>
    <row r="206" spans="1:11" s="43" customFormat="1" ht="18" customHeight="1" x14ac:dyDescent="0.3">
      <c r="A206" s="1"/>
      <c r="B206" s="138"/>
      <c r="C206" s="141"/>
      <c r="D206" s="139"/>
      <c r="E206" s="64"/>
      <c r="F206" s="62"/>
      <c r="G206" s="63"/>
      <c r="H206" s="77"/>
      <c r="I206" s="64"/>
      <c r="J206" s="79"/>
      <c r="K206" s="136"/>
    </row>
    <row r="207" spans="1:11" s="43" customFormat="1" ht="18" customHeight="1" x14ac:dyDescent="0.3">
      <c r="A207" s="1"/>
      <c r="B207" s="138"/>
      <c r="C207" s="141"/>
      <c r="D207" s="139"/>
      <c r="E207" s="64"/>
      <c r="F207" s="62"/>
      <c r="G207" s="63"/>
      <c r="H207" s="77"/>
      <c r="I207" s="64"/>
      <c r="J207" s="79"/>
      <c r="K207" s="136"/>
    </row>
    <row r="208" spans="1:11" s="43" customFormat="1" ht="18" customHeight="1" x14ac:dyDescent="0.3">
      <c r="A208" s="1"/>
      <c r="B208" s="138"/>
      <c r="C208" s="141"/>
      <c r="D208" s="139"/>
      <c r="E208" s="64"/>
      <c r="F208" s="62"/>
      <c r="G208" s="63"/>
      <c r="H208" s="77"/>
      <c r="I208" s="64"/>
      <c r="J208" s="79"/>
      <c r="K208" s="136"/>
    </row>
    <row r="209" spans="1:11" s="43" customFormat="1" ht="18" customHeight="1" x14ac:dyDescent="0.3">
      <c r="A209" s="1"/>
      <c r="B209" s="138"/>
      <c r="C209" s="141"/>
      <c r="D209" s="139"/>
      <c r="E209" s="64"/>
      <c r="F209" s="62"/>
      <c r="G209" s="63"/>
      <c r="H209" s="77"/>
      <c r="I209" s="64"/>
      <c r="J209" s="79"/>
      <c r="K209" s="136"/>
    </row>
    <row r="210" spans="1:11" s="43" customFormat="1" ht="18" customHeight="1" x14ac:dyDescent="0.3">
      <c r="A210" s="1"/>
      <c r="B210" s="138"/>
      <c r="C210" s="141"/>
      <c r="D210" s="139"/>
      <c r="E210" s="64"/>
      <c r="F210" s="62"/>
      <c r="G210" s="63"/>
      <c r="H210" s="77"/>
      <c r="I210" s="64"/>
      <c r="J210" s="79"/>
      <c r="K210" s="136"/>
    </row>
    <row r="211" spans="1:11" s="43" customFormat="1" ht="18" customHeight="1" x14ac:dyDescent="0.3">
      <c r="A211" s="1"/>
      <c r="B211" s="138"/>
      <c r="C211" s="141"/>
      <c r="D211" s="139"/>
      <c r="E211" s="64"/>
      <c r="F211" s="62"/>
      <c r="G211" s="63"/>
      <c r="H211" s="77"/>
      <c r="I211" s="64"/>
      <c r="J211" s="79"/>
      <c r="K211" s="136"/>
    </row>
    <row r="212" spans="1:11" s="43" customFormat="1" ht="18" customHeight="1" x14ac:dyDescent="0.3">
      <c r="A212" s="1"/>
      <c r="B212" s="138"/>
      <c r="C212" s="141"/>
      <c r="D212" s="139"/>
      <c r="E212" s="64"/>
      <c r="F212" s="62"/>
      <c r="G212" s="63"/>
      <c r="H212" s="77"/>
      <c r="I212" s="64"/>
      <c r="J212" s="79"/>
      <c r="K212" s="136"/>
    </row>
    <row r="213" spans="1:11" s="43" customFormat="1" ht="18" customHeight="1" x14ac:dyDescent="0.3">
      <c r="A213" s="1"/>
      <c r="B213" s="138"/>
      <c r="C213" s="141"/>
      <c r="D213" s="139"/>
      <c r="E213" s="64"/>
      <c r="F213" s="62"/>
      <c r="G213" s="63"/>
      <c r="H213" s="77"/>
      <c r="I213" s="64"/>
      <c r="J213" s="79"/>
      <c r="K213" s="136"/>
    </row>
    <row r="214" spans="1:11" s="43" customFormat="1" ht="18" customHeight="1" x14ac:dyDescent="0.3">
      <c r="A214" s="1"/>
      <c r="B214" s="138"/>
      <c r="C214" s="141"/>
      <c r="D214" s="139"/>
      <c r="E214" s="64"/>
      <c r="F214" s="62"/>
      <c r="G214" s="63"/>
      <c r="H214" s="77"/>
      <c r="I214" s="64"/>
      <c r="J214" s="79"/>
      <c r="K214" s="136"/>
    </row>
    <row r="215" spans="1:11" s="43" customFormat="1" ht="18" customHeight="1" x14ac:dyDescent="0.3">
      <c r="A215" s="1"/>
      <c r="B215" s="138"/>
      <c r="C215" s="141"/>
      <c r="D215" s="139"/>
      <c r="E215" s="64"/>
      <c r="F215" s="62"/>
      <c r="G215" s="63"/>
      <c r="H215" s="77"/>
      <c r="I215" s="64"/>
      <c r="J215" s="79"/>
      <c r="K215" s="136"/>
    </row>
    <row r="216" spans="1:11" s="43" customFormat="1" ht="18" customHeight="1" x14ac:dyDescent="0.3">
      <c r="A216" s="1"/>
      <c r="B216" s="138"/>
      <c r="C216" s="141"/>
      <c r="D216" s="139"/>
      <c r="E216" s="64"/>
      <c r="F216" s="62"/>
      <c r="G216" s="63"/>
      <c r="H216" s="77"/>
      <c r="I216" s="64"/>
      <c r="J216" s="79"/>
      <c r="K216" s="136"/>
    </row>
    <row r="217" spans="1:11" s="43" customFormat="1" ht="18" customHeight="1" x14ac:dyDescent="0.3">
      <c r="A217" s="1"/>
      <c r="B217" s="138"/>
      <c r="C217" s="141"/>
      <c r="D217" s="139"/>
      <c r="E217" s="64"/>
      <c r="F217" s="62"/>
      <c r="G217" s="63"/>
      <c r="H217" s="77"/>
      <c r="I217" s="64"/>
      <c r="J217" s="79"/>
      <c r="K217" s="136"/>
    </row>
    <row r="218" spans="1:11" s="43" customFormat="1" ht="18" customHeight="1" x14ac:dyDescent="0.3">
      <c r="A218" s="1"/>
      <c r="B218" s="138"/>
      <c r="C218" s="141"/>
      <c r="D218" s="139"/>
      <c r="E218" s="64"/>
      <c r="F218" s="62"/>
      <c r="G218" s="63"/>
      <c r="H218" s="77"/>
      <c r="I218" s="64"/>
      <c r="J218" s="79"/>
      <c r="K218" s="136"/>
    </row>
    <row r="219" spans="1:11" s="43" customFormat="1" ht="18" customHeight="1" x14ac:dyDescent="0.3">
      <c r="A219" s="1"/>
      <c r="B219" s="138"/>
      <c r="C219" s="141"/>
      <c r="D219" s="139"/>
      <c r="E219" s="64"/>
      <c r="F219" s="62"/>
      <c r="G219" s="63"/>
      <c r="H219" s="77"/>
      <c r="I219" s="64"/>
      <c r="J219" s="79"/>
      <c r="K219" s="136"/>
    </row>
    <row r="220" spans="1:11" s="43" customFormat="1" ht="18" customHeight="1" x14ac:dyDescent="0.3">
      <c r="A220" s="1"/>
      <c r="B220" s="138"/>
      <c r="C220" s="141"/>
      <c r="D220" s="139"/>
      <c r="E220" s="64"/>
      <c r="F220" s="62"/>
      <c r="G220" s="63"/>
      <c r="H220" s="77"/>
      <c r="I220" s="64"/>
      <c r="J220" s="79"/>
      <c r="K220" s="136"/>
    </row>
    <row r="221" spans="1:11" s="43" customFormat="1" ht="18" customHeight="1" x14ac:dyDescent="0.3">
      <c r="A221" s="1"/>
      <c r="B221" s="138"/>
      <c r="C221" s="141"/>
      <c r="D221" s="139"/>
      <c r="E221" s="64"/>
      <c r="F221" s="62"/>
      <c r="G221" s="63"/>
      <c r="H221" s="77"/>
      <c r="I221" s="64"/>
      <c r="J221" s="79"/>
      <c r="K221" s="136"/>
    </row>
    <row r="222" spans="1:11" s="43" customFormat="1" ht="18" customHeight="1" x14ac:dyDescent="0.3">
      <c r="A222" s="1"/>
      <c r="B222" s="138"/>
      <c r="C222" s="141"/>
      <c r="D222" s="139"/>
      <c r="E222" s="64"/>
      <c r="F222" s="62"/>
      <c r="G222" s="63"/>
      <c r="H222" s="77"/>
      <c r="I222" s="64"/>
      <c r="J222" s="79"/>
      <c r="K222" s="136"/>
    </row>
    <row r="223" spans="1:11" s="43" customFormat="1" ht="18" customHeight="1" x14ac:dyDescent="0.3">
      <c r="A223" s="1"/>
      <c r="B223" s="138"/>
      <c r="C223" s="141"/>
      <c r="D223" s="139"/>
      <c r="E223" s="64"/>
      <c r="F223" s="62"/>
      <c r="G223" s="63"/>
      <c r="H223" s="77"/>
      <c r="I223" s="64"/>
      <c r="J223" s="79"/>
      <c r="K223" s="136"/>
    </row>
    <row r="224" spans="1:11" s="43" customFormat="1" ht="18" customHeight="1" x14ac:dyDescent="0.3">
      <c r="A224" s="1"/>
      <c r="B224" s="138"/>
      <c r="C224" s="141"/>
      <c r="D224" s="139"/>
      <c r="E224" s="64"/>
      <c r="F224" s="62"/>
      <c r="G224" s="63"/>
      <c r="H224" s="77"/>
      <c r="I224" s="64"/>
      <c r="J224" s="79"/>
      <c r="K224" s="136"/>
    </row>
    <row r="225" spans="1:11" s="43" customFormat="1" ht="18" customHeight="1" x14ac:dyDescent="0.3">
      <c r="A225" s="1"/>
      <c r="B225" s="138"/>
      <c r="C225" s="141"/>
      <c r="D225" s="139"/>
      <c r="E225" s="64"/>
      <c r="F225" s="62"/>
      <c r="G225" s="63"/>
      <c r="H225" s="77"/>
      <c r="I225" s="64"/>
      <c r="J225" s="79"/>
      <c r="K225" s="136"/>
    </row>
    <row r="226" spans="1:11" s="43" customFormat="1" ht="18" customHeight="1" x14ac:dyDescent="0.3">
      <c r="A226" s="1"/>
      <c r="B226" s="138"/>
      <c r="C226" s="141"/>
      <c r="D226" s="139"/>
      <c r="E226" s="64"/>
      <c r="F226" s="62"/>
      <c r="G226" s="63"/>
      <c r="H226" s="77"/>
      <c r="I226" s="64"/>
      <c r="J226" s="79"/>
      <c r="K226" s="136"/>
    </row>
    <row r="227" spans="1:11" s="43" customFormat="1" ht="18" customHeight="1" x14ac:dyDescent="0.3">
      <c r="A227" s="1"/>
      <c r="B227" s="138"/>
      <c r="C227" s="141"/>
      <c r="D227" s="139"/>
      <c r="E227" s="64"/>
      <c r="F227" s="62"/>
      <c r="G227" s="63"/>
      <c r="H227" s="77"/>
      <c r="I227" s="64"/>
      <c r="J227" s="79"/>
      <c r="K227" s="136"/>
    </row>
    <row r="228" spans="1:11" s="43" customFormat="1" ht="18" customHeight="1" x14ac:dyDescent="0.3">
      <c r="A228" s="1"/>
      <c r="B228" s="138"/>
      <c r="C228" s="141"/>
      <c r="D228" s="139"/>
      <c r="E228" s="64"/>
      <c r="F228" s="62"/>
      <c r="G228" s="63"/>
      <c r="H228" s="77"/>
      <c r="I228" s="64"/>
      <c r="J228" s="79"/>
      <c r="K228" s="136"/>
    </row>
    <row r="229" spans="1:11" s="43" customFormat="1" ht="18" customHeight="1" x14ac:dyDescent="0.3">
      <c r="A229" s="1"/>
      <c r="B229" s="138"/>
      <c r="C229" s="141"/>
      <c r="D229" s="139"/>
      <c r="E229" s="64"/>
      <c r="F229" s="62"/>
      <c r="G229" s="63"/>
      <c r="H229" s="77"/>
      <c r="I229" s="64"/>
      <c r="J229" s="79"/>
      <c r="K229" s="136"/>
    </row>
    <row r="230" spans="1:11" s="43" customFormat="1" ht="18" customHeight="1" x14ac:dyDescent="0.3">
      <c r="A230" s="1"/>
      <c r="B230" s="138"/>
      <c r="C230" s="141"/>
      <c r="D230" s="139"/>
      <c r="E230" s="64"/>
      <c r="F230" s="62"/>
      <c r="G230" s="63"/>
      <c r="H230" s="77"/>
      <c r="I230" s="64"/>
      <c r="J230" s="79"/>
      <c r="K230" s="136"/>
    </row>
    <row r="231" spans="1:11" s="43" customFormat="1" ht="18" customHeight="1" x14ac:dyDescent="0.3">
      <c r="A231" s="1"/>
      <c r="B231" s="138"/>
      <c r="C231" s="141"/>
      <c r="D231" s="139"/>
      <c r="E231" s="64"/>
      <c r="F231" s="62"/>
      <c r="G231" s="63"/>
      <c r="H231" s="77"/>
      <c r="I231" s="64"/>
      <c r="J231" s="79"/>
      <c r="K231" s="136"/>
    </row>
    <row r="232" spans="1:11" s="43" customFormat="1" ht="18" customHeight="1" x14ac:dyDescent="0.3">
      <c r="A232" s="1"/>
      <c r="B232" s="138"/>
      <c r="C232" s="141"/>
      <c r="D232" s="139"/>
      <c r="E232" s="64"/>
      <c r="F232" s="62"/>
      <c r="G232" s="63"/>
      <c r="H232" s="77"/>
      <c r="I232" s="64"/>
      <c r="J232" s="79"/>
      <c r="K232" s="136"/>
    </row>
    <row r="233" spans="1:11" s="43" customFormat="1" ht="18" customHeight="1" x14ac:dyDescent="0.3">
      <c r="A233" s="1"/>
      <c r="B233" s="138"/>
      <c r="C233" s="141"/>
      <c r="D233" s="139"/>
      <c r="E233" s="64"/>
      <c r="F233" s="62"/>
      <c r="G233" s="63"/>
      <c r="H233" s="77"/>
      <c r="I233" s="64"/>
      <c r="J233" s="79"/>
      <c r="K233" s="136"/>
    </row>
    <row r="234" spans="1:11" s="43" customFormat="1" ht="18" customHeight="1" x14ac:dyDescent="0.3">
      <c r="A234" s="1"/>
      <c r="B234" s="138"/>
      <c r="C234" s="141"/>
      <c r="D234" s="139"/>
      <c r="E234" s="64"/>
      <c r="F234" s="62"/>
      <c r="G234" s="63"/>
      <c r="H234" s="77"/>
      <c r="I234" s="64"/>
      <c r="J234" s="79"/>
      <c r="K234" s="136"/>
    </row>
    <row r="235" spans="1:11" s="43" customFormat="1" ht="18" customHeight="1" x14ac:dyDescent="0.3">
      <c r="A235" s="1"/>
      <c r="B235" s="138"/>
      <c r="C235" s="141"/>
      <c r="D235" s="139"/>
      <c r="E235" s="64"/>
      <c r="F235" s="62"/>
      <c r="G235" s="63"/>
      <c r="H235" s="77"/>
      <c r="I235" s="64"/>
      <c r="J235" s="79"/>
      <c r="K235" s="136"/>
    </row>
    <row r="236" spans="1:11" s="43" customFormat="1" ht="18" customHeight="1" x14ac:dyDescent="0.3">
      <c r="A236" s="1"/>
      <c r="B236" s="138"/>
      <c r="C236" s="141"/>
      <c r="D236" s="139"/>
      <c r="E236" s="64"/>
      <c r="F236" s="62"/>
      <c r="G236" s="63"/>
      <c r="H236" s="77"/>
      <c r="I236" s="64"/>
      <c r="J236" s="79"/>
      <c r="K236" s="136"/>
    </row>
    <row r="237" spans="1:11" s="43" customFormat="1" ht="18" customHeight="1" x14ac:dyDescent="0.3">
      <c r="A237" s="1"/>
      <c r="B237" s="138"/>
      <c r="C237" s="141"/>
      <c r="D237" s="139"/>
      <c r="E237" s="64"/>
      <c r="F237" s="62"/>
      <c r="G237" s="63"/>
      <c r="H237" s="77"/>
      <c r="I237" s="64"/>
      <c r="J237" s="79"/>
      <c r="K237" s="136"/>
    </row>
    <row r="238" spans="1:11" s="43" customFormat="1" ht="18" customHeight="1" x14ac:dyDescent="0.3">
      <c r="A238" s="1"/>
      <c r="B238" s="138"/>
      <c r="C238" s="141"/>
      <c r="D238" s="139"/>
      <c r="E238" s="64"/>
      <c r="F238" s="62"/>
      <c r="G238" s="63"/>
      <c r="H238" s="77"/>
      <c r="I238" s="64"/>
      <c r="J238" s="79"/>
      <c r="K238" s="136"/>
    </row>
    <row r="239" spans="1:11" s="43" customFormat="1" ht="18" customHeight="1" x14ac:dyDescent="0.3">
      <c r="A239" s="1"/>
      <c r="B239" s="138"/>
      <c r="C239" s="141"/>
      <c r="D239" s="139"/>
      <c r="E239" s="64"/>
      <c r="F239" s="62"/>
      <c r="G239" s="63"/>
      <c r="H239" s="77"/>
      <c r="I239" s="64"/>
      <c r="J239" s="79"/>
      <c r="K239" s="136"/>
    </row>
    <row r="240" spans="1:11" s="43" customFormat="1" ht="18" customHeight="1" x14ac:dyDescent="0.3">
      <c r="A240" s="1"/>
      <c r="B240" s="138"/>
      <c r="C240" s="141"/>
      <c r="D240" s="139"/>
      <c r="E240" s="64"/>
      <c r="F240" s="62"/>
      <c r="G240" s="63"/>
      <c r="H240" s="77"/>
      <c r="I240" s="64"/>
      <c r="J240" s="79"/>
      <c r="K240" s="136"/>
    </row>
    <row r="241" spans="1:11" s="43" customFormat="1" ht="18" customHeight="1" x14ac:dyDescent="0.3">
      <c r="A241" s="1"/>
      <c r="B241" s="138"/>
      <c r="C241" s="141"/>
      <c r="D241" s="139"/>
      <c r="E241" s="64"/>
      <c r="F241" s="62"/>
      <c r="G241" s="63"/>
      <c r="H241" s="77"/>
      <c r="I241" s="64"/>
      <c r="J241" s="79"/>
      <c r="K241" s="136"/>
    </row>
    <row r="242" spans="1:11" s="43" customFormat="1" ht="18" customHeight="1" x14ac:dyDescent="0.3">
      <c r="A242" s="1"/>
      <c r="B242" s="138"/>
      <c r="C242" s="141"/>
      <c r="D242" s="139"/>
      <c r="E242" s="64"/>
      <c r="F242" s="62"/>
      <c r="G242" s="63"/>
      <c r="H242" s="77"/>
      <c r="I242" s="64"/>
      <c r="J242" s="79"/>
      <c r="K242" s="136"/>
    </row>
    <row r="243" spans="1:11" s="43" customFormat="1" ht="18" customHeight="1" x14ac:dyDescent="0.3">
      <c r="A243" s="1"/>
      <c r="B243" s="138"/>
      <c r="C243" s="141"/>
      <c r="D243" s="139"/>
      <c r="E243" s="64"/>
      <c r="F243" s="62"/>
      <c r="G243" s="63"/>
      <c r="H243" s="77"/>
      <c r="I243" s="64"/>
      <c r="J243" s="79"/>
      <c r="K243" s="136"/>
    </row>
    <row r="244" spans="1:11" s="43" customFormat="1" ht="18" customHeight="1" x14ac:dyDescent="0.3">
      <c r="A244" s="1"/>
      <c r="B244" s="138"/>
      <c r="C244" s="141"/>
      <c r="D244" s="139"/>
      <c r="E244" s="64"/>
      <c r="F244" s="62"/>
      <c r="G244" s="63"/>
      <c r="H244" s="77"/>
      <c r="I244" s="64"/>
      <c r="J244" s="79"/>
      <c r="K244" s="136"/>
    </row>
    <row r="245" spans="1:11" s="43" customFormat="1" ht="18" customHeight="1" x14ac:dyDescent="0.3">
      <c r="A245" s="1"/>
      <c r="B245" s="138"/>
      <c r="C245" s="141"/>
      <c r="D245" s="139"/>
      <c r="E245" s="64"/>
      <c r="F245" s="62"/>
      <c r="G245" s="63"/>
      <c r="H245" s="77"/>
      <c r="I245" s="64"/>
      <c r="J245" s="79"/>
      <c r="K245" s="136"/>
    </row>
    <row r="246" spans="1:11" s="43" customFormat="1" ht="18" customHeight="1" x14ac:dyDescent="0.3">
      <c r="A246" s="1"/>
      <c r="B246" s="138"/>
      <c r="C246" s="141"/>
      <c r="D246" s="139"/>
      <c r="E246" s="64"/>
      <c r="F246" s="62"/>
      <c r="G246" s="63"/>
      <c r="H246" s="77"/>
      <c r="I246" s="64"/>
      <c r="J246" s="79"/>
      <c r="K246" s="136"/>
    </row>
    <row r="247" spans="1:11" s="43" customFormat="1" ht="18" customHeight="1" x14ac:dyDescent="0.3">
      <c r="A247" s="1"/>
      <c r="B247" s="138"/>
      <c r="C247" s="141"/>
      <c r="D247" s="139"/>
      <c r="E247" s="64"/>
      <c r="F247" s="62"/>
      <c r="G247" s="63"/>
      <c r="H247" s="77"/>
      <c r="I247" s="64"/>
      <c r="J247" s="79"/>
      <c r="K247" s="136"/>
    </row>
    <row r="248" spans="1:11" s="43" customFormat="1" ht="18" customHeight="1" x14ac:dyDescent="0.3">
      <c r="A248" s="1"/>
      <c r="B248" s="138"/>
      <c r="C248" s="141"/>
      <c r="D248" s="139"/>
      <c r="E248" s="64"/>
      <c r="F248" s="62"/>
      <c r="G248" s="63"/>
      <c r="H248" s="77"/>
      <c r="I248" s="64"/>
      <c r="J248" s="79"/>
      <c r="K248" s="136"/>
    </row>
    <row r="249" spans="1:11" s="43" customFormat="1" ht="18" customHeight="1" x14ac:dyDescent="0.3">
      <c r="A249" s="1"/>
      <c r="B249" s="138"/>
      <c r="C249" s="141"/>
      <c r="D249" s="139"/>
      <c r="E249" s="64"/>
      <c r="F249" s="62"/>
      <c r="G249" s="63"/>
      <c r="H249" s="77"/>
      <c r="I249" s="64"/>
      <c r="J249" s="79"/>
      <c r="K249" s="136"/>
    </row>
    <row r="250" spans="1:11" s="43" customFormat="1" ht="18" customHeight="1" x14ac:dyDescent="0.3">
      <c r="A250" s="1"/>
      <c r="B250" s="138"/>
      <c r="C250" s="141"/>
      <c r="D250" s="139"/>
      <c r="E250" s="64"/>
      <c r="F250" s="62"/>
      <c r="G250" s="63"/>
      <c r="H250" s="77"/>
      <c r="I250" s="64"/>
      <c r="J250" s="79"/>
      <c r="K250" s="136"/>
    </row>
    <row r="251" spans="1:11" s="43" customFormat="1" ht="18" customHeight="1" x14ac:dyDescent="0.3">
      <c r="A251" s="1"/>
      <c r="B251" s="138"/>
      <c r="C251" s="141"/>
      <c r="D251" s="139"/>
      <c r="E251" s="64"/>
      <c r="F251" s="62"/>
      <c r="G251" s="63"/>
      <c r="H251" s="77"/>
      <c r="I251" s="64"/>
      <c r="J251" s="79"/>
      <c r="K251" s="136"/>
    </row>
    <row r="252" spans="1:11" s="43" customFormat="1" ht="18" customHeight="1" x14ac:dyDescent="0.3">
      <c r="A252" s="1"/>
      <c r="B252" s="138"/>
      <c r="C252" s="141"/>
      <c r="D252" s="139"/>
      <c r="E252" s="64"/>
      <c r="F252" s="62"/>
      <c r="G252" s="63"/>
      <c r="H252" s="77"/>
      <c r="I252" s="64"/>
      <c r="J252" s="79"/>
      <c r="K252" s="136"/>
    </row>
    <row r="253" spans="1:11" s="43" customFormat="1" ht="18" customHeight="1" x14ac:dyDescent="0.3">
      <c r="A253" s="1"/>
      <c r="B253" s="138"/>
      <c r="C253" s="141"/>
      <c r="D253" s="139"/>
      <c r="E253" s="64"/>
      <c r="F253" s="62"/>
      <c r="G253" s="63"/>
      <c r="H253" s="77"/>
      <c r="I253" s="64"/>
      <c r="J253" s="79"/>
      <c r="K253" s="136"/>
    </row>
    <row r="254" spans="1:11" s="43" customFormat="1" ht="18" customHeight="1" x14ac:dyDescent="0.3">
      <c r="A254" s="1"/>
      <c r="B254" s="138"/>
      <c r="C254" s="141"/>
      <c r="D254" s="139"/>
      <c r="E254" s="64"/>
      <c r="F254" s="62"/>
      <c r="G254" s="63"/>
      <c r="H254" s="77"/>
      <c r="I254" s="64"/>
      <c r="J254" s="79"/>
      <c r="K254" s="136"/>
    </row>
    <row r="255" spans="1:11" s="43" customFormat="1" ht="18" customHeight="1" x14ac:dyDescent="0.3">
      <c r="A255" s="1"/>
      <c r="B255" s="138"/>
      <c r="C255" s="141"/>
      <c r="D255" s="139"/>
      <c r="E255" s="64"/>
      <c r="F255" s="62"/>
      <c r="G255" s="63"/>
      <c r="H255" s="77"/>
      <c r="I255" s="64"/>
      <c r="J255" s="79"/>
      <c r="K255" s="136"/>
    </row>
    <row r="256" spans="1:11" s="43" customFormat="1" ht="18" customHeight="1" x14ac:dyDescent="0.3">
      <c r="A256" s="1"/>
      <c r="B256" s="138"/>
      <c r="C256" s="141"/>
      <c r="D256" s="139"/>
      <c r="E256" s="64"/>
      <c r="F256" s="62"/>
      <c r="G256" s="63"/>
      <c r="H256" s="77"/>
      <c r="I256" s="64"/>
      <c r="J256" s="79"/>
      <c r="K256" s="136"/>
    </row>
    <row r="257" spans="1:11" s="43" customFormat="1" ht="18" customHeight="1" x14ac:dyDescent="0.3">
      <c r="A257" s="1"/>
      <c r="B257" s="138"/>
      <c r="C257" s="141"/>
      <c r="D257" s="139"/>
      <c r="E257" s="64"/>
      <c r="F257" s="62"/>
      <c r="G257" s="63"/>
      <c r="H257" s="77"/>
      <c r="I257" s="64"/>
      <c r="J257" s="79"/>
      <c r="K257" s="136"/>
    </row>
    <row r="258" spans="1:11" s="43" customFormat="1" ht="18" customHeight="1" x14ac:dyDescent="0.3">
      <c r="A258" s="1"/>
      <c r="B258" s="138"/>
      <c r="C258" s="141"/>
      <c r="D258" s="139"/>
      <c r="E258" s="64"/>
      <c r="F258" s="62"/>
      <c r="G258" s="63"/>
      <c r="H258" s="77"/>
      <c r="I258" s="64"/>
      <c r="J258" s="79"/>
      <c r="K258" s="136"/>
    </row>
    <row r="259" spans="1:11" s="43" customFormat="1" ht="18" customHeight="1" x14ac:dyDescent="0.3">
      <c r="A259" s="1"/>
      <c r="B259" s="138"/>
      <c r="C259" s="141"/>
      <c r="D259" s="139"/>
      <c r="E259" s="64"/>
      <c r="F259" s="62"/>
      <c r="G259" s="63"/>
      <c r="H259" s="77"/>
      <c r="I259" s="64"/>
      <c r="J259" s="79"/>
      <c r="K259" s="136"/>
    </row>
    <row r="260" spans="1:11" s="43" customFormat="1" ht="18" customHeight="1" x14ac:dyDescent="0.3">
      <c r="A260" s="1"/>
      <c r="B260" s="138"/>
      <c r="C260" s="141"/>
      <c r="D260" s="139"/>
      <c r="E260" s="64"/>
      <c r="F260" s="62"/>
      <c r="G260" s="63"/>
      <c r="H260" s="77"/>
      <c r="I260" s="64"/>
      <c r="J260" s="79"/>
      <c r="K260" s="136"/>
    </row>
    <row r="261" spans="1:11" s="43" customFormat="1" ht="18" customHeight="1" x14ac:dyDescent="0.3">
      <c r="A261" s="1"/>
      <c r="B261" s="138"/>
      <c r="C261" s="141"/>
      <c r="D261" s="139"/>
      <c r="E261" s="64"/>
      <c r="F261" s="62"/>
      <c r="G261" s="63"/>
      <c r="H261" s="77"/>
      <c r="I261" s="64"/>
      <c r="J261" s="79"/>
      <c r="K261" s="136"/>
    </row>
    <row r="262" spans="1:11" s="43" customFormat="1" ht="18" customHeight="1" x14ac:dyDescent="0.3">
      <c r="A262" s="1"/>
      <c r="B262" s="138"/>
      <c r="C262" s="141"/>
      <c r="D262" s="139"/>
      <c r="E262" s="64"/>
      <c r="F262" s="62"/>
      <c r="G262" s="63"/>
      <c r="H262" s="77"/>
      <c r="I262" s="64"/>
      <c r="J262" s="79"/>
      <c r="K262" s="136"/>
    </row>
    <row r="263" spans="1:11" s="43" customFormat="1" ht="18" customHeight="1" x14ac:dyDescent="0.3">
      <c r="A263" s="1"/>
      <c r="B263" s="138"/>
      <c r="C263" s="141"/>
      <c r="D263" s="139"/>
      <c r="E263" s="64"/>
      <c r="F263" s="62"/>
      <c r="G263" s="63"/>
      <c r="H263" s="77"/>
      <c r="I263" s="64"/>
      <c r="J263" s="79"/>
      <c r="K263" s="136"/>
    </row>
    <row r="264" spans="1:11" s="43" customFormat="1" ht="18" customHeight="1" x14ac:dyDescent="0.3">
      <c r="A264" s="1"/>
      <c r="B264" s="138"/>
      <c r="C264" s="141"/>
      <c r="D264" s="139"/>
      <c r="E264" s="64"/>
      <c r="F264" s="62"/>
      <c r="G264" s="63"/>
      <c r="H264" s="77"/>
      <c r="I264" s="64"/>
      <c r="J264" s="79"/>
      <c r="K264" s="136"/>
    </row>
    <row r="265" spans="1:11" s="43" customFormat="1" ht="18" customHeight="1" x14ac:dyDescent="0.3">
      <c r="A265" s="1"/>
      <c r="B265" s="138"/>
      <c r="C265" s="141"/>
      <c r="D265" s="139"/>
      <c r="E265" s="64"/>
      <c r="F265" s="62"/>
      <c r="G265" s="63"/>
      <c r="H265" s="77"/>
      <c r="I265" s="64"/>
      <c r="J265" s="79"/>
      <c r="K265" s="136"/>
    </row>
    <row r="266" spans="1:11" s="43" customFormat="1" ht="18" customHeight="1" x14ac:dyDescent="0.3">
      <c r="A266" s="1"/>
      <c r="B266" s="138"/>
      <c r="C266" s="141"/>
      <c r="D266" s="139"/>
      <c r="E266" s="64"/>
      <c r="F266" s="62"/>
      <c r="G266" s="63"/>
      <c r="H266" s="77"/>
      <c r="I266" s="64"/>
      <c r="J266" s="79"/>
      <c r="K266" s="136"/>
    </row>
    <row r="267" spans="1:11" s="43" customFormat="1" ht="18" customHeight="1" x14ac:dyDescent="0.3">
      <c r="A267" s="1"/>
      <c r="B267" s="138"/>
      <c r="C267" s="141"/>
      <c r="D267" s="139"/>
      <c r="E267" s="64"/>
      <c r="F267" s="62"/>
      <c r="G267" s="63"/>
      <c r="H267" s="77"/>
      <c r="I267" s="64"/>
      <c r="J267" s="79"/>
      <c r="K267" s="136"/>
    </row>
    <row r="268" spans="1:11" s="43" customFormat="1" ht="18" customHeight="1" x14ac:dyDescent="0.3">
      <c r="A268" s="1"/>
      <c r="B268" s="138"/>
      <c r="C268" s="141"/>
      <c r="D268" s="139"/>
      <c r="E268" s="64"/>
      <c r="F268" s="62"/>
      <c r="G268" s="63"/>
      <c r="H268" s="77"/>
      <c r="I268" s="64"/>
      <c r="J268" s="79"/>
      <c r="K268" s="136"/>
    </row>
    <row r="269" spans="1:11" s="43" customFormat="1" ht="18" customHeight="1" x14ac:dyDescent="0.3">
      <c r="A269" s="1"/>
      <c r="B269" s="138"/>
      <c r="C269" s="141"/>
      <c r="D269" s="139"/>
      <c r="E269" s="64"/>
      <c r="F269" s="62"/>
      <c r="G269" s="63"/>
      <c r="H269" s="77"/>
      <c r="I269" s="64"/>
      <c r="J269" s="79"/>
      <c r="K269" s="136"/>
    </row>
    <row r="270" spans="1:11" s="43" customFormat="1" ht="18" customHeight="1" x14ac:dyDescent="0.3">
      <c r="A270" s="1"/>
      <c r="B270" s="138"/>
      <c r="C270" s="141"/>
      <c r="D270" s="139"/>
      <c r="E270" s="64"/>
      <c r="F270" s="62"/>
      <c r="G270" s="63"/>
      <c r="H270" s="77"/>
      <c r="I270" s="64"/>
      <c r="J270" s="79"/>
      <c r="K270" s="136"/>
    </row>
    <row r="271" spans="1:11" s="43" customFormat="1" ht="18" customHeight="1" x14ac:dyDescent="0.3">
      <c r="A271" s="1"/>
      <c r="B271" s="138"/>
      <c r="C271" s="141"/>
      <c r="D271" s="139"/>
      <c r="E271" s="64"/>
      <c r="F271" s="62"/>
      <c r="G271" s="63"/>
      <c r="H271" s="77"/>
      <c r="I271" s="64"/>
      <c r="J271" s="79"/>
      <c r="K271" s="136"/>
    </row>
    <row r="272" spans="1:11" s="43" customFormat="1" ht="18" customHeight="1" x14ac:dyDescent="0.3">
      <c r="A272" s="1"/>
      <c r="B272" s="138"/>
      <c r="C272" s="141"/>
      <c r="D272" s="139"/>
      <c r="E272" s="64"/>
      <c r="F272" s="62"/>
      <c r="G272" s="63"/>
      <c r="H272" s="77"/>
      <c r="I272" s="64"/>
      <c r="J272" s="79"/>
      <c r="K272" s="136"/>
    </row>
    <row r="273" spans="1:11" s="43" customFormat="1" ht="18" customHeight="1" x14ac:dyDescent="0.3">
      <c r="A273" s="1"/>
      <c r="B273" s="138"/>
      <c r="C273" s="141"/>
      <c r="D273" s="139"/>
      <c r="E273" s="64"/>
      <c r="F273" s="62"/>
      <c r="G273" s="63"/>
      <c r="H273" s="77"/>
      <c r="I273" s="64"/>
      <c r="J273" s="79"/>
      <c r="K273" s="136"/>
    </row>
    <row r="274" spans="1:11" s="43" customFormat="1" ht="18" customHeight="1" x14ac:dyDescent="0.3">
      <c r="A274" s="1"/>
      <c r="B274" s="138"/>
      <c r="C274" s="141"/>
      <c r="D274" s="139"/>
      <c r="E274" s="64"/>
      <c r="F274" s="62"/>
      <c r="G274" s="63"/>
      <c r="H274" s="77"/>
      <c r="I274" s="64"/>
      <c r="J274" s="79"/>
      <c r="K274" s="136"/>
    </row>
    <row r="275" spans="1:11" s="43" customFormat="1" ht="18" customHeight="1" x14ac:dyDescent="0.3">
      <c r="A275" s="1"/>
      <c r="B275" s="138"/>
      <c r="C275" s="141"/>
      <c r="D275" s="139"/>
      <c r="E275" s="64"/>
      <c r="F275" s="62"/>
      <c r="G275" s="63"/>
      <c r="H275" s="77"/>
      <c r="I275" s="64"/>
      <c r="J275" s="79"/>
      <c r="K275" s="136"/>
    </row>
    <row r="276" spans="1:11" s="43" customFormat="1" ht="18" customHeight="1" x14ac:dyDescent="0.3">
      <c r="A276" s="1"/>
      <c r="B276" s="138"/>
      <c r="C276" s="141"/>
      <c r="D276" s="139"/>
      <c r="E276" s="64"/>
      <c r="F276" s="62"/>
      <c r="G276" s="63"/>
      <c r="H276" s="77"/>
      <c r="I276" s="64"/>
      <c r="J276" s="79"/>
      <c r="K276" s="136"/>
    </row>
    <row r="277" spans="1:11" s="43" customFormat="1" ht="18" customHeight="1" x14ac:dyDescent="0.3">
      <c r="A277" s="1"/>
      <c r="B277" s="138"/>
      <c r="C277" s="141"/>
      <c r="D277" s="139"/>
      <c r="E277" s="64"/>
      <c r="F277" s="62"/>
      <c r="G277" s="63"/>
      <c r="H277" s="77"/>
      <c r="I277" s="64"/>
      <c r="J277" s="79"/>
      <c r="K277" s="136"/>
    </row>
    <row r="278" spans="1:11" s="43" customFormat="1" ht="18" customHeight="1" x14ac:dyDescent="0.3">
      <c r="A278" s="1"/>
      <c r="B278" s="138"/>
      <c r="C278" s="141"/>
      <c r="D278" s="139"/>
      <c r="E278" s="64"/>
      <c r="F278" s="62"/>
      <c r="G278" s="63"/>
      <c r="H278" s="77"/>
      <c r="I278" s="64"/>
      <c r="J278" s="79"/>
      <c r="K278" s="136"/>
    </row>
    <row r="279" spans="1:11" s="43" customFormat="1" ht="18" customHeight="1" x14ac:dyDescent="0.3">
      <c r="A279" s="1"/>
      <c r="B279" s="138"/>
      <c r="C279" s="141"/>
      <c r="D279" s="139"/>
      <c r="E279" s="64"/>
      <c r="F279" s="62"/>
      <c r="G279" s="63"/>
      <c r="H279" s="77"/>
      <c r="I279" s="64"/>
      <c r="J279" s="79"/>
      <c r="K279" s="136"/>
    </row>
    <row r="280" spans="1:11" s="43" customFormat="1" ht="18" customHeight="1" x14ac:dyDescent="0.3">
      <c r="A280" s="1"/>
      <c r="B280" s="138"/>
      <c r="C280" s="141"/>
      <c r="D280" s="139"/>
      <c r="E280" s="64"/>
      <c r="F280" s="62"/>
      <c r="G280" s="63"/>
      <c r="H280" s="77"/>
      <c r="I280" s="64"/>
      <c r="J280" s="79"/>
      <c r="K280" s="136"/>
    </row>
    <row r="281" spans="1:11" s="43" customFormat="1" ht="18" customHeight="1" x14ac:dyDescent="0.3">
      <c r="A281" s="1"/>
      <c r="B281" s="138"/>
      <c r="C281" s="141"/>
      <c r="D281" s="139"/>
      <c r="E281" s="64"/>
      <c r="F281" s="62"/>
      <c r="G281" s="63"/>
      <c r="H281" s="77"/>
      <c r="I281" s="64"/>
      <c r="J281" s="79"/>
      <c r="K281" s="136"/>
    </row>
    <row r="282" spans="1:11" s="43" customFormat="1" ht="18" customHeight="1" x14ac:dyDescent="0.3">
      <c r="A282" s="1"/>
      <c r="B282" s="138"/>
      <c r="C282" s="141"/>
      <c r="D282" s="139"/>
      <c r="E282" s="64"/>
      <c r="F282" s="62"/>
      <c r="G282" s="63"/>
      <c r="H282" s="77"/>
      <c r="I282" s="64"/>
      <c r="J282" s="79"/>
      <c r="K282" s="136"/>
    </row>
    <row r="283" spans="1:11" s="43" customFormat="1" ht="18" customHeight="1" x14ac:dyDescent="0.3">
      <c r="A283" s="1"/>
      <c r="B283" s="138"/>
      <c r="C283" s="141"/>
      <c r="D283" s="139"/>
      <c r="E283" s="64"/>
      <c r="F283" s="62"/>
      <c r="G283" s="63"/>
      <c r="H283" s="77"/>
      <c r="I283" s="64"/>
      <c r="J283" s="79"/>
      <c r="K283" s="136"/>
    </row>
    <row r="284" spans="1:11" s="43" customFormat="1" ht="18" customHeight="1" x14ac:dyDescent="0.3">
      <c r="A284" s="1"/>
      <c r="B284" s="138"/>
      <c r="C284" s="141"/>
      <c r="D284" s="139"/>
      <c r="E284" s="64"/>
      <c r="F284" s="62"/>
      <c r="G284" s="63"/>
      <c r="H284" s="77"/>
      <c r="I284" s="64"/>
      <c r="J284" s="79"/>
      <c r="K284" s="136"/>
    </row>
    <row r="285" spans="1:11" s="43" customFormat="1" ht="18" customHeight="1" x14ac:dyDescent="0.3">
      <c r="A285" s="1"/>
      <c r="B285" s="138"/>
      <c r="C285" s="141"/>
      <c r="D285" s="139"/>
      <c r="E285" s="64"/>
      <c r="F285" s="62"/>
      <c r="G285" s="63"/>
      <c r="H285" s="77"/>
      <c r="I285" s="64"/>
      <c r="J285" s="79"/>
      <c r="K285" s="136"/>
    </row>
    <row r="286" spans="1:11" s="43" customFormat="1" ht="18" customHeight="1" x14ac:dyDescent="0.3">
      <c r="A286" s="1"/>
      <c r="B286" s="138"/>
      <c r="C286" s="141"/>
      <c r="D286" s="139"/>
      <c r="E286" s="64"/>
      <c r="F286" s="62"/>
      <c r="G286" s="63"/>
      <c r="H286" s="77"/>
      <c r="I286" s="64"/>
      <c r="J286" s="79"/>
      <c r="K286" s="136"/>
    </row>
    <row r="287" spans="1:11" s="43" customFormat="1" ht="18" customHeight="1" x14ac:dyDescent="0.3">
      <c r="A287" s="1"/>
      <c r="B287" s="138"/>
      <c r="C287" s="141"/>
      <c r="D287" s="139"/>
      <c r="E287" s="64"/>
      <c r="F287" s="62"/>
      <c r="G287" s="63"/>
      <c r="H287" s="77"/>
      <c r="I287" s="64"/>
      <c r="J287" s="79"/>
      <c r="K287" s="136"/>
    </row>
    <row r="288" spans="1:11" s="43" customFormat="1" ht="18" customHeight="1" x14ac:dyDescent="0.3">
      <c r="A288" s="1"/>
      <c r="B288" s="138"/>
      <c r="C288" s="141"/>
      <c r="D288" s="139"/>
      <c r="E288" s="64"/>
      <c r="F288" s="62"/>
      <c r="G288" s="63"/>
      <c r="H288" s="77"/>
      <c r="I288" s="64"/>
      <c r="J288" s="79"/>
      <c r="K288" s="136"/>
    </row>
    <row r="289" spans="1:11" s="43" customFormat="1" ht="18" customHeight="1" x14ac:dyDescent="0.3">
      <c r="A289" s="1"/>
      <c r="B289" s="138"/>
      <c r="C289" s="141"/>
      <c r="D289" s="139"/>
      <c r="E289" s="64"/>
      <c r="F289" s="62"/>
      <c r="G289" s="63"/>
      <c r="H289" s="77"/>
      <c r="I289" s="64"/>
      <c r="J289" s="79"/>
      <c r="K289" s="136"/>
    </row>
    <row r="290" spans="1:11" s="43" customFormat="1" ht="18" customHeight="1" x14ac:dyDescent="0.3">
      <c r="A290" s="1"/>
      <c r="B290" s="138"/>
      <c r="C290" s="141"/>
      <c r="D290" s="139"/>
      <c r="E290" s="64"/>
      <c r="F290" s="62"/>
      <c r="G290" s="63"/>
      <c r="H290" s="77"/>
      <c r="I290" s="64"/>
      <c r="J290" s="79"/>
      <c r="K290" s="136"/>
    </row>
    <row r="291" spans="1:11" s="43" customFormat="1" ht="18" customHeight="1" x14ac:dyDescent="0.3">
      <c r="A291" s="1"/>
      <c r="B291" s="138"/>
      <c r="C291" s="141"/>
      <c r="D291" s="139"/>
      <c r="E291" s="64"/>
      <c r="F291" s="62"/>
      <c r="G291" s="63"/>
      <c r="H291" s="77"/>
      <c r="I291" s="64"/>
      <c r="J291" s="79"/>
      <c r="K291" s="136"/>
    </row>
    <row r="292" spans="1:11" s="43" customFormat="1" ht="18" customHeight="1" x14ac:dyDescent="0.3">
      <c r="A292" s="1"/>
      <c r="B292" s="138"/>
      <c r="C292" s="141"/>
      <c r="D292" s="139"/>
      <c r="E292" s="64"/>
      <c r="F292" s="62"/>
      <c r="G292" s="63"/>
      <c r="H292" s="77"/>
      <c r="I292" s="64"/>
      <c r="J292" s="79"/>
      <c r="K292" s="136"/>
    </row>
    <row r="293" spans="1:11" s="43" customFormat="1" ht="18" customHeight="1" x14ac:dyDescent="0.3">
      <c r="A293" s="1"/>
      <c r="B293" s="138"/>
      <c r="C293" s="141"/>
      <c r="D293" s="139"/>
      <c r="E293" s="64"/>
      <c r="F293" s="62"/>
      <c r="G293" s="63"/>
      <c r="H293" s="77"/>
      <c r="I293" s="64"/>
      <c r="J293" s="79"/>
      <c r="K293" s="136"/>
    </row>
    <row r="294" spans="1:11" s="43" customFormat="1" ht="18" customHeight="1" x14ac:dyDescent="0.3">
      <c r="A294" s="1"/>
      <c r="B294" s="138"/>
      <c r="C294" s="141"/>
      <c r="D294" s="139"/>
      <c r="E294" s="64"/>
      <c r="F294" s="62"/>
      <c r="G294" s="63"/>
      <c r="H294" s="77"/>
      <c r="I294" s="64"/>
      <c r="J294" s="79"/>
      <c r="K294" s="136"/>
    </row>
    <row r="295" spans="1:11" s="43" customFormat="1" ht="18" customHeight="1" x14ac:dyDescent="0.3">
      <c r="A295" s="1"/>
      <c r="B295" s="138"/>
      <c r="C295" s="141"/>
      <c r="D295" s="139"/>
      <c r="E295" s="64"/>
      <c r="F295" s="62"/>
      <c r="G295" s="63"/>
      <c r="H295" s="77"/>
      <c r="I295" s="64"/>
      <c r="J295" s="79"/>
      <c r="K295" s="136"/>
    </row>
    <row r="296" spans="1:11" s="43" customFormat="1" ht="18" customHeight="1" x14ac:dyDescent="0.3">
      <c r="A296" s="1"/>
      <c r="B296" s="138"/>
      <c r="C296" s="141"/>
      <c r="D296" s="139"/>
      <c r="E296" s="64"/>
      <c r="F296" s="62"/>
      <c r="G296" s="63"/>
      <c r="H296" s="77"/>
      <c r="I296" s="64"/>
      <c r="J296" s="79"/>
      <c r="K296" s="136"/>
    </row>
    <row r="297" spans="1:11" s="43" customFormat="1" ht="18" customHeight="1" x14ac:dyDescent="0.3">
      <c r="A297" s="1"/>
      <c r="B297" s="138"/>
      <c r="C297" s="141"/>
      <c r="D297" s="139"/>
      <c r="E297" s="64"/>
      <c r="F297" s="62"/>
      <c r="G297" s="63"/>
      <c r="H297" s="77"/>
      <c r="I297" s="64"/>
      <c r="J297" s="79"/>
      <c r="K297" s="136"/>
    </row>
    <row r="298" spans="1:11" s="43" customFormat="1" ht="18" customHeight="1" x14ac:dyDescent="0.3">
      <c r="A298" s="1"/>
      <c r="B298" s="138"/>
      <c r="C298" s="141"/>
      <c r="D298" s="139"/>
      <c r="E298" s="64"/>
      <c r="F298" s="62"/>
      <c r="G298" s="63"/>
      <c r="H298" s="77"/>
      <c r="I298" s="64"/>
      <c r="J298" s="79"/>
      <c r="K298" s="136"/>
    </row>
    <row r="299" spans="1:11" s="43" customFormat="1" ht="18" customHeight="1" x14ac:dyDescent="0.3">
      <c r="A299" s="1"/>
      <c r="B299" s="138"/>
      <c r="C299" s="141"/>
      <c r="D299" s="139"/>
      <c r="E299" s="64"/>
      <c r="F299" s="62"/>
      <c r="G299" s="63"/>
      <c r="H299" s="77"/>
      <c r="I299" s="64"/>
      <c r="J299" s="79"/>
      <c r="K299" s="136"/>
    </row>
    <row r="300" spans="1:11" s="43" customFormat="1" ht="18" customHeight="1" x14ac:dyDescent="0.3">
      <c r="A300" s="1"/>
      <c r="B300" s="138"/>
      <c r="C300" s="141"/>
      <c r="D300" s="139"/>
      <c r="E300" s="64"/>
      <c r="F300" s="62"/>
      <c r="G300" s="63"/>
      <c r="H300" s="77"/>
      <c r="I300" s="64"/>
      <c r="J300" s="79"/>
      <c r="K300" s="136"/>
    </row>
    <row r="301" spans="1:11" s="43" customFormat="1" ht="18" customHeight="1" x14ac:dyDescent="0.3">
      <c r="A301" s="1"/>
      <c r="B301" s="138"/>
      <c r="C301" s="141"/>
      <c r="D301" s="139"/>
      <c r="E301" s="64"/>
      <c r="F301" s="62"/>
      <c r="G301" s="63"/>
      <c r="H301" s="77"/>
      <c r="I301" s="64"/>
      <c r="J301" s="79"/>
      <c r="K301" s="136"/>
    </row>
    <row r="302" spans="1:11" s="43" customFormat="1" ht="18" customHeight="1" x14ac:dyDescent="0.3">
      <c r="A302" s="1"/>
      <c r="B302" s="138"/>
      <c r="C302" s="141"/>
      <c r="D302" s="139"/>
      <c r="E302" s="64"/>
      <c r="F302" s="62"/>
      <c r="G302" s="63"/>
      <c r="H302" s="77"/>
      <c r="I302" s="64"/>
      <c r="J302" s="79"/>
      <c r="K302" s="136"/>
    </row>
    <row r="303" spans="1:11" s="43" customFormat="1" ht="18" customHeight="1" x14ac:dyDescent="0.3">
      <c r="A303" s="1"/>
      <c r="B303" s="138"/>
      <c r="C303" s="141"/>
      <c r="D303" s="139"/>
      <c r="E303" s="64"/>
      <c r="F303" s="62"/>
      <c r="G303" s="63"/>
      <c r="H303" s="77"/>
      <c r="I303" s="64"/>
      <c r="J303" s="79"/>
      <c r="K303" s="136"/>
    </row>
    <row r="304" spans="1:11" s="43" customFormat="1" ht="18" customHeight="1" x14ac:dyDescent="0.3">
      <c r="A304" s="1"/>
      <c r="B304" s="138"/>
      <c r="C304" s="141"/>
      <c r="D304" s="139"/>
      <c r="E304" s="64"/>
      <c r="F304" s="62"/>
      <c r="G304" s="63"/>
      <c r="H304" s="77"/>
      <c r="I304" s="64"/>
      <c r="J304" s="79"/>
      <c r="K304" s="136"/>
    </row>
    <row r="305" spans="1:11" s="43" customFormat="1" ht="18" customHeight="1" x14ac:dyDescent="0.3">
      <c r="A305" s="1"/>
      <c r="B305" s="138"/>
      <c r="C305" s="141"/>
      <c r="D305" s="139"/>
      <c r="E305" s="64"/>
      <c r="F305" s="62"/>
      <c r="G305" s="63"/>
      <c r="H305" s="77"/>
      <c r="I305" s="64"/>
      <c r="J305" s="79"/>
      <c r="K305" s="136"/>
    </row>
    <row r="306" spans="1:11" s="43" customFormat="1" ht="18" customHeight="1" x14ac:dyDescent="0.3">
      <c r="A306" s="1"/>
      <c r="B306" s="138"/>
      <c r="C306" s="141"/>
      <c r="D306" s="139"/>
      <c r="E306" s="64"/>
      <c r="F306" s="62"/>
      <c r="G306" s="63"/>
      <c r="H306" s="77"/>
      <c r="I306" s="64"/>
      <c r="J306" s="79"/>
      <c r="K306" s="136"/>
    </row>
    <row r="307" spans="1:11" s="43" customFormat="1" ht="18" customHeight="1" x14ac:dyDescent="0.3">
      <c r="A307" s="1"/>
      <c r="B307" s="138"/>
      <c r="C307" s="141"/>
      <c r="D307" s="139"/>
      <c r="E307" s="64"/>
      <c r="F307" s="62"/>
      <c r="G307" s="63"/>
      <c r="H307" s="77"/>
      <c r="I307" s="64"/>
      <c r="J307" s="79"/>
      <c r="K307" s="136"/>
    </row>
    <row r="308" spans="1:11" s="43" customFormat="1" ht="18" customHeight="1" x14ac:dyDescent="0.3">
      <c r="A308" s="1"/>
      <c r="B308" s="138"/>
      <c r="C308" s="141"/>
      <c r="D308" s="139"/>
      <c r="E308" s="64"/>
      <c r="F308" s="62"/>
      <c r="G308" s="63"/>
      <c r="H308" s="77"/>
      <c r="I308" s="64"/>
      <c r="J308" s="79"/>
      <c r="K308" s="136"/>
    </row>
    <row r="309" spans="1:11" s="43" customFormat="1" ht="18" customHeight="1" x14ac:dyDescent="0.3">
      <c r="A309" s="1"/>
      <c r="B309" s="138"/>
      <c r="C309" s="141"/>
      <c r="D309" s="139"/>
      <c r="E309" s="64"/>
      <c r="F309" s="62"/>
      <c r="G309" s="63"/>
      <c r="H309" s="77"/>
      <c r="I309" s="64"/>
      <c r="J309" s="79"/>
      <c r="K309" s="136"/>
    </row>
    <row r="310" spans="1:11" s="43" customFormat="1" ht="18" customHeight="1" x14ac:dyDescent="0.3">
      <c r="A310" s="1"/>
      <c r="B310" s="138"/>
      <c r="C310" s="141"/>
      <c r="D310" s="139"/>
      <c r="E310" s="64"/>
      <c r="F310" s="62"/>
      <c r="G310" s="63"/>
      <c r="H310" s="77"/>
      <c r="I310" s="64"/>
      <c r="J310" s="79"/>
      <c r="K310" s="136"/>
    </row>
    <row r="311" spans="1:11" s="43" customFormat="1" ht="18" customHeight="1" x14ac:dyDescent="0.3">
      <c r="A311" s="1"/>
      <c r="B311" s="138"/>
      <c r="C311" s="141"/>
      <c r="D311" s="139"/>
      <c r="E311" s="64"/>
      <c r="F311" s="62"/>
      <c r="G311" s="63"/>
      <c r="H311" s="77"/>
      <c r="I311" s="64"/>
      <c r="J311" s="79"/>
      <c r="K311" s="136"/>
    </row>
    <row r="312" spans="1:11" s="43" customFormat="1" ht="18" customHeight="1" x14ac:dyDescent="0.3">
      <c r="A312" s="1"/>
      <c r="B312" s="138"/>
      <c r="C312" s="141"/>
      <c r="D312" s="139"/>
      <c r="E312" s="64"/>
      <c r="F312" s="62"/>
      <c r="G312" s="63"/>
      <c r="H312" s="77"/>
      <c r="I312" s="64"/>
      <c r="J312" s="79"/>
      <c r="K312" s="136"/>
    </row>
    <row r="313" spans="1:11" s="43" customFormat="1" ht="18" customHeight="1" x14ac:dyDescent="0.3">
      <c r="A313" s="1"/>
      <c r="B313" s="138"/>
      <c r="C313" s="141"/>
      <c r="D313" s="139"/>
      <c r="E313" s="64"/>
      <c r="F313" s="62"/>
      <c r="G313" s="63"/>
      <c r="H313" s="77"/>
      <c r="I313" s="64"/>
      <c r="J313" s="79"/>
      <c r="K313" s="136"/>
    </row>
    <row r="314" spans="1:11" s="43" customFormat="1" ht="18" customHeight="1" x14ac:dyDescent="0.3">
      <c r="A314" s="1"/>
      <c r="B314" s="138"/>
      <c r="C314" s="141"/>
      <c r="D314" s="139"/>
      <c r="E314" s="64"/>
      <c r="F314" s="62"/>
      <c r="G314" s="63"/>
      <c r="H314" s="77"/>
      <c r="I314" s="64"/>
      <c r="J314" s="79"/>
      <c r="K314" s="136"/>
    </row>
    <row r="315" spans="1:11" s="43" customFormat="1" ht="18" customHeight="1" x14ac:dyDescent="0.3">
      <c r="A315" s="1"/>
      <c r="B315" s="138"/>
      <c r="C315" s="141"/>
      <c r="D315" s="139"/>
      <c r="E315" s="64"/>
      <c r="F315" s="62"/>
      <c r="G315" s="63"/>
      <c r="H315" s="77"/>
      <c r="I315" s="64"/>
      <c r="J315" s="79"/>
      <c r="K315" s="136"/>
    </row>
    <row r="316" spans="1:11" s="43" customFormat="1" ht="18" customHeight="1" x14ac:dyDescent="0.3">
      <c r="A316" s="1"/>
      <c r="B316" s="138"/>
      <c r="C316" s="141"/>
      <c r="D316" s="139"/>
      <c r="E316" s="64"/>
      <c r="F316" s="62"/>
      <c r="G316" s="63"/>
      <c r="H316" s="77"/>
      <c r="I316" s="64"/>
      <c r="J316" s="79"/>
      <c r="K316" s="136"/>
    </row>
    <row r="317" spans="1:11" s="43" customFormat="1" ht="18" customHeight="1" x14ac:dyDescent="0.3">
      <c r="A317" s="1"/>
      <c r="B317" s="138"/>
      <c r="C317" s="141"/>
      <c r="D317" s="139"/>
      <c r="E317" s="64"/>
      <c r="F317" s="62"/>
      <c r="G317" s="63"/>
      <c r="H317" s="77"/>
      <c r="I317" s="64"/>
      <c r="J317" s="79"/>
      <c r="K317" s="136"/>
    </row>
    <row r="318" spans="1:11" s="43" customFormat="1" ht="18" customHeight="1" x14ac:dyDescent="0.3">
      <c r="A318" s="1"/>
      <c r="B318" s="138"/>
      <c r="C318" s="141"/>
      <c r="D318" s="139"/>
      <c r="E318" s="64"/>
      <c r="F318" s="62"/>
      <c r="G318" s="63"/>
      <c r="H318" s="77"/>
      <c r="I318" s="64"/>
      <c r="J318" s="79"/>
      <c r="K318" s="136"/>
    </row>
    <row r="319" spans="1:11" s="43" customFormat="1" ht="18" customHeight="1" x14ac:dyDescent="0.3">
      <c r="A319" s="1"/>
      <c r="B319" s="138"/>
      <c r="C319" s="141"/>
      <c r="D319" s="139"/>
      <c r="E319" s="64"/>
      <c r="F319" s="62"/>
      <c r="G319" s="63"/>
      <c r="H319" s="77"/>
      <c r="I319" s="64"/>
      <c r="J319" s="79"/>
      <c r="K319" s="136"/>
    </row>
    <row r="320" spans="1:11" s="43" customFormat="1" ht="18" customHeight="1" x14ac:dyDescent="0.3">
      <c r="A320" s="1"/>
      <c r="B320" s="138"/>
      <c r="C320" s="141"/>
      <c r="D320" s="139"/>
      <c r="E320" s="64"/>
      <c r="F320" s="62"/>
      <c r="G320" s="63"/>
      <c r="H320" s="77"/>
      <c r="I320" s="64"/>
      <c r="J320" s="79"/>
      <c r="K320" s="136"/>
    </row>
    <row r="321" spans="1:11" s="43" customFormat="1" ht="18" customHeight="1" x14ac:dyDescent="0.3">
      <c r="A321" s="1"/>
      <c r="B321" s="138"/>
      <c r="C321" s="141"/>
      <c r="D321" s="139"/>
      <c r="E321" s="64"/>
      <c r="F321" s="62"/>
      <c r="G321" s="63"/>
      <c r="H321" s="77"/>
      <c r="I321" s="64"/>
      <c r="J321" s="79"/>
      <c r="K321" s="136"/>
    </row>
    <row r="322" spans="1:11" s="43" customFormat="1" ht="18" customHeight="1" x14ac:dyDescent="0.3">
      <c r="A322" s="1"/>
      <c r="B322" s="138"/>
      <c r="C322" s="141"/>
      <c r="D322" s="139"/>
      <c r="E322" s="64"/>
      <c r="F322" s="62"/>
      <c r="G322" s="63"/>
      <c r="H322" s="77"/>
      <c r="I322" s="64"/>
      <c r="J322" s="79"/>
      <c r="K322" s="136"/>
    </row>
    <row r="323" spans="1:11" s="43" customFormat="1" ht="18" customHeight="1" x14ac:dyDescent="0.3">
      <c r="A323" s="1"/>
      <c r="B323" s="138"/>
      <c r="C323" s="141"/>
      <c r="D323" s="139"/>
      <c r="E323" s="64"/>
      <c r="F323" s="62"/>
      <c r="G323" s="63"/>
      <c r="H323" s="77"/>
      <c r="I323" s="64"/>
      <c r="J323" s="79"/>
      <c r="K323" s="136"/>
    </row>
    <row r="324" spans="1:11" s="43" customFormat="1" ht="18" customHeight="1" x14ac:dyDescent="0.3">
      <c r="A324" s="1"/>
      <c r="B324" s="138"/>
      <c r="C324" s="141"/>
      <c r="D324" s="139"/>
      <c r="E324" s="64"/>
      <c r="F324" s="62"/>
      <c r="G324" s="63"/>
      <c r="H324" s="77"/>
      <c r="I324" s="64"/>
      <c r="J324" s="79"/>
      <c r="K324" s="136"/>
    </row>
    <row r="325" spans="1:11" s="43" customFormat="1" ht="18" customHeight="1" x14ac:dyDescent="0.3">
      <c r="A325" s="1"/>
      <c r="B325" s="138"/>
      <c r="C325" s="141"/>
      <c r="D325" s="139"/>
      <c r="E325" s="64"/>
      <c r="F325" s="62"/>
      <c r="G325" s="63"/>
      <c r="H325" s="77"/>
      <c r="I325" s="64"/>
      <c r="J325" s="79"/>
      <c r="K325" s="136"/>
    </row>
    <row r="326" spans="1:11" s="43" customFormat="1" ht="18" customHeight="1" x14ac:dyDescent="0.3">
      <c r="A326" s="1"/>
      <c r="B326" s="138"/>
      <c r="C326" s="141"/>
      <c r="D326" s="139"/>
      <c r="E326" s="64"/>
      <c r="F326" s="62"/>
      <c r="G326" s="63"/>
      <c r="H326" s="77"/>
      <c r="I326" s="64"/>
      <c r="J326" s="79"/>
      <c r="K326" s="136"/>
    </row>
    <row r="327" spans="1:11" s="43" customFormat="1" ht="18" customHeight="1" x14ac:dyDescent="0.3">
      <c r="A327" s="1"/>
      <c r="B327" s="138"/>
      <c r="C327" s="141"/>
      <c r="D327" s="139"/>
      <c r="E327" s="64"/>
      <c r="F327" s="62"/>
      <c r="G327" s="63"/>
      <c r="H327" s="77"/>
      <c r="I327" s="64"/>
      <c r="J327" s="79"/>
      <c r="K327" s="136"/>
    </row>
    <row r="328" spans="1:11" s="43" customFormat="1" ht="18" customHeight="1" x14ac:dyDescent="0.3">
      <c r="A328" s="1"/>
      <c r="B328" s="138"/>
      <c r="C328" s="141"/>
      <c r="D328" s="139"/>
      <c r="E328" s="64"/>
      <c r="F328" s="62"/>
      <c r="G328" s="63"/>
      <c r="H328" s="77"/>
      <c r="I328" s="64"/>
      <c r="J328" s="79"/>
      <c r="K328" s="136"/>
    </row>
    <row r="329" spans="1:11" s="43" customFormat="1" ht="18" customHeight="1" x14ac:dyDescent="0.3">
      <c r="A329" s="1"/>
      <c r="B329" s="138"/>
      <c r="C329" s="141"/>
      <c r="D329" s="139"/>
      <c r="E329" s="64"/>
      <c r="F329" s="62"/>
      <c r="G329" s="63"/>
      <c r="H329" s="77"/>
      <c r="I329" s="64"/>
      <c r="J329" s="79"/>
      <c r="K329" s="136"/>
    </row>
    <row r="330" spans="1:11" s="43" customFormat="1" ht="18" customHeight="1" x14ac:dyDescent="0.3">
      <c r="A330" s="1"/>
      <c r="B330" s="138"/>
      <c r="C330" s="141"/>
      <c r="D330" s="139"/>
      <c r="E330" s="64"/>
      <c r="F330" s="62"/>
      <c r="G330" s="63"/>
      <c r="H330" s="77"/>
      <c r="I330" s="64"/>
      <c r="J330" s="79"/>
      <c r="K330" s="136"/>
    </row>
    <row r="331" spans="1:11" s="43" customFormat="1" ht="18" customHeight="1" x14ac:dyDescent="0.3">
      <c r="A331" s="1"/>
      <c r="B331" s="138"/>
      <c r="C331" s="141"/>
      <c r="D331" s="139"/>
      <c r="E331" s="64"/>
      <c r="F331" s="62"/>
      <c r="G331" s="63"/>
      <c r="H331" s="77"/>
      <c r="I331" s="64"/>
      <c r="J331" s="79"/>
      <c r="K331" s="136"/>
    </row>
    <row r="332" spans="1:11" s="43" customFormat="1" ht="18" customHeight="1" x14ac:dyDescent="0.3">
      <c r="A332" s="1"/>
      <c r="B332" s="138"/>
      <c r="C332" s="141"/>
      <c r="D332" s="139"/>
      <c r="E332" s="64"/>
      <c r="F332" s="62"/>
      <c r="G332" s="63"/>
      <c r="H332" s="77"/>
      <c r="I332" s="64"/>
      <c r="J332" s="79"/>
      <c r="K332" s="136"/>
    </row>
    <row r="333" spans="1:11" s="43" customFormat="1" ht="18" customHeight="1" x14ac:dyDescent="0.3">
      <c r="A333" s="1"/>
      <c r="B333" s="138"/>
      <c r="C333" s="141"/>
      <c r="D333" s="139"/>
      <c r="E333" s="64"/>
      <c r="F333" s="62"/>
      <c r="G333" s="63"/>
      <c r="H333" s="77"/>
      <c r="I333" s="64"/>
      <c r="J333" s="79"/>
      <c r="K333" s="136"/>
    </row>
    <row r="334" spans="1:11" s="43" customFormat="1" ht="18" customHeight="1" x14ac:dyDescent="0.3">
      <c r="A334" s="1"/>
      <c r="B334" s="138"/>
      <c r="C334" s="141"/>
      <c r="D334" s="139"/>
      <c r="E334" s="64"/>
      <c r="F334" s="62"/>
      <c r="G334" s="63"/>
      <c r="H334" s="77"/>
      <c r="I334" s="64"/>
      <c r="J334" s="79"/>
      <c r="K334" s="136"/>
    </row>
    <row r="335" spans="1:11" s="43" customFormat="1" ht="18" customHeight="1" x14ac:dyDescent="0.3">
      <c r="A335" s="1"/>
      <c r="B335" s="138"/>
      <c r="C335" s="141"/>
      <c r="D335" s="139"/>
      <c r="E335" s="64"/>
      <c r="F335" s="62"/>
      <c r="G335" s="63"/>
      <c r="H335" s="77"/>
      <c r="I335" s="64"/>
      <c r="J335" s="79"/>
      <c r="K335" s="136"/>
    </row>
    <row r="336" spans="1:11" s="43" customFormat="1" ht="18" customHeight="1" x14ac:dyDescent="0.3">
      <c r="A336" s="1"/>
      <c r="B336" s="138"/>
      <c r="C336" s="141"/>
      <c r="D336" s="139"/>
      <c r="E336" s="64"/>
      <c r="F336" s="62"/>
      <c r="G336" s="63"/>
      <c r="H336" s="77"/>
      <c r="I336" s="64"/>
      <c r="J336" s="79"/>
      <c r="K336" s="136"/>
    </row>
    <row r="337" spans="1:11" s="43" customFormat="1" ht="18" customHeight="1" x14ac:dyDescent="0.3">
      <c r="A337" s="1"/>
      <c r="B337" s="138"/>
      <c r="C337" s="141"/>
      <c r="D337" s="139"/>
      <c r="E337" s="64"/>
      <c r="F337" s="62"/>
      <c r="G337" s="63"/>
      <c r="H337" s="77"/>
      <c r="I337" s="64"/>
      <c r="J337" s="79"/>
      <c r="K337" s="136"/>
    </row>
    <row r="338" spans="1:11" s="43" customFormat="1" ht="18" customHeight="1" x14ac:dyDescent="0.3">
      <c r="A338" s="1"/>
      <c r="B338" s="138"/>
      <c r="C338" s="141"/>
      <c r="D338" s="139"/>
      <c r="E338" s="64"/>
      <c r="F338" s="62"/>
      <c r="G338" s="63"/>
      <c r="H338" s="77"/>
      <c r="I338" s="64"/>
      <c r="J338" s="79"/>
      <c r="K338" s="136"/>
    </row>
    <row r="339" spans="1:11" s="43" customFormat="1" ht="18" customHeight="1" x14ac:dyDescent="0.3">
      <c r="A339" s="1"/>
      <c r="B339" s="138"/>
      <c r="C339" s="141"/>
      <c r="D339" s="139"/>
      <c r="E339" s="64"/>
      <c r="F339" s="62"/>
      <c r="G339" s="63"/>
      <c r="H339" s="77"/>
      <c r="I339" s="64"/>
      <c r="J339" s="79"/>
      <c r="K339" s="136"/>
    </row>
    <row r="340" spans="1:11" s="43" customFormat="1" ht="18" customHeight="1" x14ac:dyDescent="0.3">
      <c r="A340" s="1"/>
      <c r="B340" s="138"/>
      <c r="C340" s="141"/>
      <c r="D340" s="139"/>
      <c r="E340" s="64"/>
      <c r="F340" s="62"/>
      <c r="G340" s="63"/>
      <c r="H340" s="77"/>
      <c r="I340" s="64"/>
      <c r="J340" s="79"/>
      <c r="K340" s="136"/>
    </row>
    <row r="341" spans="1:11" s="43" customFormat="1" ht="18" customHeight="1" x14ac:dyDescent="0.3">
      <c r="A341" s="1"/>
      <c r="B341" s="138"/>
      <c r="C341" s="141"/>
      <c r="D341" s="139"/>
      <c r="E341" s="64"/>
      <c r="F341" s="62"/>
      <c r="G341" s="63"/>
      <c r="H341" s="77"/>
      <c r="I341" s="64"/>
      <c r="J341" s="79"/>
      <c r="K341" s="136"/>
    </row>
    <row r="342" spans="1:11" s="43" customFormat="1" ht="18" customHeight="1" x14ac:dyDescent="0.3">
      <c r="A342" s="1"/>
      <c r="B342" s="138"/>
      <c r="C342" s="141"/>
      <c r="D342" s="139"/>
      <c r="E342" s="64"/>
      <c r="F342" s="62"/>
      <c r="G342" s="63"/>
      <c r="H342" s="77"/>
      <c r="I342" s="64"/>
      <c r="J342" s="79"/>
      <c r="K342" s="136"/>
    </row>
    <row r="343" spans="1:11" s="43" customFormat="1" ht="18" customHeight="1" x14ac:dyDescent="0.3">
      <c r="A343" s="1"/>
      <c r="B343" s="138"/>
      <c r="C343" s="141"/>
      <c r="D343" s="139"/>
      <c r="E343" s="64"/>
      <c r="F343" s="62"/>
      <c r="G343" s="63"/>
      <c r="H343" s="77"/>
      <c r="I343" s="64"/>
      <c r="J343" s="79"/>
      <c r="K343" s="136"/>
    </row>
    <row r="344" spans="1:11" s="43" customFormat="1" ht="18" customHeight="1" x14ac:dyDescent="0.3">
      <c r="A344" s="1"/>
      <c r="B344" s="138"/>
      <c r="C344" s="141"/>
      <c r="D344" s="139"/>
      <c r="E344" s="64"/>
      <c r="F344" s="62"/>
      <c r="G344" s="63"/>
      <c r="H344" s="77"/>
      <c r="I344" s="64"/>
      <c r="J344" s="79"/>
      <c r="K344" s="136"/>
    </row>
    <row r="345" spans="1:11" s="43" customFormat="1" ht="18" customHeight="1" x14ac:dyDescent="0.3">
      <c r="A345" s="1"/>
      <c r="B345" s="138"/>
      <c r="C345" s="141"/>
      <c r="D345" s="139"/>
      <c r="E345" s="64"/>
      <c r="F345" s="62"/>
      <c r="G345" s="63"/>
      <c r="H345" s="77"/>
      <c r="I345" s="64"/>
      <c r="J345" s="79"/>
      <c r="K345" s="136"/>
    </row>
    <row r="346" spans="1:11" s="43" customFormat="1" ht="18" customHeight="1" x14ac:dyDescent="0.3">
      <c r="A346" s="1"/>
      <c r="B346" s="138"/>
      <c r="C346" s="141"/>
      <c r="D346" s="139"/>
      <c r="E346" s="64"/>
      <c r="F346" s="62"/>
      <c r="G346" s="63"/>
      <c r="H346" s="77"/>
      <c r="I346" s="64"/>
      <c r="J346" s="79"/>
      <c r="K346" s="136"/>
    </row>
    <row r="347" spans="1:11" s="43" customFormat="1" ht="18" customHeight="1" x14ac:dyDescent="0.3">
      <c r="A347" s="1"/>
      <c r="B347" s="138"/>
      <c r="C347" s="141"/>
      <c r="D347" s="139"/>
      <c r="E347" s="64"/>
      <c r="F347" s="62"/>
      <c r="G347" s="63"/>
      <c r="H347" s="77"/>
      <c r="I347" s="64"/>
      <c r="J347" s="79"/>
      <c r="K347" s="136"/>
    </row>
    <row r="348" spans="1:11" s="43" customFormat="1" ht="18" customHeight="1" x14ac:dyDescent="0.3">
      <c r="A348" s="1"/>
      <c r="B348" s="138"/>
      <c r="C348" s="141"/>
      <c r="D348" s="139"/>
      <c r="E348" s="64"/>
      <c r="F348" s="62"/>
      <c r="G348" s="63"/>
      <c r="H348" s="77"/>
      <c r="I348" s="64"/>
      <c r="J348" s="79"/>
      <c r="K348" s="136"/>
    </row>
    <row r="349" spans="1:11" s="43" customFormat="1" ht="18" customHeight="1" x14ac:dyDescent="0.3">
      <c r="A349" s="1"/>
      <c r="B349" s="138"/>
      <c r="C349" s="141"/>
      <c r="D349" s="139"/>
      <c r="E349" s="64"/>
      <c r="F349" s="62"/>
      <c r="G349" s="63"/>
      <c r="H349" s="77"/>
      <c r="I349" s="64"/>
      <c r="J349" s="79"/>
      <c r="K349" s="136"/>
    </row>
    <row r="350" spans="1:11" s="43" customFormat="1" ht="18" customHeight="1" x14ac:dyDescent="0.3">
      <c r="A350" s="1"/>
      <c r="B350" s="138"/>
      <c r="C350" s="141"/>
      <c r="D350" s="139"/>
      <c r="E350" s="64"/>
      <c r="F350" s="62"/>
      <c r="G350" s="63"/>
      <c r="H350" s="77"/>
      <c r="I350" s="64"/>
      <c r="J350" s="79"/>
      <c r="K350" s="136"/>
    </row>
    <row r="351" spans="1:11" s="43" customFormat="1" ht="18" customHeight="1" x14ac:dyDescent="0.3">
      <c r="A351" s="1"/>
      <c r="B351" s="138"/>
      <c r="C351" s="141"/>
      <c r="D351" s="139"/>
      <c r="E351" s="64"/>
      <c r="F351" s="62"/>
      <c r="G351" s="63"/>
      <c r="H351" s="77"/>
      <c r="I351" s="64"/>
      <c r="J351" s="79"/>
      <c r="K351" s="136"/>
    </row>
    <row r="352" spans="1:11" s="43" customFormat="1" ht="18" customHeight="1" x14ac:dyDescent="0.3">
      <c r="A352" s="1"/>
      <c r="B352" s="138"/>
      <c r="C352" s="141"/>
      <c r="D352" s="139"/>
      <c r="E352" s="64"/>
      <c r="F352" s="62"/>
      <c r="G352" s="63"/>
      <c r="H352" s="77"/>
      <c r="I352" s="64"/>
      <c r="J352" s="79"/>
      <c r="K352" s="136"/>
    </row>
    <row r="353" spans="1:11" s="43" customFormat="1" ht="18" customHeight="1" x14ac:dyDescent="0.3">
      <c r="A353" s="1"/>
      <c r="B353" s="138"/>
      <c r="C353" s="141"/>
      <c r="D353" s="139"/>
      <c r="E353" s="64"/>
      <c r="F353" s="62"/>
      <c r="G353" s="63"/>
      <c r="H353" s="77"/>
      <c r="I353" s="64"/>
      <c r="J353" s="79"/>
      <c r="K353" s="136"/>
    </row>
    <row r="354" spans="1:11" s="43" customFormat="1" ht="18" customHeight="1" x14ac:dyDescent="0.3">
      <c r="A354" s="1"/>
      <c r="B354" s="138"/>
      <c r="C354" s="141"/>
      <c r="D354" s="139"/>
      <c r="E354" s="64"/>
      <c r="F354" s="62"/>
      <c r="G354" s="63"/>
      <c r="H354" s="77"/>
      <c r="I354" s="64"/>
      <c r="J354" s="79"/>
      <c r="K354" s="136"/>
    </row>
    <row r="355" spans="1:11" s="43" customFormat="1" ht="18" customHeight="1" x14ac:dyDescent="0.3">
      <c r="A355" s="1"/>
      <c r="B355" s="138"/>
      <c r="C355" s="141"/>
      <c r="D355" s="139"/>
      <c r="E355" s="64"/>
      <c r="F355" s="62"/>
      <c r="G355" s="63"/>
      <c r="H355" s="77"/>
      <c r="I355" s="64"/>
      <c r="J355" s="79"/>
      <c r="K355" s="136"/>
    </row>
    <row r="356" spans="1:11" s="43" customFormat="1" ht="18" customHeight="1" x14ac:dyDescent="0.3">
      <c r="A356" s="1"/>
      <c r="B356" s="138"/>
      <c r="C356" s="141"/>
      <c r="D356" s="139"/>
      <c r="E356" s="64"/>
      <c r="F356" s="62"/>
      <c r="G356" s="63"/>
      <c r="H356" s="77"/>
      <c r="I356" s="64"/>
      <c r="J356" s="79"/>
      <c r="K356" s="136"/>
    </row>
    <row r="357" spans="1:11" s="43" customFormat="1" ht="18" customHeight="1" x14ac:dyDescent="0.3">
      <c r="A357" s="1"/>
      <c r="B357" s="138"/>
      <c r="C357" s="141"/>
      <c r="D357" s="139"/>
      <c r="E357" s="64"/>
      <c r="F357" s="62"/>
      <c r="G357" s="63"/>
      <c r="H357" s="77"/>
      <c r="I357" s="64"/>
      <c r="J357" s="79"/>
      <c r="K357" s="136"/>
    </row>
    <row r="358" spans="1:11" s="43" customFormat="1" ht="18" customHeight="1" x14ac:dyDescent="0.3">
      <c r="A358" s="1"/>
      <c r="B358" s="138"/>
      <c r="C358" s="141"/>
      <c r="D358" s="139"/>
      <c r="E358" s="64"/>
      <c r="F358" s="62"/>
      <c r="G358" s="63"/>
      <c r="H358" s="77"/>
      <c r="I358" s="64"/>
      <c r="J358" s="79"/>
      <c r="K358" s="136"/>
    </row>
    <row r="359" spans="1:11" s="43" customFormat="1" ht="18" customHeight="1" x14ac:dyDescent="0.3">
      <c r="A359" s="1"/>
      <c r="B359" s="138"/>
      <c r="C359" s="141"/>
      <c r="D359" s="139"/>
      <c r="E359" s="64"/>
      <c r="F359" s="62"/>
      <c r="G359" s="63"/>
      <c r="H359" s="77"/>
      <c r="I359" s="64"/>
      <c r="J359" s="79"/>
      <c r="K359" s="136"/>
    </row>
    <row r="360" spans="1:11" s="43" customFormat="1" ht="18" customHeight="1" x14ac:dyDescent="0.3">
      <c r="A360" s="1"/>
      <c r="B360" s="138"/>
      <c r="C360" s="141"/>
      <c r="D360" s="139"/>
      <c r="E360" s="64"/>
      <c r="F360" s="62"/>
      <c r="G360" s="63"/>
      <c r="H360" s="77"/>
      <c r="I360" s="64"/>
      <c r="J360" s="79"/>
      <c r="K360" s="136"/>
    </row>
    <row r="361" spans="1:11" s="43" customFormat="1" ht="18" customHeight="1" x14ac:dyDescent="0.3">
      <c r="A361" s="1"/>
      <c r="B361" s="138"/>
      <c r="C361" s="141"/>
      <c r="D361" s="139"/>
      <c r="E361" s="64"/>
      <c r="F361" s="62"/>
      <c r="G361" s="63"/>
      <c r="H361" s="77"/>
      <c r="I361" s="64"/>
      <c r="J361" s="79"/>
      <c r="K361" s="136"/>
    </row>
    <row r="362" spans="1:11" s="43" customFormat="1" ht="18" customHeight="1" x14ac:dyDescent="0.3">
      <c r="A362" s="1"/>
      <c r="B362" s="138"/>
      <c r="C362" s="141"/>
      <c r="D362" s="139"/>
      <c r="E362" s="64"/>
      <c r="F362" s="62"/>
      <c r="G362" s="63"/>
      <c r="H362" s="77"/>
      <c r="I362" s="64"/>
      <c r="J362" s="79"/>
      <c r="K362" s="136"/>
    </row>
    <row r="363" spans="1:11" s="43" customFormat="1" ht="18" customHeight="1" x14ac:dyDescent="0.3">
      <c r="A363" s="1"/>
      <c r="B363" s="138"/>
      <c r="C363" s="141"/>
      <c r="D363" s="139"/>
      <c r="E363" s="64"/>
      <c r="F363" s="62"/>
      <c r="G363" s="63"/>
      <c r="H363" s="77"/>
      <c r="I363" s="64"/>
      <c r="J363" s="79"/>
      <c r="K363" s="136"/>
    </row>
    <row r="364" spans="1:11" s="43" customFormat="1" ht="18" customHeight="1" x14ac:dyDescent="0.3">
      <c r="A364" s="1"/>
      <c r="B364" s="138"/>
      <c r="C364" s="141"/>
      <c r="D364" s="139"/>
      <c r="E364" s="64"/>
      <c r="F364" s="62"/>
      <c r="G364" s="63"/>
      <c r="H364" s="77"/>
      <c r="I364" s="64"/>
      <c r="J364" s="79"/>
      <c r="K364" s="136"/>
    </row>
    <row r="365" spans="1:11" s="43" customFormat="1" ht="18" customHeight="1" x14ac:dyDescent="0.3">
      <c r="A365" s="1"/>
      <c r="B365" s="138"/>
      <c r="C365" s="141"/>
      <c r="D365" s="139"/>
      <c r="E365" s="64"/>
      <c r="F365" s="62"/>
      <c r="G365" s="63"/>
      <c r="H365" s="77"/>
      <c r="I365" s="64"/>
      <c r="J365" s="79"/>
      <c r="K365" s="136"/>
    </row>
    <row r="366" spans="1:11" s="43" customFormat="1" ht="18" customHeight="1" x14ac:dyDescent="0.3">
      <c r="A366" s="1"/>
      <c r="B366" s="138"/>
      <c r="C366" s="141"/>
      <c r="D366" s="139"/>
      <c r="E366" s="64"/>
      <c r="F366" s="62"/>
      <c r="G366" s="63"/>
      <c r="H366" s="77"/>
      <c r="I366" s="64"/>
      <c r="J366" s="79"/>
      <c r="K366" s="136"/>
    </row>
    <row r="367" spans="1:11" s="43" customFormat="1" ht="18" customHeight="1" x14ac:dyDescent="0.3">
      <c r="A367" s="1"/>
      <c r="B367" s="138"/>
      <c r="C367" s="141"/>
      <c r="D367" s="139"/>
      <c r="E367" s="64"/>
      <c r="F367" s="62"/>
      <c r="G367" s="63"/>
      <c r="H367" s="77"/>
      <c r="I367" s="64"/>
      <c r="J367" s="79"/>
      <c r="K367" s="136"/>
    </row>
    <row r="368" spans="1:11" s="43" customFormat="1" ht="18" customHeight="1" x14ac:dyDescent="0.3">
      <c r="A368" s="1"/>
      <c r="B368" s="138"/>
      <c r="C368" s="141"/>
      <c r="D368" s="139"/>
      <c r="E368" s="64"/>
      <c r="F368" s="62"/>
      <c r="G368" s="63"/>
      <c r="H368" s="77"/>
      <c r="I368" s="64"/>
      <c r="J368" s="79"/>
      <c r="K368" s="136"/>
    </row>
    <row r="369" spans="1:11" s="43" customFormat="1" ht="18" customHeight="1" x14ac:dyDescent="0.3">
      <c r="A369" s="1"/>
      <c r="B369" s="138"/>
      <c r="C369" s="141"/>
      <c r="D369" s="139"/>
      <c r="E369" s="64"/>
      <c r="F369" s="62"/>
      <c r="G369" s="63"/>
      <c r="H369" s="77"/>
      <c r="I369" s="64"/>
      <c r="J369" s="79"/>
      <c r="K369" s="136"/>
    </row>
    <row r="370" spans="1:11" s="43" customFormat="1" ht="18" customHeight="1" x14ac:dyDescent="0.3">
      <c r="A370" s="1"/>
      <c r="B370" s="138"/>
      <c r="C370" s="141"/>
      <c r="D370" s="139"/>
      <c r="E370" s="64"/>
      <c r="F370" s="62"/>
      <c r="G370" s="63"/>
      <c r="H370" s="77"/>
      <c r="I370" s="64"/>
      <c r="J370" s="79"/>
      <c r="K370" s="136"/>
    </row>
    <row r="371" spans="1:11" s="43" customFormat="1" ht="18" customHeight="1" x14ac:dyDescent="0.3">
      <c r="A371" s="1"/>
      <c r="B371" s="138"/>
      <c r="C371" s="141"/>
      <c r="D371" s="139"/>
      <c r="E371" s="64"/>
      <c r="F371" s="62"/>
      <c r="G371" s="63"/>
      <c r="H371" s="77"/>
      <c r="I371" s="64"/>
      <c r="J371" s="79"/>
      <c r="K371" s="136"/>
    </row>
    <row r="372" spans="1:11" s="43" customFormat="1" ht="18" customHeight="1" x14ac:dyDescent="0.3">
      <c r="A372" s="1"/>
      <c r="B372" s="138"/>
      <c r="C372" s="141"/>
      <c r="D372" s="139"/>
      <c r="E372" s="64"/>
      <c r="F372" s="62"/>
      <c r="G372" s="63"/>
      <c r="H372" s="77"/>
      <c r="I372" s="64"/>
      <c r="J372" s="79"/>
      <c r="K372" s="136"/>
    </row>
    <row r="373" spans="1:11" s="43" customFormat="1" ht="18" customHeight="1" x14ac:dyDescent="0.3">
      <c r="A373" s="1"/>
      <c r="B373" s="138"/>
      <c r="C373" s="141"/>
      <c r="D373" s="139"/>
      <c r="E373" s="64"/>
      <c r="F373" s="62"/>
      <c r="G373" s="63"/>
      <c r="H373" s="77"/>
      <c r="I373" s="64"/>
      <c r="J373" s="79"/>
      <c r="K373" s="136"/>
    </row>
    <row r="374" spans="1:11" s="43" customFormat="1" ht="18" customHeight="1" x14ac:dyDescent="0.3">
      <c r="A374" s="1"/>
      <c r="B374" s="138"/>
      <c r="C374" s="141"/>
      <c r="D374" s="139"/>
      <c r="E374" s="64"/>
      <c r="F374" s="62"/>
      <c r="G374" s="63"/>
      <c r="H374" s="77"/>
      <c r="I374" s="64"/>
      <c r="J374" s="79"/>
      <c r="K374" s="136"/>
    </row>
    <row r="375" spans="1:11" s="43" customFormat="1" ht="18" customHeight="1" x14ac:dyDescent="0.3">
      <c r="A375" s="1"/>
      <c r="B375" s="138"/>
      <c r="C375" s="141"/>
      <c r="D375" s="139"/>
      <c r="E375" s="64"/>
      <c r="F375" s="62"/>
      <c r="G375" s="63"/>
      <c r="H375" s="77"/>
      <c r="I375" s="64"/>
      <c r="J375" s="79"/>
      <c r="K375" s="136"/>
    </row>
    <row r="376" spans="1:11" s="43" customFormat="1" ht="18" customHeight="1" x14ac:dyDescent="0.3">
      <c r="A376" s="1"/>
      <c r="B376" s="138"/>
      <c r="C376" s="141"/>
      <c r="D376" s="139"/>
      <c r="E376" s="64"/>
      <c r="F376" s="62"/>
      <c r="G376" s="63"/>
      <c r="H376" s="77"/>
      <c r="I376" s="64"/>
      <c r="J376" s="79"/>
      <c r="K376" s="136"/>
    </row>
    <row r="377" spans="1:11" s="43" customFormat="1" ht="18" customHeight="1" x14ac:dyDescent="0.3">
      <c r="A377" s="1"/>
      <c r="B377" s="138"/>
      <c r="C377" s="141"/>
      <c r="D377" s="139"/>
      <c r="E377" s="64"/>
      <c r="F377" s="62"/>
      <c r="G377" s="63"/>
      <c r="H377" s="77"/>
      <c r="I377" s="64"/>
      <c r="J377" s="79"/>
      <c r="K377" s="136"/>
    </row>
    <row r="378" spans="1:11" s="43" customFormat="1" ht="18" customHeight="1" x14ac:dyDescent="0.3">
      <c r="A378" s="1"/>
      <c r="B378" s="138"/>
      <c r="C378" s="141"/>
      <c r="D378" s="139"/>
      <c r="E378" s="64"/>
      <c r="F378" s="62"/>
      <c r="G378" s="63"/>
      <c r="H378" s="77"/>
      <c r="I378" s="64"/>
      <c r="J378" s="79"/>
      <c r="K378" s="136"/>
    </row>
    <row r="379" spans="1:11" s="43" customFormat="1" ht="18" customHeight="1" x14ac:dyDescent="0.3">
      <c r="A379" s="1"/>
      <c r="B379" s="138"/>
      <c r="C379" s="141"/>
      <c r="D379" s="139"/>
      <c r="E379" s="64"/>
      <c r="F379" s="62"/>
      <c r="G379" s="63"/>
      <c r="H379" s="77"/>
      <c r="I379" s="64"/>
      <c r="J379" s="79"/>
      <c r="K379" s="136"/>
    </row>
    <row r="380" spans="1:11" s="43" customFormat="1" ht="18" customHeight="1" x14ac:dyDescent="0.3">
      <c r="A380" s="1"/>
      <c r="B380" s="138"/>
      <c r="C380" s="141"/>
      <c r="D380" s="139"/>
      <c r="E380" s="64"/>
      <c r="F380" s="62"/>
      <c r="G380" s="63"/>
      <c r="H380" s="77"/>
      <c r="I380" s="64"/>
      <c r="J380" s="79"/>
      <c r="K380" s="136"/>
    </row>
    <row r="381" spans="1:11" s="43" customFormat="1" ht="18" customHeight="1" x14ac:dyDescent="0.3">
      <c r="A381" s="1"/>
      <c r="B381" s="138"/>
      <c r="C381" s="141"/>
      <c r="D381" s="139"/>
      <c r="E381" s="64"/>
      <c r="F381" s="62"/>
      <c r="G381" s="63"/>
      <c r="H381" s="77"/>
      <c r="I381" s="64"/>
      <c r="J381" s="79"/>
      <c r="K381" s="136"/>
    </row>
    <row r="382" spans="1:11" s="43" customFormat="1" ht="18" customHeight="1" x14ac:dyDescent="0.3">
      <c r="A382" s="1"/>
      <c r="B382" s="138"/>
      <c r="C382" s="141"/>
      <c r="D382" s="139"/>
      <c r="E382" s="64"/>
      <c r="F382" s="62"/>
      <c r="G382" s="63"/>
      <c r="H382" s="77"/>
      <c r="I382" s="64"/>
      <c r="J382" s="79"/>
      <c r="K382" s="136"/>
    </row>
    <row r="383" spans="1:11" s="43" customFormat="1" ht="18" customHeight="1" x14ac:dyDescent="0.3">
      <c r="A383" s="1"/>
      <c r="B383" s="138"/>
      <c r="C383" s="141"/>
      <c r="D383" s="139"/>
      <c r="E383" s="64"/>
      <c r="F383" s="62"/>
      <c r="G383" s="63"/>
      <c r="H383" s="77"/>
      <c r="I383" s="64"/>
      <c r="J383" s="79"/>
      <c r="K383" s="136"/>
    </row>
    <row r="384" spans="1:11" s="43" customFormat="1" ht="18" customHeight="1" x14ac:dyDescent="0.3">
      <c r="A384" s="1"/>
      <c r="B384" s="138"/>
      <c r="C384" s="141"/>
      <c r="D384" s="139"/>
      <c r="E384" s="64"/>
      <c r="F384" s="62"/>
      <c r="G384" s="63"/>
      <c r="H384" s="77"/>
      <c r="I384" s="64"/>
      <c r="J384" s="79"/>
      <c r="K384" s="136"/>
    </row>
    <row r="385" spans="1:11" s="43" customFormat="1" ht="18" customHeight="1" x14ac:dyDescent="0.3">
      <c r="A385" s="1"/>
      <c r="B385" s="138"/>
      <c r="C385" s="141"/>
      <c r="D385" s="139"/>
      <c r="E385" s="64"/>
      <c r="F385" s="62"/>
      <c r="G385" s="63"/>
      <c r="H385" s="77"/>
      <c r="I385" s="64"/>
      <c r="J385" s="79"/>
      <c r="K385" s="136"/>
    </row>
    <row r="386" spans="1:11" s="43" customFormat="1" ht="18" customHeight="1" x14ac:dyDescent="0.3">
      <c r="A386" s="1"/>
      <c r="B386" s="138"/>
      <c r="C386" s="141"/>
      <c r="D386" s="139"/>
      <c r="E386" s="64"/>
      <c r="F386" s="62"/>
      <c r="G386" s="63"/>
      <c r="H386" s="77"/>
      <c r="I386" s="64"/>
      <c r="J386" s="79"/>
      <c r="K386" s="136"/>
    </row>
    <row r="387" spans="1:11" s="43" customFormat="1" ht="18" customHeight="1" x14ac:dyDescent="0.3">
      <c r="A387" s="1"/>
      <c r="B387" s="138"/>
      <c r="C387" s="141"/>
      <c r="D387" s="139"/>
      <c r="E387" s="64"/>
      <c r="F387" s="62"/>
      <c r="G387" s="63"/>
      <c r="H387" s="77"/>
      <c r="I387" s="64"/>
      <c r="J387" s="79"/>
      <c r="K387" s="136"/>
    </row>
    <row r="388" spans="1:11" s="43" customFormat="1" ht="18" customHeight="1" x14ac:dyDescent="0.3">
      <c r="A388" s="1"/>
      <c r="B388" s="138"/>
      <c r="C388" s="141"/>
      <c r="D388" s="139"/>
      <c r="E388" s="64"/>
      <c r="F388" s="62"/>
      <c r="G388" s="63"/>
      <c r="H388" s="77"/>
      <c r="I388" s="64"/>
      <c r="J388" s="79"/>
      <c r="K388" s="136"/>
    </row>
    <row r="389" spans="1:11" s="43" customFormat="1" ht="18" customHeight="1" x14ac:dyDescent="0.3">
      <c r="A389" s="1"/>
      <c r="B389" s="138"/>
      <c r="C389" s="141"/>
      <c r="D389" s="139"/>
      <c r="E389" s="64"/>
      <c r="F389" s="62"/>
      <c r="G389" s="63"/>
      <c r="H389" s="77"/>
      <c r="I389" s="64"/>
      <c r="J389" s="79"/>
      <c r="K389" s="136"/>
    </row>
    <row r="390" spans="1:11" s="43" customFormat="1" ht="18" customHeight="1" x14ac:dyDescent="0.3">
      <c r="A390" s="1"/>
      <c r="B390" s="138"/>
      <c r="C390" s="141"/>
      <c r="D390" s="139"/>
      <c r="E390" s="64"/>
      <c r="F390" s="62"/>
      <c r="G390" s="63"/>
      <c r="H390" s="77"/>
      <c r="I390" s="64"/>
      <c r="J390" s="79"/>
      <c r="K390" s="136"/>
    </row>
    <row r="391" spans="1:11" s="43" customFormat="1" ht="18" customHeight="1" x14ac:dyDescent="0.3">
      <c r="A391" s="1"/>
      <c r="B391" s="138"/>
      <c r="C391" s="141"/>
      <c r="D391" s="139"/>
      <c r="E391" s="64"/>
      <c r="F391" s="62"/>
      <c r="G391" s="63"/>
      <c r="H391" s="77"/>
      <c r="I391" s="64"/>
      <c r="J391" s="79"/>
      <c r="K391" s="136"/>
    </row>
    <row r="392" spans="1:11" s="43" customFormat="1" ht="18" customHeight="1" x14ac:dyDescent="0.3">
      <c r="A392" s="1"/>
      <c r="B392" s="138"/>
      <c r="C392" s="141"/>
      <c r="D392" s="139"/>
      <c r="E392" s="64"/>
      <c r="F392" s="62"/>
      <c r="G392" s="63"/>
      <c r="H392" s="77"/>
      <c r="I392" s="64"/>
      <c r="J392" s="79"/>
      <c r="K392" s="136"/>
    </row>
    <row r="393" spans="1:11" s="43" customFormat="1" ht="18" customHeight="1" x14ac:dyDescent="0.3">
      <c r="A393" s="1"/>
      <c r="B393" s="138"/>
      <c r="C393" s="141"/>
      <c r="D393" s="139"/>
      <c r="E393" s="64"/>
      <c r="F393" s="62"/>
      <c r="G393" s="63"/>
      <c r="H393" s="77"/>
      <c r="I393" s="64"/>
      <c r="J393" s="79"/>
      <c r="K393" s="136"/>
    </row>
    <row r="394" spans="1:11" s="43" customFormat="1" ht="18" customHeight="1" x14ac:dyDescent="0.3">
      <c r="A394" s="1"/>
      <c r="B394" s="138"/>
      <c r="C394" s="141"/>
      <c r="D394" s="139"/>
      <c r="E394" s="64"/>
      <c r="F394" s="62"/>
      <c r="G394" s="63"/>
      <c r="H394" s="77"/>
      <c r="I394" s="64"/>
      <c r="J394" s="79"/>
      <c r="K394" s="136"/>
    </row>
    <row r="395" spans="1:11" s="43" customFormat="1" ht="18" customHeight="1" x14ac:dyDescent="0.3">
      <c r="A395" s="1"/>
      <c r="B395" s="138"/>
      <c r="C395" s="141"/>
      <c r="D395" s="139"/>
      <c r="E395" s="64"/>
      <c r="F395" s="62"/>
      <c r="G395" s="63"/>
      <c r="H395" s="77"/>
      <c r="I395" s="64"/>
      <c r="J395" s="79"/>
      <c r="K395" s="136"/>
    </row>
    <row r="396" spans="1:11" s="43" customFormat="1" ht="18" customHeight="1" x14ac:dyDescent="0.3">
      <c r="A396" s="1"/>
      <c r="B396" s="138"/>
      <c r="C396" s="141"/>
      <c r="D396" s="139"/>
      <c r="E396" s="64"/>
      <c r="F396" s="62"/>
      <c r="G396" s="63"/>
      <c r="H396" s="77"/>
      <c r="I396" s="64"/>
      <c r="J396" s="79"/>
      <c r="K396" s="136"/>
    </row>
    <row r="397" spans="1:11" s="43" customFormat="1" ht="18" customHeight="1" x14ac:dyDescent="0.3">
      <c r="A397" s="1"/>
      <c r="B397" s="138"/>
      <c r="C397" s="141"/>
      <c r="D397" s="139"/>
      <c r="E397" s="64"/>
      <c r="F397" s="62"/>
      <c r="G397" s="63"/>
      <c r="H397" s="77"/>
      <c r="I397" s="64"/>
      <c r="J397" s="79"/>
      <c r="K397" s="136"/>
    </row>
    <row r="398" spans="1:11" s="43" customFormat="1" ht="18" customHeight="1" x14ac:dyDescent="0.3">
      <c r="A398" s="1"/>
      <c r="B398" s="138"/>
      <c r="C398" s="141"/>
      <c r="D398" s="139"/>
      <c r="E398" s="64"/>
      <c r="F398" s="62"/>
      <c r="G398" s="63"/>
      <c r="H398" s="77"/>
      <c r="I398" s="64"/>
      <c r="J398" s="79"/>
      <c r="K398" s="136"/>
    </row>
    <row r="399" spans="1:11" s="43" customFormat="1" ht="18" customHeight="1" x14ac:dyDescent="0.3">
      <c r="A399" s="1"/>
      <c r="B399" s="138"/>
      <c r="C399" s="141"/>
      <c r="D399" s="139"/>
      <c r="E399" s="64"/>
      <c r="F399" s="62"/>
      <c r="G399" s="63"/>
      <c r="H399" s="77"/>
      <c r="I399" s="64"/>
      <c r="J399" s="79"/>
      <c r="K399" s="136"/>
    </row>
    <row r="400" spans="1:11" s="43" customFormat="1" ht="18" customHeight="1" x14ac:dyDescent="0.3">
      <c r="A400" s="1"/>
      <c r="B400" s="138"/>
      <c r="C400" s="141"/>
      <c r="D400" s="139"/>
      <c r="E400" s="64"/>
      <c r="F400" s="62"/>
      <c r="G400" s="63"/>
      <c r="H400" s="77"/>
      <c r="I400" s="64"/>
      <c r="J400" s="79"/>
      <c r="K400" s="136"/>
    </row>
    <row r="401" spans="1:11" s="43" customFormat="1" ht="18" customHeight="1" x14ac:dyDescent="0.3">
      <c r="A401" s="1"/>
      <c r="B401" s="138"/>
      <c r="C401" s="141"/>
      <c r="D401" s="139"/>
      <c r="E401" s="64"/>
      <c r="F401" s="62"/>
      <c r="G401" s="63"/>
      <c r="H401" s="77"/>
      <c r="I401" s="64"/>
      <c r="J401" s="79"/>
      <c r="K401" s="136"/>
    </row>
    <row r="402" spans="1:11" s="43" customFormat="1" ht="18" customHeight="1" x14ac:dyDescent="0.3">
      <c r="A402" s="1"/>
      <c r="B402" s="138"/>
      <c r="C402" s="141"/>
      <c r="D402" s="139"/>
      <c r="E402" s="64"/>
      <c r="F402" s="62"/>
      <c r="G402" s="63"/>
      <c r="H402" s="77"/>
      <c r="I402" s="64"/>
      <c r="J402" s="79"/>
      <c r="K402" s="136"/>
    </row>
    <row r="403" spans="1:11" s="43" customFormat="1" ht="18" customHeight="1" x14ac:dyDescent="0.3">
      <c r="A403" s="1"/>
      <c r="B403" s="138"/>
      <c r="C403" s="141"/>
      <c r="D403" s="139"/>
      <c r="E403" s="64"/>
      <c r="F403" s="62"/>
      <c r="G403" s="63"/>
      <c r="H403" s="77"/>
      <c r="I403" s="64"/>
      <c r="J403" s="79"/>
      <c r="K403" s="136"/>
    </row>
    <row r="404" spans="1:11" s="43" customFormat="1" ht="18" customHeight="1" x14ac:dyDescent="0.3">
      <c r="A404" s="1"/>
      <c r="B404" s="138"/>
      <c r="C404" s="141"/>
      <c r="D404" s="139"/>
      <c r="E404" s="64"/>
      <c r="F404" s="62"/>
      <c r="G404" s="63"/>
      <c r="H404" s="77"/>
      <c r="I404" s="64"/>
      <c r="J404" s="79"/>
      <c r="K404" s="136"/>
    </row>
    <row r="405" spans="1:11" s="43" customFormat="1" ht="18" customHeight="1" x14ac:dyDescent="0.3">
      <c r="A405" s="1"/>
      <c r="B405" s="138"/>
      <c r="C405" s="141"/>
      <c r="D405" s="139"/>
      <c r="E405" s="64"/>
      <c r="F405" s="62"/>
      <c r="G405" s="63"/>
      <c r="H405" s="77"/>
      <c r="I405" s="64"/>
      <c r="J405" s="79"/>
      <c r="K405" s="136"/>
    </row>
    <row r="406" spans="1:11" s="43" customFormat="1" ht="18" customHeight="1" x14ac:dyDescent="0.3">
      <c r="A406" s="1"/>
      <c r="B406" s="138"/>
      <c r="C406" s="141"/>
      <c r="D406" s="139"/>
      <c r="E406" s="64"/>
      <c r="F406" s="62"/>
      <c r="G406" s="63"/>
      <c r="H406" s="77"/>
      <c r="I406" s="64"/>
      <c r="J406" s="79"/>
      <c r="K406" s="136"/>
    </row>
    <row r="407" spans="1:11" s="43" customFormat="1" ht="18" customHeight="1" x14ac:dyDescent="0.3">
      <c r="A407" s="1"/>
      <c r="B407" s="138"/>
      <c r="C407" s="141"/>
      <c r="D407" s="139"/>
      <c r="E407" s="64"/>
      <c r="F407" s="62"/>
      <c r="G407" s="63"/>
      <c r="H407" s="77"/>
      <c r="I407" s="64"/>
      <c r="J407" s="79"/>
      <c r="K407" s="136"/>
    </row>
    <row r="408" spans="1:11" s="43" customFormat="1" ht="18" customHeight="1" x14ac:dyDescent="0.3">
      <c r="A408" s="1"/>
      <c r="B408" s="138"/>
      <c r="C408" s="141"/>
      <c r="D408" s="139"/>
      <c r="E408" s="64"/>
      <c r="F408" s="62"/>
      <c r="G408" s="63"/>
      <c r="H408" s="77"/>
      <c r="I408" s="64"/>
      <c r="J408" s="79"/>
      <c r="K408" s="136"/>
    </row>
    <row r="409" spans="1:11" s="43" customFormat="1" ht="18" customHeight="1" x14ac:dyDescent="0.3">
      <c r="A409" s="1"/>
      <c r="B409" s="138"/>
      <c r="C409" s="141"/>
      <c r="D409" s="139"/>
      <c r="E409" s="64"/>
      <c r="F409" s="62"/>
      <c r="G409" s="63"/>
      <c r="H409" s="77"/>
      <c r="I409" s="64"/>
      <c r="J409" s="79"/>
      <c r="K409" s="136"/>
    </row>
    <row r="410" spans="1:11" s="43" customFormat="1" ht="18" customHeight="1" x14ac:dyDescent="0.3">
      <c r="A410" s="1"/>
      <c r="B410" s="138"/>
      <c r="C410" s="141"/>
      <c r="D410" s="139"/>
      <c r="E410" s="64"/>
      <c r="F410" s="62"/>
      <c r="G410" s="63"/>
      <c r="H410" s="77"/>
      <c r="I410" s="64"/>
      <c r="J410" s="79"/>
      <c r="K410" s="136"/>
    </row>
    <row r="411" spans="1:11" s="43" customFormat="1" ht="18" customHeight="1" x14ac:dyDescent="0.3">
      <c r="A411" s="1"/>
      <c r="B411" s="138"/>
      <c r="C411" s="141"/>
      <c r="D411" s="139"/>
      <c r="E411" s="64"/>
      <c r="F411" s="62"/>
      <c r="G411" s="63"/>
      <c r="H411" s="77"/>
      <c r="I411" s="64"/>
      <c r="J411" s="79"/>
      <c r="K411" s="136"/>
    </row>
    <row r="412" spans="1:11" s="43" customFormat="1" ht="18" customHeight="1" x14ac:dyDescent="0.3">
      <c r="A412" s="1"/>
      <c r="B412" s="138"/>
      <c r="C412" s="141"/>
      <c r="D412" s="139"/>
      <c r="E412" s="64"/>
      <c r="F412" s="62"/>
      <c r="G412" s="63"/>
      <c r="H412" s="77"/>
      <c r="I412" s="64"/>
      <c r="J412" s="79"/>
      <c r="K412" s="136"/>
    </row>
    <row r="413" spans="1:11" s="43" customFormat="1" ht="18" customHeight="1" x14ac:dyDescent="0.3">
      <c r="A413" s="1"/>
      <c r="B413" s="138"/>
      <c r="C413" s="141"/>
      <c r="D413" s="139"/>
      <c r="E413" s="64"/>
      <c r="F413" s="62"/>
      <c r="G413" s="63"/>
      <c r="H413" s="77"/>
      <c r="I413" s="64"/>
      <c r="J413" s="79"/>
      <c r="K413" s="136"/>
    </row>
    <row r="414" spans="1:11" s="43" customFormat="1" ht="18" customHeight="1" x14ac:dyDescent="0.3">
      <c r="A414" s="1"/>
      <c r="B414" s="138"/>
      <c r="C414" s="141"/>
      <c r="D414" s="139"/>
      <c r="E414" s="64"/>
      <c r="F414" s="62"/>
      <c r="G414" s="63"/>
      <c r="H414" s="77"/>
      <c r="I414" s="64"/>
      <c r="J414" s="79"/>
      <c r="K414" s="136"/>
    </row>
    <row r="415" spans="1:11" s="43" customFormat="1" ht="18" customHeight="1" x14ac:dyDescent="0.3">
      <c r="A415" s="1"/>
      <c r="B415" s="138"/>
      <c r="C415" s="141"/>
      <c r="D415" s="139"/>
      <c r="E415" s="64"/>
      <c r="F415" s="62"/>
      <c r="G415" s="63"/>
      <c r="H415" s="77"/>
      <c r="I415" s="64"/>
      <c r="J415" s="79"/>
      <c r="K415" s="136"/>
    </row>
    <row r="416" spans="1:11" s="43" customFormat="1" ht="18" customHeight="1" x14ac:dyDescent="0.3">
      <c r="A416" s="1"/>
      <c r="B416" s="138"/>
      <c r="C416" s="141"/>
      <c r="D416" s="139"/>
      <c r="E416" s="64"/>
      <c r="F416" s="62"/>
      <c r="G416" s="63"/>
      <c r="H416" s="77"/>
      <c r="I416" s="64"/>
      <c r="J416" s="79"/>
      <c r="K416" s="136"/>
    </row>
    <row r="417" spans="1:11" s="43" customFormat="1" ht="18" customHeight="1" x14ac:dyDescent="0.3">
      <c r="A417" s="1"/>
      <c r="B417" s="138"/>
      <c r="C417" s="141"/>
      <c r="D417" s="139"/>
      <c r="E417" s="64"/>
      <c r="F417" s="62"/>
      <c r="G417" s="63"/>
      <c r="H417" s="77"/>
      <c r="I417" s="64"/>
      <c r="J417" s="79"/>
      <c r="K417" s="136"/>
    </row>
    <row r="418" spans="1:11" s="43" customFormat="1" ht="18" customHeight="1" x14ac:dyDescent="0.3">
      <c r="A418" s="1"/>
      <c r="B418" s="138"/>
      <c r="C418" s="141"/>
      <c r="D418" s="139"/>
      <c r="E418" s="64"/>
      <c r="F418" s="62"/>
      <c r="G418" s="63"/>
      <c r="H418" s="77"/>
      <c r="I418" s="64"/>
      <c r="J418" s="79"/>
      <c r="K418" s="136"/>
    </row>
    <row r="419" spans="1:11" s="43" customFormat="1" ht="18" customHeight="1" x14ac:dyDescent="0.3">
      <c r="A419" s="1"/>
      <c r="B419" s="138"/>
      <c r="C419" s="141"/>
      <c r="D419" s="139"/>
      <c r="E419" s="64"/>
      <c r="F419" s="62"/>
      <c r="G419" s="63"/>
      <c r="H419" s="77"/>
      <c r="I419" s="64"/>
      <c r="J419" s="79"/>
      <c r="K419" s="136"/>
    </row>
    <row r="420" spans="1:11" s="43" customFormat="1" ht="18" customHeight="1" x14ac:dyDescent="0.3">
      <c r="A420" s="1"/>
      <c r="B420" s="138"/>
      <c r="C420" s="141"/>
      <c r="D420" s="139"/>
      <c r="E420" s="64"/>
      <c r="F420" s="62"/>
      <c r="G420" s="63"/>
      <c r="H420" s="77"/>
      <c r="I420" s="64"/>
      <c r="J420" s="79"/>
      <c r="K420" s="136"/>
    </row>
    <row r="421" spans="1:11" s="43" customFormat="1" ht="18" customHeight="1" x14ac:dyDescent="0.3">
      <c r="A421" s="1"/>
      <c r="B421" s="138"/>
      <c r="C421" s="141"/>
      <c r="D421" s="139"/>
      <c r="E421" s="64"/>
      <c r="F421" s="62"/>
      <c r="G421" s="63"/>
      <c r="H421" s="77"/>
      <c r="I421" s="64"/>
      <c r="J421" s="79"/>
      <c r="K421" s="136"/>
    </row>
    <row r="422" spans="1:11" s="43" customFormat="1" ht="18" customHeight="1" x14ac:dyDescent="0.3">
      <c r="A422" s="1"/>
      <c r="B422" s="138"/>
      <c r="C422" s="141"/>
      <c r="D422" s="139"/>
      <c r="E422" s="64"/>
      <c r="F422" s="62"/>
      <c r="G422" s="63"/>
      <c r="H422" s="77"/>
      <c r="I422" s="64"/>
      <c r="J422" s="79"/>
      <c r="K422" s="136"/>
    </row>
    <row r="423" spans="1:11" s="43" customFormat="1" ht="18" customHeight="1" x14ac:dyDescent="0.3">
      <c r="A423" s="1"/>
      <c r="B423" s="138"/>
      <c r="C423" s="141"/>
      <c r="D423" s="139"/>
      <c r="E423" s="64"/>
      <c r="F423" s="62"/>
      <c r="G423" s="63"/>
      <c r="H423" s="77"/>
      <c r="I423" s="64"/>
      <c r="J423" s="79"/>
      <c r="K423" s="136"/>
    </row>
    <row r="424" spans="1:11" s="43" customFormat="1" ht="18" customHeight="1" x14ac:dyDescent="0.3">
      <c r="A424" s="1"/>
      <c r="B424" s="138"/>
      <c r="C424" s="141"/>
      <c r="D424" s="139"/>
      <c r="E424" s="64"/>
      <c r="F424" s="62"/>
      <c r="G424" s="63"/>
      <c r="H424" s="77"/>
      <c r="I424" s="64"/>
      <c r="J424" s="79"/>
      <c r="K424" s="136"/>
    </row>
    <row r="425" spans="1:11" s="43" customFormat="1" ht="18" customHeight="1" x14ac:dyDescent="0.3">
      <c r="A425" s="1"/>
      <c r="B425" s="138"/>
      <c r="C425" s="141"/>
      <c r="D425" s="139"/>
      <c r="E425" s="64"/>
      <c r="F425" s="62"/>
      <c r="G425" s="63"/>
      <c r="H425" s="77"/>
      <c r="I425" s="64"/>
      <c r="J425" s="79"/>
      <c r="K425" s="136"/>
    </row>
    <row r="426" spans="1:11" s="43" customFormat="1" ht="18" customHeight="1" x14ac:dyDescent="0.3">
      <c r="A426" s="1"/>
      <c r="B426" s="138"/>
      <c r="C426" s="141"/>
      <c r="D426" s="139"/>
      <c r="E426" s="64"/>
      <c r="F426" s="62"/>
      <c r="G426" s="63"/>
      <c r="H426" s="77"/>
      <c r="I426" s="64"/>
      <c r="J426" s="79"/>
      <c r="K426" s="136"/>
    </row>
    <row r="427" spans="1:11" s="43" customFormat="1" ht="18" customHeight="1" x14ac:dyDescent="0.3">
      <c r="A427" s="1"/>
      <c r="B427" s="138"/>
      <c r="C427" s="141"/>
      <c r="D427" s="139"/>
      <c r="E427" s="64"/>
      <c r="F427" s="62"/>
      <c r="G427" s="63"/>
      <c r="H427" s="77"/>
      <c r="I427" s="64"/>
      <c r="J427" s="79"/>
      <c r="K427" s="136"/>
    </row>
    <row r="428" spans="1:11" s="43" customFormat="1" ht="18" customHeight="1" x14ac:dyDescent="0.3">
      <c r="A428" s="1"/>
      <c r="B428" s="138"/>
      <c r="C428" s="141"/>
      <c r="D428" s="139"/>
      <c r="E428" s="64"/>
      <c r="F428" s="62"/>
      <c r="G428" s="63"/>
      <c r="H428" s="77"/>
      <c r="I428" s="64"/>
      <c r="J428" s="79"/>
      <c r="K428" s="136"/>
    </row>
    <row r="429" spans="1:11" s="43" customFormat="1" ht="18" customHeight="1" x14ac:dyDescent="0.3">
      <c r="A429" s="1"/>
      <c r="B429" s="138"/>
      <c r="C429" s="141"/>
      <c r="D429" s="139"/>
      <c r="E429" s="64"/>
      <c r="F429" s="62"/>
      <c r="G429" s="63"/>
      <c r="H429" s="77"/>
      <c r="I429" s="64"/>
      <c r="J429" s="79"/>
      <c r="K429" s="136"/>
    </row>
    <row r="430" spans="1:11" s="43" customFormat="1" ht="18" customHeight="1" x14ac:dyDescent="0.3">
      <c r="A430" s="1"/>
      <c r="B430" s="138"/>
      <c r="C430" s="141"/>
      <c r="D430" s="139"/>
      <c r="E430" s="64"/>
      <c r="F430" s="62"/>
      <c r="G430" s="63"/>
      <c r="H430" s="77"/>
      <c r="I430" s="64"/>
      <c r="J430" s="79"/>
      <c r="K430" s="136"/>
    </row>
    <row r="431" spans="1:11" s="43" customFormat="1" ht="18" customHeight="1" x14ac:dyDescent="0.3">
      <c r="A431" s="1"/>
      <c r="B431" s="138"/>
      <c r="C431" s="141"/>
      <c r="D431" s="139"/>
      <c r="E431" s="64"/>
      <c r="F431" s="62"/>
      <c r="G431" s="63"/>
      <c r="H431" s="77"/>
      <c r="I431" s="64"/>
      <c r="J431" s="79"/>
      <c r="K431" s="136"/>
    </row>
    <row r="432" spans="1:11" s="43" customFormat="1" ht="18" customHeight="1" x14ac:dyDescent="0.3">
      <c r="A432" s="1"/>
      <c r="B432" s="138"/>
      <c r="C432" s="141"/>
      <c r="D432" s="139"/>
      <c r="E432" s="64"/>
      <c r="F432" s="62"/>
      <c r="G432" s="63"/>
      <c r="H432" s="77"/>
      <c r="I432" s="64"/>
      <c r="J432" s="79"/>
      <c r="K432" s="136"/>
    </row>
    <row r="433" spans="1:11" s="43" customFormat="1" ht="18" customHeight="1" x14ac:dyDescent="0.3">
      <c r="A433" s="1"/>
      <c r="B433" s="138"/>
      <c r="C433" s="141"/>
      <c r="D433" s="139"/>
      <c r="E433" s="64"/>
      <c r="F433" s="62"/>
      <c r="G433" s="63"/>
      <c r="H433" s="77"/>
      <c r="I433" s="64"/>
      <c r="J433" s="79"/>
      <c r="K433" s="136"/>
    </row>
    <row r="434" spans="1:11" s="43" customFormat="1" ht="18" customHeight="1" x14ac:dyDescent="0.3">
      <c r="A434" s="1"/>
      <c r="B434" s="138"/>
      <c r="C434" s="141"/>
      <c r="D434" s="139"/>
      <c r="E434" s="64"/>
      <c r="F434" s="62"/>
      <c r="G434" s="63"/>
      <c r="H434" s="77"/>
      <c r="I434" s="64"/>
      <c r="J434" s="79"/>
      <c r="K434" s="136"/>
    </row>
    <row r="435" spans="1:11" s="43" customFormat="1" ht="18" customHeight="1" x14ac:dyDescent="0.3">
      <c r="A435" s="1"/>
      <c r="B435" s="138"/>
      <c r="C435" s="141"/>
      <c r="D435" s="139"/>
      <c r="E435" s="64"/>
      <c r="F435" s="62"/>
      <c r="G435" s="63"/>
      <c r="H435" s="77"/>
      <c r="I435" s="64"/>
      <c r="J435" s="79"/>
      <c r="K435" s="136"/>
    </row>
    <row r="436" spans="1:11" s="43" customFormat="1" ht="18" customHeight="1" x14ac:dyDescent="0.3">
      <c r="A436" s="1"/>
      <c r="B436" s="138"/>
      <c r="C436" s="141"/>
      <c r="D436" s="139"/>
      <c r="E436" s="64"/>
      <c r="F436" s="62"/>
      <c r="G436" s="63"/>
      <c r="H436" s="77"/>
      <c r="I436" s="64"/>
      <c r="J436" s="79"/>
      <c r="K436" s="136"/>
    </row>
    <row r="437" spans="1:11" s="43" customFormat="1" ht="18" customHeight="1" x14ac:dyDescent="0.3">
      <c r="A437" s="1"/>
      <c r="B437" s="138"/>
      <c r="C437" s="141"/>
      <c r="D437" s="139"/>
      <c r="E437" s="64"/>
      <c r="F437" s="62"/>
      <c r="G437" s="63"/>
      <c r="H437" s="77"/>
      <c r="I437" s="64"/>
      <c r="J437" s="79"/>
      <c r="K437" s="136"/>
    </row>
    <row r="438" spans="1:11" s="43" customFormat="1" ht="18" customHeight="1" x14ac:dyDescent="0.3">
      <c r="A438" s="1"/>
      <c r="B438" s="138"/>
      <c r="C438" s="141"/>
      <c r="D438" s="139"/>
      <c r="E438" s="64"/>
      <c r="F438" s="62"/>
      <c r="G438" s="63"/>
      <c r="H438" s="77"/>
      <c r="I438" s="64"/>
      <c r="J438" s="79"/>
      <c r="K438" s="136"/>
    </row>
    <row r="439" spans="1:11" s="43" customFormat="1" ht="18" customHeight="1" x14ac:dyDescent="0.3">
      <c r="A439" s="1"/>
      <c r="B439" s="138"/>
      <c r="C439" s="141"/>
      <c r="D439" s="139"/>
      <c r="E439" s="64"/>
      <c r="F439" s="62"/>
      <c r="G439" s="63"/>
      <c r="H439" s="77"/>
      <c r="I439" s="64"/>
      <c r="J439" s="79"/>
      <c r="K439" s="136"/>
    </row>
    <row r="440" spans="1:11" s="43" customFormat="1" ht="18" customHeight="1" x14ac:dyDescent="0.3">
      <c r="A440" s="1"/>
      <c r="B440" s="138"/>
      <c r="C440" s="141"/>
      <c r="D440" s="139"/>
      <c r="E440" s="64"/>
      <c r="F440" s="62"/>
      <c r="G440" s="63"/>
      <c r="H440" s="77"/>
      <c r="I440" s="64"/>
      <c r="J440" s="79"/>
      <c r="K440" s="136"/>
    </row>
    <row r="441" spans="1:11" s="43" customFormat="1" ht="18" customHeight="1" x14ac:dyDescent="0.3">
      <c r="A441" s="1"/>
      <c r="B441" s="138"/>
      <c r="C441" s="141"/>
      <c r="D441" s="139"/>
      <c r="E441" s="64"/>
      <c r="F441" s="62"/>
      <c r="G441" s="63"/>
      <c r="H441" s="77"/>
      <c r="I441" s="64"/>
      <c r="J441" s="79"/>
      <c r="K441" s="136"/>
    </row>
    <row r="442" spans="1:11" s="43" customFormat="1" ht="18" customHeight="1" x14ac:dyDescent="0.3">
      <c r="A442" s="1"/>
      <c r="B442" s="138"/>
      <c r="C442" s="141"/>
      <c r="D442" s="139"/>
      <c r="E442" s="64"/>
      <c r="F442" s="62"/>
      <c r="G442" s="63"/>
      <c r="H442" s="77"/>
      <c r="I442" s="64"/>
      <c r="J442" s="79"/>
      <c r="K442" s="136"/>
    </row>
    <row r="443" spans="1:11" s="43" customFormat="1" ht="18" customHeight="1" x14ac:dyDescent="0.3">
      <c r="A443" s="1"/>
      <c r="B443" s="138"/>
      <c r="C443" s="141"/>
      <c r="D443" s="139"/>
      <c r="E443" s="64"/>
      <c r="F443" s="62"/>
      <c r="G443" s="63"/>
      <c r="H443" s="77"/>
      <c r="I443" s="64"/>
      <c r="J443" s="79"/>
      <c r="K443" s="136"/>
    </row>
    <row r="444" spans="1:11" s="43" customFormat="1" ht="18" customHeight="1" x14ac:dyDescent="0.3">
      <c r="A444" s="1"/>
      <c r="B444" s="138"/>
      <c r="C444" s="141"/>
      <c r="D444" s="139"/>
      <c r="E444" s="64"/>
      <c r="F444" s="62"/>
      <c r="G444" s="63"/>
      <c r="H444" s="77"/>
      <c r="I444" s="64"/>
      <c r="J444" s="79"/>
      <c r="K444" s="136"/>
    </row>
    <row r="445" spans="1:11" s="43" customFormat="1" ht="18" customHeight="1" x14ac:dyDescent="0.3">
      <c r="A445" s="1"/>
      <c r="B445" s="138"/>
      <c r="C445" s="141"/>
      <c r="D445" s="139"/>
      <c r="E445" s="64"/>
      <c r="F445" s="62"/>
      <c r="G445" s="63"/>
      <c r="H445" s="77"/>
      <c r="I445" s="64"/>
      <c r="J445" s="79"/>
      <c r="K445" s="136"/>
    </row>
    <row r="446" spans="1:11" s="43" customFormat="1" ht="18" customHeight="1" x14ac:dyDescent="0.3">
      <c r="A446" s="1"/>
      <c r="B446" s="138"/>
      <c r="C446" s="141"/>
      <c r="D446" s="139"/>
      <c r="E446" s="64"/>
      <c r="F446" s="62"/>
      <c r="G446" s="63"/>
      <c r="H446" s="77"/>
      <c r="I446" s="64"/>
      <c r="J446" s="79"/>
      <c r="K446" s="136"/>
    </row>
    <row r="447" spans="1:11" s="43" customFormat="1" ht="18" customHeight="1" x14ac:dyDescent="0.3">
      <c r="A447" s="1"/>
      <c r="B447" s="138"/>
      <c r="C447" s="141"/>
      <c r="D447" s="139"/>
      <c r="E447" s="64"/>
      <c r="F447" s="62"/>
      <c r="G447" s="63"/>
      <c r="H447" s="77"/>
      <c r="I447" s="64"/>
      <c r="J447" s="79"/>
      <c r="K447" s="136"/>
    </row>
    <row r="448" spans="1:11" s="43" customFormat="1" ht="18" customHeight="1" x14ac:dyDescent="0.3">
      <c r="A448" s="1"/>
      <c r="B448" s="138"/>
      <c r="C448" s="141"/>
      <c r="D448" s="139"/>
      <c r="E448" s="64"/>
      <c r="F448" s="62"/>
      <c r="G448" s="63"/>
      <c r="H448" s="77"/>
      <c r="I448" s="64"/>
      <c r="J448" s="79"/>
      <c r="K448" s="136"/>
    </row>
    <row r="449" spans="1:11" s="43" customFormat="1" ht="18" customHeight="1" x14ac:dyDescent="0.3">
      <c r="A449" s="1"/>
      <c r="B449" s="138"/>
      <c r="C449" s="141"/>
      <c r="D449" s="139"/>
      <c r="E449" s="64"/>
      <c r="F449" s="62"/>
      <c r="G449" s="63"/>
      <c r="H449" s="77"/>
      <c r="I449" s="64"/>
      <c r="J449" s="79"/>
      <c r="K449" s="136"/>
    </row>
    <row r="450" spans="1:11" s="43" customFormat="1" ht="18" customHeight="1" x14ac:dyDescent="0.3">
      <c r="A450" s="1"/>
      <c r="B450" s="138"/>
      <c r="C450" s="141"/>
      <c r="D450" s="139"/>
      <c r="E450" s="64"/>
      <c r="F450" s="62"/>
      <c r="G450" s="63"/>
      <c r="H450" s="77"/>
      <c r="I450" s="64"/>
      <c r="J450" s="79"/>
      <c r="K450" s="136"/>
    </row>
    <row r="451" spans="1:11" s="43" customFormat="1" ht="18" customHeight="1" x14ac:dyDescent="0.3">
      <c r="A451" s="1"/>
      <c r="B451" s="138"/>
      <c r="C451" s="141"/>
      <c r="D451" s="139"/>
      <c r="E451" s="64"/>
      <c r="F451" s="62"/>
      <c r="G451" s="63"/>
      <c r="H451" s="77"/>
      <c r="I451" s="64"/>
      <c r="J451" s="79"/>
      <c r="K451" s="136"/>
    </row>
    <row r="452" spans="1:11" s="43" customFormat="1" ht="18" customHeight="1" x14ac:dyDescent="0.3">
      <c r="A452" s="1"/>
      <c r="B452" s="138"/>
      <c r="C452" s="141"/>
      <c r="D452" s="139"/>
      <c r="E452" s="64"/>
      <c r="F452" s="62"/>
      <c r="G452" s="63"/>
      <c r="H452" s="77"/>
      <c r="I452" s="64"/>
      <c r="J452" s="79"/>
      <c r="K452" s="136"/>
    </row>
    <row r="453" spans="1:11" s="43" customFormat="1" ht="18" customHeight="1" x14ac:dyDescent="0.3">
      <c r="A453" s="1"/>
      <c r="B453" s="138"/>
      <c r="C453" s="141"/>
      <c r="D453" s="139"/>
      <c r="E453" s="64"/>
      <c r="F453" s="62"/>
      <c r="G453" s="63"/>
      <c r="H453" s="77"/>
      <c r="I453" s="64"/>
      <c r="J453" s="79"/>
      <c r="K453" s="136"/>
    </row>
    <row r="454" spans="1:11" s="43" customFormat="1" ht="18" customHeight="1" x14ac:dyDescent="0.3">
      <c r="A454" s="1"/>
      <c r="B454" s="138"/>
      <c r="C454" s="141"/>
      <c r="D454" s="139"/>
      <c r="E454" s="64"/>
      <c r="F454" s="62"/>
      <c r="G454" s="63"/>
      <c r="H454" s="77"/>
      <c r="I454" s="64"/>
      <c r="J454" s="79"/>
      <c r="K454" s="136"/>
    </row>
    <row r="455" spans="1:11" s="43" customFormat="1" ht="18" customHeight="1" x14ac:dyDescent="0.3">
      <c r="A455" s="1"/>
      <c r="B455" s="138"/>
      <c r="C455" s="141"/>
      <c r="D455" s="139"/>
      <c r="E455" s="64"/>
      <c r="F455" s="62"/>
      <c r="G455" s="63"/>
      <c r="H455" s="77"/>
      <c r="I455" s="64"/>
      <c r="J455" s="79"/>
      <c r="K455" s="136"/>
    </row>
    <row r="456" spans="1:11" s="43" customFormat="1" ht="18" customHeight="1" x14ac:dyDescent="0.3">
      <c r="A456" s="1"/>
      <c r="B456" s="138"/>
      <c r="C456" s="141"/>
      <c r="D456" s="139"/>
      <c r="E456" s="64"/>
      <c r="F456" s="62"/>
      <c r="G456" s="63"/>
      <c r="H456" s="77"/>
      <c r="I456" s="64"/>
      <c r="J456" s="79"/>
      <c r="K456" s="136"/>
    </row>
    <row r="457" spans="1:11" s="43" customFormat="1" ht="18" customHeight="1" x14ac:dyDescent="0.3">
      <c r="A457" s="1"/>
      <c r="B457" s="138"/>
      <c r="C457" s="141"/>
      <c r="D457" s="139"/>
      <c r="E457" s="64"/>
      <c r="F457" s="62"/>
      <c r="G457" s="63"/>
      <c r="H457" s="77"/>
      <c r="I457" s="64"/>
      <c r="J457" s="79"/>
      <c r="K457" s="136"/>
    </row>
    <row r="458" spans="1:11" s="43" customFormat="1" ht="18" customHeight="1" x14ac:dyDescent="0.3">
      <c r="A458" s="1"/>
      <c r="B458" s="138"/>
      <c r="C458" s="141"/>
      <c r="D458" s="139"/>
      <c r="E458" s="64"/>
      <c r="F458" s="62"/>
      <c r="G458" s="63"/>
      <c r="H458" s="77"/>
      <c r="I458" s="64"/>
      <c r="J458" s="79"/>
      <c r="K458" s="136"/>
    </row>
    <row r="459" spans="1:11" s="43" customFormat="1" ht="18" customHeight="1" x14ac:dyDescent="0.3">
      <c r="A459" s="1"/>
      <c r="B459" s="138"/>
      <c r="C459" s="141"/>
      <c r="D459" s="139"/>
      <c r="E459" s="64"/>
      <c r="F459" s="62"/>
      <c r="G459" s="63"/>
      <c r="H459" s="77"/>
      <c r="I459" s="64"/>
      <c r="J459" s="79"/>
      <c r="K459" s="136"/>
    </row>
    <row r="460" spans="1:11" s="43" customFormat="1" ht="18" customHeight="1" x14ac:dyDescent="0.3">
      <c r="A460" s="1"/>
      <c r="B460" s="138"/>
      <c r="C460" s="141"/>
      <c r="D460" s="139"/>
      <c r="E460" s="64"/>
      <c r="F460" s="62"/>
      <c r="G460" s="63"/>
      <c r="H460" s="77"/>
      <c r="I460" s="64"/>
      <c r="J460" s="79"/>
      <c r="K460" s="136"/>
    </row>
    <row r="461" spans="1:11" s="43" customFormat="1" ht="18" customHeight="1" x14ac:dyDescent="0.3">
      <c r="A461" s="1"/>
      <c r="B461" s="138"/>
      <c r="C461" s="141"/>
      <c r="D461" s="139"/>
      <c r="E461" s="64"/>
      <c r="F461" s="62"/>
      <c r="G461" s="63"/>
      <c r="H461" s="77"/>
      <c r="I461" s="64"/>
      <c r="J461" s="79"/>
      <c r="K461" s="136"/>
    </row>
    <row r="462" spans="1:11" s="43" customFormat="1" ht="18" customHeight="1" x14ac:dyDescent="0.3">
      <c r="A462" s="1"/>
      <c r="B462" s="138"/>
      <c r="C462" s="141"/>
      <c r="D462" s="139"/>
      <c r="E462" s="64"/>
      <c r="F462" s="62"/>
      <c r="G462" s="63"/>
      <c r="H462" s="77"/>
      <c r="I462" s="64"/>
      <c r="J462" s="79"/>
      <c r="K462" s="136"/>
    </row>
    <row r="463" spans="1:11" s="43" customFormat="1" ht="18" customHeight="1" x14ac:dyDescent="0.3">
      <c r="A463" s="1"/>
      <c r="B463" s="138"/>
      <c r="C463" s="141"/>
      <c r="D463" s="139"/>
      <c r="E463" s="64"/>
      <c r="F463" s="62"/>
      <c r="G463" s="63"/>
      <c r="H463" s="77"/>
      <c r="I463" s="64"/>
      <c r="J463" s="79"/>
      <c r="K463" s="136"/>
    </row>
    <row r="464" spans="1:11" s="43" customFormat="1" ht="18" customHeight="1" x14ac:dyDescent="0.3">
      <c r="A464" s="1"/>
      <c r="B464" s="138"/>
      <c r="C464" s="141"/>
      <c r="D464" s="139"/>
      <c r="E464" s="64"/>
      <c r="F464" s="62"/>
      <c r="G464" s="63"/>
      <c r="H464" s="77"/>
      <c r="I464" s="64"/>
      <c r="J464" s="79"/>
      <c r="K464" s="136"/>
    </row>
    <row r="465" spans="1:11" s="43" customFormat="1" ht="18" customHeight="1" x14ac:dyDescent="0.3">
      <c r="A465" s="1"/>
      <c r="B465" s="138"/>
      <c r="C465" s="141"/>
      <c r="D465" s="139"/>
      <c r="E465" s="64"/>
      <c r="F465" s="62"/>
      <c r="G465" s="63"/>
      <c r="H465" s="77"/>
      <c r="I465" s="64"/>
      <c r="J465" s="79"/>
      <c r="K465" s="136"/>
    </row>
    <row r="466" spans="1:11" s="43" customFormat="1" ht="18" customHeight="1" x14ac:dyDescent="0.3">
      <c r="A466" s="1"/>
      <c r="B466" s="138"/>
      <c r="C466" s="141"/>
      <c r="D466" s="139"/>
      <c r="E466" s="64"/>
      <c r="F466" s="62"/>
      <c r="G466" s="63"/>
      <c r="H466" s="77"/>
      <c r="I466" s="64"/>
      <c r="J466" s="79"/>
      <c r="K466" s="136"/>
    </row>
    <row r="467" spans="1:11" s="43" customFormat="1" ht="18" customHeight="1" x14ac:dyDescent="0.3">
      <c r="A467" s="1"/>
      <c r="B467" s="138"/>
      <c r="C467" s="141"/>
      <c r="D467" s="139"/>
      <c r="E467" s="64"/>
      <c r="F467" s="62"/>
      <c r="G467" s="63"/>
      <c r="H467" s="77"/>
      <c r="I467" s="64"/>
      <c r="J467" s="79"/>
      <c r="K467" s="136"/>
    </row>
    <row r="468" spans="1:11" s="43" customFormat="1" ht="18" customHeight="1" x14ac:dyDescent="0.3">
      <c r="A468" s="1"/>
      <c r="B468" s="138"/>
      <c r="C468" s="141"/>
      <c r="D468" s="139"/>
      <c r="E468" s="64"/>
      <c r="F468" s="62"/>
      <c r="G468" s="63"/>
      <c r="H468" s="77"/>
      <c r="I468" s="64"/>
      <c r="J468" s="79"/>
      <c r="K468" s="136"/>
    </row>
    <row r="469" spans="1:11" s="43" customFormat="1" ht="18" customHeight="1" x14ac:dyDescent="0.3">
      <c r="A469" s="1"/>
      <c r="B469" s="138"/>
      <c r="C469" s="141"/>
      <c r="D469" s="139"/>
      <c r="E469" s="64"/>
      <c r="F469" s="62"/>
      <c r="G469" s="63"/>
      <c r="H469" s="77"/>
      <c r="I469" s="64"/>
      <c r="J469" s="79"/>
      <c r="K469" s="136"/>
    </row>
    <row r="470" spans="1:11" s="43" customFormat="1" ht="18" customHeight="1" x14ac:dyDescent="0.3">
      <c r="A470" s="1"/>
      <c r="B470" s="138"/>
      <c r="C470" s="141"/>
      <c r="D470" s="139"/>
      <c r="E470" s="64"/>
      <c r="F470" s="62"/>
      <c r="G470" s="63"/>
      <c r="H470" s="77"/>
      <c r="I470" s="64"/>
      <c r="J470" s="79"/>
      <c r="K470" s="136"/>
    </row>
    <row r="471" spans="1:11" s="43" customFormat="1" ht="18" customHeight="1" x14ac:dyDescent="0.3">
      <c r="A471" s="1"/>
      <c r="B471" s="138"/>
      <c r="C471" s="141"/>
      <c r="D471" s="139"/>
      <c r="E471" s="64"/>
      <c r="F471" s="62"/>
      <c r="G471" s="63"/>
      <c r="H471" s="77"/>
      <c r="I471" s="64"/>
      <c r="J471" s="79"/>
      <c r="K471" s="136"/>
    </row>
    <row r="472" spans="1:11" s="43" customFormat="1" ht="18" customHeight="1" x14ac:dyDescent="0.3">
      <c r="A472" s="1"/>
      <c r="B472" s="138"/>
      <c r="C472" s="141"/>
      <c r="D472" s="139"/>
      <c r="E472" s="64"/>
      <c r="F472" s="62"/>
      <c r="G472" s="63"/>
      <c r="H472" s="77"/>
      <c r="I472" s="64"/>
      <c r="J472" s="79"/>
      <c r="K472" s="136"/>
    </row>
    <row r="473" spans="1:11" s="43" customFormat="1" ht="18" customHeight="1" x14ac:dyDescent="0.3">
      <c r="A473" s="1"/>
      <c r="B473" s="138"/>
      <c r="C473" s="141"/>
      <c r="D473" s="139"/>
      <c r="E473" s="64"/>
      <c r="F473" s="62"/>
      <c r="G473" s="63"/>
      <c r="H473" s="77"/>
      <c r="I473" s="64"/>
      <c r="J473" s="79"/>
      <c r="K473" s="136"/>
    </row>
    <row r="474" spans="1:11" s="43" customFormat="1" ht="18" customHeight="1" x14ac:dyDescent="0.3">
      <c r="A474" s="1"/>
      <c r="B474" s="138"/>
      <c r="C474" s="141"/>
      <c r="D474" s="139"/>
      <c r="E474" s="64"/>
      <c r="F474" s="62"/>
      <c r="G474" s="63"/>
      <c r="H474" s="77"/>
      <c r="I474" s="64"/>
      <c r="J474" s="79"/>
      <c r="K474" s="136"/>
    </row>
    <row r="475" spans="1:11" s="43" customFormat="1" ht="18" customHeight="1" x14ac:dyDescent="0.3">
      <c r="A475" s="1"/>
      <c r="B475" s="138"/>
      <c r="C475" s="141"/>
      <c r="D475" s="139"/>
      <c r="E475" s="64"/>
      <c r="F475" s="62"/>
      <c r="G475" s="63"/>
      <c r="H475" s="77"/>
      <c r="I475" s="64"/>
      <c r="J475" s="79"/>
      <c r="K475" s="136"/>
    </row>
    <row r="476" spans="1:11" s="43" customFormat="1" ht="18" customHeight="1" x14ac:dyDescent="0.3">
      <c r="A476" s="1"/>
      <c r="B476" s="138"/>
      <c r="C476" s="141"/>
      <c r="D476" s="139"/>
      <c r="E476" s="64"/>
      <c r="F476" s="62"/>
      <c r="G476" s="63"/>
      <c r="H476" s="77"/>
      <c r="I476" s="64"/>
      <c r="J476" s="79"/>
      <c r="K476" s="136"/>
    </row>
    <row r="477" spans="1:11" s="43" customFormat="1" ht="18" customHeight="1" x14ac:dyDescent="0.3">
      <c r="A477" s="1"/>
      <c r="B477" s="138"/>
      <c r="C477" s="141"/>
      <c r="D477" s="139"/>
      <c r="E477" s="64"/>
      <c r="F477" s="62"/>
      <c r="G477" s="63"/>
      <c r="H477" s="77"/>
      <c r="I477" s="64"/>
      <c r="J477" s="79"/>
      <c r="K477" s="136"/>
    </row>
    <row r="478" spans="1:11" s="43" customFormat="1" ht="18" customHeight="1" x14ac:dyDescent="0.3">
      <c r="A478" s="1"/>
      <c r="B478" s="138"/>
      <c r="C478" s="141"/>
      <c r="D478" s="139"/>
      <c r="E478" s="64"/>
      <c r="F478" s="62"/>
      <c r="G478" s="63"/>
      <c r="H478" s="77"/>
      <c r="I478" s="64"/>
      <c r="J478" s="79"/>
      <c r="K478" s="136"/>
    </row>
    <row r="479" spans="1:11" s="43" customFormat="1" ht="18" customHeight="1" x14ac:dyDescent="0.3">
      <c r="A479" s="1"/>
      <c r="B479" s="138"/>
      <c r="C479" s="141"/>
      <c r="D479" s="139"/>
      <c r="E479" s="64"/>
      <c r="F479" s="62"/>
      <c r="G479" s="63"/>
      <c r="H479" s="77"/>
      <c r="I479" s="64"/>
      <c r="J479" s="79"/>
      <c r="K479" s="136"/>
    </row>
    <row r="480" spans="1:11" s="43" customFormat="1" ht="18" customHeight="1" x14ac:dyDescent="0.3">
      <c r="A480" s="1"/>
      <c r="B480" s="138"/>
      <c r="C480" s="141"/>
      <c r="D480" s="139"/>
      <c r="E480" s="64"/>
      <c r="F480" s="62"/>
      <c r="G480" s="63"/>
      <c r="H480" s="77"/>
      <c r="I480" s="64"/>
      <c r="J480" s="79"/>
      <c r="K480" s="136"/>
    </row>
    <row r="481" spans="1:11" s="43" customFormat="1" ht="18" customHeight="1" x14ac:dyDescent="0.3">
      <c r="A481" s="1"/>
      <c r="B481" s="138"/>
      <c r="C481" s="141"/>
      <c r="D481" s="139"/>
      <c r="E481" s="64"/>
      <c r="F481" s="62"/>
      <c r="G481" s="63"/>
      <c r="H481" s="77"/>
      <c r="I481" s="64"/>
      <c r="J481" s="79"/>
      <c r="K481" s="136"/>
    </row>
    <row r="482" spans="1:11" s="43" customFormat="1" ht="18" customHeight="1" x14ac:dyDescent="0.3">
      <c r="A482" s="1"/>
      <c r="B482" s="138"/>
      <c r="C482" s="141"/>
      <c r="D482" s="139"/>
      <c r="E482" s="64"/>
      <c r="F482" s="62"/>
      <c r="G482" s="63"/>
      <c r="H482" s="77"/>
      <c r="I482" s="64"/>
      <c r="J482" s="79"/>
      <c r="K482" s="136"/>
    </row>
    <row r="483" spans="1:11" s="43" customFormat="1" ht="18" customHeight="1" x14ac:dyDescent="0.3">
      <c r="A483" s="1"/>
      <c r="B483" s="138"/>
      <c r="C483" s="141"/>
      <c r="D483" s="139"/>
      <c r="E483" s="64"/>
      <c r="F483" s="62"/>
      <c r="G483" s="63"/>
      <c r="H483" s="77"/>
      <c r="I483" s="64"/>
      <c r="J483" s="79"/>
      <c r="K483" s="136"/>
    </row>
    <row r="484" spans="1:11" s="43" customFormat="1" ht="18" customHeight="1" x14ac:dyDescent="0.3">
      <c r="A484" s="1"/>
      <c r="B484" s="138"/>
      <c r="C484" s="141"/>
      <c r="D484" s="139"/>
      <c r="E484" s="64"/>
      <c r="F484" s="62"/>
      <c r="G484" s="63"/>
      <c r="H484" s="77"/>
      <c r="I484" s="64"/>
      <c r="J484" s="79"/>
      <c r="K484" s="136"/>
    </row>
    <row r="485" spans="1:11" s="43" customFormat="1" ht="18" customHeight="1" x14ac:dyDescent="0.3">
      <c r="A485" s="1"/>
      <c r="B485" s="138"/>
      <c r="C485" s="141"/>
      <c r="D485" s="139"/>
      <c r="E485" s="64"/>
      <c r="F485" s="62"/>
      <c r="G485" s="63"/>
      <c r="H485" s="77"/>
      <c r="I485" s="64"/>
      <c r="J485" s="79"/>
      <c r="K485" s="136"/>
    </row>
    <row r="486" spans="1:11" s="43" customFormat="1" ht="18" customHeight="1" x14ac:dyDescent="0.3">
      <c r="A486" s="1"/>
      <c r="B486" s="138"/>
      <c r="C486" s="141"/>
      <c r="D486" s="139"/>
      <c r="E486" s="64"/>
      <c r="F486" s="62"/>
      <c r="G486" s="63"/>
      <c r="H486" s="77"/>
      <c r="I486" s="64"/>
      <c r="J486" s="79"/>
      <c r="K486" s="136"/>
    </row>
    <row r="487" spans="1:11" s="43" customFormat="1" ht="18" customHeight="1" x14ac:dyDescent="0.3">
      <c r="A487" s="1"/>
      <c r="B487" s="138"/>
      <c r="C487" s="141"/>
      <c r="D487" s="139"/>
      <c r="E487" s="64"/>
      <c r="F487" s="62"/>
      <c r="G487" s="63"/>
      <c r="H487" s="77"/>
      <c r="I487" s="64"/>
      <c r="J487" s="79"/>
      <c r="K487" s="136"/>
    </row>
    <row r="488" spans="1:11" s="43" customFormat="1" ht="18" customHeight="1" x14ac:dyDescent="0.3">
      <c r="A488" s="1"/>
      <c r="B488" s="138"/>
      <c r="C488" s="141"/>
      <c r="D488" s="139"/>
      <c r="E488" s="64"/>
      <c r="F488" s="62"/>
      <c r="G488" s="63"/>
      <c r="H488" s="77"/>
      <c r="I488" s="64"/>
      <c r="J488" s="79"/>
      <c r="K488" s="136"/>
    </row>
    <row r="489" spans="1:11" s="43" customFormat="1" ht="18" customHeight="1" x14ac:dyDescent="0.3">
      <c r="A489" s="1"/>
      <c r="B489" s="138"/>
      <c r="C489" s="141"/>
      <c r="D489" s="139"/>
      <c r="E489" s="64"/>
      <c r="F489" s="62"/>
      <c r="G489" s="63"/>
      <c r="H489" s="77"/>
      <c r="I489" s="64"/>
      <c r="J489" s="79"/>
      <c r="K489" s="136"/>
    </row>
    <row r="490" spans="1:11" s="43" customFormat="1" ht="18" customHeight="1" x14ac:dyDescent="0.3">
      <c r="A490" s="1"/>
      <c r="B490" s="138"/>
      <c r="C490" s="141"/>
      <c r="D490" s="139"/>
      <c r="E490" s="64"/>
      <c r="F490" s="62"/>
      <c r="G490" s="63"/>
      <c r="H490" s="77"/>
      <c r="I490" s="64"/>
      <c r="J490" s="79"/>
      <c r="K490" s="136"/>
    </row>
    <row r="491" spans="1:11" s="43" customFormat="1" ht="18" customHeight="1" x14ac:dyDescent="0.3">
      <c r="A491" s="1"/>
      <c r="B491" s="138"/>
      <c r="C491" s="141"/>
      <c r="D491" s="139"/>
      <c r="E491" s="64"/>
      <c r="F491" s="62"/>
      <c r="G491" s="63"/>
      <c r="H491" s="77"/>
      <c r="I491" s="64"/>
      <c r="J491" s="79"/>
      <c r="K491" s="136"/>
    </row>
    <row r="492" spans="1:11" s="43" customFormat="1" ht="18" customHeight="1" x14ac:dyDescent="0.3">
      <c r="A492" s="1"/>
      <c r="B492" s="138"/>
      <c r="C492" s="141"/>
      <c r="D492" s="139"/>
      <c r="E492" s="64"/>
      <c r="F492" s="62"/>
      <c r="G492" s="63"/>
      <c r="H492" s="77"/>
      <c r="I492" s="64"/>
      <c r="J492" s="79"/>
      <c r="K492" s="136"/>
    </row>
    <row r="493" spans="1:11" s="43" customFormat="1" ht="18" customHeight="1" x14ac:dyDescent="0.3">
      <c r="A493" s="1"/>
      <c r="B493" s="138"/>
      <c r="C493" s="141"/>
      <c r="D493" s="139"/>
      <c r="E493" s="64"/>
      <c r="F493" s="62"/>
      <c r="G493" s="63"/>
      <c r="H493" s="77"/>
      <c r="I493" s="64"/>
      <c r="J493" s="79"/>
      <c r="K493" s="136"/>
    </row>
    <row r="494" spans="1:11" s="43" customFormat="1" ht="18" customHeight="1" x14ac:dyDescent="0.3">
      <c r="A494" s="1"/>
      <c r="B494" s="138"/>
      <c r="C494" s="141"/>
      <c r="D494" s="139"/>
      <c r="E494" s="64"/>
      <c r="F494" s="62"/>
      <c r="G494" s="63"/>
      <c r="H494" s="77"/>
      <c r="I494" s="64"/>
      <c r="J494" s="79"/>
      <c r="K494" s="136"/>
    </row>
    <row r="495" spans="1:11" s="43" customFormat="1" ht="18" customHeight="1" x14ac:dyDescent="0.3">
      <c r="A495" s="1"/>
      <c r="B495" s="138"/>
      <c r="C495" s="141"/>
      <c r="D495" s="139"/>
      <c r="E495" s="64"/>
      <c r="F495" s="62"/>
      <c r="G495" s="63"/>
      <c r="H495" s="77"/>
      <c r="I495" s="64"/>
      <c r="J495" s="79"/>
      <c r="K495" s="136"/>
    </row>
    <row r="496" spans="1:11" s="43" customFormat="1" ht="18" customHeight="1" x14ac:dyDescent="0.3">
      <c r="A496" s="1"/>
      <c r="B496" s="138"/>
      <c r="C496" s="141"/>
      <c r="D496" s="139"/>
      <c r="E496" s="64"/>
      <c r="F496" s="62"/>
      <c r="G496" s="63"/>
      <c r="H496" s="77"/>
      <c r="I496" s="64"/>
      <c r="J496" s="79"/>
      <c r="K496" s="136"/>
    </row>
    <row r="497" spans="1:11" s="43" customFormat="1" ht="18" customHeight="1" x14ac:dyDescent="0.3">
      <c r="A497" s="1"/>
      <c r="B497" s="138"/>
      <c r="C497" s="141"/>
      <c r="D497" s="139"/>
      <c r="E497" s="64"/>
      <c r="F497" s="62"/>
      <c r="G497" s="63"/>
      <c r="H497" s="77"/>
      <c r="I497" s="64"/>
      <c r="J497" s="79"/>
      <c r="K497" s="136"/>
    </row>
    <row r="498" spans="1:11" s="43" customFormat="1" ht="18" customHeight="1" x14ac:dyDescent="0.3">
      <c r="A498" s="1"/>
      <c r="B498" s="138"/>
      <c r="C498" s="141"/>
      <c r="D498" s="139"/>
      <c r="E498" s="64"/>
      <c r="F498" s="62"/>
      <c r="G498" s="63"/>
      <c r="H498" s="77"/>
      <c r="I498" s="64"/>
      <c r="J498" s="79"/>
      <c r="K498" s="136"/>
    </row>
    <row r="499" spans="1:11" s="43" customFormat="1" ht="18" customHeight="1" x14ac:dyDescent="0.3">
      <c r="A499" s="1"/>
      <c r="B499" s="138"/>
      <c r="C499" s="141"/>
      <c r="D499" s="139"/>
      <c r="E499" s="64"/>
      <c r="F499" s="62"/>
      <c r="G499" s="63"/>
      <c r="H499" s="77"/>
      <c r="I499" s="64"/>
      <c r="J499" s="79"/>
      <c r="K499" s="136"/>
    </row>
    <row r="500" spans="1:11" s="43" customFormat="1" ht="18" customHeight="1" x14ac:dyDescent="0.3">
      <c r="A500" s="1"/>
      <c r="B500" s="138"/>
      <c r="C500" s="141"/>
      <c r="D500" s="139"/>
      <c r="E500" s="64"/>
      <c r="F500" s="62"/>
      <c r="G500" s="63"/>
      <c r="H500" s="77"/>
      <c r="I500" s="64"/>
      <c r="J500" s="79"/>
      <c r="K500" s="136"/>
    </row>
    <row r="501" spans="1:11" s="43" customFormat="1" ht="18" customHeight="1" x14ac:dyDescent="0.3">
      <c r="A501" s="1"/>
      <c r="B501" s="138"/>
      <c r="C501" s="141"/>
      <c r="D501" s="139"/>
      <c r="E501" s="64"/>
      <c r="F501" s="62"/>
      <c r="G501" s="63"/>
      <c r="H501" s="77"/>
      <c r="I501" s="64"/>
      <c r="J501" s="79"/>
      <c r="K501" s="136"/>
    </row>
    <row r="502" spans="1:11" s="43" customFormat="1" ht="18" customHeight="1" x14ac:dyDescent="0.3">
      <c r="A502" s="1"/>
      <c r="B502" s="138"/>
      <c r="C502" s="141"/>
      <c r="D502" s="139"/>
      <c r="E502" s="64"/>
      <c r="F502" s="62"/>
      <c r="G502" s="63"/>
      <c r="H502" s="77"/>
      <c r="I502" s="64"/>
      <c r="J502" s="79"/>
      <c r="K502" s="136"/>
    </row>
    <row r="503" spans="1:11" s="43" customFormat="1" ht="18" customHeight="1" x14ac:dyDescent="0.3">
      <c r="A503" s="1"/>
      <c r="B503" s="138"/>
      <c r="C503" s="141"/>
      <c r="D503" s="139"/>
      <c r="E503" s="64"/>
      <c r="F503" s="62"/>
      <c r="G503" s="63"/>
      <c r="H503" s="77"/>
      <c r="I503" s="64"/>
      <c r="J503" s="79"/>
      <c r="K503" s="136"/>
    </row>
    <row r="504" spans="1:11" s="43" customFormat="1" ht="18" customHeight="1" x14ac:dyDescent="0.3">
      <c r="A504" s="1"/>
      <c r="B504" s="138"/>
      <c r="C504" s="141"/>
      <c r="D504" s="139"/>
      <c r="E504" s="64"/>
      <c r="F504" s="62"/>
      <c r="G504" s="63"/>
      <c r="H504" s="77"/>
      <c r="I504" s="64"/>
      <c r="J504" s="79"/>
      <c r="K504" s="136"/>
    </row>
    <row r="505" spans="1:11" s="43" customFormat="1" ht="18" customHeight="1" x14ac:dyDescent="0.3">
      <c r="A505" s="1"/>
      <c r="B505" s="138"/>
      <c r="C505" s="141"/>
      <c r="D505" s="139"/>
      <c r="E505" s="64"/>
      <c r="F505" s="62"/>
      <c r="G505" s="63"/>
      <c r="H505" s="77"/>
      <c r="I505" s="64"/>
      <c r="J505" s="79"/>
      <c r="K505" s="136"/>
    </row>
    <row r="506" spans="1:11" s="43" customFormat="1" ht="18" customHeight="1" x14ac:dyDescent="0.3">
      <c r="A506" s="1"/>
      <c r="B506" s="138"/>
      <c r="C506" s="141"/>
      <c r="D506" s="139"/>
      <c r="E506" s="64"/>
      <c r="F506" s="62"/>
      <c r="G506" s="63"/>
      <c r="H506" s="77"/>
      <c r="I506" s="64"/>
      <c r="J506" s="79"/>
      <c r="K506" s="136"/>
    </row>
    <row r="507" spans="1:11" s="43" customFormat="1" ht="18" customHeight="1" x14ac:dyDescent="0.3">
      <c r="A507" s="1"/>
      <c r="B507" s="138"/>
      <c r="C507" s="141"/>
      <c r="D507" s="139"/>
      <c r="E507" s="64"/>
      <c r="F507" s="62"/>
      <c r="G507" s="63"/>
      <c r="H507" s="77"/>
      <c r="I507" s="64"/>
      <c r="J507" s="79"/>
      <c r="K507" s="136"/>
    </row>
    <row r="508" spans="1:11" s="43" customFormat="1" ht="18" customHeight="1" x14ac:dyDescent="0.3">
      <c r="A508" s="1"/>
      <c r="B508" s="138"/>
      <c r="C508" s="141"/>
      <c r="D508" s="139"/>
      <c r="E508" s="64"/>
      <c r="F508" s="62"/>
      <c r="G508" s="63"/>
      <c r="H508" s="77"/>
      <c r="I508" s="64"/>
      <c r="J508" s="79"/>
      <c r="K508" s="136"/>
    </row>
    <row r="509" spans="1:11" s="43" customFormat="1" ht="18" customHeight="1" x14ac:dyDescent="0.3">
      <c r="A509" s="1"/>
      <c r="B509" s="138"/>
      <c r="C509" s="141"/>
      <c r="D509" s="139"/>
      <c r="E509" s="64"/>
      <c r="F509" s="62"/>
      <c r="G509" s="63"/>
      <c r="H509" s="77"/>
      <c r="I509" s="64"/>
      <c r="J509" s="79"/>
      <c r="K509" s="136"/>
    </row>
    <row r="510" spans="1:11" s="43" customFormat="1" ht="18" customHeight="1" x14ac:dyDescent="0.3">
      <c r="A510" s="1"/>
      <c r="B510" s="138"/>
      <c r="C510" s="141"/>
      <c r="D510" s="139"/>
      <c r="E510" s="64"/>
      <c r="F510" s="62"/>
      <c r="G510" s="63"/>
      <c r="H510" s="77"/>
      <c r="I510" s="64"/>
      <c r="J510" s="79"/>
      <c r="K510" s="136"/>
    </row>
    <row r="511" spans="1:11" s="43" customFormat="1" ht="18" customHeight="1" x14ac:dyDescent="0.3">
      <c r="A511" s="1"/>
      <c r="B511" s="138"/>
      <c r="C511" s="141"/>
      <c r="D511" s="139"/>
      <c r="E511" s="64"/>
      <c r="F511" s="62"/>
      <c r="G511" s="63"/>
      <c r="H511" s="77"/>
      <c r="I511" s="64"/>
      <c r="J511" s="79"/>
      <c r="K511" s="136"/>
    </row>
    <row r="512" spans="1:11" s="43" customFormat="1" ht="18" customHeight="1" x14ac:dyDescent="0.3">
      <c r="A512" s="1"/>
      <c r="B512" s="138"/>
      <c r="C512" s="141"/>
      <c r="D512" s="139"/>
      <c r="E512" s="64"/>
      <c r="F512" s="62"/>
      <c r="G512" s="63"/>
      <c r="H512" s="77"/>
      <c r="I512" s="64"/>
      <c r="J512" s="79"/>
      <c r="K512" s="136"/>
    </row>
    <row r="513" spans="1:11" s="43" customFormat="1" ht="18" customHeight="1" x14ac:dyDescent="0.3">
      <c r="A513" s="1"/>
      <c r="B513" s="138"/>
      <c r="C513" s="141"/>
      <c r="D513" s="139"/>
      <c r="E513" s="64"/>
      <c r="F513" s="62"/>
      <c r="G513" s="63"/>
      <c r="H513" s="77"/>
      <c r="I513" s="64"/>
      <c r="J513" s="79"/>
      <c r="K513" s="136"/>
    </row>
    <row r="514" spans="1:11" s="43" customFormat="1" ht="18" customHeight="1" x14ac:dyDescent="0.3">
      <c r="A514" s="1"/>
      <c r="B514" s="138"/>
      <c r="C514" s="141"/>
      <c r="D514" s="139"/>
      <c r="E514" s="64"/>
      <c r="F514" s="62"/>
      <c r="G514" s="63"/>
      <c r="H514" s="77"/>
      <c r="I514" s="64"/>
      <c r="J514" s="79"/>
      <c r="K514" s="136"/>
    </row>
    <row r="515" spans="1:11" s="43" customFormat="1" ht="18" customHeight="1" x14ac:dyDescent="0.3">
      <c r="A515" s="1"/>
      <c r="B515" s="138"/>
      <c r="C515" s="141"/>
      <c r="D515" s="139"/>
      <c r="E515" s="64"/>
      <c r="F515" s="62"/>
      <c r="G515" s="63"/>
      <c r="H515" s="77"/>
      <c r="I515" s="64"/>
      <c r="J515" s="79"/>
      <c r="K515" s="136"/>
    </row>
    <row r="516" spans="1:11" s="43" customFormat="1" ht="18" customHeight="1" x14ac:dyDescent="0.3">
      <c r="A516" s="1"/>
      <c r="B516" s="138"/>
      <c r="C516" s="141"/>
      <c r="D516" s="139"/>
      <c r="E516" s="64"/>
      <c r="F516" s="62"/>
      <c r="G516" s="63"/>
      <c r="H516" s="77"/>
      <c r="I516" s="64"/>
      <c r="J516" s="79"/>
      <c r="K516" s="136"/>
    </row>
    <row r="517" spans="1:11" s="43" customFormat="1" ht="18" customHeight="1" x14ac:dyDescent="0.3">
      <c r="A517" s="1"/>
      <c r="B517" s="138"/>
      <c r="C517" s="141"/>
      <c r="D517" s="139"/>
      <c r="E517" s="64"/>
      <c r="F517" s="62"/>
      <c r="G517" s="63"/>
      <c r="H517" s="77"/>
      <c r="I517" s="64"/>
      <c r="J517" s="79"/>
      <c r="K517" s="136"/>
    </row>
    <row r="518" spans="1:11" s="43" customFormat="1" ht="18" customHeight="1" x14ac:dyDescent="0.3">
      <c r="A518" s="1"/>
      <c r="B518" s="138"/>
      <c r="C518" s="141"/>
      <c r="D518" s="139"/>
      <c r="E518" s="64"/>
      <c r="F518" s="62"/>
      <c r="G518" s="63"/>
      <c r="H518" s="77"/>
      <c r="I518" s="64"/>
      <c r="J518" s="79"/>
      <c r="K518" s="136"/>
    </row>
    <row r="519" spans="1:11" s="43" customFormat="1" ht="18" customHeight="1" x14ac:dyDescent="0.3">
      <c r="A519" s="1"/>
      <c r="B519" s="138"/>
      <c r="C519" s="141"/>
      <c r="D519" s="139"/>
      <c r="E519" s="64"/>
      <c r="F519" s="62"/>
      <c r="G519" s="63"/>
      <c r="H519" s="77"/>
      <c r="I519" s="64"/>
      <c r="J519" s="79"/>
      <c r="K519" s="136"/>
    </row>
    <row r="520" spans="1:11" s="43" customFormat="1" ht="18" customHeight="1" x14ac:dyDescent="0.3">
      <c r="A520" s="1"/>
      <c r="B520" s="138"/>
      <c r="C520" s="141"/>
      <c r="D520" s="139"/>
      <c r="E520" s="64"/>
      <c r="F520" s="62"/>
      <c r="G520" s="63"/>
      <c r="H520" s="77"/>
      <c r="I520" s="64"/>
      <c r="J520" s="79"/>
      <c r="K520" s="136"/>
    </row>
    <row r="521" spans="1:11" s="43" customFormat="1" ht="18" customHeight="1" x14ac:dyDescent="0.3">
      <c r="A521" s="1"/>
      <c r="B521" s="138"/>
      <c r="C521" s="141"/>
      <c r="D521" s="139"/>
      <c r="E521" s="64"/>
      <c r="F521" s="62"/>
      <c r="G521" s="63"/>
      <c r="H521" s="77"/>
      <c r="I521" s="64"/>
      <c r="J521" s="79"/>
      <c r="K521" s="136"/>
    </row>
    <row r="522" spans="1:11" s="43" customFormat="1" ht="18" customHeight="1" x14ac:dyDescent="0.3">
      <c r="A522" s="1"/>
      <c r="B522" s="138"/>
      <c r="C522" s="141"/>
      <c r="D522" s="139"/>
      <c r="E522" s="64"/>
      <c r="F522" s="62"/>
      <c r="G522" s="63"/>
      <c r="H522" s="77"/>
      <c r="I522" s="64"/>
      <c r="J522" s="79"/>
      <c r="K522" s="136"/>
    </row>
    <row r="523" spans="1:11" s="43" customFormat="1" ht="18" customHeight="1" x14ac:dyDescent="0.3">
      <c r="A523" s="1"/>
      <c r="B523" s="138"/>
      <c r="C523" s="141"/>
      <c r="D523" s="139"/>
      <c r="E523" s="64"/>
      <c r="F523" s="62"/>
      <c r="G523" s="63"/>
      <c r="H523" s="77"/>
      <c r="I523" s="64"/>
      <c r="J523" s="79"/>
      <c r="K523" s="136"/>
    </row>
    <row r="524" spans="1:11" s="43" customFormat="1" ht="18" customHeight="1" x14ac:dyDescent="0.3">
      <c r="A524" s="1"/>
      <c r="B524" s="138"/>
      <c r="C524" s="141"/>
      <c r="D524" s="139"/>
      <c r="E524" s="64"/>
      <c r="F524" s="62"/>
      <c r="G524" s="63"/>
      <c r="H524" s="77"/>
      <c r="I524" s="64"/>
      <c r="J524" s="79"/>
      <c r="K524" s="136"/>
    </row>
    <row r="525" spans="1:11" s="43" customFormat="1" ht="18" customHeight="1" x14ac:dyDescent="0.3">
      <c r="A525" s="1"/>
      <c r="B525" s="138"/>
      <c r="C525" s="141"/>
      <c r="D525" s="139"/>
      <c r="E525" s="64"/>
      <c r="F525" s="62"/>
      <c r="G525" s="63"/>
      <c r="H525" s="77"/>
      <c r="I525" s="64"/>
      <c r="J525" s="79"/>
      <c r="K525" s="136"/>
    </row>
    <row r="526" spans="1:11" s="43" customFormat="1" ht="18" customHeight="1" x14ac:dyDescent="0.3">
      <c r="A526" s="1"/>
      <c r="B526" s="138"/>
      <c r="C526" s="141"/>
      <c r="D526" s="139"/>
      <c r="E526" s="64"/>
      <c r="F526" s="62"/>
      <c r="G526" s="63"/>
      <c r="H526" s="77"/>
      <c r="I526" s="64"/>
      <c r="J526" s="79"/>
      <c r="K526" s="136"/>
    </row>
    <row r="527" spans="1:11" s="43" customFormat="1" ht="18" customHeight="1" x14ac:dyDescent="0.3">
      <c r="A527" s="1"/>
      <c r="B527" s="138"/>
      <c r="C527" s="141"/>
      <c r="D527" s="139"/>
      <c r="E527" s="64"/>
      <c r="F527" s="62"/>
      <c r="G527" s="63"/>
      <c r="H527" s="77"/>
      <c r="I527" s="64"/>
      <c r="J527" s="79"/>
      <c r="K527" s="136"/>
    </row>
    <row r="528" spans="1:11" s="43" customFormat="1" ht="18" customHeight="1" x14ac:dyDescent="0.3">
      <c r="A528" s="1"/>
      <c r="B528" s="138"/>
      <c r="C528" s="141"/>
      <c r="D528" s="139"/>
      <c r="E528" s="64"/>
      <c r="F528" s="62"/>
      <c r="G528" s="63"/>
      <c r="H528" s="77"/>
      <c r="I528" s="64"/>
      <c r="J528" s="79"/>
      <c r="K528" s="136"/>
    </row>
    <row r="529" spans="1:11" s="43" customFormat="1" ht="18" customHeight="1" x14ac:dyDescent="0.3">
      <c r="A529" s="1"/>
      <c r="B529" s="138"/>
      <c r="C529" s="141"/>
      <c r="D529" s="139"/>
      <c r="E529" s="64"/>
      <c r="F529" s="62"/>
      <c r="G529" s="63"/>
      <c r="H529" s="77"/>
      <c r="I529" s="64"/>
      <c r="J529" s="79"/>
      <c r="K529" s="136"/>
    </row>
    <row r="530" spans="1:11" s="43" customFormat="1" ht="18" customHeight="1" x14ac:dyDescent="0.3">
      <c r="A530" s="1"/>
      <c r="B530" s="138"/>
      <c r="C530" s="141"/>
      <c r="D530" s="139"/>
      <c r="E530" s="64"/>
      <c r="F530" s="62"/>
      <c r="G530" s="63"/>
      <c r="H530" s="77"/>
      <c r="I530" s="64"/>
      <c r="J530" s="79"/>
      <c r="K530" s="136"/>
    </row>
    <row r="531" spans="1:11" s="43" customFormat="1" ht="18" customHeight="1" x14ac:dyDescent="0.3">
      <c r="A531" s="1"/>
      <c r="B531" s="138"/>
      <c r="C531" s="141"/>
      <c r="D531" s="139"/>
      <c r="E531" s="64"/>
      <c r="F531" s="62"/>
      <c r="G531" s="63"/>
      <c r="H531" s="77"/>
      <c r="I531" s="64"/>
      <c r="J531" s="79"/>
      <c r="K531" s="136"/>
    </row>
    <row r="532" spans="1:11" s="43" customFormat="1" ht="18" customHeight="1" x14ac:dyDescent="0.3">
      <c r="A532" s="1"/>
      <c r="B532" s="138"/>
      <c r="C532" s="141"/>
      <c r="D532" s="139"/>
      <c r="E532" s="64"/>
      <c r="F532" s="62"/>
      <c r="G532" s="63"/>
      <c r="H532" s="77"/>
      <c r="I532" s="64"/>
      <c r="J532" s="79"/>
      <c r="K532" s="136"/>
    </row>
    <row r="533" spans="1:11" s="43" customFormat="1" ht="18" customHeight="1" x14ac:dyDescent="0.3">
      <c r="A533" s="1"/>
      <c r="B533" s="138"/>
      <c r="C533" s="141"/>
      <c r="D533" s="139"/>
      <c r="E533" s="64"/>
      <c r="F533" s="62"/>
      <c r="G533" s="63"/>
      <c r="H533" s="77"/>
      <c r="I533" s="64"/>
      <c r="J533" s="79"/>
      <c r="K533" s="136"/>
    </row>
    <row r="534" spans="1:11" s="43" customFormat="1" ht="18" customHeight="1" x14ac:dyDescent="0.3">
      <c r="A534" s="1"/>
      <c r="B534" s="138"/>
      <c r="C534" s="141"/>
      <c r="D534" s="139"/>
      <c r="E534" s="64"/>
      <c r="F534" s="62"/>
      <c r="G534" s="63"/>
      <c r="H534" s="77"/>
      <c r="I534" s="64"/>
      <c r="J534" s="79"/>
      <c r="K534" s="136"/>
    </row>
    <row r="535" spans="1:11" s="43" customFormat="1" ht="18" customHeight="1" x14ac:dyDescent="0.3">
      <c r="A535" s="1"/>
      <c r="B535" s="138"/>
      <c r="C535" s="141"/>
      <c r="D535" s="139"/>
      <c r="E535" s="64"/>
      <c r="F535" s="62"/>
      <c r="G535" s="63"/>
      <c r="H535" s="77"/>
      <c r="I535" s="64"/>
      <c r="J535" s="79"/>
      <c r="K535" s="136"/>
    </row>
    <row r="536" spans="1:11" s="43" customFormat="1" ht="18" customHeight="1" x14ac:dyDescent="0.3">
      <c r="A536" s="1"/>
      <c r="B536" s="138"/>
      <c r="C536" s="141"/>
      <c r="D536" s="139"/>
      <c r="E536" s="64"/>
      <c r="F536" s="62"/>
      <c r="G536" s="63"/>
      <c r="H536" s="77"/>
      <c r="I536" s="64"/>
      <c r="J536" s="79"/>
      <c r="K536" s="136"/>
    </row>
    <row r="537" spans="1:11" s="43" customFormat="1" ht="18" customHeight="1" x14ac:dyDescent="0.3">
      <c r="A537" s="1"/>
      <c r="B537" s="138"/>
      <c r="C537" s="141"/>
      <c r="D537" s="139"/>
      <c r="E537" s="64"/>
      <c r="F537" s="62"/>
      <c r="G537" s="63"/>
      <c r="H537" s="77"/>
      <c r="I537" s="64"/>
      <c r="J537" s="79"/>
      <c r="K537" s="136"/>
    </row>
    <row r="538" spans="1:11" s="43" customFormat="1" ht="18" customHeight="1" x14ac:dyDescent="0.3">
      <c r="A538" s="1"/>
      <c r="B538" s="138"/>
      <c r="C538" s="141"/>
      <c r="D538" s="139"/>
      <c r="E538" s="64"/>
      <c r="F538" s="62"/>
      <c r="G538" s="63"/>
      <c r="H538" s="77"/>
      <c r="I538" s="64"/>
      <c r="J538" s="79"/>
      <c r="K538" s="136"/>
    </row>
    <row r="539" spans="1:11" s="43" customFormat="1" ht="18" customHeight="1" x14ac:dyDescent="0.3">
      <c r="A539" s="1"/>
      <c r="B539" s="138"/>
      <c r="C539" s="141"/>
      <c r="D539" s="139"/>
      <c r="E539" s="64"/>
      <c r="F539" s="62"/>
      <c r="G539" s="63"/>
      <c r="H539" s="77"/>
      <c r="I539" s="64"/>
      <c r="J539" s="79"/>
      <c r="K539" s="136"/>
    </row>
    <row r="540" spans="1:11" s="43" customFormat="1" ht="18" customHeight="1" x14ac:dyDescent="0.3">
      <c r="A540" s="1"/>
      <c r="B540" s="138"/>
      <c r="C540" s="141"/>
      <c r="D540" s="139"/>
      <c r="E540" s="64"/>
      <c r="F540" s="62"/>
      <c r="G540" s="63"/>
      <c r="H540" s="77"/>
      <c r="I540" s="64"/>
      <c r="J540" s="79"/>
      <c r="K540" s="136"/>
    </row>
    <row r="541" spans="1:11" s="43" customFormat="1" ht="18" customHeight="1" x14ac:dyDescent="0.3">
      <c r="A541" s="1"/>
      <c r="B541" s="138"/>
      <c r="C541" s="141"/>
      <c r="D541" s="139"/>
      <c r="E541" s="64"/>
      <c r="F541" s="62"/>
      <c r="G541" s="63"/>
      <c r="H541" s="77"/>
      <c r="I541" s="64"/>
      <c r="J541" s="79"/>
      <c r="K541" s="136"/>
    </row>
    <row r="542" spans="1:11" s="43" customFormat="1" ht="18" customHeight="1" x14ac:dyDescent="0.3">
      <c r="A542" s="1"/>
      <c r="B542" s="138"/>
      <c r="C542" s="141"/>
      <c r="D542" s="139"/>
      <c r="E542" s="64"/>
      <c r="F542" s="62"/>
      <c r="G542" s="63"/>
      <c r="H542" s="77"/>
      <c r="I542" s="64"/>
      <c r="J542" s="79"/>
      <c r="K542" s="136"/>
    </row>
    <row r="543" spans="1:11" s="43" customFormat="1" ht="18" customHeight="1" x14ac:dyDescent="0.3">
      <c r="A543" s="1"/>
      <c r="B543" s="138"/>
      <c r="C543" s="141"/>
      <c r="D543" s="139"/>
      <c r="E543" s="64"/>
      <c r="F543" s="62"/>
      <c r="G543" s="63"/>
      <c r="H543" s="77"/>
      <c r="I543" s="64"/>
      <c r="J543" s="79"/>
      <c r="K543" s="136"/>
    </row>
    <row r="544" spans="1:11" s="43" customFormat="1" ht="18" customHeight="1" x14ac:dyDescent="0.3">
      <c r="A544" s="1"/>
      <c r="B544" s="138"/>
      <c r="C544" s="141"/>
      <c r="D544" s="139"/>
      <c r="E544" s="64"/>
      <c r="F544" s="62"/>
      <c r="G544" s="63"/>
      <c r="H544" s="77"/>
      <c r="I544" s="64"/>
      <c r="J544" s="79"/>
      <c r="K544" s="136"/>
    </row>
    <row r="545" spans="1:11" s="43" customFormat="1" ht="18" customHeight="1" x14ac:dyDescent="0.3">
      <c r="A545" s="1"/>
      <c r="B545" s="138"/>
      <c r="C545" s="141"/>
      <c r="D545" s="139"/>
      <c r="E545" s="64"/>
      <c r="F545" s="62"/>
      <c r="G545" s="63"/>
      <c r="H545" s="77"/>
      <c r="I545" s="64"/>
      <c r="J545" s="79"/>
      <c r="K545" s="136"/>
    </row>
    <row r="546" spans="1:11" s="43" customFormat="1" ht="18" customHeight="1" x14ac:dyDescent="0.3">
      <c r="A546" s="1"/>
      <c r="B546" s="138"/>
      <c r="C546" s="141"/>
      <c r="D546" s="139"/>
      <c r="E546" s="64"/>
      <c r="F546" s="62"/>
      <c r="G546" s="63"/>
      <c r="H546" s="77"/>
      <c r="I546" s="64"/>
      <c r="J546" s="79"/>
      <c r="K546" s="136"/>
    </row>
    <row r="547" spans="1:11" s="43" customFormat="1" ht="18" customHeight="1" x14ac:dyDescent="0.3">
      <c r="A547" s="1"/>
      <c r="B547" s="138"/>
      <c r="C547" s="141"/>
      <c r="D547" s="139"/>
      <c r="E547" s="64"/>
      <c r="F547" s="62"/>
      <c r="G547" s="63"/>
      <c r="H547" s="77"/>
      <c r="I547" s="64"/>
      <c r="J547" s="79"/>
      <c r="K547" s="136"/>
    </row>
    <row r="548" spans="1:11" s="43" customFormat="1" ht="18" customHeight="1" x14ac:dyDescent="0.3">
      <c r="A548" s="1"/>
      <c r="B548" s="138"/>
      <c r="C548" s="141"/>
      <c r="D548" s="139"/>
      <c r="E548" s="64"/>
      <c r="F548" s="62"/>
      <c r="G548" s="63"/>
      <c r="H548" s="77"/>
      <c r="I548" s="64"/>
      <c r="J548" s="79"/>
      <c r="K548" s="136"/>
    </row>
    <row r="549" spans="1:11" s="43" customFormat="1" ht="18" customHeight="1" x14ac:dyDescent="0.3">
      <c r="A549" s="1"/>
      <c r="B549" s="138"/>
      <c r="C549" s="141"/>
      <c r="D549" s="139"/>
      <c r="E549" s="64"/>
      <c r="F549" s="62"/>
      <c r="G549" s="63"/>
      <c r="H549" s="77"/>
      <c r="I549" s="64"/>
      <c r="J549" s="79"/>
      <c r="K549" s="136"/>
    </row>
    <row r="550" spans="1:11" s="43" customFormat="1" ht="18" customHeight="1" x14ac:dyDescent="0.3">
      <c r="A550" s="1"/>
      <c r="B550" s="138"/>
      <c r="C550" s="141"/>
      <c r="D550" s="139"/>
      <c r="E550" s="64"/>
      <c r="F550" s="62"/>
      <c r="G550" s="63"/>
      <c r="H550" s="77"/>
      <c r="I550" s="64"/>
      <c r="J550" s="79"/>
      <c r="K550" s="136"/>
    </row>
    <row r="551" spans="1:11" s="43" customFormat="1" ht="18" customHeight="1" x14ac:dyDescent="0.3">
      <c r="A551" s="1"/>
      <c r="B551" s="138"/>
      <c r="C551" s="141"/>
      <c r="D551" s="139"/>
      <c r="E551" s="64"/>
      <c r="F551" s="62"/>
      <c r="G551" s="63"/>
      <c r="H551" s="77"/>
      <c r="I551" s="64"/>
      <c r="J551" s="79"/>
      <c r="K551" s="136"/>
    </row>
    <row r="552" spans="1:11" s="43" customFormat="1" ht="18" customHeight="1" x14ac:dyDescent="0.3">
      <c r="A552" s="1"/>
      <c r="B552" s="138"/>
      <c r="C552" s="141"/>
      <c r="D552" s="139"/>
      <c r="E552" s="64"/>
      <c r="F552" s="62"/>
      <c r="G552" s="63"/>
      <c r="H552" s="77"/>
      <c r="I552" s="64"/>
      <c r="J552" s="79"/>
      <c r="K552" s="136"/>
    </row>
    <row r="553" spans="1:11" s="43" customFormat="1" ht="18" customHeight="1" x14ac:dyDescent="0.3">
      <c r="A553" s="1"/>
      <c r="B553" s="138"/>
      <c r="C553" s="141"/>
      <c r="D553" s="139"/>
      <c r="E553" s="64"/>
      <c r="F553" s="62"/>
      <c r="G553" s="63"/>
      <c r="H553" s="77"/>
      <c r="I553" s="64"/>
      <c r="J553" s="79"/>
      <c r="K553" s="136"/>
    </row>
    <row r="554" spans="1:11" s="43" customFormat="1" ht="18" customHeight="1" x14ac:dyDescent="0.3">
      <c r="A554" s="1"/>
      <c r="B554" s="138"/>
      <c r="C554" s="141"/>
      <c r="D554" s="139"/>
      <c r="E554" s="64"/>
      <c r="F554" s="62"/>
      <c r="G554" s="63"/>
      <c r="H554" s="77"/>
      <c r="I554" s="64"/>
      <c r="J554" s="79"/>
      <c r="K554" s="136"/>
    </row>
    <row r="555" spans="1:11" s="43" customFormat="1" ht="18" customHeight="1" x14ac:dyDescent="0.3">
      <c r="A555" s="1"/>
      <c r="B555" s="138"/>
      <c r="C555" s="141"/>
      <c r="D555" s="139"/>
      <c r="E555" s="64"/>
      <c r="F555" s="62"/>
      <c r="G555" s="63"/>
      <c r="H555" s="77"/>
      <c r="I555" s="64"/>
      <c r="J555" s="79"/>
      <c r="K555" s="136"/>
    </row>
    <row r="556" spans="1:11" s="43" customFormat="1" ht="18" customHeight="1" x14ac:dyDescent="0.3">
      <c r="A556" s="1"/>
      <c r="B556" s="138"/>
      <c r="C556" s="141"/>
      <c r="D556" s="139"/>
      <c r="E556" s="64"/>
      <c r="F556" s="62"/>
      <c r="G556" s="63"/>
      <c r="H556" s="77"/>
      <c r="I556" s="64"/>
      <c r="J556" s="79"/>
      <c r="K556" s="136"/>
    </row>
    <row r="557" spans="1:11" s="43" customFormat="1" ht="18" customHeight="1" x14ac:dyDescent="0.3">
      <c r="A557" s="1"/>
      <c r="B557" s="138"/>
      <c r="C557" s="141"/>
      <c r="D557" s="139"/>
      <c r="E557" s="64"/>
      <c r="F557" s="62"/>
      <c r="G557" s="63"/>
      <c r="H557" s="77"/>
      <c r="I557" s="64"/>
      <c r="J557" s="79"/>
      <c r="K557" s="136"/>
    </row>
    <row r="558" spans="1:11" s="43" customFormat="1" ht="18" customHeight="1" x14ac:dyDescent="0.3">
      <c r="A558" s="1"/>
      <c r="B558" s="138"/>
      <c r="C558" s="141"/>
      <c r="D558" s="139"/>
      <c r="E558" s="64"/>
      <c r="F558" s="62"/>
      <c r="G558" s="63"/>
      <c r="H558" s="77"/>
      <c r="I558" s="64"/>
      <c r="J558" s="79"/>
      <c r="K558" s="136"/>
    </row>
    <row r="559" spans="1:11" s="43" customFormat="1" ht="18" customHeight="1" x14ac:dyDescent="0.3">
      <c r="A559" s="1"/>
      <c r="B559" s="138"/>
      <c r="C559" s="141"/>
      <c r="D559" s="139"/>
      <c r="E559" s="64"/>
      <c r="F559" s="62"/>
      <c r="G559" s="63"/>
      <c r="H559" s="77"/>
      <c r="I559" s="64"/>
      <c r="J559" s="79"/>
      <c r="K559" s="136"/>
    </row>
    <row r="560" spans="1:11" s="43" customFormat="1" ht="18" customHeight="1" x14ac:dyDescent="0.3">
      <c r="A560" s="1"/>
      <c r="B560" s="138"/>
      <c r="C560" s="141"/>
      <c r="D560" s="139"/>
      <c r="E560" s="64"/>
      <c r="F560" s="62"/>
      <c r="G560" s="63"/>
      <c r="H560" s="77"/>
      <c r="I560" s="64"/>
      <c r="J560" s="79"/>
      <c r="K560" s="136"/>
    </row>
    <row r="561" spans="1:11" s="43" customFormat="1" ht="18" customHeight="1" x14ac:dyDescent="0.3">
      <c r="A561" s="1"/>
      <c r="B561" s="138"/>
      <c r="C561" s="141"/>
      <c r="D561" s="139"/>
      <c r="E561" s="64"/>
      <c r="F561" s="62"/>
      <c r="G561" s="63"/>
      <c r="H561" s="77"/>
      <c r="I561" s="64"/>
      <c r="J561" s="79"/>
      <c r="K561" s="136"/>
    </row>
    <row r="562" spans="1:11" s="43" customFormat="1" ht="18" customHeight="1" x14ac:dyDescent="0.3">
      <c r="A562" s="1"/>
      <c r="B562" s="138"/>
      <c r="C562" s="141"/>
      <c r="D562" s="139"/>
      <c r="E562" s="64"/>
      <c r="F562" s="62"/>
      <c r="G562" s="63"/>
      <c r="H562" s="77"/>
      <c r="I562" s="64"/>
      <c r="J562" s="79"/>
      <c r="K562" s="136"/>
    </row>
    <row r="563" spans="1:11" s="43" customFormat="1" ht="18" customHeight="1" x14ac:dyDescent="0.3">
      <c r="A563" s="1"/>
      <c r="B563" s="138"/>
      <c r="C563" s="141"/>
      <c r="D563" s="139"/>
      <c r="E563" s="64"/>
      <c r="F563" s="62"/>
      <c r="G563" s="63"/>
      <c r="H563" s="77"/>
      <c r="I563" s="64"/>
      <c r="J563" s="79"/>
      <c r="K563" s="136"/>
    </row>
    <row r="564" spans="1:11" s="43" customFormat="1" ht="18" customHeight="1" x14ac:dyDescent="0.3">
      <c r="A564" s="1"/>
      <c r="B564" s="138"/>
      <c r="C564" s="141"/>
      <c r="D564" s="139"/>
      <c r="E564" s="64"/>
      <c r="F564" s="62"/>
      <c r="G564" s="63"/>
      <c r="H564" s="77"/>
      <c r="I564" s="64"/>
      <c r="J564" s="79"/>
      <c r="K564" s="136"/>
    </row>
    <row r="565" spans="1:11" s="43" customFormat="1" ht="18" customHeight="1" x14ac:dyDescent="0.3">
      <c r="A565" s="1"/>
      <c r="B565" s="138"/>
      <c r="C565" s="141"/>
      <c r="D565" s="139"/>
      <c r="E565" s="64"/>
      <c r="F565" s="62"/>
      <c r="G565" s="63"/>
      <c r="H565" s="77"/>
      <c r="I565" s="64"/>
      <c r="J565" s="79"/>
      <c r="K565" s="136"/>
    </row>
    <row r="566" spans="1:11" s="43" customFormat="1" ht="18" customHeight="1" x14ac:dyDescent="0.3">
      <c r="A566" s="1"/>
      <c r="B566" s="138"/>
      <c r="C566" s="141"/>
      <c r="D566" s="139"/>
      <c r="E566" s="64"/>
      <c r="F566" s="62"/>
      <c r="G566" s="63"/>
      <c r="H566" s="77"/>
      <c r="I566" s="64"/>
      <c r="J566" s="79"/>
      <c r="K566" s="136"/>
    </row>
    <row r="567" spans="1:11" s="43" customFormat="1" ht="18" customHeight="1" x14ac:dyDescent="0.3">
      <c r="A567" s="1"/>
      <c r="B567" s="138"/>
      <c r="C567" s="88"/>
      <c r="D567" s="139"/>
      <c r="E567" s="64"/>
      <c r="F567" s="62"/>
      <c r="G567" s="63"/>
      <c r="H567" s="77"/>
      <c r="I567" s="64"/>
      <c r="J567" s="79"/>
      <c r="K567" s="136"/>
    </row>
    <row r="568" spans="1:11" s="43" customFormat="1" ht="18" customHeight="1" x14ac:dyDescent="0.3">
      <c r="A568" s="1"/>
      <c r="B568" s="138"/>
      <c r="C568" s="88"/>
      <c r="D568" s="139"/>
      <c r="E568" s="64"/>
      <c r="F568" s="62"/>
      <c r="G568" s="63"/>
      <c r="H568" s="77"/>
      <c r="I568" s="64"/>
      <c r="J568" s="79"/>
      <c r="K568" s="136"/>
    </row>
    <row r="569" spans="1:11" s="43" customFormat="1" ht="18" customHeight="1" x14ac:dyDescent="0.3">
      <c r="A569" s="1"/>
      <c r="B569" s="138"/>
      <c r="C569" s="88"/>
      <c r="D569" s="139"/>
      <c r="E569" s="64"/>
      <c r="F569" s="62"/>
      <c r="G569" s="63"/>
      <c r="H569" s="77"/>
      <c r="I569" s="64"/>
      <c r="J569" s="79"/>
      <c r="K569" s="136"/>
    </row>
    <row r="570" spans="1:11" s="43" customFormat="1" ht="18" customHeight="1" x14ac:dyDescent="0.3">
      <c r="A570" s="1"/>
      <c r="B570" s="138"/>
      <c r="C570" s="88"/>
      <c r="D570" s="139"/>
      <c r="E570" s="64"/>
      <c r="F570" s="62"/>
      <c r="G570" s="63"/>
      <c r="H570" s="77"/>
      <c r="I570" s="64"/>
      <c r="J570" s="79"/>
      <c r="K570" s="136"/>
    </row>
    <row r="571" spans="1:11" s="43" customFormat="1" ht="18" customHeight="1" x14ac:dyDescent="0.3">
      <c r="A571" s="1"/>
      <c r="B571" s="138"/>
      <c r="C571" s="88"/>
      <c r="D571" s="139"/>
      <c r="E571" s="64"/>
      <c r="F571" s="62"/>
      <c r="G571" s="63"/>
      <c r="H571" s="77"/>
      <c r="I571" s="64"/>
      <c r="J571" s="79"/>
      <c r="K571" s="136"/>
    </row>
    <row r="572" spans="1:11" s="43" customFormat="1" ht="18" customHeight="1" x14ac:dyDescent="0.3">
      <c r="A572" s="1"/>
      <c r="B572" s="138"/>
      <c r="C572" s="88"/>
      <c r="D572" s="139"/>
      <c r="E572" s="64"/>
      <c r="F572" s="62"/>
      <c r="G572" s="63"/>
      <c r="H572" s="77"/>
      <c r="I572" s="64"/>
      <c r="J572" s="79"/>
      <c r="K572" s="136"/>
    </row>
    <row r="573" spans="1:11" s="43" customFormat="1" ht="18" customHeight="1" x14ac:dyDescent="0.3">
      <c r="A573" s="1"/>
      <c r="B573" s="138"/>
      <c r="C573" s="88"/>
      <c r="D573" s="139"/>
      <c r="E573" s="64"/>
      <c r="F573" s="62"/>
      <c r="G573" s="63"/>
      <c r="H573" s="77"/>
      <c r="I573" s="64"/>
      <c r="J573" s="79"/>
      <c r="K573" s="136"/>
    </row>
    <row r="574" spans="1:11" s="43" customFormat="1" ht="18" customHeight="1" x14ac:dyDescent="0.3">
      <c r="A574" s="1"/>
      <c r="B574" s="138"/>
      <c r="C574" s="88"/>
      <c r="D574" s="139"/>
      <c r="E574" s="64"/>
      <c r="F574" s="62"/>
      <c r="G574" s="63"/>
      <c r="H574" s="77"/>
      <c r="I574" s="64"/>
      <c r="J574" s="79"/>
      <c r="K574" s="136"/>
    </row>
    <row r="575" spans="1:11" s="43" customFormat="1" ht="18" customHeight="1" x14ac:dyDescent="0.3">
      <c r="A575" s="1"/>
      <c r="B575" s="138"/>
      <c r="C575" s="88"/>
      <c r="D575" s="139"/>
      <c r="E575" s="64"/>
      <c r="F575" s="62"/>
      <c r="G575" s="63"/>
      <c r="H575" s="77"/>
      <c r="I575" s="64"/>
      <c r="J575" s="79"/>
      <c r="K575" s="136"/>
    </row>
    <row r="576" spans="1:11" s="43" customFormat="1" ht="18" customHeight="1" x14ac:dyDescent="0.3">
      <c r="A576" s="1"/>
      <c r="B576" s="138"/>
      <c r="C576" s="88"/>
      <c r="D576" s="139"/>
      <c r="E576" s="64"/>
      <c r="F576" s="62"/>
      <c r="G576" s="63"/>
      <c r="H576" s="77"/>
      <c r="I576" s="64"/>
      <c r="J576" s="79"/>
      <c r="K576" s="136"/>
    </row>
    <row r="577" spans="1:11" s="43" customFormat="1" ht="18" customHeight="1" x14ac:dyDescent="0.3">
      <c r="A577" s="1"/>
      <c r="B577" s="138"/>
      <c r="C577" s="88"/>
      <c r="D577" s="139"/>
      <c r="E577" s="64"/>
      <c r="F577" s="62"/>
      <c r="G577" s="63"/>
      <c r="H577" s="77"/>
      <c r="I577" s="64"/>
      <c r="J577" s="79"/>
      <c r="K577" s="136"/>
    </row>
    <row r="578" spans="1:11" s="43" customFormat="1" ht="18" customHeight="1" x14ac:dyDescent="0.3">
      <c r="A578" s="1"/>
      <c r="B578" s="138"/>
      <c r="C578" s="88"/>
      <c r="D578" s="139"/>
      <c r="E578" s="64"/>
      <c r="F578" s="62"/>
      <c r="G578" s="63"/>
      <c r="H578" s="77"/>
      <c r="I578" s="64"/>
      <c r="J578" s="79"/>
      <c r="K578" s="136"/>
    </row>
    <row r="579" spans="1:11" s="43" customFormat="1" ht="18" customHeight="1" x14ac:dyDescent="0.3">
      <c r="A579" s="1"/>
      <c r="B579" s="138"/>
      <c r="C579" s="88"/>
      <c r="D579" s="139"/>
      <c r="E579" s="64"/>
      <c r="F579" s="62"/>
      <c r="G579" s="63"/>
      <c r="H579" s="77"/>
      <c r="I579" s="64"/>
      <c r="J579" s="79"/>
      <c r="K579" s="64"/>
    </row>
    <row r="580" spans="1:11" s="43" customFormat="1" ht="18" customHeight="1" x14ac:dyDescent="0.3">
      <c r="A580" s="1"/>
      <c r="B580" s="138"/>
      <c r="C580" s="88"/>
      <c r="D580" s="139"/>
      <c r="E580" s="64"/>
      <c r="F580" s="62"/>
      <c r="G580" s="63"/>
      <c r="H580" s="77"/>
      <c r="I580" s="64"/>
      <c r="J580" s="79"/>
      <c r="K580" s="64"/>
    </row>
    <row r="581" spans="1:11" s="43" customFormat="1" x14ac:dyDescent="0.3">
      <c r="A581" s="1"/>
      <c r="B581" s="138"/>
      <c r="C581" s="88"/>
      <c r="D581" s="139"/>
      <c r="E581" s="64"/>
      <c r="F581" s="62"/>
      <c r="G581" s="63"/>
      <c r="H581" s="77"/>
      <c r="I581" s="64"/>
      <c r="J581" s="79"/>
      <c r="K581" s="64"/>
    </row>
  </sheetData>
  <mergeCells count="1">
    <mergeCell ref="B1:D1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EE15-006E-4F37-ABBA-9276F90B75EB}">
  <sheetPr codeName="Sheet24">
    <tabColor rgb="FF7030A0"/>
    <pageSetUpPr autoPageBreaks="0" fitToPage="1"/>
  </sheetPr>
  <dimension ref="A1:AV426"/>
  <sheetViews>
    <sheetView showGridLines="0" zoomScaleNormal="100" workbookViewId="0">
      <selection activeCell="C7" sqref="C7"/>
    </sheetView>
  </sheetViews>
  <sheetFormatPr defaultRowHeight="16.5" x14ac:dyDescent="0.3"/>
  <cols>
    <col min="1" max="1" width="4.625" customWidth="1"/>
    <col min="2" max="2" width="4.625" style="29" customWidth="1"/>
    <col min="3" max="3" width="10.625" style="29" customWidth="1"/>
    <col min="4" max="4" width="20.625" style="29" customWidth="1"/>
    <col min="5" max="7" width="10.625" style="269" customWidth="1"/>
    <col min="8" max="12" width="10.625" style="272" customWidth="1"/>
    <col min="13" max="15" width="10.625" customWidth="1"/>
    <col min="16" max="16" width="4.625" customWidth="1"/>
    <col min="17" max="48" width="9.5" customWidth="1"/>
    <col min="49" max="49" width="4.75" customWidth="1"/>
  </cols>
  <sheetData>
    <row r="1" spans="1:37" ht="40.5" customHeight="1" x14ac:dyDescent="0.3">
      <c r="A1" s="14"/>
      <c r="B1" s="590" t="s">
        <v>216</v>
      </c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14"/>
      <c r="O1" s="14"/>
      <c r="P1" s="14"/>
    </row>
    <row r="2" spans="1:37" ht="16.5" customHeight="1" thickBot="1" x14ac:dyDescent="0.35"/>
    <row r="3" spans="1:37" ht="24.95" customHeight="1" x14ac:dyDescent="0.3">
      <c r="M3" s="626" t="s">
        <v>213</v>
      </c>
      <c r="N3" s="281" t="s">
        <v>74</v>
      </c>
      <c r="O3" s="280" t="s">
        <v>111</v>
      </c>
    </row>
    <row r="4" spans="1:37" ht="24.95" customHeight="1" thickBot="1" x14ac:dyDescent="0.35">
      <c r="M4" s="627"/>
      <c r="N4" s="282">
        <f>SUM($J$7:$J$56)</f>
        <v>0</v>
      </c>
      <c r="O4" s="279">
        <f>SUM($O$7:$O$56)</f>
        <v>0</v>
      </c>
    </row>
    <row r="5" spans="1:37" ht="16.5" customHeight="1" thickBot="1" x14ac:dyDescent="0.35"/>
    <row r="6" spans="1:37" ht="24.95" customHeight="1" thickBot="1" x14ac:dyDescent="0.35">
      <c r="B6" s="34" t="s">
        <v>195</v>
      </c>
      <c r="C6" s="34" t="s">
        <v>205</v>
      </c>
      <c r="D6" s="34" t="s">
        <v>206</v>
      </c>
      <c r="E6" s="35" t="s">
        <v>203</v>
      </c>
      <c r="F6" s="35" t="s">
        <v>204</v>
      </c>
      <c r="G6" s="34" t="s">
        <v>219</v>
      </c>
      <c r="H6" s="35" t="s">
        <v>201</v>
      </c>
      <c r="I6" s="35" t="s">
        <v>202</v>
      </c>
      <c r="J6" s="35" t="s">
        <v>74</v>
      </c>
      <c r="K6" s="34" t="s">
        <v>76</v>
      </c>
      <c r="L6" s="35" t="s">
        <v>75</v>
      </c>
      <c r="M6" s="35" t="s">
        <v>165</v>
      </c>
      <c r="N6" s="35" t="s">
        <v>166</v>
      </c>
      <c r="O6" s="36" t="s">
        <v>111</v>
      </c>
    </row>
    <row r="7" spans="1:37" ht="24.95" customHeight="1" x14ac:dyDescent="0.3">
      <c r="B7" s="262">
        <v>1</v>
      </c>
      <c r="C7" s="262"/>
      <c r="D7" s="262"/>
      <c r="E7" s="270"/>
      <c r="F7" s="270"/>
      <c r="G7" s="326" t="str">
        <f>IF(H7="","",IF(H7&gt;37,"장기",IF(H7&lt;36,"단기","중기")))</f>
        <v/>
      </c>
      <c r="H7" s="327" t="str">
        <f>IF(F7="","",DATEDIF(E7,F7+1,"m"))</f>
        <v/>
      </c>
      <c r="I7" s="327" t="str">
        <f ca="1">IF(F7="","",IF(F7&lt;TODAY(),0,DATEDIF(TODAY(),F7,"m")))</f>
        <v/>
      </c>
      <c r="J7" s="45"/>
      <c r="K7" s="250"/>
      <c r="L7" s="633"/>
      <c r="M7" s="328" t="str">
        <f>IF(K7="","",J7*K7*((DATEDIF(E7,F7,"m"))/12))</f>
        <v/>
      </c>
      <c r="N7" s="328" t="str">
        <f t="shared" ref="N7:N8" si="0">IF(M7="","",M7-(M7*L7))</f>
        <v/>
      </c>
      <c r="O7" s="339" t="str">
        <f>IF(N7="","",J7+N7)</f>
        <v/>
      </c>
    </row>
    <row r="8" spans="1:37" ht="24.95" customHeight="1" x14ac:dyDescent="0.2">
      <c r="B8" s="262">
        <v>2</v>
      </c>
      <c r="C8" s="262"/>
      <c r="D8" s="262"/>
      <c r="E8" s="270"/>
      <c r="F8" s="270"/>
      <c r="G8" s="326" t="str">
        <f t="shared" ref="G8:G16" si="1">IF(H8="","",IF(H8&gt;37,"장기",IF(H8&lt;36,"단기","중기")))</f>
        <v/>
      </c>
      <c r="H8" s="327" t="str">
        <f>IF(F8="","",DATEDIF(E8,F8+1,"m"))</f>
        <v/>
      </c>
      <c r="I8" s="327" t="str">
        <f t="shared" ref="I8:I16" ca="1" si="2">IF(F8="","",IF(F8&lt;TODAY(),0,DATEDIF(TODAY(),F8,"m")))</f>
        <v/>
      </c>
      <c r="J8" s="45"/>
      <c r="K8" s="250"/>
      <c r="L8" s="633"/>
      <c r="M8" s="328" t="str">
        <f t="shared" ref="M8:M16" si="3">IF(K8="","",J8*K8*((DATEDIF(E8,F8,"m"))/12))</f>
        <v/>
      </c>
      <c r="N8" s="328" t="str">
        <f t="shared" si="0"/>
        <v/>
      </c>
      <c r="O8" s="339" t="str">
        <f t="shared" ref="O8:O16" si="4">IF(N8="","",J8+N8)</f>
        <v/>
      </c>
      <c r="AB8" s="33"/>
      <c r="AK8" s="49"/>
    </row>
    <row r="9" spans="1:37" ht="24.95" customHeight="1" x14ac:dyDescent="0.3">
      <c r="B9" s="262">
        <v>3</v>
      </c>
      <c r="C9" s="262"/>
      <c r="D9" s="262"/>
      <c r="E9" s="270"/>
      <c r="F9" s="270"/>
      <c r="G9" s="326" t="str">
        <f t="shared" si="1"/>
        <v/>
      </c>
      <c r="H9" s="327" t="str">
        <f t="shared" ref="H9:H16" si="5">IF(F9="","",DATEDIF(E9,F9+1,"m"))</f>
        <v/>
      </c>
      <c r="I9" s="327" t="str">
        <f t="shared" ca="1" si="2"/>
        <v/>
      </c>
      <c r="J9" s="45"/>
      <c r="K9" s="250"/>
      <c r="L9" s="633"/>
      <c r="M9" s="328" t="str">
        <f t="shared" si="3"/>
        <v/>
      </c>
      <c r="N9" s="328" t="str">
        <f>IF(M9="","",M9-(M9*L9))</f>
        <v/>
      </c>
      <c r="O9" s="339" t="str">
        <f t="shared" si="4"/>
        <v/>
      </c>
    </row>
    <row r="10" spans="1:37" ht="24.95" customHeight="1" x14ac:dyDescent="0.3">
      <c r="B10" s="262">
        <v>4</v>
      </c>
      <c r="C10" s="262"/>
      <c r="D10" s="262"/>
      <c r="E10" s="270"/>
      <c r="F10" s="270"/>
      <c r="G10" s="326" t="str">
        <f t="shared" si="1"/>
        <v/>
      </c>
      <c r="H10" s="327" t="str">
        <f t="shared" si="5"/>
        <v/>
      </c>
      <c r="I10" s="327" t="str">
        <f t="shared" ca="1" si="2"/>
        <v/>
      </c>
      <c r="J10" s="45"/>
      <c r="K10" s="250"/>
      <c r="L10" s="633"/>
      <c r="M10" s="328" t="str">
        <f t="shared" si="3"/>
        <v/>
      </c>
      <c r="N10" s="328" t="str">
        <f t="shared" ref="N10:N16" si="6">IF(M10="","",M10-(M10*L10))</f>
        <v/>
      </c>
      <c r="O10" s="339" t="str">
        <f t="shared" si="4"/>
        <v/>
      </c>
    </row>
    <row r="11" spans="1:37" ht="24.95" customHeight="1" x14ac:dyDescent="0.3">
      <c r="B11" s="262">
        <v>5</v>
      </c>
      <c r="C11" s="262"/>
      <c r="D11" s="262"/>
      <c r="E11" s="270"/>
      <c r="F11" s="270"/>
      <c r="G11" s="326" t="str">
        <f t="shared" si="1"/>
        <v/>
      </c>
      <c r="H11" s="327" t="str">
        <f t="shared" si="5"/>
        <v/>
      </c>
      <c r="I11" s="327" t="str">
        <f t="shared" ca="1" si="2"/>
        <v/>
      </c>
      <c r="J11" s="45"/>
      <c r="K11" s="250"/>
      <c r="L11" s="633"/>
      <c r="M11" s="328" t="str">
        <f t="shared" si="3"/>
        <v/>
      </c>
      <c r="N11" s="328" t="str">
        <f t="shared" si="6"/>
        <v/>
      </c>
      <c r="O11" s="339" t="str">
        <f t="shared" si="4"/>
        <v/>
      </c>
    </row>
    <row r="12" spans="1:37" ht="24.95" customHeight="1" x14ac:dyDescent="0.3">
      <c r="B12" s="262">
        <v>6</v>
      </c>
      <c r="C12" s="262"/>
      <c r="D12" s="262"/>
      <c r="E12" s="270"/>
      <c r="F12" s="270"/>
      <c r="G12" s="326" t="str">
        <f t="shared" si="1"/>
        <v/>
      </c>
      <c r="H12" s="327" t="str">
        <f t="shared" si="5"/>
        <v/>
      </c>
      <c r="I12" s="327" t="str">
        <f t="shared" ca="1" si="2"/>
        <v/>
      </c>
      <c r="J12" s="45"/>
      <c r="K12" s="250"/>
      <c r="L12" s="633"/>
      <c r="M12" s="328" t="str">
        <f t="shared" si="3"/>
        <v/>
      </c>
      <c r="N12" s="328" t="str">
        <f t="shared" si="6"/>
        <v/>
      </c>
      <c r="O12" s="339" t="str">
        <f t="shared" si="4"/>
        <v/>
      </c>
    </row>
    <row r="13" spans="1:37" ht="24.95" customHeight="1" x14ac:dyDescent="0.3">
      <c r="B13" s="262">
        <v>7</v>
      </c>
      <c r="C13" s="262"/>
      <c r="D13" s="262"/>
      <c r="E13" s="270"/>
      <c r="F13" s="270"/>
      <c r="G13" s="326" t="str">
        <f t="shared" si="1"/>
        <v/>
      </c>
      <c r="H13" s="327" t="str">
        <f t="shared" si="5"/>
        <v/>
      </c>
      <c r="I13" s="327" t="str">
        <f t="shared" ca="1" si="2"/>
        <v/>
      </c>
      <c r="J13" s="45"/>
      <c r="K13" s="250"/>
      <c r="L13" s="633"/>
      <c r="M13" s="328" t="str">
        <f t="shared" si="3"/>
        <v/>
      </c>
      <c r="N13" s="328" t="str">
        <f t="shared" si="6"/>
        <v/>
      </c>
      <c r="O13" s="339" t="str">
        <f t="shared" si="4"/>
        <v/>
      </c>
    </row>
    <row r="14" spans="1:37" ht="24.95" customHeight="1" x14ac:dyDescent="0.3">
      <c r="B14" s="262">
        <v>8</v>
      </c>
      <c r="C14" s="262"/>
      <c r="D14" s="262"/>
      <c r="E14" s="270"/>
      <c r="F14" s="270"/>
      <c r="G14" s="326" t="str">
        <f t="shared" si="1"/>
        <v/>
      </c>
      <c r="H14" s="327" t="str">
        <f t="shared" si="5"/>
        <v/>
      </c>
      <c r="I14" s="327" t="str">
        <f t="shared" ca="1" si="2"/>
        <v/>
      </c>
      <c r="J14" s="45"/>
      <c r="K14" s="250"/>
      <c r="L14" s="633"/>
      <c r="M14" s="328" t="str">
        <f t="shared" si="3"/>
        <v/>
      </c>
      <c r="N14" s="328" t="str">
        <f t="shared" si="6"/>
        <v/>
      </c>
      <c r="O14" s="339" t="str">
        <f t="shared" si="4"/>
        <v/>
      </c>
    </row>
    <row r="15" spans="1:37" ht="24.95" customHeight="1" x14ac:dyDescent="0.3">
      <c r="B15" s="262">
        <v>9</v>
      </c>
      <c r="C15" s="262"/>
      <c r="D15" s="262"/>
      <c r="E15" s="270"/>
      <c r="F15" s="270"/>
      <c r="G15" s="326" t="str">
        <f t="shared" si="1"/>
        <v/>
      </c>
      <c r="H15" s="327" t="str">
        <f t="shared" si="5"/>
        <v/>
      </c>
      <c r="I15" s="327" t="str">
        <f t="shared" ca="1" si="2"/>
        <v/>
      </c>
      <c r="J15" s="45"/>
      <c r="K15" s="250"/>
      <c r="L15" s="633"/>
      <c r="M15" s="328" t="str">
        <f t="shared" si="3"/>
        <v/>
      </c>
      <c r="N15" s="328" t="str">
        <f t="shared" si="6"/>
        <v/>
      </c>
      <c r="O15" s="339" t="str">
        <f t="shared" si="4"/>
        <v/>
      </c>
    </row>
    <row r="16" spans="1:37" ht="24.95" customHeight="1" x14ac:dyDescent="0.3">
      <c r="B16" s="262">
        <v>10</v>
      </c>
      <c r="C16" s="262"/>
      <c r="D16" s="262"/>
      <c r="E16" s="270"/>
      <c r="F16" s="270"/>
      <c r="G16" s="326" t="str">
        <f t="shared" si="1"/>
        <v/>
      </c>
      <c r="H16" s="327" t="str">
        <f t="shared" si="5"/>
        <v/>
      </c>
      <c r="I16" s="327" t="str">
        <f t="shared" ca="1" si="2"/>
        <v/>
      </c>
      <c r="J16" s="45"/>
      <c r="K16" s="250"/>
      <c r="L16" s="633"/>
      <c r="M16" s="328" t="str">
        <f t="shared" si="3"/>
        <v/>
      </c>
      <c r="N16" s="328" t="str">
        <f t="shared" si="6"/>
        <v/>
      </c>
      <c r="O16" s="339" t="str">
        <f t="shared" si="4"/>
        <v/>
      </c>
    </row>
    <row r="17" spans="2:48" ht="24.95" customHeight="1" x14ac:dyDescent="0.3">
      <c r="B17" s="50"/>
      <c r="C17" s="50"/>
      <c r="D17" s="50"/>
      <c r="E17" s="271"/>
      <c r="F17" s="271"/>
      <c r="G17" s="271"/>
      <c r="H17" s="273"/>
      <c r="I17" s="273"/>
      <c r="J17" s="273"/>
      <c r="K17" s="273"/>
      <c r="L17" s="273"/>
    </row>
    <row r="18" spans="2:48" ht="24.95" customHeight="1" x14ac:dyDescent="0.3">
      <c r="B18" s="50"/>
      <c r="C18" s="50"/>
      <c r="D18" s="50"/>
      <c r="E18" s="271"/>
      <c r="F18" s="271"/>
      <c r="G18" s="271"/>
      <c r="H18" s="273"/>
      <c r="I18" s="273"/>
      <c r="J18" s="273"/>
      <c r="K18" s="273"/>
      <c r="L18" s="273"/>
    </row>
    <row r="19" spans="2:48" ht="24.95" customHeight="1" x14ac:dyDescent="0.3">
      <c r="B19" s="50"/>
      <c r="C19" s="50"/>
      <c r="D19" s="50"/>
      <c r="E19" s="271"/>
      <c r="F19" s="271"/>
      <c r="G19" s="271"/>
      <c r="H19" s="273"/>
      <c r="I19" s="273"/>
      <c r="J19" s="273"/>
      <c r="K19" s="273"/>
      <c r="L19" s="273"/>
    </row>
    <row r="20" spans="2:48" ht="24.95" customHeight="1" x14ac:dyDescent="0.3">
      <c r="B20" s="50"/>
      <c r="C20" s="50"/>
      <c r="D20" s="50"/>
      <c r="E20" s="271"/>
      <c r="F20" s="271"/>
      <c r="G20" s="271"/>
      <c r="H20" s="273"/>
      <c r="I20" s="273"/>
      <c r="J20" s="273"/>
      <c r="K20" s="273"/>
      <c r="L20" s="273"/>
    </row>
    <row r="21" spans="2:48" ht="24.95" customHeight="1" x14ac:dyDescent="0.3">
      <c r="B21" s="50"/>
      <c r="C21" s="50"/>
      <c r="D21" s="50"/>
      <c r="E21" s="271"/>
      <c r="F21" s="271"/>
      <c r="G21" s="271"/>
      <c r="H21" s="273"/>
      <c r="I21" s="273"/>
      <c r="J21" s="273"/>
      <c r="K21" s="273"/>
      <c r="L21" s="273"/>
    </row>
    <row r="22" spans="2:48" ht="24.95" customHeight="1" x14ac:dyDescent="0.3">
      <c r="B22" s="50"/>
      <c r="C22" s="50"/>
      <c r="D22" s="50"/>
      <c r="E22" s="271"/>
      <c r="F22" s="271"/>
      <c r="G22" s="271"/>
      <c r="H22" s="273"/>
      <c r="I22" s="273"/>
      <c r="J22" s="273"/>
      <c r="K22" s="273"/>
      <c r="L22" s="273"/>
      <c r="S22" s="1"/>
      <c r="T22" s="1"/>
      <c r="U22" s="1"/>
    </row>
    <row r="23" spans="2:48" ht="24.95" customHeight="1" x14ac:dyDescent="0.3">
      <c r="B23" s="50"/>
      <c r="C23" s="50"/>
      <c r="D23" s="50"/>
      <c r="E23" s="271"/>
      <c r="F23" s="271"/>
      <c r="G23" s="271"/>
      <c r="H23" s="273"/>
      <c r="I23" s="273"/>
      <c r="J23" s="273"/>
      <c r="K23" s="273"/>
      <c r="L23" s="273"/>
      <c r="M23" s="50"/>
      <c r="S23" s="1"/>
      <c r="T23" s="1"/>
      <c r="U23" s="1"/>
    </row>
    <row r="24" spans="2:48" ht="24.95" customHeight="1" x14ac:dyDescent="0.3">
      <c r="B24" s="50"/>
      <c r="C24" s="50"/>
      <c r="D24" s="50"/>
      <c r="E24" s="271"/>
      <c r="F24" s="271"/>
      <c r="G24" s="271"/>
      <c r="H24" s="273"/>
      <c r="I24" s="273"/>
      <c r="J24" s="273"/>
      <c r="K24" s="273"/>
      <c r="L24" s="273"/>
      <c r="S24" s="1"/>
      <c r="T24" s="1"/>
      <c r="U24" s="1"/>
      <c r="Y24" s="51"/>
      <c r="Z24" s="1"/>
      <c r="AA24" s="1"/>
      <c r="AE24" s="1"/>
      <c r="AF24" s="1"/>
      <c r="AG24" s="1"/>
      <c r="AN24" s="51"/>
      <c r="AO24" s="1"/>
      <c r="AP24" s="1"/>
      <c r="AT24" s="1"/>
      <c r="AU24" s="1"/>
      <c r="AV24" s="1"/>
    </row>
    <row r="25" spans="2:48" ht="24.95" customHeight="1" x14ac:dyDescent="0.3">
      <c r="B25" s="50"/>
      <c r="C25" s="50"/>
      <c r="D25" s="50"/>
      <c r="E25" s="271"/>
      <c r="F25" s="271"/>
      <c r="G25" s="271"/>
      <c r="H25" s="273"/>
      <c r="I25" s="273"/>
      <c r="J25" s="273"/>
      <c r="K25" s="273"/>
      <c r="L25" s="273"/>
      <c r="M25" s="50"/>
      <c r="P25" s="50"/>
      <c r="S25" s="50"/>
      <c r="V25" s="50"/>
      <c r="Y25" s="50"/>
      <c r="AB25" s="50"/>
      <c r="AE25" s="50"/>
      <c r="AH25" s="50"/>
      <c r="AK25" s="50"/>
      <c r="AN25" s="50"/>
      <c r="AQ25" s="50"/>
      <c r="AT25" s="50"/>
    </row>
    <row r="26" spans="2:48" ht="24.95" customHeight="1" x14ac:dyDescent="0.3">
      <c r="B26" s="50"/>
      <c r="C26" s="50"/>
      <c r="D26" s="50"/>
      <c r="E26" s="271"/>
      <c r="F26" s="271"/>
      <c r="G26" s="271"/>
      <c r="H26" s="273"/>
      <c r="I26" s="273"/>
      <c r="J26" s="273"/>
      <c r="K26" s="273"/>
      <c r="L26" s="273"/>
      <c r="M26" s="625"/>
      <c r="N26" s="625"/>
      <c r="P26" s="625"/>
      <c r="Q26" s="625"/>
      <c r="S26" s="625"/>
      <c r="T26" s="625"/>
      <c r="V26" s="625"/>
      <c r="W26" s="625"/>
      <c r="Y26" s="625"/>
      <c r="Z26" s="625"/>
      <c r="AB26" s="625"/>
      <c r="AC26" s="625"/>
      <c r="AE26" s="625"/>
      <c r="AF26" s="625"/>
      <c r="AG26" s="52"/>
      <c r="AH26" s="625"/>
      <c r="AI26" s="625"/>
      <c r="AJ26" s="52"/>
      <c r="AK26" s="625"/>
      <c r="AL26" s="625"/>
      <c r="AM26" s="52"/>
      <c r="AN26" s="625"/>
      <c r="AO26" s="625"/>
      <c r="AP26" s="52"/>
      <c r="AQ26" s="625"/>
      <c r="AR26" s="625"/>
      <c r="AS26" s="52"/>
      <c r="AT26" s="625"/>
      <c r="AU26" s="625"/>
      <c r="AV26" s="52"/>
    </row>
    <row r="27" spans="2:48" ht="24.95" customHeight="1" x14ac:dyDescent="0.3">
      <c r="B27" s="50"/>
      <c r="C27" s="50"/>
      <c r="D27" s="50"/>
      <c r="E27" s="271"/>
      <c r="F27" s="271"/>
      <c r="G27" s="271"/>
      <c r="H27" s="273"/>
      <c r="I27" s="273"/>
      <c r="J27" s="273"/>
      <c r="K27" s="273"/>
      <c r="L27" s="273"/>
    </row>
    <row r="28" spans="2:48" ht="24.95" customHeight="1" x14ac:dyDescent="0.3">
      <c r="B28" s="50"/>
      <c r="C28" s="50"/>
      <c r="D28" s="50"/>
      <c r="E28" s="271"/>
      <c r="F28" s="271"/>
      <c r="G28" s="271"/>
      <c r="H28" s="273"/>
      <c r="I28" s="273"/>
      <c r="J28" s="273"/>
      <c r="K28" s="273"/>
      <c r="L28" s="273"/>
    </row>
    <row r="29" spans="2:48" ht="24.95" customHeight="1" x14ac:dyDescent="0.3">
      <c r="B29" s="50"/>
      <c r="C29" s="50"/>
      <c r="D29" s="50"/>
      <c r="E29" s="271"/>
      <c r="F29" s="271"/>
      <c r="G29" s="271"/>
      <c r="H29" s="273"/>
      <c r="I29" s="273"/>
      <c r="J29" s="273"/>
      <c r="K29" s="273"/>
      <c r="L29" s="273"/>
    </row>
    <row r="30" spans="2:48" ht="24.95" customHeight="1" x14ac:dyDescent="0.3">
      <c r="B30" s="50"/>
      <c r="C30" s="50"/>
      <c r="D30" s="50"/>
      <c r="E30" s="271"/>
      <c r="F30" s="271"/>
      <c r="G30" s="271"/>
      <c r="H30" s="273"/>
      <c r="I30" s="273"/>
      <c r="J30" s="273"/>
      <c r="K30" s="273"/>
      <c r="L30" s="273"/>
    </row>
    <row r="31" spans="2:48" ht="24.95" customHeight="1" x14ac:dyDescent="0.3">
      <c r="B31" s="50"/>
      <c r="C31" s="50"/>
      <c r="D31" s="50"/>
      <c r="E31" s="271"/>
      <c r="F31" s="271"/>
      <c r="G31" s="271"/>
      <c r="H31" s="273"/>
      <c r="I31" s="273"/>
      <c r="J31" s="273"/>
      <c r="K31" s="273"/>
      <c r="L31" s="273"/>
    </row>
    <row r="32" spans="2:48" ht="24.95" customHeight="1" x14ac:dyDescent="0.3">
      <c r="B32" s="50"/>
      <c r="C32" s="50"/>
      <c r="D32" s="50"/>
      <c r="E32" s="271"/>
      <c r="F32" s="271"/>
      <c r="G32" s="271"/>
      <c r="H32" s="273"/>
      <c r="I32" s="273"/>
      <c r="J32" s="273"/>
      <c r="K32" s="273"/>
      <c r="L32" s="273"/>
    </row>
    <row r="33" spans="2:12" ht="24.95" customHeight="1" x14ac:dyDescent="0.3">
      <c r="B33" s="50"/>
      <c r="C33" s="50"/>
      <c r="D33" s="50"/>
      <c r="E33" s="271"/>
      <c r="F33" s="271"/>
      <c r="G33" s="271"/>
      <c r="H33" s="273"/>
      <c r="I33" s="273"/>
      <c r="J33" s="273"/>
      <c r="K33" s="273"/>
      <c r="L33" s="273"/>
    </row>
    <row r="34" spans="2:12" ht="24.95" customHeight="1" x14ac:dyDescent="0.3">
      <c r="B34" s="50"/>
      <c r="C34" s="50"/>
      <c r="D34" s="50"/>
      <c r="E34" s="271"/>
      <c r="F34" s="271"/>
      <c r="G34" s="271"/>
      <c r="H34" s="273"/>
      <c r="I34" s="273"/>
      <c r="J34" s="273"/>
      <c r="K34" s="273"/>
      <c r="L34" s="273"/>
    </row>
    <row r="35" spans="2:12" ht="24.95" customHeight="1" x14ac:dyDescent="0.3">
      <c r="B35" s="50"/>
      <c r="C35" s="50"/>
      <c r="D35" s="50"/>
      <c r="E35" s="271"/>
      <c r="F35" s="271"/>
      <c r="G35" s="271"/>
      <c r="H35" s="273"/>
      <c r="I35" s="273"/>
      <c r="J35" s="273"/>
      <c r="K35" s="273"/>
      <c r="L35" s="273"/>
    </row>
    <row r="36" spans="2:12" ht="24.95" customHeight="1" x14ac:dyDescent="0.3">
      <c r="B36" s="50"/>
      <c r="C36" s="50"/>
      <c r="D36" s="50"/>
      <c r="E36" s="271"/>
      <c r="F36" s="271"/>
      <c r="G36" s="271"/>
      <c r="H36" s="273"/>
      <c r="I36" s="273"/>
      <c r="J36" s="273"/>
      <c r="K36" s="273"/>
      <c r="L36" s="273"/>
    </row>
    <row r="37" spans="2:12" ht="24.95" customHeight="1" x14ac:dyDescent="0.3">
      <c r="B37" s="50"/>
      <c r="C37" s="50"/>
      <c r="D37" s="50"/>
      <c r="E37" s="271"/>
      <c r="F37" s="271"/>
      <c r="G37" s="271"/>
      <c r="H37" s="273"/>
      <c r="I37" s="273"/>
      <c r="J37" s="273"/>
      <c r="K37" s="273"/>
      <c r="L37" s="273"/>
    </row>
    <row r="38" spans="2:12" ht="24.95" customHeight="1" x14ac:dyDescent="0.3">
      <c r="B38" s="50"/>
      <c r="C38" s="50"/>
      <c r="D38" s="50"/>
      <c r="E38" s="271"/>
      <c r="F38" s="271"/>
      <c r="G38" s="271"/>
      <c r="H38" s="273"/>
      <c r="I38" s="273"/>
      <c r="J38" s="273"/>
      <c r="K38" s="273"/>
      <c r="L38" s="273"/>
    </row>
    <row r="39" spans="2:12" ht="24.95" customHeight="1" x14ac:dyDescent="0.3">
      <c r="B39" s="50"/>
      <c r="C39" s="50"/>
      <c r="D39" s="50"/>
      <c r="E39" s="271"/>
      <c r="F39" s="271"/>
      <c r="G39" s="271"/>
      <c r="H39" s="273"/>
      <c r="I39" s="273"/>
      <c r="J39" s="273"/>
      <c r="K39" s="273"/>
      <c r="L39" s="273"/>
    </row>
    <row r="40" spans="2:12" ht="24.95" customHeight="1" x14ac:dyDescent="0.3">
      <c r="B40" s="50"/>
      <c r="C40" s="50"/>
      <c r="D40" s="50"/>
      <c r="E40" s="271"/>
      <c r="F40" s="271"/>
      <c r="G40" s="271"/>
      <c r="H40" s="273"/>
      <c r="I40" s="273"/>
      <c r="J40" s="273"/>
      <c r="K40" s="273"/>
      <c r="L40" s="273"/>
    </row>
    <row r="41" spans="2:12" ht="24.95" customHeight="1" x14ac:dyDescent="0.3">
      <c r="B41" s="50"/>
      <c r="C41" s="50"/>
      <c r="D41" s="50"/>
      <c r="E41" s="271"/>
      <c r="F41" s="271"/>
      <c r="G41" s="271"/>
      <c r="H41" s="273"/>
      <c r="I41" s="273"/>
      <c r="J41" s="273"/>
      <c r="K41" s="273"/>
      <c r="L41" s="273"/>
    </row>
    <row r="42" spans="2:12" ht="24.95" customHeight="1" x14ac:dyDescent="0.3">
      <c r="B42" s="50"/>
      <c r="C42" s="50"/>
      <c r="D42" s="50"/>
      <c r="E42" s="271"/>
      <c r="F42" s="271"/>
      <c r="G42" s="271"/>
      <c r="H42" s="273"/>
      <c r="I42" s="273"/>
      <c r="J42" s="273"/>
      <c r="K42" s="273"/>
      <c r="L42" s="273"/>
    </row>
    <row r="43" spans="2:12" ht="24.95" customHeight="1" x14ac:dyDescent="0.3">
      <c r="B43" s="50"/>
      <c r="C43" s="50"/>
      <c r="D43" s="50"/>
      <c r="E43" s="271"/>
      <c r="F43" s="271"/>
      <c r="G43" s="271"/>
      <c r="H43" s="273"/>
      <c r="I43" s="273"/>
      <c r="J43" s="273"/>
      <c r="K43" s="273"/>
      <c r="L43" s="273"/>
    </row>
    <row r="44" spans="2:12" ht="24.95" customHeight="1" x14ac:dyDescent="0.3">
      <c r="B44" s="50"/>
      <c r="C44" s="50"/>
      <c r="D44" s="50"/>
      <c r="E44" s="271"/>
      <c r="F44" s="271"/>
      <c r="G44" s="271"/>
      <c r="H44" s="273"/>
      <c r="I44" s="273"/>
      <c r="J44" s="273"/>
      <c r="K44" s="273"/>
      <c r="L44" s="273"/>
    </row>
    <row r="45" spans="2:12" ht="24.95" customHeight="1" x14ac:dyDescent="0.3">
      <c r="B45" s="50"/>
      <c r="C45" s="50"/>
      <c r="D45" s="50"/>
      <c r="E45" s="271"/>
      <c r="F45" s="271"/>
      <c r="G45" s="271"/>
      <c r="H45" s="273"/>
      <c r="I45" s="273"/>
      <c r="J45" s="273"/>
      <c r="K45" s="273"/>
      <c r="L45" s="273"/>
    </row>
    <row r="46" spans="2:12" ht="24.95" customHeight="1" x14ac:dyDescent="0.3">
      <c r="B46" s="50"/>
      <c r="C46" s="50"/>
      <c r="D46" s="50"/>
      <c r="E46" s="271"/>
      <c r="F46" s="271"/>
      <c r="G46" s="271"/>
      <c r="H46" s="273"/>
      <c r="I46" s="273"/>
      <c r="J46" s="273"/>
      <c r="K46" s="273"/>
      <c r="L46" s="273"/>
    </row>
    <row r="47" spans="2:12" ht="24.95" customHeight="1" x14ac:dyDescent="0.3">
      <c r="B47" s="50"/>
      <c r="C47" s="50"/>
      <c r="D47" s="50"/>
      <c r="E47" s="271"/>
      <c r="F47" s="271"/>
      <c r="G47" s="271"/>
      <c r="H47" s="273"/>
      <c r="I47" s="273"/>
      <c r="J47" s="273"/>
      <c r="K47" s="273"/>
      <c r="L47" s="273"/>
    </row>
    <row r="48" spans="2:12" ht="24.95" customHeight="1" x14ac:dyDescent="0.3">
      <c r="B48" s="50"/>
      <c r="C48" s="50"/>
      <c r="D48" s="50"/>
      <c r="E48" s="271"/>
      <c r="F48" s="271"/>
      <c r="G48" s="271"/>
      <c r="H48" s="273"/>
      <c r="I48" s="273"/>
      <c r="J48" s="273"/>
      <c r="K48" s="273"/>
      <c r="L48" s="273"/>
    </row>
    <row r="49" spans="2:24" ht="24.95" customHeight="1" x14ac:dyDescent="0.3">
      <c r="B49" s="50"/>
      <c r="C49" s="50"/>
      <c r="D49" s="50"/>
      <c r="E49" s="271"/>
      <c r="F49" s="271"/>
      <c r="G49" s="271"/>
      <c r="H49" s="273"/>
      <c r="I49" s="273"/>
      <c r="J49" s="273"/>
      <c r="K49" s="273"/>
      <c r="L49" s="273"/>
    </row>
    <row r="50" spans="2:24" ht="24.95" customHeight="1" x14ac:dyDescent="0.3">
      <c r="B50" s="50"/>
      <c r="C50" s="50"/>
      <c r="D50" s="50"/>
      <c r="E50" s="271"/>
      <c r="F50" s="271"/>
      <c r="G50" s="271"/>
      <c r="H50" s="273"/>
      <c r="I50" s="273"/>
      <c r="J50" s="273"/>
      <c r="K50" s="273"/>
      <c r="L50" s="273"/>
    </row>
    <row r="51" spans="2:24" ht="24.95" customHeight="1" x14ac:dyDescent="0.3">
      <c r="B51" s="50"/>
      <c r="C51" s="50"/>
      <c r="D51" s="50"/>
      <c r="E51" s="271"/>
      <c r="F51" s="271"/>
      <c r="G51" s="271"/>
      <c r="H51" s="273"/>
      <c r="I51" s="273"/>
      <c r="J51" s="273"/>
      <c r="K51" s="273"/>
      <c r="L51" s="273"/>
    </row>
    <row r="52" spans="2:24" ht="24.95" customHeight="1" x14ac:dyDescent="0.3">
      <c r="B52" s="50"/>
      <c r="C52" s="50"/>
      <c r="D52" s="50"/>
      <c r="E52" s="271"/>
      <c r="F52" s="271"/>
      <c r="G52" s="271"/>
      <c r="H52" s="273"/>
      <c r="I52" s="273"/>
      <c r="J52" s="273"/>
      <c r="K52" s="273"/>
      <c r="L52" s="273"/>
    </row>
    <row r="53" spans="2:24" ht="24.95" customHeight="1" x14ac:dyDescent="0.3">
      <c r="B53" s="50"/>
      <c r="C53" s="50"/>
      <c r="D53" s="50"/>
      <c r="E53" s="271"/>
      <c r="F53" s="271"/>
      <c r="G53" s="271"/>
      <c r="H53" s="273"/>
      <c r="I53" s="273"/>
      <c r="J53" s="273"/>
      <c r="K53" s="273"/>
      <c r="L53" s="273"/>
    </row>
    <row r="54" spans="2:24" ht="24.95" customHeight="1" x14ac:dyDescent="0.3">
      <c r="B54" s="50"/>
      <c r="C54" s="50"/>
      <c r="D54" s="50"/>
      <c r="E54" s="271"/>
      <c r="F54" s="271"/>
      <c r="G54" s="271"/>
      <c r="H54" s="273"/>
      <c r="I54" s="273"/>
      <c r="J54" s="273"/>
      <c r="K54" s="273"/>
      <c r="L54" s="273"/>
    </row>
    <row r="55" spans="2:24" ht="24.95" customHeight="1" x14ac:dyDescent="0.3">
      <c r="B55" s="50"/>
      <c r="C55" s="50"/>
      <c r="D55" s="50"/>
      <c r="E55" s="271"/>
      <c r="F55" s="271"/>
      <c r="G55" s="271"/>
      <c r="H55" s="273"/>
      <c r="I55" s="273"/>
      <c r="J55" s="273"/>
      <c r="K55" s="273"/>
      <c r="L55" s="273"/>
    </row>
    <row r="56" spans="2:24" ht="24.95" customHeight="1" x14ac:dyDescent="0.3">
      <c r="B56" s="50"/>
      <c r="C56" s="50"/>
      <c r="D56" s="50"/>
      <c r="E56" s="271"/>
      <c r="F56" s="271"/>
      <c r="G56" s="271"/>
      <c r="H56" s="273"/>
      <c r="I56" s="273"/>
      <c r="J56" s="273"/>
      <c r="K56" s="273"/>
      <c r="L56" s="273"/>
    </row>
    <row r="57" spans="2:24" x14ac:dyDescent="0.3">
      <c r="B57" s="50"/>
      <c r="C57" s="50"/>
      <c r="D57" s="50"/>
      <c r="E57" s="271"/>
      <c r="F57" s="271"/>
      <c r="G57" s="271"/>
      <c r="H57" s="273"/>
      <c r="I57" s="273"/>
      <c r="J57" s="273"/>
      <c r="K57" s="273"/>
      <c r="L57" s="273"/>
    </row>
    <row r="58" spans="2:24" x14ac:dyDescent="0.3">
      <c r="B58" s="50"/>
      <c r="C58" s="50"/>
      <c r="D58" s="50"/>
      <c r="E58" s="271"/>
      <c r="F58" s="271"/>
      <c r="G58" s="271"/>
      <c r="H58" s="273"/>
      <c r="I58" s="273"/>
      <c r="J58" s="273"/>
      <c r="K58" s="273"/>
      <c r="L58" s="273"/>
    </row>
    <row r="59" spans="2:24" x14ac:dyDescent="0.3">
      <c r="B59" s="50"/>
      <c r="C59" s="50"/>
      <c r="D59" s="50"/>
      <c r="E59" s="271"/>
      <c r="F59" s="271"/>
      <c r="G59" s="271"/>
      <c r="H59" s="273"/>
      <c r="I59" s="273"/>
      <c r="J59" s="273"/>
      <c r="K59" s="273"/>
      <c r="L59" s="273"/>
    </row>
    <row r="60" spans="2:24" x14ac:dyDescent="0.2">
      <c r="B60" s="50"/>
      <c r="C60" s="50"/>
      <c r="D60" s="50"/>
      <c r="E60" s="271"/>
      <c r="F60" s="271"/>
      <c r="G60" s="271"/>
      <c r="H60" s="273"/>
      <c r="I60" s="273"/>
      <c r="J60" s="273"/>
      <c r="K60" s="273"/>
      <c r="L60" s="273"/>
      <c r="S60" s="1"/>
      <c r="T60" s="628"/>
      <c r="U60" s="629"/>
      <c r="V60" s="630"/>
      <c r="W60" s="1"/>
      <c r="X60" s="1"/>
    </row>
    <row r="61" spans="2:24" x14ac:dyDescent="0.3">
      <c r="B61" s="50"/>
      <c r="C61" s="50"/>
      <c r="D61" s="50"/>
      <c r="E61" s="271"/>
      <c r="F61" s="271"/>
      <c r="G61" s="271"/>
      <c r="H61" s="273"/>
      <c r="I61" s="273"/>
      <c r="J61" s="273"/>
      <c r="K61" s="273"/>
      <c r="L61" s="273"/>
      <c r="S61" s="1"/>
      <c r="T61" s="1"/>
      <c r="U61" s="1"/>
      <c r="V61" s="1"/>
      <c r="W61" s="1"/>
      <c r="X61" s="1"/>
    </row>
    <row r="62" spans="2:24" x14ac:dyDescent="0.3">
      <c r="B62" s="50"/>
      <c r="C62" s="50"/>
      <c r="D62" s="50"/>
      <c r="E62" s="271"/>
      <c r="F62" s="271"/>
      <c r="G62" s="271"/>
      <c r="H62" s="273"/>
      <c r="I62" s="273"/>
      <c r="J62" s="273"/>
      <c r="K62" s="273"/>
      <c r="L62" s="273"/>
      <c r="S62" s="1"/>
      <c r="T62" s="1"/>
      <c r="U62" s="1"/>
      <c r="V62" s="1"/>
      <c r="W62" s="1"/>
      <c r="X62" s="1"/>
    </row>
    <row r="63" spans="2:24" x14ac:dyDescent="0.3">
      <c r="B63" s="50"/>
      <c r="C63" s="50"/>
      <c r="D63" s="50"/>
      <c r="E63" s="271"/>
      <c r="F63" s="271"/>
      <c r="G63" s="271"/>
      <c r="H63" s="273"/>
      <c r="I63" s="273"/>
      <c r="J63" s="273"/>
      <c r="K63" s="273"/>
      <c r="L63" s="273"/>
      <c r="S63" s="1"/>
      <c r="T63" s="1"/>
      <c r="U63" s="1"/>
      <c r="V63" s="1"/>
      <c r="W63" s="1"/>
      <c r="X63" s="1"/>
    </row>
    <row r="64" spans="2:24" x14ac:dyDescent="0.3">
      <c r="B64" s="50"/>
      <c r="C64" s="50"/>
      <c r="D64" s="50"/>
      <c r="E64" s="271"/>
      <c r="F64" s="271"/>
      <c r="G64" s="271"/>
      <c r="H64" s="273"/>
      <c r="I64" s="273"/>
      <c r="J64" s="273"/>
      <c r="K64" s="273"/>
      <c r="L64" s="273"/>
      <c r="S64" s="1"/>
      <c r="T64" s="1"/>
      <c r="U64" s="1"/>
      <c r="V64" s="1"/>
      <c r="W64" s="1"/>
      <c r="X64" s="1"/>
    </row>
    <row r="65" spans="2:24" x14ac:dyDescent="0.3">
      <c r="B65" s="50"/>
      <c r="C65" s="50"/>
      <c r="D65" s="50"/>
      <c r="E65" s="271"/>
      <c r="F65" s="271"/>
      <c r="G65" s="271"/>
      <c r="H65" s="273"/>
      <c r="I65" s="273"/>
      <c r="J65" s="273"/>
      <c r="K65" s="273"/>
      <c r="L65" s="273"/>
      <c r="S65" s="1"/>
      <c r="T65" s="1"/>
      <c r="U65" s="1"/>
      <c r="V65" s="1"/>
      <c r="W65" s="1"/>
      <c r="X65" s="1"/>
    </row>
    <row r="66" spans="2:24" x14ac:dyDescent="0.3">
      <c r="B66" s="50"/>
      <c r="C66" s="50"/>
      <c r="D66" s="50"/>
      <c r="E66" s="271"/>
      <c r="F66" s="271"/>
      <c r="G66" s="271"/>
      <c r="H66" s="273"/>
      <c r="I66" s="273"/>
      <c r="J66" s="273"/>
      <c r="K66" s="273"/>
      <c r="L66" s="273"/>
      <c r="S66" s="1"/>
      <c r="T66" s="1"/>
      <c r="U66" s="1"/>
      <c r="V66" s="1"/>
      <c r="W66" s="1"/>
      <c r="X66" s="1"/>
    </row>
    <row r="67" spans="2:24" x14ac:dyDescent="0.3">
      <c r="B67" s="50"/>
      <c r="C67" s="50"/>
      <c r="D67" s="50"/>
      <c r="E67" s="271"/>
      <c r="F67" s="271"/>
      <c r="G67" s="271"/>
      <c r="H67" s="273"/>
      <c r="I67" s="273"/>
      <c r="J67" s="273"/>
      <c r="K67" s="273"/>
      <c r="L67" s="273"/>
      <c r="S67" s="1"/>
      <c r="T67" s="1"/>
      <c r="U67" s="1"/>
      <c r="V67" s="1"/>
      <c r="W67" s="1"/>
      <c r="X67" s="1"/>
    </row>
    <row r="68" spans="2:24" x14ac:dyDescent="0.3">
      <c r="B68" s="50"/>
      <c r="C68" s="50"/>
      <c r="D68" s="50"/>
      <c r="E68" s="271"/>
      <c r="F68" s="271"/>
      <c r="G68" s="271"/>
      <c r="H68" s="273"/>
      <c r="I68" s="273"/>
      <c r="J68" s="273"/>
      <c r="K68" s="273"/>
      <c r="L68" s="273"/>
      <c r="S68" s="1"/>
      <c r="T68" s="1"/>
      <c r="U68" s="1"/>
      <c r="V68" s="1"/>
      <c r="W68" s="1"/>
      <c r="X68" s="1"/>
    </row>
    <row r="69" spans="2:24" x14ac:dyDescent="0.3">
      <c r="B69" s="50"/>
      <c r="C69" s="50"/>
      <c r="D69" s="50"/>
      <c r="E69" s="271"/>
      <c r="F69" s="271"/>
      <c r="G69" s="271"/>
      <c r="H69" s="273"/>
      <c r="I69" s="273"/>
      <c r="J69" s="273"/>
      <c r="K69" s="273"/>
      <c r="L69" s="273"/>
      <c r="S69" s="1"/>
      <c r="T69" s="1"/>
      <c r="U69" s="1"/>
      <c r="V69" s="1"/>
      <c r="W69" s="1"/>
      <c r="X69" s="1"/>
    </row>
    <row r="70" spans="2:24" x14ac:dyDescent="0.3">
      <c r="B70" s="50"/>
      <c r="C70" s="50"/>
      <c r="D70" s="50"/>
      <c r="E70" s="271"/>
      <c r="F70" s="271"/>
      <c r="G70" s="271"/>
      <c r="H70" s="273"/>
      <c r="I70" s="273"/>
      <c r="J70" s="273"/>
      <c r="K70" s="273"/>
      <c r="L70" s="273"/>
      <c r="S70" s="1"/>
      <c r="T70" s="1"/>
      <c r="U70" s="1"/>
      <c r="V70" s="1"/>
      <c r="W70" s="1"/>
      <c r="X70" s="1"/>
    </row>
    <row r="71" spans="2:24" x14ac:dyDescent="0.3">
      <c r="B71" s="50"/>
      <c r="C71" s="50"/>
      <c r="D71" s="50"/>
      <c r="E71" s="271"/>
      <c r="F71" s="271"/>
      <c r="G71" s="271"/>
      <c r="H71" s="273"/>
      <c r="I71" s="273"/>
      <c r="J71" s="273"/>
      <c r="K71" s="273"/>
      <c r="L71" s="273"/>
      <c r="S71" s="1"/>
      <c r="T71" s="1"/>
      <c r="U71" s="1"/>
      <c r="V71" s="1"/>
      <c r="W71" s="1"/>
      <c r="X71" s="1"/>
    </row>
    <row r="72" spans="2:24" x14ac:dyDescent="0.3">
      <c r="B72" s="50"/>
      <c r="C72" s="50"/>
      <c r="D72" s="50"/>
      <c r="E72" s="271"/>
      <c r="F72" s="271"/>
      <c r="G72" s="271"/>
      <c r="H72" s="273"/>
      <c r="I72" s="273"/>
      <c r="J72" s="273"/>
      <c r="K72" s="273"/>
      <c r="L72" s="273"/>
      <c r="S72" s="1"/>
      <c r="T72" s="1"/>
      <c r="U72" s="1"/>
      <c r="V72" s="1"/>
      <c r="W72" s="1"/>
      <c r="X72" s="1"/>
    </row>
    <row r="73" spans="2:24" x14ac:dyDescent="0.3">
      <c r="B73" s="50"/>
      <c r="C73" s="50"/>
      <c r="D73" s="50"/>
      <c r="E73" s="271"/>
      <c r="F73" s="271"/>
      <c r="G73" s="271"/>
      <c r="H73" s="273"/>
      <c r="I73" s="273"/>
      <c r="J73" s="273"/>
      <c r="K73" s="273"/>
      <c r="L73" s="273"/>
      <c r="S73" s="1"/>
      <c r="T73" s="1"/>
      <c r="U73" s="1"/>
      <c r="V73" s="1"/>
      <c r="W73" s="1"/>
      <c r="X73" s="1"/>
    </row>
    <row r="74" spans="2:24" x14ac:dyDescent="0.3">
      <c r="B74" s="50"/>
      <c r="C74" s="50"/>
      <c r="D74" s="50"/>
      <c r="E74" s="271"/>
      <c r="F74" s="271"/>
      <c r="G74" s="271"/>
      <c r="H74" s="273"/>
      <c r="I74" s="273"/>
      <c r="J74" s="273"/>
      <c r="K74" s="273"/>
      <c r="L74" s="273"/>
      <c r="S74" s="1"/>
      <c r="T74" s="1"/>
      <c r="U74" s="1"/>
      <c r="V74" s="1"/>
      <c r="W74" s="1"/>
      <c r="X74" s="1"/>
    </row>
    <row r="75" spans="2:24" x14ac:dyDescent="0.3">
      <c r="B75" s="50"/>
      <c r="C75" s="50"/>
      <c r="D75" s="50"/>
      <c r="E75" s="271"/>
      <c r="F75" s="271"/>
      <c r="G75" s="271"/>
      <c r="H75" s="273"/>
      <c r="I75" s="273"/>
      <c r="J75" s="273"/>
      <c r="K75" s="273"/>
      <c r="L75" s="273"/>
      <c r="S75" s="1"/>
      <c r="T75" s="1"/>
      <c r="U75" s="1"/>
      <c r="V75" s="1"/>
      <c r="W75" s="1"/>
      <c r="X75" s="1"/>
    </row>
    <row r="76" spans="2:24" x14ac:dyDescent="0.3">
      <c r="B76" s="50"/>
      <c r="C76" s="50"/>
      <c r="D76" s="50"/>
      <c r="E76" s="271"/>
      <c r="F76" s="271"/>
      <c r="G76" s="271"/>
      <c r="H76" s="273"/>
      <c r="I76" s="273"/>
      <c r="J76" s="273"/>
      <c r="K76" s="273"/>
      <c r="L76" s="273"/>
      <c r="S76" s="1"/>
      <c r="T76" s="1"/>
      <c r="U76" s="1"/>
      <c r="V76" s="1"/>
      <c r="W76" s="1"/>
      <c r="X76" s="1"/>
    </row>
    <row r="77" spans="2:24" x14ac:dyDescent="0.3">
      <c r="B77" s="50"/>
      <c r="C77" s="50"/>
      <c r="D77" s="50"/>
      <c r="E77" s="271"/>
      <c r="F77" s="271"/>
      <c r="G77" s="271"/>
      <c r="H77" s="273"/>
      <c r="I77" s="273"/>
      <c r="J77" s="273"/>
      <c r="K77" s="273"/>
      <c r="L77" s="273"/>
      <c r="S77" s="1"/>
      <c r="T77" s="1"/>
      <c r="U77" s="1"/>
      <c r="V77" s="1"/>
      <c r="W77" s="1"/>
      <c r="X77" s="1"/>
    </row>
    <row r="78" spans="2:24" x14ac:dyDescent="0.3">
      <c r="B78" s="50"/>
      <c r="C78" s="50"/>
      <c r="D78" s="50"/>
      <c r="E78" s="271"/>
      <c r="F78" s="271"/>
      <c r="G78" s="271"/>
      <c r="H78" s="273"/>
      <c r="I78" s="273"/>
      <c r="J78" s="273"/>
      <c r="K78" s="273"/>
      <c r="L78" s="273"/>
      <c r="S78" s="1"/>
      <c r="T78" s="1"/>
      <c r="U78" s="1"/>
      <c r="V78" s="1"/>
      <c r="W78" s="1"/>
      <c r="X78" s="1"/>
    </row>
    <row r="79" spans="2:24" x14ac:dyDescent="0.3">
      <c r="B79" s="50"/>
      <c r="C79" s="50"/>
      <c r="D79" s="50"/>
      <c r="E79" s="271"/>
      <c r="F79" s="271"/>
      <c r="G79" s="271"/>
      <c r="H79" s="273"/>
      <c r="I79" s="273"/>
      <c r="J79" s="273"/>
      <c r="K79" s="273"/>
      <c r="L79" s="273"/>
      <c r="S79" s="1"/>
      <c r="T79" s="1"/>
      <c r="U79" s="1"/>
      <c r="V79" s="1"/>
      <c r="W79" s="1"/>
      <c r="X79" s="1"/>
    </row>
    <row r="80" spans="2:24" x14ac:dyDescent="0.3">
      <c r="B80" s="50"/>
      <c r="C80" s="50"/>
      <c r="D80" s="50"/>
      <c r="E80" s="271"/>
      <c r="F80" s="271"/>
      <c r="G80" s="271"/>
      <c r="H80" s="273"/>
      <c r="I80" s="273"/>
      <c r="J80" s="273"/>
      <c r="K80" s="273"/>
      <c r="L80" s="273"/>
      <c r="S80" s="1"/>
      <c r="T80" s="1"/>
      <c r="U80" s="1"/>
      <c r="V80" s="1"/>
      <c r="W80" s="1"/>
      <c r="X80" s="1"/>
    </row>
    <row r="81" spans="2:24" x14ac:dyDescent="0.3">
      <c r="B81" s="50"/>
      <c r="C81" s="50"/>
      <c r="D81" s="50"/>
      <c r="E81" s="271"/>
      <c r="F81" s="271"/>
      <c r="G81" s="271"/>
      <c r="H81" s="273"/>
      <c r="I81" s="273"/>
      <c r="J81" s="273"/>
      <c r="K81" s="273"/>
      <c r="L81" s="273"/>
      <c r="S81" s="1"/>
      <c r="T81" s="1"/>
      <c r="U81" s="1"/>
      <c r="V81" s="1"/>
      <c r="W81" s="1"/>
      <c r="X81" s="1"/>
    </row>
    <row r="82" spans="2:24" x14ac:dyDescent="0.3">
      <c r="B82" s="50"/>
      <c r="C82" s="50"/>
      <c r="D82" s="50"/>
      <c r="E82" s="271"/>
      <c r="F82" s="271"/>
      <c r="G82" s="271"/>
      <c r="H82" s="273"/>
      <c r="I82" s="273"/>
      <c r="J82" s="273"/>
      <c r="K82" s="273"/>
      <c r="L82" s="273"/>
      <c r="S82" s="1"/>
      <c r="T82" s="1"/>
      <c r="U82" s="1"/>
      <c r="V82" s="1"/>
      <c r="W82" s="1"/>
      <c r="X82" s="1"/>
    </row>
    <row r="83" spans="2:24" x14ac:dyDescent="0.3">
      <c r="B83" s="50"/>
      <c r="C83" s="50"/>
      <c r="D83" s="50"/>
      <c r="E83" s="271"/>
      <c r="F83" s="271"/>
      <c r="G83" s="271"/>
      <c r="H83" s="273"/>
      <c r="I83" s="273"/>
      <c r="J83" s="273"/>
      <c r="K83" s="273"/>
      <c r="L83" s="273"/>
      <c r="S83" s="1"/>
      <c r="T83" s="1"/>
      <c r="U83" s="1"/>
      <c r="V83" s="1"/>
      <c r="W83" s="1"/>
      <c r="X83" s="1"/>
    </row>
    <row r="84" spans="2:24" x14ac:dyDescent="0.3">
      <c r="B84" s="50"/>
      <c r="C84" s="50"/>
      <c r="D84" s="50"/>
      <c r="E84" s="271"/>
      <c r="F84" s="271"/>
      <c r="G84" s="271"/>
      <c r="H84" s="273"/>
      <c r="I84" s="273"/>
      <c r="J84" s="273"/>
      <c r="K84" s="273"/>
      <c r="L84" s="273"/>
      <c r="S84" s="1"/>
      <c r="T84" s="1"/>
      <c r="U84" s="1"/>
      <c r="V84" s="1"/>
      <c r="W84" s="1"/>
      <c r="X84" s="1"/>
    </row>
    <row r="85" spans="2:24" x14ac:dyDescent="0.3">
      <c r="B85" s="50"/>
      <c r="C85" s="50"/>
      <c r="D85" s="50"/>
      <c r="E85" s="271"/>
      <c r="F85" s="271"/>
      <c r="G85" s="271"/>
      <c r="H85" s="273"/>
      <c r="I85" s="273"/>
      <c r="J85" s="273"/>
      <c r="K85" s="273"/>
      <c r="L85" s="273"/>
      <c r="S85" s="1"/>
      <c r="T85" s="1"/>
      <c r="U85" s="1"/>
      <c r="V85" s="1"/>
      <c r="W85" s="1"/>
      <c r="X85" s="1"/>
    </row>
    <row r="86" spans="2:24" x14ac:dyDescent="0.3">
      <c r="B86" s="50"/>
      <c r="C86" s="50"/>
      <c r="D86" s="50"/>
      <c r="E86" s="271"/>
      <c r="F86" s="271"/>
      <c r="G86" s="271"/>
      <c r="H86" s="273"/>
      <c r="I86" s="273"/>
      <c r="J86" s="273"/>
      <c r="K86" s="273"/>
      <c r="L86" s="273"/>
      <c r="S86" s="1"/>
      <c r="T86" s="1"/>
      <c r="U86" s="1"/>
      <c r="V86" s="1"/>
      <c r="W86" s="1"/>
      <c r="X86" s="1"/>
    </row>
    <row r="87" spans="2:24" x14ac:dyDescent="0.3">
      <c r="B87" s="50"/>
      <c r="C87" s="50"/>
      <c r="D87" s="50"/>
      <c r="E87" s="271"/>
      <c r="F87" s="271"/>
      <c r="G87" s="271"/>
      <c r="H87" s="273"/>
      <c r="I87" s="273"/>
      <c r="J87" s="273"/>
      <c r="K87" s="273"/>
      <c r="L87" s="273"/>
      <c r="S87" s="1"/>
      <c r="T87" s="1"/>
      <c r="U87" s="1"/>
      <c r="V87" s="1"/>
      <c r="W87" s="1"/>
      <c r="X87" s="1"/>
    </row>
    <row r="88" spans="2:24" x14ac:dyDescent="0.3">
      <c r="B88" s="50"/>
      <c r="C88" s="50"/>
      <c r="D88" s="50"/>
      <c r="E88" s="271"/>
      <c r="F88" s="271"/>
      <c r="G88" s="271"/>
      <c r="H88" s="273"/>
      <c r="I88" s="273"/>
      <c r="J88" s="273"/>
      <c r="K88" s="273"/>
      <c r="L88" s="273"/>
      <c r="S88" s="1"/>
      <c r="T88" s="1"/>
      <c r="U88" s="1"/>
      <c r="V88" s="1"/>
      <c r="W88" s="1"/>
      <c r="X88" s="1"/>
    </row>
    <row r="89" spans="2:24" x14ac:dyDescent="0.3">
      <c r="B89" s="50"/>
      <c r="C89" s="50"/>
      <c r="D89" s="50"/>
      <c r="E89" s="271"/>
      <c r="F89" s="271"/>
      <c r="G89" s="271"/>
      <c r="H89" s="273"/>
      <c r="I89" s="273"/>
      <c r="J89" s="273"/>
      <c r="K89" s="273"/>
      <c r="L89" s="273"/>
      <c r="S89" s="1"/>
      <c r="T89" s="1"/>
      <c r="U89" s="1"/>
      <c r="V89" s="1"/>
      <c r="W89" s="1"/>
      <c r="X89" s="1"/>
    </row>
    <row r="90" spans="2:24" x14ac:dyDescent="0.3">
      <c r="B90" s="50"/>
      <c r="C90" s="50"/>
      <c r="D90" s="50"/>
      <c r="E90" s="271"/>
      <c r="F90" s="271"/>
      <c r="G90" s="271"/>
      <c r="H90" s="273"/>
      <c r="I90" s="273"/>
      <c r="J90" s="273"/>
      <c r="K90" s="273"/>
      <c r="L90" s="273"/>
      <c r="S90" s="1"/>
      <c r="T90" s="1"/>
      <c r="U90" s="1"/>
      <c r="V90" s="1"/>
      <c r="W90" s="1"/>
      <c r="X90" s="1"/>
    </row>
    <row r="91" spans="2:24" x14ac:dyDescent="0.3">
      <c r="B91" s="50"/>
      <c r="C91" s="50"/>
      <c r="D91" s="50"/>
      <c r="E91" s="271"/>
      <c r="F91" s="271"/>
      <c r="G91" s="271"/>
      <c r="H91" s="273"/>
      <c r="I91" s="273"/>
      <c r="J91" s="273"/>
      <c r="K91" s="273"/>
      <c r="L91" s="273"/>
      <c r="S91" s="1"/>
      <c r="T91" s="1"/>
      <c r="U91" s="1"/>
      <c r="V91" s="1"/>
      <c r="W91" s="1"/>
      <c r="X91" s="1"/>
    </row>
    <row r="92" spans="2:24" x14ac:dyDescent="0.3">
      <c r="B92" s="50"/>
      <c r="C92" s="50"/>
      <c r="D92" s="50"/>
      <c r="E92" s="271"/>
      <c r="F92" s="271"/>
      <c r="G92" s="271"/>
      <c r="H92" s="273"/>
      <c r="I92" s="273"/>
      <c r="J92" s="273"/>
      <c r="K92" s="273"/>
      <c r="L92" s="273"/>
      <c r="S92" s="1"/>
      <c r="T92" s="1"/>
      <c r="U92" s="1"/>
      <c r="V92" s="1"/>
      <c r="W92" s="1"/>
      <c r="X92" s="1"/>
    </row>
    <row r="93" spans="2:24" x14ac:dyDescent="0.3">
      <c r="B93" s="50"/>
      <c r="C93" s="50"/>
      <c r="D93" s="50"/>
      <c r="E93" s="271"/>
      <c r="F93" s="271"/>
      <c r="G93" s="271"/>
      <c r="H93" s="273"/>
      <c r="I93" s="273"/>
      <c r="J93" s="273"/>
      <c r="K93" s="273"/>
      <c r="L93" s="273"/>
    </row>
    <row r="94" spans="2:24" x14ac:dyDescent="0.3">
      <c r="B94" s="50"/>
      <c r="C94" s="50"/>
      <c r="D94" s="50"/>
      <c r="E94" s="271"/>
      <c r="F94" s="271"/>
      <c r="G94" s="271"/>
      <c r="H94" s="273"/>
      <c r="I94" s="273"/>
      <c r="J94" s="273"/>
      <c r="K94" s="273"/>
      <c r="L94" s="273"/>
    </row>
    <row r="95" spans="2:24" x14ac:dyDescent="0.3">
      <c r="B95" s="50"/>
      <c r="C95" s="50"/>
      <c r="D95" s="50"/>
      <c r="E95" s="271"/>
      <c r="F95" s="271"/>
      <c r="G95" s="271"/>
      <c r="H95" s="273"/>
      <c r="I95" s="273"/>
      <c r="J95" s="273"/>
      <c r="K95" s="273"/>
      <c r="L95" s="273"/>
    </row>
    <row r="96" spans="2:24" x14ac:dyDescent="0.3">
      <c r="B96" s="50"/>
      <c r="C96" s="50"/>
      <c r="D96" s="50"/>
      <c r="E96" s="271"/>
      <c r="F96" s="271"/>
      <c r="G96" s="271"/>
      <c r="H96" s="273"/>
      <c r="I96" s="273"/>
      <c r="J96" s="273"/>
      <c r="K96" s="273"/>
      <c r="L96" s="273"/>
    </row>
    <row r="97" spans="2:12" x14ac:dyDescent="0.3">
      <c r="B97" s="50"/>
      <c r="C97" s="50"/>
      <c r="D97" s="50"/>
      <c r="E97" s="271"/>
      <c r="F97" s="271"/>
      <c r="G97" s="271"/>
      <c r="H97" s="273"/>
      <c r="I97" s="273"/>
      <c r="J97" s="273"/>
      <c r="K97" s="273"/>
      <c r="L97" s="273"/>
    </row>
    <row r="98" spans="2:12" x14ac:dyDescent="0.3">
      <c r="B98" s="50"/>
      <c r="C98" s="50"/>
      <c r="D98" s="50"/>
      <c r="E98" s="271"/>
      <c r="F98" s="271"/>
      <c r="G98" s="271"/>
      <c r="H98" s="273"/>
      <c r="I98" s="273"/>
      <c r="J98" s="273"/>
      <c r="K98" s="273"/>
      <c r="L98" s="273"/>
    </row>
    <row r="99" spans="2:12" x14ac:dyDescent="0.3">
      <c r="B99" s="50"/>
      <c r="C99" s="50"/>
      <c r="D99" s="50"/>
      <c r="E99" s="271"/>
      <c r="F99" s="271"/>
      <c r="G99" s="271"/>
      <c r="H99" s="273"/>
      <c r="I99" s="273"/>
      <c r="J99" s="273"/>
      <c r="K99" s="273"/>
      <c r="L99" s="273"/>
    </row>
    <row r="100" spans="2:12" x14ac:dyDescent="0.3">
      <c r="B100" s="50"/>
      <c r="C100" s="50"/>
      <c r="D100" s="50"/>
      <c r="E100" s="271"/>
      <c r="F100" s="271"/>
      <c r="G100" s="271"/>
      <c r="H100" s="273"/>
      <c r="I100" s="273"/>
      <c r="J100" s="273"/>
      <c r="K100" s="273"/>
      <c r="L100" s="273"/>
    </row>
    <row r="101" spans="2:12" x14ac:dyDescent="0.3">
      <c r="B101" s="50"/>
      <c r="C101" s="50"/>
      <c r="D101" s="50"/>
      <c r="E101" s="271"/>
      <c r="F101" s="271"/>
      <c r="G101" s="271"/>
      <c r="H101" s="273"/>
      <c r="I101" s="273"/>
      <c r="J101" s="273"/>
      <c r="K101" s="273"/>
      <c r="L101" s="273"/>
    </row>
    <row r="102" spans="2:12" x14ac:dyDescent="0.3">
      <c r="B102" s="50"/>
      <c r="C102" s="50"/>
      <c r="D102" s="50"/>
      <c r="E102" s="271"/>
      <c r="F102" s="271"/>
      <c r="G102" s="271"/>
      <c r="H102" s="273"/>
      <c r="I102" s="273"/>
      <c r="J102" s="273"/>
      <c r="K102" s="273"/>
      <c r="L102" s="273"/>
    </row>
    <row r="103" spans="2:12" x14ac:dyDescent="0.3">
      <c r="B103" s="50"/>
      <c r="C103" s="50"/>
      <c r="D103" s="50"/>
      <c r="E103" s="271"/>
      <c r="F103" s="271"/>
      <c r="G103" s="271"/>
      <c r="H103" s="273"/>
      <c r="I103" s="273"/>
      <c r="J103" s="273"/>
      <c r="K103" s="273"/>
      <c r="L103" s="273"/>
    </row>
    <row r="104" spans="2:12" x14ac:dyDescent="0.3">
      <c r="B104" s="50"/>
      <c r="C104" s="50"/>
      <c r="D104" s="50"/>
      <c r="E104" s="271"/>
      <c r="F104" s="271"/>
      <c r="G104" s="271"/>
      <c r="H104" s="273"/>
      <c r="I104" s="273"/>
      <c r="J104" s="273"/>
      <c r="K104" s="273"/>
      <c r="L104" s="273"/>
    </row>
    <row r="105" spans="2:12" x14ac:dyDescent="0.3">
      <c r="B105" s="50"/>
      <c r="C105" s="50"/>
      <c r="D105" s="50"/>
      <c r="E105" s="271"/>
      <c r="F105" s="271"/>
      <c r="G105" s="271"/>
      <c r="H105" s="273"/>
      <c r="I105" s="273"/>
      <c r="J105" s="273"/>
      <c r="K105" s="273"/>
      <c r="L105" s="273"/>
    </row>
    <row r="106" spans="2:12" x14ac:dyDescent="0.3">
      <c r="B106" s="50"/>
      <c r="C106" s="50"/>
      <c r="D106" s="50"/>
      <c r="E106" s="271"/>
      <c r="F106" s="271"/>
      <c r="G106" s="271"/>
      <c r="H106" s="273"/>
      <c r="I106" s="273"/>
      <c r="J106" s="273"/>
      <c r="K106" s="273"/>
      <c r="L106" s="273"/>
    </row>
    <row r="107" spans="2:12" x14ac:dyDescent="0.3">
      <c r="B107" s="50"/>
      <c r="C107" s="50"/>
      <c r="D107" s="50"/>
      <c r="E107" s="271"/>
      <c r="F107" s="271"/>
      <c r="G107" s="271"/>
      <c r="H107" s="273"/>
      <c r="I107" s="273"/>
      <c r="J107" s="273"/>
      <c r="K107" s="273"/>
      <c r="L107" s="273"/>
    </row>
    <row r="108" spans="2:12" x14ac:dyDescent="0.3">
      <c r="B108" s="50"/>
      <c r="C108" s="50"/>
      <c r="D108" s="50"/>
      <c r="E108" s="271"/>
      <c r="F108" s="271"/>
      <c r="G108" s="271"/>
      <c r="H108" s="273"/>
      <c r="I108" s="273"/>
      <c r="J108" s="273"/>
      <c r="K108" s="273"/>
      <c r="L108" s="273"/>
    </row>
    <row r="109" spans="2:12" x14ac:dyDescent="0.3">
      <c r="B109" s="50"/>
      <c r="C109" s="50"/>
      <c r="D109" s="50"/>
      <c r="E109" s="271"/>
      <c r="F109" s="271"/>
      <c r="G109" s="271"/>
      <c r="H109" s="273"/>
      <c r="I109" s="273"/>
      <c r="J109" s="273"/>
      <c r="K109" s="273"/>
      <c r="L109" s="273"/>
    </row>
    <row r="110" spans="2:12" x14ac:dyDescent="0.3">
      <c r="B110" s="50"/>
      <c r="C110" s="50"/>
      <c r="D110" s="50"/>
      <c r="E110" s="271"/>
      <c r="F110" s="271"/>
      <c r="G110" s="271"/>
      <c r="H110" s="273"/>
      <c r="I110" s="273"/>
      <c r="J110" s="273"/>
      <c r="K110" s="273"/>
      <c r="L110" s="273"/>
    </row>
    <row r="111" spans="2:12" x14ac:dyDescent="0.3">
      <c r="B111" s="50"/>
      <c r="C111" s="50"/>
      <c r="D111" s="50"/>
      <c r="E111" s="271"/>
      <c r="F111" s="271"/>
      <c r="G111" s="271"/>
      <c r="H111" s="273"/>
      <c r="I111" s="273"/>
      <c r="J111" s="273"/>
      <c r="K111" s="273"/>
      <c r="L111" s="273"/>
    </row>
    <row r="112" spans="2:12" x14ac:dyDescent="0.3">
      <c r="B112" s="50"/>
      <c r="C112" s="50"/>
      <c r="D112" s="50"/>
      <c r="E112" s="271"/>
      <c r="F112" s="271"/>
      <c r="G112" s="271"/>
      <c r="H112" s="273"/>
      <c r="I112" s="273"/>
      <c r="J112" s="273"/>
      <c r="K112" s="273"/>
      <c r="L112" s="273"/>
    </row>
    <row r="113" spans="2:12" x14ac:dyDescent="0.3">
      <c r="B113" s="50"/>
      <c r="C113" s="50"/>
      <c r="D113" s="50"/>
      <c r="E113" s="271"/>
      <c r="F113" s="271"/>
      <c r="G113" s="271"/>
      <c r="H113" s="273"/>
      <c r="I113" s="273"/>
      <c r="J113" s="273"/>
      <c r="K113" s="273"/>
      <c r="L113" s="273"/>
    </row>
    <row r="114" spans="2:12" x14ac:dyDescent="0.3">
      <c r="B114" s="50"/>
      <c r="C114" s="50"/>
      <c r="D114" s="50"/>
      <c r="E114" s="271"/>
      <c r="F114" s="271"/>
      <c r="G114" s="271"/>
      <c r="H114" s="273"/>
      <c r="I114" s="273"/>
      <c r="J114" s="273"/>
      <c r="K114" s="273"/>
      <c r="L114" s="273"/>
    </row>
    <row r="115" spans="2:12" x14ac:dyDescent="0.3">
      <c r="B115" s="50"/>
      <c r="C115" s="50"/>
      <c r="D115" s="50"/>
      <c r="E115" s="271"/>
      <c r="F115" s="271"/>
      <c r="G115" s="271"/>
      <c r="H115" s="273"/>
      <c r="I115" s="273"/>
      <c r="J115" s="273"/>
      <c r="K115" s="273"/>
      <c r="L115" s="273"/>
    </row>
    <row r="116" spans="2:12" x14ac:dyDescent="0.3">
      <c r="B116" s="50"/>
      <c r="C116" s="50"/>
      <c r="D116" s="50"/>
      <c r="E116" s="271"/>
      <c r="F116" s="271"/>
      <c r="G116" s="271"/>
      <c r="H116" s="273"/>
      <c r="I116" s="273"/>
      <c r="J116" s="273"/>
      <c r="K116" s="273"/>
      <c r="L116" s="273"/>
    </row>
    <row r="117" spans="2:12" x14ac:dyDescent="0.3">
      <c r="B117" s="50"/>
      <c r="C117" s="50"/>
      <c r="D117" s="50"/>
      <c r="E117" s="271"/>
      <c r="F117" s="271"/>
      <c r="G117" s="271"/>
      <c r="H117" s="273"/>
      <c r="I117" s="273"/>
      <c r="J117" s="273"/>
      <c r="K117" s="273"/>
      <c r="L117" s="273"/>
    </row>
    <row r="118" spans="2:12" x14ac:dyDescent="0.3">
      <c r="B118" s="50"/>
      <c r="C118" s="50"/>
      <c r="D118" s="50"/>
      <c r="E118" s="271"/>
      <c r="F118" s="271"/>
      <c r="G118" s="271"/>
      <c r="H118" s="273"/>
      <c r="I118" s="273"/>
      <c r="J118" s="273"/>
      <c r="K118" s="273"/>
      <c r="L118" s="273"/>
    </row>
    <row r="119" spans="2:12" x14ac:dyDescent="0.3">
      <c r="B119" s="50"/>
      <c r="C119" s="50"/>
      <c r="D119" s="50"/>
      <c r="E119" s="271"/>
      <c r="F119" s="271"/>
      <c r="G119" s="271"/>
      <c r="H119" s="273"/>
      <c r="I119" s="273"/>
      <c r="J119" s="273"/>
      <c r="K119" s="273"/>
      <c r="L119" s="273"/>
    </row>
    <row r="120" spans="2:12" x14ac:dyDescent="0.3">
      <c r="B120" s="50"/>
      <c r="C120" s="50"/>
      <c r="D120" s="50"/>
      <c r="E120" s="271"/>
      <c r="F120" s="271"/>
      <c r="G120" s="271"/>
      <c r="H120" s="273"/>
      <c r="I120" s="273"/>
      <c r="J120" s="273"/>
      <c r="K120" s="273"/>
      <c r="L120" s="273"/>
    </row>
    <row r="121" spans="2:12" x14ac:dyDescent="0.3">
      <c r="B121" s="50"/>
      <c r="C121" s="50"/>
      <c r="D121" s="50"/>
      <c r="E121" s="271"/>
      <c r="F121" s="271"/>
      <c r="G121" s="271"/>
      <c r="H121" s="273"/>
      <c r="I121" s="273"/>
      <c r="J121" s="273"/>
      <c r="K121" s="273"/>
      <c r="L121" s="273"/>
    </row>
    <row r="122" spans="2:12" x14ac:dyDescent="0.3">
      <c r="B122" s="50"/>
      <c r="C122" s="50"/>
      <c r="D122" s="50"/>
      <c r="E122" s="271"/>
      <c r="F122" s="271"/>
      <c r="G122" s="271"/>
      <c r="H122" s="273"/>
      <c r="I122" s="273"/>
      <c r="J122" s="273"/>
      <c r="K122" s="273"/>
      <c r="L122" s="273"/>
    </row>
    <row r="123" spans="2:12" x14ac:dyDescent="0.3">
      <c r="B123" s="50"/>
      <c r="C123" s="50"/>
      <c r="D123" s="50"/>
      <c r="E123" s="271"/>
      <c r="F123" s="271"/>
      <c r="G123" s="271"/>
      <c r="H123" s="273"/>
      <c r="I123" s="273"/>
      <c r="J123" s="273"/>
      <c r="K123" s="273"/>
      <c r="L123" s="273"/>
    </row>
    <row r="124" spans="2:12" x14ac:dyDescent="0.3">
      <c r="B124" s="50"/>
      <c r="C124" s="50"/>
      <c r="D124" s="50"/>
      <c r="E124" s="271"/>
      <c r="F124" s="271"/>
      <c r="G124" s="271"/>
      <c r="H124" s="273"/>
      <c r="I124" s="273"/>
      <c r="J124" s="273"/>
      <c r="K124" s="273"/>
      <c r="L124" s="273"/>
    </row>
    <row r="125" spans="2:12" x14ac:dyDescent="0.3">
      <c r="B125" s="50"/>
      <c r="C125" s="50"/>
      <c r="D125" s="50"/>
      <c r="E125" s="271"/>
      <c r="F125" s="271"/>
      <c r="G125" s="271"/>
      <c r="H125" s="273"/>
      <c r="I125" s="273"/>
      <c r="J125" s="273"/>
      <c r="K125" s="273"/>
      <c r="L125" s="273"/>
    </row>
    <row r="126" spans="2:12" x14ac:dyDescent="0.3">
      <c r="B126" s="50"/>
      <c r="C126" s="50"/>
      <c r="D126" s="50"/>
      <c r="E126" s="271"/>
      <c r="F126" s="271"/>
      <c r="G126" s="271"/>
      <c r="H126" s="273"/>
      <c r="I126" s="273"/>
      <c r="J126" s="273"/>
      <c r="K126" s="273"/>
      <c r="L126" s="273"/>
    </row>
    <row r="127" spans="2:12" x14ac:dyDescent="0.3">
      <c r="B127" s="50"/>
      <c r="C127" s="50"/>
      <c r="D127" s="50"/>
      <c r="E127" s="271"/>
      <c r="F127" s="271"/>
      <c r="G127" s="271"/>
      <c r="H127" s="273"/>
      <c r="I127" s="273"/>
      <c r="J127" s="273"/>
      <c r="K127" s="273"/>
      <c r="L127" s="273"/>
    </row>
    <row r="128" spans="2:12" x14ac:dyDescent="0.3">
      <c r="B128" s="50"/>
      <c r="C128" s="50"/>
      <c r="D128" s="50"/>
      <c r="E128" s="271"/>
      <c r="F128" s="271"/>
      <c r="G128" s="271"/>
      <c r="H128" s="273"/>
      <c r="I128" s="273"/>
      <c r="J128" s="273"/>
      <c r="K128" s="273"/>
      <c r="L128" s="273"/>
    </row>
    <row r="129" spans="2:12" x14ac:dyDescent="0.3">
      <c r="B129" s="50"/>
      <c r="C129" s="50"/>
      <c r="D129" s="50"/>
      <c r="E129" s="271"/>
      <c r="F129" s="271"/>
      <c r="G129" s="271"/>
      <c r="H129" s="273"/>
      <c r="I129" s="273"/>
      <c r="J129" s="273"/>
      <c r="K129" s="273"/>
      <c r="L129" s="273"/>
    </row>
    <row r="130" spans="2:12" x14ac:dyDescent="0.3">
      <c r="B130" s="50"/>
      <c r="C130" s="50"/>
      <c r="D130" s="50"/>
      <c r="E130" s="271"/>
      <c r="F130" s="271"/>
      <c r="G130" s="271"/>
      <c r="H130" s="273"/>
      <c r="I130" s="273"/>
      <c r="J130" s="273"/>
      <c r="K130" s="273"/>
      <c r="L130" s="273"/>
    </row>
    <row r="131" spans="2:12" x14ac:dyDescent="0.3">
      <c r="B131" s="50"/>
      <c r="C131" s="50"/>
      <c r="D131" s="50"/>
      <c r="E131" s="271"/>
      <c r="F131" s="271"/>
      <c r="G131" s="271"/>
      <c r="H131" s="273"/>
      <c r="I131" s="273"/>
      <c r="J131" s="273"/>
      <c r="K131" s="273"/>
      <c r="L131" s="273"/>
    </row>
    <row r="132" spans="2:12" x14ac:dyDescent="0.3">
      <c r="B132" s="50"/>
      <c r="C132" s="50"/>
      <c r="D132" s="50"/>
      <c r="E132" s="271"/>
      <c r="F132" s="271"/>
      <c r="G132" s="271"/>
      <c r="H132" s="273"/>
      <c r="I132" s="273"/>
      <c r="J132" s="273"/>
      <c r="K132" s="273"/>
      <c r="L132" s="273"/>
    </row>
    <row r="133" spans="2:12" x14ac:dyDescent="0.3">
      <c r="B133" s="50"/>
      <c r="C133" s="50"/>
      <c r="D133" s="50"/>
      <c r="E133" s="271"/>
      <c r="F133" s="271"/>
      <c r="G133" s="271"/>
      <c r="H133" s="273"/>
      <c r="I133" s="273"/>
      <c r="J133" s="273"/>
      <c r="K133" s="273"/>
      <c r="L133" s="273"/>
    </row>
    <row r="134" spans="2:12" x14ac:dyDescent="0.3">
      <c r="B134" s="50"/>
      <c r="C134" s="50"/>
      <c r="D134" s="50"/>
      <c r="E134" s="271"/>
      <c r="F134" s="271"/>
      <c r="G134" s="271"/>
      <c r="H134" s="273"/>
      <c r="I134" s="273"/>
      <c r="J134" s="273"/>
      <c r="K134" s="273"/>
      <c r="L134" s="273"/>
    </row>
    <row r="135" spans="2:12" x14ac:dyDescent="0.3">
      <c r="B135" s="50"/>
      <c r="C135" s="50"/>
      <c r="D135" s="50"/>
      <c r="E135" s="271"/>
      <c r="F135" s="271"/>
      <c r="G135" s="271"/>
      <c r="H135" s="273"/>
      <c r="I135" s="273"/>
      <c r="J135" s="273"/>
      <c r="K135" s="273"/>
      <c r="L135" s="273"/>
    </row>
    <row r="136" spans="2:12" x14ac:dyDescent="0.3">
      <c r="B136" s="50"/>
      <c r="C136" s="50"/>
      <c r="D136" s="50"/>
      <c r="E136" s="271"/>
      <c r="F136" s="271"/>
      <c r="G136" s="271"/>
      <c r="H136" s="273"/>
      <c r="I136" s="273"/>
      <c r="J136" s="273"/>
      <c r="K136" s="273"/>
      <c r="L136" s="273"/>
    </row>
    <row r="137" spans="2:12" x14ac:dyDescent="0.3">
      <c r="B137" s="50"/>
      <c r="C137" s="50"/>
      <c r="D137" s="50"/>
      <c r="E137" s="271"/>
      <c r="F137" s="271"/>
      <c r="G137" s="271"/>
      <c r="H137" s="273"/>
      <c r="I137" s="273"/>
      <c r="J137" s="273"/>
      <c r="K137" s="273"/>
      <c r="L137" s="273"/>
    </row>
    <row r="138" spans="2:12" x14ac:dyDescent="0.3">
      <c r="B138" s="50"/>
      <c r="C138" s="50"/>
      <c r="D138" s="50"/>
      <c r="E138" s="271"/>
      <c r="F138" s="271"/>
      <c r="G138" s="271"/>
      <c r="H138" s="273"/>
      <c r="I138" s="273"/>
      <c r="J138" s="273"/>
      <c r="K138" s="273"/>
      <c r="L138" s="273"/>
    </row>
    <row r="139" spans="2:12" x14ac:dyDescent="0.3">
      <c r="B139" s="50"/>
      <c r="C139" s="50"/>
      <c r="D139" s="50"/>
      <c r="E139" s="271"/>
      <c r="F139" s="271"/>
      <c r="G139" s="271"/>
      <c r="H139" s="273"/>
      <c r="I139" s="273"/>
      <c r="J139" s="273"/>
      <c r="K139" s="273"/>
      <c r="L139" s="273"/>
    </row>
    <row r="140" spans="2:12" x14ac:dyDescent="0.3">
      <c r="B140" s="50"/>
      <c r="C140" s="50"/>
      <c r="D140" s="50"/>
      <c r="E140" s="271"/>
      <c r="F140" s="271"/>
      <c r="G140" s="271"/>
      <c r="H140" s="273"/>
      <c r="I140" s="273"/>
      <c r="J140" s="273"/>
      <c r="K140" s="273"/>
      <c r="L140" s="273"/>
    </row>
    <row r="141" spans="2:12" x14ac:dyDescent="0.3">
      <c r="B141" s="50"/>
      <c r="C141" s="50"/>
      <c r="D141" s="50"/>
      <c r="E141" s="271"/>
      <c r="F141" s="271"/>
      <c r="G141" s="271"/>
      <c r="H141" s="273"/>
      <c r="I141" s="273"/>
      <c r="J141" s="273"/>
      <c r="K141" s="273"/>
      <c r="L141" s="273"/>
    </row>
    <row r="142" spans="2:12" x14ac:dyDescent="0.3">
      <c r="B142" s="50"/>
      <c r="C142" s="50"/>
      <c r="D142" s="50"/>
      <c r="E142" s="271"/>
      <c r="F142" s="271"/>
      <c r="G142" s="271"/>
      <c r="H142" s="273"/>
      <c r="I142" s="273"/>
      <c r="J142" s="273"/>
      <c r="K142" s="273"/>
      <c r="L142" s="273"/>
    </row>
    <row r="143" spans="2:12" x14ac:dyDescent="0.3">
      <c r="B143" s="50"/>
      <c r="C143" s="50"/>
      <c r="D143" s="50"/>
      <c r="E143" s="271"/>
      <c r="F143" s="271"/>
      <c r="G143" s="271"/>
      <c r="H143" s="273"/>
      <c r="I143" s="273"/>
      <c r="J143" s="273"/>
      <c r="K143" s="273"/>
      <c r="L143" s="273"/>
    </row>
    <row r="144" spans="2:12" x14ac:dyDescent="0.3">
      <c r="B144" s="50"/>
      <c r="C144" s="50"/>
      <c r="D144" s="50"/>
      <c r="E144" s="271"/>
      <c r="F144" s="271"/>
      <c r="G144" s="271"/>
      <c r="H144" s="273"/>
      <c r="I144" s="273"/>
      <c r="J144" s="273"/>
      <c r="K144" s="273"/>
      <c r="L144" s="273"/>
    </row>
    <row r="145" spans="2:12" x14ac:dyDescent="0.3">
      <c r="B145" s="50"/>
      <c r="C145" s="50"/>
      <c r="D145" s="50"/>
      <c r="E145" s="271"/>
      <c r="F145" s="271"/>
      <c r="G145" s="271"/>
      <c r="H145" s="273"/>
      <c r="I145" s="273"/>
      <c r="J145" s="273"/>
      <c r="K145" s="273"/>
      <c r="L145" s="273"/>
    </row>
    <row r="146" spans="2:12" x14ac:dyDescent="0.3">
      <c r="B146" s="50"/>
      <c r="C146" s="50"/>
      <c r="D146" s="50"/>
      <c r="E146" s="271"/>
      <c r="F146" s="271"/>
      <c r="G146" s="271"/>
      <c r="H146" s="273"/>
      <c r="I146" s="273"/>
      <c r="J146" s="273"/>
      <c r="K146" s="273"/>
      <c r="L146" s="273"/>
    </row>
    <row r="147" spans="2:12" x14ac:dyDescent="0.3">
      <c r="B147" s="50"/>
      <c r="C147" s="50"/>
      <c r="D147" s="50"/>
      <c r="E147" s="271"/>
      <c r="F147" s="271"/>
      <c r="G147" s="271"/>
      <c r="H147" s="273"/>
      <c r="I147" s="273"/>
      <c r="J147" s="273"/>
      <c r="K147" s="273"/>
      <c r="L147" s="273"/>
    </row>
    <row r="148" spans="2:12" x14ac:dyDescent="0.3">
      <c r="B148" s="50"/>
      <c r="C148" s="50"/>
      <c r="D148" s="50"/>
      <c r="E148" s="271"/>
      <c r="F148" s="271"/>
      <c r="G148" s="271"/>
      <c r="H148" s="273"/>
      <c r="I148" s="273"/>
      <c r="J148" s="273"/>
      <c r="K148" s="273"/>
      <c r="L148" s="273"/>
    </row>
    <row r="149" spans="2:12" x14ac:dyDescent="0.3">
      <c r="B149" s="50"/>
      <c r="C149" s="50"/>
      <c r="D149" s="50"/>
      <c r="E149" s="271"/>
      <c r="F149" s="271"/>
      <c r="G149" s="271"/>
      <c r="H149" s="273"/>
      <c r="I149" s="273"/>
      <c r="J149" s="273"/>
      <c r="K149" s="273"/>
      <c r="L149" s="273"/>
    </row>
    <row r="150" spans="2:12" x14ac:dyDescent="0.3">
      <c r="B150" s="50"/>
      <c r="C150" s="50"/>
      <c r="D150" s="50"/>
      <c r="E150" s="271"/>
      <c r="F150" s="271"/>
      <c r="G150" s="271"/>
      <c r="H150" s="273"/>
      <c r="I150" s="273"/>
      <c r="J150" s="273"/>
      <c r="K150" s="273"/>
      <c r="L150" s="273"/>
    </row>
    <row r="151" spans="2:12" x14ac:dyDescent="0.3">
      <c r="B151" s="50"/>
      <c r="C151" s="50"/>
      <c r="D151" s="50"/>
      <c r="E151" s="271"/>
      <c r="F151" s="271"/>
      <c r="G151" s="271"/>
      <c r="H151" s="273"/>
      <c r="I151" s="273"/>
      <c r="J151" s="273"/>
      <c r="K151" s="273"/>
      <c r="L151" s="273"/>
    </row>
    <row r="152" spans="2:12" x14ac:dyDescent="0.3">
      <c r="B152" s="50"/>
      <c r="C152" s="50"/>
      <c r="D152" s="50"/>
      <c r="E152" s="271"/>
      <c r="F152" s="271"/>
      <c r="G152" s="271"/>
      <c r="H152" s="273"/>
      <c r="I152" s="273"/>
      <c r="J152" s="273"/>
      <c r="K152" s="273"/>
      <c r="L152" s="273"/>
    </row>
    <row r="153" spans="2:12" x14ac:dyDescent="0.3">
      <c r="B153" s="50"/>
      <c r="C153" s="50"/>
      <c r="D153" s="50"/>
      <c r="E153" s="271"/>
      <c r="F153" s="271"/>
      <c r="G153" s="271"/>
      <c r="H153" s="273"/>
      <c r="I153" s="273"/>
      <c r="J153" s="273"/>
      <c r="K153" s="273"/>
      <c r="L153" s="273"/>
    </row>
    <row r="154" spans="2:12" x14ac:dyDescent="0.3">
      <c r="B154" s="50"/>
      <c r="C154" s="50"/>
      <c r="D154" s="50"/>
      <c r="E154" s="271"/>
      <c r="F154" s="271"/>
      <c r="G154" s="271"/>
      <c r="H154" s="273"/>
      <c r="I154" s="273"/>
      <c r="J154" s="273"/>
      <c r="K154" s="273"/>
      <c r="L154" s="273"/>
    </row>
    <row r="155" spans="2:12" x14ac:dyDescent="0.3">
      <c r="B155" s="50"/>
      <c r="C155" s="50"/>
      <c r="D155" s="50"/>
      <c r="E155" s="271"/>
      <c r="F155" s="271"/>
      <c r="G155" s="271"/>
      <c r="H155" s="273"/>
      <c r="I155" s="273"/>
      <c r="J155" s="273"/>
      <c r="K155" s="273"/>
      <c r="L155" s="273"/>
    </row>
    <row r="156" spans="2:12" x14ac:dyDescent="0.3">
      <c r="B156" s="50"/>
      <c r="C156" s="50"/>
      <c r="D156" s="50"/>
      <c r="E156" s="271"/>
      <c r="F156" s="271"/>
      <c r="G156" s="271"/>
      <c r="H156" s="273"/>
      <c r="I156" s="273"/>
      <c r="J156" s="273"/>
      <c r="K156" s="273"/>
      <c r="L156" s="273"/>
    </row>
    <row r="157" spans="2:12" x14ac:dyDescent="0.3">
      <c r="B157" s="50"/>
      <c r="C157" s="50"/>
      <c r="D157" s="50"/>
      <c r="E157" s="271"/>
      <c r="F157" s="271"/>
      <c r="G157" s="271"/>
      <c r="H157" s="273"/>
      <c r="I157" s="273"/>
      <c r="J157" s="273"/>
      <c r="K157" s="273"/>
      <c r="L157" s="273"/>
    </row>
    <row r="158" spans="2:12" x14ac:dyDescent="0.3">
      <c r="B158" s="50"/>
      <c r="C158" s="50"/>
      <c r="D158" s="50"/>
      <c r="E158" s="271"/>
      <c r="F158" s="271"/>
      <c r="G158" s="271"/>
      <c r="H158" s="273"/>
      <c r="I158" s="273"/>
      <c r="J158" s="273"/>
      <c r="K158" s="273"/>
      <c r="L158" s="273"/>
    </row>
    <row r="159" spans="2:12" x14ac:dyDescent="0.3">
      <c r="B159" s="50"/>
      <c r="C159" s="50"/>
      <c r="D159" s="50"/>
      <c r="E159" s="271"/>
      <c r="F159" s="271"/>
      <c r="G159" s="271"/>
      <c r="H159" s="273"/>
      <c r="I159" s="273"/>
      <c r="J159" s="273"/>
      <c r="K159" s="273"/>
      <c r="L159" s="273"/>
    </row>
    <row r="160" spans="2:12" x14ac:dyDescent="0.3">
      <c r="B160" s="50"/>
      <c r="C160" s="50"/>
      <c r="D160" s="50"/>
      <c r="E160" s="271"/>
      <c r="F160" s="271"/>
      <c r="G160" s="271"/>
      <c r="H160" s="273"/>
      <c r="I160" s="273"/>
      <c r="J160" s="273"/>
      <c r="K160" s="273"/>
      <c r="L160" s="273"/>
    </row>
    <row r="161" spans="2:12" x14ac:dyDescent="0.3">
      <c r="B161" s="50"/>
      <c r="C161" s="50"/>
      <c r="D161" s="50"/>
      <c r="E161" s="271"/>
      <c r="F161" s="271"/>
      <c r="G161" s="271"/>
      <c r="H161" s="273"/>
      <c r="I161" s="273"/>
      <c r="J161" s="273"/>
      <c r="K161" s="273"/>
      <c r="L161" s="273"/>
    </row>
    <row r="162" spans="2:12" x14ac:dyDescent="0.3">
      <c r="B162" s="50"/>
      <c r="C162" s="50"/>
      <c r="D162" s="50"/>
      <c r="E162" s="271"/>
      <c r="F162" s="271"/>
      <c r="G162" s="271"/>
      <c r="H162" s="273"/>
      <c r="I162" s="273"/>
      <c r="J162" s="273"/>
      <c r="K162" s="273"/>
      <c r="L162" s="273"/>
    </row>
    <row r="163" spans="2:12" x14ac:dyDescent="0.3">
      <c r="B163" s="50"/>
      <c r="C163" s="50"/>
      <c r="D163" s="50"/>
      <c r="E163" s="271"/>
      <c r="F163" s="271"/>
      <c r="G163" s="271"/>
      <c r="H163" s="273"/>
      <c r="I163" s="273"/>
      <c r="J163" s="273"/>
      <c r="K163" s="273"/>
      <c r="L163" s="273"/>
    </row>
    <row r="164" spans="2:12" x14ac:dyDescent="0.3">
      <c r="B164" s="50"/>
      <c r="C164" s="50"/>
      <c r="D164" s="50"/>
      <c r="E164" s="271"/>
      <c r="F164" s="271"/>
      <c r="G164" s="271"/>
      <c r="H164" s="273"/>
      <c r="I164" s="273"/>
      <c r="J164" s="273"/>
      <c r="K164" s="273"/>
      <c r="L164" s="273"/>
    </row>
    <row r="165" spans="2:12" x14ac:dyDescent="0.3">
      <c r="B165" s="50"/>
      <c r="C165" s="50"/>
      <c r="D165" s="50"/>
      <c r="E165" s="271"/>
      <c r="F165" s="271"/>
      <c r="G165" s="271"/>
      <c r="H165" s="273"/>
      <c r="I165" s="273"/>
      <c r="J165" s="273"/>
      <c r="K165" s="273"/>
      <c r="L165" s="273"/>
    </row>
    <row r="166" spans="2:12" x14ac:dyDescent="0.3">
      <c r="B166" s="50"/>
      <c r="C166" s="50"/>
      <c r="D166" s="50"/>
      <c r="E166" s="271"/>
      <c r="F166" s="271"/>
      <c r="G166" s="271"/>
      <c r="H166" s="273"/>
      <c r="I166" s="273"/>
      <c r="J166" s="273"/>
      <c r="K166" s="273"/>
      <c r="L166" s="273"/>
    </row>
    <row r="167" spans="2:12" x14ac:dyDescent="0.3">
      <c r="B167" s="50"/>
      <c r="C167" s="50"/>
      <c r="D167" s="50"/>
      <c r="E167" s="271"/>
      <c r="F167" s="271"/>
      <c r="G167" s="271"/>
      <c r="H167" s="273"/>
      <c r="I167" s="273"/>
      <c r="J167" s="273"/>
      <c r="K167" s="273"/>
      <c r="L167" s="273"/>
    </row>
    <row r="168" spans="2:12" x14ac:dyDescent="0.3">
      <c r="B168" s="50"/>
      <c r="C168" s="50"/>
      <c r="D168" s="50"/>
      <c r="E168" s="271"/>
      <c r="F168" s="271"/>
      <c r="G168" s="271"/>
      <c r="H168" s="273"/>
      <c r="I168" s="273"/>
      <c r="J168" s="273"/>
      <c r="K168" s="273"/>
      <c r="L168" s="273"/>
    </row>
    <row r="169" spans="2:12" x14ac:dyDescent="0.3">
      <c r="B169" s="50"/>
      <c r="C169" s="50"/>
      <c r="D169" s="50"/>
      <c r="E169" s="271"/>
      <c r="F169" s="271"/>
      <c r="G169" s="271"/>
      <c r="H169" s="273"/>
      <c r="I169" s="273"/>
      <c r="J169" s="273"/>
      <c r="K169" s="273"/>
      <c r="L169" s="273"/>
    </row>
    <row r="170" spans="2:12" x14ac:dyDescent="0.3">
      <c r="B170" s="50"/>
      <c r="C170" s="50"/>
      <c r="D170" s="50"/>
      <c r="E170" s="271"/>
      <c r="F170" s="271"/>
      <c r="G170" s="271"/>
      <c r="H170" s="273"/>
      <c r="I170" s="273"/>
      <c r="J170" s="273"/>
      <c r="K170" s="273"/>
      <c r="L170" s="273"/>
    </row>
    <row r="171" spans="2:12" x14ac:dyDescent="0.3">
      <c r="B171" s="50"/>
      <c r="C171" s="50"/>
      <c r="D171" s="50"/>
      <c r="E171" s="271"/>
      <c r="F171" s="271"/>
      <c r="G171" s="271"/>
      <c r="H171" s="273"/>
      <c r="I171" s="273"/>
      <c r="J171" s="273"/>
      <c r="K171" s="273"/>
      <c r="L171" s="273"/>
    </row>
    <row r="172" spans="2:12" x14ac:dyDescent="0.3">
      <c r="B172" s="50"/>
      <c r="C172" s="50"/>
      <c r="D172" s="50"/>
      <c r="E172" s="271"/>
      <c r="F172" s="271"/>
      <c r="G172" s="271"/>
      <c r="H172" s="273"/>
      <c r="I172" s="273"/>
      <c r="J172" s="273"/>
      <c r="K172" s="273"/>
      <c r="L172" s="273"/>
    </row>
    <row r="173" spans="2:12" x14ac:dyDescent="0.3">
      <c r="B173" s="50"/>
      <c r="C173" s="50"/>
      <c r="D173" s="50"/>
      <c r="E173" s="271"/>
      <c r="F173" s="271"/>
      <c r="G173" s="271"/>
      <c r="H173" s="273"/>
      <c r="I173" s="273"/>
      <c r="J173" s="273"/>
      <c r="K173" s="273"/>
      <c r="L173" s="273"/>
    </row>
    <row r="174" spans="2:12" x14ac:dyDescent="0.3">
      <c r="B174" s="50"/>
      <c r="C174" s="50"/>
      <c r="D174" s="50"/>
      <c r="E174" s="271"/>
      <c r="F174" s="271"/>
      <c r="G174" s="271"/>
      <c r="H174" s="273"/>
      <c r="I174" s="273"/>
      <c r="J174" s="273"/>
      <c r="K174" s="273"/>
      <c r="L174" s="273"/>
    </row>
    <row r="175" spans="2:12" x14ac:dyDescent="0.3">
      <c r="B175" s="50"/>
      <c r="C175" s="50"/>
      <c r="D175" s="50"/>
      <c r="E175" s="271"/>
      <c r="F175" s="271"/>
      <c r="G175" s="271"/>
      <c r="H175" s="273"/>
      <c r="I175" s="273"/>
      <c r="J175" s="273"/>
      <c r="K175" s="273"/>
      <c r="L175" s="273"/>
    </row>
    <row r="176" spans="2:12" x14ac:dyDescent="0.3">
      <c r="B176" s="50"/>
      <c r="C176" s="50"/>
      <c r="D176" s="50"/>
      <c r="E176" s="271"/>
      <c r="F176" s="271"/>
      <c r="G176" s="271"/>
      <c r="H176" s="273"/>
      <c r="I176" s="273"/>
      <c r="J176" s="273"/>
      <c r="K176" s="273"/>
      <c r="L176" s="273"/>
    </row>
    <row r="177" spans="2:12" x14ac:dyDescent="0.3">
      <c r="B177" s="50"/>
      <c r="C177" s="50"/>
      <c r="D177" s="50"/>
      <c r="E177" s="271"/>
      <c r="F177" s="271"/>
      <c r="G177" s="271"/>
      <c r="H177" s="273"/>
      <c r="I177" s="273"/>
      <c r="J177" s="273"/>
      <c r="K177" s="273"/>
      <c r="L177" s="273"/>
    </row>
    <row r="178" spans="2:12" x14ac:dyDescent="0.3">
      <c r="B178" s="50"/>
      <c r="C178" s="50"/>
      <c r="D178" s="50"/>
      <c r="E178" s="271"/>
      <c r="F178" s="271"/>
      <c r="G178" s="271"/>
      <c r="H178" s="273"/>
      <c r="I178" s="273"/>
      <c r="J178" s="273"/>
      <c r="K178" s="273"/>
      <c r="L178" s="273"/>
    </row>
    <row r="179" spans="2:12" x14ac:dyDescent="0.3">
      <c r="B179" s="50"/>
      <c r="C179" s="50"/>
      <c r="D179" s="50"/>
      <c r="E179" s="271"/>
      <c r="F179" s="271"/>
      <c r="G179" s="271"/>
      <c r="H179" s="273"/>
      <c r="I179" s="273"/>
      <c r="J179" s="273"/>
      <c r="K179" s="273"/>
      <c r="L179" s="273"/>
    </row>
    <row r="180" spans="2:12" x14ac:dyDescent="0.3">
      <c r="B180" s="50"/>
      <c r="C180" s="50"/>
      <c r="D180" s="50"/>
      <c r="E180" s="271"/>
      <c r="F180" s="271"/>
      <c r="G180" s="271"/>
      <c r="H180" s="273"/>
      <c r="I180" s="273"/>
      <c r="J180" s="273"/>
      <c r="K180" s="273"/>
      <c r="L180" s="273"/>
    </row>
    <row r="181" spans="2:12" x14ac:dyDescent="0.3">
      <c r="B181" s="50"/>
      <c r="C181" s="50"/>
      <c r="D181" s="50"/>
      <c r="E181" s="271"/>
      <c r="F181" s="271"/>
      <c r="G181" s="271"/>
      <c r="H181" s="273"/>
      <c r="I181" s="273"/>
      <c r="J181" s="273"/>
      <c r="K181" s="273"/>
      <c r="L181" s="273"/>
    </row>
    <row r="182" spans="2:12" x14ac:dyDescent="0.3">
      <c r="B182" s="50"/>
      <c r="C182" s="50"/>
      <c r="D182" s="50"/>
      <c r="E182" s="271"/>
      <c r="F182" s="271"/>
      <c r="G182" s="271"/>
      <c r="H182" s="273"/>
      <c r="I182" s="273"/>
      <c r="J182" s="273"/>
      <c r="K182" s="273"/>
      <c r="L182" s="273"/>
    </row>
    <row r="183" spans="2:12" x14ac:dyDescent="0.3">
      <c r="B183" s="50"/>
      <c r="C183" s="50"/>
      <c r="D183" s="50"/>
      <c r="E183" s="271"/>
      <c r="F183" s="271"/>
      <c r="G183" s="271"/>
      <c r="H183" s="273"/>
      <c r="I183" s="273"/>
      <c r="J183" s="273"/>
      <c r="K183" s="273"/>
      <c r="L183" s="273"/>
    </row>
    <row r="184" spans="2:12" x14ac:dyDescent="0.3">
      <c r="B184" s="50"/>
      <c r="C184" s="50"/>
      <c r="D184" s="50"/>
      <c r="E184" s="271"/>
      <c r="F184" s="271"/>
      <c r="G184" s="271"/>
      <c r="H184" s="273"/>
      <c r="I184" s="273"/>
      <c r="J184" s="273"/>
      <c r="K184" s="273"/>
      <c r="L184" s="273"/>
    </row>
    <row r="185" spans="2:12" x14ac:dyDescent="0.3">
      <c r="B185" s="50"/>
      <c r="C185" s="50"/>
      <c r="D185" s="50"/>
      <c r="E185" s="271"/>
      <c r="F185" s="271"/>
      <c r="G185" s="271"/>
      <c r="H185" s="273"/>
      <c r="I185" s="273"/>
      <c r="J185" s="273"/>
      <c r="K185" s="273"/>
      <c r="L185" s="273"/>
    </row>
    <row r="186" spans="2:12" x14ac:dyDescent="0.3">
      <c r="B186" s="50"/>
      <c r="C186" s="50"/>
      <c r="D186" s="50"/>
      <c r="E186" s="271"/>
      <c r="F186" s="271"/>
      <c r="G186" s="271"/>
      <c r="H186" s="273"/>
      <c r="I186" s="273"/>
      <c r="J186" s="273"/>
      <c r="K186" s="273"/>
      <c r="L186" s="273"/>
    </row>
    <row r="187" spans="2:12" x14ac:dyDescent="0.3">
      <c r="B187" s="50"/>
      <c r="C187" s="50"/>
      <c r="D187" s="50"/>
      <c r="E187" s="271"/>
      <c r="F187" s="271"/>
      <c r="G187" s="271"/>
      <c r="H187" s="273"/>
      <c r="I187" s="273"/>
      <c r="J187" s="273"/>
      <c r="K187" s="273"/>
      <c r="L187" s="273"/>
    </row>
    <row r="188" spans="2:12" x14ac:dyDescent="0.3">
      <c r="B188" s="50"/>
      <c r="C188" s="50"/>
      <c r="D188" s="50"/>
      <c r="E188" s="271"/>
      <c r="F188" s="271"/>
      <c r="G188" s="271"/>
      <c r="H188" s="273"/>
      <c r="I188" s="273"/>
      <c r="J188" s="273"/>
      <c r="K188" s="273"/>
      <c r="L188" s="273"/>
    </row>
    <row r="189" spans="2:12" x14ac:dyDescent="0.3">
      <c r="B189" s="50"/>
      <c r="C189" s="50"/>
      <c r="D189" s="50"/>
      <c r="E189" s="271"/>
      <c r="F189" s="271"/>
      <c r="G189" s="271"/>
      <c r="H189" s="273"/>
      <c r="I189" s="273"/>
      <c r="J189" s="273"/>
      <c r="K189" s="273"/>
      <c r="L189" s="273"/>
    </row>
    <row r="190" spans="2:12" x14ac:dyDescent="0.3">
      <c r="B190" s="50"/>
      <c r="C190" s="50"/>
      <c r="D190" s="50"/>
      <c r="E190" s="271"/>
      <c r="F190" s="271"/>
      <c r="G190" s="271"/>
      <c r="H190" s="273"/>
      <c r="I190" s="273"/>
      <c r="J190" s="273"/>
      <c r="K190" s="273"/>
      <c r="L190" s="273"/>
    </row>
    <row r="191" spans="2:12" x14ac:dyDescent="0.3">
      <c r="B191" s="50"/>
      <c r="C191" s="50"/>
      <c r="D191" s="50"/>
      <c r="E191" s="271"/>
      <c r="F191" s="271"/>
      <c r="G191" s="271"/>
      <c r="H191" s="273"/>
      <c r="I191" s="273"/>
      <c r="J191" s="273"/>
      <c r="K191" s="273"/>
      <c r="L191" s="273"/>
    </row>
    <row r="192" spans="2:12" x14ac:dyDescent="0.3">
      <c r="B192" s="50"/>
      <c r="C192" s="50"/>
      <c r="D192" s="50"/>
      <c r="E192" s="271"/>
      <c r="F192" s="271"/>
      <c r="G192" s="271"/>
      <c r="H192" s="273"/>
      <c r="I192" s="273"/>
      <c r="J192" s="273"/>
      <c r="K192" s="273"/>
      <c r="L192" s="273"/>
    </row>
    <row r="193" spans="2:12" x14ac:dyDescent="0.3">
      <c r="B193" s="50"/>
      <c r="C193" s="50"/>
      <c r="D193" s="50"/>
      <c r="E193" s="271"/>
      <c r="F193" s="271"/>
      <c r="G193" s="271"/>
      <c r="H193" s="273"/>
      <c r="I193" s="273"/>
      <c r="J193" s="273"/>
      <c r="K193" s="273"/>
      <c r="L193" s="273"/>
    </row>
    <row r="194" spans="2:12" x14ac:dyDescent="0.3">
      <c r="B194" s="50"/>
      <c r="C194" s="50"/>
      <c r="D194" s="50"/>
      <c r="E194" s="271"/>
      <c r="F194" s="271"/>
      <c r="G194" s="271"/>
      <c r="H194" s="273"/>
      <c r="I194" s="273"/>
      <c r="J194" s="273"/>
      <c r="K194" s="273"/>
      <c r="L194" s="273"/>
    </row>
    <row r="195" spans="2:12" x14ac:dyDescent="0.3">
      <c r="B195" s="50"/>
      <c r="C195" s="50"/>
      <c r="D195" s="50"/>
      <c r="E195" s="271"/>
      <c r="F195" s="271"/>
      <c r="G195" s="271"/>
      <c r="H195" s="273"/>
      <c r="I195" s="273"/>
      <c r="J195" s="273"/>
      <c r="K195" s="273"/>
      <c r="L195" s="273"/>
    </row>
    <row r="196" spans="2:12" x14ac:dyDescent="0.3">
      <c r="B196" s="50"/>
      <c r="C196" s="50"/>
      <c r="D196" s="50"/>
      <c r="E196" s="271"/>
      <c r="F196" s="271"/>
      <c r="G196" s="271"/>
      <c r="H196" s="273"/>
      <c r="I196" s="273"/>
      <c r="J196" s="273"/>
      <c r="K196" s="273"/>
      <c r="L196" s="273"/>
    </row>
    <row r="197" spans="2:12" x14ac:dyDescent="0.3">
      <c r="B197" s="50"/>
      <c r="C197" s="50"/>
      <c r="D197" s="50"/>
      <c r="E197" s="271"/>
      <c r="F197" s="271"/>
      <c r="G197" s="271"/>
      <c r="H197" s="273"/>
      <c r="I197" s="273"/>
      <c r="J197" s="273"/>
      <c r="K197" s="273"/>
      <c r="L197" s="273"/>
    </row>
    <row r="198" spans="2:12" x14ac:dyDescent="0.3">
      <c r="B198" s="50"/>
      <c r="C198" s="50"/>
      <c r="D198" s="50"/>
      <c r="E198" s="271"/>
      <c r="F198" s="271"/>
      <c r="G198" s="271"/>
      <c r="H198" s="273"/>
      <c r="I198" s="273"/>
      <c r="J198" s="273"/>
      <c r="K198" s="273"/>
      <c r="L198" s="273"/>
    </row>
    <row r="199" spans="2:12" x14ac:dyDescent="0.3">
      <c r="B199" s="50"/>
      <c r="C199" s="50"/>
      <c r="D199" s="50"/>
      <c r="E199" s="271"/>
      <c r="F199" s="271"/>
      <c r="G199" s="271"/>
      <c r="H199" s="273"/>
      <c r="I199" s="273"/>
      <c r="J199" s="273"/>
      <c r="K199" s="273"/>
      <c r="L199" s="273"/>
    </row>
    <row r="200" spans="2:12" x14ac:dyDescent="0.3">
      <c r="B200" s="50"/>
      <c r="C200" s="50"/>
      <c r="D200" s="50"/>
      <c r="E200" s="271"/>
      <c r="F200" s="271"/>
      <c r="G200" s="271"/>
      <c r="H200" s="273"/>
      <c r="I200" s="273"/>
      <c r="J200" s="273"/>
      <c r="K200" s="273"/>
      <c r="L200" s="273"/>
    </row>
    <row r="201" spans="2:12" x14ac:dyDescent="0.3">
      <c r="B201" s="50"/>
      <c r="C201" s="50"/>
      <c r="D201" s="50"/>
      <c r="E201" s="271"/>
      <c r="F201" s="271"/>
      <c r="G201" s="271"/>
      <c r="H201" s="273"/>
      <c r="I201" s="273"/>
      <c r="J201" s="273"/>
      <c r="K201" s="273"/>
      <c r="L201" s="273"/>
    </row>
    <row r="202" spans="2:12" x14ac:dyDescent="0.3">
      <c r="B202" s="50"/>
      <c r="C202" s="50"/>
      <c r="D202" s="50"/>
      <c r="E202" s="271"/>
      <c r="F202" s="271"/>
      <c r="G202" s="271"/>
      <c r="H202" s="273"/>
      <c r="I202" s="273"/>
      <c r="J202" s="273"/>
      <c r="K202" s="273"/>
      <c r="L202" s="273"/>
    </row>
    <row r="203" spans="2:12" x14ac:dyDescent="0.3">
      <c r="B203" s="50"/>
      <c r="C203" s="50"/>
      <c r="D203" s="50"/>
      <c r="E203" s="271"/>
      <c r="F203" s="271"/>
      <c r="G203" s="271"/>
      <c r="H203" s="273"/>
      <c r="I203" s="273"/>
      <c r="J203" s="273"/>
      <c r="K203" s="273"/>
      <c r="L203" s="273"/>
    </row>
    <row r="204" spans="2:12" x14ac:dyDescent="0.3">
      <c r="B204" s="50"/>
      <c r="C204" s="50"/>
      <c r="D204" s="50"/>
      <c r="E204" s="271"/>
      <c r="F204" s="271"/>
      <c r="G204" s="271"/>
      <c r="H204" s="273"/>
      <c r="I204" s="273"/>
      <c r="J204" s="273"/>
      <c r="K204" s="273"/>
      <c r="L204" s="273"/>
    </row>
    <row r="205" spans="2:12" x14ac:dyDescent="0.3">
      <c r="B205" s="50"/>
      <c r="C205" s="50"/>
      <c r="D205" s="50"/>
      <c r="E205" s="271"/>
      <c r="F205" s="271"/>
      <c r="G205" s="271"/>
      <c r="H205" s="273"/>
      <c r="I205" s="273"/>
      <c r="J205" s="273"/>
      <c r="K205" s="273"/>
      <c r="L205" s="273"/>
    </row>
    <row r="206" spans="2:12" x14ac:dyDescent="0.3">
      <c r="B206" s="50"/>
      <c r="C206" s="50"/>
      <c r="D206" s="50"/>
      <c r="E206" s="271"/>
      <c r="F206" s="271"/>
      <c r="G206" s="271"/>
      <c r="H206" s="273"/>
      <c r="I206" s="273"/>
      <c r="J206" s="273"/>
      <c r="K206" s="273"/>
      <c r="L206" s="273"/>
    </row>
    <row r="207" spans="2:12" x14ac:dyDescent="0.3">
      <c r="B207" s="50"/>
      <c r="C207" s="50"/>
      <c r="D207" s="50"/>
      <c r="E207" s="271"/>
      <c r="F207" s="271"/>
      <c r="G207" s="271"/>
      <c r="H207" s="273"/>
      <c r="I207" s="273"/>
      <c r="J207" s="273"/>
      <c r="K207" s="273"/>
      <c r="L207" s="273"/>
    </row>
    <row r="208" spans="2:12" x14ac:dyDescent="0.3">
      <c r="B208" s="50"/>
      <c r="C208" s="50"/>
      <c r="D208" s="50"/>
      <c r="E208" s="271"/>
      <c r="F208" s="271"/>
      <c r="G208" s="271"/>
      <c r="H208" s="273"/>
      <c r="I208" s="273"/>
      <c r="J208" s="273"/>
      <c r="K208" s="273"/>
      <c r="L208" s="273"/>
    </row>
    <row r="209" spans="2:12" x14ac:dyDescent="0.3">
      <c r="B209" s="50"/>
      <c r="C209" s="50"/>
      <c r="D209" s="50"/>
      <c r="E209" s="271"/>
      <c r="F209" s="271"/>
      <c r="G209" s="271"/>
      <c r="H209" s="273"/>
      <c r="I209" s="273"/>
      <c r="J209" s="273"/>
      <c r="K209" s="273"/>
      <c r="L209" s="273"/>
    </row>
    <row r="210" spans="2:12" x14ac:dyDescent="0.3">
      <c r="B210" s="50"/>
      <c r="C210" s="50"/>
      <c r="D210" s="50"/>
      <c r="E210" s="271"/>
      <c r="F210" s="271"/>
      <c r="G210" s="271"/>
      <c r="H210" s="273"/>
      <c r="I210" s="273"/>
      <c r="J210" s="273"/>
      <c r="K210" s="273"/>
      <c r="L210" s="273"/>
    </row>
    <row r="211" spans="2:12" x14ac:dyDescent="0.3">
      <c r="B211" s="50"/>
      <c r="C211" s="50"/>
      <c r="D211" s="50"/>
      <c r="E211" s="271"/>
      <c r="F211" s="271"/>
      <c r="G211" s="271"/>
      <c r="H211" s="273"/>
      <c r="I211" s="273"/>
      <c r="J211" s="273"/>
      <c r="K211" s="273"/>
      <c r="L211" s="273"/>
    </row>
    <row r="212" spans="2:12" x14ac:dyDescent="0.3">
      <c r="B212" s="50"/>
      <c r="C212" s="50"/>
      <c r="D212" s="50"/>
      <c r="E212" s="271"/>
      <c r="F212" s="271"/>
      <c r="G212" s="271"/>
      <c r="H212" s="273"/>
      <c r="I212" s="273"/>
      <c r="J212" s="273"/>
      <c r="K212" s="273"/>
      <c r="L212" s="273"/>
    </row>
    <row r="213" spans="2:12" x14ac:dyDescent="0.3">
      <c r="B213" s="50"/>
      <c r="C213" s="50"/>
      <c r="D213" s="50"/>
      <c r="E213" s="271"/>
      <c r="F213" s="271"/>
      <c r="G213" s="271"/>
      <c r="H213" s="273"/>
      <c r="I213" s="273"/>
      <c r="J213" s="273"/>
      <c r="K213" s="273"/>
      <c r="L213" s="273"/>
    </row>
    <row r="214" spans="2:12" x14ac:dyDescent="0.3">
      <c r="B214" s="50"/>
      <c r="C214" s="50"/>
      <c r="D214" s="50"/>
      <c r="E214" s="271"/>
      <c r="F214" s="271"/>
      <c r="G214" s="271"/>
      <c r="H214" s="273"/>
      <c r="I214" s="273"/>
      <c r="J214" s="273"/>
      <c r="K214" s="273"/>
      <c r="L214" s="273"/>
    </row>
    <row r="215" spans="2:12" x14ac:dyDescent="0.3">
      <c r="B215" s="50"/>
      <c r="C215" s="50"/>
      <c r="D215" s="50"/>
      <c r="E215" s="271"/>
      <c r="F215" s="271"/>
      <c r="G215" s="271"/>
      <c r="H215" s="273"/>
      <c r="I215" s="273"/>
      <c r="J215" s="273"/>
      <c r="K215" s="273"/>
      <c r="L215" s="273"/>
    </row>
    <row r="216" spans="2:12" x14ac:dyDescent="0.3">
      <c r="B216" s="50"/>
      <c r="C216" s="50"/>
      <c r="D216" s="50"/>
      <c r="E216" s="271"/>
      <c r="F216" s="271"/>
      <c r="G216" s="271"/>
      <c r="H216" s="273"/>
      <c r="I216" s="273"/>
      <c r="J216" s="273"/>
      <c r="K216" s="273"/>
      <c r="L216" s="273"/>
    </row>
    <row r="217" spans="2:12" x14ac:dyDescent="0.3">
      <c r="B217" s="50"/>
      <c r="C217" s="50"/>
      <c r="D217" s="50"/>
      <c r="E217" s="271"/>
      <c r="F217" s="271"/>
      <c r="G217" s="271"/>
      <c r="H217" s="273"/>
      <c r="I217" s="273"/>
      <c r="J217" s="273"/>
      <c r="K217" s="273"/>
      <c r="L217" s="273"/>
    </row>
    <row r="218" spans="2:12" x14ac:dyDescent="0.3">
      <c r="B218" s="50"/>
      <c r="C218" s="50"/>
      <c r="D218" s="50"/>
      <c r="E218" s="271"/>
      <c r="F218" s="271"/>
      <c r="G218" s="271"/>
      <c r="H218" s="273"/>
      <c r="I218" s="273"/>
      <c r="J218" s="273"/>
      <c r="K218" s="273"/>
      <c r="L218" s="273"/>
    </row>
    <row r="219" spans="2:12" x14ac:dyDescent="0.3">
      <c r="B219" s="50"/>
      <c r="C219" s="50"/>
      <c r="D219" s="50"/>
      <c r="E219" s="271"/>
      <c r="F219" s="271"/>
      <c r="G219" s="271"/>
      <c r="H219" s="273"/>
      <c r="I219" s="273"/>
      <c r="J219" s="273"/>
      <c r="K219" s="273"/>
      <c r="L219" s="273"/>
    </row>
    <row r="220" spans="2:12" x14ac:dyDescent="0.3">
      <c r="B220" s="50"/>
      <c r="C220" s="50"/>
      <c r="D220" s="50"/>
      <c r="E220" s="271"/>
      <c r="F220" s="271"/>
      <c r="G220" s="271"/>
      <c r="H220" s="273"/>
      <c r="I220" s="273"/>
      <c r="J220" s="273"/>
      <c r="K220" s="273"/>
      <c r="L220" s="273"/>
    </row>
    <row r="221" spans="2:12" x14ac:dyDescent="0.3">
      <c r="B221" s="50"/>
      <c r="C221" s="50"/>
      <c r="D221" s="50"/>
      <c r="E221" s="271"/>
      <c r="F221" s="271"/>
      <c r="G221" s="271"/>
      <c r="H221" s="273"/>
      <c r="I221" s="273"/>
      <c r="J221" s="273"/>
      <c r="K221" s="273"/>
      <c r="L221" s="273"/>
    </row>
    <row r="222" spans="2:12" x14ac:dyDescent="0.3">
      <c r="B222" s="50"/>
      <c r="C222" s="50"/>
      <c r="D222" s="50"/>
      <c r="E222" s="271"/>
      <c r="F222" s="271"/>
      <c r="G222" s="271"/>
      <c r="H222" s="273"/>
      <c r="I222" s="273"/>
      <c r="J222" s="273"/>
      <c r="K222" s="273"/>
      <c r="L222" s="273"/>
    </row>
    <row r="223" spans="2:12" x14ac:dyDescent="0.3">
      <c r="B223" s="50"/>
      <c r="C223" s="50"/>
      <c r="D223" s="50"/>
      <c r="E223" s="271"/>
      <c r="F223" s="271"/>
      <c r="G223" s="271"/>
      <c r="H223" s="273"/>
      <c r="I223" s="273"/>
      <c r="J223" s="273"/>
      <c r="K223" s="273"/>
      <c r="L223" s="273"/>
    </row>
    <row r="224" spans="2:12" x14ac:dyDescent="0.3">
      <c r="B224" s="50"/>
      <c r="C224" s="50"/>
      <c r="D224" s="50"/>
      <c r="E224" s="271"/>
      <c r="F224" s="271"/>
      <c r="G224" s="271"/>
      <c r="H224" s="273"/>
      <c r="I224" s="273"/>
      <c r="J224" s="273"/>
      <c r="K224" s="273"/>
      <c r="L224" s="273"/>
    </row>
    <row r="225" spans="2:12" x14ac:dyDescent="0.3">
      <c r="B225" s="50"/>
      <c r="C225" s="50"/>
      <c r="D225" s="50"/>
      <c r="E225" s="271"/>
      <c r="F225" s="271"/>
      <c r="G225" s="271"/>
      <c r="H225" s="273"/>
      <c r="I225" s="273"/>
      <c r="J225" s="273"/>
      <c r="K225" s="273"/>
      <c r="L225" s="273"/>
    </row>
    <row r="226" spans="2:12" x14ac:dyDescent="0.3">
      <c r="B226" s="50"/>
      <c r="C226" s="50"/>
      <c r="D226" s="50"/>
      <c r="E226" s="271"/>
      <c r="F226" s="271"/>
      <c r="G226" s="271"/>
      <c r="H226" s="273"/>
      <c r="I226" s="273"/>
      <c r="J226" s="273"/>
      <c r="K226" s="273"/>
      <c r="L226" s="273"/>
    </row>
    <row r="227" spans="2:12" x14ac:dyDescent="0.3">
      <c r="B227" s="50"/>
      <c r="C227" s="50"/>
      <c r="D227" s="50"/>
      <c r="E227" s="271"/>
      <c r="F227" s="271"/>
      <c r="G227" s="271"/>
      <c r="H227" s="273"/>
      <c r="I227" s="273"/>
      <c r="J227" s="273"/>
      <c r="K227" s="273"/>
      <c r="L227" s="273"/>
    </row>
    <row r="228" spans="2:12" x14ac:dyDescent="0.3">
      <c r="B228" s="50"/>
      <c r="C228" s="50"/>
      <c r="D228" s="50"/>
      <c r="E228" s="271"/>
      <c r="F228" s="271"/>
      <c r="G228" s="271"/>
      <c r="H228" s="273"/>
      <c r="I228" s="273"/>
      <c r="J228" s="273"/>
      <c r="K228" s="273"/>
      <c r="L228" s="273"/>
    </row>
    <row r="229" spans="2:12" x14ac:dyDescent="0.3">
      <c r="B229" s="50"/>
      <c r="C229" s="50"/>
      <c r="D229" s="50"/>
      <c r="E229" s="271"/>
      <c r="F229" s="271"/>
      <c r="G229" s="271"/>
      <c r="H229" s="273"/>
      <c r="I229" s="273"/>
      <c r="J229" s="273"/>
      <c r="K229" s="273"/>
      <c r="L229" s="273"/>
    </row>
    <row r="230" spans="2:12" x14ac:dyDescent="0.3">
      <c r="B230" s="50"/>
      <c r="C230" s="50"/>
      <c r="D230" s="50"/>
      <c r="E230" s="271"/>
      <c r="F230" s="271"/>
      <c r="G230" s="271"/>
      <c r="H230" s="273"/>
      <c r="I230" s="273"/>
      <c r="J230" s="273"/>
      <c r="K230" s="273"/>
      <c r="L230" s="273"/>
    </row>
    <row r="231" spans="2:12" x14ac:dyDescent="0.3">
      <c r="B231" s="50"/>
      <c r="C231" s="50"/>
      <c r="D231" s="50"/>
      <c r="E231" s="271"/>
      <c r="F231" s="271"/>
      <c r="G231" s="271"/>
      <c r="H231" s="273"/>
      <c r="I231" s="273"/>
      <c r="J231" s="273"/>
      <c r="K231" s="273"/>
      <c r="L231" s="273"/>
    </row>
    <row r="232" spans="2:12" x14ac:dyDescent="0.3">
      <c r="B232" s="50"/>
      <c r="C232" s="50"/>
      <c r="D232" s="50"/>
      <c r="E232" s="271"/>
      <c r="F232" s="271"/>
      <c r="G232" s="271"/>
      <c r="H232" s="273"/>
      <c r="I232" s="273"/>
      <c r="J232" s="273"/>
      <c r="K232" s="273"/>
      <c r="L232" s="273"/>
    </row>
    <row r="233" spans="2:12" x14ac:dyDescent="0.3">
      <c r="B233" s="50"/>
      <c r="C233" s="50"/>
      <c r="D233" s="50"/>
      <c r="E233" s="271"/>
      <c r="F233" s="271"/>
      <c r="G233" s="271"/>
      <c r="H233" s="273"/>
      <c r="I233" s="273"/>
      <c r="J233" s="273"/>
      <c r="K233" s="273"/>
      <c r="L233" s="273"/>
    </row>
    <row r="234" spans="2:12" x14ac:dyDescent="0.3">
      <c r="B234" s="50"/>
      <c r="C234" s="50"/>
      <c r="D234" s="50"/>
      <c r="E234" s="271"/>
      <c r="F234" s="271"/>
      <c r="G234" s="271"/>
      <c r="H234" s="273"/>
      <c r="I234" s="273"/>
      <c r="J234" s="273"/>
      <c r="K234" s="273"/>
      <c r="L234" s="273"/>
    </row>
    <row r="235" spans="2:12" x14ac:dyDescent="0.3">
      <c r="B235" s="50"/>
      <c r="C235" s="50"/>
      <c r="D235" s="50"/>
      <c r="E235" s="271"/>
      <c r="F235" s="271"/>
      <c r="G235" s="271"/>
      <c r="H235" s="273"/>
      <c r="I235" s="273"/>
      <c r="J235" s="273"/>
      <c r="K235" s="273"/>
      <c r="L235" s="273"/>
    </row>
    <row r="236" spans="2:12" x14ac:dyDescent="0.3">
      <c r="B236" s="50"/>
      <c r="C236" s="50"/>
      <c r="D236" s="50"/>
      <c r="E236" s="271"/>
      <c r="F236" s="271"/>
      <c r="G236" s="271"/>
      <c r="H236" s="273"/>
      <c r="I236" s="273"/>
      <c r="J236" s="273"/>
      <c r="K236" s="273"/>
      <c r="L236" s="273"/>
    </row>
    <row r="237" spans="2:12" x14ac:dyDescent="0.3">
      <c r="B237" s="50"/>
      <c r="C237" s="50"/>
      <c r="D237" s="50"/>
      <c r="E237" s="271"/>
      <c r="F237" s="271"/>
      <c r="G237" s="271"/>
      <c r="H237" s="273"/>
      <c r="I237" s="273"/>
      <c r="J237" s="273"/>
      <c r="K237" s="273"/>
      <c r="L237" s="273"/>
    </row>
    <row r="238" spans="2:12" x14ac:dyDescent="0.3">
      <c r="B238" s="50"/>
      <c r="C238" s="50"/>
      <c r="D238" s="50"/>
      <c r="E238" s="271"/>
      <c r="F238" s="271"/>
      <c r="G238" s="271"/>
      <c r="H238" s="273"/>
      <c r="I238" s="273"/>
      <c r="J238" s="273"/>
      <c r="K238" s="273"/>
      <c r="L238" s="273"/>
    </row>
    <row r="239" spans="2:12" x14ac:dyDescent="0.3">
      <c r="B239" s="50"/>
      <c r="C239" s="50"/>
      <c r="D239" s="50"/>
      <c r="E239" s="271"/>
      <c r="F239" s="271"/>
      <c r="G239" s="271"/>
      <c r="H239" s="273"/>
      <c r="I239" s="273"/>
      <c r="J239" s="273"/>
      <c r="K239" s="273"/>
      <c r="L239" s="273"/>
    </row>
    <row r="240" spans="2:12" x14ac:dyDescent="0.3">
      <c r="B240" s="50"/>
      <c r="C240" s="50"/>
      <c r="D240" s="50"/>
      <c r="E240" s="271"/>
      <c r="F240" s="271"/>
      <c r="G240" s="271"/>
      <c r="H240" s="273"/>
      <c r="I240" s="273"/>
      <c r="J240" s="273"/>
      <c r="K240" s="273"/>
      <c r="L240" s="273"/>
    </row>
    <row r="241" spans="2:12" x14ac:dyDescent="0.3">
      <c r="B241" s="50"/>
      <c r="C241" s="50"/>
      <c r="D241" s="50"/>
      <c r="E241" s="271"/>
      <c r="F241" s="271"/>
      <c r="G241" s="271"/>
      <c r="H241" s="273"/>
      <c r="I241" s="273"/>
      <c r="J241" s="273"/>
      <c r="K241" s="273"/>
      <c r="L241" s="273"/>
    </row>
    <row r="242" spans="2:12" x14ac:dyDescent="0.3">
      <c r="B242" s="50"/>
      <c r="C242" s="50"/>
      <c r="D242" s="50"/>
      <c r="E242" s="271"/>
      <c r="F242" s="271"/>
      <c r="G242" s="271"/>
      <c r="H242" s="273"/>
      <c r="I242" s="273"/>
      <c r="J242" s="273"/>
      <c r="K242" s="273"/>
      <c r="L242" s="273"/>
    </row>
    <row r="243" spans="2:12" x14ac:dyDescent="0.3">
      <c r="B243" s="50"/>
      <c r="C243" s="50"/>
      <c r="D243" s="50"/>
      <c r="E243" s="271"/>
      <c r="F243" s="271"/>
      <c r="G243" s="271"/>
      <c r="H243" s="273"/>
      <c r="I243" s="273"/>
      <c r="J243" s="273"/>
      <c r="K243" s="273"/>
      <c r="L243" s="273"/>
    </row>
    <row r="244" spans="2:12" x14ac:dyDescent="0.3">
      <c r="B244" s="50"/>
      <c r="C244" s="50"/>
      <c r="D244" s="50"/>
      <c r="E244" s="271"/>
      <c r="F244" s="271"/>
      <c r="G244" s="271"/>
      <c r="H244" s="273"/>
      <c r="I244" s="273"/>
      <c r="J244" s="273"/>
      <c r="K244" s="273"/>
      <c r="L244" s="273"/>
    </row>
    <row r="245" spans="2:12" x14ac:dyDescent="0.3">
      <c r="B245" s="50"/>
      <c r="C245" s="50"/>
      <c r="D245" s="50"/>
      <c r="E245" s="271"/>
      <c r="F245" s="271"/>
      <c r="G245" s="271"/>
      <c r="H245" s="273"/>
      <c r="I245" s="273"/>
      <c r="J245" s="273"/>
      <c r="K245" s="273"/>
      <c r="L245" s="273"/>
    </row>
    <row r="246" spans="2:12" x14ac:dyDescent="0.3">
      <c r="B246" s="50"/>
      <c r="C246" s="50"/>
      <c r="D246" s="50"/>
      <c r="E246" s="271"/>
      <c r="F246" s="271"/>
      <c r="G246" s="271"/>
      <c r="H246" s="273"/>
      <c r="I246" s="273"/>
      <c r="J246" s="273"/>
      <c r="K246" s="273"/>
      <c r="L246" s="273"/>
    </row>
    <row r="247" spans="2:12" x14ac:dyDescent="0.3">
      <c r="B247" s="50"/>
      <c r="C247" s="50"/>
      <c r="D247" s="50"/>
      <c r="E247" s="271"/>
      <c r="F247" s="271"/>
      <c r="G247" s="271"/>
      <c r="H247" s="273"/>
      <c r="I247" s="273"/>
      <c r="J247" s="273"/>
      <c r="K247" s="273"/>
      <c r="L247" s="273"/>
    </row>
    <row r="248" spans="2:12" x14ac:dyDescent="0.3">
      <c r="B248" s="50"/>
      <c r="C248" s="50"/>
      <c r="D248" s="50"/>
      <c r="E248" s="271"/>
      <c r="F248" s="271"/>
      <c r="G248" s="271"/>
      <c r="H248" s="273"/>
      <c r="I248" s="273"/>
      <c r="J248" s="273"/>
      <c r="K248" s="273"/>
      <c r="L248" s="273"/>
    </row>
    <row r="249" spans="2:12" x14ac:dyDescent="0.3">
      <c r="B249" s="50"/>
      <c r="C249" s="50"/>
      <c r="D249" s="50"/>
      <c r="E249" s="271"/>
      <c r="F249" s="271"/>
      <c r="G249" s="271"/>
      <c r="H249" s="273"/>
      <c r="I249" s="273"/>
      <c r="J249" s="273"/>
      <c r="K249" s="273"/>
      <c r="L249" s="273"/>
    </row>
    <row r="250" spans="2:12" x14ac:dyDescent="0.3">
      <c r="B250" s="50"/>
      <c r="C250" s="50"/>
      <c r="D250" s="50"/>
      <c r="E250" s="271"/>
      <c r="F250" s="271"/>
      <c r="G250" s="271"/>
      <c r="H250" s="273"/>
      <c r="I250" s="273"/>
      <c r="J250" s="273"/>
      <c r="K250" s="273"/>
      <c r="L250" s="273"/>
    </row>
    <row r="251" spans="2:12" x14ac:dyDescent="0.3">
      <c r="B251" s="50"/>
      <c r="C251" s="50"/>
      <c r="D251" s="50"/>
      <c r="E251" s="271"/>
      <c r="F251" s="271"/>
      <c r="G251" s="271"/>
      <c r="H251" s="273"/>
      <c r="I251" s="273"/>
      <c r="J251" s="273"/>
      <c r="K251" s="273"/>
      <c r="L251" s="273"/>
    </row>
    <row r="252" spans="2:12" x14ac:dyDescent="0.3">
      <c r="B252" s="50"/>
      <c r="C252" s="50"/>
      <c r="D252" s="50"/>
      <c r="E252" s="271"/>
      <c r="F252" s="271"/>
      <c r="G252" s="271"/>
      <c r="H252" s="273"/>
      <c r="I252" s="273"/>
      <c r="J252" s="273"/>
      <c r="K252" s="273"/>
      <c r="L252" s="273"/>
    </row>
    <row r="253" spans="2:12" x14ac:dyDescent="0.3">
      <c r="B253" s="50"/>
      <c r="C253" s="50"/>
      <c r="D253" s="50"/>
      <c r="E253" s="271"/>
      <c r="F253" s="271"/>
      <c r="G253" s="271"/>
      <c r="H253" s="273"/>
      <c r="I253" s="273"/>
      <c r="J253" s="273"/>
      <c r="K253" s="273"/>
      <c r="L253" s="273"/>
    </row>
    <row r="254" spans="2:12" x14ac:dyDescent="0.3">
      <c r="B254" s="50"/>
      <c r="C254" s="50"/>
      <c r="D254" s="50"/>
      <c r="E254" s="271"/>
      <c r="F254" s="271"/>
      <c r="G254" s="271"/>
      <c r="H254" s="273"/>
      <c r="I254" s="273"/>
      <c r="J254" s="273"/>
      <c r="K254" s="273"/>
      <c r="L254" s="273"/>
    </row>
    <row r="255" spans="2:12" x14ac:dyDescent="0.3">
      <c r="B255" s="50"/>
      <c r="C255" s="50"/>
      <c r="D255" s="50"/>
      <c r="E255" s="271"/>
      <c r="F255" s="271"/>
      <c r="G255" s="271"/>
      <c r="H255" s="273"/>
      <c r="I255" s="273"/>
      <c r="J255" s="273"/>
      <c r="K255" s="273"/>
      <c r="L255" s="273"/>
    </row>
    <row r="256" spans="2:12" x14ac:dyDescent="0.3">
      <c r="B256" s="50"/>
      <c r="C256" s="50"/>
      <c r="D256" s="50"/>
      <c r="E256" s="271"/>
      <c r="F256" s="271"/>
      <c r="G256" s="271"/>
      <c r="H256" s="273"/>
      <c r="I256" s="273"/>
      <c r="J256" s="273"/>
      <c r="K256" s="273"/>
      <c r="L256" s="273"/>
    </row>
    <row r="257" spans="2:12" x14ac:dyDescent="0.3">
      <c r="B257" s="50"/>
      <c r="C257" s="50"/>
      <c r="D257" s="50"/>
      <c r="E257" s="271"/>
      <c r="F257" s="271"/>
      <c r="G257" s="271"/>
      <c r="H257" s="273"/>
      <c r="I257" s="273"/>
      <c r="J257" s="273"/>
      <c r="K257" s="273"/>
      <c r="L257" s="273"/>
    </row>
    <row r="258" spans="2:12" x14ac:dyDescent="0.3">
      <c r="B258" s="50"/>
      <c r="C258" s="50"/>
      <c r="D258" s="50"/>
      <c r="E258" s="271"/>
      <c r="F258" s="271"/>
      <c r="G258" s="271"/>
      <c r="H258" s="273"/>
      <c r="I258" s="273"/>
      <c r="J258" s="273"/>
      <c r="K258" s="273"/>
      <c r="L258" s="273"/>
    </row>
    <row r="259" spans="2:12" x14ac:dyDescent="0.3">
      <c r="B259" s="50"/>
      <c r="C259" s="50"/>
      <c r="D259" s="50"/>
      <c r="E259" s="271"/>
      <c r="F259" s="271"/>
      <c r="G259" s="271"/>
      <c r="H259" s="273"/>
      <c r="I259" s="273"/>
      <c r="J259" s="273"/>
      <c r="K259" s="273"/>
      <c r="L259" s="273"/>
    </row>
    <row r="260" spans="2:12" x14ac:dyDescent="0.3">
      <c r="B260" s="50"/>
      <c r="C260" s="50"/>
      <c r="D260" s="50"/>
      <c r="E260" s="271"/>
      <c r="F260" s="271"/>
      <c r="G260" s="271"/>
      <c r="H260" s="273"/>
      <c r="I260" s="273"/>
      <c r="J260" s="273"/>
      <c r="K260" s="273"/>
      <c r="L260" s="273"/>
    </row>
    <row r="261" spans="2:12" x14ac:dyDescent="0.3">
      <c r="B261" s="50"/>
      <c r="C261" s="50"/>
      <c r="D261" s="50"/>
      <c r="E261" s="271"/>
      <c r="F261" s="271"/>
      <c r="G261" s="271"/>
      <c r="H261" s="273"/>
      <c r="I261" s="273"/>
      <c r="J261" s="273"/>
      <c r="K261" s="273"/>
      <c r="L261" s="273"/>
    </row>
    <row r="262" spans="2:12" x14ac:dyDescent="0.3">
      <c r="B262" s="50"/>
      <c r="C262" s="50"/>
      <c r="D262" s="50"/>
      <c r="E262" s="271"/>
      <c r="F262" s="271"/>
      <c r="G262" s="271"/>
      <c r="H262" s="273"/>
      <c r="I262" s="273"/>
      <c r="J262" s="273"/>
      <c r="K262" s="273"/>
      <c r="L262" s="273"/>
    </row>
    <row r="263" spans="2:12" x14ac:dyDescent="0.3">
      <c r="B263" s="50"/>
      <c r="C263" s="50"/>
      <c r="D263" s="50"/>
      <c r="E263" s="271"/>
      <c r="F263" s="271"/>
      <c r="G263" s="271"/>
      <c r="H263" s="273"/>
      <c r="I263" s="273"/>
      <c r="J263" s="273"/>
      <c r="K263" s="273"/>
      <c r="L263" s="273"/>
    </row>
    <row r="264" spans="2:12" x14ac:dyDescent="0.3">
      <c r="B264" s="50"/>
      <c r="C264" s="50"/>
      <c r="D264" s="50"/>
      <c r="E264" s="271"/>
      <c r="F264" s="271"/>
      <c r="G264" s="271"/>
      <c r="H264" s="273"/>
      <c r="I264" s="273"/>
      <c r="J264" s="273"/>
      <c r="K264" s="273"/>
      <c r="L264" s="273"/>
    </row>
    <row r="265" spans="2:12" x14ac:dyDescent="0.3">
      <c r="B265" s="50"/>
      <c r="C265" s="50"/>
      <c r="D265" s="50"/>
      <c r="E265" s="271"/>
      <c r="F265" s="271"/>
      <c r="G265" s="271"/>
      <c r="H265" s="273"/>
      <c r="I265" s="273"/>
      <c r="J265" s="273"/>
      <c r="K265" s="273"/>
      <c r="L265" s="273"/>
    </row>
    <row r="266" spans="2:12" x14ac:dyDescent="0.3">
      <c r="B266" s="50"/>
      <c r="C266" s="50"/>
      <c r="D266" s="50"/>
      <c r="E266" s="271"/>
      <c r="F266" s="271"/>
      <c r="G266" s="271"/>
      <c r="H266" s="273"/>
      <c r="I266" s="273"/>
      <c r="J266" s="273"/>
      <c r="K266" s="273"/>
      <c r="L266" s="273"/>
    </row>
    <row r="267" spans="2:12" x14ac:dyDescent="0.3">
      <c r="B267" s="50"/>
      <c r="C267" s="50"/>
      <c r="D267" s="50"/>
      <c r="E267" s="271"/>
      <c r="F267" s="271"/>
      <c r="G267" s="271"/>
      <c r="H267" s="273"/>
      <c r="I267" s="273"/>
      <c r="J267" s="273"/>
      <c r="K267" s="273"/>
      <c r="L267" s="273"/>
    </row>
    <row r="268" spans="2:12" x14ac:dyDescent="0.3">
      <c r="B268" s="50"/>
      <c r="C268" s="50"/>
      <c r="D268" s="50"/>
      <c r="E268" s="271"/>
      <c r="F268" s="271"/>
      <c r="G268" s="271"/>
      <c r="H268" s="273"/>
      <c r="I268" s="273"/>
      <c r="J268" s="273"/>
      <c r="K268" s="273"/>
      <c r="L268" s="273"/>
    </row>
    <row r="269" spans="2:12" x14ac:dyDescent="0.3">
      <c r="B269" s="50"/>
      <c r="C269" s="50"/>
      <c r="D269" s="50"/>
      <c r="E269" s="271"/>
      <c r="F269" s="271"/>
      <c r="G269" s="271"/>
      <c r="H269" s="273"/>
      <c r="I269" s="273"/>
      <c r="J269" s="273"/>
      <c r="K269" s="273"/>
      <c r="L269" s="273"/>
    </row>
    <row r="270" spans="2:12" x14ac:dyDescent="0.3">
      <c r="B270" s="50"/>
      <c r="C270" s="50"/>
      <c r="D270" s="50"/>
      <c r="E270" s="271"/>
      <c r="F270" s="271"/>
      <c r="G270" s="271"/>
      <c r="H270" s="273"/>
      <c r="I270" s="273"/>
      <c r="J270" s="273"/>
      <c r="K270" s="273"/>
      <c r="L270" s="273"/>
    </row>
    <row r="271" spans="2:12" x14ac:dyDescent="0.3">
      <c r="B271" s="50"/>
      <c r="C271" s="50"/>
      <c r="D271" s="50"/>
      <c r="E271" s="271"/>
      <c r="F271" s="271"/>
      <c r="G271" s="271"/>
      <c r="H271" s="273"/>
      <c r="I271" s="273"/>
      <c r="J271" s="273"/>
      <c r="K271" s="273"/>
      <c r="L271" s="273"/>
    </row>
    <row r="272" spans="2:12" x14ac:dyDescent="0.3">
      <c r="B272" s="50"/>
      <c r="C272" s="50"/>
      <c r="D272" s="50"/>
      <c r="E272" s="271"/>
      <c r="F272" s="271"/>
      <c r="G272" s="271"/>
      <c r="H272" s="273"/>
      <c r="I272" s="273"/>
      <c r="J272" s="273"/>
      <c r="K272" s="273"/>
      <c r="L272" s="273"/>
    </row>
    <row r="273" spans="2:12" x14ac:dyDescent="0.3">
      <c r="B273" s="50"/>
      <c r="C273" s="50"/>
      <c r="D273" s="50"/>
      <c r="E273" s="271"/>
      <c r="F273" s="271"/>
      <c r="G273" s="271"/>
      <c r="H273" s="273"/>
      <c r="I273" s="273"/>
      <c r="J273" s="273"/>
      <c r="K273" s="273"/>
      <c r="L273" s="273"/>
    </row>
    <row r="274" spans="2:12" x14ac:dyDescent="0.3">
      <c r="B274" s="50"/>
      <c r="C274" s="50"/>
      <c r="D274" s="50"/>
      <c r="E274" s="271"/>
      <c r="F274" s="271"/>
      <c r="G274" s="271"/>
      <c r="H274" s="273"/>
      <c r="I274" s="273"/>
      <c r="J274" s="273"/>
      <c r="K274" s="273"/>
      <c r="L274" s="273"/>
    </row>
    <row r="275" spans="2:12" x14ac:dyDescent="0.3">
      <c r="B275" s="50"/>
      <c r="C275" s="50"/>
      <c r="D275" s="50"/>
      <c r="E275" s="271"/>
      <c r="F275" s="271"/>
      <c r="G275" s="271"/>
      <c r="H275" s="273"/>
      <c r="I275" s="273"/>
      <c r="J275" s="273"/>
      <c r="K275" s="273"/>
      <c r="L275" s="273"/>
    </row>
    <row r="276" spans="2:12" x14ac:dyDescent="0.3">
      <c r="B276" s="50"/>
      <c r="C276" s="50"/>
      <c r="D276" s="50"/>
      <c r="E276" s="271"/>
      <c r="F276" s="271"/>
      <c r="G276" s="271"/>
      <c r="H276" s="273"/>
      <c r="I276" s="273"/>
      <c r="J276" s="273"/>
      <c r="K276" s="273"/>
      <c r="L276" s="273"/>
    </row>
    <row r="277" spans="2:12" x14ac:dyDescent="0.3">
      <c r="B277" s="50"/>
      <c r="C277" s="50"/>
      <c r="D277" s="50"/>
      <c r="E277" s="271"/>
      <c r="F277" s="271"/>
      <c r="G277" s="271"/>
      <c r="H277" s="273"/>
      <c r="I277" s="273"/>
      <c r="J277" s="273"/>
      <c r="K277" s="273"/>
      <c r="L277" s="273"/>
    </row>
    <row r="278" spans="2:12" x14ac:dyDescent="0.3">
      <c r="B278" s="50"/>
      <c r="C278" s="50"/>
      <c r="D278" s="50"/>
      <c r="E278" s="271"/>
      <c r="F278" s="271"/>
      <c r="G278" s="271"/>
      <c r="H278" s="273"/>
      <c r="I278" s="273"/>
      <c r="J278" s="273"/>
      <c r="K278" s="273"/>
      <c r="L278" s="273"/>
    </row>
    <row r="279" spans="2:12" x14ac:dyDescent="0.3">
      <c r="B279" s="50"/>
      <c r="C279" s="50"/>
      <c r="D279" s="50"/>
      <c r="E279" s="271"/>
      <c r="F279" s="271"/>
      <c r="G279" s="271"/>
      <c r="H279" s="273"/>
      <c r="I279" s="273"/>
      <c r="J279" s="273"/>
      <c r="K279" s="273"/>
      <c r="L279" s="273"/>
    </row>
    <row r="280" spans="2:12" x14ac:dyDescent="0.3">
      <c r="B280" s="50"/>
      <c r="C280" s="50"/>
      <c r="D280" s="50"/>
      <c r="E280" s="271"/>
      <c r="F280" s="271"/>
      <c r="G280" s="271"/>
      <c r="H280" s="273"/>
      <c r="I280" s="273"/>
      <c r="J280" s="273"/>
      <c r="K280" s="273"/>
      <c r="L280" s="273"/>
    </row>
    <row r="281" spans="2:12" x14ac:dyDescent="0.3">
      <c r="B281" s="50"/>
      <c r="C281" s="50"/>
      <c r="D281" s="50"/>
      <c r="E281" s="271"/>
      <c r="F281" s="271"/>
      <c r="G281" s="271"/>
      <c r="H281" s="273"/>
      <c r="I281" s="273"/>
      <c r="J281" s="273"/>
      <c r="K281" s="273"/>
      <c r="L281" s="273"/>
    </row>
    <row r="282" spans="2:12" x14ac:dyDescent="0.3">
      <c r="B282" s="50"/>
      <c r="C282" s="50"/>
      <c r="D282" s="50"/>
      <c r="E282" s="271"/>
      <c r="F282" s="271"/>
      <c r="G282" s="271"/>
      <c r="H282" s="273"/>
      <c r="I282" s="273"/>
      <c r="J282" s="273"/>
      <c r="K282" s="273"/>
      <c r="L282" s="273"/>
    </row>
    <row r="283" spans="2:12" x14ac:dyDescent="0.3">
      <c r="B283" s="50"/>
      <c r="C283" s="50"/>
      <c r="D283" s="50"/>
      <c r="E283" s="271"/>
      <c r="F283" s="271"/>
      <c r="G283" s="271"/>
      <c r="H283" s="273"/>
      <c r="I283" s="273"/>
      <c r="J283" s="273"/>
      <c r="K283" s="273"/>
      <c r="L283" s="273"/>
    </row>
    <row r="284" spans="2:12" x14ac:dyDescent="0.3">
      <c r="B284" s="50"/>
      <c r="C284" s="50"/>
      <c r="D284" s="50"/>
      <c r="E284" s="271"/>
      <c r="F284" s="271"/>
      <c r="G284" s="271"/>
      <c r="H284" s="273"/>
      <c r="I284" s="273"/>
      <c r="J284" s="273"/>
      <c r="K284" s="273"/>
      <c r="L284" s="273"/>
    </row>
    <row r="285" spans="2:12" x14ac:dyDescent="0.3">
      <c r="B285" s="50"/>
      <c r="C285" s="50"/>
      <c r="D285" s="50"/>
      <c r="E285" s="271"/>
      <c r="F285" s="271"/>
      <c r="G285" s="271"/>
      <c r="H285" s="273"/>
      <c r="I285" s="273"/>
      <c r="J285" s="273"/>
      <c r="K285" s="273"/>
      <c r="L285" s="273"/>
    </row>
    <row r="286" spans="2:12" x14ac:dyDescent="0.3">
      <c r="B286" s="50"/>
      <c r="C286" s="50"/>
      <c r="D286" s="50"/>
      <c r="E286" s="271"/>
      <c r="F286" s="271"/>
      <c r="G286" s="271"/>
      <c r="H286" s="273"/>
      <c r="I286" s="273"/>
      <c r="J286" s="273"/>
      <c r="K286" s="273"/>
      <c r="L286" s="273"/>
    </row>
    <row r="287" spans="2:12" x14ac:dyDescent="0.3">
      <c r="B287" s="50"/>
      <c r="C287" s="50"/>
      <c r="D287" s="50"/>
      <c r="E287" s="271"/>
      <c r="F287" s="271"/>
      <c r="G287" s="271"/>
      <c r="H287" s="273"/>
      <c r="I287" s="273"/>
      <c r="J287" s="273"/>
      <c r="K287" s="273"/>
      <c r="L287" s="273"/>
    </row>
    <row r="288" spans="2:12" x14ac:dyDescent="0.3">
      <c r="B288" s="50"/>
      <c r="C288" s="50"/>
      <c r="D288" s="50"/>
      <c r="E288" s="271"/>
      <c r="F288" s="271"/>
      <c r="G288" s="271"/>
      <c r="H288" s="273"/>
      <c r="I288" s="273"/>
      <c r="J288" s="273"/>
      <c r="K288" s="273"/>
      <c r="L288" s="273"/>
    </row>
    <row r="289" spans="2:12" x14ac:dyDescent="0.3">
      <c r="B289" s="50"/>
      <c r="C289" s="50"/>
      <c r="D289" s="50"/>
      <c r="E289" s="271"/>
      <c r="F289" s="271"/>
      <c r="G289" s="271"/>
      <c r="H289" s="273"/>
      <c r="I289" s="273"/>
      <c r="J289" s="273"/>
      <c r="K289" s="273"/>
      <c r="L289" s="273"/>
    </row>
    <row r="290" spans="2:12" x14ac:dyDescent="0.3">
      <c r="B290" s="50"/>
      <c r="C290" s="50"/>
      <c r="D290" s="50"/>
      <c r="E290" s="271"/>
      <c r="F290" s="271"/>
      <c r="G290" s="271"/>
      <c r="H290" s="273"/>
      <c r="I290" s="273"/>
      <c r="J290" s="273"/>
      <c r="K290" s="273"/>
      <c r="L290" s="273"/>
    </row>
    <row r="291" spans="2:12" x14ac:dyDescent="0.3">
      <c r="B291" s="50"/>
      <c r="C291" s="50"/>
      <c r="D291" s="50"/>
      <c r="E291" s="271"/>
      <c r="F291" s="271"/>
      <c r="G291" s="271"/>
      <c r="H291" s="273"/>
      <c r="I291" s="273"/>
      <c r="J291" s="273"/>
      <c r="K291" s="273"/>
      <c r="L291" s="273"/>
    </row>
    <row r="292" spans="2:12" x14ac:dyDescent="0.3">
      <c r="B292" s="50"/>
      <c r="C292" s="50"/>
      <c r="D292" s="50"/>
      <c r="E292" s="271"/>
      <c r="F292" s="271"/>
      <c r="G292" s="271"/>
      <c r="H292" s="273"/>
      <c r="I292" s="273"/>
      <c r="J292" s="273"/>
      <c r="K292" s="273"/>
      <c r="L292" s="273"/>
    </row>
    <row r="293" spans="2:12" x14ac:dyDescent="0.3">
      <c r="B293" s="50"/>
      <c r="C293" s="50"/>
      <c r="D293" s="50"/>
      <c r="E293" s="271"/>
      <c r="F293" s="271"/>
      <c r="G293" s="271"/>
      <c r="H293" s="273"/>
      <c r="I293" s="273"/>
      <c r="J293" s="273"/>
      <c r="K293" s="273"/>
      <c r="L293" s="273"/>
    </row>
    <row r="294" spans="2:12" x14ac:dyDescent="0.3">
      <c r="B294" s="50"/>
      <c r="C294" s="50"/>
      <c r="D294" s="50"/>
      <c r="E294" s="271"/>
      <c r="F294" s="271"/>
      <c r="G294" s="271"/>
      <c r="H294" s="273"/>
      <c r="I294" s="273"/>
      <c r="J294" s="273"/>
      <c r="K294" s="273"/>
      <c r="L294" s="273"/>
    </row>
    <row r="295" spans="2:12" x14ac:dyDescent="0.3">
      <c r="B295" s="50"/>
      <c r="C295" s="50"/>
      <c r="D295" s="50"/>
      <c r="E295" s="271"/>
      <c r="F295" s="271"/>
      <c r="G295" s="271"/>
      <c r="H295" s="273"/>
      <c r="I295" s="273"/>
      <c r="J295" s="273"/>
      <c r="K295" s="273"/>
      <c r="L295" s="273"/>
    </row>
    <row r="296" spans="2:12" x14ac:dyDescent="0.3">
      <c r="B296" s="50"/>
      <c r="C296" s="50"/>
      <c r="D296" s="50"/>
      <c r="E296" s="271"/>
      <c r="F296" s="271"/>
      <c r="G296" s="271"/>
      <c r="H296" s="273"/>
      <c r="I296" s="273"/>
      <c r="J296" s="273"/>
      <c r="K296" s="273"/>
      <c r="L296" s="273"/>
    </row>
    <row r="297" spans="2:12" x14ac:dyDescent="0.3">
      <c r="B297" s="50"/>
      <c r="C297" s="50"/>
      <c r="D297" s="50"/>
      <c r="E297" s="271"/>
      <c r="F297" s="271"/>
      <c r="G297" s="271"/>
      <c r="H297" s="273"/>
      <c r="I297" s="273"/>
      <c r="J297" s="273"/>
      <c r="K297" s="273"/>
      <c r="L297" s="273"/>
    </row>
    <row r="298" spans="2:12" x14ac:dyDescent="0.3">
      <c r="B298" s="50"/>
      <c r="C298" s="50"/>
      <c r="D298" s="50"/>
      <c r="E298" s="271"/>
      <c r="F298" s="271"/>
      <c r="G298" s="271"/>
      <c r="H298" s="273"/>
      <c r="I298" s="273"/>
      <c r="J298" s="273"/>
      <c r="K298" s="273"/>
      <c r="L298" s="273"/>
    </row>
    <row r="299" spans="2:12" x14ac:dyDescent="0.3">
      <c r="B299" s="50"/>
      <c r="C299" s="50"/>
      <c r="D299" s="50"/>
      <c r="E299" s="271"/>
      <c r="F299" s="271"/>
      <c r="G299" s="271"/>
      <c r="H299" s="273"/>
      <c r="I299" s="273"/>
      <c r="J299" s="273"/>
      <c r="K299" s="273"/>
      <c r="L299" s="273"/>
    </row>
    <row r="300" spans="2:12" x14ac:dyDescent="0.3">
      <c r="B300" s="50"/>
      <c r="C300" s="50"/>
      <c r="D300" s="50"/>
      <c r="E300" s="271"/>
      <c r="F300" s="271"/>
      <c r="G300" s="271"/>
      <c r="H300" s="273"/>
      <c r="I300" s="273"/>
      <c r="J300" s="273"/>
      <c r="K300" s="273"/>
      <c r="L300" s="273"/>
    </row>
    <row r="301" spans="2:12" x14ac:dyDescent="0.3">
      <c r="B301" s="50"/>
      <c r="C301" s="50"/>
      <c r="D301" s="50"/>
      <c r="E301" s="271"/>
      <c r="F301" s="271"/>
      <c r="G301" s="271"/>
      <c r="H301" s="273"/>
      <c r="I301" s="273"/>
      <c r="J301" s="273"/>
      <c r="K301" s="273"/>
      <c r="L301" s="273"/>
    </row>
    <row r="302" spans="2:12" x14ac:dyDescent="0.3">
      <c r="B302" s="50"/>
      <c r="C302" s="50"/>
      <c r="D302" s="50"/>
      <c r="E302" s="271"/>
      <c r="F302" s="271"/>
      <c r="G302" s="271"/>
      <c r="H302" s="273"/>
      <c r="I302" s="273"/>
      <c r="J302" s="273"/>
      <c r="K302" s="273"/>
      <c r="L302" s="273"/>
    </row>
    <row r="303" spans="2:12" x14ac:dyDescent="0.3">
      <c r="B303" s="50"/>
      <c r="C303" s="50"/>
      <c r="D303" s="50"/>
      <c r="E303" s="271"/>
      <c r="F303" s="271"/>
      <c r="G303" s="271"/>
      <c r="H303" s="273"/>
      <c r="I303" s="273"/>
      <c r="J303" s="273"/>
      <c r="K303" s="273"/>
      <c r="L303" s="273"/>
    </row>
    <row r="304" spans="2:12" x14ac:dyDescent="0.3">
      <c r="B304" s="50"/>
      <c r="C304" s="50"/>
      <c r="D304" s="50"/>
      <c r="E304" s="271"/>
      <c r="F304" s="271"/>
      <c r="G304" s="271"/>
      <c r="H304" s="273"/>
      <c r="I304" s="273"/>
      <c r="J304" s="273"/>
      <c r="K304" s="273"/>
      <c r="L304" s="273"/>
    </row>
    <row r="305" spans="2:12" x14ac:dyDescent="0.3">
      <c r="B305" s="50"/>
      <c r="C305" s="50"/>
      <c r="D305" s="50"/>
      <c r="E305" s="271"/>
      <c r="F305" s="271"/>
      <c r="G305" s="271"/>
      <c r="H305" s="273"/>
      <c r="I305" s="273"/>
      <c r="J305" s="273"/>
      <c r="K305" s="273"/>
      <c r="L305" s="273"/>
    </row>
    <row r="306" spans="2:12" x14ac:dyDescent="0.3">
      <c r="B306" s="50"/>
      <c r="C306" s="50"/>
      <c r="D306" s="50"/>
      <c r="E306" s="271"/>
      <c r="F306" s="271"/>
      <c r="G306" s="271"/>
      <c r="H306" s="273"/>
      <c r="I306" s="273"/>
      <c r="J306" s="273"/>
      <c r="K306" s="273"/>
      <c r="L306" s="273"/>
    </row>
    <row r="307" spans="2:12" x14ac:dyDescent="0.3">
      <c r="B307" s="50"/>
      <c r="C307" s="50"/>
      <c r="D307" s="50"/>
      <c r="E307" s="271"/>
      <c r="F307" s="271"/>
      <c r="G307" s="271"/>
      <c r="H307" s="273"/>
      <c r="I307" s="273"/>
      <c r="J307" s="273"/>
      <c r="K307" s="273"/>
      <c r="L307" s="273"/>
    </row>
    <row r="308" spans="2:12" x14ac:dyDescent="0.3">
      <c r="B308" s="50"/>
      <c r="C308" s="50"/>
      <c r="D308" s="50"/>
      <c r="E308" s="271"/>
      <c r="F308" s="271"/>
      <c r="G308" s="271"/>
      <c r="H308" s="273"/>
      <c r="I308" s="273"/>
      <c r="J308" s="273"/>
      <c r="K308" s="273"/>
      <c r="L308" s="273"/>
    </row>
    <row r="309" spans="2:12" x14ac:dyDescent="0.3">
      <c r="B309" s="50"/>
      <c r="C309" s="50"/>
      <c r="D309" s="50"/>
      <c r="E309" s="271"/>
      <c r="F309" s="271"/>
      <c r="G309" s="271"/>
      <c r="H309" s="273"/>
      <c r="I309" s="273"/>
      <c r="J309" s="273"/>
      <c r="K309" s="273"/>
      <c r="L309" s="273"/>
    </row>
    <row r="310" spans="2:12" x14ac:dyDescent="0.3">
      <c r="B310" s="50"/>
      <c r="C310" s="50"/>
      <c r="D310" s="50"/>
      <c r="E310" s="271"/>
      <c r="F310" s="271"/>
      <c r="G310" s="271"/>
      <c r="H310" s="273"/>
      <c r="I310" s="273"/>
      <c r="J310" s="273"/>
      <c r="K310" s="273"/>
      <c r="L310" s="273"/>
    </row>
    <row r="311" spans="2:12" x14ac:dyDescent="0.3">
      <c r="B311" s="50"/>
      <c r="C311" s="50"/>
      <c r="D311" s="50"/>
      <c r="E311" s="271"/>
      <c r="F311" s="271"/>
      <c r="G311" s="271"/>
      <c r="H311" s="273"/>
      <c r="I311" s="273"/>
      <c r="J311" s="273"/>
      <c r="K311" s="273"/>
      <c r="L311" s="273"/>
    </row>
    <row r="312" spans="2:12" x14ac:dyDescent="0.3">
      <c r="B312" s="50"/>
      <c r="C312" s="50"/>
      <c r="D312" s="50"/>
      <c r="E312" s="271"/>
      <c r="F312" s="271"/>
      <c r="G312" s="271"/>
      <c r="H312" s="273"/>
      <c r="I312" s="273"/>
      <c r="J312" s="273"/>
      <c r="K312" s="273"/>
      <c r="L312" s="273"/>
    </row>
    <row r="313" spans="2:12" x14ac:dyDescent="0.3">
      <c r="B313" s="50"/>
      <c r="C313" s="50"/>
      <c r="D313" s="50"/>
      <c r="E313" s="271"/>
      <c r="F313" s="271"/>
      <c r="G313" s="271"/>
      <c r="H313" s="273"/>
      <c r="I313" s="273"/>
      <c r="J313" s="273"/>
      <c r="K313" s="273"/>
      <c r="L313" s="273"/>
    </row>
    <row r="314" spans="2:12" x14ac:dyDescent="0.3">
      <c r="B314" s="50"/>
      <c r="C314" s="50"/>
      <c r="D314" s="50"/>
      <c r="E314" s="271"/>
      <c r="F314" s="271"/>
      <c r="G314" s="271"/>
      <c r="H314" s="273"/>
      <c r="I314" s="273"/>
      <c r="J314" s="273"/>
      <c r="K314" s="273"/>
      <c r="L314" s="273"/>
    </row>
    <row r="315" spans="2:12" x14ac:dyDescent="0.3">
      <c r="B315" s="50"/>
      <c r="C315" s="50"/>
      <c r="D315" s="50"/>
      <c r="E315" s="271"/>
      <c r="F315" s="271"/>
      <c r="G315" s="271"/>
      <c r="H315" s="273"/>
      <c r="I315" s="273"/>
      <c r="J315" s="273"/>
      <c r="K315" s="273"/>
      <c r="L315" s="273"/>
    </row>
    <row r="316" spans="2:12" x14ac:dyDescent="0.3">
      <c r="B316" s="50"/>
      <c r="C316" s="50"/>
      <c r="D316" s="50"/>
      <c r="E316" s="271"/>
      <c r="F316" s="271"/>
      <c r="G316" s="271"/>
      <c r="H316" s="273"/>
      <c r="I316" s="273"/>
      <c r="J316" s="273"/>
      <c r="K316" s="273"/>
      <c r="L316" s="273"/>
    </row>
    <row r="317" spans="2:12" x14ac:dyDescent="0.3">
      <c r="B317" s="50"/>
      <c r="C317" s="50"/>
      <c r="D317" s="50"/>
      <c r="E317" s="271"/>
      <c r="F317" s="271"/>
      <c r="G317" s="271"/>
      <c r="H317" s="273"/>
      <c r="I317" s="273"/>
      <c r="J317" s="273"/>
      <c r="K317" s="273"/>
      <c r="L317" s="273"/>
    </row>
    <row r="318" spans="2:12" x14ac:dyDescent="0.3">
      <c r="B318" s="50"/>
      <c r="C318" s="50"/>
      <c r="D318" s="50"/>
      <c r="E318" s="271"/>
      <c r="F318" s="271"/>
      <c r="G318" s="271"/>
      <c r="H318" s="273"/>
      <c r="I318" s="273"/>
      <c r="J318" s="273"/>
      <c r="K318" s="273"/>
      <c r="L318" s="273"/>
    </row>
    <row r="319" spans="2:12" x14ac:dyDescent="0.3">
      <c r="B319" s="50"/>
      <c r="C319" s="50"/>
      <c r="D319" s="50"/>
      <c r="E319" s="271"/>
      <c r="F319" s="271"/>
      <c r="G319" s="271"/>
      <c r="H319" s="273"/>
      <c r="I319" s="273"/>
      <c r="J319" s="273"/>
      <c r="K319" s="273"/>
      <c r="L319" s="273"/>
    </row>
    <row r="320" spans="2:12" x14ac:dyDescent="0.3">
      <c r="B320" s="50"/>
      <c r="C320" s="50"/>
      <c r="D320" s="50"/>
      <c r="E320" s="271"/>
      <c r="F320" s="271"/>
      <c r="G320" s="271"/>
      <c r="H320" s="273"/>
      <c r="I320" s="273"/>
      <c r="J320" s="273"/>
      <c r="K320" s="273"/>
      <c r="L320" s="273"/>
    </row>
    <row r="321" spans="2:12" x14ac:dyDescent="0.3">
      <c r="B321" s="50"/>
      <c r="C321" s="50"/>
      <c r="D321" s="50"/>
      <c r="E321" s="271"/>
      <c r="F321" s="271"/>
      <c r="G321" s="271"/>
      <c r="H321" s="273"/>
      <c r="I321" s="273"/>
      <c r="J321" s="273"/>
      <c r="K321" s="273"/>
      <c r="L321" s="273"/>
    </row>
    <row r="322" spans="2:12" x14ac:dyDescent="0.3">
      <c r="B322" s="50"/>
      <c r="C322" s="50"/>
      <c r="D322" s="50"/>
      <c r="E322" s="271"/>
      <c r="F322" s="271"/>
      <c r="G322" s="271"/>
      <c r="H322" s="273"/>
      <c r="I322" s="273"/>
      <c r="J322" s="273"/>
      <c r="K322" s="273"/>
      <c r="L322" s="273"/>
    </row>
    <row r="323" spans="2:12" x14ac:dyDescent="0.3">
      <c r="B323" s="50"/>
      <c r="C323" s="50"/>
      <c r="D323" s="50"/>
      <c r="E323" s="271"/>
      <c r="F323" s="271"/>
      <c r="G323" s="271"/>
      <c r="H323" s="273"/>
      <c r="I323" s="273"/>
      <c r="J323" s="273"/>
      <c r="K323" s="273"/>
      <c r="L323" s="273"/>
    </row>
    <row r="324" spans="2:12" x14ac:dyDescent="0.3">
      <c r="B324" s="50"/>
      <c r="C324" s="50"/>
      <c r="D324" s="50"/>
      <c r="E324" s="271"/>
      <c r="F324" s="271"/>
      <c r="G324" s="271"/>
      <c r="H324" s="273"/>
      <c r="I324" s="273"/>
      <c r="J324" s="273"/>
      <c r="K324" s="273"/>
      <c r="L324" s="273"/>
    </row>
    <row r="325" spans="2:12" x14ac:dyDescent="0.3">
      <c r="B325" s="50"/>
      <c r="C325" s="50"/>
      <c r="D325" s="50"/>
      <c r="E325" s="271"/>
      <c r="F325" s="271"/>
      <c r="G325" s="271"/>
      <c r="H325" s="273"/>
      <c r="I325" s="273"/>
      <c r="J325" s="273"/>
      <c r="K325" s="273"/>
      <c r="L325" s="273"/>
    </row>
    <row r="326" spans="2:12" x14ac:dyDescent="0.3">
      <c r="B326" s="50"/>
      <c r="C326" s="50"/>
      <c r="D326" s="50"/>
      <c r="E326" s="271"/>
      <c r="F326" s="271"/>
      <c r="G326" s="271"/>
      <c r="H326" s="273"/>
      <c r="I326" s="273"/>
      <c r="J326" s="273"/>
      <c r="K326" s="273"/>
      <c r="L326" s="273"/>
    </row>
    <row r="327" spans="2:12" x14ac:dyDescent="0.3">
      <c r="B327" s="50"/>
      <c r="C327" s="50"/>
      <c r="D327" s="50"/>
      <c r="E327" s="271"/>
      <c r="F327" s="271"/>
      <c r="G327" s="271"/>
      <c r="H327" s="273"/>
      <c r="I327" s="273"/>
      <c r="J327" s="273"/>
      <c r="K327" s="273"/>
      <c r="L327" s="273"/>
    </row>
    <row r="328" spans="2:12" x14ac:dyDescent="0.3">
      <c r="B328" s="50"/>
      <c r="C328" s="50"/>
      <c r="D328" s="50"/>
      <c r="E328" s="271"/>
      <c r="F328" s="271"/>
      <c r="G328" s="271"/>
      <c r="H328" s="273"/>
      <c r="I328" s="273"/>
      <c r="J328" s="273"/>
      <c r="K328" s="273"/>
      <c r="L328" s="273"/>
    </row>
    <row r="329" spans="2:12" x14ac:dyDescent="0.3">
      <c r="B329" s="50"/>
      <c r="C329" s="50"/>
      <c r="D329" s="50"/>
      <c r="E329" s="271"/>
      <c r="F329" s="271"/>
      <c r="G329" s="271"/>
      <c r="H329" s="273"/>
      <c r="I329" s="273"/>
      <c r="J329" s="273"/>
      <c r="K329" s="273"/>
      <c r="L329" s="273"/>
    </row>
    <row r="330" spans="2:12" x14ac:dyDescent="0.3">
      <c r="B330" s="50"/>
      <c r="C330" s="50"/>
      <c r="D330" s="50"/>
      <c r="E330" s="271"/>
      <c r="F330" s="271"/>
      <c r="G330" s="271"/>
      <c r="H330" s="273"/>
      <c r="I330" s="273"/>
      <c r="J330" s="273"/>
      <c r="K330" s="273"/>
      <c r="L330" s="273"/>
    </row>
    <row r="331" spans="2:12" x14ac:dyDescent="0.3">
      <c r="B331" s="50"/>
      <c r="C331" s="50"/>
      <c r="D331" s="50"/>
      <c r="E331" s="271"/>
      <c r="F331" s="271"/>
      <c r="G331" s="271"/>
      <c r="H331" s="273"/>
      <c r="I331" s="273"/>
      <c r="J331" s="273"/>
      <c r="K331" s="273"/>
      <c r="L331" s="273"/>
    </row>
    <row r="332" spans="2:12" x14ac:dyDescent="0.3">
      <c r="B332" s="50"/>
      <c r="C332" s="50"/>
      <c r="D332" s="50"/>
      <c r="E332" s="271"/>
      <c r="F332" s="271"/>
      <c r="G332" s="271"/>
      <c r="H332" s="273"/>
      <c r="I332" s="273"/>
      <c r="J332" s="273"/>
      <c r="K332" s="273"/>
      <c r="L332" s="273"/>
    </row>
    <row r="333" spans="2:12" x14ac:dyDescent="0.3">
      <c r="B333" s="50"/>
      <c r="C333" s="50"/>
      <c r="D333" s="50"/>
      <c r="E333" s="271"/>
      <c r="F333" s="271"/>
      <c r="G333" s="271"/>
      <c r="H333" s="273"/>
      <c r="I333" s="273"/>
      <c r="J333" s="273"/>
      <c r="K333" s="273"/>
      <c r="L333" s="273"/>
    </row>
    <row r="334" spans="2:12" x14ac:dyDescent="0.3">
      <c r="B334" s="50"/>
      <c r="C334" s="50"/>
      <c r="D334" s="50"/>
      <c r="E334" s="271"/>
      <c r="F334" s="271"/>
      <c r="G334" s="271"/>
      <c r="H334" s="273"/>
      <c r="I334" s="273"/>
      <c r="J334" s="273"/>
      <c r="K334" s="273"/>
      <c r="L334" s="273"/>
    </row>
    <row r="335" spans="2:12" x14ac:dyDescent="0.3">
      <c r="B335" s="50"/>
      <c r="C335" s="50"/>
      <c r="D335" s="50"/>
      <c r="E335" s="271"/>
      <c r="F335" s="271"/>
      <c r="G335" s="271"/>
      <c r="H335" s="273"/>
      <c r="I335" s="273"/>
      <c r="J335" s="273"/>
      <c r="K335" s="273"/>
      <c r="L335" s="273"/>
    </row>
    <row r="336" spans="2:12" x14ac:dyDescent="0.3">
      <c r="B336" s="50"/>
      <c r="C336" s="50"/>
      <c r="D336" s="50"/>
      <c r="E336" s="271"/>
      <c r="F336" s="271"/>
      <c r="G336" s="271"/>
      <c r="H336" s="273"/>
      <c r="I336" s="273"/>
      <c r="J336" s="273"/>
      <c r="K336" s="273"/>
      <c r="L336" s="273"/>
    </row>
    <row r="337" spans="2:12" x14ac:dyDescent="0.3">
      <c r="B337" s="50"/>
      <c r="C337" s="50"/>
      <c r="D337" s="50"/>
      <c r="E337" s="271"/>
      <c r="F337" s="271"/>
      <c r="G337" s="271"/>
      <c r="H337" s="273"/>
      <c r="I337" s="273"/>
      <c r="J337" s="273"/>
      <c r="K337" s="273"/>
      <c r="L337" s="273"/>
    </row>
    <row r="338" spans="2:12" x14ac:dyDescent="0.3">
      <c r="B338" s="50"/>
      <c r="C338" s="50"/>
      <c r="D338" s="50"/>
      <c r="E338" s="271"/>
      <c r="F338" s="271"/>
      <c r="G338" s="271"/>
      <c r="H338" s="273"/>
      <c r="I338" s="273"/>
      <c r="J338" s="273"/>
      <c r="K338" s="273"/>
      <c r="L338" s="273"/>
    </row>
    <row r="339" spans="2:12" x14ac:dyDescent="0.3">
      <c r="B339" s="50"/>
      <c r="C339" s="50"/>
      <c r="D339" s="50"/>
      <c r="E339" s="271"/>
      <c r="F339" s="271"/>
      <c r="G339" s="271"/>
      <c r="H339" s="273"/>
      <c r="I339" s="273"/>
      <c r="J339" s="273"/>
      <c r="K339" s="273"/>
      <c r="L339" s="273"/>
    </row>
    <row r="340" spans="2:12" x14ac:dyDescent="0.3">
      <c r="B340" s="50"/>
      <c r="C340" s="50"/>
      <c r="D340" s="50"/>
      <c r="E340" s="271"/>
      <c r="F340" s="271"/>
      <c r="G340" s="271"/>
      <c r="H340" s="273"/>
      <c r="I340" s="273"/>
      <c r="J340" s="273"/>
      <c r="K340" s="273"/>
      <c r="L340" s="273"/>
    </row>
    <row r="341" spans="2:12" x14ac:dyDescent="0.3">
      <c r="B341" s="50"/>
      <c r="C341" s="50"/>
      <c r="D341" s="50"/>
      <c r="E341" s="271"/>
      <c r="F341" s="271"/>
      <c r="G341" s="271"/>
      <c r="H341" s="273"/>
      <c r="I341" s="273"/>
      <c r="J341" s="273"/>
      <c r="K341" s="273"/>
      <c r="L341" s="273"/>
    </row>
    <row r="342" spans="2:12" x14ac:dyDescent="0.3">
      <c r="B342" s="50"/>
      <c r="C342" s="50"/>
      <c r="D342" s="50"/>
      <c r="E342" s="271"/>
      <c r="F342" s="271"/>
      <c r="G342" s="271"/>
      <c r="H342" s="273"/>
      <c r="I342" s="273"/>
      <c r="J342" s="273"/>
      <c r="K342" s="273"/>
      <c r="L342" s="273"/>
    </row>
    <row r="343" spans="2:12" x14ac:dyDescent="0.3">
      <c r="B343" s="50"/>
      <c r="C343" s="50"/>
      <c r="D343" s="50"/>
      <c r="E343" s="271"/>
      <c r="F343" s="271"/>
      <c r="G343" s="271"/>
      <c r="H343" s="273"/>
      <c r="I343" s="273"/>
      <c r="J343" s="273"/>
      <c r="K343" s="273"/>
      <c r="L343" s="273"/>
    </row>
    <row r="344" spans="2:12" x14ac:dyDescent="0.3">
      <c r="B344" s="50"/>
      <c r="C344" s="50"/>
      <c r="D344" s="50"/>
      <c r="E344" s="271"/>
      <c r="F344" s="271"/>
      <c r="G344" s="271"/>
      <c r="H344" s="273"/>
      <c r="I344" s="273"/>
      <c r="J344" s="273"/>
      <c r="K344" s="273"/>
      <c r="L344" s="273"/>
    </row>
    <row r="345" spans="2:12" x14ac:dyDescent="0.3">
      <c r="B345" s="50"/>
      <c r="C345" s="50"/>
      <c r="D345" s="50"/>
      <c r="E345" s="271"/>
      <c r="F345" s="271"/>
      <c r="G345" s="271"/>
      <c r="H345" s="273"/>
      <c r="I345" s="273"/>
      <c r="J345" s="273"/>
      <c r="K345" s="273"/>
      <c r="L345" s="273"/>
    </row>
    <row r="346" spans="2:12" x14ac:dyDescent="0.3">
      <c r="B346" s="50"/>
      <c r="C346" s="50"/>
      <c r="D346" s="50"/>
      <c r="E346" s="271"/>
      <c r="F346" s="271"/>
      <c r="G346" s="271"/>
      <c r="H346" s="273"/>
      <c r="I346" s="273"/>
      <c r="J346" s="273"/>
      <c r="K346" s="273"/>
      <c r="L346" s="273"/>
    </row>
    <row r="347" spans="2:12" x14ac:dyDescent="0.3">
      <c r="B347" s="50"/>
      <c r="C347" s="50"/>
      <c r="D347" s="50"/>
      <c r="E347" s="271"/>
      <c r="F347" s="271"/>
      <c r="G347" s="271"/>
      <c r="H347" s="273"/>
      <c r="I347" s="273"/>
      <c r="J347" s="273"/>
      <c r="K347" s="273"/>
      <c r="L347" s="273"/>
    </row>
    <row r="348" spans="2:12" x14ac:dyDescent="0.3">
      <c r="B348" s="50"/>
      <c r="C348" s="50"/>
      <c r="D348" s="50"/>
      <c r="E348" s="271"/>
      <c r="F348" s="271"/>
      <c r="G348" s="271"/>
      <c r="H348" s="273"/>
      <c r="I348" s="273"/>
      <c r="J348" s="273"/>
      <c r="K348" s="273"/>
      <c r="L348" s="273"/>
    </row>
    <row r="349" spans="2:12" x14ac:dyDescent="0.3">
      <c r="B349" s="50"/>
      <c r="C349" s="50"/>
      <c r="D349" s="50"/>
      <c r="E349" s="271"/>
      <c r="F349" s="271"/>
      <c r="G349" s="271"/>
      <c r="H349" s="273"/>
      <c r="I349" s="273"/>
      <c r="J349" s="273"/>
      <c r="K349" s="273"/>
      <c r="L349" s="273"/>
    </row>
    <row r="350" spans="2:12" x14ac:dyDescent="0.3">
      <c r="B350" s="50"/>
      <c r="C350" s="50"/>
      <c r="D350" s="50"/>
      <c r="E350" s="271"/>
      <c r="F350" s="271"/>
      <c r="G350" s="271"/>
      <c r="H350" s="273"/>
      <c r="I350" s="273"/>
      <c r="J350" s="273"/>
      <c r="K350" s="273"/>
      <c r="L350" s="273"/>
    </row>
    <row r="351" spans="2:12" x14ac:dyDescent="0.3">
      <c r="B351" s="50"/>
      <c r="C351" s="50"/>
      <c r="D351" s="50"/>
      <c r="E351" s="271"/>
      <c r="F351" s="271"/>
      <c r="G351" s="271"/>
      <c r="H351" s="273"/>
      <c r="I351" s="273"/>
      <c r="J351" s="273"/>
      <c r="K351" s="273"/>
      <c r="L351" s="273"/>
    </row>
    <row r="352" spans="2:12" x14ac:dyDescent="0.3">
      <c r="B352" s="50"/>
      <c r="C352" s="50"/>
      <c r="D352" s="50"/>
      <c r="E352" s="271"/>
      <c r="F352" s="271"/>
      <c r="G352" s="271"/>
      <c r="H352" s="273"/>
      <c r="I352" s="273"/>
      <c r="J352" s="273"/>
      <c r="K352" s="273"/>
      <c r="L352" s="273"/>
    </row>
    <row r="353" spans="2:12" x14ac:dyDescent="0.3">
      <c r="B353" s="50"/>
      <c r="C353" s="50"/>
      <c r="D353" s="50"/>
      <c r="E353" s="271"/>
      <c r="F353" s="271"/>
      <c r="G353" s="271"/>
      <c r="H353" s="273"/>
      <c r="I353" s="273"/>
      <c r="J353" s="273"/>
      <c r="K353" s="273"/>
      <c r="L353" s="273"/>
    </row>
    <row r="354" spans="2:12" x14ac:dyDescent="0.3">
      <c r="B354" s="50"/>
      <c r="C354" s="50"/>
      <c r="D354" s="50"/>
      <c r="E354" s="271"/>
      <c r="F354" s="271"/>
      <c r="G354" s="271"/>
      <c r="H354" s="273"/>
      <c r="I354" s="273"/>
      <c r="J354" s="273"/>
      <c r="K354" s="273"/>
      <c r="L354" s="273"/>
    </row>
    <row r="355" spans="2:12" x14ac:dyDescent="0.3">
      <c r="B355" s="50"/>
      <c r="C355" s="50"/>
      <c r="D355" s="50"/>
      <c r="E355" s="271"/>
      <c r="F355" s="271"/>
      <c r="G355" s="271"/>
      <c r="H355" s="273"/>
      <c r="I355" s="273"/>
      <c r="J355" s="273"/>
      <c r="K355" s="273"/>
      <c r="L355" s="273"/>
    </row>
    <row r="356" spans="2:12" x14ac:dyDescent="0.3">
      <c r="B356" s="50"/>
      <c r="C356" s="50"/>
      <c r="D356" s="50"/>
      <c r="E356" s="271"/>
      <c r="F356" s="271"/>
      <c r="G356" s="271"/>
      <c r="H356" s="273"/>
      <c r="I356" s="273"/>
      <c r="J356" s="273"/>
      <c r="K356" s="273"/>
      <c r="L356" s="273"/>
    </row>
    <row r="357" spans="2:12" x14ac:dyDescent="0.3">
      <c r="B357" s="50"/>
      <c r="C357" s="50"/>
      <c r="D357" s="50"/>
      <c r="E357" s="271"/>
      <c r="F357" s="271"/>
      <c r="G357" s="271"/>
      <c r="H357" s="273"/>
      <c r="I357" s="273"/>
      <c r="J357" s="273"/>
      <c r="K357" s="273"/>
      <c r="L357" s="273"/>
    </row>
    <row r="358" spans="2:12" x14ac:dyDescent="0.3">
      <c r="B358" s="50"/>
      <c r="C358" s="50"/>
      <c r="D358" s="50"/>
      <c r="E358" s="271"/>
      <c r="F358" s="271"/>
      <c r="G358" s="271"/>
      <c r="H358" s="273"/>
      <c r="I358" s="273"/>
      <c r="J358" s="273"/>
      <c r="K358" s="273"/>
      <c r="L358" s="273"/>
    </row>
    <row r="359" spans="2:12" x14ac:dyDescent="0.3">
      <c r="B359" s="50"/>
      <c r="C359" s="50"/>
      <c r="D359" s="50"/>
      <c r="E359" s="271"/>
      <c r="F359" s="271"/>
      <c r="G359" s="271"/>
      <c r="H359" s="273"/>
      <c r="I359" s="273"/>
      <c r="J359" s="273"/>
      <c r="K359" s="273"/>
      <c r="L359" s="273"/>
    </row>
    <row r="360" spans="2:12" x14ac:dyDescent="0.3">
      <c r="B360" s="50"/>
      <c r="C360" s="50"/>
      <c r="D360" s="50"/>
      <c r="E360" s="271"/>
      <c r="F360" s="271"/>
      <c r="G360" s="271"/>
      <c r="H360" s="273"/>
      <c r="I360" s="273"/>
      <c r="J360" s="273"/>
      <c r="K360" s="273"/>
      <c r="L360" s="273"/>
    </row>
    <row r="361" spans="2:12" x14ac:dyDescent="0.3">
      <c r="B361" s="50"/>
      <c r="C361" s="50"/>
      <c r="D361" s="50"/>
      <c r="E361" s="271"/>
      <c r="F361" s="271"/>
      <c r="G361" s="271"/>
      <c r="H361" s="273"/>
      <c r="I361" s="273"/>
      <c r="J361" s="273"/>
      <c r="K361" s="273"/>
      <c r="L361" s="273"/>
    </row>
    <row r="362" spans="2:12" x14ac:dyDescent="0.3">
      <c r="B362" s="50"/>
      <c r="C362" s="50"/>
      <c r="D362" s="50"/>
      <c r="E362" s="271"/>
      <c r="F362" s="271"/>
      <c r="G362" s="271"/>
      <c r="H362" s="273"/>
      <c r="I362" s="273"/>
      <c r="J362" s="273"/>
      <c r="K362" s="273"/>
      <c r="L362" s="273"/>
    </row>
    <row r="363" spans="2:12" x14ac:dyDescent="0.3">
      <c r="B363" s="50"/>
      <c r="C363" s="50"/>
      <c r="D363" s="50"/>
      <c r="E363" s="271"/>
      <c r="F363" s="271"/>
      <c r="G363" s="271"/>
      <c r="H363" s="273"/>
      <c r="I363" s="273"/>
      <c r="J363" s="273"/>
      <c r="K363" s="273"/>
      <c r="L363" s="273"/>
    </row>
    <row r="364" spans="2:12" x14ac:dyDescent="0.3">
      <c r="B364" s="50"/>
      <c r="C364" s="50"/>
      <c r="D364" s="50"/>
      <c r="E364" s="271"/>
      <c r="F364" s="271"/>
      <c r="G364" s="271"/>
      <c r="H364" s="273"/>
      <c r="I364" s="273"/>
      <c r="J364" s="273"/>
      <c r="K364" s="273"/>
      <c r="L364" s="273"/>
    </row>
    <row r="365" spans="2:12" x14ac:dyDescent="0.3">
      <c r="B365" s="50"/>
      <c r="C365" s="50"/>
      <c r="D365" s="50"/>
      <c r="E365" s="271"/>
      <c r="F365" s="271"/>
      <c r="G365" s="271"/>
      <c r="H365" s="273"/>
      <c r="I365" s="273"/>
      <c r="J365" s="273"/>
      <c r="K365" s="273"/>
      <c r="L365" s="273"/>
    </row>
    <row r="366" spans="2:12" x14ac:dyDescent="0.3">
      <c r="B366" s="50"/>
      <c r="C366" s="50"/>
      <c r="D366" s="50"/>
      <c r="E366" s="271"/>
      <c r="F366" s="271"/>
      <c r="G366" s="271"/>
      <c r="H366" s="273"/>
      <c r="I366" s="273"/>
      <c r="J366" s="273"/>
      <c r="K366" s="273"/>
      <c r="L366" s="273"/>
    </row>
    <row r="367" spans="2:12" x14ac:dyDescent="0.3">
      <c r="B367" s="50"/>
      <c r="C367" s="50"/>
      <c r="D367" s="50"/>
      <c r="E367" s="271"/>
      <c r="F367" s="271"/>
      <c r="G367" s="271"/>
      <c r="H367" s="273"/>
      <c r="I367" s="273"/>
      <c r="J367" s="273"/>
      <c r="K367" s="273"/>
      <c r="L367" s="273"/>
    </row>
    <row r="368" spans="2:12" x14ac:dyDescent="0.3">
      <c r="B368" s="50"/>
      <c r="C368" s="50"/>
      <c r="D368" s="50"/>
      <c r="E368" s="271"/>
      <c r="F368" s="271"/>
      <c r="G368" s="271"/>
      <c r="H368" s="273"/>
      <c r="I368" s="273"/>
      <c r="J368" s="273"/>
      <c r="K368" s="273"/>
      <c r="L368" s="273"/>
    </row>
    <row r="369" spans="2:12" x14ac:dyDescent="0.3">
      <c r="B369" s="50"/>
      <c r="C369" s="50"/>
      <c r="D369" s="50"/>
      <c r="E369" s="271"/>
      <c r="F369" s="271"/>
      <c r="G369" s="271"/>
      <c r="H369" s="273"/>
      <c r="I369" s="273"/>
      <c r="J369" s="273"/>
      <c r="K369" s="273"/>
      <c r="L369" s="273"/>
    </row>
    <row r="370" spans="2:12" x14ac:dyDescent="0.3">
      <c r="B370" s="50"/>
      <c r="C370" s="50"/>
      <c r="D370" s="50"/>
      <c r="E370" s="271"/>
      <c r="F370" s="271"/>
      <c r="G370" s="271"/>
      <c r="H370" s="273"/>
      <c r="I370" s="273"/>
      <c r="J370" s="273"/>
      <c r="K370" s="273"/>
      <c r="L370" s="273"/>
    </row>
    <row r="371" spans="2:12" x14ac:dyDescent="0.3">
      <c r="B371" s="50"/>
      <c r="C371" s="50"/>
      <c r="D371" s="50"/>
      <c r="E371" s="271"/>
      <c r="F371" s="271"/>
      <c r="G371" s="271"/>
      <c r="H371" s="273"/>
      <c r="I371" s="273"/>
      <c r="J371" s="273"/>
      <c r="K371" s="273"/>
      <c r="L371" s="273"/>
    </row>
    <row r="372" spans="2:12" x14ac:dyDescent="0.3">
      <c r="B372" s="50"/>
      <c r="C372" s="50"/>
      <c r="D372" s="50"/>
      <c r="E372" s="271"/>
      <c r="F372" s="271"/>
      <c r="G372" s="271"/>
      <c r="H372" s="273"/>
      <c r="I372" s="273"/>
      <c r="J372" s="273"/>
      <c r="K372" s="273"/>
      <c r="L372" s="273"/>
    </row>
    <row r="373" spans="2:12" x14ac:dyDescent="0.3">
      <c r="B373" s="50"/>
      <c r="C373" s="50"/>
      <c r="D373" s="50"/>
      <c r="E373" s="271"/>
      <c r="F373" s="271"/>
      <c r="G373" s="271"/>
      <c r="H373" s="273"/>
      <c r="I373" s="273"/>
      <c r="J373" s="273"/>
      <c r="K373" s="273"/>
      <c r="L373" s="273"/>
    </row>
    <row r="374" spans="2:12" x14ac:dyDescent="0.3">
      <c r="B374" s="50"/>
      <c r="C374" s="50"/>
      <c r="D374" s="50"/>
      <c r="E374" s="271"/>
      <c r="F374" s="271"/>
      <c r="G374" s="271"/>
      <c r="H374" s="273"/>
      <c r="I374" s="273"/>
      <c r="J374" s="273"/>
      <c r="K374" s="273"/>
      <c r="L374" s="273"/>
    </row>
    <row r="375" spans="2:12" x14ac:dyDescent="0.3">
      <c r="B375" s="50"/>
      <c r="C375" s="50"/>
      <c r="D375" s="50"/>
      <c r="E375" s="271"/>
      <c r="F375" s="271"/>
      <c r="G375" s="271"/>
      <c r="H375" s="273"/>
      <c r="I375" s="273"/>
      <c r="J375" s="273"/>
      <c r="K375" s="273"/>
      <c r="L375" s="273"/>
    </row>
    <row r="376" spans="2:12" x14ac:dyDescent="0.3">
      <c r="B376" s="50"/>
      <c r="C376" s="50"/>
      <c r="D376" s="50"/>
      <c r="E376" s="271"/>
      <c r="F376" s="271"/>
      <c r="G376" s="271"/>
      <c r="H376" s="273"/>
      <c r="I376" s="273"/>
      <c r="J376" s="273"/>
      <c r="K376" s="273"/>
      <c r="L376" s="273"/>
    </row>
    <row r="377" spans="2:12" x14ac:dyDescent="0.3">
      <c r="B377" s="50"/>
      <c r="C377" s="50"/>
      <c r="D377" s="50"/>
      <c r="E377" s="271"/>
      <c r="F377" s="271"/>
      <c r="G377" s="271"/>
      <c r="H377" s="273"/>
      <c r="I377" s="273"/>
      <c r="J377" s="273"/>
      <c r="K377" s="273"/>
      <c r="L377" s="273"/>
    </row>
    <row r="378" spans="2:12" x14ac:dyDescent="0.3">
      <c r="B378" s="50"/>
      <c r="C378" s="50"/>
      <c r="D378" s="50"/>
      <c r="E378" s="271"/>
      <c r="F378" s="271"/>
      <c r="G378" s="271"/>
      <c r="H378" s="273"/>
      <c r="I378" s="273"/>
      <c r="J378" s="273"/>
      <c r="K378" s="273"/>
      <c r="L378" s="273"/>
    </row>
    <row r="379" spans="2:12" x14ac:dyDescent="0.3">
      <c r="B379" s="50"/>
      <c r="C379" s="50"/>
      <c r="D379" s="50"/>
      <c r="E379" s="271"/>
      <c r="F379" s="271"/>
      <c r="G379" s="271"/>
      <c r="H379" s="273"/>
      <c r="I379" s="273"/>
      <c r="J379" s="273"/>
      <c r="K379" s="273"/>
      <c r="L379" s="273"/>
    </row>
    <row r="380" spans="2:12" x14ac:dyDescent="0.3">
      <c r="B380" s="50"/>
      <c r="C380" s="50"/>
      <c r="D380" s="50"/>
      <c r="E380" s="271"/>
      <c r="F380" s="271"/>
      <c r="G380" s="271"/>
      <c r="H380" s="273"/>
      <c r="I380" s="273"/>
      <c r="J380" s="273"/>
      <c r="K380" s="273"/>
      <c r="L380" s="273"/>
    </row>
    <row r="381" spans="2:12" x14ac:dyDescent="0.3">
      <c r="B381" s="50"/>
      <c r="C381" s="50"/>
      <c r="D381" s="50"/>
      <c r="E381" s="271"/>
      <c r="F381" s="271"/>
      <c r="G381" s="271"/>
      <c r="H381" s="273"/>
      <c r="I381" s="273"/>
      <c r="J381" s="273"/>
      <c r="K381" s="273"/>
      <c r="L381" s="273"/>
    </row>
    <row r="382" spans="2:12" x14ac:dyDescent="0.3">
      <c r="B382" s="50"/>
      <c r="C382" s="50"/>
      <c r="D382" s="50"/>
      <c r="E382" s="271"/>
      <c r="F382" s="271"/>
      <c r="G382" s="271"/>
      <c r="H382" s="273"/>
      <c r="I382" s="273"/>
      <c r="J382" s="273"/>
      <c r="K382" s="273"/>
      <c r="L382" s="273"/>
    </row>
    <row r="383" spans="2:12" x14ac:dyDescent="0.3">
      <c r="B383" s="50"/>
      <c r="C383" s="50"/>
      <c r="D383" s="50"/>
      <c r="E383" s="271"/>
      <c r="F383" s="271"/>
      <c r="G383" s="271"/>
      <c r="H383" s="273"/>
      <c r="I383" s="273"/>
      <c r="J383" s="273"/>
      <c r="K383" s="273"/>
      <c r="L383" s="273"/>
    </row>
    <row r="384" spans="2:12" x14ac:dyDescent="0.3">
      <c r="B384" s="50"/>
      <c r="C384" s="50"/>
      <c r="D384" s="50"/>
      <c r="E384" s="271"/>
      <c r="F384" s="271"/>
      <c r="G384" s="271"/>
      <c r="H384" s="273"/>
      <c r="I384" s="273"/>
      <c r="J384" s="273"/>
      <c r="K384" s="273"/>
      <c r="L384" s="273"/>
    </row>
    <row r="385" spans="2:12" x14ac:dyDescent="0.3">
      <c r="B385" s="50"/>
      <c r="C385" s="50"/>
      <c r="D385" s="50"/>
      <c r="E385" s="271"/>
      <c r="F385" s="271"/>
      <c r="G385" s="271"/>
      <c r="H385" s="273"/>
      <c r="I385" s="273"/>
      <c r="J385" s="273"/>
      <c r="K385" s="273"/>
      <c r="L385" s="273"/>
    </row>
    <row r="386" spans="2:12" x14ac:dyDescent="0.3">
      <c r="B386" s="50"/>
      <c r="C386" s="50"/>
      <c r="D386" s="50"/>
      <c r="E386" s="271"/>
      <c r="F386" s="271"/>
      <c r="G386" s="271"/>
      <c r="H386" s="273"/>
      <c r="I386" s="273"/>
      <c r="J386" s="273"/>
      <c r="K386" s="273"/>
      <c r="L386" s="273"/>
    </row>
    <row r="387" spans="2:12" x14ac:dyDescent="0.3">
      <c r="B387" s="50"/>
      <c r="C387" s="50"/>
      <c r="D387" s="50"/>
      <c r="E387" s="271"/>
      <c r="F387" s="271"/>
      <c r="G387" s="271"/>
      <c r="H387" s="273"/>
      <c r="I387" s="273"/>
      <c r="J387" s="273"/>
      <c r="K387" s="273"/>
      <c r="L387" s="273"/>
    </row>
    <row r="388" spans="2:12" x14ac:dyDescent="0.3">
      <c r="B388" s="50"/>
      <c r="C388" s="50"/>
      <c r="D388" s="50"/>
      <c r="E388" s="271"/>
      <c r="F388" s="271"/>
      <c r="G388" s="271"/>
      <c r="H388" s="273"/>
      <c r="I388" s="273"/>
      <c r="J388" s="273"/>
      <c r="K388" s="273"/>
      <c r="L388" s="273"/>
    </row>
    <row r="389" spans="2:12" x14ac:dyDescent="0.3">
      <c r="B389" s="50"/>
      <c r="C389" s="50"/>
      <c r="D389" s="50"/>
      <c r="E389" s="271"/>
      <c r="F389" s="271"/>
      <c r="G389" s="271"/>
      <c r="H389" s="273"/>
      <c r="I389" s="273"/>
      <c r="J389" s="273"/>
      <c r="K389" s="273"/>
      <c r="L389" s="273"/>
    </row>
    <row r="426" spans="13:13" x14ac:dyDescent="0.3">
      <c r="M426" s="30"/>
    </row>
  </sheetData>
  <mergeCells count="15">
    <mergeCell ref="Y26:Z26"/>
    <mergeCell ref="AT26:AU26"/>
    <mergeCell ref="T60:V60"/>
    <mergeCell ref="AB26:AC26"/>
    <mergeCell ref="AE26:AF26"/>
    <mergeCell ref="AH26:AI26"/>
    <mergeCell ref="AK26:AL26"/>
    <mergeCell ref="AN26:AO26"/>
    <mergeCell ref="AQ26:AR26"/>
    <mergeCell ref="B1:M1"/>
    <mergeCell ref="M26:N26"/>
    <mergeCell ref="P26:Q26"/>
    <mergeCell ref="S26:T26"/>
    <mergeCell ref="V26:W26"/>
    <mergeCell ref="M3:M4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9" orientation="portrait" r:id="rId1"/>
  <colBreaks count="1" manualBreakCount="1">
    <brk id="16" max="1048575" man="1"/>
  </col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DB99-787A-4822-80ED-3AD8E292DFA2}">
  <sheetPr codeName="Sheet32">
    <tabColor rgb="FF7030A0"/>
    <pageSetUpPr autoPageBreaks="0" fitToPage="1"/>
  </sheetPr>
  <dimension ref="A1:AY426"/>
  <sheetViews>
    <sheetView showGridLines="0" zoomScaleNormal="100" workbookViewId="0">
      <selection activeCell="C7" sqref="C7"/>
    </sheetView>
  </sheetViews>
  <sheetFormatPr defaultRowHeight="16.5" x14ac:dyDescent="0.3"/>
  <cols>
    <col min="1" max="1" width="4.625" customWidth="1"/>
    <col min="2" max="2" width="4.625" style="29" customWidth="1"/>
    <col min="3" max="3" width="10.625" style="29" customWidth="1"/>
    <col min="4" max="4" width="20.625" style="29" customWidth="1"/>
    <col min="5" max="7" width="10.625" style="269" customWidth="1"/>
    <col min="8" max="13" width="10.625" style="272" customWidth="1"/>
    <col min="14" max="15" width="10.625" style="283" customWidth="1"/>
    <col min="16" max="18" width="10.625" customWidth="1"/>
    <col min="19" max="19" width="4.625" customWidth="1"/>
    <col min="20" max="51" width="9.5" customWidth="1"/>
    <col min="52" max="52" width="4.75" customWidth="1"/>
  </cols>
  <sheetData>
    <row r="1" spans="1:40" ht="40.5" customHeight="1" x14ac:dyDescent="0.3">
      <c r="A1" s="14"/>
      <c r="B1" s="590" t="s">
        <v>217</v>
      </c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  <c r="O1" s="590"/>
      <c r="P1" s="590"/>
      <c r="Q1" s="14"/>
      <c r="R1" s="14"/>
      <c r="S1" s="14"/>
    </row>
    <row r="2" spans="1:40" ht="16.5" customHeight="1" thickBot="1" x14ac:dyDescent="0.35">
      <c r="N2" s="286"/>
      <c r="O2" s="286"/>
    </row>
    <row r="3" spans="1:40" ht="24.95" customHeight="1" x14ac:dyDescent="0.3">
      <c r="N3" s="286"/>
      <c r="O3" s="286"/>
      <c r="P3" s="631" t="s">
        <v>89</v>
      </c>
      <c r="Q3" s="281" t="s">
        <v>259</v>
      </c>
      <c r="R3" s="280" t="s">
        <v>111</v>
      </c>
    </row>
    <row r="4" spans="1:40" ht="24.95" customHeight="1" thickBot="1" x14ac:dyDescent="0.35">
      <c r="N4" s="286"/>
      <c r="O4" s="286"/>
      <c r="P4" s="632"/>
      <c r="Q4" s="288">
        <f>SUM($O$7:$O$56)</f>
        <v>0</v>
      </c>
      <c r="R4" s="287">
        <f>SUM($R$7:$R$56)</f>
        <v>0</v>
      </c>
    </row>
    <row r="5" spans="1:40" ht="16.5" customHeight="1" thickBot="1" x14ac:dyDescent="0.35">
      <c r="N5" s="286"/>
      <c r="O5" s="286"/>
    </row>
    <row r="6" spans="1:40" ht="24.95" customHeight="1" thickBot="1" x14ac:dyDescent="0.35">
      <c r="B6" s="34" t="s">
        <v>195</v>
      </c>
      <c r="C6" s="34" t="s">
        <v>205</v>
      </c>
      <c r="D6" s="34" t="s">
        <v>207</v>
      </c>
      <c r="E6" s="35" t="s">
        <v>105</v>
      </c>
      <c r="F6" s="35" t="s">
        <v>106</v>
      </c>
      <c r="G6" s="35" t="s">
        <v>107</v>
      </c>
      <c r="H6" s="35" t="s">
        <v>78</v>
      </c>
      <c r="I6" s="35" t="s">
        <v>81</v>
      </c>
      <c r="J6" s="35" t="s">
        <v>214</v>
      </c>
      <c r="K6" s="34" t="s">
        <v>76</v>
      </c>
      <c r="L6" s="35" t="s">
        <v>75</v>
      </c>
      <c r="M6" s="35" t="s">
        <v>215</v>
      </c>
      <c r="N6" s="285" t="s">
        <v>260</v>
      </c>
      <c r="O6" s="285" t="s">
        <v>259</v>
      </c>
      <c r="P6" s="35" t="s">
        <v>165</v>
      </c>
      <c r="Q6" s="35" t="s">
        <v>166</v>
      </c>
      <c r="R6" s="36" t="s">
        <v>111</v>
      </c>
    </row>
    <row r="7" spans="1:40" ht="24.95" customHeight="1" x14ac:dyDescent="0.3">
      <c r="B7" s="262">
        <v>1</v>
      </c>
      <c r="C7" s="262"/>
      <c r="D7" s="262"/>
      <c r="E7" s="270"/>
      <c r="F7" s="270"/>
      <c r="G7" s="331" t="str">
        <f>IF(H7="","",IF(H7&gt;37,"장기",IF(H7&lt;36,"단기","중기")))</f>
        <v/>
      </c>
      <c r="H7" s="327" t="str">
        <f>IF(F7="","",DATEDIF(E7,F7+1,"m"))</f>
        <v/>
      </c>
      <c r="I7" s="327" t="str">
        <f ca="1">IF(F7="","",IF(F7&lt;TODAY(),0,DATEDIF(TODAY(),F7,"m")))</f>
        <v/>
      </c>
      <c r="J7" s="45"/>
      <c r="K7" s="250"/>
      <c r="L7" s="633"/>
      <c r="M7" s="332"/>
      <c r="N7" s="333" t="str">
        <f>IF(J7="","",H7*J7)</f>
        <v/>
      </c>
      <c r="O7" s="333" t="str">
        <f>IF(J7="","",(J7*H7)-(J7*I7))</f>
        <v/>
      </c>
      <c r="P7" s="328" t="str">
        <f>IF(K7="","",IF(M7="단리",J7*((H7*(H7+1))/2*(K7/12)),IF(M7="월복리",-FV(K7/12,H7,J7,0,1)-J7*H7,"")))</f>
        <v/>
      </c>
      <c r="Q7" s="328" t="str">
        <f t="shared" ref="Q7:Q8" si="0">IF(P7="","",P7-(P7*L7))</f>
        <v/>
      </c>
      <c r="R7" s="339" t="str">
        <f>IF(K7="","",N7+Q7)</f>
        <v/>
      </c>
    </row>
    <row r="8" spans="1:40" ht="24.95" customHeight="1" x14ac:dyDescent="0.2">
      <c r="B8" s="262">
        <v>2</v>
      </c>
      <c r="C8" s="262"/>
      <c r="D8" s="262"/>
      <c r="E8" s="270"/>
      <c r="F8" s="270"/>
      <c r="G8" s="331" t="str">
        <f t="shared" ref="G8:G16" si="1">IF(H8="","",IF(H8&gt;37,"장기",IF(H8&lt;36,"단기","중기")))</f>
        <v/>
      </c>
      <c r="H8" s="327" t="str">
        <f>IF(F8="","",DATEDIF(E8,F8+1,"m"))</f>
        <v/>
      </c>
      <c r="I8" s="327" t="str">
        <f t="shared" ref="I8:I16" ca="1" si="2">IF(F8="","",IF(F8&lt;TODAY(),0,DATEDIF(TODAY(),F8,"m")))</f>
        <v/>
      </c>
      <c r="J8" s="45"/>
      <c r="K8" s="250"/>
      <c r="L8" s="633"/>
      <c r="M8" s="332"/>
      <c r="N8" s="333" t="str">
        <f t="shared" ref="N8:N16" si="3">IF(J8="","",H8*J8)</f>
        <v/>
      </c>
      <c r="O8" s="333" t="str">
        <f t="shared" ref="O8:O16" si="4">IF(J8="","",(J8*H8)-(J8*I8))</f>
        <v/>
      </c>
      <c r="P8" s="328" t="str">
        <f t="shared" ref="P8:P16" si="5">IF(K8="","",IF(M8="단리",J8*((H8*(H8+1))/2*(K8/12)),IF(M8="월복리",-FV(K8/12,H8,J8,0,1)-J8*H8,"")))</f>
        <v/>
      </c>
      <c r="Q8" s="328" t="str">
        <f t="shared" si="0"/>
        <v/>
      </c>
      <c r="R8" s="339" t="str">
        <f t="shared" ref="R8:R16" si="6">IF(K8="","",N8+Q8)</f>
        <v/>
      </c>
      <c r="AE8" s="33"/>
      <c r="AN8" s="49"/>
    </row>
    <row r="9" spans="1:40" ht="24.95" customHeight="1" x14ac:dyDescent="0.3">
      <c r="B9" s="262">
        <v>3</v>
      </c>
      <c r="C9" s="262"/>
      <c r="D9" s="262"/>
      <c r="E9" s="270"/>
      <c r="F9" s="270"/>
      <c r="G9" s="331" t="str">
        <f t="shared" si="1"/>
        <v/>
      </c>
      <c r="H9" s="327" t="str">
        <f>IF(F9="","",DATEDIF(E9,F9+1,"m"))</f>
        <v/>
      </c>
      <c r="I9" s="327" t="str">
        <f t="shared" ca="1" si="2"/>
        <v/>
      </c>
      <c r="J9" s="45"/>
      <c r="K9" s="250"/>
      <c r="L9" s="633"/>
      <c r="M9" s="332"/>
      <c r="N9" s="333" t="str">
        <f t="shared" si="3"/>
        <v/>
      </c>
      <c r="O9" s="333" t="str">
        <f t="shared" si="4"/>
        <v/>
      </c>
      <c r="P9" s="328" t="str">
        <f t="shared" si="5"/>
        <v/>
      </c>
      <c r="Q9" s="328" t="str">
        <f>IF(P9="","",P9-(P9*L9))</f>
        <v/>
      </c>
      <c r="R9" s="339" t="str">
        <f t="shared" si="6"/>
        <v/>
      </c>
    </row>
    <row r="10" spans="1:40" ht="24.95" customHeight="1" x14ac:dyDescent="0.3">
      <c r="B10" s="262">
        <v>4</v>
      </c>
      <c r="C10" s="262"/>
      <c r="D10" s="262"/>
      <c r="E10" s="270"/>
      <c r="F10" s="270"/>
      <c r="G10" s="331" t="str">
        <f t="shared" si="1"/>
        <v/>
      </c>
      <c r="H10" s="327" t="str">
        <f t="shared" ref="H10:H16" si="7">IF(F10="","",DATEDIF(E10,F10+1,"m"))</f>
        <v/>
      </c>
      <c r="I10" s="327" t="str">
        <f t="shared" ca="1" si="2"/>
        <v/>
      </c>
      <c r="J10" s="45"/>
      <c r="K10" s="250"/>
      <c r="L10" s="633"/>
      <c r="M10" s="332"/>
      <c r="N10" s="333" t="str">
        <f t="shared" si="3"/>
        <v/>
      </c>
      <c r="O10" s="333" t="str">
        <f t="shared" si="4"/>
        <v/>
      </c>
      <c r="P10" s="328" t="str">
        <f t="shared" si="5"/>
        <v/>
      </c>
      <c r="Q10" s="328" t="str">
        <f t="shared" ref="Q10:Q16" si="8">IF(P10="","",P10-(P10*L10))</f>
        <v/>
      </c>
      <c r="R10" s="339" t="str">
        <f t="shared" si="6"/>
        <v/>
      </c>
    </row>
    <row r="11" spans="1:40" ht="24.95" customHeight="1" x14ac:dyDescent="0.3">
      <c r="B11" s="262">
        <v>5</v>
      </c>
      <c r="C11" s="262"/>
      <c r="D11" s="262"/>
      <c r="E11" s="270"/>
      <c r="F11" s="270"/>
      <c r="G11" s="331" t="str">
        <f t="shared" si="1"/>
        <v/>
      </c>
      <c r="H11" s="327" t="str">
        <f t="shared" si="7"/>
        <v/>
      </c>
      <c r="I11" s="327" t="str">
        <f t="shared" ca="1" si="2"/>
        <v/>
      </c>
      <c r="J11" s="45"/>
      <c r="K11" s="250"/>
      <c r="L11" s="633"/>
      <c r="M11" s="332"/>
      <c r="N11" s="333" t="str">
        <f t="shared" si="3"/>
        <v/>
      </c>
      <c r="O11" s="333" t="str">
        <f t="shared" si="4"/>
        <v/>
      </c>
      <c r="P11" s="328" t="str">
        <f t="shared" si="5"/>
        <v/>
      </c>
      <c r="Q11" s="328" t="str">
        <f t="shared" si="8"/>
        <v/>
      </c>
      <c r="R11" s="339" t="str">
        <f t="shared" si="6"/>
        <v/>
      </c>
    </row>
    <row r="12" spans="1:40" ht="24.95" customHeight="1" x14ac:dyDescent="0.3">
      <c r="B12" s="262">
        <v>6</v>
      </c>
      <c r="C12" s="262"/>
      <c r="D12" s="262"/>
      <c r="E12" s="270"/>
      <c r="F12" s="270"/>
      <c r="G12" s="331" t="str">
        <f t="shared" si="1"/>
        <v/>
      </c>
      <c r="H12" s="327" t="str">
        <f t="shared" si="7"/>
        <v/>
      </c>
      <c r="I12" s="327" t="str">
        <f t="shared" ca="1" si="2"/>
        <v/>
      </c>
      <c r="J12" s="45"/>
      <c r="K12" s="250"/>
      <c r="L12" s="633"/>
      <c r="M12" s="332"/>
      <c r="N12" s="333" t="str">
        <f t="shared" si="3"/>
        <v/>
      </c>
      <c r="O12" s="333" t="str">
        <f t="shared" si="4"/>
        <v/>
      </c>
      <c r="P12" s="328" t="str">
        <f t="shared" si="5"/>
        <v/>
      </c>
      <c r="Q12" s="328" t="str">
        <f t="shared" si="8"/>
        <v/>
      </c>
      <c r="R12" s="339" t="str">
        <f t="shared" si="6"/>
        <v/>
      </c>
    </row>
    <row r="13" spans="1:40" ht="24.95" customHeight="1" x14ac:dyDescent="0.3">
      <c r="B13" s="262">
        <v>7</v>
      </c>
      <c r="C13" s="262"/>
      <c r="D13" s="262"/>
      <c r="E13" s="270"/>
      <c r="F13" s="270"/>
      <c r="G13" s="331" t="str">
        <f t="shared" si="1"/>
        <v/>
      </c>
      <c r="H13" s="327" t="str">
        <f t="shared" si="7"/>
        <v/>
      </c>
      <c r="I13" s="327" t="str">
        <f t="shared" ca="1" si="2"/>
        <v/>
      </c>
      <c r="J13" s="45"/>
      <c r="K13" s="250"/>
      <c r="L13" s="633"/>
      <c r="M13" s="332"/>
      <c r="N13" s="333" t="str">
        <f t="shared" si="3"/>
        <v/>
      </c>
      <c r="O13" s="333" t="str">
        <f t="shared" si="4"/>
        <v/>
      </c>
      <c r="P13" s="328" t="str">
        <f t="shared" si="5"/>
        <v/>
      </c>
      <c r="Q13" s="328" t="str">
        <f t="shared" si="8"/>
        <v/>
      </c>
      <c r="R13" s="339" t="str">
        <f t="shared" si="6"/>
        <v/>
      </c>
    </row>
    <row r="14" spans="1:40" ht="24.95" customHeight="1" x14ac:dyDescent="0.3">
      <c r="B14" s="262">
        <v>8</v>
      </c>
      <c r="C14" s="262"/>
      <c r="D14" s="262"/>
      <c r="E14" s="270"/>
      <c r="F14" s="270"/>
      <c r="G14" s="331" t="str">
        <f t="shared" si="1"/>
        <v/>
      </c>
      <c r="H14" s="327" t="str">
        <f t="shared" si="7"/>
        <v/>
      </c>
      <c r="I14" s="327" t="str">
        <f t="shared" ca="1" si="2"/>
        <v/>
      </c>
      <c r="J14" s="45"/>
      <c r="K14" s="250"/>
      <c r="L14" s="633"/>
      <c r="M14" s="332"/>
      <c r="N14" s="333" t="str">
        <f t="shared" si="3"/>
        <v/>
      </c>
      <c r="O14" s="333" t="str">
        <f t="shared" si="4"/>
        <v/>
      </c>
      <c r="P14" s="328" t="str">
        <f t="shared" si="5"/>
        <v/>
      </c>
      <c r="Q14" s="328" t="str">
        <f t="shared" si="8"/>
        <v/>
      </c>
      <c r="R14" s="339" t="str">
        <f t="shared" si="6"/>
        <v/>
      </c>
    </row>
    <row r="15" spans="1:40" ht="24.95" customHeight="1" x14ac:dyDescent="0.3">
      <c r="B15" s="262">
        <v>9</v>
      </c>
      <c r="C15" s="262"/>
      <c r="D15" s="262"/>
      <c r="E15" s="270"/>
      <c r="F15" s="270"/>
      <c r="G15" s="331" t="str">
        <f t="shared" si="1"/>
        <v/>
      </c>
      <c r="H15" s="327" t="str">
        <f t="shared" si="7"/>
        <v/>
      </c>
      <c r="I15" s="327" t="str">
        <f t="shared" ca="1" si="2"/>
        <v/>
      </c>
      <c r="J15" s="45"/>
      <c r="K15" s="250"/>
      <c r="L15" s="633"/>
      <c r="M15" s="332"/>
      <c r="N15" s="333" t="str">
        <f t="shared" si="3"/>
        <v/>
      </c>
      <c r="O15" s="333" t="str">
        <f t="shared" si="4"/>
        <v/>
      </c>
      <c r="P15" s="328" t="str">
        <f t="shared" si="5"/>
        <v/>
      </c>
      <c r="Q15" s="328" t="str">
        <f t="shared" si="8"/>
        <v/>
      </c>
      <c r="R15" s="339" t="str">
        <f t="shared" si="6"/>
        <v/>
      </c>
    </row>
    <row r="16" spans="1:40" ht="24.95" customHeight="1" x14ac:dyDescent="0.3">
      <c r="B16" s="262">
        <v>10</v>
      </c>
      <c r="C16" s="262"/>
      <c r="D16" s="262"/>
      <c r="E16" s="270"/>
      <c r="F16" s="270"/>
      <c r="G16" s="331" t="str">
        <f t="shared" si="1"/>
        <v/>
      </c>
      <c r="H16" s="327" t="str">
        <f t="shared" si="7"/>
        <v/>
      </c>
      <c r="I16" s="327" t="str">
        <f t="shared" ca="1" si="2"/>
        <v/>
      </c>
      <c r="J16" s="45"/>
      <c r="K16" s="250"/>
      <c r="L16" s="633"/>
      <c r="M16" s="332"/>
      <c r="N16" s="333" t="str">
        <f t="shared" si="3"/>
        <v/>
      </c>
      <c r="O16" s="333" t="str">
        <f t="shared" si="4"/>
        <v/>
      </c>
      <c r="P16" s="328" t="str">
        <f t="shared" si="5"/>
        <v/>
      </c>
      <c r="Q16" s="328" t="str">
        <f t="shared" si="8"/>
        <v/>
      </c>
      <c r="R16" s="339" t="str">
        <f t="shared" si="6"/>
        <v/>
      </c>
    </row>
    <row r="17" spans="2:51" ht="24.95" customHeight="1" x14ac:dyDescent="0.3">
      <c r="B17" s="50"/>
      <c r="C17" s="50"/>
      <c r="D17" s="50"/>
      <c r="E17" s="271"/>
      <c r="F17" s="271"/>
      <c r="G17" s="271"/>
      <c r="H17" s="273"/>
      <c r="I17" s="273"/>
      <c r="J17" s="273"/>
      <c r="K17" s="273"/>
      <c r="L17" s="273"/>
      <c r="M17" s="273"/>
      <c r="N17" s="284"/>
      <c r="O17" s="284"/>
    </row>
    <row r="18" spans="2:51" ht="24.95" customHeight="1" x14ac:dyDescent="0.3">
      <c r="B18" s="50"/>
      <c r="C18" s="50"/>
      <c r="D18" s="50"/>
      <c r="E18" s="271"/>
      <c r="F18" s="271"/>
      <c r="G18" s="271"/>
      <c r="H18" s="273"/>
      <c r="I18" s="273"/>
      <c r="J18" s="273"/>
      <c r="K18" s="273"/>
      <c r="L18" s="273"/>
      <c r="M18" s="273"/>
      <c r="N18" s="284"/>
      <c r="O18" s="284"/>
    </row>
    <row r="19" spans="2:51" ht="24.95" customHeight="1" x14ac:dyDescent="0.3">
      <c r="B19" s="50"/>
      <c r="C19" s="50"/>
      <c r="D19" s="50"/>
      <c r="E19" s="271"/>
      <c r="F19" s="271"/>
      <c r="G19" s="271"/>
      <c r="H19" s="273"/>
      <c r="I19" s="273"/>
      <c r="J19" s="273"/>
      <c r="K19" s="273"/>
      <c r="L19" s="273"/>
      <c r="M19" s="273"/>
      <c r="N19" s="284"/>
      <c r="O19" s="284"/>
    </row>
    <row r="20" spans="2:51" ht="24.95" customHeight="1" x14ac:dyDescent="0.3">
      <c r="B20" s="50"/>
      <c r="C20" s="50"/>
      <c r="D20" s="50"/>
      <c r="E20" s="271"/>
      <c r="F20" s="271"/>
      <c r="G20" s="271"/>
      <c r="H20" s="273"/>
      <c r="I20" s="273"/>
      <c r="J20" s="273"/>
      <c r="K20" s="273"/>
      <c r="L20" s="273"/>
      <c r="M20" s="273"/>
      <c r="N20" s="284"/>
      <c r="O20" s="284"/>
    </row>
    <row r="21" spans="2:51" ht="24.95" customHeight="1" x14ac:dyDescent="0.3">
      <c r="B21" s="50"/>
      <c r="C21" s="50"/>
      <c r="D21" s="50"/>
      <c r="E21" s="271"/>
      <c r="F21" s="271"/>
      <c r="G21" s="271"/>
      <c r="H21" s="273"/>
      <c r="I21" s="273"/>
      <c r="J21" s="273"/>
      <c r="K21" s="273"/>
      <c r="L21" s="273"/>
      <c r="M21" s="273"/>
      <c r="N21" s="284"/>
      <c r="O21" s="284"/>
    </row>
    <row r="22" spans="2:51" ht="24.95" customHeight="1" x14ac:dyDescent="0.3">
      <c r="B22" s="50"/>
      <c r="C22" s="50"/>
      <c r="D22" s="50"/>
      <c r="E22" s="271"/>
      <c r="F22" s="271"/>
      <c r="G22" s="271"/>
      <c r="H22" s="273"/>
      <c r="I22" s="273"/>
      <c r="J22" s="273"/>
      <c r="K22" s="273"/>
      <c r="L22" s="273"/>
      <c r="M22" s="273"/>
      <c r="N22" s="284"/>
      <c r="O22" s="284"/>
      <c r="V22" s="1"/>
      <c r="W22" s="1"/>
      <c r="X22" s="1"/>
    </row>
    <row r="23" spans="2:51" ht="24.95" customHeight="1" x14ac:dyDescent="0.3">
      <c r="B23" s="50"/>
      <c r="C23" s="50"/>
      <c r="D23" s="50"/>
      <c r="E23" s="271"/>
      <c r="F23" s="271"/>
      <c r="G23" s="271"/>
      <c r="H23" s="273"/>
      <c r="I23" s="273"/>
      <c r="J23" s="273"/>
      <c r="K23" s="273"/>
      <c r="L23" s="273"/>
      <c r="M23" s="273"/>
      <c r="N23" s="284"/>
      <c r="O23" s="284"/>
      <c r="P23" s="50"/>
      <c r="V23" s="1"/>
      <c r="W23" s="1"/>
      <c r="X23" s="1"/>
    </row>
    <row r="24" spans="2:51" ht="24.95" customHeight="1" x14ac:dyDescent="0.3">
      <c r="B24" s="50"/>
      <c r="C24" s="50"/>
      <c r="D24" s="50"/>
      <c r="E24" s="271"/>
      <c r="F24" s="271"/>
      <c r="G24" s="271"/>
      <c r="H24" s="273"/>
      <c r="I24" s="273"/>
      <c r="J24" s="273"/>
      <c r="K24" s="273"/>
      <c r="L24" s="273"/>
      <c r="M24" s="273"/>
      <c r="N24" s="284"/>
      <c r="O24" s="284"/>
      <c r="V24" s="1"/>
      <c r="W24" s="1"/>
      <c r="X24" s="1"/>
      <c r="AB24" s="51"/>
      <c r="AC24" s="1"/>
      <c r="AD24" s="1"/>
      <c r="AH24" s="1"/>
      <c r="AI24" s="1"/>
      <c r="AJ24" s="1"/>
      <c r="AQ24" s="51"/>
      <c r="AR24" s="1"/>
      <c r="AS24" s="1"/>
      <c r="AW24" s="1"/>
      <c r="AX24" s="1"/>
      <c r="AY24" s="1"/>
    </row>
    <row r="25" spans="2:51" ht="24.95" customHeight="1" x14ac:dyDescent="0.3">
      <c r="B25" s="50"/>
      <c r="C25" s="50"/>
      <c r="D25" s="50"/>
      <c r="E25" s="271"/>
      <c r="F25" s="271"/>
      <c r="G25" s="271"/>
      <c r="H25" s="273"/>
      <c r="I25" s="273"/>
      <c r="J25" s="273"/>
      <c r="K25" s="273"/>
      <c r="L25" s="273"/>
      <c r="M25" s="273"/>
      <c r="N25" s="284"/>
      <c r="O25" s="284"/>
      <c r="P25" s="50"/>
      <c r="S25" s="50"/>
      <c r="V25" s="50"/>
      <c r="Y25" s="50"/>
      <c r="AB25" s="50"/>
      <c r="AE25" s="50"/>
      <c r="AH25" s="50"/>
      <c r="AK25" s="50"/>
      <c r="AN25" s="50"/>
      <c r="AQ25" s="50"/>
      <c r="AT25" s="50"/>
      <c r="AW25" s="50"/>
    </row>
    <row r="26" spans="2:51" ht="24.95" customHeight="1" x14ac:dyDescent="0.3">
      <c r="B26" s="50"/>
      <c r="C26" s="50"/>
      <c r="D26" s="50"/>
      <c r="E26" s="271"/>
      <c r="F26" s="271"/>
      <c r="G26" s="271"/>
      <c r="H26" s="273"/>
      <c r="I26" s="273"/>
      <c r="J26" s="273"/>
      <c r="K26" s="273"/>
      <c r="L26" s="273"/>
      <c r="M26" s="273"/>
      <c r="N26" s="284"/>
      <c r="O26" s="284"/>
      <c r="P26" s="625"/>
      <c r="Q26" s="625"/>
      <c r="S26" s="625"/>
      <c r="T26" s="625"/>
      <c r="V26" s="625"/>
      <c r="W26" s="625"/>
      <c r="Y26" s="625"/>
      <c r="Z26" s="625"/>
      <c r="AB26" s="625"/>
      <c r="AC26" s="625"/>
      <c r="AE26" s="625"/>
      <c r="AF26" s="625"/>
      <c r="AH26" s="625"/>
      <c r="AI26" s="625"/>
      <c r="AJ26" s="52"/>
      <c r="AK26" s="625"/>
      <c r="AL26" s="625"/>
      <c r="AM26" s="52"/>
      <c r="AN26" s="625"/>
      <c r="AO26" s="625"/>
      <c r="AP26" s="52"/>
      <c r="AQ26" s="625"/>
      <c r="AR26" s="625"/>
      <c r="AS26" s="52"/>
      <c r="AT26" s="625"/>
      <c r="AU26" s="625"/>
      <c r="AV26" s="52"/>
      <c r="AW26" s="625"/>
      <c r="AX26" s="625"/>
      <c r="AY26" s="52"/>
    </row>
    <row r="27" spans="2:51" ht="24.95" customHeight="1" x14ac:dyDescent="0.3">
      <c r="B27" s="50"/>
      <c r="C27" s="50"/>
      <c r="D27" s="50"/>
      <c r="E27" s="271"/>
      <c r="F27" s="271"/>
      <c r="G27" s="271"/>
      <c r="H27" s="273"/>
      <c r="I27" s="273"/>
      <c r="J27" s="273"/>
      <c r="K27" s="273"/>
      <c r="L27" s="273"/>
      <c r="M27" s="273"/>
      <c r="N27" s="284"/>
      <c r="O27" s="284"/>
    </row>
    <row r="28" spans="2:51" ht="24.95" customHeight="1" x14ac:dyDescent="0.3">
      <c r="B28" s="50"/>
      <c r="C28" s="50"/>
      <c r="D28" s="50"/>
      <c r="E28" s="271"/>
      <c r="F28" s="271"/>
      <c r="G28" s="271"/>
      <c r="H28" s="273"/>
      <c r="I28" s="273"/>
      <c r="J28" s="273"/>
      <c r="K28" s="273"/>
      <c r="L28" s="273"/>
      <c r="M28" s="273"/>
      <c r="N28" s="284"/>
      <c r="O28" s="284"/>
    </row>
    <row r="29" spans="2:51" ht="24.95" customHeight="1" x14ac:dyDescent="0.3">
      <c r="B29" s="50"/>
      <c r="C29" s="50"/>
      <c r="D29" s="50"/>
      <c r="E29" s="271"/>
      <c r="F29" s="271"/>
      <c r="G29" s="271"/>
      <c r="H29" s="273"/>
      <c r="I29" s="273"/>
      <c r="J29" s="273"/>
      <c r="K29" s="273"/>
      <c r="L29" s="273"/>
      <c r="M29" s="273"/>
      <c r="N29" s="284"/>
      <c r="O29" s="284"/>
    </row>
    <row r="30" spans="2:51" ht="24.95" customHeight="1" x14ac:dyDescent="0.3">
      <c r="B30" s="50"/>
      <c r="C30" s="50"/>
      <c r="D30" s="50"/>
      <c r="E30" s="271"/>
      <c r="F30" s="271"/>
      <c r="G30" s="271"/>
      <c r="H30" s="273"/>
      <c r="I30" s="273"/>
      <c r="J30" s="273"/>
      <c r="K30" s="273"/>
      <c r="L30" s="273"/>
      <c r="M30" s="273"/>
      <c r="N30" s="284"/>
      <c r="O30" s="284"/>
    </row>
    <row r="31" spans="2:51" ht="24.95" customHeight="1" x14ac:dyDescent="0.3">
      <c r="B31" s="50"/>
      <c r="C31" s="50"/>
      <c r="D31" s="50"/>
      <c r="E31" s="271"/>
      <c r="F31" s="271"/>
      <c r="G31" s="271"/>
      <c r="H31" s="273"/>
      <c r="I31" s="273"/>
      <c r="J31" s="273"/>
      <c r="K31" s="273"/>
      <c r="L31" s="273"/>
      <c r="M31" s="273"/>
      <c r="N31" s="284"/>
      <c r="O31" s="284"/>
    </row>
    <row r="32" spans="2:51" ht="24.95" customHeight="1" x14ac:dyDescent="0.3">
      <c r="B32" s="50"/>
      <c r="C32" s="50"/>
      <c r="D32" s="50"/>
      <c r="E32" s="271"/>
      <c r="F32" s="271"/>
      <c r="G32" s="271"/>
      <c r="H32" s="273"/>
      <c r="I32" s="273"/>
      <c r="J32" s="273"/>
      <c r="K32" s="273"/>
      <c r="L32" s="273"/>
      <c r="M32" s="273"/>
      <c r="N32" s="284"/>
      <c r="O32" s="284"/>
    </row>
    <row r="33" spans="2:15" ht="24.95" customHeight="1" x14ac:dyDescent="0.3">
      <c r="B33" s="50"/>
      <c r="C33" s="50"/>
      <c r="D33" s="50"/>
      <c r="E33" s="271"/>
      <c r="F33" s="271"/>
      <c r="G33" s="271"/>
      <c r="H33" s="273"/>
      <c r="I33" s="273"/>
      <c r="J33" s="273"/>
      <c r="K33" s="273"/>
      <c r="L33" s="273"/>
      <c r="M33" s="273"/>
      <c r="N33" s="284"/>
      <c r="O33" s="284"/>
    </row>
    <row r="34" spans="2:15" ht="24.95" customHeight="1" x14ac:dyDescent="0.3">
      <c r="B34" s="50"/>
      <c r="C34" s="50"/>
      <c r="D34" s="50"/>
      <c r="E34" s="271"/>
      <c r="F34" s="271"/>
      <c r="G34" s="271"/>
      <c r="H34" s="273"/>
      <c r="I34" s="273"/>
      <c r="J34" s="273"/>
      <c r="K34" s="273"/>
      <c r="L34" s="273"/>
      <c r="M34" s="273"/>
      <c r="N34" s="284"/>
      <c r="O34" s="284"/>
    </row>
    <row r="35" spans="2:15" ht="24.95" customHeight="1" x14ac:dyDescent="0.3">
      <c r="B35" s="50"/>
      <c r="C35" s="50"/>
      <c r="D35" s="50"/>
      <c r="E35" s="271"/>
      <c r="F35" s="271"/>
      <c r="G35" s="271"/>
      <c r="H35" s="273"/>
      <c r="I35" s="273"/>
      <c r="J35" s="273"/>
      <c r="K35" s="273"/>
      <c r="L35" s="273"/>
      <c r="M35" s="273"/>
      <c r="N35" s="284"/>
      <c r="O35" s="284"/>
    </row>
    <row r="36" spans="2:15" ht="24.95" customHeight="1" x14ac:dyDescent="0.3">
      <c r="B36" s="50"/>
      <c r="C36" s="50"/>
      <c r="D36" s="50"/>
      <c r="E36" s="271"/>
      <c r="F36" s="271"/>
      <c r="G36" s="271"/>
      <c r="H36" s="273"/>
      <c r="I36" s="273"/>
      <c r="J36" s="273"/>
      <c r="K36" s="273"/>
      <c r="L36" s="273"/>
      <c r="M36" s="273"/>
      <c r="N36" s="284"/>
      <c r="O36" s="284"/>
    </row>
    <row r="37" spans="2:15" ht="24.95" customHeight="1" x14ac:dyDescent="0.3">
      <c r="B37" s="50"/>
      <c r="C37" s="50"/>
      <c r="D37" s="50"/>
      <c r="E37" s="271"/>
      <c r="F37" s="271"/>
      <c r="G37" s="271"/>
      <c r="H37" s="273"/>
      <c r="I37" s="273"/>
      <c r="J37" s="273"/>
      <c r="K37" s="273"/>
      <c r="L37" s="273"/>
      <c r="M37" s="273"/>
      <c r="N37" s="284"/>
      <c r="O37" s="284"/>
    </row>
    <row r="38" spans="2:15" ht="24.95" customHeight="1" x14ac:dyDescent="0.3">
      <c r="B38" s="50"/>
      <c r="C38" s="50"/>
      <c r="D38" s="50"/>
      <c r="E38" s="271"/>
      <c r="F38" s="271"/>
      <c r="G38" s="271"/>
      <c r="H38" s="273"/>
      <c r="I38" s="273"/>
      <c r="J38" s="273"/>
      <c r="K38" s="273"/>
      <c r="L38" s="273"/>
      <c r="M38" s="273"/>
      <c r="N38" s="284"/>
      <c r="O38" s="284"/>
    </row>
    <row r="39" spans="2:15" ht="24.95" customHeight="1" x14ac:dyDescent="0.3">
      <c r="B39" s="50"/>
      <c r="C39" s="50"/>
      <c r="D39" s="50"/>
      <c r="E39" s="271"/>
      <c r="F39" s="271"/>
      <c r="G39" s="271"/>
      <c r="H39" s="273"/>
      <c r="I39" s="273"/>
      <c r="J39" s="273"/>
      <c r="K39" s="273"/>
      <c r="L39" s="273"/>
      <c r="M39" s="273"/>
      <c r="N39" s="284"/>
      <c r="O39" s="284"/>
    </row>
    <row r="40" spans="2:15" ht="24.95" customHeight="1" x14ac:dyDescent="0.3">
      <c r="B40" s="50"/>
      <c r="C40" s="50"/>
      <c r="D40" s="50"/>
      <c r="E40" s="271"/>
      <c r="F40" s="271"/>
      <c r="G40" s="271"/>
      <c r="H40" s="273"/>
      <c r="I40" s="273"/>
      <c r="J40" s="273"/>
      <c r="K40" s="273"/>
      <c r="L40" s="273"/>
      <c r="M40" s="273"/>
      <c r="N40" s="284"/>
      <c r="O40" s="284"/>
    </row>
    <row r="41" spans="2:15" ht="24.95" customHeight="1" x14ac:dyDescent="0.3">
      <c r="B41" s="50"/>
      <c r="C41" s="50"/>
      <c r="D41" s="50"/>
      <c r="E41" s="271"/>
      <c r="F41" s="271"/>
      <c r="G41" s="271"/>
      <c r="H41" s="273"/>
      <c r="I41" s="273"/>
      <c r="J41" s="273"/>
      <c r="K41" s="273"/>
      <c r="L41" s="273"/>
      <c r="M41" s="273"/>
      <c r="N41" s="284"/>
      <c r="O41" s="284"/>
    </row>
    <row r="42" spans="2:15" ht="24.95" customHeight="1" x14ac:dyDescent="0.3">
      <c r="B42" s="50"/>
      <c r="C42" s="50"/>
      <c r="D42" s="50"/>
      <c r="E42" s="271"/>
      <c r="F42" s="271"/>
      <c r="G42" s="271"/>
      <c r="H42" s="273"/>
      <c r="I42" s="273"/>
      <c r="J42" s="273"/>
      <c r="K42" s="273"/>
      <c r="L42" s="273"/>
      <c r="M42" s="273"/>
      <c r="N42" s="284"/>
      <c r="O42" s="284"/>
    </row>
    <row r="43" spans="2:15" ht="24.95" customHeight="1" x14ac:dyDescent="0.3">
      <c r="B43" s="50"/>
      <c r="C43" s="50"/>
      <c r="D43" s="50"/>
      <c r="E43" s="271"/>
      <c r="F43" s="271"/>
      <c r="G43" s="271"/>
      <c r="H43" s="273"/>
      <c r="I43" s="273"/>
      <c r="J43" s="273"/>
      <c r="K43" s="273"/>
      <c r="L43" s="273"/>
      <c r="M43" s="273"/>
      <c r="N43" s="284"/>
      <c r="O43" s="284"/>
    </row>
    <row r="44" spans="2:15" ht="24.95" customHeight="1" x14ac:dyDescent="0.3">
      <c r="B44" s="50"/>
      <c r="C44" s="50"/>
      <c r="D44" s="50"/>
      <c r="E44" s="271"/>
      <c r="F44" s="271"/>
      <c r="G44" s="271"/>
      <c r="H44" s="273"/>
      <c r="I44" s="273"/>
      <c r="J44" s="273"/>
      <c r="K44" s="273"/>
      <c r="L44" s="273"/>
      <c r="M44" s="273"/>
      <c r="N44" s="284"/>
      <c r="O44" s="284"/>
    </row>
    <row r="45" spans="2:15" ht="24.95" customHeight="1" x14ac:dyDescent="0.3">
      <c r="B45" s="50"/>
      <c r="C45" s="50"/>
      <c r="D45" s="50"/>
      <c r="E45" s="271"/>
      <c r="F45" s="271"/>
      <c r="G45" s="271"/>
      <c r="H45" s="273"/>
      <c r="I45" s="273"/>
      <c r="J45" s="273"/>
      <c r="K45" s="273"/>
      <c r="L45" s="273"/>
      <c r="M45" s="273"/>
      <c r="N45" s="284"/>
      <c r="O45" s="284"/>
    </row>
    <row r="46" spans="2:15" ht="24.95" customHeight="1" x14ac:dyDescent="0.3">
      <c r="B46" s="50"/>
      <c r="C46" s="50"/>
      <c r="D46" s="50"/>
      <c r="E46" s="271"/>
      <c r="F46" s="271"/>
      <c r="G46" s="271"/>
      <c r="H46" s="273"/>
      <c r="I46" s="273"/>
      <c r="J46" s="273"/>
      <c r="K46" s="273"/>
      <c r="L46" s="273"/>
      <c r="M46" s="273"/>
      <c r="N46" s="284"/>
      <c r="O46" s="284"/>
    </row>
    <row r="47" spans="2:15" ht="24.95" customHeight="1" x14ac:dyDescent="0.3">
      <c r="B47" s="50"/>
      <c r="C47" s="50"/>
      <c r="D47" s="50"/>
      <c r="E47" s="271"/>
      <c r="F47" s="271"/>
      <c r="G47" s="271"/>
      <c r="H47" s="273"/>
      <c r="I47" s="273"/>
      <c r="J47" s="273"/>
      <c r="K47" s="273"/>
      <c r="L47" s="273"/>
      <c r="M47" s="273"/>
      <c r="N47" s="284"/>
      <c r="O47" s="284"/>
    </row>
    <row r="48" spans="2:15" ht="24.95" customHeight="1" x14ac:dyDescent="0.3">
      <c r="B48" s="50"/>
      <c r="C48" s="50"/>
      <c r="D48" s="50"/>
      <c r="E48" s="271"/>
      <c r="F48" s="271"/>
      <c r="G48" s="271"/>
      <c r="H48" s="273"/>
      <c r="I48" s="273"/>
      <c r="J48" s="273"/>
      <c r="K48" s="273"/>
      <c r="L48" s="273"/>
      <c r="M48" s="273"/>
      <c r="N48" s="284"/>
      <c r="O48" s="284"/>
    </row>
    <row r="49" spans="2:27" ht="24.95" customHeight="1" x14ac:dyDescent="0.3">
      <c r="B49" s="50"/>
      <c r="C49" s="50"/>
      <c r="D49" s="50"/>
      <c r="E49" s="271"/>
      <c r="F49" s="271"/>
      <c r="G49" s="271"/>
      <c r="H49" s="273"/>
      <c r="I49" s="273"/>
      <c r="J49" s="273"/>
      <c r="K49" s="273"/>
      <c r="L49" s="273"/>
      <c r="M49" s="273"/>
      <c r="N49" s="284"/>
      <c r="O49" s="284"/>
    </row>
    <row r="50" spans="2:27" ht="24.95" customHeight="1" x14ac:dyDescent="0.3">
      <c r="B50" s="50"/>
      <c r="C50" s="50"/>
      <c r="D50" s="50"/>
      <c r="E50" s="271"/>
      <c r="F50" s="271"/>
      <c r="G50" s="271"/>
      <c r="H50" s="273"/>
      <c r="I50" s="273"/>
      <c r="J50" s="273"/>
      <c r="K50" s="273"/>
      <c r="L50" s="273"/>
      <c r="M50" s="273"/>
      <c r="N50" s="284"/>
      <c r="O50" s="284"/>
    </row>
    <row r="51" spans="2:27" ht="24.95" customHeight="1" x14ac:dyDescent="0.3">
      <c r="B51" s="50"/>
      <c r="C51" s="50"/>
      <c r="D51" s="50"/>
      <c r="E51" s="271"/>
      <c r="F51" s="271"/>
      <c r="G51" s="271"/>
      <c r="H51" s="273"/>
      <c r="I51" s="273"/>
      <c r="J51" s="273"/>
      <c r="K51" s="273"/>
      <c r="L51" s="273"/>
      <c r="M51" s="273"/>
      <c r="N51" s="284"/>
      <c r="O51" s="284"/>
    </row>
    <row r="52" spans="2:27" ht="24.95" customHeight="1" x14ac:dyDescent="0.3">
      <c r="B52" s="50"/>
      <c r="C52" s="50"/>
      <c r="D52" s="50"/>
      <c r="E52" s="271"/>
      <c r="F52" s="271"/>
      <c r="G52" s="271"/>
      <c r="H52" s="273"/>
      <c r="I52" s="273"/>
      <c r="J52" s="273"/>
      <c r="K52" s="273"/>
      <c r="L52" s="273"/>
      <c r="M52" s="273"/>
      <c r="N52" s="284"/>
      <c r="O52" s="284"/>
    </row>
    <row r="53" spans="2:27" ht="24.95" customHeight="1" x14ac:dyDescent="0.3">
      <c r="B53" s="50"/>
      <c r="C53" s="50"/>
      <c r="D53" s="50"/>
      <c r="E53" s="271"/>
      <c r="F53" s="271"/>
      <c r="G53" s="271"/>
      <c r="H53" s="273"/>
      <c r="I53" s="273"/>
      <c r="J53" s="273"/>
      <c r="K53" s="273"/>
      <c r="L53" s="273"/>
      <c r="M53" s="273"/>
      <c r="N53" s="284"/>
      <c r="O53" s="284"/>
    </row>
    <row r="54" spans="2:27" ht="24.95" customHeight="1" x14ac:dyDescent="0.3">
      <c r="B54" s="50"/>
      <c r="C54" s="50"/>
      <c r="D54" s="50"/>
      <c r="E54" s="271"/>
      <c r="F54" s="271"/>
      <c r="G54" s="271"/>
      <c r="H54" s="273"/>
      <c r="I54" s="273"/>
      <c r="J54" s="273"/>
      <c r="K54" s="273"/>
      <c r="L54" s="273"/>
      <c r="M54" s="273"/>
      <c r="N54" s="284"/>
      <c r="O54" s="284"/>
    </row>
    <row r="55" spans="2:27" ht="24.95" customHeight="1" x14ac:dyDescent="0.3">
      <c r="B55" s="50"/>
      <c r="C55" s="50"/>
      <c r="D55" s="50"/>
      <c r="E55" s="271"/>
      <c r="F55" s="271"/>
      <c r="G55" s="271"/>
      <c r="H55" s="273"/>
      <c r="I55" s="273"/>
      <c r="J55" s="273"/>
      <c r="K55" s="273"/>
      <c r="L55" s="273"/>
      <c r="M55" s="273"/>
      <c r="N55" s="284"/>
      <c r="O55" s="284"/>
    </row>
    <row r="56" spans="2:27" ht="24.95" customHeight="1" x14ac:dyDescent="0.3">
      <c r="B56" s="50"/>
      <c r="C56" s="50"/>
      <c r="D56" s="50"/>
      <c r="E56" s="271"/>
      <c r="F56" s="271"/>
      <c r="G56" s="271"/>
      <c r="H56" s="273"/>
      <c r="I56" s="273"/>
      <c r="J56" s="273"/>
      <c r="K56" s="273"/>
      <c r="L56" s="273"/>
      <c r="M56" s="273"/>
      <c r="N56" s="284"/>
      <c r="O56" s="284"/>
    </row>
    <row r="57" spans="2:27" x14ac:dyDescent="0.3">
      <c r="B57" s="50"/>
      <c r="C57" s="50"/>
      <c r="D57" s="50"/>
      <c r="E57" s="271"/>
      <c r="F57" s="271"/>
      <c r="G57" s="271"/>
      <c r="H57" s="273"/>
      <c r="I57" s="273"/>
      <c r="J57" s="273"/>
      <c r="K57" s="273"/>
      <c r="L57" s="273"/>
      <c r="M57" s="273"/>
      <c r="N57" s="284"/>
      <c r="O57" s="284"/>
    </row>
    <row r="58" spans="2:27" x14ac:dyDescent="0.3">
      <c r="B58" s="50"/>
      <c r="C58" s="50"/>
      <c r="D58" s="50"/>
      <c r="E58" s="271"/>
      <c r="F58" s="271"/>
      <c r="G58" s="271"/>
      <c r="H58" s="273"/>
      <c r="I58" s="273"/>
      <c r="J58" s="273"/>
      <c r="K58" s="273"/>
      <c r="L58" s="273"/>
      <c r="M58" s="273"/>
      <c r="N58" s="284"/>
      <c r="O58" s="284"/>
    </row>
    <row r="59" spans="2:27" x14ac:dyDescent="0.3">
      <c r="B59" s="50"/>
      <c r="C59" s="50"/>
      <c r="D59" s="50"/>
      <c r="E59" s="271"/>
      <c r="F59" s="271"/>
      <c r="G59" s="271"/>
      <c r="H59" s="273"/>
      <c r="I59" s="273"/>
      <c r="J59" s="273"/>
      <c r="K59" s="273"/>
      <c r="L59" s="273"/>
      <c r="M59" s="273"/>
      <c r="N59" s="284"/>
      <c r="O59" s="284"/>
    </row>
    <row r="60" spans="2:27" x14ac:dyDescent="0.2">
      <c r="B60" s="50"/>
      <c r="C60" s="50"/>
      <c r="D60" s="50"/>
      <c r="E60" s="271"/>
      <c r="F60" s="271"/>
      <c r="G60" s="271"/>
      <c r="H60" s="273"/>
      <c r="I60" s="273"/>
      <c r="J60" s="273"/>
      <c r="K60" s="273"/>
      <c r="L60" s="273"/>
      <c r="M60" s="273"/>
      <c r="N60" s="284"/>
      <c r="O60" s="284"/>
      <c r="V60" s="1"/>
      <c r="W60" s="628"/>
      <c r="X60" s="629"/>
      <c r="Y60" s="630"/>
      <c r="Z60" s="1"/>
      <c r="AA60" s="1"/>
    </row>
    <row r="61" spans="2:27" x14ac:dyDescent="0.3">
      <c r="B61" s="50"/>
      <c r="C61" s="50"/>
      <c r="D61" s="50"/>
      <c r="E61" s="271"/>
      <c r="F61" s="271"/>
      <c r="G61" s="271"/>
      <c r="H61" s="273"/>
      <c r="I61" s="273"/>
      <c r="J61" s="273"/>
      <c r="K61" s="273"/>
      <c r="L61" s="273"/>
      <c r="M61" s="273"/>
      <c r="N61" s="284"/>
      <c r="O61" s="284"/>
      <c r="V61" s="1"/>
      <c r="W61" s="1"/>
      <c r="X61" s="1"/>
      <c r="Y61" s="1"/>
      <c r="Z61" s="1"/>
      <c r="AA61" s="1"/>
    </row>
    <row r="62" spans="2:27" x14ac:dyDescent="0.3">
      <c r="B62" s="50"/>
      <c r="C62" s="50"/>
      <c r="D62" s="50"/>
      <c r="E62" s="271"/>
      <c r="F62" s="271"/>
      <c r="G62" s="271"/>
      <c r="H62" s="273"/>
      <c r="I62" s="273"/>
      <c r="J62" s="273"/>
      <c r="K62" s="273"/>
      <c r="L62" s="273"/>
      <c r="M62" s="273"/>
      <c r="N62" s="284"/>
      <c r="O62" s="284"/>
      <c r="V62" s="1"/>
      <c r="W62" s="1"/>
      <c r="X62" s="1"/>
      <c r="Y62" s="1"/>
      <c r="Z62" s="1"/>
      <c r="AA62" s="1"/>
    </row>
    <row r="63" spans="2:27" x14ac:dyDescent="0.3">
      <c r="B63" s="50"/>
      <c r="C63" s="50"/>
      <c r="D63" s="50"/>
      <c r="E63" s="271"/>
      <c r="F63" s="271"/>
      <c r="G63" s="271"/>
      <c r="H63" s="273"/>
      <c r="I63" s="273"/>
      <c r="J63" s="273"/>
      <c r="K63" s="273"/>
      <c r="L63" s="273"/>
      <c r="M63" s="273"/>
      <c r="N63" s="284"/>
      <c r="O63" s="284"/>
      <c r="V63" s="1"/>
      <c r="W63" s="1"/>
      <c r="X63" s="1"/>
      <c r="Y63" s="1"/>
      <c r="Z63" s="1"/>
      <c r="AA63" s="1"/>
    </row>
    <row r="64" spans="2:27" x14ac:dyDescent="0.3">
      <c r="B64" s="50"/>
      <c r="C64" s="50"/>
      <c r="D64" s="50"/>
      <c r="E64" s="271"/>
      <c r="F64" s="271"/>
      <c r="G64" s="271"/>
      <c r="H64" s="273"/>
      <c r="I64" s="273"/>
      <c r="J64" s="273"/>
      <c r="K64" s="273"/>
      <c r="L64" s="273"/>
      <c r="M64" s="273"/>
      <c r="N64" s="284"/>
      <c r="O64" s="284"/>
      <c r="V64" s="1"/>
      <c r="W64" s="1"/>
      <c r="X64" s="1"/>
      <c r="Y64" s="1"/>
      <c r="Z64" s="1"/>
      <c r="AA64" s="1"/>
    </row>
    <row r="65" spans="2:27" x14ac:dyDescent="0.3">
      <c r="B65" s="50"/>
      <c r="C65" s="50"/>
      <c r="D65" s="50"/>
      <c r="E65" s="271"/>
      <c r="F65" s="271"/>
      <c r="G65" s="271"/>
      <c r="H65" s="273"/>
      <c r="I65" s="273"/>
      <c r="J65" s="273"/>
      <c r="K65" s="273"/>
      <c r="L65" s="273"/>
      <c r="M65" s="273"/>
      <c r="N65" s="284"/>
      <c r="O65" s="284"/>
      <c r="V65" s="1"/>
      <c r="W65" s="1"/>
      <c r="X65" s="1"/>
      <c r="Y65" s="1"/>
      <c r="Z65" s="1"/>
      <c r="AA65" s="1"/>
    </row>
    <row r="66" spans="2:27" x14ac:dyDescent="0.3">
      <c r="B66" s="50"/>
      <c r="C66" s="50"/>
      <c r="D66" s="50"/>
      <c r="E66" s="271"/>
      <c r="F66" s="271"/>
      <c r="G66" s="271"/>
      <c r="H66" s="273"/>
      <c r="I66" s="273"/>
      <c r="J66" s="273"/>
      <c r="K66" s="273"/>
      <c r="L66" s="273"/>
      <c r="M66" s="273"/>
      <c r="N66" s="284"/>
      <c r="O66" s="284"/>
      <c r="V66" s="1"/>
      <c r="W66" s="1"/>
      <c r="X66" s="1"/>
      <c r="Y66" s="1"/>
      <c r="Z66" s="1"/>
      <c r="AA66" s="1"/>
    </row>
    <row r="67" spans="2:27" x14ac:dyDescent="0.3">
      <c r="B67" s="50"/>
      <c r="C67" s="50"/>
      <c r="D67" s="50"/>
      <c r="E67" s="271"/>
      <c r="F67" s="271"/>
      <c r="G67" s="271"/>
      <c r="H67" s="273"/>
      <c r="I67" s="273"/>
      <c r="J67" s="273"/>
      <c r="K67" s="273"/>
      <c r="L67" s="273"/>
      <c r="M67" s="273"/>
      <c r="N67" s="284"/>
      <c r="O67" s="284"/>
      <c r="V67" s="1"/>
      <c r="W67" s="1"/>
      <c r="X67" s="1"/>
      <c r="Y67" s="1"/>
      <c r="Z67" s="1"/>
      <c r="AA67" s="1"/>
    </row>
    <row r="68" spans="2:27" x14ac:dyDescent="0.3">
      <c r="B68" s="50"/>
      <c r="C68" s="50"/>
      <c r="D68" s="50"/>
      <c r="E68" s="271"/>
      <c r="F68" s="271"/>
      <c r="G68" s="271"/>
      <c r="H68" s="273"/>
      <c r="I68" s="273"/>
      <c r="J68" s="273"/>
      <c r="K68" s="273"/>
      <c r="L68" s="273"/>
      <c r="M68" s="273"/>
      <c r="N68" s="284"/>
      <c r="O68" s="284"/>
      <c r="V68" s="1"/>
      <c r="W68" s="1"/>
      <c r="X68" s="1"/>
      <c r="Y68" s="1"/>
      <c r="Z68" s="1"/>
      <c r="AA68" s="1"/>
    </row>
    <row r="69" spans="2:27" x14ac:dyDescent="0.3">
      <c r="B69" s="50"/>
      <c r="C69" s="50"/>
      <c r="D69" s="50"/>
      <c r="E69" s="271"/>
      <c r="F69" s="271"/>
      <c r="G69" s="271"/>
      <c r="H69" s="273"/>
      <c r="I69" s="273"/>
      <c r="J69" s="273"/>
      <c r="K69" s="273"/>
      <c r="L69" s="273"/>
      <c r="M69" s="273"/>
      <c r="N69" s="284"/>
      <c r="O69" s="284"/>
      <c r="V69" s="1"/>
      <c r="W69" s="1"/>
      <c r="X69" s="1"/>
      <c r="Y69" s="1"/>
      <c r="Z69" s="1"/>
      <c r="AA69" s="1"/>
    </row>
    <row r="70" spans="2:27" x14ac:dyDescent="0.3">
      <c r="B70" s="50"/>
      <c r="C70" s="50"/>
      <c r="D70" s="50"/>
      <c r="E70" s="271"/>
      <c r="F70" s="271"/>
      <c r="G70" s="271"/>
      <c r="H70" s="273"/>
      <c r="I70" s="273"/>
      <c r="J70" s="273"/>
      <c r="K70" s="273"/>
      <c r="L70" s="273"/>
      <c r="M70" s="273"/>
      <c r="N70" s="284"/>
      <c r="O70" s="284"/>
      <c r="V70" s="1"/>
      <c r="W70" s="1"/>
      <c r="X70" s="1"/>
      <c r="Y70" s="1"/>
      <c r="Z70" s="1"/>
      <c r="AA70" s="1"/>
    </row>
    <row r="71" spans="2:27" x14ac:dyDescent="0.3">
      <c r="B71" s="50"/>
      <c r="C71" s="50"/>
      <c r="D71" s="50"/>
      <c r="E71" s="271"/>
      <c r="F71" s="271"/>
      <c r="G71" s="271"/>
      <c r="H71" s="273"/>
      <c r="I71" s="273"/>
      <c r="J71" s="273"/>
      <c r="K71" s="273"/>
      <c r="L71" s="273"/>
      <c r="M71" s="273"/>
      <c r="N71" s="284"/>
      <c r="O71" s="284"/>
      <c r="V71" s="1"/>
      <c r="W71" s="1"/>
      <c r="X71" s="1"/>
      <c r="Y71" s="1"/>
      <c r="Z71" s="1"/>
      <c r="AA71" s="1"/>
    </row>
    <row r="72" spans="2:27" x14ac:dyDescent="0.3">
      <c r="B72" s="50"/>
      <c r="C72" s="50"/>
      <c r="D72" s="50"/>
      <c r="E72" s="271"/>
      <c r="F72" s="271"/>
      <c r="G72" s="271"/>
      <c r="H72" s="273"/>
      <c r="I72" s="273"/>
      <c r="J72" s="273"/>
      <c r="K72" s="273"/>
      <c r="L72" s="273"/>
      <c r="M72" s="273"/>
      <c r="N72" s="284"/>
      <c r="O72" s="284"/>
      <c r="V72" s="1"/>
      <c r="W72" s="1"/>
      <c r="X72" s="1"/>
      <c r="Y72" s="1"/>
      <c r="Z72" s="1"/>
      <c r="AA72" s="1"/>
    </row>
    <row r="73" spans="2:27" x14ac:dyDescent="0.3">
      <c r="B73" s="50"/>
      <c r="C73" s="50"/>
      <c r="D73" s="50"/>
      <c r="E73" s="271"/>
      <c r="F73" s="271"/>
      <c r="G73" s="271"/>
      <c r="H73" s="273"/>
      <c r="I73" s="273"/>
      <c r="J73" s="273"/>
      <c r="K73" s="273"/>
      <c r="L73" s="273"/>
      <c r="M73" s="273"/>
      <c r="N73" s="284"/>
      <c r="O73" s="284"/>
      <c r="V73" s="1"/>
      <c r="W73" s="1"/>
      <c r="X73" s="1"/>
      <c r="Y73" s="1"/>
      <c r="Z73" s="1"/>
      <c r="AA73" s="1"/>
    </row>
    <row r="74" spans="2:27" x14ac:dyDescent="0.3">
      <c r="B74" s="50"/>
      <c r="C74" s="50"/>
      <c r="D74" s="50"/>
      <c r="E74" s="271"/>
      <c r="F74" s="271"/>
      <c r="G74" s="271"/>
      <c r="H74" s="273"/>
      <c r="I74" s="273"/>
      <c r="J74" s="273"/>
      <c r="K74" s="273"/>
      <c r="L74" s="273"/>
      <c r="M74" s="273"/>
      <c r="N74" s="284"/>
      <c r="O74" s="284"/>
      <c r="V74" s="1"/>
      <c r="W74" s="1"/>
      <c r="X74" s="1"/>
      <c r="Y74" s="1"/>
      <c r="Z74" s="1"/>
      <c r="AA74" s="1"/>
    </row>
    <row r="75" spans="2:27" x14ac:dyDescent="0.3">
      <c r="B75" s="50"/>
      <c r="C75" s="50"/>
      <c r="D75" s="50"/>
      <c r="E75" s="271"/>
      <c r="F75" s="271"/>
      <c r="G75" s="271"/>
      <c r="H75" s="273"/>
      <c r="I75" s="273"/>
      <c r="J75" s="273"/>
      <c r="K75" s="273"/>
      <c r="L75" s="273"/>
      <c r="M75" s="273"/>
      <c r="N75" s="284"/>
      <c r="O75" s="284"/>
      <c r="V75" s="1"/>
      <c r="W75" s="1"/>
      <c r="X75" s="1"/>
      <c r="Y75" s="1"/>
      <c r="Z75" s="1"/>
      <c r="AA75" s="1"/>
    </row>
    <row r="76" spans="2:27" x14ac:dyDescent="0.3">
      <c r="B76" s="50"/>
      <c r="C76" s="50"/>
      <c r="D76" s="50"/>
      <c r="E76" s="271"/>
      <c r="F76" s="271"/>
      <c r="G76" s="271"/>
      <c r="H76" s="273"/>
      <c r="I76" s="273"/>
      <c r="J76" s="273"/>
      <c r="K76" s="273"/>
      <c r="L76" s="273"/>
      <c r="M76" s="273"/>
      <c r="N76" s="284"/>
      <c r="O76" s="284"/>
      <c r="V76" s="1"/>
      <c r="W76" s="1"/>
      <c r="X76" s="1"/>
      <c r="Y76" s="1"/>
      <c r="Z76" s="1"/>
      <c r="AA76" s="1"/>
    </row>
    <row r="77" spans="2:27" x14ac:dyDescent="0.3">
      <c r="B77" s="50"/>
      <c r="C77" s="50"/>
      <c r="D77" s="50"/>
      <c r="E77" s="271"/>
      <c r="F77" s="271"/>
      <c r="G77" s="271"/>
      <c r="H77" s="273"/>
      <c r="I77" s="273"/>
      <c r="J77" s="273"/>
      <c r="K77" s="273"/>
      <c r="L77" s="273"/>
      <c r="M77" s="273"/>
      <c r="N77" s="284"/>
      <c r="O77" s="284"/>
      <c r="V77" s="1"/>
      <c r="W77" s="1"/>
      <c r="X77" s="1"/>
      <c r="Y77" s="1"/>
      <c r="Z77" s="1"/>
      <c r="AA77" s="1"/>
    </row>
    <row r="78" spans="2:27" x14ac:dyDescent="0.3">
      <c r="B78" s="50"/>
      <c r="C78" s="50"/>
      <c r="D78" s="50"/>
      <c r="E78" s="271"/>
      <c r="F78" s="271"/>
      <c r="G78" s="271"/>
      <c r="H78" s="273"/>
      <c r="I78" s="273"/>
      <c r="J78" s="273"/>
      <c r="K78" s="273"/>
      <c r="L78" s="273"/>
      <c r="M78" s="273"/>
      <c r="N78" s="284"/>
      <c r="O78" s="284"/>
      <c r="V78" s="1"/>
      <c r="W78" s="1"/>
      <c r="X78" s="1"/>
      <c r="Y78" s="1"/>
      <c r="Z78" s="1"/>
      <c r="AA78" s="1"/>
    </row>
    <row r="79" spans="2:27" x14ac:dyDescent="0.3">
      <c r="B79" s="50"/>
      <c r="C79" s="50"/>
      <c r="D79" s="50"/>
      <c r="E79" s="271"/>
      <c r="F79" s="271"/>
      <c r="G79" s="271"/>
      <c r="H79" s="273"/>
      <c r="I79" s="273"/>
      <c r="J79" s="273"/>
      <c r="K79" s="273"/>
      <c r="L79" s="273"/>
      <c r="M79" s="273"/>
      <c r="N79" s="284"/>
      <c r="O79" s="284"/>
      <c r="V79" s="1"/>
      <c r="W79" s="1"/>
      <c r="X79" s="1"/>
      <c r="Y79" s="1"/>
      <c r="Z79" s="1"/>
      <c r="AA79" s="1"/>
    </row>
    <row r="80" spans="2:27" x14ac:dyDescent="0.3">
      <c r="B80" s="50"/>
      <c r="C80" s="50"/>
      <c r="D80" s="50"/>
      <c r="E80" s="271"/>
      <c r="F80" s="271"/>
      <c r="G80" s="271"/>
      <c r="H80" s="273"/>
      <c r="I80" s="273"/>
      <c r="J80" s="273"/>
      <c r="K80" s="273"/>
      <c r="L80" s="273"/>
      <c r="M80" s="273"/>
      <c r="N80" s="284"/>
      <c r="O80" s="284"/>
      <c r="V80" s="1"/>
      <c r="W80" s="1"/>
      <c r="X80" s="1"/>
      <c r="Y80" s="1"/>
      <c r="Z80" s="1"/>
      <c r="AA80" s="1"/>
    </row>
    <row r="81" spans="2:27" x14ac:dyDescent="0.3">
      <c r="B81" s="50"/>
      <c r="C81" s="50"/>
      <c r="D81" s="50"/>
      <c r="E81" s="271"/>
      <c r="F81" s="271"/>
      <c r="G81" s="271"/>
      <c r="H81" s="273"/>
      <c r="I81" s="273"/>
      <c r="J81" s="273"/>
      <c r="K81" s="273"/>
      <c r="L81" s="273"/>
      <c r="M81" s="273"/>
      <c r="N81" s="284"/>
      <c r="O81" s="284"/>
      <c r="V81" s="1"/>
      <c r="W81" s="1"/>
      <c r="X81" s="1"/>
      <c r="Y81" s="1"/>
      <c r="Z81" s="1"/>
      <c r="AA81" s="1"/>
    </row>
    <row r="82" spans="2:27" x14ac:dyDescent="0.3">
      <c r="B82" s="50"/>
      <c r="C82" s="50"/>
      <c r="D82" s="50"/>
      <c r="E82" s="271"/>
      <c r="F82" s="271"/>
      <c r="G82" s="271"/>
      <c r="H82" s="273"/>
      <c r="I82" s="273"/>
      <c r="J82" s="273"/>
      <c r="K82" s="273"/>
      <c r="L82" s="273"/>
      <c r="M82" s="273"/>
      <c r="N82" s="284"/>
      <c r="O82" s="284"/>
      <c r="V82" s="1"/>
      <c r="W82" s="1"/>
      <c r="X82" s="1"/>
      <c r="Y82" s="1"/>
      <c r="Z82" s="1"/>
      <c r="AA82" s="1"/>
    </row>
    <row r="83" spans="2:27" x14ac:dyDescent="0.3">
      <c r="B83" s="50"/>
      <c r="C83" s="50"/>
      <c r="D83" s="50"/>
      <c r="E83" s="271"/>
      <c r="F83" s="271"/>
      <c r="G83" s="271"/>
      <c r="H83" s="273"/>
      <c r="I83" s="273"/>
      <c r="J83" s="273"/>
      <c r="K83" s="273"/>
      <c r="L83" s="273"/>
      <c r="M83" s="273"/>
      <c r="N83" s="284"/>
      <c r="O83" s="284"/>
      <c r="V83" s="1"/>
      <c r="W83" s="1"/>
      <c r="X83" s="1"/>
      <c r="Y83" s="1"/>
      <c r="Z83" s="1"/>
      <c r="AA83" s="1"/>
    </row>
    <row r="84" spans="2:27" x14ac:dyDescent="0.3">
      <c r="B84" s="50"/>
      <c r="C84" s="50"/>
      <c r="D84" s="50"/>
      <c r="E84" s="271"/>
      <c r="F84" s="271"/>
      <c r="G84" s="271"/>
      <c r="H84" s="273"/>
      <c r="I84" s="273"/>
      <c r="J84" s="273"/>
      <c r="K84" s="273"/>
      <c r="L84" s="273"/>
      <c r="M84" s="273"/>
      <c r="N84" s="284"/>
      <c r="O84" s="284"/>
      <c r="V84" s="1"/>
      <c r="W84" s="1"/>
      <c r="X84" s="1"/>
      <c r="Y84" s="1"/>
      <c r="Z84" s="1"/>
      <c r="AA84" s="1"/>
    </row>
    <row r="85" spans="2:27" x14ac:dyDescent="0.3">
      <c r="B85" s="50"/>
      <c r="C85" s="50"/>
      <c r="D85" s="50"/>
      <c r="E85" s="271"/>
      <c r="F85" s="271"/>
      <c r="G85" s="271"/>
      <c r="H85" s="273"/>
      <c r="I85" s="273"/>
      <c r="J85" s="273"/>
      <c r="K85" s="273"/>
      <c r="L85" s="273"/>
      <c r="M85" s="273"/>
      <c r="N85" s="284"/>
      <c r="O85" s="284"/>
      <c r="V85" s="1"/>
      <c r="W85" s="1"/>
      <c r="X85" s="1"/>
      <c r="Y85" s="1"/>
      <c r="Z85" s="1"/>
      <c r="AA85" s="1"/>
    </row>
    <row r="86" spans="2:27" x14ac:dyDescent="0.3">
      <c r="B86" s="50"/>
      <c r="C86" s="50"/>
      <c r="D86" s="50"/>
      <c r="E86" s="271"/>
      <c r="F86" s="271"/>
      <c r="G86" s="271"/>
      <c r="H86" s="273"/>
      <c r="I86" s="273"/>
      <c r="J86" s="273"/>
      <c r="K86" s="273"/>
      <c r="L86" s="273"/>
      <c r="M86" s="273"/>
      <c r="N86" s="284"/>
      <c r="O86" s="284"/>
      <c r="V86" s="1"/>
      <c r="W86" s="1"/>
      <c r="X86" s="1"/>
      <c r="Y86" s="1"/>
      <c r="Z86" s="1"/>
      <c r="AA86" s="1"/>
    </row>
    <row r="87" spans="2:27" x14ac:dyDescent="0.3">
      <c r="B87" s="50"/>
      <c r="C87" s="50"/>
      <c r="D87" s="50"/>
      <c r="E87" s="271"/>
      <c r="F87" s="271"/>
      <c r="G87" s="271"/>
      <c r="H87" s="273"/>
      <c r="I87" s="273"/>
      <c r="J87" s="273"/>
      <c r="K87" s="273"/>
      <c r="L87" s="273"/>
      <c r="M87" s="273"/>
      <c r="N87" s="284"/>
      <c r="O87" s="284"/>
      <c r="V87" s="1"/>
      <c r="W87" s="1"/>
      <c r="X87" s="1"/>
      <c r="Y87" s="1"/>
      <c r="Z87" s="1"/>
      <c r="AA87" s="1"/>
    </row>
    <row r="88" spans="2:27" x14ac:dyDescent="0.3">
      <c r="B88" s="50"/>
      <c r="C88" s="50"/>
      <c r="D88" s="50"/>
      <c r="E88" s="271"/>
      <c r="F88" s="271"/>
      <c r="G88" s="271"/>
      <c r="H88" s="273"/>
      <c r="I88" s="273"/>
      <c r="J88" s="273"/>
      <c r="K88" s="273"/>
      <c r="L88" s="273"/>
      <c r="M88" s="273"/>
      <c r="N88" s="284"/>
      <c r="O88" s="284"/>
      <c r="V88" s="1"/>
      <c r="W88" s="1"/>
      <c r="X88" s="1"/>
      <c r="Y88" s="1"/>
      <c r="Z88" s="1"/>
      <c r="AA88" s="1"/>
    </row>
    <row r="89" spans="2:27" x14ac:dyDescent="0.3">
      <c r="B89" s="50"/>
      <c r="C89" s="50"/>
      <c r="D89" s="50"/>
      <c r="E89" s="271"/>
      <c r="F89" s="271"/>
      <c r="G89" s="271"/>
      <c r="H89" s="273"/>
      <c r="I89" s="273"/>
      <c r="J89" s="273"/>
      <c r="K89" s="273"/>
      <c r="L89" s="273"/>
      <c r="M89" s="273"/>
      <c r="N89" s="284"/>
      <c r="O89" s="284"/>
      <c r="V89" s="1"/>
      <c r="W89" s="1"/>
      <c r="X89" s="1"/>
      <c r="Y89" s="1"/>
      <c r="Z89" s="1"/>
      <c r="AA89" s="1"/>
    </row>
    <row r="90" spans="2:27" x14ac:dyDescent="0.3">
      <c r="B90" s="50"/>
      <c r="C90" s="50"/>
      <c r="D90" s="50"/>
      <c r="E90" s="271"/>
      <c r="F90" s="271"/>
      <c r="G90" s="271"/>
      <c r="H90" s="273"/>
      <c r="I90" s="273"/>
      <c r="J90" s="273"/>
      <c r="K90" s="273"/>
      <c r="L90" s="273"/>
      <c r="M90" s="273"/>
      <c r="N90" s="284"/>
      <c r="O90" s="284"/>
      <c r="V90" s="1"/>
      <c r="W90" s="1"/>
      <c r="X90" s="1"/>
      <c r="Y90" s="1"/>
      <c r="Z90" s="1"/>
      <c r="AA90" s="1"/>
    </row>
    <row r="91" spans="2:27" x14ac:dyDescent="0.3">
      <c r="B91" s="50"/>
      <c r="C91" s="50"/>
      <c r="D91" s="50"/>
      <c r="E91" s="271"/>
      <c r="F91" s="271"/>
      <c r="G91" s="271"/>
      <c r="H91" s="273"/>
      <c r="I91" s="273"/>
      <c r="J91" s="273"/>
      <c r="K91" s="273"/>
      <c r="L91" s="273"/>
      <c r="M91" s="273"/>
      <c r="N91" s="284"/>
      <c r="O91" s="284"/>
      <c r="V91" s="1"/>
      <c r="W91" s="1"/>
      <c r="X91" s="1"/>
      <c r="Y91" s="1"/>
      <c r="Z91" s="1"/>
      <c r="AA91" s="1"/>
    </row>
    <row r="92" spans="2:27" x14ac:dyDescent="0.3">
      <c r="B92" s="50"/>
      <c r="C92" s="50"/>
      <c r="D92" s="50"/>
      <c r="E92" s="271"/>
      <c r="F92" s="271"/>
      <c r="G92" s="271"/>
      <c r="H92" s="273"/>
      <c r="I92" s="273"/>
      <c r="J92" s="273"/>
      <c r="K92" s="273"/>
      <c r="L92" s="273"/>
      <c r="M92" s="273"/>
      <c r="N92" s="284"/>
      <c r="O92" s="284"/>
      <c r="V92" s="1"/>
      <c r="W92" s="1"/>
      <c r="X92" s="1"/>
      <c r="Y92" s="1"/>
      <c r="Z92" s="1"/>
      <c r="AA92" s="1"/>
    </row>
    <row r="93" spans="2:27" x14ac:dyDescent="0.3">
      <c r="B93" s="50"/>
      <c r="C93" s="50"/>
      <c r="D93" s="50"/>
      <c r="E93" s="271"/>
      <c r="F93" s="271"/>
      <c r="G93" s="271"/>
      <c r="H93" s="273"/>
      <c r="I93" s="273"/>
      <c r="J93" s="273"/>
      <c r="K93" s="273"/>
      <c r="L93" s="273"/>
      <c r="M93" s="273"/>
      <c r="N93" s="284"/>
      <c r="O93" s="284"/>
    </row>
    <row r="94" spans="2:27" x14ac:dyDescent="0.3">
      <c r="B94" s="50"/>
      <c r="C94" s="50"/>
      <c r="D94" s="50"/>
      <c r="E94" s="271"/>
      <c r="F94" s="271"/>
      <c r="G94" s="271"/>
      <c r="H94" s="273"/>
      <c r="I94" s="273"/>
      <c r="J94" s="273"/>
      <c r="K94" s="273"/>
      <c r="L94" s="273"/>
      <c r="M94" s="273"/>
      <c r="N94" s="284"/>
      <c r="O94" s="284"/>
    </row>
    <row r="95" spans="2:27" x14ac:dyDescent="0.3">
      <c r="B95" s="50"/>
      <c r="C95" s="50"/>
      <c r="D95" s="50"/>
      <c r="E95" s="271"/>
      <c r="F95" s="271"/>
      <c r="G95" s="271"/>
      <c r="H95" s="273"/>
      <c r="I95" s="273"/>
      <c r="J95" s="273"/>
      <c r="K95" s="273"/>
      <c r="L95" s="273"/>
      <c r="M95" s="273"/>
      <c r="N95" s="284"/>
      <c r="O95" s="284"/>
    </row>
    <row r="96" spans="2:27" x14ac:dyDescent="0.3">
      <c r="B96" s="50"/>
      <c r="C96" s="50"/>
      <c r="D96" s="50"/>
      <c r="E96" s="271"/>
      <c r="F96" s="271"/>
      <c r="G96" s="271"/>
      <c r="H96" s="273"/>
      <c r="I96" s="273"/>
      <c r="J96" s="273"/>
      <c r="K96" s="273"/>
      <c r="L96" s="273"/>
      <c r="M96" s="273"/>
      <c r="N96" s="284"/>
      <c r="O96" s="284"/>
    </row>
    <row r="97" spans="2:15" x14ac:dyDescent="0.3">
      <c r="B97" s="50"/>
      <c r="C97" s="50"/>
      <c r="D97" s="50"/>
      <c r="E97" s="271"/>
      <c r="F97" s="271"/>
      <c r="G97" s="271"/>
      <c r="H97" s="273"/>
      <c r="I97" s="273"/>
      <c r="J97" s="273"/>
      <c r="K97" s="273"/>
      <c r="L97" s="273"/>
      <c r="M97" s="273"/>
      <c r="N97" s="284"/>
      <c r="O97" s="284"/>
    </row>
    <row r="98" spans="2:15" x14ac:dyDescent="0.3">
      <c r="B98" s="50"/>
      <c r="C98" s="50"/>
      <c r="D98" s="50"/>
      <c r="E98" s="271"/>
      <c r="F98" s="271"/>
      <c r="G98" s="271"/>
      <c r="H98" s="273"/>
      <c r="I98" s="273"/>
      <c r="J98" s="273"/>
      <c r="K98" s="273"/>
      <c r="L98" s="273"/>
      <c r="M98" s="273"/>
      <c r="N98" s="284"/>
      <c r="O98" s="284"/>
    </row>
    <row r="99" spans="2:15" x14ac:dyDescent="0.3">
      <c r="B99" s="50"/>
      <c r="C99" s="50"/>
      <c r="D99" s="50"/>
      <c r="E99" s="271"/>
      <c r="F99" s="271"/>
      <c r="G99" s="271"/>
      <c r="H99" s="273"/>
      <c r="I99" s="273"/>
      <c r="J99" s="273"/>
      <c r="K99" s="273"/>
      <c r="L99" s="273"/>
      <c r="M99" s="273"/>
      <c r="N99" s="284"/>
      <c r="O99" s="284"/>
    </row>
    <row r="100" spans="2:15" x14ac:dyDescent="0.3">
      <c r="B100" s="50"/>
      <c r="C100" s="50"/>
      <c r="D100" s="50"/>
      <c r="E100" s="271"/>
      <c r="F100" s="271"/>
      <c r="G100" s="271"/>
      <c r="H100" s="273"/>
      <c r="I100" s="273"/>
      <c r="J100" s="273"/>
      <c r="K100" s="273"/>
      <c r="L100" s="273"/>
      <c r="M100" s="273"/>
      <c r="N100" s="284"/>
      <c r="O100" s="284"/>
    </row>
    <row r="101" spans="2:15" x14ac:dyDescent="0.3">
      <c r="B101" s="50"/>
      <c r="C101" s="50"/>
      <c r="D101" s="50"/>
      <c r="E101" s="271"/>
      <c r="F101" s="271"/>
      <c r="G101" s="271"/>
      <c r="H101" s="273"/>
      <c r="I101" s="273"/>
      <c r="J101" s="273"/>
      <c r="K101" s="273"/>
      <c r="L101" s="273"/>
      <c r="M101" s="273"/>
      <c r="N101" s="284"/>
      <c r="O101" s="284"/>
    </row>
    <row r="102" spans="2:15" x14ac:dyDescent="0.3">
      <c r="B102" s="50"/>
      <c r="C102" s="50"/>
      <c r="D102" s="50"/>
      <c r="E102" s="271"/>
      <c r="F102" s="271"/>
      <c r="G102" s="271"/>
      <c r="H102" s="273"/>
      <c r="I102" s="273"/>
      <c r="J102" s="273"/>
      <c r="K102" s="273"/>
      <c r="L102" s="273"/>
      <c r="M102" s="273"/>
      <c r="N102" s="284"/>
      <c r="O102" s="284"/>
    </row>
    <row r="103" spans="2:15" x14ac:dyDescent="0.3">
      <c r="B103" s="50"/>
      <c r="C103" s="50"/>
      <c r="D103" s="50"/>
      <c r="E103" s="271"/>
      <c r="F103" s="271"/>
      <c r="G103" s="271"/>
      <c r="H103" s="273"/>
      <c r="I103" s="273"/>
      <c r="J103" s="273"/>
      <c r="K103" s="273"/>
      <c r="L103" s="273"/>
      <c r="M103" s="273"/>
      <c r="N103" s="284"/>
      <c r="O103" s="284"/>
    </row>
    <row r="104" spans="2:15" x14ac:dyDescent="0.3">
      <c r="B104" s="50"/>
      <c r="C104" s="50"/>
      <c r="D104" s="50"/>
      <c r="E104" s="271"/>
      <c r="F104" s="271"/>
      <c r="G104" s="271"/>
      <c r="H104" s="273"/>
      <c r="I104" s="273"/>
      <c r="J104" s="273"/>
      <c r="K104" s="273"/>
      <c r="L104" s="273"/>
      <c r="M104" s="273"/>
      <c r="N104" s="284"/>
      <c r="O104" s="284"/>
    </row>
    <row r="105" spans="2:15" x14ac:dyDescent="0.3">
      <c r="B105" s="50"/>
      <c r="C105" s="50"/>
      <c r="D105" s="50"/>
      <c r="E105" s="271"/>
      <c r="F105" s="271"/>
      <c r="G105" s="271"/>
      <c r="H105" s="273"/>
      <c r="I105" s="273"/>
      <c r="J105" s="273"/>
      <c r="K105" s="273"/>
      <c r="L105" s="273"/>
      <c r="M105" s="273"/>
      <c r="N105" s="284"/>
      <c r="O105" s="284"/>
    </row>
    <row r="106" spans="2:15" x14ac:dyDescent="0.3">
      <c r="B106" s="50"/>
      <c r="C106" s="50"/>
      <c r="D106" s="50"/>
      <c r="E106" s="271"/>
      <c r="F106" s="271"/>
      <c r="G106" s="271"/>
      <c r="H106" s="273"/>
      <c r="I106" s="273"/>
      <c r="J106" s="273"/>
      <c r="K106" s="273"/>
      <c r="L106" s="273"/>
      <c r="M106" s="273"/>
      <c r="N106" s="284"/>
      <c r="O106" s="284"/>
    </row>
    <row r="107" spans="2:15" x14ac:dyDescent="0.3">
      <c r="B107" s="50"/>
      <c r="C107" s="50"/>
      <c r="D107" s="50"/>
      <c r="E107" s="271"/>
      <c r="F107" s="271"/>
      <c r="G107" s="271"/>
      <c r="H107" s="273"/>
      <c r="I107" s="273"/>
      <c r="J107" s="273"/>
      <c r="K107" s="273"/>
      <c r="L107" s="273"/>
      <c r="M107" s="273"/>
      <c r="N107" s="284"/>
      <c r="O107" s="284"/>
    </row>
    <row r="108" spans="2:15" x14ac:dyDescent="0.3">
      <c r="B108" s="50"/>
      <c r="C108" s="50"/>
      <c r="D108" s="50"/>
      <c r="E108" s="271"/>
      <c r="F108" s="271"/>
      <c r="G108" s="271"/>
      <c r="H108" s="273"/>
      <c r="I108" s="273"/>
      <c r="J108" s="273"/>
      <c r="K108" s="273"/>
      <c r="L108" s="273"/>
      <c r="M108" s="273"/>
      <c r="N108" s="284"/>
      <c r="O108" s="284"/>
    </row>
    <row r="109" spans="2:15" x14ac:dyDescent="0.3">
      <c r="B109" s="50"/>
      <c r="C109" s="50"/>
      <c r="D109" s="50"/>
      <c r="E109" s="271"/>
      <c r="F109" s="271"/>
      <c r="G109" s="271"/>
      <c r="H109" s="273"/>
      <c r="I109" s="273"/>
      <c r="J109" s="273"/>
      <c r="K109" s="273"/>
      <c r="L109" s="273"/>
      <c r="M109" s="273"/>
      <c r="N109" s="284"/>
      <c r="O109" s="284"/>
    </row>
    <row r="110" spans="2:15" x14ac:dyDescent="0.3">
      <c r="B110" s="50"/>
      <c r="C110" s="50"/>
      <c r="D110" s="50"/>
      <c r="E110" s="271"/>
      <c r="F110" s="271"/>
      <c r="G110" s="271"/>
      <c r="H110" s="273"/>
      <c r="I110" s="273"/>
      <c r="J110" s="273"/>
      <c r="K110" s="273"/>
      <c r="L110" s="273"/>
      <c r="M110" s="273"/>
      <c r="N110" s="284"/>
      <c r="O110" s="284"/>
    </row>
    <row r="111" spans="2:15" x14ac:dyDescent="0.3">
      <c r="B111" s="50"/>
      <c r="C111" s="50"/>
      <c r="D111" s="50"/>
      <c r="E111" s="271"/>
      <c r="F111" s="271"/>
      <c r="G111" s="271"/>
      <c r="H111" s="273"/>
      <c r="I111" s="273"/>
      <c r="J111" s="273"/>
      <c r="K111" s="273"/>
      <c r="L111" s="273"/>
      <c r="M111" s="273"/>
      <c r="N111" s="284"/>
      <c r="O111" s="284"/>
    </row>
    <row r="112" spans="2:15" x14ac:dyDescent="0.3">
      <c r="B112" s="50"/>
      <c r="C112" s="50"/>
      <c r="D112" s="50"/>
      <c r="E112" s="271"/>
      <c r="F112" s="271"/>
      <c r="G112" s="271"/>
      <c r="H112" s="273"/>
      <c r="I112" s="273"/>
      <c r="J112" s="273"/>
      <c r="K112" s="273"/>
      <c r="L112" s="273"/>
      <c r="M112" s="273"/>
      <c r="N112" s="284"/>
      <c r="O112" s="284"/>
    </row>
    <row r="113" spans="2:15" x14ac:dyDescent="0.3">
      <c r="B113" s="50"/>
      <c r="C113" s="50"/>
      <c r="D113" s="50"/>
      <c r="E113" s="271"/>
      <c r="F113" s="271"/>
      <c r="G113" s="271"/>
      <c r="H113" s="273"/>
      <c r="I113" s="273"/>
      <c r="J113" s="273"/>
      <c r="K113" s="273"/>
      <c r="L113" s="273"/>
      <c r="M113" s="273"/>
      <c r="N113" s="284"/>
      <c r="O113" s="284"/>
    </row>
    <row r="114" spans="2:15" x14ac:dyDescent="0.3">
      <c r="B114" s="50"/>
      <c r="C114" s="50"/>
      <c r="D114" s="50"/>
      <c r="E114" s="271"/>
      <c r="F114" s="271"/>
      <c r="G114" s="271"/>
      <c r="H114" s="273"/>
      <c r="I114" s="273"/>
      <c r="J114" s="273"/>
      <c r="K114" s="273"/>
      <c r="L114" s="273"/>
      <c r="M114" s="273"/>
      <c r="N114" s="284"/>
      <c r="O114" s="284"/>
    </row>
    <row r="115" spans="2:15" x14ac:dyDescent="0.3">
      <c r="B115" s="50"/>
      <c r="C115" s="50"/>
      <c r="D115" s="50"/>
      <c r="E115" s="271"/>
      <c r="F115" s="271"/>
      <c r="G115" s="271"/>
      <c r="H115" s="273"/>
      <c r="I115" s="273"/>
      <c r="J115" s="273"/>
      <c r="K115" s="273"/>
      <c r="L115" s="273"/>
      <c r="M115" s="273"/>
      <c r="N115" s="284"/>
      <c r="O115" s="284"/>
    </row>
    <row r="116" spans="2:15" x14ac:dyDescent="0.3">
      <c r="B116" s="50"/>
      <c r="C116" s="50"/>
      <c r="D116" s="50"/>
      <c r="E116" s="271"/>
      <c r="F116" s="271"/>
      <c r="G116" s="271"/>
      <c r="H116" s="273"/>
      <c r="I116" s="273"/>
      <c r="J116" s="273"/>
      <c r="K116" s="273"/>
      <c r="L116" s="273"/>
      <c r="M116" s="273"/>
      <c r="N116" s="284"/>
      <c r="O116" s="284"/>
    </row>
    <row r="117" spans="2:15" x14ac:dyDescent="0.3">
      <c r="B117" s="50"/>
      <c r="C117" s="50"/>
      <c r="D117" s="50"/>
      <c r="E117" s="271"/>
      <c r="F117" s="271"/>
      <c r="G117" s="271"/>
      <c r="H117" s="273"/>
      <c r="I117" s="273"/>
      <c r="J117" s="273"/>
      <c r="K117" s="273"/>
      <c r="L117" s="273"/>
      <c r="M117" s="273"/>
      <c r="N117" s="284"/>
      <c r="O117" s="284"/>
    </row>
    <row r="118" spans="2:15" x14ac:dyDescent="0.3">
      <c r="B118" s="50"/>
      <c r="C118" s="50"/>
      <c r="D118" s="50"/>
      <c r="E118" s="271"/>
      <c r="F118" s="271"/>
      <c r="G118" s="271"/>
      <c r="H118" s="273"/>
      <c r="I118" s="273"/>
      <c r="J118" s="273"/>
      <c r="K118" s="273"/>
      <c r="L118" s="273"/>
      <c r="M118" s="273"/>
      <c r="N118" s="284"/>
      <c r="O118" s="284"/>
    </row>
    <row r="119" spans="2:15" x14ac:dyDescent="0.3">
      <c r="B119" s="50"/>
      <c r="C119" s="50"/>
      <c r="D119" s="50"/>
      <c r="E119" s="271"/>
      <c r="F119" s="271"/>
      <c r="G119" s="271"/>
      <c r="H119" s="273"/>
      <c r="I119" s="273"/>
      <c r="J119" s="273"/>
      <c r="K119" s="273"/>
      <c r="L119" s="273"/>
      <c r="M119" s="273"/>
      <c r="N119" s="284"/>
      <c r="O119" s="284"/>
    </row>
    <row r="120" spans="2:15" x14ac:dyDescent="0.3">
      <c r="B120" s="50"/>
      <c r="C120" s="50"/>
      <c r="D120" s="50"/>
      <c r="E120" s="271"/>
      <c r="F120" s="271"/>
      <c r="G120" s="271"/>
      <c r="H120" s="273"/>
      <c r="I120" s="273"/>
      <c r="J120" s="273"/>
      <c r="K120" s="273"/>
      <c r="L120" s="273"/>
      <c r="M120" s="273"/>
      <c r="N120" s="284"/>
      <c r="O120" s="284"/>
    </row>
    <row r="121" spans="2:15" x14ac:dyDescent="0.3">
      <c r="B121" s="50"/>
      <c r="C121" s="50"/>
      <c r="D121" s="50"/>
      <c r="E121" s="271"/>
      <c r="F121" s="271"/>
      <c r="G121" s="271"/>
      <c r="H121" s="273"/>
      <c r="I121" s="273"/>
      <c r="J121" s="273"/>
      <c r="K121" s="273"/>
      <c r="L121" s="273"/>
      <c r="M121" s="273"/>
      <c r="N121" s="284"/>
      <c r="O121" s="284"/>
    </row>
    <row r="122" spans="2:15" x14ac:dyDescent="0.3">
      <c r="B122" s="50"/>
      <c r="C122" s="50"/>
      <c r="D122" s="50"/>
      <c r="E122" s="271"/>
      <c r="F122" s="271"/>
      <c r="G122" s="271"/>
      <c r="H122" s="273"/>
      <c r="I122" s="273"/>
      <c r="J122" s="273"/>
      <c r="K122" s="273"/>
      <c r="L122" s="273"/>
      <c r="M122" s="273"/>
      <c r="N122" s="284"/>
      <c r="O122" s="284"/>
    </row>
    <row r="123" spans="2:15" x14ac:dyDescent="0.3">
      <c r="B123" s="50"/>
      <c r="C123" s="50"/>
      <c r="D123" s="50"/>
      <c r="E123" s="271"/>
      <c r="F123" s="271"/>
      <c r="G123" s="271"/>
      <c r="H123" s="273"/>
      <c r="I123" s="273"/>
      <c r="J123" s="273"/>
      <c r="K123" s="273"/>
      <c r="L123" s="273"/>
      <c r="M123" s="273"/>
      <c r="N123" s="284"/>
      <c r="O123" s="284"/>
    </row>
    <row r="124" spans="2:15" x14ac:dyDescent="0.3">
      <c r="B124" s="50"/>
      <c r="C124" s="50"/>
      <c r="D124" s="50"/>
      <c r="E124" s="271"/>
      <c r="F124" s="271"/>
      <c r="G124" s="271"/>
      <c r="H124" s="273"/>
      <c r="I124" s="273"/>
      <c r="J124" s="273"/>
      <c r="K124" s="273"/>
      <c r="L124" s="273"/>
      <c r="M124" s="273"/>
      <c r="N124" s="284"/>
      <c r="O124" s="284"/>
    </row>
    <row r="125" spans="2:15" x14ac:dyDescent="0.3">
      <c r="B125" s="50"/>
      <c r="C125" s="50"/>
      <c r="D125" s="50"/>
      <c r="E125" s="271"/>
      <c r="F125" s="271"/>
      <c r="G125" s="271"/>
      <c r="H125" s="273"/>
      <c r="I125" s="273"/>
      <c r="J125" s="273"/>
      <c r="K125" s="273"/>
      <c r="L125" s="273"/>
      <c r="M125" s="273"/>
      <c r="N125" s="284"/>
      <c r="O125" s="284"/>
    </row>
    <row r="126" spans="2:15" x14ac:dyDescent="0.3">
      <c r="B126" s="50"/>
      <c r="C126" s="50"/>
      <c r="D126" s="50"/>
      <c r="E126" s="271"/>
      <c r="F126" s="271"/>
      <c r="G126" s="271"/>
      <c r="H126" s="273"/>
      <c r="I126" s="273"/>
      <c r="J126" s="273"/>
      <c r="K126" s="273"/>
      <c r="L126" s="273"/>
      <c r="M126" s="273"/>
      <c r="N126" s="284"/>
      <c r="O126" s="284"/>
    </row>
    <row r="127" spans="2:15" x14ac:dyDescent="0.3">
      <c r="B127" s="50"/>
      <c r="C127" s="50"/>
      <c r="D127" s="50"/>
      <c r="E127" s="271"/>
      <c r="F127" s="271"/>
      <c r="G127" s="271"/>
      <c r="H127" s="273"/>
      <c r="I127" s="273"/>
      <c r="J127" s="273"/>
      <c r="K127" s="273"/>
      <c r="L127" s="273"/>
      <c r="M127" s="273"/>
      <c r="N127" s="284"/>
      <c r="O127" s="284"/>
    </row>
    <row r="128" spans="2:15" x14ac:dyDescent="0.3">
      <c r="B128" s="50"/>
      <c r="C128" s="50"/>
      <c r="D128" s="50"/>
      <c r="E128" s="271"/>
      <c r="F128" s="271"/>
      <c r="G128" s="271"/>
      <c r="H128" s="273"/>
      <c r="I128" s="273"/>
      <c r="J128" s="273"/>
      <c r="K128" s="273"/>
      <c r="L128" s="273"/>
      <c r="M128" s="273"/>
      <c r="N128" s="284"/>
      <c r="O128" s="284"/>
    </row>
    <row r="129" spans="2:15" x14ac:dyDescent="0.3">
      <c r="B129" s="50"/>
      <c r="C129" s="50"/>
      <c r="D129" s="50"/>
      <c r="E129" s="271"/>
      <c r="F129" s="271"/>
      <c r="G129" s="271"/>
      <c r="H129" s="273"/>
      <c r="I129" s="273"/>
      <c r="J129" s="273"/>
      <c r="K129" s="273"/>
      <c r="L129" s="273"/>
      <c r="M129" s="273"/>
      <c r="N129" s="284"/>
      <c r="O129" s="284"/>
    </row>
    <row r="130" spans="2:15" x14ac:dyDescent="0.3">
      <c r="B130" s="50"/>
      <c r="C130" s="50"/>
      <c r="D130" s="50"/>
      <c r="E130" s="271"/>
      <c r="F130" s="271"/>
      <c r="G130" s="271"/>
      <c r="H130" s="273"/>
      <c r="I130" s="273"/>
      <c r="J130" s="273"/>
      <c r="K130" s="273"/>
      <c r="L130" s="273"/>
      <c r="M130" s="273"/>
      <c r="N130" s="284"/>
      <c r="O130" s="284"/>
    </row>
    <row r="131" spans="2:15" x14ac:dyDescent="0.3">
      <c r="B131" s="50"/>
      <c r="C131" s="50"/>
      <c r="D131" s="50"/>
      <c r="E131" s="271"/>
      <c r="F131" s="271"/>
      <c r="G131" s="271"/>
      <c r="H131" s="273"/>
      <c r="I131" s="273"/>
      <c r="J131" s="273"/>
      <c r="K131" s="273"/>
      <c r="L131" s="273"/>
      <c r="M131" s="273"/>
      <c r="N131" s="284"/>
      <c r="O131" s="284"/>
    </row>
    <row r="132" spans="2:15" x14ac:dyDescent="0.3">
      <c r="B132" s="50"/>
      <c r="C132" s="50"/>
      <c r="D132" s="50"/>
      <c r="E132" s="271"/>
      <c r="F132" s="271"/>
      <c r="G132" s="271"/>
      <c r="H132" s="273"/>
      <c r="I132" s="273"/>
      <c r="J132" s="273"/>
      <c r="K132" s="273"/>
      <c r="L132" s="273"/>
      <c r="M132" s="273"/>
      <c r="N132" s="284"/>
      <c r="O132" s="284"/>
    </row>
    <row r="133" spans="2:15" x14ac:dyDescent="0.3">
      <c r="B133" s="50"/>
      <c r="C133" s="50"/>
      <c r="D133" s="50"/>
      <c r="E133" s="271"/>
      <c r="F133" s="271"/>
      <c r="G133" s="271"/>
      <c r="H133" s="273"/>
      <c r="I133" s="273"/>
      <c r="J133" s="273"/>
      <c r="K133" s="273"/>
      <c r="L133" s="273"/>
      <c r="M133" s="273"/>
      <c r="N133" s="284"/>
      <c r="O133" s="284"/>
    </row>
    <row r="134" spans="2:15" x14ac:dyDescent="0.3">
      <c r="B134" s="50"/>
      <c r="C134" s="50"/>
      <c r="D134" s="50"/>
      <c r="E134" s="271"/>
      <c r="F134" s="271"/>
      <c r="G134" s="271"/>
      <c r="H134" s="273"/>
      <c r="I134" s="273"/>
      <c r="J134" s="273"/>
      <c r="K134" s="273"/>
      <c r="L134" s="273"/>
      <c r="M134" s="273"/>
      <c r="N134" s="284"/>
      <c r="O134" s="284"/>
    </row>
    <row r="135" spans="2:15" x14ac:dyDescent="0.3">
      <c r="B135" s="50"/>
      <c r="C135" s="50"/>
      <c r="D135" s="50"/>
      <c r="E135" s="271"/>
      <c r="F135" s="271"/>
      <c r="G135" s="271"/>
      <c r="H135" s="273"/>
      <c r="I135" s="273"/>
      <c r="J135" s="273"/>
      <c r="K135" s="273"/>
      <c r="L135" s="273"/>
      <c r="M135" s="273"/>
      <c r="N135" s="284"/>
      <c r="O135" s="284"/>
    </row>
    <row r="136" spans="2:15" x14ac:dyDescent="0.3">
      <c r="B136" s="50"/>
      <c r="C136" s="50"/>
      <c r="D136" s="50"/>
      <c r="E136" s="271"/>
      <c r="F136" s="271"/>
      <c r="G136" s="271"/>
      <c r="H136" s="273"/>
      <c r="I136" s="273"/>
      <c r="J136" s="273"/>
      <c r="K136" s="273"/>
      <c r="L136" s="273"/>
      <c r="M136" s="273"/>
      <c r="N136" s="284"/>
      <c r="O136" s="284"/>
    </row>
    <row r="137" spans="2:15" x14ac:dyDescent="0.3">
      <c r="B137" s="50"/>
      <c r="C137" s="50"/>
      <c r="D137" s="50"/>
      <c r="E137" s="271"/>
      <c r="F137" s="271"/>
      <c r="G137" s="271"/>
      <c r="H137" s="273"/>
      <c r="I137" s="273"/>
      <c r="J137" s="273"/>
      <c r="K137" s="273"/>
      <c r="L137" s="273"/>
      <c r="M137" s="273"/>
      <c r="N137" s="284"/>
      <c r="O137" s="284"/>
    </row>
    <row r="138" spans="2:15" x14ac:dyDescent="0.3">
      <c r="B138" s="50"/>
      <c r="C138" s="50"/>
      <c r="D138" s="50"/>
      <c r="E138" s="271"/>
      <c r="F138" s="271"/>
      <c r="G138" s="271"/>
      <c r="H138" s="273"/>
      <c r="I138" s="273"/>
      <c r="J138" s="273"/>
      <c r="K138" s="273"/>
      <c r="L138" s="273"/>
      <c r="M138" s="273"/>
      <c r="N138" s="284"/>
      <c r="O138" s="284"/>
    </row>
    <row r="139" spans="2:15" x14ac:dyDescent="0.3">
      <c r="B139" s="50"/>
      <c r="C139" s="50"/>
      <c r="D139" s="50"/>
      <c r="E139" s="271"/>
      <c r="F139" s="271"/>
      <c r="G139" s="271"/>
      <c r="H139" s="273"/>
      <c r="I139" s="273"/>
      <c r="J139" s="273"/>
      <c r="K139" s="273"/>
      <c r="L139" s="273"/>
      <c r="M139" s="273"/>
      <c r="N139" s="284"/>
      <c r="O139" s="284"/>
    </row>
    <row r="140" spans="2:15" x14ac:dyDescent="0.3">
      <c r="B140" s="50"/>
      <c r="C140" s="50"/>
      <c r="D140" s="50"/>
      <c r="E140" s="271"/>
      <c r="F140" s="271"/>
      <c r="G140" s="271"/>
      <c r="H140" s="273"/>
      <c r="I140" s="273"/>
      <c r="J140" s="273"/>
      <c r="K140" s="273"/>
      <c r="L140" s="273"/>
      <c r="M140" s="273"/>
      <c r="N140" s="284"/>
      <c r="O140" s="284"/>
    </row>
    <row r="141" spans="2:15" x14ac:dyDescent="0.3">
      <c r="B141" s="50"/>
      <c r="C141" s="50"/>
      <c r="D141" s="50"/>
      <c r="E141" s="271"/>
      <c r="F141" s="271"/>
      <c r="G141" s="271"/>
      <c r="H141" s="273"/>
      <c r="I141" s="273"/>
      <c r="J141" s="273"/>
      <c r="K141" s="273"/>
      <c r="L141" s="273"/>
      <c r="M141" s="273"/>
      <c r="N141" s="284"/>
      <c r="O141" s="284"/>
    </row>
    <row r="142" spans="2:15" x14ac:dyDescent="0.3">
      <c r="B142" s="50"/>
      <c r="C142" s="50"/>
      <c r="D142" s="50"/>
      <c r="E142" s="271"/>
      <c r="F142" s="271"/>
      <c r="G142" s="271"/>
      <c r="H142" s="273"/>
      <c r="I142" s="273"/>
      <c r="J142" s="273"/>
      <c r="K142" s="273"/>
      <c r="L142" s="273"/>
      <c r="M142" s="273"/>
      <c r="N142" s="284"/>
      <c r="O142" s="284"/>
    </row>
    <row r="143" spans="2:15" x14ac:dyDescent="0.3">
      <c r="B143" s="50"/>
      <c r="C143" s="50"/>
      <c r="D143" s="50"/>
      <c r="E143" s="271"/>
      <c r="F143" s="271"/>
      <c r="G143" s="271"/>
      <c r="H143" s="273"/>
      <c r="I143" s="273"/>
      <c r="J143" s="273"/>
      <c r="K143" s="273"/>
      <c r="L143" s="273"/>
      <c r="M143" s="273"/>
      <c r="N143" s="284"/>
      <c r="O143" s="284"/>
    </row>
    <row r="144" spans="2:15" x14ac:dyDescent="0.3">
      <c r="B144" s="50"/>
      <c r="C144" s="50"/>
      <c r="D144" s="50"/>
      <c r="E144" s="271"/>
      <c r="F144" s="271"/>
      <c r="G144" s="271"/>
      <c r="H144" s="273"/>
      <c r="I144" s="273"/>
      <c r="J144" s="273"/>
      <c r="K144" s="273"/>
      <c r="L144" s="273"/>
      <c r="M144" s="273"/>
      <c r="N144" s="284"/>
      <c r="O144" s="284"/>
    </row>
    <row r="145" spans="2:15" x14ac:dyDescent="0.3">
      <c r="B145" s="50"/>
      <c r="C145" s="50"/>
      <c r="D145" s="50"/>
      <c r="E145" s="271"/>
      <c r="F145" s="271"/>
      <c r="G145" s="271"/>
      <c r="H145" s="273"/>
      <c r="I145" s="273"/>
      <c r="J145" s="273"/>
      <c r="K145" s="273"/>
      <c r="L145" s="273"/>
      <c r="M145" s="273"/>
      <c r="N145" s="284"/>
      <c r="O145" s="284"/>
    </row>
    <row r="146" spans="2:15" x14ac:dyDescent="0.3">
      <c r="B146" s="50"/>
      <c r="C146" s="50"/>
      <c r="D146" s="50"/>
      <c r="E146" s="271"/>
      <c r="F146" s="271"/>
      <c r="G146" s="271"/>
      <c r="H146" s="273"/>
      <c r="I146" s="273"/>
      <c r="J146" s="273"/>
      <c r="K146" s="273"/>
      <c r="L146" s="273"/>
      <c r="M146" s="273"/>
      <c r="N146" s="284"/>
      <c r="O146" s="284"/>
    </row>
    <row r="147" spans="2:15" x14ac:dyDescent="0.3">
      <c r="B147" s="50"/>
      <c r="C147" s="50"/>
      <c r="D147" s="50"/>
      <c r="E147" s="271"/>
      <c r="F147" s="271"/>
      <c r="G147" s="271"/>
      <c r="H147" s="273"/>
      <c r="I147" s="273"/>
      <c r="J147" s="273"/>
      <c r="K147" s="273"/>
      <c r="L147" s="273"/>
      <c r="M147" s="273"/>
      <c r="N147" s="284"/>
      <c r="O147" s="284"/>
    </row>
    <row r="148" spans="2:15" x14ac:dyDescent="0.3">
      <c r="B148" s="50"/>
      <c r="C148" s="50"/>
      <c r="D148" s="50"/>
      <c r="E148" s="271"/>
      <c r="F148" s="271"/>
      <c r="G148" s="271"/>
      <c r="H148" s="273"/>
      <c r="I148" s="273"/>
      <c r="J148" s="273"/>
      <c r="K148" s="273"/>
      <c r="L148" s="273"/>
      <c r="M148" s="273"/>
      <c r="N148" s="284"/>
      <c r="O148" s="284"/>
    </row>
    <row r="149" spans="2:15" x14ac:dyDescent="0.3">
      <c r="B149" s="50"/>
      <c r="C149" s="50"/>
      <c r="D149" s="50"/>
      <c r="E149" s="271"/>
      <c r="F149" s="271"/>
      <c r="G149" s="271"/>
      <c r="H149" s="273"/>
      <c r="I149" s="273"/>
      <c r="J149" s="273"/>
      <c r="K149" s="273"/>
      <c r="L149" s="273"/>
      <c r="M149" s="273"/>
      <c r="N149" s="284"/>
      <c r="O149" s="284"/>
    </row>
    <row r="150" spans="2:15" x14ac:dyDescent="0.3">
      <c r="B150" s="50"/>
      <c r="C150" s="50"/>
      <c r="D150" s="50"/>
      <c r="E150" s="271"/>
      <c r="F150" s="271"/>
      <c r="G150" s="271"/>
      <c r="H150" s="273"/>
      <c r="I150" s="273"/>
      <c r="J150" s="273"/>
      <c r="K150" s="273"/>
      <c r="L150" s="273"/>
      <c r="M150" s="273"/>
      <c r="N150" s="284"/>
      <c r="O150" s="284"/>
    </row>
    <row r="151" spans="2:15" x14ac:dyDescent="0.3">
      <c r="B151" s="50"/>
      <c r="C151" s="50"/>
      <c r="D151" s="50"/>
      <c r="E151" s="271"/>
      <c r="F151" s="271"/>
      <c r="G151" s="271"/>
      <c r="H151" s="273"/>
      <c r="I151" s="273"/>
      <c r="J151" s="273"/>
      <c r="K151" s="273"/>
      <c r="L151" s="273"/>
      <c r="M151" s="273"/>
      <c r="N151" s="284"/>
      <c r="O151" s="284"/>
    </row>
    <row r="152" spans="2:15" x14ac:dyDescent="0.3">
      <c r="B152" s="50"/>
      <c r="C152" s="50"/>
      <c r="D152" s="50"/>
      <c r="E152" s="271"/>
      <c r="F152" s="271"/>
      <c r="G152" s="271"/>
      <c r="H152" s="273"/>
      <c r="I152" s="273"/>
      <c r="J152" s="273"/>
      <c r="K152" s="273"/>
      <c r="L152" s="273"/>
      <c r="M152" s="273"/>
      <c r="N152" s="284"/>
      <c r="O152" s="284"/>
    </row>
    <row r="153" spans="2:15" x14ac:dyDescent="0.3">
      <c r="B153" s="50"/>
      <c r="C153" s="50"/>
      <c r="D153" s="50"/>
      <c r="E153" s="271"/>
      <c r="F153" s="271"/>
      <c r="G153" s="271"/>
      <c r="H153" s="273"/>
      <c r="I153" s="273"/>
      <c r="J153" s="273"/>
      <c r="K153" s="273"/>
      <c r="L153" s="273"/>
      <c r="M153" s="273"/>
      <c r="N153" s="284"/>
      <c r="O153" s="284"/>
    </row>
    <row r="154" spans="2:15" x14ac:dyDescent="0.3">
      <c r="B154" s="50"/>
      <c r="C154" s="50"/>
      <c r="D154" s="50"/>
      <c r="E154" s="271"/>
      <c r="F154" s="271"/>
      <c r="G154" s="271"/>
      <c r="H154" s="273"/>
      <c r="I154" s="273"/>
      <c r="J154" s="273"/>
      <c r="K154" s="273"/>
      <c r="L154" s="273"/>
      <c r="M154" s="273"/>
      <c r="N154" s="284"/>
      <c r="O154" s="284"/>
    </row>
    <row r="155" spans="2:15" x14ac:dyDescent="0.3">
      <c r="B155" s="50"/>
      <c r="C155" s="50"/>
      <c r="D155" s="50"/>
      <c r="E155" s="271"/>
      <c r="F155" s="271"/>
      <c r="G155" s="271"/>
      <c r="H155" s="273"/>
      <c r="I155" s="273"/>
      <c r="J155" s="273"/>
      <c r="K155" s="273"/>
      <c r="L155" s="273"/>
      <c r="M155" s="273"/>
      <c r="N155" s="284"/>
      <c r="O155" s="284"/>
    </row>
    <row r="156" spans="2:15" x14ac:dyDescent="0.3">
      <c r="B156" s="50"/>
      <c r="C156" s="50"/>
      <c r="D156" s="50"/>
      <c r="E156" s="271"/>
      <c r="F156" s="271"/>
      <c r="G156" s="271"/>
      <c r="H156" s="273"/>
      <c r="I156" s="273"/>
      <c r="J156" s="273"/>
      <c r="K156" s="273"/>
      <c r="L156" s="273"/>
      <c r="M156" s="273"/>
      <c r="N156" s="284"/>
      <c r="O156" s="284"/>
    </row>
    <row r="157" spans="2:15" x14ac:dyDescent="0.3">
      <c r="B157" s="50"/>
      <c r="C157" s="50"/>
      <c r="D157" s="50"/>
      <c r="E157" s="271"/>
      <c r="F157" s="271"/>
      <c r="G157" s="271"/>
      <c r="H157" s="273"/>
      <c r="I157" s="273"/>
      <c r="J157" s="273"/>
      <c r="K157" s="273"/>
      <c r="L157" s="273"/>
      <c r="M157" s="273"/>
      <c r="N157" s="284"/>
      <c r="O157" s="284"/>
    </row>
    <row r="158" spans="2:15" x14ac:dyDescent="0.3">
      <c r="B158" s="50"/>
      <c r="C158" s="50"/>
      <c r="D158" s="50"/>
      <c r="E158" s="271"/>
      <c r="F158" s="271"/>
      <c r="G158" s="271"/>
      <c r="H158" s="273"/>
      <c r="I158" s="273"/>
      <c r="J158" s="273"/>
      <c r="K158" s="273"/>
      <c r="L158" s="273"/>
      <c r="M158" s="273"/>
      <c r="N158" s="284"/>
      <c r="O158" s="284"/>
    </row>
    <row r="159" spans="2:15" x14ac:dyDescent="0.3">
      <c r="B159" s="50"/>
      <c r="C159" s="50"/>
      <c r="D159" s="50"/>
      <c r="E159" s="271"/>
      <c r="F159" s="271"/>
      <c r="G159" s="271"/>
      <c r="H159" s="273"/>
      <c r="I159" s="273"/>
      <c r="J159" s="273"/>
      <c r="K159" s="273"/>
      <c r="L159" s="273"/>
      <c r="M159" s="273"/>
      <c r="N159" s="284"/>
      <c r="O159" s="284"/>
    </row>
    <row r="160" spans="2:15" x14ac:dyDescent="0.3">
      <c r="B160" s="50"/>
      <c r="C160" s="50"/>
      <c r="D160" s="50"/>
      <c r="E160" s="271"/>
      <c r="F160" s="271"/>
      <c r="G160" s="271"/>
      <c r="H160" s="273"/>
      <c r="I160" s="273"/>
      <c r="J160" s="273"/>
      <c r="K160" s="273"/>
      <c r="L160" s="273"/>
      <c r="M160" s="273"/>
      <c r="N160" s="284"/>
      <c r="O160" s="284"/>
    </row>
    <row r="161" spans="2:15" x14ac:dyDescent="0.3">
      <c r="B161" s="50"/>
      <c r="C161" s="50"/>
      <c r="D161" s="50"/>
      <c r="E161" s="271"/>
      <c r="F161" s="271"/>
      <c r="G161" s="271"/>
      <c r="H161" s="273"/>
      <c r="I161" s="273"/>
      <c r="J161" s="273"/>
      <c r="K161" s="273"/>
      <c r="L161" s="273"/>
      <c r="M161" s="273"/>
      <c r="N161" s="284"/>
      <c r="O161" s="284"/>
    </row>
    <row r="162" spans="2:15" x14ac:dyDescent="0.3">
      <c r="B162" s="50"/>
      <c r="C162" s="50"/>
      <c r="D162" s="50"/>
      <c r="E162" s="271"/>
      <c r="F162" s="271"/>
      <c r="G162" s="271"/>
      <c r="H162" s="273"/>
      <c r="I162" s="273"/>
      <c r="J162" s="273"/>
      <c r="K162" s="273"/>
      <c r="L162" s="273"/>
      <c r="M162" s="273"/>
      <c r="N162" s="284"/>
      <c r="O162" s="284"/>
    </row>
    <row r="163" spans="2:15" x14ac:dyDescent="0.3">
      <c r="B163" s="50"/>
      <c r="C163" s="50"/>
      <c r="D163" s="50"/>
      <c r="E163" s="271"/>
      <c r="F163" s="271"/>
      <c r="G163" s="271"/>
      <c r="H163" s="273"/>
      <c r="I163" s="273"/>
      <c r="J163" s="273"/>
      <c r="K163" s="273"/>
      <c r="L163" s="273"/>
      <c r="M163" s="273"/>
      <c r="N163" s="284"/>
      <c r="O163" s="284"/>
    </row>
    <row r="164" spans="2:15" x14ac:dyDescent="0.3">
      <c r="B164" s="50"/>
      <c r="C164" s="50"/>
      <c r="D164" s="50"/>
      <c r="E164" s="271"/>
      <c r="F164" s="271"/>
      <c r="G164" s="271"/>
      <c r="H164" s="273"/>
      <c r="I164" s="273"/>
      <c r="J164" s="273"/>
      <c r="K164" s="273"/>
      <c r="L164" s="273"/>
      <c r="M164" s="273"/>
      <c r="N164" s="284"/>
      <c r="O164" s="284"/>
    </row>
    <row r="165" spans="2:15" x14ac:dyDescent="0.3">
      <c r="B165" s="50"/>
      <c r="C165" s="50"/>
      <c r="D165" s="50"/>
      <c r="E165" s="271"/>
      <c r="F165" s="271"/>
      <c r="G165" s="271"/>
      <c r="H165" s="273"/>
      <c r="I165" s="273"/>
      <c r="J165" s="273"/>
      <c r="K165" s="273"/>
      <c r="L165" s="273"/>
      <c r="M165" s="273"/>
      <c r="N165" s="284"/>
      <c r="O165" s="284"/>
    </row>
    <row r="166" spans="2:15" x14ac:dyDescent="0.3">
      <c r="B166" s="50"/>
      <c r="C166" s="50"/>
      <c r="D166" s="50"/>
      <c r="E166" s="271"/>
      <c r="F166" s="271"/>
      <c r="G166" s="271"/>
      <c r="H166" s="273"/>
      <c r="I166" s="273"/>
      <c r="J166" s="273"/>
      <c r="K166" s="273"/>
      <c r="L166" s="273"/>
      <c r="M166" s="273"/>
      <c r="N166" s="284"/>
      <c r="O166" s="284"/>
    </row>
    <row r="167" spans="2:15" x14ac:dyDescent="0.3">
      <c r="B167" s="50"/>
      <c r="C167" s="50"/>
      <c r="D167" s="50"/>
      <c r="E167" s="271"/>
      <c r="F167" s="271"/>
      <c r="G167" s="271"/>
      <c r="H167" s="273"/>
      <c r="I167" s="273"/>
      <c r="J167" s="273"/>
      <c r="K167" s="273"/>
      <c r="L167" s="273"/>
      <c r="M167" s="273"/>
      <c r="N167" s="284"/>
      <c r="O167" s="284"/>
    </row>
    <row r="168" spans="2:15" x14ac:dyDescent="0.3">
      <c r="B168" s="50"/>
      <c r="C168" s="50"/>
      <c r="D168" s="50"/>
      <c r="E168" s="271"/>
      <c r="F168" s="271"/>
      <c r="G168" s="271"/>
      <c r="H168" s="273"/>
      <c r="I168" s="273"/>
      <c r="J168" s="273"/>
      <c r="K168" s="273"/>
      <c r="L168" s="273"/>
      <c r="M168" s="273"/>
      <c r="N168" s="284"/>
      <c r="O168" s="284"/>
    </row>
    <row r="169" spans="2:15" x14ac:dyDescent="0.3">
      <c r="B169" s="50"/>
      <c r="C169" s="50"/>
      <c r="D169" s="50"/>
      <c r="E169" s="271"/>
      <c r="F169" s="271"/>
      <c r="G169" s="271"/>
      <c r="H169" s="273"/>
      <c r="I169" s="273"/>
      <c r="J169" s="273"/>
      <c r="K169" s="273"/>
      <c r="L169" s="273"/>
      <c r="M169" s="273"/>
      <c r="N169" s="284"/>
      <c r="O169" s="284"/>
    </row>
    <row r="170" spans="2:15" x14ac:dyDescent="0.3">
      <c r="B170" s="50"/>
      <c r="C170" s="50"/>
      <c r="D170" s="50"/>
      <c r="E170" s="271"/>
      <c r="F170" s="271"/>
      <c r="G170" s="271"/>
      <c r="H170" s="273"/>
      <c r="I170" s="273"/>
      <c r="J170" s="273"/>
      <c r="K170" s="273"/>
      <c r="L170" s="273"/>
      <c r="M170" s="273"/>
      <c r="N170" s="284"/>
      <c r="O170" s="284"/>
    </row>
    <row r="171" spans="2:15" x14ac:dyDescent="0.3">
      <c r="B171" s="50"/>
      <c r="C171" s="50"/>
      <c r="D171" s="50"/>
      <c r="E171" s="271"/>
      <c r="F171" s="271"/>
      <c r="G171" s="271"/>
      <c r="H171" s="273"/>
      <c r="I171" s="273"/>
      <c r="J171" s="273"/>
      <c r="K171" s="273"/>
      <c r="L171" s="273"/>
      <c r="M171" s="273"/>
      <c r="N171" s="284"/>
      <c r="O171" s="284"/>
    </row>
    <row r="172" spans="2:15" x14ac:dyDescent="0.3">
      <c r="B172" s="50"/>
      <c r="C172" s="50"/>
      <c r="D172" s="50"/>
      <c r="E172" s="271"/>
      <c r="F172" s="271"/>
      <c r="G172" s="271"/>
      <c r="H172" s="273"/>
      <c r="I172" s="273"/>
      <c r="J172" s="273"/>
      <c r="K172" s="273"/>
      <c r="L172" s="273"/>
      <c r="M172" s="273"/>
      <c r="N172" s="284"/>
      <c r="O172" s="284"/>
    </row>
    <row r="173" spans="2:15" x14ac:dyDescent="0.3">
      <c r="B173" s="50"/>
      <c r="C173" s="50"/>
      <c r="D173" s="50"/>
      <c r="E173" s="271"/>
      <c r="F173" s="271"/>
      <c r="G173" s="271"/>
      <c r="H173" s="273"/>
      <c r="I173" s="273"/>
      <c r="J173" s="273"/>
      <c r="K173" s="273"/>
      <c r="L173" s="273"/>
      <c r="M173" s="273"/>
      <c r="N173" s="284"/>
      <c r="O173" s="284"/>
    </row>
    <row r="174" spans="2:15" x14ac:dyDescent="0.3">
      <c r="B174" s="50"/>
      <c r="C174" s="50"/>
      <c r="D174" s="50"/>
      <c r="E174" s="271"/>
      <c r="F174" s="271"/>
      <c r="G174" s="271"/>
      <c r="H174" s="273"/>
      <c r="I174" s="273"/>
      <c r="J174" s="273"/>
      <c r="K174" s="273"/>
      <c r="L174" s="273"/>
      <c r="M174" s="273"/>
      <c r="N174" s="284"/>
      <c r="O174" s="284"/>
    </row>
    <row r="175" spans="2:15" x14ac:dyDescent="0.3">
      <c r="B175" s="50"/>
      <c r="C175" s="50"/>
      <c r="D175" s="50"/>
      <c r="E175" s="271"/>
      <c r="F175" s="271"/>
      <c r="G175" s="271"/>
      <c r="H175" s="273"/>
      <c r="I175" s="273"/>
      <c r="J175" s="273"/>
      <c r="K175" s="273"/>
      <c r="L175" s="273"/>
      <c r="M175" s="273"/>
      <c r="N175" s="284"/>
      <c r="O175" s="284"/>
    </row>
    <row r="176" spans="2:15" x14ac:dyDescent="0.3">
      <c r="B176" s="50"/>
      <c r="C176" s="50"/>
      <c r="D176" s="50"/>
      <c r="E176" s="271"/>
      <c r="F176" s="271"/>
      <c r="G176" s="271"/>
      <c r="H176" s="273"/>
      <c r="I176" s="273"/>
      <c r="J176" s="273"/>
      <c r="K176" s="273"/>
      <c r="L176" s="273"/>
      <c r="M176" s="273"/>
      <c r="N176" s="284"/>
      <c r="O176" s="284"/>
    </row>
    <row r="177" spans="2:15" x14ac:dyDescent="0.3">
      <c r="B177" s="50"/>
      <c r="C177" s="50"/>
      <c r="D177" s="50"/>
      <c r="E177" s="271"/>
      <c r="F177" s="271"/>
      <c r="G177" s="271"/>
      <c r="H177" s="273"/>
      <c r="I177" s="273"/>
      <c r="J177" s="273"/>
      <c r="K177" s="273"/>
      <c r="L177" s="273"/>
      <c r="M177" s="273"/>
      <c r="N177" s="284"/>
      <c r="O177" s="284"/>
    </row>
    <row r="178" spans="2:15" x14ac:dyDescent="0.3">
      <c r="B178" s="50"/>
      <c r="C178" s="50"/>
      <c r="D178" s="50"/>
      <c r="E178" s="271"/>
      <c r="F178" s="271"/>
      <c r="G178" s="271"/>
      <c r="H178" s="273"/>
      <c r="I178" s="273"/>
      <c r="J178" s="273"/>
      <c r="K178" s="273"/>
      <c r="L178" s="273"/>
      <c r="M178" s="273"/>
      <c r="N178" s="284"/>
      <c r="O178" s="284"/>
    </row>
    <row r="179" spans="2:15" x14ac:dyDescent="0.3">
      <c r="B179" s="50"/>
      <c r="C179" s="50"/>
      <c r="D179" s="50"/>
      <c r="E179" s="271"/>
      <c r="F179" s="271"/>
      <c r="G179" s="271"/>
      <c r="H179" s="273"/>
      <c r="I179" s="273"/>
      <c r="J179" s="273"/>
      <c r="K179" s="273"/>
      <c r="L179" s="273"/>
      <c r="M179" s="273"/>
      <c r="N179" s="284"/>
      <c r="O179" s="284"/>
    </row>
    <row r="180" spans="2:15" x14ac:dyDescent="0.3">
      <c r="B180" s="50"/>
      <c r="C180" s="50"/>
      <c r="D180" s="50"/>
      <c r="E180" s="271"/>
      <c r="F180" s="271"/>
      <c r="G180" s="271"/>
      <c r="H180" s="273"/>
      <c r="I180" s="273"/>
      <c r="J180" s="273"/>
      <c r="K180" s="273"/>
      <c r="L180" s="273"/>
      <c r="M180" s="273"/>
      <c r="N180" s="284"/>
      <c r="O180" s="284"/>
    </row>
    <row r="181" spans="2:15" x14ac:dyDescent="0.3">
      <c r="B181" s="50"/>
      <c r="C181" s="50"/>
      <c r="D181" s="50"/>
      <c r="E181" s="271"/>
      <c r="F181" s="271"/>
      <c r="G181" s="271"/>
      <c r="H181" s="273"/>
      <c r="I181" s="273"/>
      <c r="J181" s="273"/>
      <c r="K181" s="273"/>
      <c r="L181" s="273"/>
      <c r="M181" s="273"/>
      <c r="N181" s="284"/>
      <c r="O181" s="284"/>
    </row>
    <row r="182" spans="2:15" x14ac:dyDescent="0.3">
      <c r="B182" s="50"/>
      <c r="C182" s="50"/>
      <c r="D182" s="50"/>
      <c r="E182" s="271"/>
      <c r="F182" s="271"/>
      <c r="G182" s="271"/>
      <c r="H182" s="273"/>
      <c r="I182" s="273"/>
      <c r="J182" s="273"/>
      <c r="K182" s="273"/>
      <c r="L182" s="273"/>
      <c r="M182" s="273"/>
      <c r="N182" s="284"/>
      <c r="O182" s="284"/>
    </row>
    <row r="183" spans="2:15" x14ac:dyDescent="0.3">
      <c r="B183" s="50"/>
      <c r="C183" s="50"/>
      <c r="D183" s="50"/>
      <c r="E183" s="271"/>
      <c r="F183" s="271"/>
      <c r="G183" s="271"/>
      <c r="H183" s="273"/>
      <c r="I183" s="273"/>
      <c r="J183" s="273"/>
      <c r="K183" s="273"/>
      <c r="L183" s="273"/>
      <c r="M183" s="273"/>
      <c r="N183" s="284"/>
      <c r="O183" s="284"/>
    </row>
    <row r="184" spans="2:15" x14ac:dyDescent="0.3">
      <c r="B184" s="50"/>
      <c r="C184" s="50"/>
      <c r="D184" s="50"/>
      <c r="E184" s="271"/>
      <c r="F184" s="271"/>
      <c r="G184" s="271"/>
      <c r="H184" s="273"/>
      <c r="I184" s="273"/>
      <c r="J184" s="273"/>
      <c r="K184" s="273"/>
      <c r="L184" s="273"/>
      <c r="M184" s="273"/>
      <c r="N184" s="284"/>
      <c r="O184" s="284"/>
    </row>
    <row r="185" spans="2:15" x14ac:dyDescent="0.3">
      <c r="B185" s="50"/>
      <c r="C185" s="50"/>
      <c r="D185" s="50"/>
      <c r="E185" s="271"/>
      <c r="F185" s="271"/>
      <c r="G185" s="271"/>
      <c r="H185" s="273"/>
      <c r="I185" s="273"/>
      <c r="J185" s="273"/>
      <c r="K185" s="273"/>
      <c r="L185" s="273"/>
      <c r="M185" s="273"/>
      <c r="N185" s="284"/>
      <c r="O185" s="284"/>
    </row>
    <row r="186" spans="2:15" x14ac:dyDescent="0.3">
      <c r="B186" s="50"/>
      <c r="C186" s="50"/>
      <c r="D186" s="50"/>
      <c r="E186" s="271"/>
      <c r="F186" s="271"/>
      <c r="G186" s="271"/>
      <c r="H186" s="273"/>
      <c r="I186" s="273"/>
      <c r="J186" s="273"/>
      <c r="K186" s="273"/>
      <c r="L186" s="273"/>
      <c r="M186" s="273"/>
      <c r="N186" s="284"/>
      <c r="O186" s="284"/>
    </row>
    <row r="187" spans="2:15" x14ac:dyDescent="0.3">
      <c r="B187" s="50"/>
      <c r="C187" s="50"/>
      <c r="D187" s="50"/>
      <c r="E187" s="271"/>
      <c r="F187" s="271"/>
      <c r="G187" s="271"/>
      <c r="H187" s="273"/>
      <c r="I187" s="273"/>
      <c r="J187" s="273"/>
      <c r="K187" s="273"/>
      <c r="L187" s="273"/>
      <c r="M187" s="273"/>
      <c r="N187" s="284"/>
      <c r="O187" s="284"/>
    </row>
    <row r="188" spans="2:15" x14ac:dyDescent="0.3">
      <c r="B188" s="50"/>
      <c r="C188" s="50"/>
      <c r="D188" s="50"/>
      <c r="E188" s="271"/>
      <c r="F188" s="271"/>
      <c r="G188" s="271"/>
      <c r="H188" s="273"/>
      <c r="I188" s="273"/>
      <c r="J188" s="273"/>
      <c r="K188" s="273"/>
      <c r="L188" s="273"/>
      <c r="M188" s="273"/>
      <c r="N188" s="284"/>
      <c r="O188" s="284"/>
    </row>
    <row r="189" spans="2:15" x14ac:dyDescent="0.3">
      <c r="B189" s="50"/>
      <c r="C189" s="50"/>
      <c r="D189" s="50"/>
      <c r="E189" s="271"/>
      <c r="F189" s="271"/>
      <c r="G189" s="271"/>
      <c r="H189" s="273"/>
      <c r="I189" s="273"/>
      <c r="J189" s="273"/>
      <c r="K189" s="273"/>
      <c r="L189" s="273"/>
      <c r="M189" s="273"/>
      <c r="N189" s="284"/>
      <c r="O189" s="284"/>
    </row>
    <row r="190" spans="2:15" x14ac:dyDescent="0.3">
      <c r="B190" s="50"/>
      <c r="C190" s="50"/>
      <c r="D190" s="50"/>
      <c r="E190" s="271"/>
      <c r="F190" s="271"/>
      <c r="G190" s="271"/>
      <c r="H190" s="273"/>
      <c r="I190" s="273"/>
      <c r="J190" s="273"/>
      <c r="K190" s="273"/>
      <c r="L190" s="273"/>
      <c r="M190" s="273"/>
      <c r="N190" s="284"/>
      <c r="O190" s="284"/>
    </row>
    <row r="191" spans="2:15" x14ac:dyDescent="0.3">
      <c r="B191" s="50"/>
      <c r="C191" s="50"/>
      <c r="D191" s="50"/>
      <c r="E191" s="271"/>
      <c r="F191" s="271"/>
      <c r="G191" s="271"/>
      <c r="H191" s="273"/>
      <c r="I191" s="273"/>
      <c r="J191" s="273"/>
      <c r="K191" s="273"/>
      <c r="L191" s="273"/>
      <c r="M191" s="273"/>
      <c r="N191" s="284"/>
      <c r="O191" s="284"/>
    </row>
    <row r="192" spans="2:15" x14ac:dyDescent="0.3">
      <c r="B192" s="50"/>
      <c r="C192" s="50"/>
      <c r="D192" s="50"/>
      <c r="E192" s="271"/>
      <c r="F192" s="271"/>
      <c r="G192" s="271"/>
      <c r="H192" s="273"/>
      <c r="I192" s="273"/>
      <c r="J192" s="273"/>
      <c r="K192" s="273"/>
      <c r="L192" s="273"/>
      <c r="M192" s="273"/>
      <c r="N192" s="284"/>
      <c r="O192" s="284"/>
    </row>
    <row r="193" spans="2:15" x14ac:dyDescent="0.3">
      <c r="B193" s="50"/>
      <c r="C193" s="50"/>
      <c r="D193" s="50"/>
      <c r="E193" s="271"/>
      <c r="F193" s="271"/>
      <c r="G193" s="271"/>
      <c r="H193" s="273"/>
      <c r="I193" s="273"/>
      <c r="J193" s="273"/>
      <c r="K193" s="273"/>
      <c r="L193" s="273"/>
      <c r="M193" s="273"/>
      <c r="N193" s="284"/>
      <c r="O193" s="284"/>
    </row>
    <row r="194" spans="2:15" x14ac:dyDescent="0.3">
      <c r="B194" s="50"/>
      <c r="C194" s="50"/>
      <c r="D194" s="50"/>
      <c r="E194" s="271"/>
      <c r="F194" s="271"/>
      <c r="G194" s="271"/>
      <c r="H194" s="273"/>
      <c r="I194" s="273"/>
      <c r="J194" s="273"/>
      <c r="K194" s="273"/>
      <c r="L194" s="273"/>
      <c r="M194" s="273"/>
      <c r="N194" s="284"/>
      <c r="O194" s="284"/>
    </row>
    <row r="195" spans="2:15" x14ac:dyDescent="0.3">
      <c r="B195" s="50"/>
      <c r="C195" s="50"/>
      <c r="D195" s="50"/>
      <c r="E195" s="271"/>
      <c r="F195" s="271"/>
      <c r="G195" s="271"/>
      <c r="H195" s="273"/>
      <c r="I195" s="273"/>
      <c r="J195" s="273"/>
      <c r="K195" s="273"/>
      <c r="L195" s="273"/>
      <c r="M195" s="273"/>
      <c r="N195" s="284"/>
      <c r="O195" s="284"/>
    </row>
    <row r="196" spans="2:15" x14ac:dyDescent="0.3">
      <c r="B196" s="50"/>
      <c r="C196" s="50"/>
      <c r="D196" s="50"/>
      <c r="E196" s="271"/>
      <c r="F196" s="271"/>
      <c r="G196" s="271"/>
      <c r="H196" s="273"/>
      <c r="I196" s="273"/>
      <c r="J196" s="273"/>
      <c r="K196" s="273"/>
      <c r="L196" s="273"/>
      <c r="M196" s="273"/>
      <c r="N196" s="284"/>
      <c r="O196" s="284"/>
    </row>
    <row r="197" spans="2:15" x14ac:dyDescent="0.3">
      <c r="B197" s="50"/>
      <c r="C197" s="50"/>
      <c r="D197" s="50"/>
      <c r="E197" s="271"/>
      <c r="F197" s="271"/>
      <c r="G197" s="271"/>
      <c r="H197" s="273"/>
      <c r="I197" s="273"/>
      <c r="J197" s="273"/>
      <c r="K197" s="273"/>
      <c r="L197" s="273"/>
      <c r="M197" s="273"/>
      <c r="N197" s="284"/>
      <c r="O197" s="284"/>
    </row>
    <row r="198" spans="2:15" x14ac:dyDescent="0.3">
      <c r="B198" s="50"/>
      <c r="C198" s="50"/>
      <c r="D198" s="50"/>
      <c r="E198" s="271"/>
      <c r="F198" s="271"/>
      <c r="G198" s="271"/>
      <c r="H198" s="273"/>
      <c r="I198" s="273"/>
      <c r="J198" s="273"/>
      <c r="K198" s="273"/>
      <c r="L198" s="273"/>
      <c r="M198" s="273"/>
      <c r="N198" s="284"/>
      <c r="O198" s="284"/>
    </row>
    <row r="199" spans="2:15" x14ac:dyDescent="0.3">
      <c r="B199" s="50"/>
      <c r="C199" s="50"/>
      <c r="D199" s="50"/>
      <c r="E199" s="271"/>
      <c r="F199" s="271"/>
      <c r="G199" s="271"/>
      <c r="H199" s="273"/>
      <c r="I199" s="273"/>
      <c r="J199" s="273"/>
      <c r="K199" s="273"/>
      <c r="L199" s="273"/>
      <c r="M199" s="273"/>
      <c r="N199" s="284"/>
      <c r="O199" s="284"/>
    </row>
    <row r="200" spans="2:15" x14ac:dyDescent="0.3">
      <c r="B200" s="50"/>
      <c r="C200" s="50"/>
      <c r="D200" s="50"/>
      <c r="E200" s="271"/>
      <c r="F200" s="271"/>
      <c r="G200" s="271"/>
      <c r="H200" s="273"/>
      <c r="I200" s="273"/>
      <c r="J200" s="273"/>
      <c r="K200" s="273"/>
      <c r="L200" s="273"/>
      <c r="M200" s="273"/>
      <c r="N200" s="284"/>
      <c r="O200" s="284"/>
    </row>
    <row r="201" spans="2:15" x14ac:dyDescent="0.3">
      <c r="B201" s="50"/>
      <c r="C201" s="50"/>
      <c r="D201" s="50"/>
      <c r="E201" s="271"/>
      <c r="F201" s="271"/>
      <c r="G201" s="271"/>
      <c r="H201" s="273"/>
      <c r="I201" s="273"/>
      <c r="J201" s="273"/>
      <c r="K201" s="273"/>
      <c r="L201" s="273"/>
      <c r="M201" s="273"/>
      <c r="N201" s="284"/>
      <c r="O201" s="284"/>
    </row>
    <row r="202" spans="2:15" x14ac:dyDescent="0.3">
      <c r="B202" s="50"/>
      <c r="C202" s="50"/>
      <c r="D202" s="50"/>
      <c r="E202" s="271"/>
      <c r="F202" s="271"/>
      <c r="G202" s="271"/>
      <c r="H202" s="273"/>
      <c r="I202" s="273"/>
      <c r="J202" s="273"/>
      <c r="K202" s="273"/>
      <c r="L202" s="273"/>
      <c r="M202" s="273"/>
      <c r="N202" s="284"/>
      <c r="O202" s="284"/>
    </row>
    <row r="203" spans="2:15" x14ac:dyDescent="0.3">
      <c r="B203" s="50"/>
      <c r="C203" s="50"/>
      <c r="D203" s="50"/>
      <c r="E203" s="271"/>
      <c r="F203" s="271"/>
      <c r="G203" s="271"/>
      <c r="H203" s="273"/>
      <c r="I203" s="273"/>
      <c r="J203" s="273"/>
      <c r="K203" s="273"/>
      <c r="L203" s="273"/>
      <c r="M203" s="273"/>
      <c r="N203" s="284"/>
      <c r="O203" s="284"/>
    </row>
    <row r="204" spans="2:15" x14ac:dyDescent="0.3">
      <c r="B204" s="50"/>
      <c r="C204" s="50"/>
      <c r="D204" s="50"/>
      <c r="E204" s="271"/>
      <c r="F204" s="271"/>
      <c r="G204" s="271"/>
      <c r="H204" s="273"/>
      <c r="I204" s="273"/>
      <c r="J204" s="273"/>
      <c r="K204" s="273"/>
      <c r="L204" s="273"/>
      <c r="M204" s="273"/>
      <c r="N204" s="284"/>
      <c r="O204" s="284"/>
    </row>
    <row r="205" spans="2:15" x14ac:dyDescent="0.3">
      <c r="B205" s="50"/>
      <c r="C205" s="50"/>
      <c r="D205" s="50"/>
      <c r="E205" s="271"/>
      <c r="F205" s="271"/>
      <c r="G205" s="271"/>
      <c r="H205" s="273"/>
      <c r="I205" s="273"/>
      <c r="J205" s="273"/>
      <c r="K205" s="273"/>
      <c r="L205" s="273"/>
      <c r="M205" s="273"/>
      <c r="N205" s="284"/>
      <c r="O205" s="284"/>
    </row>
    <row r="206" spans="2:15" x14ac:dyDescent="0.3">
      <c r="B206" s="50"/>
      <c r="C206" s="50"/>
      <c r="D206" s="50"/>
      <c r="E206" s="271"/>
      <c r="F206" s="271"/>
      <c r="G206" s="271"/>
      <c r="H206" s="273"/>
      <c r="I206" s="273"/>
      <c r="J206" s="273"/>
      <c r="K206" s="273"/>
      <c r="L206" s="273"/>
      <c r="M206" s="273"/>
      <c r="N206" s="284"/>
      <c r="O206" s="284"/>
    </row>
    <row r="207" spans="2:15" x14ac:dyDescent="0.3">
      <c r="B207" s="50"/>
      <c r="C207" s="50"/>
      <c r="D207" s="50"/>
      <c r="E207" s="271"/>
      <c r="F207" s="271"/>
      <c r="G207" s="271"/>
      <c r="H207" s="273"/>
      <c r="I207" s="273"/>
      <c r="J207" s="273"/>
      <c r="K207" s="273"/>
      <c r="L207" s="273"/>
      <c r="M207" s="273"/>
      <c r="N207" s="284"/>
      <c r="O207" s="284"/>
    </row>
    <row r="208" spans="2:15" x14ac:dyDescent="0.3">
      <c r="B208" s="50"/>
      <c r="C208" s="50"/>
      <c r="D208" s="50"/>
      <c r="E208" s="271"/>
      <c r="F208" s="271"/>
      <c r="G208" s="271"/>
      <c r="H208" s="273"/>
      <c r="I208" s="273"/>
      <c r="J208" s="273"/>
      <c r="K208" s="273"/>
      <c r="L208" s="273"/>
      <c r="M208" s="273"/>
      <c r="N208" s="284"/>
      <c r="O208" s="284"/>
    </row>
    <row r="209" spans="2:15" x14ac:dyDescent="0.3">
      <c r="B209" s="50"/>
      <c r="C209" s="50"/>
      <c r="D209" s="50"/>
      <c r="E209" s="271"/>
      <c r="F209" s="271"/>
      <c r="G209" s="271"/>
      <c r="H209" s="273"/>
      <c r="I209" s="273"/>
      <c r="J209" s="273"/>
      <c r="K209" s="273"/>
      <c r="L209" s="273"/>
      <c r="M209" s="273"/>
      <c r="N209" s="284"/>
      <c r="O209" s="284"/>
    </row>
    <row r="210" spans="2:15" x14ac:dyDescent="0.3">
      <c r="B210" s="50"/>
      <c r="C210" s="50"/>
      <c r="D210" s="50"/>
      <c r="E210" s="271"/>
      <c r="F210" s="271"/>
      <c r="G210" s="271"/>
      <c r="H210" s="273"/>
      <c r="I210" s="273"/>
      <c r="J210" s="273"/>
      <c r="K210" s="273"/>
      <c r="L210" s="273"/>
      <c r="M210" s="273"/>
      <c r="N210" s="284"/>
      <c r="O210" s="284"/>
    </row>
    <row r="211" spans="2:15" x14ac:dyDescent="0.3">
      <c r="B211" s="50"/>
      <c r="C211" s="50"/>
      <c r="D211" s="50"/>
      <c r="E211" s="271"/>
      <c r="F211" s="271"/>
      <c r="G211" s="271"/>
      <c r="H211" s="273"/>
      <c r="I211" s="273"/>
      <c r="J211" s="273"/>
      <c r="K211" s="273"/>
      <c r="L211" s="273"/>
      <c r="M211" s="273"/>
      <c r="N211" s="284"/>
      <c r="O211" s="284"/>
    </row>
    <row r="212" spans="2:15" x14ac:dyDescent="0.3">
      <c r="B212" s="50"/>
      <c r="C212" s="50"/>
      <c r="D212" s="50"/>
      <c r="E212" s="271"/>
      <c r="F212" s="271"/>
      <c r="G212" s="271"/>
      <c r="H212" s="273"/>
      <c r="I212" s="273"/>
      <c r="J212" s="273"/>
      <c r="K212" s="273"/>
      <c r="L212" s="273"/>
      <c r="M212" s="273"/>
      <c r="N212" s="284"/>
      <c r="O212" s="284"/>
    </row>
    <row r="213" spans="2:15" x14ac:dyDescent="0.3">
      <c r="B213" s="50"/>
      <c r="C213" s="50"/>
      <c r="D213" s="50"/>
      <c r="E213" s="271"/>
      <c r="F213" s="271"/>
      <c r="G213" s="271"/>
      <c r="H213" s="273"/>
      <c r="I213" s="273"/>
      <c r="J213" s="273"/>
      <c r="K213" s="273"/>
      <c r="L213" s="273"/>
      <c r="M213" s="273"/>
      <c r="N213" s="284"/>
      <c r="O213" s="284"/>
    </row>
    <row r="214" spans="2:15" x14ac:dyDescent="0.3">
      <c r="B214" s="50"/>
      <c r="C214" s="50"/>
      <c r="D214" s="50"/>
      <c r="E214" s="271"/>
      <c r="F214" s="271"/>
      <c r="G214" s="271"/>
      <c r="H214" s="273"/>
      <c r="I214" s="273"/>
      <c r="J214" s="273"/>
      <c r="K214" s="273"/>
      <c r="L214" s="273"/>
      <c r="M214" s="273"/>
      <c r="N214" s="284"/>
      <c r="O214" s="284"/>
    </row>
    <row r="215" spans="2:15" x14ac:dyDescent="0.3">
      <c r="B215" s="50"/>
      <c r="C215" s="50"/>
      <c r="D215" s="50"/>
      <c r="E215" s="271"/>
      <c r="F215" s="271"/>
      <c r="G215" s="271"/>
      <c r="H215" s="273"/>
      <c r="I215" s="273"/>
      <c r="J215" s="273"/>
      <c r="K215" s="273"/>
      <c r="L215" s="273"/>
      <c r="M215" s="273"/>
      <c r="N215" s="284"/>
      <c r="O215" s="284"/>
    </row>
    <row r="216" spans="2:15" x14ac:dyDescent="0.3">
      <c r="B216" s="50"/>
      <c r="C216" s="50"/>
      <c r="D216" s="50"/>
      <c r="E216" s="271"/>
      <c r="F216" s="271"/>
      <c r="G216" s="271"/>
      <c r="H216" s="273"/>
      <c r="I216" s="273"/>
      <c r="J216" s="273"/>
      <c r="K216" s="273"/>
      <c r="L216" s="273"/>
      <c r="M216" s="273"/>
      <c r="N216" s="284"/>
      <c r="O216" s="284"/>
    </row>
    <row r="217" spans="2:15" x14ac:dyDescent="0.3">
      <c r="B217" s="50"/>
      <c r="C217" s="50"/>
      <c r="D217" s="50"/>
      <c r="E217" s="271"/>
      <c r="F217" s="271"/>
      <c r="G217" s="271"/>
      <c r="H217" s="273"/>
      <c r="I217" s="273"/>
      <c r="J217" s="273"/>
      <c r="K217" s="273"/>
      <c r="L217" s="273"/>
      <c r="M217" s="273"/>
      <c r="N217" s="284"/>
      <c r="O217" s="284"/>
    </row>
    <row r="218" spans="2:15" x14ac:dyDescent="0.3">
      <c r="B218" s="50"/>
      <c r="C218" s="50"/>
      <c r="D218" s="50"/>
      <c r="E218" s="271"/>
      <c r="F218" s="271"/>
      <c r="G218" s="271"/>
      <c r="H218" s="273"/>
      <c r="I218" s="273"/>
      <c r="J218" s="273"/>
      <c r="K218" s="273"/>
      <c r="L218" s="273"/>
      <c r="M218" s="273"/>
      <c r="N218" s="284"/>
      <c r="O218" s="284"/>
    </row>
    <row r="219" spans="2:15" x14ac:dyDescent="0.3">
      <c r="B219" s="50"/>
      <c r="C219" s="50"/>
      <c r="D219" s="50"/>
      <c r="E219" s="271"/>
      <c r="F219" s="271"/>
      <c r="G219" s="271"/>
      <c r="H219" s="273"/>
      <c r="I219" s="273"/>
      <c r="J219" s="273"/>
      <c r="K219" s="273"/>
      <c r="L219" s="273"/>
      <c r="M219" s="273"/>
      <c r="N219" s="284"/>
      <c r="O219" s="284"/>
    </row>
    <row r="220" spans="2:15" x14ac:dyDescent="0.3">
      <c r="B220" s="50"/>
      <c r="C220" s="50"/>
      <c r="D220" s="50"/>
      <c r="E220" s="271"/>
      <c r="F220" s="271"/>
      <c r="G220" s="271"/>
      <c r="H220" s="273"/>
      <c r="I220" s="273"/>
      <c r="J220" s="273"/>
      <c r="K220" s="273"/>
      <c r="L220" s="273"/>
      <c r="M220" s="273"/>
      <c r="N220" s="284"/>
      <c r="O220" s="284"/>
    </row>
    <row r="221" spans="2:15" x14ac:dyDescent="0.3">
      <c r="B221" s="50"/>
      <c r="C221" s="50"/>
      <c r="D221" s="50"/>
      <c r="E221" s="271"/>
      <c r="F221" s="271"/>
      <c r="G221" s="271"/>
      <c r="H221" s="273"/>
      <c r="I221" s="273"/>
      <c r="J221" s="273"/>
      <c r="K221" s="273"/>
      <c r="L221" s="273"/>
      <c r="M221" s="273"/>
      <c r="N221" s="284"/>
      <c r="O221" s="284"/>
    </row>
    <row r="222" spans="2:15" x14ac:dyDescent="0.3">
      <c r="B222" s="50"/>
      <c r="C222" s="50"/>
      <c r="D222" s="50"/>
      <c r="E222" s="271"/>
      <c r="F222" s="271"/>
      <c r="G222" s="271"/>
      <c r="H222" s="273"/>
      <c r="I222" s="273"/>
      <c r="J222" s="273"/>
      <c r="K222" s="273"/>
      <c r="L222" s="273"/>
      <c r="M222" s="273"/>
      <c r="N222" s="284"/>
      <c r="O222" s="284"/>
    </row>
    <row r="223" spans="2:15" x14ac:dyDescent="0.3">
      <c r="B223" s="50"/>
      <c r="C223" s="50"/>
      <c r="D223" s="50"/>
      <c r="E223" s="271"/>
      <c r="F223" s="271"/>
      <c r="G223" s="271"/>
      <c r="H223" s="273"/>
      <c r="I223" s="273"/>
      <c r="J223" s="273"/>
      <c r="K223" s="273"/>
      <c r="L223" s="273"/>
      <c r="M223" s="273"/>
      <c r="N223" s="284"/>
      <c r="O223" s="284"/>
    </row>
    <row r="224" spans="2:15" x14ac:dyDescent="0.3">
      <c r="B224" s="50"/>
      <c r="C224" s="50"/>
      <c r="D224" s="50"/>
      <c r="E224" s="271"/>
      <c r="F224" s="271"/>
      <c r="G224" s="271"/>
      <c r="H224" s="273"/>
      <c r="I224" s="273"/>
      <c r="J224" s="273"/>
      <c r="K224" s="273"/>
      <c r="L224" s="273"/>
      <c r="M224" s="273"/>
      <c r="N224" s="284"/>
      <c r="O224" s="284"/>
    </row>
    <row r="225" spans="2:15" x14ac:dyDescent="0.3">
      <c r="B225" s="50"/>
      <c r="C225" s="50"/>
      <c r="D225" s="50"/>
      <c r="E225" s="271"/>
      <c r="F225" s="271"/>
      <c r="G225" s="271"/>
      <c r="H225" s="273"/>
      <c r="I225" s="273"/>
      <c r="J225" s="273"/>
      <c r="K225" s="273"/>
      <c r="L225" s="273"/>
      <c r="M225" s="273"/>
      <c r="N225" s="284"/>
      <c r="O225" s="284"/>
    </row>
    <row r="226" spans="2:15" x14ac:dyDescent="0.3">
      <c r="B226" s="50"/>
      <c r="C226" s="50"/>
      <c r="D226" s="50"/>
      <c r="E226" s="271"/>
      <c r="F226" s="271"/>
      <c r="G226" s="271"/>
      <c r="H226" s="273"/>
      <c r="I226" s="273"/>
      <c r="J226" s="273"/>
      <c r="K226" s="273"/>
      <c r="L226" s="273"/>
      <c r="M226" s="273"/>
      <c r="N226" s="284"/>
      <c r="O226" s="284"/>
    </row>
    <row r="227" spans="2:15" x14ac:dyDescent="0.3">
      <c r="B227" s="50"/>
      <c r="C227" s="50"/>
      <c r="D227" s="50"/>
      <c r="E227" s="271"/>
      <c r="F227" s="271"/>
      <c r="G227" s="271"/>
      <c r="H227" s="273"/>
      <c r="I227" s="273"/>
      <c r="J227" s="273"/>
      <c r="K227" s="273"/>
      <c r="L227" s="273"/>
      <c r="M227" s="273"/>
      <c r="N227" s="284"/>
      <c r="O227" s="284"/>
    </row>
    <row r="228" spans="2:15" x14ac:dyDescent="0.3">
      <c r="B228" s="50"/>
      <c r="C228" s="50"/>
      <c r="D228" s="50"/>
      <c r="E228" s="271"/>
      <c r="F228" s="271"/>
      <c r="G228" s="271"/>
      <c r="H228" s="273"/>
      <c r="I228" s="273"/>
      <c r="J228" s="273"/>
      <c r="K228" s="273"/>
      <c r="L228" s="273"/>
      <c r="M228" s="273"/>
      <c r="N228" s="284"/>
      <c r="O228" s="284"/>
    </row>
    <row r="229" spans="2:15" x14ac:dyDescent="0.3">
      <c r="B229" s="50"/>
      <c r="C229" s="50"/>
      <c r="D229" s="50"/>
      <c r="E229" s="271"/>
      <c r="F229" s="271"/>
      <c r="G229" s="271"/>
      <c r="H229" s="273"/>
      <c r="I229" s="273"/>
      <c r="J229" s="273"/>
      <c r="K229" s="273"/>
      <c r="L229" s="273"/>
      <c r="M229" s="273"/>
      <c r="N229" s="284"/>
      <c r="O229" s="284"/>
    </row>
    <row r="230" spans="2:15" x14ac:dyDescent="0.3">
      <c r="B230" s="50"/>
      <c r="C230" s="50"/>
      <c r="D230" s="50"/>
      <c r="E230" s="271"/>
      <c r="F230" s="271"/>
      <c r="G230" s="271"/>
      <c r="H230" s="273"/>
      <c r="I230" s="273"/>
      <c r="J230" s="273"/>
      <c r="K230" s="273"/>
      <c r="L230" s="273"/>
      <c r="M230" s="273"/>
      <c r="N230" s="284"/>
      <c r="O230" s="284"/>
    </row>
    <row r="231" spans="2:15" x14ac:dyDescent="0.3">
      <c r="B231" s="50"/>
      <c r="C231" s="50"/>
      <c r="D231" s="50"/>
      <c r="E231" s="271"/>
      <c r="F231" s="271"/>
      <c r="G231" s="271"/>
      <c r="H231" s="273"/>
      <c r="I231" s="273"/>
      <c r="J231" s="273"/>
      <c r="K231" s="273"/>
      <c r="L231" s="273"/>
      <c r="M231" s="273"/>
      <c r="N231" s="284"/>
      <c r="O231" s="284"/>
    </row>
    <row r="232" spans="2:15" x14ac:dyDescent="0.3">
      <c r="B232" s="50"/>
      <c r="C232" s="50"/>
      <c r="D232" s="50"/>
      <c r="E232" s="271"/>
      <c r="F232" s="271"/>
      <c r="G232" s="271"/>
      <c r="H232" s="273"/>
      <c r="I232" s="273"/>
      <c r="J232" s="273"/>
      <c r="K232" s="273"/>
      <c r="L232" s="273"/>
      <c r="M232" s="273"/>
      <c r="N232" s="284"/>
      <c r="O232" s="284"/>
    </row>
    <row r="233" spans="2:15" x14ac:dyDescent="0.3">
      <c r="B233" s="50"/>
      <c r="C233" s="50"/>
      <c r="D233" s="50"/>
      <c r="E233" s="271"/>
      <c r="F233" s="271"/>
      <c r="G233" s="271"/>
      <c r="H233" s="273"/>
      <c r="I233" s="273"/>
      <c r="J233" s="273"/>
      <c r="K233" s="273"/>
      <c r="L233" s="273"/>
      <c r="M233" s="273"/>
      <c r="N233" s="284"/>
      <c r="O233" s="284"/>
    </row>
    <row r="234" spans="2:15" x14ac:dyDescent="0.3">
      <c r="B234" s="50"/>
      <c r="C234" s="50"/>
      <c r="D234" s="50"/>
      <c r="E234" s="271"/>
      <c r="F234" s="271"/>
      <c r="G234" s="271"/>
      <c r="H234" s="273"/>
      <c r="I234" s="273"/>
      <c r="J234" s="273"/>
      <c r="K234" s="273"/>
      <c r="L234" s="273"/>
      <c r="M234" s="273"/>
      <c r="N234" s="284"/>
      <c r="O234" s="284"/>
    </row>
    <row r="235" spans="2:15" x14ac:dyDescent="0.3">
      <c r="B235" s="50"/>
      <c r="C235" s="50"/>
      <c r="D235" s="50"/>
      <c r="E235" s="271"/>
      <c r="F235" s="271"/>
      <c r="G235" s="271"/>
      <c r="H235" s="273"/>
      <c r="I235" s="273"/>
      <c r="J235" s="273"/>
      <c r="K235" s="273"/>
      <c r="L235" s="273"/>
      <c r="M235" s="273"/>
      <c r="N235" s="284"/>
      <c r="O235" s="284"/>
    </row>
    <row r="236" spans="2:15" x14ac:dyDescent="0.3">
      <c r="B236" s="50"/>
      <c r="C236" s="50"/>
      <c r="D236" s="50"/>
      <c r="E236" s="271"/>
      <c r="F236" s="271"/>
      <c r="G236" s="271"/>
      <c r="H236" s="273"/>
      <c r="I236" s="273"/>
      <c r="J236" s="273"/>
      <c r="K236" s="273"/>
      <c r="L236" s="273"/>
      <c r="M236" s="273"/>
      <c r="N236" s="284"/>
      <c r="O236" s="284"/>
    </row>
    <row r="237" spans="2:15" x14ac:dyDescent="0.3">
      <c r="B237" s="50"/>
      <c r="C237" s="50"/>
      <c r="D237" s="50"/>
      <c r="E237" s="271"/>
      <c r="F237" s="271"/>
      <c r="G237" s="271"/>
      <c r="H237" s="273"/>
      <c r="I237" s="273"/>
      <c r="J237" s="273"/>
      <c r="K237" s="273"/>
      <c r="L237" s="273"/>
      <c r="M237" s="273"/>
      <c r="N237" s="284"/>
      <c r="O237" s="284"/>
    </row>
    <row r="238" spans="2:15" x14ac:dyDescent="0.3">
      <c r="B238" s="50"/>
      <c r="C238" s="50"/>
      <c r="D238" s="50"/>
      <c r="E238" s="271"/>
      <c r="F238" s="271"/>
      <c r="G238" s="271"/>
      <c r="H238" s="273"/>
      <c r="I238" s="273"/>
      <c r="J238" s="273"/>
      <c r="K238" s="273"/>
      <c r="L238" s="273"/>
      <c r="M238" s="273"/>
      <c r="N238" s="284"/>
      <c r="O238" s="284"/>
    </row>
    <row r="239" spans="2:15" x14ac:dyDescent="0.3">
      <c r="B239" s="50"/>
      <c r="C239" s="50"/>
      <c r="D239" s="50"/>
      <c r="E239" s="271"/>
      <c r="F239" s="271"/>
      <c r="G239" s="271"/>
      <c r="H239" s="273"/>
      <c r="I239" s="273"/>
      <c r="J239" s="273"/>
      <c r="K239" s="273"/>
      <c r="L239" s="273"/>
      <c r="M239" s="273"/>
      <c r="N239" s="284"/>
      <c r="O239" s="284"/>
    </row>
    <row r="240" spans="2:15" x14ac:dyDescent="0.3">
      <c r="B240" s="50"/>
      <c r="C240" s="50"/>
      <c r="D240" s="50"/>
      <c r="E240" s="271"/>
      <c r="F240" s="271"/>
      <c r="G240" s="271"/>
      <c r="H240" s="273"/>
      <c r="I240" s="273"/>
      <c r="J240" s="273"/>
      <c r="K240" s="273"/>
      <c r="L240" s="273"/>
      <c r="M240" s="273"/>
      <c r="N240" s="284"/>
      <c r="O240" s="284"/>
    </row>
    <row r="241" spans="2:15" x14ac:dyDescent="0.3">
      <c r="B241" s="50"/>
      <c r="C241" s="50"/>
      <c r="D241" s="50"/>
      <c r="E241" s="271"/>
      <c r="F241" s="271"/>
      <c r="G241" s="271"/>
      <c r="H241" s="273"/>
      <c r="I241" s="273"/>
      <c r="J241" s="273"/>
      <c r="K241" s="273"/>
      <c r="L241" s="273"/>
      <c r="M241" s="273"/>
      <c r="N241" s="284"/>
      <c r="O241" s="284"/>
    </row>
    <row r="242" spans="2:15" x14ac:dyDescent="0.3">
      <c r="B242" s="50"/>
      <c r="C242" s="50"/>
      <c r="D242" s="50"/>
      <c r="E242" s="271"/>
      <c r="F242" s="271"/>
      <c r="G242" s="271"/>
      <c r="H242" s="273"/>
      <c r="I242" s="273"/>
      <c r="J242" s="273"/>
      <c r="K242" s="273"/>
      <c r="L242" s="273"/>
      <c r="M242" s="273"/>
      <c r="N242" s="284"/>
      <c r="O242" s="284"/>
    </row>
    <row r="243" spans="2:15" x14ac:dyDescent="0.3">
      <c r="B243" s="50"/>
      <c r="C243" s="50"/>
      <c r="D243" s="50"/>
      <c r="E243" s="271"/>
      <c r="F243" s="271"/>
      <c r="G243" s="271"/>
      <c r="H243" s="273"/>
      <c r="I243" s="273"/>
      <c r="J243" s="273"/>
      <c r="K243" s="273"/>
      <c r="L243" s="273"/>
      <c r="M243" s="273"/>
      <c r="N243" s="284"/>
      <c r="O243" s="284"/>
    </row>
    <row r="244" spans="2:15" x14ac:dyDescent="0.3">
      <c r="B244" s="50"/>
      <c r="C244" s="50"/>
      <c r="D244" s="50"/>
      <c r="E244" s="271"/>
      <c r="F244" s="271"/>
      <c r="G244" s="271"/>
      <c r="H244" s="273"/>
      <c r="I244" s="273"/>
      <c r="J244" s="273"/>
      <c r="K244" s="273"/>
      <c r="L244" s="273"/>
      <c r="M244" s="273"/>
      <c r="N244" s="284"/>
      <c r="O244" s="284"/>
    </row>
    <row r="245" spans="2:15" x14ac:dyDescent="0.3">
      <c r="B245" s="50"/>
      <c r="C245" s="50"/>
      <c r="D245" s="50"/>
      <c r="E245" s="271"/>
      <c r="F245" s="271"/>
      <c r="G245" s="271"/>
      <c r="H245" s="273"/>
      <c r="I245" s="273"/>
      <c r="J245" s="273"/>
      <c r="K245" s="273"/>
      <c r="L245" s="273"/>
      <c r="M245" s="273"/>
      <c r="N245" s="284"/>
      <c r="O245" s="284"/>
    </row>
    <row r="246" spans="2:15" x14ac:dyDescent="0.3">
      <c r="B246" s="50"/>
      <c r="C246" s="50"/>
      <c r="D246" s="50"/>
      <c r="E246" s="271"/>
      <c r="F246" s="271"/>
      <c r="G246" s="271"/>
      <c r="H246" s="273"/>
      <c r="I246" s="273"/>
      <c r="J246" s="273"/>
      <c r="K246" s="273"/>
      <c r="L246" s="273"/>
      <c r="M246" s="273"/>
      <c r="N246" s="284"/>
      <c r="O246" s="284"/>
    </row>
    <row r="247" spans="2:15" x14ac:dyDescent="0.3">
      <c r="B247" s="50"/>
      <c r="C247" s="50"/>
      <c r="D247" s="50"/>
      <c r="E247" s="271"/>
      <c r="F247" s="271"/>
      <c r="G247" s="271"/>
      <c r="H247" s="273"/>
      <c r="I247" s="273"/>
      <c r="J247" s="273"/>
      <c r="K247" s="273"/>
      <c r="L247" s="273"/>
      <c r="M247" s="273"/>
      <c r="N247" s="284"/>
      <c r="O247" s="284"/>
    </row>
    <row r="248" spans="2:15" x14ac:dyDescent="0.3">
      <c r="B248" s="50"/>
      <c r="C248" s="50"/>
      <c r="D248" s="50"/>
      <c r="E248" s="271"/>
      <c r="F248" s="271"/>
      <c r="G248" s="271"/>
      <c r="H248" s="273"/>
      <c r="I248" s="273"/>
      <c r="J248" s="273"/>
      <c r="K248" s="273"/>
      <c r="L248" s="273"/>
      <c r="M248" s="273"/>
      <c r="N248" s="284"/>
      <c r="O248" s="284"/>
    </row>
    <row r="249" spans="2:15" x14ac:dyDescent="0.3">
      <c r="B249" s="50"/>
      <c r="C249" s="50"/>
      <c r="D249" s="50"/>
      <c r="E249" s="271"/>
      <c r="F249" s="271"/>
      <c r="G249" s="271"/>
      <c r="H249" s="273"/>
      <c r="I249" s="273"/>
      <c r="J249" s="273"/>
      <c r="K249" s="273"/>
      <c r="L249" s="273"/>
      <c r="M249" s="273"/>
      <c r="N249" s="284"/>
      <c r="O249" s="284"/>
    </row>
    <row r="250" spans="2:15" x14ac:dyDescent="0.3">
      <c r="B250" s="50"/>
      <c r="C250" s="50"/>
      <c r="D250" s="50"/>
      <c r="E250" s="271"/>
      <c r="F250" s="271"/>
      <c r="G250" s="271"/>
      <c r="H250" s="273"/>
      <c r="I250" s="273"/>
      <c r="J250" s="273"/>
      <c r="K250" s="273"/>
      <c r="L250" s="273"/>
      <c r="M250" s="273"/>
      <c r="N250" s="284"/>
      <c r="O250" s="284"/>
    </row>
    <row r="251" spans="2:15" x14ac:dyDescent="0.3">
      <c r="B251" s="50"/>
      <c r="C251" s="50"/>
      <c r="D251" s="50"/>
      <c r="E251" s="271"/>
      <c r="F251" s="271"/>
      <c r="G251" s="271"/>
      <c r="H251" s="273"/>
      <c r="I251" s="273"/>
      <c r="J251" s="273"/>
      <c r="K251" s="273"/>
      <c r="L251" s="273"/>
      <c r="M251" s="273"/>
      <c r="N251" s="284"/>
      <c r="O251" s="284"/>
    </row>
    <row r="252" spans="2:15" x14ac:dyDescent="0.3">
      <c r="B252" s="50"/>
      <c r="C252" s="50"/>
      <c r="D252" s="50"/>
      <c r="E252" s="271"/>
      <c r="F252" s="271"/>
      <c r="G252" s="271"/>
      <c r="H252" s="273"/>
      <c r="I252" s="273"/>
      <c r="J252" s="273"/>
      <c r="K252" s="273"/>
      <c r="L252" s="273"/>
      <c r="M252" s="273"/>
      <c r="N252" s="284"/>
      <c r="O252" s="284"/>
    </row>
    <row r="253" spans="2:15" x14ac:dyDescent="0.3">
      <c r="B253" s="50"/>
      <c r="C253" s="50"/>
      <c r="D253" s="50"/>
      <c r="E253" s="271"/>
      <c r="F253" s="271"/>
      <c r="G253" s="271"/>
      <c r="H253" s="273"/>
      <c r="I253" s="273"/>
      <c r="J253" s="273"/>
      <c r="K253" s="273"/>
      <c r="L253" s="273"/>
      <c r="M253" s="273"/>
      <c r="N253" s="284"/>
      <c r="O253" s="284"/>
    </row>
    <row r="254" spans="2:15" x14ac:dyDescent="0.3">
      <c r="B254" s="50"/>
      <c r="C254" s="50"/>
      <c r="D254" s="50"/>
      <c r="E254" s="271"/>
      <c r="F254" s="271"/>
      <c r="G254" s="271"/>
      <c r="H254" s="273"/>
      <c r="I254" s="273"/>
      <c r="J254" s="273"/>
      <c r="K254" s="273"/>
      <c r="L254" s="273"/>
      <c r="M254" s="273"/>
      <c r="N254" s="284"/>
      <c r="O254" s="284"/>
    </row>
    <row r="255" spans="2:15" x14ac:dyDescent="0.3">
      <c r="B255" s="50"/>
      <c r="C255" s="50"/>
      <c r="D255" s="50"/>
      <c r="E255" s="271"/>
      <c r="F255" s="271"/>
      <c r="G255" s="271"/>
      <c r="H255" s="273"/>
      <c r="I255" s="273"/>
      <c r="J255" s="273"/>
      <c r="K255" s="273"/>
      <c r="L255" s="273"/>
      <c r="M255" s="273"/>
      <c r="N255" s="284"/>
      <c r="O255" s="284"/>
    </row>
    <row r="256" spans="2:15" x14ac:dyDescent="0.3">
      <c r="B256" s="50"/>
      <c r="C256" s="50"/>
      <c r="D256" s="50"/>
      <c r="E256" s="271"/>
      <c r="F256" s="271"/>
      <c r="G256" s="271"/>
      <c r="H256" s="273"/>
      <c r="I256" s="273"/>
      <c r="J256" s="273"/>
      <c r="K256" s="273"/>
      <c r="L256" s="273"/>
      <c r="M256" s="273"/>
      <c r="N256" s="284"/>
      <c r="O256" s="284"/>
    </row>
    <row r="257" spans="2:15" x14ac:dyDescent="0.3">
      <c r="B257" s="50"/>
      <c r="C257" s="50"/>
      <c r="D257" s="50"/>
      <c r="E257" s="271"/>
      <c r="F257" s="271"/>
      <c r="G257" s="271"/>
      <c r="H257" s="273"/>
      <c r="I257" s="273"/>
      <c r="J257" s="273"/>
      <c r="K257" s="273"/>
      <c r="L257" s="273"/>
      <c r="M257" s="273"/>
      <c r="N257" s="284"/>
      <c r="O257" s="284"/>
    </row>
    <row r="258" spans="2:15" x14ac:dyDescent="0.3">
      <c r="B258" s="50"/>
      <c r="C258" s="50"/>
      <c r="D258" s="50"/>
      <c r="E258" s="271"/>
      <c r="F258" s="271"/>
      <c r="G258" s="271"/>
      <c r="H258" s="273"/>
      <c r="I258" s="273"/>
      <c r="J258" s="273"/>
      <c r="K258" s="273"/>
      <c r="L258" s="273"/>
      <c r="M258" s="273"/>
      <c r="N258" s="284"/>
      <c r="O258" s="284"/>
    </row>
    <row r="259" spans="2:15" x14ac:dyDescent="0.3">
      <c r="B259" s="50"/>
      <c r="C259" s="50"/>
      <c r="D259" s="50"/>
      <c r="E259" s="271"/>
      <c r="F259" s="271"/>
      <c r="G259" s="271"/>
      <c r="H259" s="273"/>
      <c r="I259" s="273"/>
      <c r="J259" s="273"/>
      <c r="K259" s="273"/>
      <c r="L259" s="273"/>
      <c r="M259" s="273"/>
      <c r="N259" s="284"/>
      <c r="O259" s="284"/>
    </row>
    <row r="260" spans="2:15" x14ac:dyDescent="0.3">
      <c r="B260" s="50"/>
      <c r="C260" s="50"/>
      <c r="D260" s="50"/>
      <c r="E260" s="271"/>
      <c r="F260" s="271"/>
      <c r="G260" s="271"/>
      <c r="H260" s="273"/>
      <c r="I260" s="273"/>
      <c r="J260" s="273"/>
      <c r="K260" s="273"/>
      <c r="L260" s="273"/>
      <c r="M260" s="273"/>
      <c r="N260" s="284"/>
      <c r="O260" s="284"/>
    </row>
    <row r="261" spans="2:15" x14ac:dyDescent="0.3">
      <c r="B261" s="50"/>
      <c r="C261" s="50"/>
      <c r="D261" s="50"/>
      <c r="E261" s="271"/>
      <c r="F261" s="271"/>
      <c r="G261" s="271"/>
      <c r="H261" s="273"/>
      <c r="I261" s="273"/>
      <c r="J261" s="273"/>
      <c r="K261" s="273"/>
      <c r="L261" s="273"/>
      <c r="M261" s="273"/>
      <c r="N261" s="284"/>
      <c r="O261" s="284"/>
    </row>
    <row r="262" spans="2:15" x14ac:dyDescent="0.3">
      <c r="B262" s="50"/>
      <c r="C262" s="50"/>
      <c r="D262" s="50"/>
      <c r="E262" s="271"/>
      <c r="F262" s="271"/>
      <c r="G262" s="271"/>
      <c r="H262" s="273"/>
      <c r="I262" s="273"/>
      <c r="J262" s="273"/>
      <c r="K262" s="273"/>
      <c r="L262" s="273"/>
      <c r="M262" s="273"/>
      <c r="N262" s="284"/>
      <c r="O262" s="284"/>
    </row>
    <row r="263" spans="2:15" x14ac:dyDescent="0.3">
      <c r="B263" s="50"/>
      <c r="C263" s="50"/>
      <c r="D263" s="50"/>
      <c r="E263" s="271"/>
      <c r="F263" s="271"/>
      <c r="G263" s="271"/>
      <c r="H263" s="273"/>
      <c r="I263" s="273"/>
      <c r="J263" s="273"/>
      <c r="K263" s="273"/>
      <c r="L263" s="273"/>
      <c r="M263" s="273"/>
      <c r="N263" s="284"/>
      <c r="O263" s="284"/>
    </row>
    <row r="264" spans="2:15" x14ac:dyDescent="0.3">
      <c r="B264" s="50"/>
      <c r="C264" s="50"/>
      <c r="D264" s="50"/>
      <c r="E264" s="271"/>
      <c r="F264" s="271"/>
      <c r="G264" s="271"/>
      <c r="H264" s="273"/>
      <c r="I264" s="273"/>
      <c r="J264" s="273"/>
      <c r="K264" s="273"/>
      <c r="L264" s="273"/>
      <c r="M264" s="273"/>
      <c r="N264" s="284"/>
      <c r="O264" s="284"/>
    </row>
    <row r="265" spans="2:15" x14ac:dyDescent="0.3">
      <c r="B265" s="50"/>
      <c r="C265" s="50"/>
      <c r="D265" s="50"/>
      <c r="E265" s="271"/>
      <c r="F265" s="271"/>
      <c r="G265" s="271"/>
      <c r="H265" s="273"/>
      <c r="I265" s="273"/>
      <c r="J265" s="273"/>
      <c r="K265" s="273"/>
      <c r="L265" s="273"/>
      <c r="M265" s="273"/>
      <c r="N265" s="284"/>
      <c r="O265" s="284"/>
    </row>
    <row r="266" spans="2:15" x14ac:dyDescent="0.3">
      <c r="B266" s="50"/>
      <c r="C266" s="50"/>
      <c r="D266" s="50"/>
      <c r="E266" s="271"/>
      <c r="F266" s="271"/>
      <c r="G266" s="271"/>
      <c r="H266" s="273"/>
      <c r="I266" s="273"/>
      <c r="J266" s="273"/>
      <c r="K266" s="273"/>
      <c r="L266" s="273"/>
      <c r="M266" s="273"/>
      <c r="N266" s="284"/>
      <c r="O266" s="284"/>
    </row>
    <row r="267" spans="2:15" x14ac:dyDescent="0.3">
      <c r="B267" s="50"/>
      <c r="C267" s="50"/>
      <c r="D267" s="50"/>
      <c r="E267" s="271"/>
      <c r="F267" s="271"/>
      <c r="G267" s="271"/>
      <c r="H267" s="273"/>
      <c r="I267" s="273"/>
      <c r="J267" s="273"/>
      <c r="K267" s="273"/>
      <c r="L267" s="273"/>
      <c r="M267" s="273"/>
      <c r="N267" s="284"/>
      <c r="O267" s="284"/>
    </row>
    <row r="268" spans="2:15" x14ac:dyDescent="0.3">
      <c r="B268" s="50"/>
      <c r="C268" s="50"/>
      <c r="D268" s="50"/>
      <c r="E268" s="271"/>
      <c r="F268" s="271"/>
      <c r="G268" s="271"/>
      <c r="H268" s="273"/>
      <c r="I268" s="273"/>
      <c r="J268" s="273"/>
      <c r="K268" s="273"/>
      <c r="L268" s="273"/>
      <c r="M268" s="273"/>
      <c r="N268" s="284"/>
      <c r="O268" s="284"/>
    </row>
    <row r="269" spans="2:15" x14ac:dyDescent="0.3">
      <c r="B269" s="50"/>
      <c r="C269" s="50"/>
      <c r="D269" s="50"/>
      <c r="E269" s="271"/>
      <c r="F269" s="271"/>
      <c r="G269" s="271"/>
      <c r="H269" s="273"/>
      <c r="I269" s="273"/>
      <c r="J269" s="273"/>
      <c r="K269" s="273"/>
      <c r="L269" s="273"/>
      <c r="M269" s="273"/>
      <c r="N269" s="284"/>
      <c r="O269" s="284"/>
    </row>
    <row r="270" spans="2:15" x14ac:dyDescent="0.3">
      <c r="B270" s="50"/>
      <c r="C270" s="50"/>
      <c r="D270" s="50"/>
      <c r="E270" s="271"/>
      <c r="F270" s="271"/>
      <c r="G270" s="271"/>
      <c r="H270" s="273"/>
      <c r="I270" s="273"/>
      <c r="J270" s="273"/>
      <c r="K270" s="273"/>
      <c r="L270" s="273"/>
      <c r="M270" s="273"/>
      <c r="N270" s="284"/>
      <c r="O270" s="284"/>
    </row>
    <row r="271" spans="2:15" x14ac:dyDescent="0.3">
      <c r="B271" s="50"/>
      <c r="C271" s="50"/>
      <c r="D271" s="50"/>
      <c r="E271" s="271"/>
      <c r="F271" s="271"/>
      <c r="G271" s="271"/>
      <c r="H271" s="273"/>
      <c r="I271" s="273"/>
      <c r="J271" s="273"/>
      <c r="K271" s="273"/>
      <c r="L271" s="273"/>
      <c r="M271" s="273"/>
      <c r="N271" s="284"/>
      <c r="O271" s="284"/>
    </row>
    <row r="272" spans="2:15" x14ac:dyDescent="0.3">
      <c r="B272" s="50"/>
      <c r="C272" s="50"/>
      <c r="D272" s="50"/>
      <c r="E272" s="271"/>
      <c r="F272" s="271"/>
      <c r="G272" s="271"/>
      <c r="H272" s="273"/>
      <c r="I272" s="273"/>
      <c r="J272" s="273"/>
      <c r="K272" s="273"/>
      <c r="L272" s="273"/>
      <c r="M272" s="273"/>
      <c r="N272" s="284"/>
      <c r="O272" s="284"/>
    </row>
    <row r="273" spans="2:15" x14ac:dyDescent="0.3">
      <c r="B273" s="50"/>
      <c r="C273" s="50"/>
      <c r="D273" s="50"/>
      <c r="E273" s="271"/>
      <c r="F273" s="271"/>
      <c r="G273" s="271"/>
      <c r="H273" s="273"/>
      <c r="I273" s="273"/>
      <c r="J273" s="273"/>
      <c r="K273" s="273"/>
      <c r="L273" s="273"/>
      <c r="M273" s="273"/>
      <c r="N273" s="284"/>
      <c r="O273" s="284"/>
    </row>
    <row r="274" spans="2:15" x14ac:dyDescent="0.3">
      <c r="B274" s="50"/>
      <c r="C274" s="50"/>
      <c r="D274" s="50"/>
      <c r="E274" s="271"/>
      <c r="F274" s="271"/>
      <c r="G274" s="271"/>
      <c r="H274" s="273"/>
      <c r="I274" s="273"/>
      <c r="J274" s="273"/>
      <c r="K274" s="273"/>
      <c r="L274" s="273"/>
      <c r="M274" s="273"/>
      <c r="N274" s="284"/>
      <c r="O274" s="284"/>
    </row>
    <row r="275" spans="2:15" x14ac:dyDescent="0.3">
      <c r="B275" s="50"/>
      <c r="C275" s="50"/>
      <c r="D275" s="50"/>
      <c r="E275" s="271"/>
      <c r="F275" s="271"/>
      <c r="G275" s="271"/>
      <c r="H275" s="273"/>
      <c r="I275" s="273"/>
      <c r="J275" s="273"/>
      <c r="K275" s="273"/>
      <c r="L275" s="273"/>
      <c r="M275" s="273"/>
      <c r="N275" s="284"/>
      <c r="O275" s="284"/>
    </row>
    <row r="276" spans="2:15" x14ac:dyDescent="0.3">
      <c r="B276" s="50"/>
      <c r="C276" s="50"/>
      <c r="D276" s="50"/>
      <c r="E276" s="271"/>
      <c r="F276" s="271"/>
      <c r="G276" s="271"/>
      <c r="H276" s="273"/>
      <c r="I276" s="273"/>
      <c r="J276" s="273"/>
      <c r="K276" s="273"/>
      <c r="L276" s="273"/>
      <c r="M276" s="273"/>
      <c r="N276" s="284"/>
      <c r="O276" s="284"/>
    </row>
    <row r="277" spans="2:15" x14ac:dyDescent="0.3">
      <c r="B277" s="50"/>
      <c r="C277" s="50"/>
      <c r="D277" s="50"/>
      <c r="E277" s="271"/>
      <c r="F277" s="271"/>
      <c r="G277" s="271"/>
      <c r="H277" s="273"/>
      <c r="I277" s="273"/>
      <c r="J277" s="273"/>
      <c r="K277" s="273"/>
      <c r="L277" s="273"/>
      <c r="M277" s="273"/>
      <c r="N277" s="284"/>
      <c r="O277" s="284"/>
    </row>
    <row r="278" spans="2:15" x14ac:dyDescent="0.3">
      <c r="B278" s="50"/>
      <c r="C278" s="50"/>
      <c r="D278" s="50"/>
      <c r="E278" s="271"/>
      <c r="F278" s="271"/>
      <c r="G278" s="271"/>
      <c r="H278" s="273"/>
      <c r="I278" s="273"/>
      <c r="J278" s="273"/>
      <c r="K278" s="273"/>
      <c r="L278" s="273"/>
      <c r="M278" s="273"/>
      <c r="N278" s="284"/>
      <c r="O278" s="284"/>
    </row>
    <row r="279" spans="2:15" x14ac:dyDescent="0.3">
      <c r="B279" s="50"/>
      <c r="C279" s="50"/>
      <c r="D279" s="50"/>
      <c r="E279" s="271"/>
      <c r="F279" s="271"/>
      <c r="G279" s="271"/>
      <c r="H279" s="273"/>
      <c r="I279" s="273"/>
      <c r="J279" s="273"/>
      <c r="K279" s="273"/>
      <c r="L279" s="273"/>
      <c r="M279" s="273"/>
      <c r="N279" s="284"/>
      <c r="O279" s="284"/>
    </row>
    <row r="280" spans="2:15" x14ac:dyDescent="0.3">
      <c r="B280" s="50"/>
      <c r="C280" s="50"/>
      <c r="D280" s="50"/>
      <c r="E280" s="271"/>
      <c r="F280" s="271"/>
      <c r="G280" s="271"/>
      <c r="H280" s="273"/>
      <c r="I280" s="273"/>
      <c r="J280" s="273"/>
      <c r="K280" s="273"/>
      <c r="L280" s="273"/>
      <c r="M280" s="273"/>
      <c r="N280" s="284"/>
      <c r="O280" s="284"/>
    </row>
    <row r="281" spans="2:15" x14ac:dyDescent="0.3">
      <c r="B281" s="50"/>
      <c r="C281" s="50"/>
      <c r="D281" s="50"/>
      <c r="E281" s="271"/>
      <c r="F281" s="271"/>
      <c r="G281" s="271"/>
      <c r="H281" s="273"/>
      <c r="I281" s="273"/>
      <c r="J281" s="273"/>
      <c r="K281" s="273"/>
      <c r="L281" s="273"/>
      <c r="M281" s="273"/>
      <c r="N281" s="284"/>
      <c r="O281" s="284"/>
    </row>
    <row r="282" spans="2:15" x14ac:dyDescent="0.3">
      <c r="B282" s="50"/>
      <c r="C282" s="50"/>
      <c r="D282" s="50"/>
      <c r="E282" s="271"/>
      <c r="F282" s="271"/>
      <c r="G282" s="271"/>
      <c r="H282" s="273"/>
      <c r="I282" s="273"/>
      <c r="J282" s="273"/>
      <c r="K282" s="273"/>
      <c r="L282" s="273"/>
      <c r="M282" s="273"/>
      <c r="N282" s="284"/>
      <c r="O282" s="284"/>
    </row>
    <row r="283" spans="2:15" x14ac:dyDescent="0.3">
      <c r="B283" s="50"/>
      <c r="C283" s="50"/>
      <c r="D283" s="50"/>
      <c r="E283" s="271"/>
      <c r="F283" s="271"/>
      <c r="G283" s="271"/>
      <c r="H283" s="273"/>
      <c r="I283" s="273"/>
      <c r="J283" s="273"/>
      <c r="K283" s="273"/>
      <c r="L283" s="273"/>
      <c r="M283" s="273"/>
      <c r="N283" s="284"/>
      <c r="O283" s="284"/>
    </row>
    <row r="284" spans="2:15" x14ac:dyDescent="0.3">
      <c r="B284" s="50"/>
      <c r="C284" s="50"/>
      <c r="D284" s="50"/>
      <c r="E284" s="271"/>
      <c r="F284" s="271"/>
      <c r="G284" s="271"/>
      <c r="H284" s="273"/>
      <c r="I284" s="273"/>
      <c r="J284" s="273"/>
      <c r="K284" s="273"/>
      <c r="L284" s="273"/>
      <c r="M284" s="273"/>
      <c r="N284" s="284"/>
      <c r="O284" s="284"/>
    </row>
    <row r="285" spans="2:15" x14ac:dyDescent="0.3">
      <c r="B285" s="50"/>
      <c r="C285" s="50"/>
      <c r="D285" s="50"/>
      <c r="E285" s="271"/>
      <c r="F285" s="271"/>
      <c r="G285" s="271"/>
      <c r="H285" s="273"/>
      <c r="I285" s="273"/>
      <c r="J285" s="273"/>
      <c r="K285" s="273"/>
      <c r="L285" s="273"/>
      <c r="M285" s="273"/>
      <c r="N285" s="284"/>
      <c r="O285" s="284"/>
    </row>
    <row r="286" spans="2:15" x14ac:dyDescent="0.3">
      <c r="B286" s="50"/>
      <c r="C286" s="50"/>
      <c r="D286" s="50"/>
      <c r="E286" s="271"/>
      <c r="F286" s="271"/>
      <c r="G286" s="271"/>
      <c r="H286" s="273"/>
      <c r="I286" s="273"/>
      <c r="J286" s="273"/>
      <c r="K286" s="273"/>
      <c r="L286" s="273"/>
      <c r="M286" s="273"/>
      <c r="N286" s="284"/>
      <c r="O286" s="284"/>
    </row>
    <row r="287" spans="2:15" x14ac:dyDescent="0.3">
      <c r="B287" s="50"/>
      <c r="C287" s="50"/>
      <c r="D287" s="50"/>
      <c r="E287" s="271"/>
      <c r="F287" s="271"/>
      <c r="G287" s="271"/>
      <c r="H287" s="273"/>
      <c r="I287" s="273"/>
      <c r="J287" s="273"/>
      <c r="K287" s="273"/>
      <c r="L287" s="273"/>
      <c r="M287" s="273"/>
      <c r="N287" s="284"/>
      <c r="O287" s="284"/>
    </row>
    <row r="288" spans="2:15" x14ac:dyDescent="0.3">
      <c r="B288" s="50"/>
      <c r="C288" s="50"/>
      <c r="D288" s="50"/>
      <c r="E288" s="271"/>
      <c r="F288" s="271"/>
      <c r="G288" s="271"/>
      <c r="H288" s="273"/>
      <c r="I288" s="273"/>
      <c r="J288" s="273"/>
      <c r="K288" s="273"/>
      <c r="L288" s="273"/>
      <c r="M288" s="273"/>
      <c r="N288" s="284"/>
      <c r="O288" s="284"/>
    </row>
    <row r="289" spans="2:15" x14ac:dyDescent="0.3">
      <c r="B289" s="50"/>
      <c r="C289" s="50"/>
      <c r="D289" s="50"/>
      <c r="E289" s="271"/>
      <c r="F289" s="271"/>
      <c r="G289" s="271"/>
      <c r="H289" s="273"/>
      <c r="I289" s="273"/>
      <c r="J289" s="273"/>
      <c r="K289" s="273"/>
      <c r="L289" s="273"/>
      <c r="M289" s="273"/>
      <c r="N289" s="284"/>
      <c r="O289" s="284"/>
    </row>
    <row r="290" spans="2:15" x14ac:dyDescent="0.3">
      <c r="B290" s="50"/>
      <c r="C290" s="50"/>
      <c r="D290" s="50"/>
      <c r="E290" s="271"/>
      <c r="F290" s="271"/>
      <c r="G290" s="271"/>
      <c r="H290" s="273"/>
      <c r="I290" s="273"/>
      <c r="J290" s="273"/>
      <c r="K290" s="273"/>
      <c r="L290" s="273"/>
      <c r="M290" s="273"/>
      <c r="N290" s="284"/>
      <c r="O290" s="284"/>
    </row>
    <row r="291" spans="2:15" x14ac:dyDescent="0.3">
      <c r="B291" s="50"/>
      <c r="C291" s="50"/>
      <c r="D291" s="50"/>
      <c r="E291" s="271"/>
      <c r="F291" s="271"/>
      <c r="G291" s="271"/>
      <c r="H291" s="273"/>
      <c r="I291" s="273"/>
      <c r="J291" s="273"/>
      <c r="K291" s="273"/>
      <c r="L291" s="273"/>
      <c r="M291" s="273"/>
      <c r="N291" s="284"/>
      <c r="O291" s="284"/>
    </row>
    <row r="292" spans="2:15" x14ac:dyDescent="0.3">
      <c r="B292" s="50"/>
      <c r="C292" s="50"/>
      <c r="D292" s="50"/>
      <c r="E292" s="271"/>
      <c r="F292" s="271"/>
      <c r="G292" s="271"/>
      <c r="H292" s="273"/>
      <c r="I292" s="273"/>
      <c r="J292" s="273"/>
      <c r="K292" s="273"/>
      <c r="L292" s="273"/>
      <c r="M292" s="273"/>
      <c r="N292" s="284"/>
      <c r="O292" s="284"/>
    </row>
    <row r="293" spans="2:15" x14ac:dyDescent="0.3">
      <c r="B293" s="50"/>
      <c r="C293" s="50"/>
      <c r="D293" s="50"/>
      <c r="E293" s="271"/>
      <c r="F293" s="271"/>
      <c r="G293" s="271"/>
      <c r="H293" s="273"/>
      <c r="I293" s="273"/>
      <c r="J293" s="273"/>
      <c r="K293" s="273"/>
      <c r="L293" s="273"/>
      <c r="M293" s="273"/>
      <c r="N293" s="284"/>
      <c r="O293" s="284"/>
    </row>
    <row r="294" spans="2:15" x14ac:dyDescent="0.3">
      <c r="B294" s="50"/>
      <c r="C294" s="50"/>
      <c r="D294" s="50"/>
      <c r="E294" s="271"/>
      <c r="F294" s="271"/>
      <c r="G294" s="271"/>
      <c r="H294" s="273"/>
      <c r="I294" s="273"/>
      <c r="J294" s="273"/>
      <c r="K294" s="273"/>
      <c r="L294" s="273"/>
      <c r="M294" s="273"/>
      <c r="N294" s="284"/>
      <c r="O294" s="284"/>
    </row>
    <row r="295" spans="2:15" x14ac:dyDescent="0.3">
      <c r="B295" s="50"/>
      <c r="C295" s="50"/>
      <c r="D295" s="50"/>
      <c r="E295" s="271"/>
      <c r="F295" s="271"/>
      <c r="G295" s="271"/>
      <c r="H295" s="273"/>
      <c r="I295" s="273"/>
      <c r="J295" s="273"/>
      <c r="K295" s="273"/>
      <c r="L295" s="273"/>
      <c r="M295" s="273"/>
      <c r="N295" s="284"/>
      <c r="O295" s="284"/>
    </row>
    <row r="296" spans="2:15" x14ac:dyDescent="0.3">
      <c r="B296" s="50"/>
      <c r="C296" s="50"/>
      <c r="D296" s="50"/>
      <c r="E296" s="271"/>
      <c r="F296" s="271"/>
      <c r="G296" s="271"/>
      <c r="H296" s="273"/>
      <c r="I296" s="273"/>
      <c r="J296" s="273"/>
      <c r="K296" s="273"/>
      <c r="L296" s="273"/>
      <c r="M296" s="273"/>
      <c r="N296" s="284"/>
      <c r="O296" s="284"/>
    </row>
    <row r="297" spans="2:15" x14ac:dyDescent="0.3">
      <c r="B297" s="50"/>
      <c r="C297" s="50"/>
      <c r="D297" s="50"/>
      <c r="E297" s="271"/>
      <c r="F297" s="271"/>
      <c r="G297" s="271"/>
      <c r="H297" s="273"/>
      <c r="I297" s="273"/>
      <c r="J297" s="273"/>
      <c r="K297" s="273"/>
      <c r="L297" s="273"/>
      <c r="M297" s="273"/>
      <c r="N297" s="284"/>
      <c r="O297" s="284"/>
    </row>
    <row r="298" spans="2:15" x14ac:dyDescent="0.3">
      <c r="B298" s="50"/>
      <c r="C298" s="50"/>
      <c r="D298" s="50"/>
      <c r="E298" s="271"/>
      <c r="F298" s="271"/>
      <c r="G298" s="271"/>
      <c r="H298" s="273"/>
      <c r="I298" s="273"/>
      <c r="J298" s="273"/>
      <c r="K298" s="273"/>
      <c r="L298" s="273"/>
      <c r="M298" s="273"/>
      <c r="N298" s="284"/>
      <c r="O298" s="284"/>
    </row>
    <row r="299" spans="2:15" x14ac:dyDescent="0.3">
      <c r="B299" s="50"/>
      <c r="C299" s="50"/>
      <c r="D299" s="50"/>
      <c r="E299" s="271"/>
      <c r="F299" s="271"/>
      <c r="G299" s="271"/>
      <c r="H299" s="273"/>
      <c r="I299" s="273"/>
      <c r="J299" s="273"/>
      <c r="K299" s="273"/>
      <c r="L299" s="273"/>
      <c r="M299" s="273"/>
      <c r="N299" s="284"/>
      <c r="O299" s="284"/>
    </row>
    <row r="300" spans="2:15" x14ac:dyDescent="0.3">
      <c r="B300" s="50"/>
      <c r="C300" s="50"/>
      <c r="D300" s="50"/>
      <c r="E300" s="271"/>
      <c r="F300" s="271"/>
      <c r="G300" s="271"/>
      <c r="H300" s="273"/>
      <c r="I300" s="273"/>
      <c r="J300" s="273"/>
      <c r="K300" s="273"/>
      <c r="L300" s="273"/>
      <c r="M300" s="273"/>
      <c r="N300" s="284"/>
      <c r="O300" s="284"/>
    </row>
    <row r="301" spans="2:15" x14ac:dyDescent="0.3">
      <c r="B301" s="50"/>
      <c r="C301" s="50"/>
      <c r="D301" s="50"/>
      <c r="E301" s="271"/>
      <c r="F301" s="271"/>
      <c r="G301" s="271"/>
      <c r="H301" s="273"/>
      <c r="I301" s="273"/>
      <c r="J301" s="273"/>
      <c r="K301" s="273"/>
      <c r="L301" s="273"/>
      <c r="M301" s="273"/>
      <c r="N301" s="284"/>
      <c r="O301" s="284"/>
    </row>
    <row r="302" spans="2:15" x14ac:dyDescent="0.3">
      <c r="B302" s="50"/>
      <c r="C302" s="50"/>
      <c r="D302" s="50"/>
      <c r="E302" s="271"/>
      <c r="F302" s="271"/>
      <c r="G302" s="271"/>
      <c r="H302" s="273"/>
      <c r="I302" s="273"/>
      <c r="J302" s="273"/>
      <c r="K302" s="273"/>
      <c r="L302" s="273"/>
      <c r="M302" s="273"/>
      <c r="N302" s="284"/>
      <c r="O302" s="284"/>
    </row>
    <row r="303" spans="2:15" x14ac:dyDescent="0.3">
      <c r="B303" s="50"/>
      <c r="C303" s="50"/>
      <c r="D303" s="50"/>
      <c r="E303" s="271"/>
      <c r="F303" s="271"/>
      <c r="G303" s="271"/>
      <c r="H303" s="273"/>
      <c r="I303" s="273"/>
      <c r="J303" s="273"/>
      <c r="K303" s="273"/>
      <c r="L303" s="273"/>
      <c r="M303" s="273"/>
      <c r="N303" s="284"/>
      <c r="O303" s="284"/>
    </row>
    <row r="304" spans="2:15" x14ac:dyDescent="0.3">
      <c r="B304" s="50"/>
      <c r="C304" s="50"/>
      <c r="D304" s="50"/>
      <c r="E304" s="271"/>
      <c r="F304" s="271"/>
      <c r="G304" s="271"/>
      <c r="H304" s="273"/>
      <c r="I304" s="273"/>
      <c r="J304" s="273"/>
      <c r="K304" s="273"/>
      <c r="L304" s="273"/>
      <c r="M304" s="273"/>
      <c r="N304" s="284"/>
      <c r="O304" s="284"/>
    </row>
    <row r="305" spans="2:15" x14ac:dyDescent="0.3">
      <c r="B305" s="50"/>
      <c r="C305" s="50"/>
      <c r="D305" s="50"/>
      <c r="E305" s="271"/>
      <c r="F305" s="271"/>
      <c r="G305" s="271"/>
      <c r="H305" s="273"/>
      <c r="I305" s="273"/>
      <c r="J305" s="273"/>
      <c r="K305" s="273"/>
      <c r="L305" s="273"/>
      <c r="M305" s="273"/>
      <c r="N305" s="284"/>
      <c r="O305" s="284"/>
    </row>
    <row r="306" spans="2:15" x14ac:dyDescent="0.3">
      <c r="B306" s="50"/>
      <c r="C306" s="50"/>
      <c r="D306" s="50"/>
      <c r="E306" s="271"/>
      <c r="F306" s="271"/>
      <c r="G306" s="271"/>
      <c r="H306" s="273"/>
      <c r="I306" s="273"/>
      <c r="J306" s="273"/>
      <c r="K306" s="273"/>
      <c r="L306" s="273"/>
      <c r="M306" s="273"/>
      <c r="N306" s="284"/>
      <c r="O306" s="284"/>
    </row>
    <row r="307" spans="2:15" x14ac:dyDescent="0.3">
      <c r="B307" s="50"/>
      <c r="C307" s="50"/>
      <c r="D307" s="50"/>
      <c r="E307" s="271"/>
      <c r="F307" s="271"/>
      <c r="G307" s="271"/>
      <c r="H307" s="273"/>
      <c r="I307" s="273"/>
      <c r="J307" s="273"/>
      <c r="K307" s="273"/>
      <c r="L307" s="273"/>
      <c r="M307" s="273"/>
      <c r="N307" s="284"/>
      <c r="O307" s="284"/>
    </row>
    <row r="308" spans="2:15" x14ac:dyDescent="0.3">
      <c r="B308" s="50"/>
      <c r="C308" s="50"/>
      <c r="D308" s="50"/>
      <c r="E308" s="271"/>
      <c r="F308" s="271"/>
      <c r="G308" s="271"/>
      <c r="H308" s="273"/>
      <c r="I308" s="273"/>
      <c r="J308" s="273"/>
      <c r="K308" s="273"/>
      <c r="L308" s="273"/>
      <c r="M308" s="273"/>
      <c r="N308" s="284"/>
      <c r="O308" s="284"/>
    </row>
    <row r="309" spans="2:15" x14ac:dyDescent="0.3">
      <c r="B309" s="50"/>
      <c r="C309" s="50"/>
      <c r="D309" s="50"/>
      <c r="E309" s="271"/>
      <c r="F309" s="271"/>
      <c r="G309" s="271"/>
      <c r="H309" s="273"/>
      <c r="I309" s="273"/>
      <c r="J309" s="273"/>
      <c r="K309" s="273"/>
      <c r="L309" s="273"/>
      <c r="M309" s="273"/>
      <c r="N309" s="284"/>
      <c r="O309" s="284"/>
    </row>
    <row r="310" spans="2:15" x14ac:dyDescent="0.3">
      <c r="B310" s="50"/>
      <c r="C310" s="50"/>
      <c r="D310" s="50"/>
      <c r="E310" s="271"/>
      <c r="F310" s="271"/>
      <c r="G310" s="271"/>
      <c r="H310" s="273"/>
      <c r="I310" s="273"/>
      <c r="J310" s="273"/>
      <c r="K310" s="273"/>
      <c r="L310" s="273"/>
      <c r="M310" s="273"/>
      <c r="N310" s="284"/>
      <c r="O310" s="284"/>
    </row>
    <row r="311" spans="2:15" x14ac:dyDescent="0.3">
      <c r="B311" s="50"/>
      <c r="C311" s="50"/>
      <c r="D311" s="50"/>
      <c r="E311" s="271"/>
      <c r="F311" s="271"/>
      <c r="G311" s="271"/>
      <c r="H311" s="273"/>
      <c r="I311" s="273"/>
      <c r="J311" s="273"/>
      <c r="K311" s="273"/>
      <c r="L311" s="273"/>
      <c r="M311" s="273"/>
      <c r="N311" s="284"/>
      <c r="O311" s="284"/>
    </row>
    <row r="312" spans="2:15" x14ac:dyDescent="0.3">
      <c r="B312" s="50"/>
      <c r="C312" s="50"/>
      <c r="D312" s="50"/>
      <c r="E312" s="271"/>
      <c r="F312" s="271"/>
      <c r="G312" s="271"/>
      <c r="H312" s="273"/>
      <c r="I312" s="273"/>
      <c r="J312" s="273"/>
      <c r="K312" s="273"/>
      <c r="L312" s="273"/>
      <c r="M312" s="273"/>
      <c r="N312" s="284"/>
      <c r="O312" s="284"/>
    </row>
    <row r="313" spans="2:15" x14ac:dyDescent="0.3">
      <c r="B313" s="50"/>
      <c r="C313" s="50"/>
      <c r="D313" s="50"/>
      <c r="E313" s="271"/>
      <c r="F313" s="271"/>
      <c r="G313" s="271"/>
      <c r="H313" s="273"/>
      <c r="I313" s="273"/>
      <c r="J313" s="273"/>
      <c r="K313" s="273"/>
      <c r="L313" s="273"/>
      <c r="M313" s="273"/>
      <c r="N313" s="284"/>
      <c r="O313" s="284"/>
    </row>
    <row r="314" spans="2:15" x14ac:dyDescent="0.3">
      <c r="B314" s="50"/>
      <c r="C314" s="50"/>
      <c r="D314" s="50"/>
      <c r="E314" s="271"/>
      <c r="F314" s="271"/>
      <c r="G314" s="271"/>
      <c r="H314" s="273"/>
      <c r="I314" s="273"/>
      <c r="J314" s="273"/>
      <c r="K314" s="273"/>
      <c r="L314" s="273"/>
      <c r="M314" s="273"/>
      <c r="N314" s="284"/>
      <c r="O314" s="284"/>
    </row>
    <row r="315" spans="2:15" x14ac:dyDescent="0.3">
      <c r="B315" s="50"/>
      <c r="C315" s="50"/>
      <c r="D315" s="50"/>
      <c r="E315" s="271"/>
      <c r="F315" s="271"/>
      <c r="G315" s="271"/>
      <c r="H315" s="273"/>
      <c r="I315" s="273"/>
      <c r="J315" s="273"/>
      <c r="K315" s="273"/>
      <c r="L315" s="273"/>
      <c r="M315" s="273"/>
      <c r="N315" s="284"/>
      <c r="O315" s="284"/>
    </row>
    <row r="316" spans="2:15" x14ac:dyDescent="0.3">
      <c r="B316" s="50"/>
      <c r="C316" s="50"/>
      <c r="D316" s="50"/>
      <c r="E316" s="271"/>
      <c r="F316" s="271"/>
      <c r="G316" s="271"/>
      <c r="H316" s="273"/>
      <c r="I316" s="273"/>
      <c r="J316" s="273"/>
      <c r="K316" s="273"/>
      <c r="L316" s="273"/>
      <c r="M316" s="273"/>
      <c r="N316" s="284"/>
      <c r="O316" s="284"/>
    </row>
    <row r="317" spans="2:15" x14ac:dyDescent="0.3">
      <c r="B317" s="50"/>
      <c r="C317" s="50"/>
      <c r="D317" s="50"/>
      <c r="E317" s="271"/>
      <c r="F317" s="271"/>
      <c r="G317" s="271"/>
      <c r="H317" s="273"/>
      <c r="I317" s="273"/>
      <c r="J317" s="273"/>
      <c r="K317" s="273"/>
      <c r="L317" s="273"/>
      <c r="M317" s="273"/>
      <c r="N317" s="284"/>
      <c r="O317" s="284"/>
    </row>
    <row r="318" spans="2:15" x14ac:dyDescent="0.3">
      <c r="B318" s="50"/>
      <c r="C318" s="50"/>
      <c r="D318" s="50"/>
      <c r="E318" s="271"/>
      <c r="F318" s="271"/>
      <c r="G318" s="271"/>
      <c r="H318" s="273"/>
      <c r="I318" s="273"/>
      <c r="J318" s="273"/>
      <c r="K318" s="273"/>
      <c r="L318" s="273"/>
      <c r="M318" s="273"/>
      <c r="N318" s="284"/>
      <c r="O318" s="284"/>
    </row>
    <row r="319" spans="2:15" x14ac:dyDescent="0.3">
      <c r="B319" s="50"/>
      <c r="C319" s="50"/>
      <c r="D319" s="50"/>
      <c r="E319" s="271"/>
      <c r="F319" s="271"/>
      <c r="G319" s="271"/>
      <c r="H319" s="273"/>
      <c r="I319" s="273"/>
      <c r="J319" s="273"/>
      <c r="K319" s="273"/>
      <c r="L319" s="273"/>
      <c r="M319" s="273"/>
      <c r="N319" s="284"/>
      <c r="O319" s="284"/>
    </row>
    <row r="320" spans="2:15" x14ac:dyDescent="0.3">
      <c r="B320" s="50"/>
      <c r="C320" s="50"/>
      <c r="D320" s="50"/>
      <c r="E320" s="271"/>
      <c r="F320" s="271"/>
      <c r="G320" s="271"/>
      <c r="H320" s="273"/>
      <c r="I320" s="273"/>
      <c r="J320" s="273"/>
      <c r="K320" s="273"/>
      <c r="L320" s="273"/>
      <c r="M320" s="273"/>
      <c r="N320" s="284"/>
      <c r="O320" s="284"/>
    </row>
    <row r="321" spans="2:15" x14ac:dyDescent="0.3">
      <c r="B321" s="50"/>
      <c r="C321" s="50"/>
      <c r="D321" s="50"/>
      <c r="E321" s="271"/>
      <c r="F321" s="271"/>
      <c r="G321" s="271"/>
      <c r="H321" s="273"/>
      <c r="I321" s="273"/>
      <c r="J321" s="273"/>
      <c r="K321" s="273"/>
      <c r="L321" s="273"/>
      <c r="M321" s="273"/>
      <c r="N321" s="284"/>
      <c r="O321" s="284"/>
    </row>
    <row r="322" spans="2:15" x14ac:dyDescent="0.3">
      <c r="B322" s="50"/>
      <c r="C322" s="50"/>
      <c r="D322" s="50"/>
      <c r="E322" s="271"/>
      <c r="F322" s="271"/>
      <c r="G322" s="271"/>
      <c r="H322" s="273"/>
      <c r="I322" s="273"/>
      <c r="J322" s="273"/>
      <c r="K322" s="273"/>
      <c r="L322" s="273"/>
      <c r="M322" s="273"/>
      <c r="N322" s="284"/>
      <c r="O322" s="284"/>
    </row>
    <row r="323" spans="2:15" x14ac:dyDescent="0.3">
      <c r="B323" s="50"/>
      <c r="C323" s="50"/>
      <c r="D323" s="50"/>
      <c r="E323" s="271"/>
      <c r="F323" s="271"/>
      <c r="G323" s="271"/>
      <c r="H323" s="273"/>
      <c r="I323" s="273"/>
      <c r="J323" s="273"/>
      <c r="K323" s="273"/>
      <c r="L323" s="273"/>
      <c r="M323" s="273"/>
      <c r="N323" s="284"/>
      <c r="O323" s="284"/>
    </row>
    <row r="324" spans="2:15" x14ac:dyDescent="0.3">
      <c r="B324" s="50"/>
      <c r="C324" s="50"/>
      <c r="D324" s="50"/>
      <c r="E324" s="271"/>
      <c r="F324" s="271"/>
      <c r="G324" s="271"/>
      <c r="H324" s="273"/>
      <c r="I324" s="273"/>
      <c r="J324" s="273"/>
      <c r="K324" s="273"/>
      <c r="L324" s="273"/>
      <c r="M324" s="273"/>
      <c r="N324" s="284"/>
      <c r="O324" s="284"/>
    </row>
    <row r="325" spans="2:15" x14ac:dyDescent="0.3">
      <c r="B325" s="50"/>
      <c r="C325" s="50"/>
      <c r="D325" s="50"/>
      <c r="E325" s="271"/>
      <c r="F325" s="271"/>
      <c r="G325" s="271"/>
      <c r="H325" s="273"/>
      <c r="I325" s="273"/>
      <c r="J325" s="273"/>
      <c r="K325" s="273"/>
      <c r="L325" s="273"/>
      <c r="M325" s="273"/>
      <c r="N325" s="284"/>
      <c r="O325" s="284"/>
    </row>
    <row r="326" spans="2:15" x14ac:dyDescent="0.3">
      <c r="B326" s="50"/>
      <c r="C326" s="50"/>
      <c r="D326" s="50"/>
      <c r="E326" s="271"/>
      <c r="F326" s="271"/>
      <c r="G326" s="271"/>
      <c r="H326" s="273"/>
      <c r="I326" s="273"/>
      <c r="J326" s="273"/>
      <c r="K326" s="273"/>
      <c r="L326" s="273"/>
      <c r="M326" s="273"/>
      <c r="N326" s="284"/>
      <c r="O326" s="284"/>
    </row>
    <row r="327" spans="2:15" x14ac:dyDescent="0.3">
      <c r="B327" s="50"/>
      <c r="C327" s="50"/>
      <c r="D327" s="50"/>
      <c r="E327" s="271"/>
      <c r="F327" s="271"/>
      <c r="G327" s="271"/>
      <c r="H327" s="273"/>
      <c r="I327" s="273"/>
      <c r="J327" s="273"/>
      <c r="K327" s="273"/>
      <c r="L327" s="273"/>
      <c r="M327" s="273"/>
      <c r="N327" s="284"/>
      <c r="O327" s="284"/>
    </row>
    <row r="328" spans="2:15" x14ac:dyDescent="0.3">
      <c r="B328" s="50"/>
      <c r="C328" s="50"/>
      <c r="D328" s="50"/>
      <c r="E328" s="271"/>
      <c r="F328" s="271"/>
      <c r="G328" s="271"/>
      <c r="H328" s="273"/>
      <c r="I328" s="273"/>
      <c r="J328" s="273"/>
      <c r="K328" s="273"/>
      <c r="L328" s="273"/>
      <c r="M328" s="273"/>
      <c r="N328" s="284"/>
      <c r="O328" s="284"/>
    </row>
    <row r="329" spans="2:15" x14ac:dyDescent="0.3">
      <c r="B329" s="50"/>
      <c r="C329" s="50"/>
      <c r="D329" s="50"/>
      <c r="E329" s="271"/>
      <c r="F329" s="271"/>
      <c r="G329" s="271"/>
      <c r="H329" s="273"/>
      <c r="I329" s="273"/>
      <c r="J329" s="273"/>
      <c r="K329" s="273"/>
      <c r="L329" s="273"/>
      <c r="M329" s="273"/>
      <c r="N329" s="284"/>
      <c r="O329" s="284"/>
    </row>
    <row r="330" spans="2:15" x14ac:dyDescent="0.3">
      <c r="B330" s="50"/>
      <c r="C330" s="50"/>
      <c r="D330" s="50"/>
      <c r="E330" s="271"/>
      <c r="F330" s="271"/>
      <c r="G330" s="271"/>
      <c r="H330" s="273"/>
      <c r="I330" s="273"/>
      <c r="J330" s="273"/>
      <c r="K330" s="273"/>
      <c r="L330" s="273"/>
      <c r="M330" s="273"/>
      <c r="N330" s="284"/>
      <c r="O330" s="284"/>
    </row>
    <row r="331" spans="2:15" x14ac:dyDescent="0.3">
      <c r="B331" s="50"/>
      <c r="C331" s="50"/>
      <c r="D331" s="50"/>
      <c r="E331" s="271"/>
      <c r="F331" s="271"/>
      <c r="G331" s="271"/>
      <c r="H331" s="273"/>
      <c r="I331" s="273"/>
      <c r="J331" s="273"/>
      <c r="K331" s="273"/>
      <c r="L331" s="273"/>
      <c r="M331" s="273"/>
      <c r="N331" s="284"/>
      <c r="O331" s="284"/>
    </row>
    <row r="332" spans="2:15" x14ac:dyDescent="0.3">
      <c r="B332" s="50"/>
      <c r="C332" s="50"/>
      <c r="D332" s="50"/>
      <c r="E332" s="271"/>
      <c r="F332" s="271"/>
      <c r="G332" s="271"/>
      <c r="H332" s="273"/>
      <c r="I332" s="273"/>
      <c r="J332" s="273"/>
      <c r="K332" s="273"/>
      <c r="L332" s="273"/>
      <c r="M332" s="273"/>
      <c r="N332" s="284"/>
      <c r="O332" s="284"/>
    </row>
    <row r="333" spans="2:15" x14ac:dyDescent="0.3">
      <c r="B333" s="50"/>
      <c r="C333" s="50"/>
      <c r="D333" s="50"/>
      <c r="E333" s="271"/>
      <c r="F333" s="271"/>
      <c r="G333" s="271"/>
      <c r="H333" s="273"/>
      <c r="I333" s="273"/>
      <c r="J333" s="273"/>
      <c r="K333" s="273"/>
      <c r="L333" s="273"/>
      <c r="M333" s="273"/>
      <c r="N333" s="284"/>
      <c r="O333" s="284"/>
    </row>
    <row r="334" spans="2:15" x14ac:dyDescent="0.3">
      <c r="B334" s="50"/>
      <c r="C334" s="50"/>
      <c r="D334" s="50"/>
      <c r="E334" s="271"/>
      <c r="F334" s="271"/>
      <c r="G334" s="271"/>
      <c r="H334" s="273"/>
      <c r="I334" s="273"/>
      <c r="J334" s="273"/>
      <c r="K334" s="273"/>
      <c r="L334" s="273"/>
      <c r="M334" s="273"/>
      <c r="N334" s="284"/>
      <c r="O334" s="284"/>
    </row>
    <row r="335" spans="2:15" x14ac:dyDescent="0.3">
      <c r="B335" s="50"/>
      <c r="C335" s="50"/>
      <c r="D335" s="50"/>
      <c r="E335" s="271"/>
      <c r="F335" s="271"/>
      <c r="G335" s="271"/>
      <c r="H335" s="273"/>
      <c r="I335" s="273"/>
      <c r="J335" s="273"/>
      <c r="K335" s="273"/>
      <c r="L335" s="273"/>
      <c r="M335" s="273"/>
      <c r="N335" s="284"/>
      <c r="O335" s="284"/>
    </row>
    <row r="336" spans="2:15" x14ac:dyDescent="0.3">
      <c r="B336" s="50"/>
      <c r="C336" s="50"/>
      <c r="D336" s="50"/>
      <c r="E336" s="271"/>
      <c r="F336" s="271"/>
      <c r="G336" s="271"/>
      <c r="H336" s="273"/>
      <c r="I336" s="273"/>
      <c r="J336" s="273"/>
      <c r="K336" s="273"/>
      <c r="L336" s="273"/>
      <c r="M336" s="273"/>
      <c r="N336" s="284"/>
      <c r="O336" s="284"/>
    </row>
    <row r="337" spans="2:15" x14ac:dyDescent="0.3">
      <c r="B337" s="50"/>
      <c r="C337" s="50"/>
      <c r="D337" s="50"/>
      <c r="E337" s="271"/>
      <c r="F337" s="271"/>
      <c r="G337" s="271"/>
      <c r="H337" s="273"/>
      <c r="I337" s="273"/>
      <c r="J337" s="273"/>
      <c r="K337" s="273"/>
      <c r="L337" s="273"/>
      <c r="M337" s="273"/>
      <c r="N337" s="284"/>
      <c r="O337" s="284"/>
    </row>
    <row r="338" spans="2:15" x14ac:dyDescent="0.3">
      <c r="B338" s="50"/>
      <c r="C338" s="50"/>
      <c r="D338" s="50"/>
      <c r="E338" s="271"/>
      <c r="F338" s="271"/>
      <c r="G338" s="271"/>
      <c r="H338" s="273"/>
      <c r="I338" s="273"/>
      <c r="J338" s="273"/>
      <c r="K338" s="273"/>
      <c r="L338" s="273"/>
      <c r="M338" s="273"/>
      <c r="N338" s="284"/>
      <c r="O338" s="284"/>
    </row>
    <row r="339" spans="2:15" x14ac:dyDescent="0.3">
      <c r="B339" s="50"/>
      <c r="C339" s="50"/>
      <c r="D339" s="50"/>
      <c r="E339" s="271"/>
      <c r="F339" s="271"/>
      <c r="G339" s="271"/>
      <c r="H339" s="273"/>
      <c r="I339" s="273"/>
      <c r="J339" s="273"/>
      <c r="K339" s="273"/>
      <c r="L339" s="273"/>
      <c r="M339" s="273"/>
      <c r="N339" s="284"/>
      <c r="O339" s="284"/>
    </row>
    <row r="340" spans="2:15" x14ac:dyDescent="0.3">
      <c r="B340" s="50"/>
      <c r="C340" s="50"/>
      <c r="D340" s="50"/>
      <c r="E340" s="271"/>
      <c r="F340" s="271"/>
      <c r="G340" s="271"/>
      <c r="H340" s="273"/>
      <c r="I340" s="273"/>
      <c r="J340" s="273"/>
      <c r="K340" s="273"/>
      <c r="L340" s="273"/>
      <c r="M340" s="273"/>
      <c r="N340" s="284"/>
      <c r="O340" s="284"/>
    </row>
    <row r="341" spans="2:15" x14ac:dyDescent="0.3">
      <c r="B341" s="50"/>
      <c r="C341" s="50"/>
      <c r="D341" s="50"/>
      <c r="E341" s="271"/>
      <c r="F341" s="271"/>
      <c r="G341" s="271"/>
      <c r="H341" s="273"/>
      <c r="I341" s="273"/>
      <c r="J341" s="273"/>
      <c r="K341" s="273"/>
      <c r="L341" s="273"/>
      <c r="M341" s="273"/>
      <c r="N341" s="284"/>
      <c r="O341" s="284"/>
    </row>
    <row r="342" spans="2:15" x14ac:dyDescent="0.3">
      <c r="B342" s="50"/>
      <c r="C342" s="50"/>
      <c r="D342" s="50"/>
      <c r="E342" s="271"/>
      <c r="F342" s="271"/>
      <c r="G342" s="271"/>
      <c r="H342" s="273"/>
      <c r="I342" s="273"/>
      <c r="J342" s="273"/>
      <c r="K342" s="273"/>
      <c r="L342" s="273"/>
      <c r="M342" s="273"/>
      <c r="N342" s="284"/>
      <c r="O342" s="284"/>
    </row>
    <row r="343" spans="2:15" x14ac:dyDescent="0.3">
      <c r="B343" s="50"/>
      <c r="C343" s="50"/>
      <c r="D343" s="50"/>
      <c r="E343" s="271"/>
      <c r="F343" s="271"/>
      <c r="G343" s="271"/>
      <c r="H343" s="273"/>
      <c r="I343" s="273"/>
      <c r="J343" s="273"/>
      <c r="K343" s="273"/>
      <c r="L343" s="273"/>
      <c r="M343" s="273"/>
      <c r="N343" s="284"/>
      <c r="O343" s="284"/>
    </row>
    <row r="344" spans="2:15" x14ac:dyDescent="0.3">
      <c r="B344" s="50"/>
      <c r="C344" s="50"/>
      <c r="D344" s="50"/>
      <c r="E344" s="271"/>
      <c r="F344" s="271"/>
      <c r="G344" s="271"/>
      <c r="H344" s="273"/>
      <c r="I344" s="273"/>
      <c r="J344" s="273"/>
      <c r="K344" s="273"/>
      <c r="L344" s="273"/>
      <c r="M344" s="273"/>
      <c r="N344" s="284"/>
      <c r="O344" s="284"/>
    </row>
    <row r="345" spans="2:15" x14ac:dyDescent="0.3">
      <c r="B345" s="50"/>
      <c r="C345" s="50"/>
      <c r="D345" s="50"/>
      <c r="E345" s="271"/>
      <c r="F345" s="271"/>
      <c r="G345" s="271"/>
      <c r="H345" s="273"/>
      <c r="I345" s="273"/>
      <c r="J345" s="273"/>
      <c r="K345" s="273"/>
      <c r="L345" s="273"/>
      <c r="M345" s="273"/>
      <c r="N345" s="284"/>
      <c r="O345" s="284"/>
    </row>
    <row r="346" spans="2:15" x14ac:dyDescent="0.3">
      <c r="B346" s="50"/>
      <c r="C346" s="50"/>
      <c r="D346" s="50"/>
      <c r="E346" s="271"/>
      <c r="F346" s="271"/>
      <c r="G346" s="271"/>
      <c r="H346" s="273"/>
      <c r="I346" s="273"/>
      <c r="J346" s="273"/>
      <c r="K346" s="273"/>
      <c r="L346" s="273"/>
      <c r="M346" s="273"/>
      <c r="N346" s="284"/>
      <c r="O346" s="284"/>
    </row>
    <row r="347" spans="2:15" x14ac:dyDescent="0.3">
      <c r="B347" s="50"/>
      <c r="C347" s="50"/>
      <c r="D347" s="50"/>
      <c r="E347" s="271"/>
      <c r="F347" s="271"/>
      <c r="G347" s="271"/>
      <c r="H347" s="273"/>
      <c r="I347" s="273"/>
      <c r="J347" s="273"/>
      <c r="K347" s="273"/>
      <c r="L347" s="273"/>
      <c r="M347" s="273"/>
      <c r="N347" s="284"/>
      <c r="O347" s="284"/>
    </row>
    <row r="348" spans="2:15" x14ac:dyDescent="0.3">
      <c r="B348" s="50"/>
      <c r="C348" s="50"/>
      <c r="D348" s="50"/>
      <c r="E348" s="271"/>
      <c r="F348" s="271"/>
      <c r="G348" s="271"/>
      <c r="H348" s="273"/>
      <c r="I348" s="273"/>
      <c r="J348" s="273"/>
      <c r="K348" s="273"/>
      <c r="L348" s="273"/>
      <c r="M348" s="273"/>
      <c r="N348" s="284"/>
      <c r="O348" s="284"/>
    </row>
    <row r="349" spans="2:15" x14ac:dyDescent="0.3">
      <c r="B349" s="50"/>
      <c r="C349" s="50"/>
      <c r="D349" s="50"/>
      <c r="E349" s="271"/>
      <c r="F349" s="271"/>
      <c r="G349" s="271"/>
      <c r="H349" s="273"/>
      <c r="I349" s="273"/>
      <c r="J349" s="273"/>
      <c r="K349" s="273"/>
      <c r="L349" s="273"/>
      <c r="M349" s="273"/>
      <c r="N349" s="284"/>
      <c r="O349" s="284"/>
    </row>
    <row r="350" spans="2:15" x14ac:dyDescent="0.3">
      <c r="B350" s="50"/>
      <c r="C350" s="50"/>
      <c r="D350" s="50"/>
      <c r="E350" s="271"/>
      <c r="F350" s="271"/>
      <c r="G350" s="271"/>
      <c r="H350" s="273"/>
      <c r="I350" s="273"/>
      <c r="J350" s="273"/>
      <c r="K350" s="273"/>
      <c r="L350" s="273"/>
      <c r="M350" s="273"/>
      <c r="N350" s="284"/>
      <c r="O350" s="284"/>
    </row>
    <row r="351" spans="2:15" x14ac:dyDescent="0.3">
      <c r="B351" s="50"/>
      <c r="C351" s="50"/>
      <c r="D351" s="50"/>
      <c r="E351" s="271"/>
      <c r="F351" s="271"/>
      <c r="G351" s="271"/>
      <c r="H351" s="273"/>
      <c r="I351" s="273"/>
      <c r="J351" s="273"/>
      <c r="K351" s="273"/>
      <c r="L351" s="273"/>
      <c r="M351" s="273"/>
      <c r="N351" s="284"/>
      <c r="O351" s="284"/>
    </row>
    <row r="352" spans="2:15" x14ac:dyDescent="0.3">
      <c r="B352" s="50"/>
      <c r="C352" s="50"/>
      <c r="D352" s="50"/>
      <c r="E352" s="271"/>
      <c r="F352" s="271"/>
      <c r="G352" s="271"/>
      <c r="H352" s="273"/>
      <c r="I352" s="273"/>
      <c r="J352" s="273"/>
      <c r="K352" s="273"/>
      <c r="L352" s="273"/>
      <c r="M352" s="273"/>
      <c r="N352" s="284"/>
      <c r="O352" s="284"/>
    </row>
    <row r="353" spans="2:15" x14ac:dyDescent="0.3">
      <c r="B353" s="50"/>
      <c r="C353" s="50"/>
      <c r="D353" s="50"/>
      <c r="E353" s="271"/>
      <c r="F353" s="271"/>
      <c r="G353" s="271"/>
      <c r="H353" s="273"/>
      <c r="I353" s="273"/>
      <c r="J353" s="273"/>
      <c r="K353" s="273"/>
      <c r="L353" s="273"/>
      <c r="M353" s="273"/>
      <c r="N353" s="284"/>
      <c r="O353" s="284"/>
    </row>
    <row r="354" spans="2:15" x14ac:dyDescent="0.3">
      <c r="B354" s="50"/>
      <c r="C354" s="50"/>
      <c r="D354" s="50"/>
      <c r="E354" s="271"/>
      <c r="F354" s="271"/>
      <c r="G354" s="271"/>
      <c r="H354" s="273"/>
      <c r="I354" s="273"/>
      <c r="J354" s="273"/>
      <c r="K354" s="273"/>
      <c r="L354" s="273"/>
      <c r="M354" s="273"/>
      <c r="N354" s="284"/>
      <c r="O354" s="284"/>
    </row>
    <row r="355" spans="2:15" x14ac:dyDescent="0.3">
      <c r="B355" s="50"/>
      <c r="C355" s="50"/>
      <c r="D355" s="50"/>
      <c r="E355" s="271"/>
      <c r="F355" s="271"/>
      <c r="G355" s="271"/>
      <c r="H355" s="273"/>
      <c r="I355" s="273"/>
      <c r="J355" s="273"/>
      <c r="K355" s="273"/>
      <c r="L355" s="273"/>
      <c r="M355" s="273"/>
      <c r="N355" s="284"/>
      <c r="O355" s="284"/>
    </row>
    <row r="356" spans="2:15" x14ac:dyDescent="0.3">
      <c r="B356" s="50"/>
      <c r="C356" s="50"/>
      <c r="D356" s="50"/>
      <c r="E356" s="271"/>
      <c r="F356" s="271"/>
      <c r="G356" s="271"/>
      <c r="H356" s="273"/>
      <c r="I356" s="273"/>
      <c r="J356" s="273"/>
      <c r="K356" s="273"/>
      <c r="L356" s="273"/>
      <c r="M356" s="273"/>
      <c r="N356" s="284"/>
      <c r="O356" s="284"/>
    </row>
    <row r="357" spans="2:15" x14ac:dyDescent="0.3">
      <c r="B357" s="50"/>
      <c r="C357" s="50"/>
      <c r="D357" s="50"/>
      <c r="E357" s="271"/>
      <c r="F357" s="271"/>
      <c r="G357" s="271"/>
      <c r="H357" s="273"/>
      <c r="I357" s="273"/>
      <c r="J357" s="273"/>
      <c r="K357" s="273"/>
      <c r="L357" s="273"/>
      <c r="M357" s="273"/>
      <c r="N357" s="284"/>
      <c r="O357" s="284"/>
    </row>
    <row r="358" spans="2:15" x14ac:dyDescent="0.3">
      <c r="B358" s="50"/>
      <c r="C358" s="50"/>
      <c r="D358" s="50"/>
      <c r="E358" s="271"/>
      <c r="F358" s="271"/>
      <c r="G358" s="271"/>
      <c r="H358" s="273"/>
      <c r="I358" s="273"/>
      <c r="J358" s="273"/>
      <c r="K358" s="273"/>
      <c r="L358" s="273"/>
      <c r="M358" s="273"/>
      <c r="N358" s="284"/>
      <c r="O358" s="284"/>
    </row>
    <row r="359" spans="2:15" x14ac:dyDescent="0.3">
      <c r="B359" s="50"/>
      <c r="C359" s="50"/>
      <c r="D359" s="50"/>
      <c r="E359" s="271"/>
      <c r="F359" s="271"/>
      <c r="G359" s="271"/>
      <c r="H359" s="273"/>
      <c r="I359" s="273"/>
      <c r="J359" s="273"/>
      <c r="K359" s="273"/>
      <c r="L359" s="273"/>
      <c r="M359" s="273"/>
      <c r="N359" s="284"/>
      <c r="O359" s="284"/>
    </row>
    <row r="360" spans="2:15" x14ac:dyDescent="0.3">
      <c r="B360" s="50"/>
      <c r="C360" s="50"/>
      <c r="D360" s="50"/>
      <c r="E360" s="271"/>
      <c r="F360" s="271"/>
      <c r="G360" s="271"/>
      <c r="H360" s="273"/>
      <c r="I360" s="273"/>
      <c r="J360" s="273"/>
      <c r="K360" s="273"/>
      <c r="L360" s="273"/>
      <c r="M360" s="273"/>
      <c r="N360" s="284"/>
      <c r="O360" s="284"/>
    </row>
    <row r="361" spans="2:15" x14ac:dyDescent="0.3">
      <c r="B361" s="50"/>
      <c r="C361" s="50"/>
      <c r="D361" s="50"/>
      <c r="E361" s="271"/>
      <c r="F361" s="271"/>
      <c r="G361" s="271"/>
      <c r="H361" s="273"/>
      <c r="I361" s="273"/>
      <c r="J361" s="273"/>
      <c r="K361" s="273"/>
      <c r="L361" s="273"/>
      <c r="M361" s="273"/>
      <c r="N361" s="284"/>
      <c r="O361" s="284"/>
    </row>
    <row r="362" spans="2:15" x14ac:dyDescent="0.3">
      <c r="B362" s="50"/>
      <c r="C362" s="50"/>
      <c r="D362" s="50"/>
      <c r="E362" s="271"/>
      <c r="F362" s="271"/>
      <c r="G362" s="271"/>
      <c r="H362" s="273"/>
      <c r="I362" s="273"/>
      <c r="J362" s="273"/>
      <c r="K362" s="273"/>
      <c r="L362" s="273"/>
      <c r="M362" s="273"/>
      <c r="N362" s="284"/>
      <c r="O362" s="284"/>
    </row>
    <row r="363" spans="2:15" x14ac:dyDescent="0.3">
      <c r="B363" s="50"/>
      <c r="C363" s="50"/>
      <c r="D363" s="50"/>
      <c r="E363" s="271"/>
      <c r="F363" s="271"/>
      <c r="G363" s="271"/>
      <c r="H363" s="273"/>
      <c r="I363" s="273"/>
      <c r="J363" s="273"/>
      <c r="K363" s="273"/>
      <c r="L363" s="273"/>
      <c r="M363" s="273"/>
      <c r="N363" s="284"/>
      <c r="O363" s="284"/>
    </row>
    <row r="364" spans="2:15" x14ac:dyDescent="0.3">
      <c r="B364" s="50"/>
      <c r="C364" s="50"/>
      <c r="D364" s="50"/>
      <c r="E364" s="271"/>
      <c r="F364" s="271"/>
      <c r="G364" s="271"/>
      <c r="H364" s="273"/>
      <c r="I364" s="273"/>
      <c r="J364" s="273"/>
      <c r="K364" s="273"/>
      <c r="L364" s="273"/>
      <c r="M364" s="273"/>
      <c r="N364" s="284"/>
      <c r="O364" s="284"/>
    </row>
    <row r="365" spans="2:15" x14ac:dyDescent="0.3">
      <c r="B365" s="50"/>
      <c r="C365" s="50"/>
      <c r="D365" s="50"/>
      <c r="E365" s="271"/>
      <c r="F365" s="271"/>
      <c r="G365" s="271"/>
      <c r="H365" s="273"/>
      <c r="I365" s="273"/>
      <c r="J365" s="273"/>
      <c r="K365" s="273"/>
      <c r="L365" s="273"/>
      <c r="M365" s="273"/>
      <c r="N365" s="284"/>
      <c r="O365" s="284"/>
    </row>
    <row r="366" spans="2:15" x14ac:dyDescent="0.3">
      <c r="B366" s="50"/>
      <c r="C366" s="50"/>
      <c r="D366" s="50"/>
      <c r="E366" s="271"/>
      <c r="F366" s="271"/>
      <c r="G366" s="271"/>
      <c r="H366" s="273"/>
      <c r="I366" s="273"/>
      <c r="J366" s="273"/>
      <c r="K366" s="273"/>
      <c r="L366" s="273"/>
      <c r="M366" s="273"/>
      <c r="N366" s="284"/>
      <c r="O366" s="284"/>
    </row>
    <row r="367" spans="2:15" x14ac:dyDescent="0.3">
      <c r="B367" s="50"/>
      <c r="C367" s="50"/>
      <c r="D367" s="50"/>
      <c r="E367" s="271"/>
      <c r="F367" s="271"/>
      <c r="G367" s="271"/>
      <c r="H367" s="273"/>
      <c r="I367" s="273"/>
      <c r="J367" s="273"/>
      <c r="K367" s="273"/>
      <c r="L367" s="273"/>
      <c r="M367" s="273"/>
      <c r="N367" s="284"/>
      <c r="O367" s="284"/>
    </row>
    <row r="368" spans="2:15" x14ac:dyDescent="0.3">
      <c r="B368" s="50"/>
      <c r="C368" s="50"/>
      <c r="D368" s="50"/>
      <c r="E368" s="271"/>
      <c r="F368" s="271"/>
      <c r="G368" s="271"/>
      <c r="H368" s="273"/>
      <c r="I368" s="273"/>
      <c r="J368" s="273"/>
      <c r="K368" s="273"/>
      <c r="L368" s="273"/>
      <c r="M368" s="273"/>
      <c r="N368" s="284"/>
      <c r="O368" s="284"/>
    </row>
    <row r="369" spans="2:15" x14ac:dyDescent="0.3">
      <c r="B369" s="50"/>
      <c r="C369" s="50"/>
      <c r="D369" s="50"/>
      <c r="E369" s="271"/>
      <c r="F369" s="271"/>
      <c r="G369" s="271"/>
      <c r="H369" s="273"/>
      <c r="I369" s="273"/>
      <c r="J369" s="273"/>
      <c r="K369" s="273"/>
      <c r="L369" s="273"/>
      <c r="M369" s="273"/>
      <c r="N369" s="284"/>
      <c r="O369" s="284"/>
    </row>
    <row r="370" spans="2:15" x14ac:dyDescent="0.3">
      <c r="B370" s="50"/>
      <c r="C370" s="50"/>
      <c r="D370" s="50"/>
      <c r="E370" s="271"/>
      <c r="F370" s="271"/>
      <c r="G370" s="271"/>
      <c r="H370" s="273"/>
      <c r="I370" s="273"/>
      <c r="J370" s="273"/>
      <c r="K370" s="273"/>
      <c r="L370" s="273"/>
      <c r="M370" s="273"/>
      <c r="N370" s="284"/>
      <c r="O370" s="284"/>
    </row>
    <row r="371" spans="2:15" x14ac:dyDescent="0.3">
      <c r="B371" s="50"/>
      <c r="C371" s="50"/>
      <c r="D371" s="50"/>
      <c r="E371" s="271"/>
      <c r="F371" s="271"/>
      <c r="G371" s="271"/>
      <c r="H371" s="273"/>
      <c r="I371" s="273"/>
      <c r="J371" s="273"/>
      <c r="K371" s="273"/>
      <c r="L371" s="273"/>
      <c r="M371" s="273"/>
      <c r="N371" s="284"/>
      <c r="O371" s="284"/>
    </row>
    <row r="372" spans="2:15" x14ac:dyDescent="0.3">
      <c r="B372" s="50"/>
      <c r="C372" s="50"/>
      <c r="D372" s="50"/>
      <c r="E372" s="271"/>
      <c r="F372" s="271"/>
      <c r="G372" s="271"/>
      <c r="H372" s="273"/>
      <c r="I372" s="273"/>
      <c r="J372" s="273"/>
      <c r="K372" s="273"/>
      <c r="L372" s="273"/>
      <c r="M372" s="273"/>
      <c r="N372" s="284"/>
      <c r="O372" s="284"/>
    </row>
    <row r="373" spans="2:15" x14ac:dyDescent="0.3">
      <c r="B373" s="50"/>
      <c r="C373" s="50"/>
      <c r="D373" s="50"/>
      <c r="E373" s="271"/>
      <c r="F373" s="271"/>
      <c r="G373" s="271"/>
      <c r="H373" s="273"/>
      <c r="I373" s="273"/>
      <c r="J373" s="273"/>
      <c r="K373" s="273"/>
      <c r="L373" s="273"/>
      <c r="M373" s="273"/>
      <c r="N373" s="284"/>
      <c r="O373" s="284"/>
    </row>
    <row r="374" spans="2:15" x14ac:dyDescent="0.3">
      <c r="B374" s="50"/>
      <c r="C374" s="50"/>
      <c r="D374" s="50"/>
      <c r="E374" s="271"/>
      <c r="F374" s="271"/>
      <c r="G374" s="271"/>
      <c r="H374" s="273"/>
      <c r="I374" s="273"/>
      <c r="J374" s="273"/>
      <c r="K374" s="273"/>
      <c r="L374" s="273"/>
      <c r="M374" s="273"/>
      <c r="N374" s="284"/>
      <c r="O374" s="284"/>
    </row>
    <row r="375" spans="2:15" x14ac:dyDescent="0.3">
      <c r="B375" s="50"/>
      <c r="C375" s="50"/>
      <c r="D375" s="50"/>
      <c r="E375" s="271"/>
      <c r="F375" s="271"/>
      <c r="G375" s="271"/>
      <c r="H375" s="273"/>
      <c r="I375" s="273"/>
      <c r="J375" s="273"/>
      <c r="K375" s="273"/>
      <c r="L375" s="273"/>
      <c r="M375" s="273"/>
      <c r="N375" s="284"/>
      <c r="O375" s="284"/>
    </row>
    <row r="376" spans="2:15" x14ac:dyDescent="0.3">
      <c r="B376" s="50"/>
      <c r="C376" s="50"/>
      <c r="D376" s="50"/>
      <c r="E376" s="271"/>
      <c r="F376" s="271"/>
      <c r="G376" s="271"/>
      <c r="H376" s="273"/>
      <c r="I376" s="273"/>
      <c r="J376" s="273"/>
      <c r="K376" s="273"/>
      <c r="L376" s="273"/>
      <c r="M376" s="273"/>
      <c r="N376" s="284"/>
      <c r="O376" s="284"/>
    </row>
    <row r="377" spans="2:15" x14ac:dyDescent="0.3">
      <c r="B377" s="50"/>
      <c r="C377" s="50"/>
      <c r="D377" s="50"/>
      <c r="E377" s="271"/>
      <c r="F377" s="271"/>
      <c r="G377" s="271"/>
      <c r="H377" s="273"/>
      <c r="I377" s="273"/>
      <c r="J377" s="273"/>
      <c r="K377" s="273"/>
      <c r="L377" s="273"/>
      <c r="M377" s="273"/>
      <c r="N377" s="284"/>
      <c r="O377" s="284"/>
    </row>
    <row r="378" spans="2:15" x14ac:dyDescent="0.3">
      <c r="B378" s="50"/>
      <c r="C378" s="50"/>
      <c r="D378" s="50"/>
      <c r="E378" s="271"/>
      <c r="F378" s="271"/>
      <c r="G378" s="271"/>
      <c r="H378" s="273"/>
      <c r="I378" s="273"/>
      <c r="J378" s="273"/>
      <c r="K378" s="273"/>
      <c r="L378" s="273"/>
      <c r="M378" s="273"/>
      <c r="N378" s="284"/>
      <c r="O378" s="284"/>
    </row>
    <row r="379" spans="2:15" x14ac:dyDescent="0.3">
      <c r="B379" s="50"/>
      <c r="C379" s="50"/>
      <c r="D379" s="50"/>
      <c r="E379" s="271"/>
      <c r="F379" s="271"/>
      <c r="G379" s="271"/>
      <c r="H379" s="273"/>
      <c r="I379" s="273"/>
      <c r="J379" s="273"/>
      <c r="K379" s="273"/>
      <c r="L379" s="273"/>
      <c r="M379" s="273"/>
      <c r="N379" s="284"/>
      <c r="O379" s="284"/>
    </row>
    <row r="380" spans="2:15" x14ac:dyDescent="0.3">
      <c r="B380" s="50"/>
      <c r="C380" s="50"/>
      <c r="D380" s="50"/>
      <c r="E380" s="271"/>
      <c r="F380" s="271"/>
      <c r="G380" s="271"/>
      <c r="H380" s="273"/>
      <c r="I380" s="273"/>
      <c r="J380" s="273"/>
      <c r="K380" s="273"/>
      <c r="L380" s="273"/>
      <c r="M380" s="273"/>
      <c r="N380" s="284"/>
      <c r="O380" s="284"/>
    </row>
    <row r="381" spans="2:15" x14ac:dyDescent="0.3">
      <c r="B381" s="50"/>
      <c r="C381" s="50"/>
      <c r="D381" s="50"/>
      <c r="E381" s="271"/>
      <c r="F381" s="271"/>
      <c r="G381" s="271"/>
      <c r="H381" s="273"/>
      <c r="I381" s="273"/>
      <c r="J381" s="273"/>
      <c r="K381" s="273"/>
      <c r="L381" s="273"/>
      <c r="M381" s="273"/>
      <c r="N381" s="284"/>
      <c r="O381" s="284"/>
    </row>
    <row r="382" spans="2:15" x14ac:dyDescent="0.3">
      <c r="B382" s="50"/>
      <c r="C382" s="50"/>
      <c r="D382" s="50"/>
      <c r="E382" s="271"/>
      <c r="F382" s="271"/>
      <c r="G382" s="271"/>
      <c r="H382" s="273"/>
      <c r="I382" s="273"/>
      <c r="J382" s="273"/>
      <c r="K382" s="273"/>
      <c r="L382" s="273"/>
      <c r="M382" s="273"/>
      <c r="N382" s="284"/>
      <c r="O382" s="284"/>
    </row>
    <row r="383" spans="2:15" x14ac:dyDescent="0.3">
      <c r="B383" s="50"/>
      <c r="C383" s="50"/>
      <c r="D383" s="50"/>
      <c r="E383" s="271"/>
      <c r="F383" s="271"/>
      <c r="G383" s="271"/>
      <c r="H383" s="273"/>
      <c r="I383" s="273"/>
      <c r="J383" s="273"/>
      <c r="K383" s="273"/>
      <c r="L383" s="273"/>
      <c r="M383" s="273"/>
      <c r="N383" s="284"/>
      <c r="O383" s="284"/>
    </row>
    <row r="384" spans="2:15" x14ac:dyDescent="0.3">
      <c r="B384" s="50"/>
      <c r="C384" s="50"/>
      <c r="D384" s="50"/>
      <c r="E384" s="271"/>
      <c r="F384" s="271"/>
      <c r="G384" s="271"/>
      <c r="H384" s="273"/>
      <c r="I384" s="273"/>
      <c r="J384" s="273"/>
      <c r="K384" s="273"/>
      <c r="L384" s="273"/>
      <c r="M384" s="273"/>
      <c r="N384" s="284"/>
      <c r="O384" s="284"/>
    </row>
    <row r="385" spans="2:15" x14ac:dyDescent="0.3">
      <c r="B385" s="50"/>
      <c r="C385" s="50"/>
      <c r="D385" s="50"/>
      <c r="E385" s="271"/>
      <c r="F385" s="271"/>
      <c r="G385" s="271"/>
      <c r="H385" s="273"/>
      <c r="I385" s="273"/>
      <c r="J385" s="273"/>
      <c r="K385" s="273"/>
      <c r="L385" s="273"/>
      <c r="M385" s="273"/>
      <c r="N385" s="284"/>
      <c r="O385" s="284"/>
    </row>
    <row r="386" spans="2:15" x14ac:dyDescent="0.3">
      <c r="B386" s="50"/>
      <c r="C386" s="50"/>
      <c r="D386" s="50"/>
      <c r="E386" s="271"/>
      <c r="F386" s="271"/>
      <c r="G386" s="271"/>
      <c r="H386" s="273"/>
      <c r="I386" s="273"/>
      <c r="J386" s="273"/>
      <c r="K386" s="273"/>
      <c r="L386" s="273"/>
      <c r="M386" s="273"/>
      <c r="N386" s="284"/>
      <c r="O386" s="284"/>
    </row>
    <row r="387" spans="2:15" x14ac:dyDescent="0.3">
      <c r="B387" s="50"/>
      <c r="C387" s="50"/>
      <c r="D387" s="50"/>
      <c r="E387" s="271"/>
      <c r="F387" s="271"/>
      <c r="G387" s="271"/>
      <c r="H387" s="273"/>
      <c r="I387" s="273"/>
      <c r="J387" s="273"/>
      <c r="K387" s="273"/>
      <c r="L387" s="273"/>
      <c r="M387" s="273"/>
      <c r="N387" s="284"/>
      <c r="O387" s="284"/>
    </row>
    <row r="388" spans="2:15" x14ac:dyDescent="0.3">
      <c r="B388" s="50"/>
      <c r="C388" s="50"/>
      <c r="D388" s="50"/>
      <c r="E388" s="271"/>
      <c r="F388" s="271"/>
      <c r="G388" s="271"/>
      <c r="H388" s="273"/>
      <c r="I388" s="273"/>
      <c r="J388" s="273"/>
      <c r="K388" s="273"/>
      <c r="L388" s="273"/>
      <c r="M388" s="273"/>
      <c r="N388" s="284"/>
      <c r="O388" s="284"/>
    </row>
    <row r="389" spans="2:15" x14ac:dyDescent="0.3">
      <c r="B389" s="50"/>
      <c r="C389" s="50"/>
      <c r="D389" s="50"/>
      <c r="E389" s="271"/>
      <c r="F389" s="271"/>
      <c r="G389" s="271"/>
      <c r="H389" s="273"/>
      <c r="I389" s="273"/>
      <c r="J389" s="273"/>
      <c r="K389" s="273"/>
      <c r="L389" s="273"/>
      <c r="M389" s="273"/>
      <c r="N389" s="284"/>
      <c r="O389" s="284"/>
    </row>
    <row r="426" spans="16:16" x14ac:dyDescent="0.3">
      <c r="P426" s="30"/>
    </row>
  </sheetData>
  <mergeCells count="15">
    <mergeCell ref="AW26:AX26"/>
    <mergeCell ref="W60:Y60"/>
    <mergeCell ref="P3:P4"/>
    <mergeCell ref="AE26:AF26"/>
    <mergeCell ref="AH26:AI26"/>
    <mergeCell ref="AK26:AL26"/>
    <mergeCell ref="AN26:AO26"/>
    <mergeCell ref="AQ26:AR26"/>
    <mergeCell ref="AT26:AU26"/>
    <mergeCell ref="AB26:AC26"/>
    <mergeCell ref="B1:P1"/>
    <mergeCell ref="P26:Q26"/>
    <mergeCell ref="S26:T26"/>
    <mergeCell ref="V26:W26"/>
    <mergeCell ref="Y26:Z26"/>
  </mergeCells>
  <phoneticPr fontId="3" type="noConversion"/>
  <dataValidations count="1">
    <dataValidation type="list" allowBlank="1" showInputMessage="1" showErrorMessage="1" sqref="M7:M16" xr:uid="{3B86E78B-9FAE-4EAF-8E92-C0C6D0EE93F5}">
      <formula1>"단리, 월복리"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41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2F81A-A186-4D14-A62E-23E5AD68BB03}">
  <sheetPr codeName="Sheet33">
    <tabColor rgb="FF7030A0"/>
    <pageSetUpPr autoPageBreaks="0" fitToPage="1"/>
  </sheetPr>
  <dimension ref="A1:AT389"/>
  <sheetViews>
    <sheetView showGridLines="0" zoomScaleNormal="100" workbookViewId="0">
      <selection activeCell="C10" sqref="C10"/>
    </sheetView>
  </sheetViews>
  <sheetFormatPr defaultRowHeight="16.5" x14ac:dyDescent="0.3"/>
  <cols>
    <col min="1" max="1" width="4.625" customWidth="1"/>
    <col min="2" max="2" width="4.625" style="29" customWidth="1"/>
    <col min="3" max="3" width="10.625" style="29" customWidth="1"/>
    <col min="4" max="4" width="20.625" style="29" customWidth="1"/>
    <col min="5" max="6" width="10.625" style="269" customWidth="1"/>
    <col min="7" max="13" width="10.625" style="272" customWidth="1"/>
    <col min="14" max="14" width="4.625" customWidth="1"/>
    <col min="15" max="46" width="9.5" customWidth="1"/>
    <col min="47" max="47" width="4.75" customWidth="1"/>
  </cols>
  <sheetData>
    <row r="1" spans="1:35" ht="40.5" customHeight="1" x14ac:dyDescent="0.3">
      <c r="A1" s="14"/>
      <c r="B1" s="590" t="s">
        <v>248</v>
      </c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14"/>
    </row>
    <row r="2" spans="1:35" ht="16.5" customHeight="1" thickBot="1" x14ac:dyDescent="0.35"/>
    <row r="3" spans="1:35" ht="24.95" customHeight="1" x14ac:dyDescent="0.3">
      <c r="K3" s="631" t="s">
        <v>89</v>
      </c>
      <c r="L3" s="281" t="s">
        <v>238</v>
      </c>
      <c r="M3" s="280" t="s">
        <v>239</v>
      </c>
    </row>
    <row r="4" spans="1:35" ht="24.95" customHeight="1" thickBot="1" x14ac:dyDescent="0.35">
      <c r="K4" s="632"/>
      <c r="L4" s="288">
        <f ca="1">SUM($L$7:$L$100)</f>
        <v>0</v>
      </c>
      <c r="M4" s="287">
        <f ca="1">SUM($M$7:$M$100)</f>
        <v>0</v>
      </c>
    </row>
    <row r="5" spans="1:35" ht="16.5" customHeight="1" thickBot="1" x14ac:dyDescent="0.35"/>
    <row r="6" spans="1:35" ht="24.95" customHeight="1" thickBot="1" x14ac:dyDescent="0.35">
      <c r="B6" s="34" t="s">
        <v>195</v>
      </c>
      <c r="C6" s="34" t="s">
        <v>302</v>
      </c>
      <c r="D6" s="34" t="s">
        <v>224</v>
      </c>
      <c r="E6" s="35" t="s">
        <v>226</v>
      </c>
      <c r="F6" s="35" t="s">
        <v>106</v>
      </c>
      <c r="G6" s="35" t="s">
        <v>78</v>
      </c>
      <c r="H6" s="35" t="s">
        <v>81</v>
      </c>
      <c r="I6" s="35" t="s">
        <v>272</v>
      </c>
      <c r="J6" s="35" t="s">
        <v>233</v>
      </c>
      <c r="K6" s="35" t="s">
        <v>229</v>
      </c>
      <c r="L6" s="35" t="s">
        <v>238</v>
      </c>
      <c r="M6" s="36" t="s">
        <v>239</v>
      </c>
    </row>
    <row r="7" spans="1:35" ht="24.95" customHeight="1" x14ac:dyDescent="0.3">
      <c r="B7" s="304">
        <v>1</v>
      </c>
      <c r="C7" s="467">
        <f>대출1!$B$4</f>
        <v>0</v>
      </c>
      <c r="D7" s="467">
        <f>대출1!$C$4</f>
        <v>0</v>
      </c>
      <c r="E7" s="468">
        <f>대출1!$G$4</f>
        <v>0</v>
      </c>
      <c r="F7" s="469">
        <f>대출1!$H$4</f>
        <v>0</v>
      </c>
      <c r="G7" s="470">
        <f>IF(F7="","",DATEDIF(E7,F7+1,"m"))</f>
        <v>0</v>
      </c>
      <c r="H7" s="470">
        <f ca="1">IF(F7="","",IF(F7&lt;TODAY(),0,DATEDIF(TODAY(),F7,"m")))</f>
        <v>0</v>
      </c>
      <c r="I7" s="476">
        <f>대출1!$D$4</f>
        <v>0</v>
      </c>
      <c r="J7" s="471">
        <f>대출1!$E$6</f>
        <v>0</v>
      </c>
      <c r="K7" s="472">
        <f>대출1!$F$6</f>
        <v>0</v>
      </c>
      <c r="L7" s="473" t="str">
        <f ca="1">대출1!$G$6</f>
        <v/>
      </c>
      <c r="M7" s="478" t="str">
        <f ca="1">대출1!$H$6</f>
        <v/>
      </c>
    </row>
    <row r="8" spans="1:35" ht="24.95" customHeight="1" x14ac:dyDescent="0.2">
      <c r="B8" s="299">
        <v>2</v>
      </c>
      <c r="C8" s="474">
        <f>대출2!$B$4</f>
        <v>0</v>
      </c>
      <c r="D8" s="461">
        <f>대출2!$C$4</f>
        <v>0</v>
      </c>
      <c r="E8" s="462">
        <f>대출2!$G$4</f>
        <v>0</v>
      </c>
      <c r="F8" s="475">
        <f>대출2!$H$4</f>
        <v>0</v>
      </c>
      <c r="G8" s="334">
        <f>IF(F8="","",DATEDIF(E8,F8+1,"m"))</f>
        <v>0</v>
      </c>
      <c r="H8" s="334">
        <f ca="1">IF(F8="","",IF(F8&lt;TODAY(),0,DATEDIF(TODAY(),F8,"m")))</f>
        <v>0</v>
      </c>
      <c r="I8" s="477">
        <f>대출2!$D$4</f>
        <v>0</v>
      </c>
      <c r="J8" s="335">
        <f>대출2!$E$6</f>
        <v>0</v>
      </c>
      <c r="K8" s="336">
        <f>대출2!$F$6</f>
        <v>0</v>
      </c>
      <c r="L8" s="337" t="str">
        <f ca="1">대출2!$G$6</f>
        <v/>
      </c>
      <c r="M8" s="330" t="str">
        <f ca="1">대출2!$H$6</f>
        <v/>
      </c>
      <c r="Z8" s="33"/>
      <c r="AI8" s="49"/>
    </row>
    <row r="9" spans="1:35" ht="24.95" customHeight="1" x14ac:dyDescent="0.3">
      <c r="B9" s="262">
        <v>3</v>
      </c>
      <c r="C9" s="474">
        <f>대출3!$B$4</f>
        <v>0</v>
      </c>
      <c r="D9" s="461">
        <f>대출3!$C$4</f>
        <v>0</v>
      </c>
      <c r="E9" s="462">
        <f>대출3!$G$4</f>
        <v>0</v>
      </c>
      <c r="F9" s="475">
        <f>대출3!$H$4</f>
        <v>0</v>
      </c>
      <c r="G9" s="334">
        <f>IF(F9="","",DATEDIF(E9,F9+1,"m"))</f>
        <v>0</v>
      </c>
      <c r="H9" s="334">
        <f ca="1">IF(F9="","",IF(F9&lt;TODAY(),0,DATEDIF(TODAY(),F9,"m")))</f>
        <v>0</v>
      </c>
      <c r="I9" s="477">
        <f>대출3!$D$4</f>
        <v>0</v>
      </c>
      <c r="J9" s="335">
        <f>대출3!$E$6</f>
        <v>0</v>
      </c>
      <c r="K9" s="336">
        <f>대출3!$F$6</f>
        <v>0</v>
      </c>
      <c r="L9" s="337" t="str">
        <f ca="1">대출3!$G$6</f>
        <v/>
      </c>
      <c r="M9" s="330" t="str">
        <f ca="1">대출3!$H$6</f>
        <v/>
      </c>
    </row>
    <row r="10" spans="1:35" ht="24.95" customHeight="1" x14ac:dyDescent="0.3">
      <c r="B10" s="262">
        <v>4</v>
      </c>
      <c r="C10" s="262"/>
      <c r="D10" s="262"/>
      <c r="E10" s="270"/>
      <c r="F10" s="270"/>
      <c r="G10" s="463"/>
      <c r="H10" s="464"/>
      <c r="I10" s="65"/>
      <c r="J10" s="45"/>
      <c r="K10" s="465"/>
      <c r="L10" s="466"/>
      <c r="M10" s="356"/>
    </row>
    <row r="11" spans="1:35" ht="24.95" customHeight="1" x14ac:dyDescent="0.3">
      <c r="B11" s="262">
        <v>5</v>
      </c>
      <c r="C11" s="262"/>
      <c r="D11" s="262"/>
      <c r="E11" s="270"/>
      <c r="F11" s="270"/>
      <c r="G11" s="463"/>
      <c r="H11" s="464"/>
      <c r="I11" s="65"/>
      <c r="J11" s="45"/>
      <c r="K11" s="465"/>
      <c r="L11" s="466"/>
      <c r="M11" s="356"/>
    </row>
    <row r="12" spans="1:35" ht="24.95" customHeight="1" x14ac:dyDescent="0.3">
      <c r="B12" s="262">
        <v>6</v>
      </c>
      <c r="C12" s="262"/>
      <c r="D12" s="262"/>
      <c r="E12" s="270"/>
      <c r="F12" s="270"/>
      <c r="G12" s="463"/>
      <c r="H12" s="464"/>
      <c r="I12" s="65"/>
      <c r="J12" s="45"/>
      <c r="K12" s="465"/>
      <c r="L12" s="466"/>
      <c r="M12" s="356"/>
    </row>
    <row r="13" spans="1:35" ht="24.95" customHeight="1" x14ac:dyDescent="0.3">
      <c r="B13" s="262">
        <v>7</v>
      </c>
      <c r="C13" s="262"/>
      <c r="D13" s="262"/>
      <c r="E13" s="270"/>
      <c r="F13" s="270"/>
      <c r="G13" s="463"/>
      <c r="H13" s="464"/>
      <c r="I13" s="65"/>
      <c r="J13" s="45"/>
      <c r="K13" s="465"/>
      <c r="L13" s="466"/>
      <c r="M13" s="356"/>
    </row>
    <row r="14" spans="1:35" ht="24.95" customHeight="1" x14ac:dyDescent="0.3">
      <c r="B14" s="262">
        <v>8</v>
      </c>
      <c r="C14" s="262"/>
      <c r="D14" s="262"/>
      <c r="E14" s="270"/>
      <c r="F14" s="270"/>
      <c r="G14" s="463"/>
      <c r="H14" s="464"/>
      <c r="I14" s="65"/>
      <c r="J14" s="45"/>
      <c r="K14" s="465"/>
      <c r="L14" s="466"/>
      <c r="M14" s="356"/>
    </row>
    <row r="15" spans="1:35" ht="24.95" customHeight="1" x14ac:dyDescent="0.3">
      <c r="B15" s="262">
        <v>9</v>
      </c>
      <c r="C15" s="262"/>
      <c r="D15" s="262"/>
      <c r="E15" s="270"/>
      <c r="F15" s="270"/>
      <c r="G15" s="463"/>
      <c r="H15" s="464"/>
      <c r="I15" s="65"/>
      <c r="J15" s="45"/>
      <c r="K15" s="465"/>
      <c r="L15" s="466"/>
      <c r="M15" s="356"/>
    </row>
    <row r="16" spans="1:35" ht="24.95" customHeight="1" x14ac:dyDescent="0.3">
      <c r="B16" s="262">
        <v>10</v>
      </c>
      <c r="C16" s="262"/>
      <c r="D16" s="262"/>
      <c r="E16" s="270"/>
      <c r="F16" s="270"/>
      <c r="G16" s="463"/>
      <c r="H16" s="464"/>
      <c r="I16" s="65"/>
      <c r="J16" s="45"/>
      <c r="K16" s="465"/>
      <c r="L16" s="466"/>
      <c r="M16" s="356"/>
    </row>
    <row r="17" spans="2:46" ht="24.95" customHeight="1" x14ac:dyDescent="0.3">
      <c r="B17" s="50"/>
      <c r="C17" s="50"/>
      <c r="D17" s="50"/>
      <c r="E17" s="271"/>
      <c r="F17" s="271"/>
      <c r="G17" s="273"/>
      <c r="H17" s="273"/>
      <c r="I17" s="273"/>
      <c r="J17" s="273"/>
      <c r="K17" s="458"/>
      <c r="L17" s="458"/>
      <c r="M17" s="273"/>
    </row>
    <row r="18" spans="2:46" ht="24.95" customHeight="1" x14ac:dyDescent="0.3">
      <c r="B18" s="50"/>
      <c r="C18" s="50"/>
      <c r="D18" s="50"/>
      <c r="E18" s="271"/>
      <c r="F18" s="271"/>
      <c r="G18" s="273"/>
      <c r="H18" s="273"/>
      <c r="I18" s="273"/>
      <c r="J18" s="273"/>
      <c r="K18" s="459"/>
      <c r="L18" s="459"/>
      <c r="M18" s="273"/>
    </row>
    <row r="19" spans="2:46" ht="24.95" customHeight="1" x14ac:dyDescent="0.3">
      <c r="B19" s="50"/>
      <c r="C19" s="50"/>
      <c r="D19" s="50"/>
      <c r="E19" s="271"/>
      <c r="F19" s="271"/>
      <c r="G19" s="273"/>
      <c r="H19" s="273"/>
      <c r="I19" s="273"/>
      <c r="J19" s="273"/>
      <c r="K19" s="459"/>
      <c r="L19" s="459"/>
      <c r="M19" s="273"/>
    </row>
    <row r="20" spans="2:46" ht="24.95" customHeight="1" x14ac:dyDescent="0.3">
      <c r="B20" s="50"/>
      <c r="C20" s="50"/>
      <c r="D20" s="50"/>
      <c r="E20" s="271"/>
      <c r="F20" s="271"/>
      <c r="G20" s="273"/>
      <c r="H20" s="273"/>
      <c r="I20" s="273"/>
      <c r="J20" s="273"/>
      <c r="K20" s="459"/>
      <c r="L20" s="459"/>
      <c r="M20" s="273"/>
    </row>
    <row r="21" spans="2:46" ht="24.95" customHeight="1" x14ac:dyDescent="0.3">
      <c r="B21" s="50"/>
      <c r="C21" s="50"/>
      <c r="D21" s="50"/>
      <c r="E21" s="271"/>
      <c r="F21" s="271"/>
      <c r="G21" s="273"/>
      <c r="H21" s="273"/>
      <c r="I21" s="273"/>
      <c r="J21" s="273"/>
      <c r="K21" s="459"/>
      <c r="L21" s="459"/>
      <c r="M21" s="273"/>
    </row>
    <row r="22" spans="2:46" ht="24.95" customHeight="1" x14ac:dyDescent="0.3">
      <c r="B22" s="50"/>
      <c r="C22" s="50"/>
      <c r="D22" s="50"/>
      <c r="E22" s="271"/>
      <c r="F22" s="271"/>
      <c r="G22" s="273"/>
      <c r="H22" s="273"/>
      <c r="I22" s="273"/>
      <c r="J22" s="273"/>
      <c r="K22" s="459"/>
      <c r="L22" s="459"/>
      <c r="M22" s="273"/>
      <c r="Q22" s="1"/>
      <c r="R22" s="1"/>
      <c r="S22" s="1"/>
    </row>
    <row r="23" spans="2:46" ht="24.95" customHeight="1" x14ac:dyDescent="0.3">
      <c r="B23" s="50"/>
      <c r="C23" s="50"/>
      <c r="D23" s="50"/>
      <c r="E23" s="271"/>
      <c r="F23" s="271"/>
      <c r="G23" s="273"/>
      <c r="H23" s="273"/>
      <c r="I23" s="273"/>
      <c r="J23" s="273"/>
      <c r="K23" s="459"/>
      <c r="L23" s="459"/>
      <c r="M23" s="273"/>
      <c r="Q23" s="1"/>
      <c r="R23" s="1"/>
      <c r="S23" s="1"/>
    </row>
    <row r="24" spans="2:46" ht="24.95" customHeight="1" x14ac:dyDescent="0.3">
      <c r="B24" s="50"/>
      <c r="C24" s="50"/>
      <c r="D24" s="50"/>
      <c r="E24" s="271"/>
      <c r="F24" s="271"/>
      <c r="G24" s="273"/>
      <c r="H24" s="273"/>
      <c r="I24" s="273"/>
      <c r="J24" s="273"/>
      <c r="K24" s="459"/>
      <c r="L24" s="459"/>
      <c r="M24" s="273"/>
      <c r="Q24" s="1"/>
      <c r="R24" s="1"/>
      <c r="S24" s="1"/>
      <c r="W24" s="51"/>
      <c r="X24" s="1"/>
      <c r="Y24" s="1"/>
      <c r="AC24" s="1"/>
      <c r="AD24" s="1"/>
      <c r="AE24" s="1"/>
      <c r="AL24" s="51"/>
      <c r="AM24" s="1"/>
      <c r="AN24" s="1"/>
      <c r="AR24" s="1"/>
      <c r="AS24" s="1"/>
      <c r="AT24" s="1"/>
    </row>
    <row r="25" spans="2:46" ht="24.95" customHeight="1" x14ac:dyDescent="0.3">
      <c r="B25" s="50"/>
      <c r="C25" s="50"/>
      <c r="D25" s="50"/>
      <c r="E25" s="271"/>
      <c r="F25" s="271"/>
      <c r="G25" s="273"/>
      <c r="H25" s="273"/>
      <c r="I25" s="273"/>
      <c r="J25" s="273"/>
      <c r="K25" s="459"/>
      <c r="L25" s="459"/>
      <c r="M25" s="273"/>
      <c r="N25" s="50"/>
      <c r="Q25" s="50"/>
      <c r="T25" s="50"/>
      <c r="W25" s="50"/>
      <c r="Z25" s="50"/>
      <c r="AC25" s="50"/>
      <c r="AF25" s="50"/>
      <c r="AI25" s="50"/>
      <c r="AL25" s="50"/>
      <c r="AO25" s="50"/>
      <c r="AR25" s="50"/>
    </row>
    <row r="26" spans="2:46" ht="24.95" customHeight="1" x14ac:dyDescent="0.3">
      <c r="B26" s="50"/>
      <c r="C26" s="50"/>
      <c r="D26" s="50"/>
      <c r="E26" s="271"/>
      <c r="F26" s="271"/>
      <c r="G26" s="273"/>
      <c r="H26" s="273"/>
      <c r="I26" s="273"/>
      <c r="J26" s="273"/>
      <c r="K26" s="459"/>
      <c r="L26" s="459"/>
      <c r="M26" s="273"/>
      <c r="N26" s="625"/>
      <c r="O26" s="625"/>
      <c r="Q26" s="625"/>
      <c r="R26" s="625"/>
      <c r="T26" s="625"/>
      <c r="U26" s="625"/>
      <c r="W26" s="625"/>
      <c r="X26" s="625"/>
      <c r="Z26" s="625"/>
      <c r="AA26" s="625"/>
      <c r="AC26" s="625"/>
      <c r="AD26" s="625"/>
      <c r="AE26" s="52"/>
      <c r="AF26" s="625"/>
      <c r="AG26" s="625"/>
      <c r="AH26" s="52"/>
      <c r="AI26" s="625"/>
      <c r="AJ26" s="625"/>
      <c r="AK26" s="52"/>
      <c r="AL26" s="625"/>
      <c r="AM26" s="625"/>
      <c r="AN26" s="52"/>
      <c r="AO26" s="625"/>
      <c r="AP26" s="625"/>
      <c r="AQ26" s="52"/>
      <c r="AR26" s="625"/>
      <c r="AS26" s="625"/>
      <c r="AT26" s="52"/>
    </row>
    <row r="27" spans="2:46" ht="24.95" customHeight="1" x14ac:dyDescent="0.3">
      <c r="B27" s="50"/>
      <c r="C27" s="50"/>
      <c r="D27" s="50"/>
      <c r="E27" s="271"/>
      <c r="F27" s="271"/>
      <c r="G27" s="273"/>
      <c r="H27" s="273"/>
      <c r="I27" s="273"/>
      <c r="J27" s="273"/>
      <c r="K27" s="459"/>
      <c r="L27" s="459"/>
      <c r="M27" s="273"/>
    </row>
    <row r="28" spans="2:46" ht="24.95" customHeight="1" x14ac:dyDescent="0.3">
      <c r="B28" s="5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  <c r="N28" s="460"/>
      <c r="O28" s="460"/>
      <c r="P28" s="460"/>
    </row>
    <row r="29" spans="2:46" ht="24.95" customHeight="1" x14ac:dyDescent="0.3">
      <c r="B29" s="50"/>
      <c r="C29" s="460"/>
      <c r="D29" s="460"/>
      <c r="E29" s="460"/>
      <c r="F29" s="460"/>
      <c r="G29" s="460"/>
      <c r="H29" s="460"/>
      <c r="I29" s="460"/>
      <c r="J29" s="460"/>
      <c r="K29" s="460"/>
      <c r="L29" s="460"/>
      <c r="M29" s="460"/>
      <c r="N29" s="460"/>
      <c r="O29" s="460"/>
      <c r="P29" s="460"/>
    </row>
    <row r="30" spans="2:46" ht="24.95" customHeight="1" x14ac:dyDescent="0.3">
      <c r="B30" s="5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  <c r="N30" s="460"/>
      <c r="O30" s="460"/>
      <c r="P30" s="460"/>
    </row>
    <row r="31" spans="2:46" ht="24.95" customHeight="1" x14ac:dyDescent="0.3">
      <c r="B31" s="50"/>
      <c r="C31" s="460"/>
      <c r="D31" s="460"/>
      <c r="E31" s="460"/>
      <c r="F31" s="460"/>
      <c r="G31" s="460"/>
      <c r="H31" s="460"/>
      <c r="I31" s="460"/>
      <c r="J31" s="460"/>
      <c r="K31" s="460"/>
      <c r="L31" s="460"/>
      <c r="M31" s="460"/>
      <c r="N31" s="460"/>
      <c r="O31" s="460"/>
      <c r="P31" s="460"/>
    </row>
    <row r="32" spans="2:46" ht="24.95" customHeight="1" x14ac:dyDescent="0.3">
      <c r="B32" s="50"/>
      <c r="C32" s="460"/>
      <c r="D32" s="460"/>
      <c r="E32" s="460"/>
      <c r="F32" s="460"/>
      <c r="G32" s="460"/>
      <c r="H32" s="460"/>
      <c r="I32" s="460"/>
      <c r="J32" s="460"/>
      <c r="K32" s="460"/>
      <c r="L32" s="460"/>
      <c r="M32" s="460"/>
      <c r="N32" s="460"/>
      <c r="O32" s="460"/>
      <c r="P32" s="460"/>
    </row>
    <row r="33" spans="2:16" ht="24.95" customHeight="1" x14ac:dyDescent="0.3">
      <c r="B33" s="50"/>
      <c r="C33" s="460"/>
      <c r="D33" s="460"/>
      <c r="E33" s="460"/>
      <c r="F33" s="460"/>
      <c r="G33" s="460"/>
      <c r="H33" s="460"/>
      <c r="I33" s="460"/>
      <c r="J33" s="460"/>
      <c r="K33" s="460"/>
      <c r="L33" s="460"/>
      <c r="M33" s="460"/>
      <c r="N33" s="460"/>
      <c r="O33" s="460"/>
      <c r="P33" s="460"/>
    </row>
    <row r="34" spans="2:16" ht="24.95" customHeight="1" x14ac:dyDescent="0.3">
      <c r="B34" s="50"/>
      <c r="C34" s="460"/>
      <c r="D34" s="460"/>
      <c r="E34" s="460"/>
      <c r="F34" s="460"/>
      <c r="G34" s="460"/>
      <c r="H34" s="460"/>
      <c r="I34" s="460"/>
      <c r="J34" s="460"/>
      <c r="K34" s="460"/>
      <c r="L34" s="460"/>
      <c r="M34" s="460"/>
      <c r="N34" s="460"/>
      <c r="O34" s="460"/>
      <c r="P34" s="460"/>
    </row>
    <row r="35" spans="2:16" ht="24.95" customHeight="1" x14ac:dyDescent="0.3">
      <c r="B35" s="50"/>
      <c r="C35" s="460"/>
      <c r="D35" s="460"/>
      <c r="E35" s="460"/>
      <c r="F35" s="460"/>
      <c r="G35" s="460"/>
      <c r="H35" s="460"/>
      <c r="I35" s="460"/>
      <c r="J35" s="460"/>
      <c r="K35" s="460"/>
      <c r="L35" s="460"/>
      <c r="M35" s="460"/>
      <c r="N35" s="460"/>
      <c r="O35" s="460"/>
      <c r="P35" s="460"/>
    </row>
    <row r="36" spans="2:16" ht="24.95" customHeight="1" x14ac:dyDescent="0.3">
      <c r="B36" s="50"/>
      <c r="C36" s="50"/>
      <c r="D36" s="50"/>
      <c r="E36" s="271"/>
      <c r="F36" s="271"/>
      <c r="G36" s="273"/>
      <c r="H36" s="273"/>
      <c r="I36" s="273"/>
      <c r="J36" s="273"/>
      <c r="K36" s="459"/>
      <c r="L36" s="459"/>
      <c r="M36" s="273"/>
    </row>
    <row r="37" spans="2:16" ht="24.95" customHeight="1" x14ac:dyDescent="0.3">
      <c r="B37" s="50"/>
      <c r="C37" s="50"/>
      <c r="D37" s="50"/>
      <c r="E37" s="271"/>
      <c r="F37" s="271"/>
      <c r="G37" s="273"/>
      <c r="H37" s="273"/>
      <c r="I37" s="273"/>
      <c r="J37" s="273"/>
      <c r="K37" s="459"/>
      <c r="L37" s="459"/>
      <c r="M37" s="273"/>
    </row>
    <row r="38" spans="2:16" ht="24.95" customHeight="1" x14ac:dyDescent="0.3">
      <c r="B38" s="50"/>
      <c r="C38" s="50"/>
      <c r="D38" s="50"/>
      <c r="E38" s="271"/>
      <c r="F38" s="271"/>
      <c r="G38" s="273"/>
      <c r="H38" s="273"/>
      <c r="I38" s="273"/>
      <c r="J38" s="273"/>
      <c r="K38" s="459"/>
      <c r="L38" s="459"/>
      <c r="M38" s="273"/>
    </row>
    <row r="39" spans="2:16" ht="24.95" customHeight="1" x14ac:dyDescent="0.3">
      <c r="B39" s="50"/>
      <c r="C39" s="50"/>
      <c r="D39" s="50"/>
      <c r="E39" s="271"/>
      <c r="F39" s="271"/>
      <c r="G39" s="273"/>
      <c r="H39" s="273"/>
      <c r="I39" s="273"/>
      <c r="J39" s="273"/>
      <c r="K39" s="459"/>
      <c r="L39" s="459"/>
      <c r="M39" s="273"/>
    </row>
    <row r="40" spans="2:16" ht="24.95" customHeight="1" x14ac:dyDescent="0.3">
      <c r="B40" s="50"/>
      <c r="C40" s="50"/>
      <c r="D40" s="50"/>
      <c r="E40" s="271"/>
      <c r="F40" s="271"/>
      <c r="G40" s="273"/>
      <c r="H40" s="273"/>
      <c r="I40" s="273"/>
      <c r="J40" s="273"/>
      <c r="K40" s="459"/>
      <c r="L40" s="459"/>
      <c r="M40" s="273"/>
    </row>
    <row r="41" spans="2:16" ht="24.95" customHeight="1" x14ac:dyDescent="0.3">
      <c r="B41" s="50"/>
      <c r="C41" s="50"/>
      <c r="D41" s="50"/>
      <c r="E41" s="271"/>
      <c r="F41" s="271"/>
      <c r="G41" s="273"/>
      <c r="H41" s="273"/>
      <c r="I41" s="273"/>
      <c r="J41" s="273"/>
      <c r="K41" s="459"/>
      <c r="L41" s="459"/>
      <c r="M41" s="273"/>
    </row>
    <row r="42" spans="2:16" ht="24.95" customHeight="1" x14ac:dyDescent="0.3">
      <c r="B42" s="50"/>
      <c r="C42" s="50"/>
      <c r="D42" s="50"/>
      <c r="E42" s="271"/>
      <c r="F42" s="271"/>
      <c r="G42" s="273"/>
      <c r="H42" s="273"/>
      <c r="I42" s="273"/>
      <c r="J42" s="273"/>
      <c r="K42" s="459"/>
      <c r="L42" s="459"/>
      <c r="M42" s="273"/>
    </row>
    <row r="43" spans="2:16" ht="24.95" customHeight="1" x14ac:dyDescent="0.3">
      <c r="B43" s="50"/>
      <c r="C43" s="50"/>
      <c r="D43" s="50"/>
      <c r="E43" s="271"/>
      <c r="F43" s="271"/>
      <c r="G43" s="273"/>
      <c r="H43" s="273"/>
      <c r="I43" s="273"/>
      <c r="J43" s="273"/>
      <c r="K43" s="459"/>
      <c r="L43" s="459"/>
      <c r="M43" s="273"/>
    </row>
    <row r="44" spans="2:16" ht="24.95" customHeight="1" x14ac:dyDescent="0.3">
      <c r="B44" s="50"/>
      <c r="C44" s="50"/>
      <c r="D44" s="50"/>
      <c r="E44" s="271"/>
      <c r="F44" s="271"/>
      <c r="G44" s="273"/>
      <c r="H44" s="273"/>
      <c r="I44" s="273"/>
      <c r="J44" s="273"/>
      <c r="K44" s="459"/>
      <c r="L44" s="459"/>
      <c r="M44" s="273"/>
    </row>
    <row r="45" spans="2:16" ht="24.95" customHeight="1" x14ac:dyDescent="0.3">
      <c r="B45" s="50"/>
      <c r="C45" s="50"/>
      <c r="D45" s="50"/>
      <c r="E45" s="271"/>
      <c r="F45" s="271"/>
      <c r="G45" s="273"/>
      <c r="H45" s="273"/>
      <c r="I45" s="273"/>
      <c r="J45" s="273"/>
      <c r="K45" s="459"/>
      <c r="L45" s="459"/>
      <c r="M45" s="273"/>
    </row>
    <row r="46" spans="2:16" ht="24.95" customHeight="1" x14ac:dyDescent="0.3">
      <c r="B46" s="50"/>
      <c r="C46" s="50"/>
      <c r="D46" s="50"/>
      <c r="E46" s="271"/>
      <c r="F46" s="271"/>
      <c r="G46" s="273"/>
      <c r="H46" s="273"/>
      <c r="I46" s="273"/>
      <c r="J46" s="273"/>
      <c r="K46" s="273"/>
      <c r="L46" s="273"/>
      <c r="M46" s="273"/>
    </row>
    <row r="47" spans="2:16" ht="24.95" customHeight="1" x14ac:dyDescent="0.3">
      <c r="B47" s="50"/>
      <c r="C47" s="50"/>
      <c r="D47" s="50"/>
      <c r="E47" s="271"/>
      <c r="F47" s="271"/>
      <c r="G47" s="273"/>
      <c r="H47" s="273"/>
      <c r="I47" s="273"/>
      <c r="J47" s="273"/>
      <c r="K47" s="273"/>
      <c r="L47" s="273"/>
      <c r="M47" s="273"/>
    </row>
    <row r="48" spans="2:16" ht="24.95" customHeight="1" x14ac:dyDescent="0.3">
      <c r="B48" s="50"/>
      <c r="C48" s="50"/>
      <c r="D48" s="50"/>
      <c r="E48" s="271"/>
      <c r="F48" s="271"/>
      <c r="G48" s="273"/>
      <c r="H48" s="273"/>
      <c r="I48" s="273"/>
      <c r="J48" s="273"/>
      <c r="K48" s="273"/>
      <c r="L48" s="273"/>
      <c r="M48" s="273"/>
    </row>
    <row r="49" spans="2:22" ht="24.95" customHeight="1" x14ac:dyDescent="0.3">
      <c r="B49" s="50"/>
      <c r="C49" s="50"/>
      <c r="D49" s="50"/>
      <c r="E49" s="271"/>
      <c r="F49" s="271"/>
      <c r="G49" s="273"/>
      <c r="H49" s="273"/>
      <c r="I49" s="273"/>
      <c r="J49" s="273"/>
      <c r="K49" s="273"/>
      <c r="L49" s="273"/>
      <c r="M49" s="273"/>
    </row>
    <row r="50" spans="2:22" ht="24.95" customHeight="1" x14ac:dyDescent="0.3">
      <c r="B50" s="50"/>
      <c r="C50" s="50"/>
      <c r="D50" s="50"/>
      <c r="E50" s="271"/>
      <c r="F50" s="271"/>
      <c r="G50" s="273"/>
      <c r="H50" s="273"/>
      <c r="I50" s="273"/>
      <c r="J50" s="273"/>
      <c r="K50" s="273"/>
      <c r="L50" s="273"/>
      <c r="M50" s="273"/>
    </row>
    <row r="51" spans="2:22" ht="24.95" customHeight="1" x14ac:dyDescent="0.3">
      <c r="B51" s="50"/>
      <c r="C51" s="50"/>
      <c r="D51" s="50"/>
      <c r="E51" s="271"/>
      <c r="F51" s="271"/>
      <c r="G51" s="273"/>
      <c r="H51" s="273"/>
      <c r="I51" s="273"/>
      <c r="J51" s="273"/>
      <c r="K51" s="273"/>
      <c r="L51" s="273"/>
      <c r="M51" s="273"/>
    </row>
    <row r="52" spans="2:22" ht="24.95" customHeight="1" x14ac:dyDescent="0.3">
      <c r="B52" s="50"/>
      <c r="C52" s="50"/>
      <c r="D52" s="50"/>
      <c r="E52" s="271"/>
      <c r="F52" s="271"/>
      <c r="G52" s="273"/>
      <c r="H52" s="273"/>
      <c r="I52" s="273"/>
      <c r="J52" s="273"/>
      <c r="K52" s="273"/>
      <c r="L52" s="273"/>
      <c r="M52" s="273"/>
    </row>
    <row r="53" spans="2:22" ht="24.95" customHeight="1" x14ac:dyDescent="0.3">
      <c r="B53" s="50"/>
      <c r="C53" s="50"/>
      <c r="D53" s="50"/>
      <c r="E53" s="271"/>
      <c r="F53" s="271"/>
      <c r="G53" s="273"/>
      <c r="H53" s="273"/>
      <c r="I53" s="273"/>
      <c r="J53" s="273"/>
      <c r="K53" s="273"/>
      <c r="L53" s="273"/>
      <c r="M53" s="273"/>
    </row>
    <row r="54" spans="2:22" ht="24.95" customHeight="1" x14ac:dyDescent="0.3">
      <c r="B54" s="50"/>
      <c r="C54" s="50"/>
      <c r="D54" s="50"/>
      <c r="E54" s="271"/>
      <c r="F54" s="271"/>
      <c r="G54" s="273"/>
      <c r="H54" s="273"/>
      <c r="I54" s="273"/>
      <c r="J54" s="273"/>
      <c r="K54" s="273"/>
      <c r="L54" s="273"/>
      <c r="M54" s="273"/>
    </row>
    <row r="55" spans="2:22" ht="24.95" customHeight="1" x14ac:dyDescent="0.3">
      <c r="B55" s="50"/>
      <c r="C55" s="50"/>
      <c r="D55" s="50"/>
      <c r="E55" s="271"/>
      <c r="F55" s="271"/>
      <c r="G55" s="273"/>
      <c r="H55" s="273"/>
      <c r="I55" s="273"/>
      <c r="J55" s="273"/>
      <c r="K55" s="273"/>
      <c r="L55" s="273"/>
      <c r="M55" s="273"/>
    </row>
    <row r="56" spans="2:22" ht="24.95" customHeight="1" x14ac:dyDescent="0.3">
      <c r="B56" s="50"/>
      <c r="C56" s="50"/>
      <c r="D56" s="50"/>
      <c r="E56" s="271"/>
      <c r="F56" s="271"/>
      <c r="G56" s="273"/>
      <c r="H56" s="273"/>
      <c r="I56" s="273"/>
      <c r="J56" s="273"/>
      <c r="K56" s="273"/>
      <c r="L56" s="273"/>
      <c r="M56" s="273"/>
    </row>
    <row r="57" spans="2:22" x14ac:dyDescent="0.3">
      <c r="B57" s="50"/>
      <c r="C57" s="50"/>
      <c r="D57" s="50"/>
      <c r="E57" s="271"/>
      <c r="F57" s="271"/>
      <c r="G57" s="273"/>
      <c r="H57" s="273"/>
      <c r="I57" s="273"/>
      <c r="J57" s="273"/>
      <c r="K57" s="273"/>
      <c r="L57" s="273"/>
      <c r="M57" s="273"/>
    </row>
    <row r="58" spans="2:22" x14ac:dyDescent="0.3">
      <c r="B58" s="50"/>
      <c r="C58" s="50"/>
      <c r="D58" s="50"/>
      <c r="E58" s="271"/>
      <c r="F58" s="271"/>
      <c r="G58" s="273"/>
      <c r="H58" s="273"/>
      <c r="I58" s="273"/>
      <c r="J58" s="273"/>
      <c r="K58" s="273"/>
      <c r="L58" s="273"/>
      <c r="M58" s="273"/>
    </row>
    <row r="59" spans="2:22" x14ac:dyDescent="0.3">
      <c r="B59" s="50"/>
      <c r="C59" s="50"/>
      <c r="D59" s="50"/>
      <c r="E59" s="271"/>
      <c r="F59" s="271"/>
      <c r="G59" s="273"/>
      <c r="H59" s="273"/>
      <c r="I59" s="273"/>
      <c r="J59" s="273"/>
      <c r="K59" s="273"/>
      <c r="L59" s="273"/>
      <c r="M59" s="273"/>
    </row>
    <row r="60" spans="2:22" x14ac:dyDescent="0.2">
      <c r="B60" s="50"/>
      <c r="C60" s="50"/>
      <c r="D60" s="50"/>
      <c r="E60" s="271"/>
      <c r="F60" s="271"/>
      <c r="G60" s="273"/>
      <c r="H60" s="273"/>
      <c r="I60" s="273"/>
      <c r="J60" s="273"/>
      <c r="K60" s="273"/>
      <c r="L60" s="273"/>
      <c r="M60" s="273"/>
      <c r="Q60" s="1"/>
      <c r="R60" s="628"/>
      <c r="S60" s="629"/>
      <c r="T60" s="630"/>
      <c r="U60" s="1"/>
      <c r="V60" s="1"/>
    </row>
    <row r="61" spans="2:22" x14ac:dyDescent="0.3">
      <c r="B61" s="50"/>
      <c r="C61" s="50"/>
      <c r="D61" s="50"/>
      <c r="E61" s="271"/>
      <c r="F61" s="271"/>
      <c r="G61" s="273"/>
      <c r="H61" s="273"/>
      <c r="I61" s="273"/>
      <c r="J61" s="273"/>
      <c r="K61" s="273"/>
      <c r="L61" s="273"/>
      <c r="M61" s="273"/>
      <c r="Q61" s="1"/>
      <c r="R61" s="1"/>
      <c r="S61" s="1"/>
      <c r="T61" s="1"/>
      <c r="U61" s="1"/>
      <c r="V61" s="1"/>
    </row>
    <row r="62" spans="2:22" x14ac:dyDescent="0.3">
      <c r="B62" s="50"/>
      <c r="C62" s="50"/>
      <c r="D62" s="50"/>
      <c r="E62" s="271"/>
      <c r="F62" s="271"/>
      <c r="G62" s="273"/>
      <c r="H62" s="273"/>
      <c r="I62" s="273"/>
      <c r="J62" s="273"/>
      <c r="K62" s="273"/>
      <c r="L62" s="273"/>
      <c r="M62" s="273"/>
      <c r="Q62" s="1"/>
      <c r="R62" s="1"/>
      <c r="S62" s="1"/>
      <c r="T62" s="1"/>
      <c r="U62" s="1"/>
      <c r="V62" s="1"/>
    </row>
    <row r="63" spans="2:22" x14ac:dyDescent="0.3">
      <c r="B63" s="50"/>
      <c r="C63" s="50"/>
      <c r="D63" s="50"/>
      <c r="E63" s="271"/>
      <c r="F63" s="271"/>
      <c r="G63" s="273"/>
      <c r="H63" s="273"/>
      <c r="I63" s="273"/>
      <c r="J63" s="273"/>
      <c r="K63" s="273"/>
      <c r="L63" s="273"/>
      <c r="M63" s="273"/>
      <c r="Q63" s="1"/>
      <c r="R63" s="1"/>
      <c r="S63" s="1"/>
      <c r="T63" s="1"/>
      <c r="U63" s="1"/>
      <c r="V63" s="1"/>
    </row>
    <row r="64" spans="2:22" x14ac:dyDescent="0.3">
      <c r="B64" s="50"/>
      <c r="C64" s="50"/>
      <c r="D64" s="50"/>
      <c r="E64" s="271"/>
      <c r="F64" s="271"/>
      <c r="G64" s="273"/>
      <c r="H64" s="273"/>
      <c r="I64" s="273"/>
      <c r="J64" s="273"/>
      <c r="K64" s="273"/>
      <c r="L64" s="273"/>
      <c r="M64" s="273"/>
      <c r="Q64" s="1"/>
      <c r="R64" s="1"/>
      <c r="S64" s="1"/>
      <c r="T64" s="1"/>
      <c r="U64" s="1"/>
      <c r="V64" s="1"/>
    </row>
    <row r="65" spans="2:22" x14ac:dyDescent="0.3">
      <c r="B65" s="50"/>
      <c r="C65" s="50"/>
      <c r="D65" s="50"/>
      <c r="E65" s="271"/>
      <c r="F65" s="271"/>
      <c r="G65" s="273"/>
      <c r="H65" s="273"/>
      <c r="I65" s="273"/>
      <c r="J65" s="273"/>
      <c r="K65" s="273"/>
      <c r="L65" s="273"/>
      <c r="M65" s="273"/>
      <c r="Q65" s="1"/>
      <c r="R65" s="1"/>
      <c r="S65" s="1"/>
      <c r="T65" s="1"/>
      <c r="U65" s="1"/>
      <c r="V65" s="1"/>
    </row>
    <row r="66" spans="2:22" x14ac:dyDescent="0.3">
      <c r="B66" s="50"/>
      <c r="C66" s="50"/>
      <c r="D66" s="50"/>
      <c r="E66" s="271"/>
      <c r="F66" s="271"/>
      <c r="G66" s="273"/>
      <c r="H66" s="273"/>
      <c r="I66" s="273"/>
      <c r="J66" s="273"/>
      <c r="K66" s="273"/>
      <c r="L66" s="273"/>
      <c r="M66" s="273"/>
      <c r="Q66" s="1"/>
      <c r="R66" s="1"/>
      <c r="S66" s="1"/>
      <c r="T66" s="1"/>
      <c r="U66" s="1"/>
      <c r="V66" s="1"/>
    </row>
    <row r="67" spans="2:22" x14ac:dyDescent="0.3">
      <c r="B67" s="50"/>
      <c r="C67" s="50"/>
      <c r="D67" s="50"/>
      <c r="E67" s="271"/>
      <c r="F67" s="271"/>
      <c r="G67" s="273"/>
      <c r="H67" s="273"/>
      <c r="I67" s="273"/>
      <c r="J67" s="273"/>
      <c r="K67" s="273"/>
      <c r="L67" s="273"/>
      <c r="M67" s="273"/>
      <c r="Q67" s="1"/>
      <c r="R67" s="1"/>
      <c r="S67" s="1"/>
      <c r="T67" s="1"/>
      <c r="U67" s="1"/>
      <c r="V67" s="1"/>
    </row>
    <row r="68" spans="2:22" x14ac:dyDescent="0.3">
      <c r="B68" s="50"/>
      <c r="C68" s="50"/>
      <c r="D68" s="50"/>
      <c r="E68" s="271"/>
      <c r="F68" s="271"/>
      <c r="G68" s="273"/>
      <c r="H68" s="273"/>
      <c r="I68" s="273"/>
      <c r="J68" s="273"/>
      <c r="K68" s="273"/>
      <c r="L68" s="273"/>
      <c r="M68" s="273"/>
      <c r="Q68" s="1"/>
      <c r="R68" s="1"/>
      <c r="S68" s="1"/>
      <c r="T68" s="1"/>
      <c r="U68" s="1"/>
      <c r="V68" s="1"/>
    </row>
    <row r="69" spans="2:22" x14ac:dyDescent="0.3">
      <c r="B69" s="50"/>
      <c r="C69" s="50"/>
      <c r="D69" s="50"/>
      <c r="E69" s="271"/>
      <c r="F69" s="271"/>
      <c r="G69" s="273"/>
      <c r="H69" s="273"/>
      <c r="I69" s="273"/>
      <c r="J69" s="273"/>
      <c r="K69" s="273"/>
      <c r="L69" s="273"/>
      <c r="M69" s="273"/>
      <c r="Q69" s="1"/>
      <c r="R69" s="1"/>
      <c r="S69" s="1"/>
      <c r="T69" s="1"/>
      <c r="U69" s="1"/>
      <c r="V69" s="1"/>
    </row>
    <row r="70" spans="2:22" x14ac:dyDescent="0.3">
      <c r="B70" s="50"/>
      <c r="C70" s="50"/>
      <c r="D70" s="50"/>
      <c r="E70" s="271"/>
      <c r="F70" s="271"/>
      <c r="G70" s="273"/>
      <c r="H70" s="273"/>
      <c r="I70" s="273"/>
      <c r="J70" s="273"/>
      <c r="K70" s="273"/>
      <c r="L70" s="273"/>
      <c r="M70" s="273"/>
      <c r="Q70" s="1"/>
      <c r="R70" s="1"/>
      <c r="S70" s="1"/>
      <c r="T70" s="1"/>
      <c r="U70" s="1"/>
      <c r="V70" s="1"/>
    </row>
    <row r="71" spans="2:22" x14ac:dyDescent="0.3">
      <c r="B71" s="50"/>
      <c r="C71" s="50"/>
      <c r="D71" s="50"/>
      <c r="E71" s="271"/>
      <c r="F71" s="271"/>
      <c r="G71" s="273"/>
      <c r="H71" s="273"/>
      <c r="I71" s="273"/>
      <c r="J71" s="273"/>
      <c r="K71" s="273"/>
      <c r="L71" s="273"/>
      <c r="M71" s="273"/>
      <c r="Q71" s="1"/>
      <c r="R71" s="1"/>
      <c r="S71" s="1"/>
      <c r="T71" s="1"/>
      <c r="U71" s="1"/>
      <c r="V71" s="1"/>
    </row>
    <row r="72" spans="2:22" x14ac:dyDescent="0.3">
      <c r="B72" s="50"/>
      <c r="C72" s="50"/>
      <c r="D72" s="50"/>
      <c r="E72" s="271"/>
      <c r="F72" s="271"/>
      <c r="G72" s="273"/>
      <c r="H72" s="273"/>
      <c r="I72" s="273"/>
      <c r="J72" s="273"/>
      <c r="K72" s="273"/>
      <c r="L72" s="273"/>
      <c r="M72" s="273"/>
      <c r="Q72" s="1"/>
      <c r="R72" s="1"/>
      <c r="S72" s="1"/>
      <c r="T72" s="1"/>
      <c r="U72" s="1"/>
      <c r="V72" s="1"/>
    </row>
    <row r="73" spans="2:22" x14ac:dyDescent="0.3">
      <c r="B73" s="50"/>
      <c r="C73" s="50"/>
      <c r="D73" s="50"/>
      <c r="E73" s="271"/>
      <c r="F73" s="271"/>
      <c r="G73" s="273"/>
      <c r="H73" s="273"/>
      <c r="I73" s="273"/>
      <c r="J73" s="273"/>
      <c r="K73" s="273"/>
      <c r="L73" s="273"/>
      <c r="M73" s="273"/>
      <c r="Q73" s="1"/>
      <c r="R73" s="1"/>
      <c r="S73" s="1"/>
      <c r="T73" s="1"/>
      <c r="U73" s="1"/>
      <c r="V73" s="1"/>
    </row>
    <row r="74" spans="2:22" x14ac:dyDescent="0.3">
      <c r="B74" s="50"/>
      <c r="C74" s="50"/>
      <c r="D74" s="50"/>
      <c r="E74" s="271"/>
      <c r="F74" s="271"/>
      <c r="G74" s="273"/>
      <c r="H74" s="273"/>
      <c r="I74" s="273"/>
      <c r="J74" s="273"/>
      <c r="K74" s="273"/>
      <c r="L74" s="273"/>
      <c r="M74" s="273"/>
      <c r="Q74" s="1"/>
      <c r="R74" s="1"/>
      <c r="S74" s="1"/>
      <c r="T74" s="1"/>
      <c r="U74" s="1"/>
      <c r="V74" s="1"/>
    </row>
    <row r="75" spans="2:22" x14ac:dyDescent="0.3">
      <c r="B75" s="50"/>
      <c r="C75" s="50"/>
      <c r="D75" s="50"/>
      <c r="E75" s="271"/>
      <c r="F75" s="271"/>
      <c r="G75" s="273"/>
      <c r="H75" s="273"/>
      <c r="I75" s="273"/>
      <c r="J75" s="273"/>
      <c r="K75" s="273"/>
      <c r="L75" s="273"/>
      <c r="M75" s="273"/>
      <c r="Q75" s="1"/>
      <c r="R75" s="1"/>
      <c r="S75" s="1"/>
      <c r="T75" s="1"/>
      <c r="U75" s="1"/>
      <c r="V75" s="1"/>
    </row>
    <row r="76" spans="2:22" x14ac:dyDescent="0.3">
      <c r="B76" s="50"/>
      <c r="C76" s="50"/>
      <c r="D76" s="50"/>
      <c r="E76" s="271"/>
      <c r="F76" s="271"/>
      <c r="G76" s="273"/>
      <c r="H76" s="273"/>
      <c r="I76" s="273"/>
      <c r="J76" s="273"/>
      <c r="K76" s="273"/>
      <c r="L76" s="273"/>
      <c r="M76" s="273"/>
      <c r="Q76" s="1"/>
      <c r="R76" s="1"/>
      <c r="S76" s="1"/>
      <c r="T76" s="1"/>
      <c r="U76" s="1"/>
      <c r="V76" s="1"/>
    </row>
    <row r="77" spans="2:22" x14ac:dyDescent="0.3">
      <c r="B77" s="50"/>
      <c r="C77" s="50"/>
      <c r="D77" s="50"/>
      <c r="E77" s="271"/>
      <c r="F77" s="271"/>
      <c r="G77" s="273"/>
      <c r="H77" s="273"/>
      <c r="I77" s="273"/>
      <c r="J77" s="273"/>
      <c r="K77" s="273"/>
      <c r="L77" s="273"/>
      <c r="M77" s="273"/>
      <c r="Q77" s="1"/>
      <c r="R77" s="1"/>
      <c r="S77" s="1"/>
      <c r="T77" s="1"/>
      <c r="U77" s="1"/>
      <c r="V77" s="1"/>
    </row>
    <row r="78" spans="2:22" x14ac:dyDescent="0.3">
      <c r="B78" s="50"/>
      <c r="C78" s="50"/>
      <c r="D78" s="50"/>
      <c r="E78" s="271"/>
      <c r="F78" s="271"/>
      <c r="G78" s="273"/>
      <c r="H78" s="273"/>
      <c r="I78" s="273"/>
      <c r="J78" s="273"/>
      <c r="K78" s="273"/>
      <c r="L78" s="273"/>
      <c r="M78" s="273"/>
      <c r="Q78" s="1"/>
      <c r="R78" s="1"/>
      <c r="S78" s="1"/>
      <c r="T78" s="1"/>
      <c r="U78" s="1"/>
      <c r="V78" s="1"/>
    </row>
    <row r="79" spans="2:22" x14ac:dyDescent="0.3">
      <c r="B79" s="50"/>
      <c r="C79" s="50"/>
      <c r="D79" s="50"/>
      <c r="E79" s="271"/>
      <c r="F79" s="271"/>
      <c r="G79" s="273"/>
      <c r="H79" s="273"/>
      <c r="I79" s="273"/>
      <c r="J79" s="273"/>
      <c r="K79" s="273"/>
      <c r="L79" s="273"/>
      <c r="M79" s="273"/>
      <c r="Q79" s="1"/>
      <c r="R79" s="1"/>
      <c r="S79" s="1"/>
      <c r="T79" s="1"/>
      <c r="U79" s="1"/>
      <c r="V79" s="1"/>
    </row>
    <row r="80" spans="2:22" x14ac:dyDescent="0.3">
      <c r="B80" s="50"/>
      <c r="C80" s="50"/>
      <c r="D80" s="50"/>
      <c r="E80" s="271"/>
      <c r="F80" s="271"/>
      <c r="G80" s="273"/>
      <c r="H80" s="273"/>
      <c r="I80" s="273"/>
      <c r="J80" s="273"/>
      <c r="K80" s="273"/>
      <c r="L80" s="273"/>
      <c r="M80" s="273"/>
      <c r="Q80" s="1"/>
      <c r="R80" s="1"/>
      <c r="S80" s="1"/>
      <c r="T80" s="1"/>
      <c r="U80" s="1"/>
      <c r="V80" s="1"/>
    </row>
    <row r="81" spans="2:22" x14ac:dyDescent="0.3">
      <c r="B81" s="50"/>
      <c r="C81" s="50"/>
      <c r="D81" s="50"/>
      <c r="E81" s="271"/>
      <c r="F81" s="271"/>
      <c r="G81" s="273"/>
      <c r="H81" s="273"/>
      <c r="I81" s="273"/>
      <c r="J81" s="273"/>
      <c r="K81" s="273"/>
      <c r="L81" s="273"/>
      <c r="M81" s="273"/>
      <c r="Q81" s="1"/>
      <c r="R81" s="1"/>
      <c r="S81" s="1"/>
      <c r="T81" s="1"/>
      <c r="U81" s="1"/>
      <c r="V81" s="1"/>
    </row>
    <row r="82" spans="2:22" x14ac:dyDescent="0.3">
      <c r="B82" s="50"/>
      <c r="C82" s="50"/>
      <c r="D82" s="50"/>
      <c r="E82" s="271"/>
      <c r="F82" s="271"/>
      <c r="G82" s="273"/>
      <c r="H82" s="273"/>
      <c r="I82" s="273"/>
      <c r="J82" s="273"/>
      <c r="K82" s="273"/>
      <c r="L82" s="273"/>
      <c r="M82" s="273"/>
      <c r="Q82" s="1"/>
      <c r="R82" s="1"/>
      <c r="S82" s="1"/>
      <c r="T82" s="1"/>
      <c r="U82" s="1"/>
      <c r="V82" s="1"/>
    </row>
    <row r="83" spans="2:22" x14ac:dyDescent="0.3">
      <c r="B83" s="50"/>
      <c r="C83" s="50"/>
      <c r="D83" s="50"/>
      <c r="E83" s="271"/>
      <c r="F83" s="271"/>
      <c r="G83" s="273"/>
      <c r="H83" s="273"/>
      <c r="I83" s="273"/>
      <c r="J83" s="273"/>
      <c r="K83" s="273"/>
      <c r="L83" s="273"/>
      <c r="M83" s="273"/>
      <c r="Q83" s="1"/>
      <c r="R83" s="1"/>
      <c r="S83" s="1"/>
      <c r="T83" s="1"/>
      <c r="U83" s="1"/>
      <c r="V83" s="1"/>
    </row>
    <row r="84" spans="2:22" x14ac:dyDescent="0.3">
      <c r="B84" s="50"/>
      <c r="C84" s="50"/>
      <c r="D84" s="50"/>
      <c r="E84" s="271"/>
      <c r="F84" s="271"/>
      <c r="G84" s="273"/>
      <c r="H84" s="273"/>
      <c r="I84" s="273"/>
      <c r="J84" s="273"/>
      <c r="K84" s="273"/>
      <c r="L84" s="273"/>
      <c r="M84" s="273"/>
      <c r="Q84" s="1"/>
      <c r="R84" s="1"/>
      <c r="S84" s="1"/>
      <c r="T84" s="1"/>
      <c r="U84" s="1"/>
      <c r="V84" s="1"/>
    </row>
    <row r="85" spans="2:22" x14ac:dyDescent="0.3">
      <c r="B85" s="50"/>
      <c r="C85" s="50"/>
      <c r="D85" s="50"/>
      <c r="E85" s="271"/>
      <c r="F85" s="271"/>
      <c r="G85" s="273"/>
      <c r="H85" s="273"/>
      <c r="I85" s="273"/>
      <c r="J85" s="273"/>
      <c r="K85" s="273"/>
      <c r="L85" s="273"/>
      <c r="M85" s="273"/>
      <c r="Q85" s="1"/>
      <c r="R85" s="1"/>
      <c r="S85" s="1"/>
      <c r="T85" s="1"/>
      <c r="U85" s="1"/>
      <c r="V85" s="1"/>
    </row>
    <row r="86" spans="2:22" x14ac:dyDescent="0.3">
      <c r="B86" s="50"/>
      <c r="C86" s="50"/>
      <c r="D86" s="50"/>
      <c r="E86" s="271"/>
      <c r="F86" s="271"/>
      <c r="G86" s="273"/>
      <c r="H86" s="273"/>
      <c r="I86" s="273"/>
      <c r="J86" s="273"/>
      <c r="K86" s="273"/>
      <c r="L86" s="273"/>
      <c r="M86" s="273"/>
      <c r="Q86" s="1"/>
      <c r="R86" s="1"/>
      <c r="S86" s="1"/>
      <c r="T86" s="1"/>
      <c r="U86" s="1"/>
      <c r="V86" s="1"/>
    </row>
    <row r="87" spans="2:22" x14ac:dyDescent="0.3">
      <c r="B87" s="50"/>
      <c r="C87" s="50"/>
      <c r="D87" s="50"/>
      <c r="E87" s="271"/>
      <c r="F87" s="271"/>
      <c r="G87" s="273"/>
      <c r="H87" s="273"/>
      <c r="I87" s="273"/>
      <c r="J87" s="273"/>
      <c r="K87" s="273"/>
      <c r="L87" s="273"/>
      <c r="M87" s="273"/>
      <c r="Q87" s="1"/>
      <c r="R87" s="1"/>
      <c r="S87" s="1"/>
      <c r="T87" s="1"/>
      <c r="U87" s="1"/>
      <c r="V87" s="1"/>
    </row>
    <row r="88" spans="2:22" x14ac:dyDescent="0.3">
      <c r="B88" s="50"/>
      <c r="C88" s="50"/>
      <c r="D88" s="50"/>
      <c r="E88" s="271"/>
      <c r="F88" s="271"/>
      <c r="G88" s="273"/>
      <c r="H88" s="273"/>
      <c r="I88" s="273"/>
      <c r="J88" s="273"/>
      <c r="K88" s="273"/>
      <c r="L88" s="273"/>
      <c r="M88" s="273"/>
      <c r="Q88" s="1"/>
      <c r="R88" s="1"/>
      <c r="S88" s="1"/>
      <c r="T88" s="1"/>
      <c r="U88" s="1"/>
      <c r="V88" s="1"/>
    </row>
    <row r="89" spans="2:22" x14ac:dyDescent="0.3">
      <c r="B89" s="50"/>
      <c r="C89" s="50"/>
      <c r="D89" s="50"/>
      <c r="E89" s="271"/>
      <c r="F89" s="271"/>
      <c r="G89" s="273"/>
      <c r="H89" s="273"/>
      <c r="I89" s="273"/>
      <c r="J89" s="273"/>
      <c r="K89" s="273"/>
      <c r="L89" s="273"/>
      <c r="M89" s="273"/>
      <c r="Q89" s="1"/>
      <c r="R89" s="1"/>
      <c r="S89" s="1"/>
      <c r="T89" s="1"/>
      <c r="U89" s="1"/>
      <c r="V89" s="1"/>
    </row>
    <row r="90" spans="2:22" x14ac:dyDescent="0.3">
      <c r="B90" s="50"/>
      <c r="C90" s="50"/>
      <c r="D90" s="50"/>
      <c r="E90" s="271"/>
      <c r="F90" s="271"/>
      <c r="G90" s="273"/>
      <c r="H90" s="273"/>
      <c r="I90" s="273"/>
      <c r="J90" s="273"/>
      <c r="K90" s="273"/>
      <c r="L90" s="273"/>
      <c r="M90" s="273"/>
      <c r="Q90" s="1"/>
      <c r="R90" s="1"/>
      <c r="S90" s="1"/>
      <c r="T90" s="1"/>
      <c r="U90" s="1"/>
      <c r="V90" s="1"/>
    </row>
    <row r="91" spans="2:22" x14ac:dyDescent="0.3">
      <c r="B91" s="50"/>
      <c r="C91" s="50"/>
      <c r="D91" s="50"/>
      <c r="E91" s="271"/>
      <c r="F91" s="271"/>
      <c r="G91" s="273"/>
      <c r="H91" s="273"/>
      <c r="I91" s="273"/>
      <c r="J91" s="273"/>
      <c r="K91" s="273"/>
      <c r="L91" s="273"/>
      <c r="M91" s="273"/>
      <c r="Q91" s="1"/>
      <c r="R91" s="1"/>
      <c r="S91" s="1"/>
      <c r="T91" s="1"/>
      <c r="U91" s="1"/>
      <c r="V91" s="1"/>
    </row>
    <row r="92" spans="2:22" x14ac:dyDescent="0.3">
      <c r="B92" s="50"/>
      <c r="C92" s="50"/>
      <c r="D92" s="50"/>
      <c r="E92" s="271"/>
      <c r="F92" s="271"/>
      <c r="G92" s="273"/>
      <c r="H92" s="273"/>
      <c r="I92" s="273"/>
      <c r="J92" s="273"/>
      <c r="K92" s="273"/>
      <c r="L92" s="273"/>
      <c r="M92" s="273"/>
      <c r="Q92" s="1"/>
      <c r="R92" s="1"/>
      <c r="S92" s="1"/>
      <c r="T92" s="1"/>
      <c r="U92" s="1"/>
      <c r="V92" s="1"/>
    </row>
    <row r="93" spans="2:22" x14ac:dyDescent="0.3">
      <c r="B93" s="50"/>
      <c r="C93" s="50"/>
      <c r="D93" s="50"/>
      <c r="E93" s="271"/>
      <c r="F93" s="271"/>
      <c r="G93" s="273"/>
      <c r="H93" s="273"/>
      <c r="I93" s="273"/>
      <c r="J93" s="273"/>
      <c r="K93" s="273"/>
      <c r="L93" s="273"/>
      <c r="M93" s="273"/>
    </row>
    <row r="94" spans="2:22" x14ac:dyDescent="0.3">
      <c r="B94" s="50"/>
      <c r="C94" s="50"/>
      <c r="D94" s="50"/>
      <c r="E94" s="271"/>
      <c r="F94" s="271"/>
      <c r="G94" s="273"/>
      <c r="H94" s="273"/>
      <c r="I94" s="273"/>
      <c r="J94" s="273"/>
      <c r="K94" s="273"/>
      <c r="L94" s="273"/>
      <c r="M94" s="273"/>
    </row>
    <row r="95" spans="2:22" x14ac:dyDescent="0.3">
      <c r="B95" s="50"/>
      <c r="C95" s="50"/>
      <c r="D95" s="50"/>
      <c r="E95" s="271"/>
      <c r="F95" s="271"/>
      <c r="G95" s="273"/>
      <c r="H95" s="273"/>
      <c r="I95" s="273"/>
      <c r="J95" s="273"/>
      <c r="K95" s="273"/>
      <c r="L95" s="273"/>
      <c r="M95" s="273"/>
    </row>
    <row r="96" spans="2:22" x14ac:dyDescent="0.3">
      <c r="B96" s="50"/>
      <c r="C96" s="50"/>
      <c r="D96" s="50"/>
      <c r="E96" s="271"/>
      <c r="F96" s="271"/>
      <c r="G96" s="273"/>
      <c r="H96" s="273"/>
      <c r="I96" s="273"/>
      <c r="J96" s="273"/>
      <c r="K96" s="273"/>
      <c r="L96" s="273"/>
      <c r="M96" s="273"/>
    </row>
    <row r="97" spans="2:13" x14ac:dyDescent="0.3">
      <c r="B97" s="50"/>
      <c r="C97" s="50"/>
      <c r="D97" s="50"/>
      <c r="E97" s="271"/>
      <c r="F97" s="271"/>
      <c r="G97" s="273"/>
      <c r="H97" s="273"/>
      <c r="I97" s="273"/>
      <c r="J97" s="273"/>
      <c r="K97" s="273"/>
      <c r="L97" s="273"/>
      <c r="M97" s="273"/>
    </row>
    <row r="98" spans="2:13" x14ac:dyDescent="0.3">
      <c r="B98" s="50"/>
      <c r="C98" s="50"/>
      <c r="D98" s="50"/>
      <c r="E98" s="271"/>
      <c r="F98" s="271"/>
      <c r="G98" s="273"/>
      <c r="H98" s="273"/>
      <c r="I98" s="273"/>
      <c r="J98" s="273"/>
      <c r="K98" s="273"/>
      <c r="L98" s="273"/>
      <c r="M98" s="273"/>
    </row>
    <row r="99" spans="2:13" x14ac:dyDescent="0.3">
      <c r="B99" s="50"/>
      <c r="C99" s="50"/>
      <c r="D99" s="50"/>
      <c r="E99" s="271"/>
      <c r="F99" s="271"/>
      <c r="G99" s="273"/>
      <c r="H99" s="273"/>
      <c r="I99" s="273"/>
      <c r="J99" s="273"/>
      <c r="K99" s="273"/>
      <c r="L99" s="273"/>
      <c r="M99" s="273"/>
    </row>
    <row r="100" spans="2:13" x14ac:dyDescent="0.3">
      <c r="B100" s="50"/>
      <c r="C100" s="50"/>
      <c r="D100" s="50"/>
      <c r="E100" s="271"/>
      <c r="F100" s="271"/>
      <c r="G100" s="273"/>
      <c r="H100" s="273"/>
      <c r="I100" s="273"/>
      <c r="J100" s="273"/>
      <c r="K100" s="273"/>
      <c r="L100" s="273"/>
      <c r="M100" s="273"/>
    </row>
    <row r="101" spans="2:13" x14ac:dyDescent="0.3">
      <c r="B101" s="50"/>
      <c r="C101" s="50"/>
      <c r="D101" s="50"/>
      <c r="E101" s="271"/>
      <c r="F101" s="271"/>
      <c r="G101" s="273"/>
      <c r="H101" s="273"/>
      <c r="I101" s="273"/>
      <c r="J101" s="273"/>
      <c r="K101" s="273"/>
      <c r="L101" s="273"/>
      <c r="M101" s="273"/>
    </row>
    <row r="102" spans="2:13" x14ac:dyDescent="0.3">
      <c r="B102" s="50"/>
      <c r="C102" s="50"/>
      <c r="D102" s="50"/>
      <c r="E102" s="271"/>
      <c r="F102" s="271"/>
      <c r="G102" s="273"/>
      <c r="H102" s="273"/>
      <c r="I102" s="273"/>
      <c r="J102" s="273"/>
      <c r="K102" s="273"/>
      <c r="L102" s="273"/>
      <c r="M102" s="273"/>
    </row>
    <row r="103" spans="2:13" x14ac:dyDescent="0.3">
      <c r="B103" s="50"/>
      <c r="C103" s="50"/>
      <c r="D103" s="50"/>
      <c r="E103" s="271"/>
      <c r="F103" s="271"/>
      <c r="G103" s="273"/>
      <c r="H103" s="273"/>
      <c r="I103" s="273"/>
      <c r="J103" s="273"/>
      <c r="K103" s="273"/>
      <c r="L103" s="273"/>
      <c r="M103" s="273"/>
    </row>
    <row r="104" spans="2:13" x14ac:dyDescent="0.3">
      <c r="B104" s="50"/>
      <c r="C104" s="50"/>
      <c r="D104" s="50"/>
      <c r="E104" s="271"/>
      <c r="F104" s="271"/>
      <c r="G104" s="273"/>
      <c r="H104" s="273"/>
      <c r="I104" s="273"/>
      <c r="J104" s="273"/>
      <c r="K104" s="273"/>
      <c r="L104" s="273"/>
      <c r="M104" s="273"/>
    </row>
    <row r="105" spans="2:13" x14ac:dyDescent="0.3">
      <c r="B105" s="50"/>
      <c r="C105" s="50"/>
      <c r="D105" s="50"/>
      <c r="E105" s="271"/>
      <c r="F105" s="271"/>
      <c r="G105" s="273"/>
      <c r="H105" s="273"/>
      <c r="I105" s="273"/>
      <c r="J105" s="273"/>
      <c r="K105" s="273"/>
      <c r="L105" s="273"/>
      <c r="M105" s="273"/>
    </row>
    <row r="106" spans="2:13" x14ac:dyDescent="0.3">
      <c r="B106" s="50"/>
      <c r="C106" s="50"/>
      <c r="D106" s="50"/>
      <c r="E106" s="271"/>
      <c r="F106" s="271"/>
      <c r="G106" s="273"/>
      <c r="H106" s="273"/>
      <c r="I106" s="273"/>
      <c r="J106" s="273"/>
      <c r="K106" s="273"/>
      <c r="L106" s="273"/>
      <c r="M106" s="273"/>
    </row>
    <row r="107" spans="2:13" x14ac:dyDescent="0.3">
      <c r="B107" s="50"/>
      <c r="C107" s="50"/>
      <c r="D107" s="50"/>
      <c r="E107" s="271"/>
      <c r="F107" s="271"/>
      <c r="G107" s="273"/>
      <c r="H107" s="273"/>
      <c r="I107" s="273"/>
      <c r="J107" s="273"/>
      <c r="K107" s="273"/>
      <c r="L107" s="273"/>
      <c r="M107" s="273"/>
    </row>
    <row r="108" spans="2:13" x14ac:dyDescent="0.3">
      <c r="B108" s="50"/>
      <c r="C108" s="50"/>
      <c r="D108" s="50"/>
      <c r="E108" s="271"/>
      <c r="F108" s="271"/>
      <c r="G108" s="273"/>
      <c r="H108" s="273"/>
      <c r="I108" s="273"/>
      <c r="J108" s="273"/>
      <c r="K108" s="273"/>
      <c r="L108" s="273"/>
      <c r="M108" s="273"/>
    </row>
    <row r="109" spans="2:13" x14ac:dyDescent="0.3">
      <c r="B109" s="50"/>
      <c r="C109" s="50"/>
      <c r="D109" s="50"/>
      <c r="E109" s="271"/>
      <c r="F109" s="271"/>
      <c r="G109" s="273"/>
      <c r="H109" s="273"/>
      <c r="I109" s="273"/>
      <c r="J109" s="273"/>
      <c r="K109" s="273"/>
      <c r="L109" s="273"/>
      <c r="M109" s="273"/>
    </row>
    <row r="110" spans="2:13" x14ac:dyDescent="0.3">
      <c r="B110" s="50"/>
      <c r="C110" s="50"/>
      <c r="D110" s="50"/>
      <c r="E110" s="271"/>
      <c r="F110" s="271"/>
      <c r="G110" s="273"/>
      <c r="H110" s="273"/>
      <c r="I110" s="273"/>
      <c r="J110" s="273"/>
      <c r="K110" s="273"/>
      <c r="L110" s="273"/>
      <c r="M110" s="273"/>
    </row>
    <row r="111" spans="2:13" x14ac:dyDescent="0.3">
      <c r="B111" s="50"/>
      <c r="C111" s="50"/>
      <c r="D111" s="50"/>
      <c r="E111" s="271"/>
      <c r="F111" s="271"/>
      <c r="G111" s="273"/>
      <c r="H111" s="273"/>
      <c r="I111" s="273"/>
      <c r="J111" s="273"/>
      <c r="K111" s="273"/>
      <c r="L111" s="273"/>
      <c r="M111" s="273"/>
    </row>
    <row r="112" spans="2:13" x14ac:dyDescent="0.3">
      <c r="B112" s="50"/>
      <c r="C112" s="50"/>
      <c r="D112" s="50"/>
      <c r="E112" s="271"/>
      <c r="F112" s="271"/>
      <c r="G112" s="273"/>
      <c r="H112" s="273"/>
      <c r="I112" s="273"/>
      <c r="J112" s="273"/>
      <c r="K112" s="273"/>
      <c r="L112" s="273"/>
      <c r="M112" s="273"/>
    </row>
    <row r="113" spans="2:13" x14ac:dyDescent="0.3">
      <c r="B113" s="50"/>
      <c r="C113" s="50"/>
      <c r="D113" s="50"/>
      <c r="E113" s="271"/>
      <c r="F113" s="271"/>
      <c r="G113" s="273"/>
      <c r="H113" s="273"/>
      <c r="I113" s="273"/>
      <c r="J113" s="273"/>
      <c r="K113" s="273"/>
      <c r="L113" s="273"/>
      <c r="M113" s="273"/>
    </row>
    <row r="114" spans="2:13" x14ac:dyDescent="0.3">
      <c r="B114" s="50"/>
      <c r="C114" s="50"/>
      <c r="D114" s="50"/>
      <c r="E114" s="271"/>
      <c r="F114" s="271"/>
      <c r="G114" s="273"/>
      <c r="H114" s="273"/>
      <c r="I114" s="273"/>
      <c r="J114" s="273"/>
      <c r="K114" s="273"/>
      <c r="L114" s="273"/>
      <c r="M114" s="273"/>
    </row>
    <row r="115" spans="2:13" x14ac:dyDescent="0.3">
      <c r="B115" s="50"/>
      <c r="C115" s="50"/>
      <c r="D115" s="50"/>
      <c r="E115" s="271"/>
      <c r="F115" s="271"/>
      <c r="G115" s="273"/>
      <c r="H115" s="273"/>
      <c r="I115" s="273"/>
      <c r="J115" s="273"/>
      <c r="K115" s="273"/>
      <c r="L115" s="273"/>
      <c r="M115" s="273"/>
    </row>
    <row r="116" spans="2:13" x14ac:dyDescent="0.3">
      <c r="B116" s="50"/>
      <c r="C116" s="50"/>
      <c r="D116" s="50"/>
      <c r="E116" s="271"/>
      <c r="F116" s="271"/>
      <c r="G116" s="273"/>
      <c r="H116" s="273"/>
      <c r="I116" s="273"/>
      <c r="J116" s="273"/>
      <c r="K116" s="273"/>
      <c r="L116" s="273"/>
      <c r="M116" s="273"/>
    </row>
    <row r="117" spans="2:13" x14ac:dyDescent="0.3">
      <c r="B117" s="50"/>
      <c r="C117" s="50"/>
      <c r="D117" s="50"/>
      <c r="E117" s="271"/>
      <c r="F117" s="271"/>
      <c r="G117" s="273"/>
      <c r="H117" s="273"/>
      <c r="I117" s="273"/>
      <c r="J117" s="273"/>
      <c r="K117" s="273"/>
      <c r="L117" s="273"/>
      <c r="M117" s="273"/>
    </row>
    <row r="118" spans="2:13" x14ac:dyDescent="0.3">
      <c r="B118" s="50"/>
      <c r="C118" s="50"/>
      <c r="D118" s="50"/>
      <c r="E118" s="271"/>
      <c r="F118" s="271"/>
      <c r="G118" s="273"/>
      <c r="H118" s="273"/>
      <c r="I118" s="273"/>
      <c r="J118" s="273"/>
      <c r="K118" s="273"/>
      <c r="L118" s="273"/>
      <c r="M118" s="273"/>
    </row>
    <row r="119" spans="2:13" x14ac:dyDescent="0.3">
      <c r="B119" s="50"/>
      <c r="C119" s="50"/>
      <c r="D119" s="50"/>
      <c r="E119" s="271"/>
      <c r="F119" s="271"/>
      <c r="G119" s="273"/>
      <c r="H119" s="273"/>
      <c r="I119" s="273"/>
      <c r="J119" s="273"/>
      <c r="K119" s="273"/>
      <c r="L119" s="273"/>
      <c r="M119" s="273"/>
    </row>
    <row r="120" spans="2:13" x14ac:dyDescent="0.3">
      <c r="B120" s="50"/>
      <c r="C120" s="50"/>
      <c r="D120" s="50"/>
      <c r="E120" s="271"/>
      <c r="F120" s="271"/>
      <c r="G120" s="273"/>
      <c r="H120" s="273"/>
      <c r="I120" s="273"/>
      <c r="J120" s="273"/>
      <c r="K120" s="273"/>
      <c r="L120" s="273"/>
      <c r="M120" s="273"/>
    </row>
    <row r="121" spans="2:13" x14ac:dyDescent="0.3">
      <c r="B121" s="50"/>
      <c r="C121" s="50"/>
      <c r="D121" s="50"/>
      <c r="E121" s="271"/>
      <c r="F121" s="271"/>
      <c r="G121" s="273"/>
      <c r="H121" s="273"/>
      <c r="I121" s="273"/>
      <c r="J121" s="273"/>
      <c r="K121" s="273"/>
      <c r="L121" s="273"/>
      <c r="M121" s="273"/>
    </row>
    <row r="122" spans="2:13" x14ac:dyDescent="0.3">
      <c r="B122" s="50"/>
      <c r="C122" s="50"/>
      <c r="D122" s="50"/>
      <c r="E122" s="271"/>
      <c r="F122" s="271"/>
      <c r="G122" s="273"/>
      <c r="H122" s="273"/>
      <c r="I122" s="273"/>
      <c r="J122" s="273"/>
      <c r="K122" s="273"/>
      <c r="L122" s="273"/>
      <c r="M122" s="273"/>
    </row>
    <row r="123" spans="2:13" x14ac:dyDescent="0.3">
      <c r="B123" s="50"/>
      <c r="C123" s="50"/>
      <c r="D123" s="50"/>
      <c r="E123" s="271"/>
      <c r="F123" s="271"/>
      <c r="G123" s="273"/>
      <c r="H123" s="273"/>
      <c r="I123" s="273"/>
      <c r="J123" s="273"/>
      <c r="K123" s="273"/>
      <c r="L123" s="273"/>
      <c r="M123" s="273"/>
    </row>
    <row r="124" spans="2:13" x14ac:dyDescent="0.3">
      <c r="B124" s="50"/>
      <c r="C124" s="50"/>
      <c r="D124" s="50"/>
      <c r="E124" s="271"/>
      <c r="F124" s="271"/>
      <c r="G124" s="273"/>
      <c r="H124" s="273"/>
      <c r="I124" s="273"/>
      <c r="J124" s="273"/>
      <c r="K124" s="273"/>
      <c r="L124" s="273"/>
      <c r="M124" s="273"/>
    </row>
    <row r="125" spans="2:13" x14ac:dyDescent="0.3">
      <c r="B125" s="50"/>
      <c r="C125" s="50"/>
      <c r="D125" s="50"/>
      <c r="E125" s="271"/>
      <c r="F125" s="271"/>
      <c r="G125" s="273"/>
      <c r="H125" s="273"/>
      <c r="I125" s="273"/>
      <c r="J125" s="273"/>
      <c r="K125" s="273"/>
      <c r="L125" s="273"/>
      <c r="M125" s="273"/>
    </row>
    <row r="126" spans="2:13" x14ac:dyDescent="0.3">
      <c r="B126" s="50"/>
      <c r="C126" s="50"/>
      <c r="D126" s="50"/>
      <c r="E126" s="271"/>
      <c r="F126" s="271"/>
      <c r="G126" s="273"/>
      <c r="H126" s="273"/>
      <c r="I126" s="273"/>
      <c r="J126" s="273"/>
      <c r="K126" s="273"/>
      <c r="L126" s="273"/>
      <c r="M126" s="273"/>
    </row>
    <row r="127" spans="2:13" x14ac:dyDescent="0.3">
      <c r="B127" s="50"/>
      <c r="C127" s="50"/>
      <c r="D127" s="50"/>
      <c r="E127" s="271"/>
      <c r="F127" s="271"/>
      <c r="G127" s="273"/>
      <c r="H127" s="273"/>
      <c r="I127" s="273"/>
      <c r="J127" s="273"/>
      <c r="K127" s="273"/>
      <c r="L127" s="273"/>
      <c r="M127" s="273"/>
    </row>
    <row r="128" spans="2:13" x14ac:dyDescent="0.3">
      <c r="B128" s="50"/>
      <c r="C128" s="50"/>
      <c r="D128" s="50"/>
      <c r="E128" s="271"/>
      <c r="F128" s="271"/>
      <c r="G128" s="273"/>
      <c r="H128" s="273"/>
      <c r="I128" s="273"/>
      <c r="J128" s="273"/>
      <c r="K128" s="273"/>
      <c r="L128" s="273"/>
      <c r="M128" s="273"/>
    </row>
    <row r="129" spans="2:13" x14ac:dyDescent="0.3">
      <c r="B129" s="50"/>
      <c r="C129" s="50"/>
      <c r="D129" s="50"/>
      <c r="E129" s="271"/>
      <c r="F129" s="271"/>
      <c r="G129" s="273"/>
      <c r="H129" s="273"/>
      <c r="I129" s="273"/>
      <c r="J129" s="273"/>
      <c r="K129" s="273"/>
      <c r="L129" s="273"/>
      <c r="M129" s="273"/>
    </row>
    <row r="130" spans="2:13" x14ac:dyDescent="0.3">
      <c r="B130" s="50"/>
      <c r="C130" s="50"/>
      <c r="D130" s="50"/>
      <c r="E130" s="271"/>
      <c r="F130" s="271"/>
      <c r="G130" s="273"/>
      <c r="H130" s="273"/>
      <c r="I130" s="273"/>
      <c r="J130" s="273"/>
      <c r="K130" s="273"/>
      <c r="L130" s="273"/>
      <c r="M130" s="273"/>
    </row>
    <row r="131" spans="2:13" x14ac:dyDescent="0.3">
      <c r="B131" s="50"/>
      <c r="C131" s="50"/>
      <c r="D131" s="50"/>
      <c r="E131" s="271"/>
      <c r="F131" s="271"/>
      <c r="G131" s="273"/>
      <c r="H131" s="273"/>
      <c r="I131" s="273"/>
      <c r="J131" s="273"/>
      <c r="K131" s="273"/>
      <c r="L131" s="273"/>
      <c r="M131" s="273"/>
    </row>
    <row r="132" spans="2:13" x14ac:dyDescent="0.3">
      <c r="B132" s="50"/>
      <c r="C132" s="50"/>
      <c r="D132" s="50"/>
      <c r="E132" s="271"/>
      <c r="F132" s="271"/>
      <c r="G132" s="273"/>
      <c r="H132" s="273"/>
      <c r="I132" s="273"/>
      <c r="J132" s="273"/>
      <c r="K132" s="273"/>
      <c r="L132" s="273"/>
      <c r="M132" s="273"/>
    </row>
    <row r="133" spans="2:13" x14ac:dyDescent="0.3">
      <c r="B133" s="50"/>
      <c r="C133" s="50"/>
      <c r="D133" s="50"/>
      <c r="E133" s="271"/>
      <c r="F133" s="271"/>
      <c r="G133" s="273"/>
      <c r="H133" s="273"/>
      <c r="I133" s="273"/>
      <c r="J133" s="273"/>
      <c r="K133" s="273"/>
      <c r="L133" s="273"/>
      <c r="M133" s="273"/>
    </row>
    <row r="134" spans="2:13" x14ac:dyDescent="0.3">
      <c r="B134" s="50"/>
      <c r="C134" s="50"/>
      <c r="D134" s="50"/>
      <c r="E134" s="271"/>
      <c r="F134" s="271"/>
      <c r="G134" s="273"/>
      <c r="H134" s="273"/>
      <c r="I134" s="273"/>
      <c r="J134" s="273"/>
      <c r="K134" s="273"/>
      <c r="L134" s="273"/>
      <c r="M134" s="273"/>
    </row>
    <row r="135" spans="2:13" x14ac:dyDescent="0.3">
      <c r="B135" s="50"/>
      <c r="C135" s="50"/>
      <c r="D135" s="50"/>
      <c r="E135" s="271"/>
      <c r="F135" s="271"/>
      <c r="G135" s="273"/>
      <c r="H135" s="273"/>
      <c r="I135" s="273"/>
      <c r="J135" s="273"/>
      <c r="K135" s="273"/>
      <c r="L135" s="273"/>
      <c r="M135" s="273"/>
    </row>
    <row r="136" spans="2:13" x14ac:dyDescent="0.3">
      <c r="B136" s="50"/>
      <c r="C136" s="50"/>
      <c r="D136" s="50"/>
      <c r="E136" s="271"/>
      <c r="F136" s="271"/>
      <c r="G136" s="273"/>
      <c r="H136" s="273"/>
      <c r="I136" s="273"/>
      <c r="J136" s="273"/>
      <c r="K136" s="273"/>
      <c r="L136" s="273"/>
      <c r="M136" s="273"/>
    </row>
    <row r="137" spans="2:13" x14ac:dyDescent="0.3">
      <c r="B137" s="50"/>
      <c r="C137" s="50"/>
      <c r="D137" s="50"/>
      <c r="E137" s="271"/>
      <c r="F137" s="271"/>
      <c r="G137" s="273"/>
      <c r="H137" s="273"/>
      <c r="I137" s="273"/>
      <c r="J137" s="273"/>
      <c r="K137" s="273"/>
      <c r="L137" s="273"/>
      <c r="M137" s="273"/>
    </row>
    <row r="138" spans="2:13" x14ac:dyDescent="0.3">
      <c r="B138" s="50"/>
      <c r="C138" s="50"/>
      <c r="D138" s="50"/>
      <c r="E138" s="271"/>
      <c r="F138" s="271"/>
      <c r="G138" s="273"/>
      <c r="H138" s="273"/>
      <c r="I138" s="273"/>
      <c r="J138" s="273"/>
      <c r="K138" s="273"/>
      <c r="L138" s="273"/>
      <c r="M138" s="273"/>
    </row>
    <row r="139" spans="2:13" x14ac:dyDescent="0.3">
      <c r="B139" s="50"/>
      <c r="C139" s="50"/>
      <c r="D139" s="50"/>
      <c r="E139" s="271"/>
      <c r="F139" s="271"/>
      <c r="G139" s="273"/>
      <c r="H139" s="273"/>
      <c r="I139" s="273"/>
      <c r="J139" s="273"/>
      <c r="K139" s="273"/>
      <c r="L139" s="273"/>
      <c r="M139" s="273"/>
    </row>
    <row r="140" spans="2:13" x14ac:dyDescent="0.3">
      <c r="B140" s="50"/>
      <c r="C140" s="50"/>
      <c r="D140" s="50"/>
      <c r="E140" s="271"/>
      <c r="F140" s="271"/>
      <c r="G140" s="273"/>
      <c r="H140" s="273"/>
      <c r="I140" s="273"/>
      <c r="J140" s="273"/>
      <c r="K140" s="273"/>
      <c r="L140" s="273"/>
      <c r="M140" s="273"/>
    </row>
    <row r="141" spans="2:13" x14ac:dyDescent="0.3">
      <c r="B141" s="50"/>
      <c r="C141" s="50"/>
      <c r="D141" s="50"/>
      <c r="E141" s="271"/>
      <c r="F141" s="271"/>
      <c r="G141" s="273"/>
      <c r="H141" s="273"/>
      <c r="I141" s="273"/>
      <c r="J141" s="273"/>
      <c r="K141" s="273"/>
      <c r="L141" s="273"/>
      <c r="M141" s="273"/>
    </row>
    <row r="142" spans="2:13" x14ac:dyDescent="0.3">
      <c r="B142" s="50"/>
      <c r="C142" s="50"/>
      <c r="D142" s="50"/>
      <c r="E142" s="271"/>
      <c r="F142" s="271"/>
      <c r="G142" s="273"/>
      <c r="H142" s="273"/>
      <c r="I142" s="273"/>
      <c r="J142" s="273"/>
      <c r="K142" s="273"/>
      <c r="L142" s="273"/>
      <c r="M142" s="273"/>
    </row>
    <row r="143" spans="2:13" x14ac:dyDescent="0.3">
      <c r="B143" s="50"/>
      <c r="C143" s="50"/>
      <c r="D143" s="50"/>
      <c r="E143" s="271"/>
      <c r="F143" s="271"/>
      <c r="G143" s="273"/>
      <c r="H143" s="273"/>
      <c r="I143" s="273"/>
      <c r="J143" s="273"/>
      <c r="K143" s="273"/>
      <c r="L143" s="273"/>
      <c r="M143" s="273"/>
    </row>
    <row r="144" spans="2:13" x14ac:dyDescent="0.3">
      <c r="B144" s="50"/>
      <c r="C144" s="50"/>
      <c r="D144" s="50"/>
      <c r="E144" s="271"/>
      <c r="F144" s="271"/>
      <c r="G144" s="273"/>
      <c r="H144" s="273"/>
      <c r="I144" s="273"/>
      <c r="J144" s="273"/>
      <c r="K144" s="273"/>
      <c r="L144" s="273"/>
      <c r="M144" s="273"/>
    </row>
    <row r="145" spans="2:13" x14ac:dyDescent="0.3">
      <c r="B145" s="50"/>
      <c r="C145" s="50"/>
      <c r="D145" s="50"/>
      <c r="E145" s="271"/>
      <c r="F145" s="271"/>
      <c r="G145" s="273"/>
      <c r="H145" s="273"/>
      <c r="I145" s="273"/>
      <c r="J145" s="273"/>
      <c r="K145" s="273"/>
      <c r="L145" s="273"/>
      <c r="M145" s="273"/>
    </row>
    <row r="146" spans="2:13" x14ac:dyDescent="0.3">
      <c r="B146" s="50"/>
      <c r="C146" s="50"/>
      <c r="D146" s="50"/>
      <c r="E146" s="271"/>
      <c r="F146" s="271"/>
      <c r="G146" s="273"/>
      <c r="H146" s="273"/>
      <c r="I146" s="273"/>
      <c r="J146" s="273"/>
      <c r="K146" s="273"/>
      <c r="L146" s="273"/>
      <c r="M146" s="273"/>
    </row>
    <row r="147" spans="2:13" x14ac:dyDescent="0.3">
      <c r="B147" s="50"/>
      <c r="C147" s="50"/>
      <c r="D147" s="50"/>
      <c r="E147" s="271"/>
      <c r="F147" s="271"/>
      <c r="G147" s="273"/>
      <c r="H147" s="273"/>
      <c r="I147" s="273"/>
      <c r="J147" s="273"/>
      <c r="K147" s="273"/>
      <c r="L147" s="273"/>
      <c r="M147" s="273"/>
    </row>
    <row r="148" spans="2:13" x14ac:dyDescent="0.3">
      <c r="B148" s="50"/>
      <c r="C148" s="50"/>
      <c r="D148" s="50"/>
      <c r="E148" s="271"/>
      <c r="F148" s="271"/>
      <c r="G148" s="273"/>
      <c r="H148" s="273"/>
      <c r="I148" s="273"/>
      <c r="J148" s="273"/>
      <c r="K148" s="273"/>
      <c r="L148" s="273"/>
      <c r="M148" s="273"/>
    </row>
    <row r="149" spans="2:13" x14ac:dyDescent="0.3">
      <c r="B149" s="50"/>
      <c r="C149" s="50"/>
      <c r="D149" s="50"/>
      <c r="E149" s="271"/>
      <c r="F149" s="271"/>
      <c r="G149" s="273"/>
      <c r="H149" s="273"/>
      <c r="I149" s="273"/>
      <c r="J149" s="273"/>
      <c r="K149" s="273"/>
      <c r="L149" s="273"/>
      <c r="M149" s="273"/>
    </row>
    <row r="150" spans="2:13" x14ac:dyDescent="0.3">
      <c r="B150" s="50"/>
      <c r="C150" s="50"/>
      <c r="D150" s="50"/>
      <c r="E150" s="271"/>
      <c r="F150" s="271"/>
      <c r="G150" s="273"/>
      <c r="H150" s="273"/>
      <c r="I150" s="273"/>
      <c r="J150" s="273"/>
      <c r="K150" s="273"/>
      <c r="L150" s="273"/>
      <c r="M150" s="273"/>
    </row>
    <row r="151" spans="2:13" x14ac:dyDescent="0.3">
      <c r="B151" s="50"/>
      <c r="C151" s="50"/>
      <c r="D151" s="50"/>
      <c r="E151" s="271"/>
      <c r="F151" s="271"/>
      <c r="G151" s="273"/>
      <c r="H151" s="273"/>
      <c r="I151" s="273"/>
      <c r="J151" s="273"/>
      <c r="K151" s="273"/>
      <c r="L151" s="273"/>
      <c r="M151" s="273"/>
    </row>
    <row r="152" spans="2:13" x14ac:dyDescent="0.3">
      <c r="B152" s="50"/>
      <c r="C152" s="50"/>
      <c r="D152" s="50"/>
      <c r="E152" s="271"/>
      <c r="F152" s="271"/>
      <c r="G152" s="273"/>
      <c r="H152" s="273"/>
      <c r="I152" s="273"/>
      <c r="J152" s="273"/>
      <c r="K152" s="273"/>
      <c r="L152" s="273"/>
      <c r="M152" s="273"/>
    </row>
    <row r="153" spans="2:13" x14ac:dyDescent="0.3">
      <c r="B153" s="50"/>
      <c r="C153" s="50"/>
      <c r="D153" s="50"/>
      <c r="E153" s="271"/>
      <c r="F153" s="271"/>
      <c r="G153" s="273"/>
      <c r="H153" s="273"/>
      <c r="I153" s="273"/>
      <c r="J153" s="273"/>
      <c r="K153" s="273"/>
      <c r="L153" s="273"/>
      <c r="M153" s="273"/>
    </row>
    <row r="154" spans="2:13" x14ac:dyDescent="0.3">
      <c r="B154" s="50"/>
      <c r="C154" s="50"/>
      <c r="D154" s="50"/>
      <c r="E154" s="271"/>
      <c r="F154" s="271"/>
      <c r="G154" s="273"/>
      <c r="H154" s="273"/>
      <c r="I154" s="273"/>
      <c r="J154" s="273"/>
      <c r="K154" s="273"/>
      <c r="L154" s="273"/>
      <c r="M154" s="273"/>
    </row>
    <row r="155" spans="2:13" x14ac:dyDescent="0.3">
      <c r="B155" s="50"/>
      <c r="C155" s="50"/>
      <c r="D155" s="50"/>
      <c r="E155" s="271"/>
      <c r="F155" s="271"/>
      <c r="G155" s="273"/>
      <c r="H155" s="273"/>
      <c r="I155" s="273"/>
      <c r="J155" s="273"/>
      <c r="K155" s="273"/>
      <c r="L155" s="273"/>
      <c r="M155" s="273"/>
    </row>
    <row r="156" spans="2:13" x14ac:dyDescent="0.3">
      <c r="B156" s="50"/>
      <c r="C156" s="50"/>
      <c r="D156" s="50"/>
      <c r="E156" s="271"/>
      <c r="F156" s="271"/>
      <c r="G156" s="273"/>
      <c r="H156" s="273"/>
      <c r="I156" s="273"/>
      <c r="J156" s="273"/>
      <c r="K156" s="273"/>
      <c r="L156" s="273"/>
      <c r="M156" s="273"/>
    </row>
    <row r="157" spans="2:13" x14ac:dyDescent="0.3">
      <c r="B157" s="50"/>
      <c r="C157" s="50"/>
      <c r="D157" s="50"/>
      <c r="E157" s="271"/>
      <c r="F157" s="271"/>
      <c r="G157" s="273"/>
      <c r="H157" s="273"/>
      <c r="I157" s="273"/>
      <c r="J157" s="273"/>
      <c r="K157" s="273"/>
      <c r="L157" s="273"/>
      <c r="M157" s="273"/>
    </row>
    <row r="158" spans="2:13" x14ac:dyDescent="0.3">
      <c r="B158" s="50"/>
      <c r="C158" s="50"/>
      <c r="D158" s="50"/>
      <c r="E158" s="271"/>
      <c r="F158" s="271"/>
      <c r="G158" s="273"/>
      <c r="H158" s="273"/>
      <c r="I158" s="273"/>
      <c r="J158" s="273"/>
      <c r="K158" s="273"/>
      <c r="L158" s="273"/>
      <c r="M158" s="273"/>
    </row>
    <row r="159" spans="2:13" x14ac:dyDescent="0.3">
      <c r="B159" s="50"/>
      <c r="C159" s="50"/>
      <c r="D159" s="50"/>
      <c r="E159" s="271"/>
      <c r="F159" s="271"/>
      <c r="G159" s="273"/>
      <c r="H159" s="273"/>
      <c r="I159" s="273"/>
      <c r="J159" s="273"/>
      <c r="K159" s="273"/>
      <c r="L159" s="273"/>
      <c r="M159" s="273"/>
    </row>
    <row r="160" spans="2:13" x14ac:dyDescent="0.3">
      <c r="B160" s="50"/>
      <c r="C160" s="50"/>
      <c r="D160" s="50"/>
      <c r="E160" s="271"/>
      <c r="F160" s="271"/>
      <c r="G160" s="273"/>
      <c r="H160" s="273"/>
      <c r="I160" s="273"/>
      <c r="J160" s="273"/>
      <c r="K160" s="273"/>
      <c r="L160" s="273"/>
      <c r="M160" s="273"/>
    </row>
    <row r="161" spans="2:13" x14ac:dyDescent="0.3">
      <c r="B161" s="50"/>
      <c r="C161" s="50"/>
      <c r="D161" s="50"/>
      <c r="E161" s="271"/>
      <c r="F161" s="271"/>
      <c r="G161" s="273"/>
      <c r="H161" s="273"/>
      <c r="I161" s="273"/>
      <c r="J161" s="273"/>
      <c r="K161" s="273"/>
      <c r="L161" s="273"/>
      <c r="M161" s="273"/>
    </row>
    <row r="162" spans="2:13" x14ac:dyDescent="0.3">
      <c r="B162" s="50"/>
      <c r="C162" s="50"/>
      <c r="D162" s="50"/>
      <c r="E162" s="271"/>
      <c r="F162" s="271"/>
      <c r="G162" s="273"/>
      <c r="H162" s="273"/>
      <c r="I162" s="273"/>
      <c r="J162" s="273"/>
      <c r="K162" s="273"/>
      <c r="L162" s="273"/>
      <c r="M162" s="273"/>
    </row>
    <row r="163" spans="2:13" x14ac:dyDescent="0.3">
      <c r="B163" s="50"/>
      <c r="C163" s="50"/>
      <c r="D163" s="50"/>
      <c r="E163" s="271"/>
      <c r="F163" s="271"/>
      <c r="G163" s="273"/>
      <c r="H163" s="273"/>
      <c r="I163" s="273"/>
      <c r="J163" s="273"/>
      <c r="K163" s="273"/>
      <c r="L163" s="273"/>
      <c r="M163" s="273"/>
    </row>
    <row r="164" spans="2:13" x14ac:dyDescent="0.3">
      <c r="B164" s="50"/>
      <c r="C164" s="50"/>
      <c r="D164" s="50"/>
      <c r="E164" s="271"/>
      <c r="F164" s="271"/>
      <c r="G164" s="273"/>
      <c r="H164" s="273"/>
      <c r="I164" s="273"/>
      <c r="J164" s="273"/>
      <c r="K164" s="273"/>
      <c r="L164" s="273"/>
      <c r="M164" s="273"/>
    </row>
    <row r="165" spans="2:13" x14ac:dyDescent="0.3">
      <c r="B165" s="50"/>
      <c r="C165" s="50"/>
      <c r="D165" s="50"/>
      <c r="E165" s="271"/>
      <c r="F165" s="271"/>
      <c r="G165" s="273"/>
      <c r="H165" s="273"/>
      <c r="I165" s="273"/>
      <c r="J165" s="273"/>
      <c r="K165" s="273"/>
      <c r="L165" s="273"/>
      <c r="M165" s="273"/>
    </row>
    <row r="166" spans="2:13" x14ac:dyDescent="0.3">
      <c r="B166" s="50"/>
      <c r="C166" s="50"/>
      <c r="D166" s="50"/>
      <c r="E166" s="271"/>
      <c r="F166" s="271"/>
      <c r="G166" s="273"/>
      <c r="H166" s="273"/>
      <c r="I166" s="273"/>
      <c r="J166" s="273"/>
      <c r="K166" s="273"/>
      <c r="L166" s="273"/>
      <c r="M166" s="273"/>
    </row>
    <row r="167" spans="2:13" x14ac:dyDescent="0.3">
      <c r="B167" s="50"/>
      <c r="C167" s="50"/>
      <c r="D167" s="50"/>
      <c r="E167" s="271"/>
      <c r="F167" s="271"/>
      <c r="G167" s="273"/>
      <c r="H167" s="273"/>
      <c r="I167" s="273"/>
      <c r="J167" s="273"/>
      <c r="K167" s="273"/>
      <c r="L167" s="273"/>
      <c r="M167" s="273"/>
    </row>
    <row r="168" spans="2:13" x14ac:dyDescent="0.3">
      <c r="B168" s="50"/>
      <c r="C168" s="50"/>
      <c r="D168" s="50"/>
      <c r="E168" s="271"/>
      <c r="F168" s="271"/>
      <c r="G168" s="273"/>
      <c r="H168" s="273"/>
      <c r="I168" s="273"/>
      <c r="J168" s="273"/>
      <c r="K168" s="273"/>
      <c r="L168" s="273"/>
      <c r="M168" s="273"/>
    </row>
    <row r="169" spans="2:13" x14ac:dyDescent="0.3">
      <c r="B169" s="50"/>
      <c r="C169" s="50"/>
      <c r="D169" s="50"/>
      <c r="E169" s="271"/>
      <c r="F169" s="271"/>
      <c r="G169" s="273"/>
      <c r="H169" s="273"/>
      <c r="I169" s="273"/>
      <c r="J169" s="273"/>
      <c r="K169" s="273"/>
      <c r="L169" s="273"/>
      <c r="M169" s="273"/>
    </row>
    <row r="170" spans="2:13" x14ac:dyDescent="0.3">
      <c r="B170" s="50"/>
      <c r="C170" s="50"/>
      <c r="D170" s="50"/>
      <c r="E170" s="271"/>
      <c r="F170" s="271"/>
      <c r="G170" s="273"/>
      <c r="H170" s="273"/>
      <c r="I170" s="273"/>
      <c r="J170" s="273"/>
      <c r="K170" s="273"/>
      <c r="L170" s="273"/>
      <c r="M170" s="273"/>
    </row>
    <row r="171" spans="2:13" x14ac:dyDescent="0.3">
      <c r="B171" s="50"/>
      <c r="C171" s="50"/>
      <c r="D171" s="50"/>
      <c r="E171" s="271"/>
      <c r="F171" s="271"/>
      <c r="G171" s="273"/>
      <c r="H171" s="273"/>
      <c r="I171" s="273"/>
      <c r="J171" s="273"/>
      <c r="K171" s="273"/>
      <c r="L171" s="273"/>
      <c r="M171" s="273"/>
    </row>
    <row r="172" spans="2:13" x14ac:dyDescent="0.3">
      <c r="B172" s="50"/>
      <c r="C172" s="50"/>
      <c r="D172" s="50"/>
      <c r="E172" s="271"/>
      <c r="F172" s="271"/>
      <c r="G172" s="273"/>
      <c r="H172" s="273"/>
      <c r="I172" s="273"/>
      <c r="J172" s="273"/>
      <c r="K172" s="273"/>
      <c r="L172" s="273"/>
      <c r="M172" s="273"/>
    </row>
    <row r="173" spans="2:13" x14ac:dyDescent="0.3">
      <c r="B173" s="50"/>
      <c r="C173" s="50"/>
      <c r="D173" s="50"/>
      <c r="E173" s="271"/>
      <c r="F173" s="271"/>
      <c r="G173" s="273"/>
      <c r="H173" s="273"/>
      <c r="I173" s="273"/>
      <c r="J173" s="273"/>
      <c r="K173" s="273"/>
      <c r="L173" s="273"/>
      <c r="M173" s="273"/>
    </row>
    <row r="174" spans="2:13" x14ac:dyDescent="0.3">
      <c r="B174" s="50"/>
      <c r="C174" s="50"/>
      <c r="D174" s="50"/>
      <c r="E174" s="271"/>
      <c r="F174" s="271"/>
      <c r="G174" s="273"/>
      <c r="H174" s="273"/>
      <c r="I174" s="273"/>
      <c r="J174" s="273"/>
      <c r="K174" s="273"/>
      <c r="L174" s="273"/>
      <c r="M174" s="273"/>
    </row>
    <row r="175" spans="2:13" x14ac:dyDescent="0.3">
      <c r="B175" s="50"/>
      <c r="C175" s="50"/>
      <c r="D175" s="50"/>
      <c r="E175" s="271"/>
      <c r="F175" s="271"/>
      <c r="G175" s="273"/>
      <c r="H175" s="273"/>
      <c r="I175" s="273"/>
      <c r="J175" s="273"/>
      <c r="K175" s="273"/>
      <c r="L175" s="273"/>
      <c r="M175" s="273"/>
    </row>
    <row r="176" spans="2:13" x14ac:dyDescent="0.3">
      <c r="B176" s="50"/>
      <c r="C176" s="50"/>
      <c r="D176" s="50"/>
      <c r="E176" s="271"/>
      <c r="F176" s="271"/>
      <c r="G176" s="273"/>
      <c r="H176" s="273"/>
      <c r="I176" s="273"/>
      <c r="J176" s="273"/>
      <c r="K176" s="273"/>
      <c r="L176" s="273"/>
      <c r="M176" s="273"/>
    </row>
    <row r="177" spans="2:13" x14ac:dyDescent="0.3">
      <c r="B177" s="50"/>
      <c r="C177" s="50"/>
      <c r="D177" s="50"/>
      <c r="E177" s="271"/>
      <c r="F177" s="271"/>
      <c r="G177" s="273"/>
      <c r="H177" s="273"/>
      <c r="I177" s="273"/>
      <c r="J177" s="273"/>
      <c r="K177" s="273"/>
      <c r="L177" s="273"/>
      <c r="M177" s="273"/>
    </row>
    <row r="178" spans="2:13" x14ac:dyDescent="0.3">
      <c r="B178" s="50"/>
      <c r="C178" s="50"/>
      <c r="D178" s="50"/>
      <c r="E178" s="271"/>
      <c r="F178" s="271"/>
      <c r="G178" s="273"/>
      <c r="H178" s="273"/>
      <c r="I178" s="273"/>
      <c r="J178" s="273"/>
      <c r="K178" s="273"/>
      <c r="L178" s="273"/>
      <c r="M178" s="273"/>
    </row>
    <row r="179" spans="2:13" x14ac:dyDescent="0.3">
      <c r="B179" s="50"/>
      <c r="C179" s="50"/>
      <c r="D179" s="50"/>
      <c r="E179" s="271"/>
      <c r="F179" s="271"/>
      <c r="G179" s="273"/>
      <c r="H179" s="273"/>
      <c r="I179" s="273"/>
      <c r="J179" s="273"/>
      <c r="K179" s="273"/>
      <c r="L179" s="273"/>
      <c r="M179" s="273"/>
    </row>
    <row r="180" spans="2:13" x14ac:dyDescent="0.3">
      <c r="B180" s="50"/>
      <c r="C180" s="50"/>
      <c r="D180" s="50"/>
      <c r="E180" s="271"/>
      <c r="F180" s="271"/>
      <c r="G180" s="273"/>
      <c r="H180" s="273"/>
      <c r="I180" s="273"/>
      <c r="J180" s="273"/>
      <c r="K180" s="273"/>
      <c r="L180" s="273"/>
      <c r="M180" s="273"/>
    </row>
    <row r="181" spans="2:13" x14ac:dyDescent="0.3">
      <c r="B181" s="50"/>
      <c r="C181" s="50"/>
      <c r="D181" s="50"/>
      <c r="E181" s="271"/>
      <c r="F181" s="271"/>
      <c r="G181" s="273"/>
      <c r="H181" s="273"/>
      <c r="I181" s="273"/>
      <c r="J181" s="273"/>
      <c r="K181" s="273"/>
      <c r="L181" s="273"/>
      <c r="M181" s="273"/>
    </row>
    <row r="182" spans="2:13" x14ac:dyDescent="0.3">
      <c r="B182" s="50"/>
      <c r="C182" s="50"/>
      <c r="D182" s="50"/>
      <c r="E182" s="271"/>
      <c r="F182" s="271"/>
      <c r="G182" s="273"/>
      <c r="H182" s="273"/>
      <c r="I182" s="273"/>
      <c r="J182" s="273"/>
      <c r="K182" s="273"/>
      <c r="L182" s="273"/>
      <c r="M182" s="273"/>
    </row>
    <row r="183" spans="2:13" x14ac:dyDescent="0.3">
      <c r="B183" s="50"/>
      <c r="C183" s="50"/>
      <c r="D183" s="50"/>
      <c r="E183" s="271"/>
      <c r="F183" s="271"/>
      <c r="G183" s="273"/>
      <c r="H183" s="273"/>
      <c r="I183" s="273"/>
      <c r="J183" s="273"/>
      <c r="K183" s="273"/>
      <c r="L183" s="273"/>
      <c r="M183" s="273"/>
    </row>
    <row r="184" spans="2:13" x14ac:dyDescent="0.3">
      <c r="B184" s="50"/>
      <c r="C184" s="50"/>
      <c r="D184" s="50"/>
      <c r="E184" s="271"/>
      <c r="F184" s="271"/>
      <c r="G184" s="273"/>
      <c r="H184" s="273"/>
      <c r="I184" s="273"/>
      <c r="J184" s="273"/>
      <c r="K184" s="273"/>
      <c r="L184" s="273"/>
      <c r="M184" s="273"/>
    </row>
    <row r="185" spans="2:13" x14ac:dyDescent="0.3">
      <c r="B185" s="50"/>
      <c r="C185" s="50"/>
      <c r="D185" s="50"/>
      <c r="E185" s="271"/>
      <c r="F185" s="271"/>
      <c r="G185" s="273"/>
      <c r="H185" s="273"/>
      <c r="I185" s="273"/>
      <c r="J185" s="273"/>
      <c r="K185" s="273"/>
      <c r="L185" s="273"/>
      <c r="M185" s="273"/>
    </row>
    <row r="186" spans="2:13" x14ac:dyDescent="0.3">
      <c r="B186" s="50"/>
      <c r="C186" s="50"/>
      <c r="D186" s="50"/>
      <c r="E186" s="271"/>
      <c r="F186" s="271"/>
      <c r="G186" s="273"/>
      <c r="H186" s="273"/>
      <c r="I186" s="273"/>
      <c r="J186" s="273"/>
      <c r="K186" s="273"/>
      <c r="L186" s="273"/>
      <c r="M186" s="273"/>
    </row>
    <row r="187" spans="2:13" x14ac:dyDescent="0.3">
      <c r="B187" s="50"/>
      <c r="C187" s="50"/>
      <c r="D187" s="50"/>
      <c r="E187" s="271"/>
      <c r="F187" s="271"/>
      <c r="G187" s="273"/>
      <c r="H187" s="273"/>
      <c r="I187" s="273"/>
      <c r="J187" s="273"/>
      <c r="K187" s="273"/>
      <c r="L187" s="273"/>
      <c r="M187" s="273"/>
    </row>
    <row r="188" spans="2:13" x14ac:dyDescent="0.3">
      <c r="B188" s="50"/>
      <c r="C188" s="50"/>
      <c r="D188" s="50"/>
      <c r="E188" s="271"/>
      <c r="F188" s="271"/>
      <c r="G188" s="273"/>
      <c r="H188" s="273"/>
      <c r="I188" s="273"/>
      <c r="J188" s="273"/>
      <c r="K188" s="273"/>
      <c r="L188" s="273"/>
      <c r="M188" s="273"/>
    </row>
    <row r="189" spans="2:13" x14ac:dyDescent="0.3">
      <c r="B189" s="50"/>
      <c r="C189" s="50"/>
      <c r="D189" s="50"/>
      <c r="E189" s="271"/>
      <c r="F189" s="271"/>
      <c r="G189" s="273"/>
      <c r="H189" s="273"/>
      <c r="I189" s="273"/>
      <c r="J189" s="273"/>
      <c r="K189" s="273"/>
      <c r="L189" s="273"/>
      <c r="M189" s="273"/>
    </row>
    <row r="190" spans="2:13" x14ac:dyDescent="0.3">
      <c r="B190" s="50"/>
      <c r="C190" s="50"/>
      <c r="D190" s="50"/>
      <c r="E190" s="271"/>
      <c r="F190" s="271"/>
      <c r="G190" s="273"/>
      <c r="H190" s="273"/>
      <c r="I190" s="273"/>
      <c r="J190" s="273"/>
      <c r="K190" s="273"/>
      <c r="L190" s="273"/>
      <c r="M190" s="273"/>
    </row>
    <row r="191" spans="2:13" x14ac:dyDescent="0.3">
      <c r="B191" s="50"/>
      <c r="C191" s="50"/>
      <c r="D191" s="50"/>
      <c r="E191" s="271"/>
      <c r="F191" s="271"/>
      <c r="G191" s="273"/>
      <c r="H191" s="273"/>
      <c r="I191" s="273"/>
      <c r="J191" s="273"/>
      <c r="K191" s="273"/>
      <c r="L191" s="273"/>
      <c r="M191" s="273"/>
    </row>
    <row r="192" spans="2:13" x14ac:dyDescent="0.3">
      <c r="B192" s="50"/>
      <c r="C192" s="50"/>
      <c r="D192" s="50"/>
      <c r="E192" s="271"/>
      <c r="F192" s="271"/>
      <c r="G192" s="273"/>
      <c r="H192" s="273"/>
      <c r="I192" s="273"/>
      <c r="J192" s="273"/>
      <c r="K192" s="273"/>
      <c r="L192" s="273"/>
      <c r="M192" s="273"/>
    </row>
    <row r="193" spans="2:13" x14ac:dyDescent="0.3">
      <c r="B193" s="50"/>
      <c r="C193" s="50"/>
      <c r="D193" s="50"/>
      <c r="E193" s="271"/>
      <c r="F193" s="271"/>
      <c r="G193" s="273"/>
      <c r="H193" s="273"/>
      <c r="I193" s="273"/>
      <c r="J193" s="273"/>
      <c r="K193" s="273"/>
      <c r="L193" s="273"/>
      <c r="M193" s="273"/>
    </row>
    <row r="194" spans="2:13" x14ac:dyDescent="0.3">
      <c r="B194" s="50"/>
      <c r="C194" s="50"/>
      <c r="D194" s="50"/>
      <c r="E194" s="271"/>
      <c r="F194" s="271"/>
      <c r="G194" s="273"/>
      <c r="H194" s="273"/>
      <c r="I194" s="273"/>
      <c r="J194" s="273"/>
      <c r="K194" s="273"/>
      <c r="L194" s="273"/>
      <c r="M194" s="273"/>
    </row>
    <row r="195" spans="2:13" x14ac:dyDescent="0.3">
      <c r="B195" s="50"/>
      <c r="C195" s="50"/>
      <c r="D195" s="50"/>
      <c r="E195" s="271"/>
      <c r="F195" s="271"/>
      <c r="G195" s="273"/>
      <c r="H195" s="273"/>
      <c r="I195" s="273"/>
      <c r="J195" s="273"/>
      <c r="K195" s="273"/>
      <c r="L195" s="273"/>
      <c r="M195" s="273"/>
    </row>
    <row r="196" spans="2:13" x14ac:dyDescent="0.3">
      <c r="B196" s="50"/>
      <c r="C196" s="50"/>
      <c r="D196" s="50"/>
      <c r="E196" s="271"/>
      <c r="F196" s="271"/>
      <c r="G196" s="273"/>
      <c r="H196" s="273"/>
      <c r="I196" s="273"/>
      <c r="J196" s="273"/>
      <c r="K196" s="273"/>
      <c r="L196" s="273"/>
      <c r="M196" s="273"/>
    </row>
    <row r="197" spans="2:13" x14ac:dyDescent="0.3">
      <c r="B197" s="50"/>
      <c r="C197" s="50"/>
      <c r="D197" s="50"/>
      <c r="E197" s="271"/>
      <c r="F197" s="271"/>
      <c r="G197" s="273"/>
      <c r="H197" s="273"/>
      <c r="I197" s="273"/>
      <c r="J197" s="273"/>
      <c r="K197" s="273"/>
      <c r="L197" s="273"/>
      <c r="M197" s="273"/>
    </row>
    <row r="198" spans="2:13" x14ac:dyDescent="0.3">
      <c r="B198" s="50"/>
      <c r="C198" s="50"/>
      <c r="D198" s="50"/>
      <c r="E198" s="271"/>
      <c r="F198" s="271"/>
      <c r="G198" s="273"/>
      <c r="H198" s="273"/>
      <c r="I198" s="273"/>
      <c r="J198" s="273"/>
      <c r="K198" s="273"/>
      <c r="L198" s="273"/>
      <c r="M198" s="273"/>
    </row>
    <row r="199" spans="2:13" x14ac:dyDescent="0.3">
      <c r="B199" s="50"/>
      <c r="C199" s="50"/>
      <c r="D199" s="50"/>
      <c r="E199" s="271"/>
      <c r="F199" s="271"/>
      <c r="G199" s="273"/>
      <c r="H199" s="273"/>
      <c r="I199" s="273"/>
      <c r="J199" s="273"/>
      <c r="K199" s="273"/>
      <c r="L199" s="273"/>
      <c r="M199" s="273"/>
    </row>
    <row r="200" spans="2:13" x14ac:dyDescent="0.3">
      <c r="B200" s="50"/>
      <c r="C200" s="50"/>
      <c r="D200" s="50"/>
      <c r="E200" s="271"/>
      <c r="F200" s="271"/>
      <c r="G200" s="273"/>
      <c r="H200" s="273"/>
      <c r="I200" s="273"/>
      <c r="J200" s="273"/>
      <c r="K200" s="273"/>
      <c r="L200" s="273"/>
      <c r="M200" s="273"/>
    </row>
    <row r="201" spans="2:13" x14ac:dyDescent="0.3">
      <c r="B201" s="50"/>
      <c r="C201" s="50"/>
      <c r="D201" s="50"/>
      <c r="E201" s="271"/>
      <c r="F201" s="271"/>
      <c r="G201" s="273"/>
      <c r="H201" s="273"/>
      <c r="I201" s="273"/>
      <c r="J201" s="273"/>
      <c r="K201" s="273"/>
      <c r="L201" s="273"/>
      <c r="M201" s="273"/>
    </row>
    <row r="202" spans="2:13" x14ac:dyDescent="0.3">
      <c r="B202" s="50"/>
      <c r="C202" s="50"/>
      <c r="D202" s="50"/>
      <c r="E202" s="271"/>
      <c r="F202" s="271"/>
      <c r="G202" s="273"/>
      <c r="H202" s="273"/>
      <c r="I202" s="273"/>
      <c r="J202" s="273"/>
      <c r="K202" s="273"/>
      <c r="L202" s="273"/>
      <c r="M202" s="273"/>
    </row>
    <row r="203" spans="2:13" x14ac:dyDescent="0.3">
      <c r="B203" s="50"/>
      <c r="C203" s="50"/>
      <c r="D203" s="50"/>
      <c r="E203" s="271"/>
      <c r="F203" s="271"/>
      <c r="G203" s="273"/>
      <c r="H203" s="273"/>
      <c r="I203" s="273"/>
      <c r="J203" s="273"/>
      <c r="K203" s="273"/>
      <c r="L203" s="273"/>
      <c r="M203" s="273"/>
    </row>
    <row r="204" spans="2:13" x14ac:dyDescent="0.3">
      <c r="B204" s="50"/>
      <c r="C204" s="50"/>
      <c r="D204" s="50"/>
      <c r="E204" s="271"/>
      <c r="F204" s="271"/>
      <c r="G204" s="273"/>
      <c r="H204" s="273"/>
      <c r="I204" s="273"/>
      <c r="J204" s="273"/>
      <c r="K204" s="273"/>
      <c r="L204" s="273"/>
      <c r="M204" s="273"/>
    </row>
    <row r="205" spans="2:13" x14ac:dyDescent="0.3">
      <c r="B205" s="50"/>
      <c r="C205" s="50"/>
      <c r="D205" s="50"/>
      <c r="E205" s="271"/>
      <c r="F205" s="271"/>
      <c r="G205" s="273"/>
      <c r="H205" s="273"/>
      <c r="I205" s="273"/>
      <c r="J205" s="273"/>
      <c r="K205" s="273"/>
      <c r="L205" s="273"/>
      <c r="M205" s="273"/>
    </row>
    <row r="206" spans="2:13" x14ac:dyDescent="0.3">
      <c r="B206" s="50"/>
      <c r="C206" s="50"/>
      <c r="D206" s="50"/>
      <c r="E206" s="271"/>
      <c r="F206" s="271"/>
      <c r="G206" s="273"/>
      <c r="H206" s="273"/>
      <c r="I206" s="273"/>
      <c r="J206" s="273"/>
      <c r="K206" s="273"/>
      <c r="L206" s="273"/>
      <c r="M206" s="273"/>
    </row>
    <row r="207" spans="2:13" x14ac:dyDescent="0.3">
      <c r="B207" s="50"/>
      <c r="C207" s="50"/>
      <c r="D207" s="50"/>
      <c r="E207" s="271"/>
      <c r="F207" s="271"/>
      <c r="G207" s="273"/>
      <c r="H207" s="273"/>
      <c r="I207" s="273"/>
      <c r="J207" s="273"/>
      <c r="K207" s="273"/>
      <c r="L207" s="273"/>
      <c r="M207" s="273"/>
    </row>
    <row r="208" spans="2:13" x14ac:dyDescent="0.3">
      <c r="B208" s="50"/>
      <c r="C208" s="50"/>
      <c r="D208" s="50"/>
      <c r="E208" s="271"/>
      <c r="F208" s="271"/>
      <c r="G208" s="273"/>
      <c r="H208" s="273"/>
      <c r="I208" s="273"/>
      <c r="J208" s="273"/>
      <c r="K208" s="273"/>
      <c r="L208" s="273"/>
      <c r="M208" s="273"/>
    </row>
    <row r="209" spans="2:13" x14ac:dyDescent="0.3">
      <c r="B209" s="50"/>
      <c r="C209" s="50"/>
      <c r="D209" s="50"/>
      <c r="E209" s="271"/>
      <c r="F209" s="271"/>
      <c r="G209" s="273"/>
      <c r="H209" s="273"/>
      <c r="I209" s="273"/>
      <c r="J209" s="273"/>
      <c r="K209" s="273"/>
      <c r="L209" s="273"/>
      <c r="M209" s="273"/>
    </row>
    <row r="210" spans="2:13" x14ac:dyDescent="0.3">
      <c r="B210" s="50"/>
      <c r="C210" s="50"/>
      <c r="D210" s="50"/>
      <c r="E210" s="271"/>
      <c r="F210" s="271"/>
      <c r="G210" s="273"/>
      <c r="H210" s="273"/>
      <c r="I210" s="273"/>
      <c r="J210" s="273"/>
      <c r="K210" s="273"/>
      <c r="L210" s="273"/>
      <c r="M210" s="273"/>
    </row>
    <row r="211" spans="2:13" x14ac:dyDescent="0.3">
      <c r="B211" s="50"/>
      <c r="C211" s="50"/>
      <c r="D211" s="50"/>
      <c r="E211" s="271"/>
      <c r="F211" s="271"/>
      <c r="G211" s="273"/>
      <c r="H211" s="273"/>
      <c r="I211" s="273"/>
      <c r="J211" s="273"/>
      <c r="K211" s="273"/>
      <c r="L211" s="273"/>
      <c r="M211" s="273"/>
    </row>
    <row r="212" spans="2:13" x14ac:dyDescent="0.3">
      <c r="B212" s="50"/>
      <c r="C212" s="50"/>
      <c r="D212" s="50"/>
      <c r="E212" s="271"/>
      <c r="F212" s="271"/>
      <c r="G212" s="273"/>
      <c r="H212" s="273"/>
      <c r="I212" s="273"/>
      <c r="J212" s="273"/>
      <c r="K212" s="273"/>
      <c r="L212" s="273"/>
      <c r="M212" s="273"/>
    </row>
    <row r="213" spans="2:13" x14ac:dyDescent="0.3">
      <c r="B213" s="50"/>
      <c r="C213" s="50"/>
      <c r="D213" s="50"/>
      <c r="E213" s="271"/>
      <c r="F213" s="271"/>
      <c r="G213" s="273"/>
      <c r="H213" s="273"/>
      <c r="I213" s="273"/>
      <c r="J213" s="273"/>
      <c r="K213" s="273"/>
      <c r="L213" s="273"/>
      <c r="M213" s="273"/>
    </row>
    <row r="214" spans="2:13" x14ac:dyDescent="0.3">
      <c r="B214" s="50"/>
      <c r="C214" s="50"/>
      <c r="D214" s="50"/>
      <c r="E214" s="271"/>
      <c r="F214" s="271"/>
      <c r="G214" s="273"/>
      <c r="H214" s="273"/>
      <c r="I214" s="273"/>
      <c r="J214" s="273"/>
      <c r="K214" s="273"/>
      <c r="L214" s="273"/>
      <c r="M214" s="273"/>
    </row>
    <row r="215" spans="2:13" x14ac:dyDescent="0.3">
      <c r="B215" s="50"/>
      <c r="C215" s="50"/>
      <c r="D215" s="50"/>
      <c r="E215" s="271"/>
      <c r="F215" s="271"/>
      <c r="G215" s="273"/>
      <c r="H215" s="273"/>
      <c r="I215" s="273"/>
      <c r="J215" s="273"/>
      <c r="K215" s="273"/>
      <c r="L215" s="273"/>
      <c r="M215" s="273"/>
    </row>
    <row r="216" spans="2:13" x14ac:dyDescent="0.3">
      <c r="B216" s="50"/>
      <c r="C216" s="50"/>
      <c r="D216" s="50"/>
      <c r="E216" s="271"/>
      <c r="F216" s="271"/>
      <c r="G216" s="273"/>
      <c r="H216" s="273"/>
      <c r="I216" s="273"/>
      <c r="J216" s="273"/>
      <c r="K216" s="273"/>
      <c r="L216" s="273"/>
      <c r="M216" s="273"/>
    </row>
    <row r="217" spans="2:13" x14ac:dyDescent="0.3">
      <c r="B217" s="50"/>
      <c r="C217" s="50"/>
      <c r="D217" s="50"/>
      <c r="E217" s="271"/>
      <c r="F217" s="271"/>
      <c r="G217" s="273"/>
      <c r="H217" s="273"/>
      <c r="I217" s="273"/>
      <c r="J217" s="273"/>
      <c r="K217" s="273"/>
      <c r="L217" s="273"/>
      <c r="M217" s="273"/>
    </row>
    <row r="218" spans="2:13" x14ac:dyDescent="0.3">
      <c r="B218" s="50"/>
      <c r="C218" s="50"/>
      <c r="D218" s="50"/>
      <c r="E218" s="271"/>
      <c r="F218" s="271"/>
      <c r="G218" s="273"/>
      <c r="H218" s="273"/>
      <c r="I218" s="273"/>
      <c r="J218" s="273"/>
      <c r="K218" s="273"/>
      <c r="L218" s="273"/>
      <c r="M218" s="273"/>
    </row>
    <row r="219" spans="2:13" x14ac:dyDescent="0.3">
      <c r="B219" s="50"/>
      <c r="C219" s="50"/>
      <c r="D219" s="50"/>
      <c r="E219" s="271"/>
      <c r="F219" s="271"/>
      <c r="G219" s="273"/>
      <c r="H219" s="273"/>
      <c r="I219" s="273"/>
      <c r="J219" s="273"/>
      <c r="K219" s="273"/>
      <c r="L219" s="273"/>
      <c r="M219" s="273"/>
    </row>
    <row r="220" spans="2:13" x14ac:dyDescent="0.3">
      <c r="B220" s="50"/>
      <c r="C220" s="50"/>
      <c r="D220" s="50"/>
      <c r="E220" s="271"/>
      <c r="F220" s="271"/>
      <c r="G220" s="273"/>
      <c r="H220" s="273"/>
      <c r="I220" s="273"/>
      <c r="J220" s="273"/>
      <c r="K220" s="273"/>
      <c r="L220" s="273"/>
      <c r="M220" s="273"/>
    </row>
    <row r="221" spans="2:13" x14ac:dyDescent="0.3">
      <c r="B221" s="50"/>
      <c r="C221" s="50"/>
      <c r="D221" s="50"/>
      <c r="E221" s="271"/>
      <c r="F221" s="271"/>
      <c r="G221" s="273"/>
      <c r="H221" s="273"/>
      <c r="I221" s="273"/>
      <c r="J221" s="273"/>
      <c r="K221" s="273"/>
      <c r="L221" s="273"/>
      <c r="M221" s="273"/>
    </row>
    <row r="222" spans="2:13" x14ac:dyDescent="0.3">
      <c r="B222" s="50"/>
      <c r="C222" s="50"/>
      <c r="D222" s="50"/>
      <c r="E222" s="271"/>
      <c r="F222" s="271"/>
      <c r="G222" s="273"/>
      <c r="H222" s="273"/>
      <c r="I222" s="273"/>
      <c r="J222" s="273"/>
      <c r="K222" s="273"/>
      <c r="L222" s="273"/>
      <c r="M222" s="273"/>
    </row>
    <row r="223" spans="2:13" x14ac:dyDescent="0.3">
      <c r="B223" s="50"/>
      <c r="C223" s="50"/>
      <c r="D223" s="50"/>
      <c r="E223" s="271"/>
      <c r="F223" s="271"/>
      <c r="G223" s="273"/>
      <c r="H223" s="273"/>
      <c r="I223" s="273"/>
      <c r="J223" s="273"/>
      <c r="K223" s="273"/>
      <c r="L223" s="273"/>
      <c r="M223" s="273"/>
    </row>
    <row r="224" spans="2:13" x14ac:dyDescent="0.3">
      <c r="B224" s="50"/>
      <c r="C224" s="50"/>
      <c r="D224" s="50"/>
      <c r="E224" s="271"/>
      <c r="F224" s="271"/>
      <c r="G224" s="273"/>
      <c r="H224" s="273"/>
      <c r="I224" s="273"/>
      <c r="J224" s="273"/>
      <c r="K224" s="273"/>
      <c r="L224" s="273"/>
      <c r="M224" s="273"/>
    </row>
    <row r="225" spans="2:13" x14ac:dyDescent="0.3">
      <c r="B225" s="50"/>
      <c r="C225" s="50"/>
      <c r="D225" s="50"/>
      <c r="E225" s="271"/>
      <c r="F225" s="271"/>
      <c r="G225" s="273"/>
      <c r="H225" s="273"/>
      <c r="I225" s="273"/>
      <c r="J225" s="273"/>
      <c r="K225" s="273"/>
      <c r="L225" s="273"/>
      <c r="M225" s="273"/>
    </row>
    <row r="226" spans="2:13" x14ac:dyDescent="0.3">
      <c r="B226" s="50"/>
      <c r="C226" s="50"/>
      <c r="D226" s="50"/>
      <c r="E226" s="271"/>
      <c r="F226" s="271"/>
      <c r="G226" s="273"/>
      <c r="H226" s="273"/>
      <c r="I226" s="273"/>
      <c r="J226" s="273"/>
      <c r="K226" s="273"/>
      <c r="L226" s="273"/>
      <c r="M226" s="273"/>
    </row>
    <row r="227" spans="2:13" x14ac:dyDescent="0.3">
      <c r="B227" s="50"/>
      <c r="C227" s="50"/>
      <c r="D227" s="50"/>
      <c r="E227" s="271"/>
      <c r="F227" s="271"/>
      <c r="G227" s="273"/>
      <c r="H227" s="273"/>
      <c r="I227" s="273"/>
      <c r="J227" s="273"/>
      <c r="K227" s="273"/>
      <c r="L227" s="273"/>
      <c r="M227" s="273"/>
    </row>
    <row r="228" spans="2:13" x14ac:dyDescent="0.3">
      <c r="B228" s="50"/>
      <c r="C228" s="50"/>
      <c r="D228" s="50"/>
      <c r="E228" s="271"/>
      <c r="F228" s="271"/>
      <c r="G228" s="273"/>
      <c r="H228" s="273"/>
      <c r="I228" s="273"/>
      <c r="J228" s="273"/>
      <c r="K228" s="273"/>
      <c r="L228" s="273"/>
      <c r="M228" s="273"/>
    </row>
    <row r="229" spans="2:13" x14ac:dyDescent="0.3">
      <c r="B229" s="50"/>
      <c r="C229" s="50"/>
      <c r="D229" s="50"/>
      <c r="E229" s="271"/>
      <c r="F229" s="271"/>
      <c r="G229" s="273"/>
      <c r="H229" s="273"/>
      <c r="I229" s="273"/>
      <c r="J229" s="273"/>
      <c r="K229" s="273"/>
      <c r="L229" s="273"/>
      <c r="M229" s="273"/>
    </row>
    <row r="230" spans="2:13" x14ac:dyDescent="0.3">
      <c r="B230" s="50"/>
      <c r="C230" s="50"/>
      <c r="D230" s="50"/>
      <c r="E230" s="271"/>
      <c r="F230" s="271"/>
      <c r="G230" s="273"/>
      <c r="H230" s="273"/>
      <c r="I230" s="273"/>
      <c r="J230" s="273"/>
      <c r="K230" s="273"/>
      <c r="L230" s="273"/>
      <c r="M230" s="273"/>
    </row>
    <row r="231" spans="2:13" x14ac:dyDescent="0.3">
      <c r="B231" s="50"/>
      <c r="C231" s="50"/>
      <c r="D231" s="50"/>
      <c r="E231" s="271"/>
      <c r="F231" s="271"/>
      <c r="G231" s="273"/>
      <c r="H231" s="273"/>
      <c r="I231" s="273"/>
      <c r="J231" s="273"/>
      <c r="K231" s="273"/>
      <c r="L231" s="273"/>
      <c r="M231" s="273"/>
    </row>
    <row r="232" spans="2:13" x14ac:dyDescent="0.3">
      <c r="B232" s="50"/>
      <c r="C232" s="50"/>
      <c r="D232" s="50"/>
      <c r="E232" s="271"/>
      <c r="F232" s="271"/>
      <c r="G232" s="273"/>
      <c r="H232" s="273"/>
      <c r="I232" s="273"/>
      <c r="J232" s="273"/>
      <c r="K232" s="273"/>
      <c r="L232" s="273"/>
      <c r="M232" s="273"/>
    </row>
    <row r="233" spans="2:13" x14ac:dyDescent="0.3">
      <c r="B233" s="50"/>
      <c r="C233" s="50"/>
      <c r="D233" s="50"/>
      <c r="E233" s="271"/>
      <c r="F233" s="271"/>
      <c r="G233" s="273"/>
      <c r="H233" s="273"/>
      <c r="I233" s="273"/>
      <c r="J233" s="273"/>
      <c r="K233" s="273"/>
      <c r="L233" s="273"/>
      <c r="M233" s="273"/>
    </row>
    <row r="234" spans="2:13" x14ac:dyDescent="0.3">
      <c r="B234" s="50"/>
      <c r="C234" s="50"/>
      <c r="D234" s="50"/>
      <c r="E234" s="271"/>
      <c r="F234" s="271"/>
      <c r="G234" s="273"/>
      <c r="H234" s="273"/>
      <c r="I234" s="273"/>
      <c r="J234" s="273"/>
      <c r="K234" s="273"/>
      <c r="L234" s="273"/>
      <c r="M234" s="273"/>
    </row>
    <row r="235" spans="2:13" x14ac:dyDescent="0.3">
      <c r="B235" s="50"/>
      <c r="C235" s="50"/>
      <c r="D235" s="50"/>
      <c r="E235" s="271"/>
      <c r="F235" s="271"/>
      <c r="G235" s="273"/>
      <c r="H235" s="273"/>
      <c r="I235" s="273"/>
      <c r="J235" s="273"/>
      <c r="K235" s="273"/>
      <c r="L235" s="273"/>
      <c r="M235" s="273"/>
    </row>
    <row r="236" spans="2:13" x14ac:dyDescent="0.3">
      <c r="B236" s="50"/>
      <c r="C236" s="50"/>
      <c r="D236" s="50"/>
      <c r="E236" s="271"/>
      <c r="F236" s="271"/>
      <c r="G236" s="273"/>
      <c r="H236" s="273"/>
      <c r="I236" s="273"/>
      <c r="J236" s="273"/>
      <c r="K236" s="273"/>
      <c r="L236" s="273"/>
      <c r="M236" s="273"/>
    </row>
    <row r="237" spans="2:13" x14ac:dyDescent="0.3">
      <c r="B237" s="50"/>
      <c r="C237" s="50"/>
      <c r="D237" s="50"/>
      <c r="E237" s="271"/>
      <c r="F237" s="271"/>
      <c r="G237" s="273"/>
      <c r="H237" s="273"/>
      <c r="I237" s="273"/>
      <c r="J237" s="273"/>
      <c r="K237" s="273"/>
      <c r="L237" s="273"/>
      <c r="M237" s="273"/>
    </row>
    <row r="238" spans="2:13" x14ac:dyDescent="0.3">
      <c r="B238" s="50"/>
      <c r="C238" s="50"/>
      <c r="D238" s="50"/>
      <c r="E238" s="271"/>
      <c r="F238" s="271"/>
      <c r="G238" s="273"/>
      <c r="H238" s="273"/>
      <c r="I238" s="273"/>
      <c r="J238" s="273"/>
      <c r="K238" s="273"/>
      <c r="L238" s="273"/>
      <c r="M238" s="273"/>
    </row>
    <row r="239" spans="2:13" x14ac:dyDescent="0.3">
      <c r="B239" s="50"/>
      <c r="C239" s="50"/>
      <c r="D239" s="50"/>
      <c r="E239" s="271"/>
      <c r="F239" s="271"/>
      <c r="G239" s="273"/>
      <c r="H239" s="273"/>
      <c r="I239" s="273"/>
      <c r="J239" s="273"/>
      <c r="K239" s="273"/>
      <c r="L239" s="273"/>
      <c r="M239" s="273"/>
    </row>
    <row r="240" spans="2:13" x14ac:dyDescent="0.3">
      <c r="B240" s="50"/>
      <c r="C240" s="50"/>
      <c r="D240" s="50"/>
      <c r="E240" s="271"/>
      <c r="F240" s="271"/>
      <c r="G240" s="273"/>
      <c r="H240" s="273"/>
      <c r="I240" s="273"/>
      <c r="J240" s="273"/>
      <c r="K240" s="273"/>
      <c r="L240" s="273"/>
      <c r="M240" s="273"/>
    </row>
    <row r="241" spans="2:13" x14ac:dyDescent="0.3">
      <c r="B241" s="50"/>
      <c r="C241" s="50"/>
      <c r="D241" s="50"/>
      <c r="E241" s="271"/>
      <c r="F241" s="271"/>
      <c r="G241" s="273"/>
      <c r="H241" s="273"/>
      <c r="I241" s="273"/>
      <c r="J241" s="273"/>
      <c r="K241" s="273"/>
      <c r="L241" s="273"/>
      <c r="M241" s="273"/>
    </row>
    <row r="242" spans="2:13" x14ac:dyDescent="0.3">
      <c r="B242" s="50"/>
      <c r="C242" s="50"/>
      <c r="D242" s="50"/>
      <c r="E242" s="271"/>
      <c r="F242" s="271"/>
      <c r="G242" s="273"/>
      <c r="H242" s="273"/>
      <c r="I242" s="273"/>
      <c r="J242" s="273"/>
      <c r="K242" s="273"/>
      <c r="L242" s="273"/>
      <c r="M242" s="273"/>
    </row>
    <row r="243" spans="2:13" x14ac:dyDescent="0.3">
      <c r="B243" s="50"/>
      <c r="C243" s="50"/>
      <c r="D243" s="50"/>
      <c r="E243" s="271"/>
      <c r="F243" s="271"/>
      <c r="G243" s="273"/>
      <c r="H243" s="273"/>
      <c r="I243" s="273"/>
      <c r="J243" s="273"/>
      <c r="K243" s="273"/>
      <c r="L243" s="273"/>
      <c r="M243" s="273"/>
    </row>
    <row r="244" spans="2:13" x14ac:dyDescent="0.3">
      <c r="B244" s="50"/>
      <c r="C244" s="50"/>
      <c r="D244" s="50"/>
      <c r="E244" s="271"/>
      <c r="F244" s="271"/>
      <c r="G244" s="273"/>
      <c r="H244" s="273"/>
      <c r="I244" s="273"/>
      <c r="J244" s="273"/>
      <c r="K244" s="273"/>
      <c r="L244" s="273"/>
      <c r="M244" s="273"/>
    </row>
    <row r="245" spans="2:13" x14ac:dyDescent="0.3">
      <c r="B245" s="50"/>
      <c r="C245" s="50"/>
      <c r="D245" s="50"/>
      <c r="E245" s="271"/>
      <c r="F245" s="271"/>
      <c r="G245" s="273"/>
      <c r="H245" s="273"/>
      <c r="I245" s="273"/>
      <c r="J245" s="273"/>
      <c r="K245" s="273"/>
      <c r="L245" s="273"/>
      <c r="M245" s="273"/>
    </row>
    <row r="246" spans="2:13" x14ac:dyDescent="0.3">
      <c r="B246" s="50"/>
      <c r="C246" s="50"/>
      <c r="D246" s="50"/>
      <c r="E246" s="271"/>
      <c r="F246" s="271"/>
      <c r="G246" s="273"/>
      <c r="H246" s="273"/>
      <c r="I246" s="273"/>
      <c r="J246" s="273"/>
      <c r="K246" s="273"/>
      <c r="L246" s="273"/>
      <c r="M246" s="273"/>
    </row>
    <row r="247" spans="2:13" x14ac:dyDescent="0.3">
      <c r="B247" s="50"/>
      <c r="C247" s="50"/>
      <c r="D247" s="50"/>
      <c r="E247" s="271"/>
      <c r="F247" s="271"/>
      <c r="G247" s="273"/>
      <c r="H247" s="273"/>
      <c r="I247" s="273"/>
      <c r="J247" s="273"/>
      <c r="K247" s="273"/>
      <c r="L247" s="273"/>
      <c r="M247" s="273"/>
    </row>
    <row r="248" spans="2:13" x14ac:dyDescent="0.3">
      <c r="B248" s="50"/>
      <c r="C248" s="50"/>
      <c r="D248" s="50"/>
      <c r="E248" s="271"/>
      <c r="F248" s="271"/>
      <c r="G248" s="273"/>
      <c r="H248" s="273"/>
      <c r="I248" s="273"/>
      <c r="J248" s="273"/>
      <c r="K248" s="273"/>
      <c r="L248" s="273"/>
      <c r="M248" s="273"/>
    </row>
    <row r="249" spans="2:13" x14ac:dyDescent="0.3">
      <c r="B249" s="50"/>
      <c r="C249" s="50"/>
      <c r="D249" s="50"/>
      <c r="E249" s="271"/>
      <c r="F249" s="271"/>
      <c r="G249" s="273"/>
      <c r="H249" s="273"/>
      <c r="I249" s="273"/>
      <c r="J249" s="273"/>
      <c r="K249" s="273"/>
      <c r="L249" s="273"/>
      <c r="M249" s="273"/>
    </row>
    <row r="250" spans="2:13" x14ac:dyDescent="0.3">
      <c r="B250" s="50"/>
      <c r="C250" s="50"/>
      <c r="D250" s="50"/>
      <c r="E250" s="271"/>
      <c r="F250" s="271"/>
      <c r="G250" s="273"/>
      <c r="H250" s="273"/>
      <c r="I250" s="273"/>
      <c r="J250" s="273"/>
      <c r="K250" s="273"/>
      <c r="L250" s="273"/>
      <c r="M250" s="273"/>
    </row>
    <row r="251" spans="2:13" x14ac:dyDescent="0.3">
      <c r="B251" s="50"/>
      <c r="C251" s="50"/>
      <c r="D251" s="50"/>
      <c r="E251" s="271"/>
      <c r="F251" s="271"/>
      <c r="G251" s="273"/>
      <c r="H251" s="273"/>
      <c r="I251" s="273"/>
      <c r="J251" s="273"/>
      <c r="K251" s="273"/>
      <c r="L251" s="273"/>
      <c r="M251" s="273"/>
    </row>
    <row r="252" spans="2:13" x14ac:dyDescent="0.3">
      <c r="B252" s="50"/>
      <c r="C252" s="50"/>
      <c r="D252" s="50"/>
      <c r="E252" s="271"/>
      <c r="F252" s="271"/>
      <c r="G252" s="273"/>
      <c r="H252" s="273"/>
      <c r="I252" s="273"/>
      <c r="J252" s="273"/>
      <c r="K252" s="273"/>
      <c r="L252" s="273"/>
      <c r="M252" s="273"/>
    </row>
    <row r="253" spans="2:13" x14ac:dyDescent="0.3">
      <c r="B253" s="50"/>
      <c r="C253" s="50"/>
      <c r="D253" s="50"/>
      <c r="E253" s="271"/>
      <c r="F253" s="271"/>
      <c r="G253" s="273"/>
      <c r="H253" s="273"/>
      <c r="I253" s="273"/>
      <c r="J253" s="273"/>
      <c r="K253" s="273"/>
      <c r="L253" s="273"/>
      <c r="M253" s="273"/>
    </row>
    <row r="254" spans="2:13" x14ac:dyDescent="0.3">
      <c r="B254" s="50"/>
      <c r="C254" s="50"/>
      <c r="D254" s="50"/>
      <c r="E254" s="271"/>
      <c r="F254" s="271"/>
      <c r="G254" s="273"/>
      <c r="H254" s="273"/>
      <c r="I254" s="273"/>
      <c r="J254" s="273"/>
      <c r="K254" s="273"/>
      <c r="L254" s="273"/>
      <c r="M254" s="273"/>
    </row>
    <row r="255" spans="2:13" x14ac:dyDescent="0.3">
      <c r="B255" s="50"/>
      <c r="C255" s="50"/>
      <c r="D255" s="50"/>
      <c r="E255" s="271"/>
      <c r="F255" s="271"/>
      <c r="G255" s="273"/>
      <c r="H255" s="273"/>
      <c r="I255" s="273"/>
      <c r="J255" s="273"/>
      <c r="K255" s="273"/>
      <c r="L255" s="273"/>
      <c r="M255" s="273"/>
    </row>
    <row r="256" spans="2:13" x14ac:dyDescent="0.3">
      <c r="B256" s="50"/>
      <c r="C256" s="50"/>
      <c r="D256" s="50"/>
      <c r="E256" s="271"/>
      <c r="F256" s="271"/>
      <c r="G256" s="273"/>
      <c r="H256" s="273"/>
      <c r="I256" s="273"/>
      <c r="J256" s="273"/>
      <c r="K256" s="273"/>
      <c r="L256" s="273"/>
      <c r="M256" s="273"/>
    </row>
    <row r="257" spans="2:13" x14ac:dyDescent="0.3">
      <c r="B257" s="50"/>
      <c r="C257" s="50"/>
      <c r="D257" s="50"/>
      <c r="E257" s="271"/>
      <c r="F257" s="271"/>
      <c r="G257" s="273"/>
      <c r="H257" s="273"/>
      <c r="I257" s="273"/>
      <c r="J257" s="273"/>
      <c r="K257" s="273"/>
      <c r="L257" s="273"/>
      <c r="M257" s="273"/>
    </row>
    <row r="258" spans="2:13" x14ac:dyDescent="0.3">
      <c r="B258" s="50"/>
      <c r="C258" s="50"/>
      <c r="D258" s="50"/>
      <c r="E258" s="271"/>
      <c r="F258" s="271"/>
      <c r="G258" s="273"/>
      <c r="H258" s="273"/>
      <c r="I258" s="273"/>
      <c r="J258" s="273"/>
      <c r="K258" s="273"/>
      <c r="L258" s="273"/>
      <c r="M258" s="273"/>
    </row>
    <row r="259" spans="2:13" x14ac:dyDescent="0.3">
      <c r="B259" s="50"/>
      <c r="C259" s="50"/>
      <c r="D259" s="50"/>
      <c r="E259" s="271"/>
      <c r="F259" s="271"/>
      <c r="G259" s="273"/>
      <c r="H259" s="273"/>
      <c r="I259" s="273"/>
      <c r="J259" s="273"/>
      <c r="K259" s="273"/>
      <c r="L259" s="273"/>
      <c r="M259" s="273"/>
    </row>
    <row r="260" spans="2:13" x14ac:dyDescent="0.3">
      <c r="B260" s="50"/>
      <c r="C260" s="50"/>
      <c r="D260" s="50"/>
      <c r="E260" s="271"/>
      <c r="F260" s="271"/>
      <c r="G260" s="273"/>
      <c r="H260" s="273"/>
      <c r="I260" s="273"/>
      <c r="J260" s="273"/>
      <c r="K260" s="273"/>
      <c r="L260" s="273"/>
      <c r="M260" s="273"/>
    </row>
    <row r="261" spans="2:13" x14ac:dyDescent="0.3">
      <c r="B261" s="50"/>
      <c r="C261" s="50"/>
      <c r="D261" s="50"/>
      <c r="E261" s="271"/>
      <c r="F261" s="271"/>
      <c r="G261" s="273"/>
      <c r="H261" s="273"/>
      <c r="I261" s="273"/>
      <c r="J261" s="273"/>
      <c r="K261" s="273"/>
      <c r="L261" s="273"/>
      <c r="M261" s="273"/>
    </row>
    <row r="262" spans="2:13" x14ac:dyDescent="0.3">
      <c r="B262" s="50"/>
      <c r="C262" s="50"/>
      <c r="D262" s="50"/>
      <c r="E262" s="271"/>
      <c r="F262" s="271"/>
      <c r="G262" s="273"/>
      <c r="H262" s="273"/>
      <c r="I262" s="273"/>
      <c r="J262" s="273"/>
      <c r="K262" s="273"/>
      <c r="L262" s="273"/>
      <c r="M262" s="273"/>
    </row>
    <row r="263" spans="2:13" x14ac:dyDescent="0.3">
      <c r="B263" s="50"/>
      <c r="C263" s="50"/>
      <c r="D263" s="50"/>
      <c r="E263" s="271"/>
      <c r="F263" s="271"/>
      <c r="G263" s="273"/>
      <c r="H263" s="273"/>
      <c r="I263" s="273"/>
      <c r="J263" s="273"/>
      <c r="K263" s="273"/>
      <c r="L263" s="273"/>
      <c r="M263" s="273"/>
    </row>
    <row r="264" spans="2:13" x14ac:dyDescent="0.3">
      <c r="B264" s="50"/>
      <c r="C264" s="50"/>
      <c r="D264" s="50"/>
      <c r="E264" s="271"/>
      <c r="F264" s="271"/>
      <c r="G264" s="273"/>
      <c r="H264" s="273"/>
      <c r="I264" s="273"/>
      <c r="J264" s="273"/>
      <c r="K264" s="273"/>
      <c r="L264" s="273"/>
      <c r="M264" s="273"/>
    </row>
    <row r="265" spans="2:13" x14ac:dyDescent="0.3">
      <c r="B265" s="50"/>
      <c r="C265" s="50"/>
      <c r="D265" s="50"/>
      <c r="E265" s="271"/>
      <c r="F265" s="271"/>
      <c r="G265" s="273"/>
      <c r="H265" s="273"/>
      <c r="I265" s="273"/>
      <c r="J265" s="273"/>
      <c r="K265" s="273"/>
      <c r="L265" s="273"/>
      <c r="M265" s="273"/>
    </row>
    <row r="266" spans="2:13" x14ac:dyDescent="0.3">
      <c r="B266" s="50"/>
      <c r="C266" s="50"/>
      <c r="D266" s="50"/>
      <c r="E266" s="271"/>
      <c r="F266" s="271"/>
      <c r="G266" s="273"/>
      <c r="H266" s="273"/>
      <c r="I266" s="273"/>
      <c r="J266" s="273"/>
      <c r="K266" s="273"/>
      <c r="L266" s="273"/>
      <c r="M266" s="273"/>
    </row>
    <row r="267" spans="2:13" x14ac:dyDescent="0.3">
      <c r="B267" s="50"/>
      <c r="C267" s="50"/>
      <c r="D267" s="50"/>
      <c r="E267" s="271"/>
      <c r="F267" s="271"/>
      <c r="G267" s="273"/>
      <c r="H267" s="273"/>
      <c r="I267" s="273"/>
      <c r="J267" s="273"/>
      <c r="K267" s="273"/>
      <c r="L267" s="273"/>
      <c r="M267" s="273"/>
    </row>
    <row r="268" spans="2:13" x14ac:dyDescent="0.3">
      <c r="B268" s="50"/>
      <c r="C268" s="50"/>
      <c r="D268" s="50"/>
      <c r="E268" s="271"/>
      <c r="F268" s="271"/>
      <c r="G268" s="273"/>
      <c r="H268" s="273"/>
      <c r="I268" s="273"/>
      <c r="J268" s="273"/>
      <c r="K268" s="273"/>
      <c r="L268" s="273"/>
      <c r="M268" s="273"/>
    </row>
    <row r="269" spans="2:13" x14ac:dyDescent="0.3">
      <c r="B269" s="50"/>
      <c r="C269" s="50"/>
      <c r="D269" s="50"/>
      <c r="E269" s="271"/>
      <c r="F269" s="271"/>
      <c r="G269" s="273"/>
      <c r="H269" s="273"/>
      <c r="I269" s="273"/>
      <c r="J269" s="273"/>
      <c r="K269" s="273"/>
      <c r="L269" s="273"/>
      <c r="M269" s="273"/>
    </row>
    <row r="270" spans="2:13" x14ac:dyDescent="0.3">
      <c r="B270" s="50"/>
      <c r="C270" s="50"/>
      <c r="D270" s="50"/>
      <c r="E270" s="271"/>
      <c r="F270" s="271"/>
      <c r="G270" s="273"/>
      <c r="H270" s="273"/>
      <c r="I270" s="273"/>
      <c r="J270" s="273"/>
      <c r="K270" s="273"/>
      <c r="L270" s="273"/>
      <c r="M270" s="273"/>
    </row>
    <row r="271" spans="2:13" x14ac:dyDescent="0.3">
      <c r="B271" s="50"/>
      <c r="C271" s="50"/>
      <c r="D271" s="50"/>
      <c r="E271" s="271"/>
      <c r="F271" s="271"/>
      <c r="G271" s="273"/>
      <c r="H271" s="273"/>
      <c r="I271" s="273"/>
      <c r="J271" s="273"/>
      <c r="K271" s="273"/>
      <c r="L271" s="273"/>
      <c r="M271" s="273"/>
    </row>
    <row r="272" spans="2:13" x14ac:dyDescent="0.3">
      <c r="B272" s="50"/>
      <c r="C272" s="50"/>
      <c r="D272" s="50"/>
      <c r="E272" s="271"/>
      <c r="F272" s="271"/>
      <c r="G272" s="273"/>
      <c r="H272" s="273"/>
      <c r="I272" s="273"/>
      <c r="J272" s="273"/>
      <c r="K272" s="273"/>
      <c r="L272" s="273"/>
      <c r="M272" s="273"/>
    </row>
    <row r="273" spans="2:13" x14ac:dyDescent="0.3">
      <c r="B273" s="50"/>
      <c r="C273" s="50"/>
      <c r="D273" s="50"/>
      <c r="E273" s="271"/>
      <c r="F273" s="271"/>
      <c r="G273" s="273"/>
      <c r="H273" s="273"/>
      <c r="I273" s="273"/>
      <c r="J273" s="273"/>
      <c r="K273" s="273"/>
      <c r="L273" s="273"/>
      <c r="M273" s="273"/>
    </row>
    <row r="274" spans="2:13" x14ac:dyDescent="0.3">
      <c r="B274" s="50"/>
      <c r="C274" s="50"/>
      <c r="D274" s="50"/>
      <c r="E274" s="271"/>
      <c r="F274" s="271"/>
      <c r="G274" s="273"/>
      <c r="H274" s="273"/>
      <c r="I274" s="273"/>
      <c r="J274" s="273"/>
      <c r="K274" s="273"/>
      <c r="L274" s="273"/>
      <c r="M274" s="273"/>
    </row>
    <row r="275" spans="2:13" x14ac:dyDescent="0.3">
      <c r="B275" s="50"/>
      <c r="C275" s="50"/>
      <c r="D275" s="50"/>
      <c r="E275" s="271"/>
      <c r="F275" s="271"/>
      <c r="G275" s="273"/>
      <c r="H275" s="273"/>
      <c r="I275" s="273"/>
      <c r="J275" s="273"/>
      <c r="K275" s="273"/>
      <c r="L275" s="273"/>
      <c r="M275" s="273"/>
    </row>
    <row r="276" spans="2:13" x14ac:dyDescent="0.3">
      <c r="B276" s="50"/>
      <c r="C276" s="50"/>
      <c r="D276" s="50"/>
      <c r="E276" s="271"/>
      <c r="F276" s="271"/>
      <c r="G276" s="273"/>
      <c r="H276" s="273"/>
      <c r="I276" s="273"/>
      <c r="J276" s="273"/>
      <c r="K276" s="273"/>
      <c r="L276" s="273"/>
      <c r="M276" s="273"/>
    </row>
    <row r="277" spans="2:13" x14ac:dyDescent="0.3">
      <c r="B277" s="50"/>
      <c r="C277" s="50"/>
      <c r="D277" s="50"/>
      <c r="E277" s="271"/>
      <c r="F277" s="271"/>
      <c r="G277" s="273"/>
      <c r="H277" s="273"/>
      <c r="I277" s="273"/>
      <c r="J277" s="273"/>
      <c r="K277" s="273"/>
      <c r="L277" s="273"/>
      <c r="M277" s="273"/>
    </row>
    <row r="278" spans="2:13" x14ac:dyDescent="0.3">
      <c r="B278" s="50"/>
      <c r="C278" s="50"/>
      <c r="D278" s="50"/>
      <c r="E278" s="271"/>
      <c r="F278" s="271"/>
      <c r="G278" s="273"/>
      <c r="H278" s="273"/>
      <c r="I278" s="273"/>
      <c r="J278" s="273"/>
      <c r="K278" s="273"/>
      <c r="L278" s="273"/>
      <c r="M278" s="273"/>
    </row>
    <row r="279" spans="2:13" x14ac:dyDescent="0.3">
      <c r="B279" s="50"/>
      <c r="C279" s="50"/>
      <c r="D279" s="50"/>
      <c r="E279" s="271"/>
      <c r="F279" s="271"/>
      <c r="G279" s="273"/>
      <c r="H279" s="273"/>
      <c r="I279" s="273"/>
      <c r="J279" s="273"/>
      <c r="K279" s="273"/>
      <c r="L279" s="273"/>
      <c r="M279" s="273"/>
    </row>
    <row r="280" spans="2:13" x14ac:dyDescent="0.3">
      <c r="B280" s="50"/>
      <c r="C280" s="50"/>
      <c r="D280" s="50"/>
      <c r="E280" s="271"/>
      <c r="F280" s="271"/>
      <c r="G280" s="273"/>
      <c r="H280" s="273"/>
      <c r="I280" s="273"/>
      <c r="J280" s="273"/>
      <c r="K280" s="273"/>
      <c r="L280" s="273"/>
      <c r="M280" s="273"/>
    </row>
    <row r="281" spans="2:13" x14ac:dyDescent="0.3">
      <c r="B281" s="50"/>
      <c r="C281" s="50"/>
      <c r="D281" s="50"/>
      <c r="E281" s="271"/>
      <c r="F281" s="271"/>
      <c r="G281" s="273"/>
      <c r="H281" s="273"/>
      <c r="I281" s="273"/>
      <c r="J281" s="273"/>
      <c r="K281" s="273"/>
      <c r="L281" s="273"/>
      <c r="M281" s="273"/>
    </row>
    <row r="282" spans="2:13" x14ac:dyDescent="0.3">
      <c r="B282" s="50"/>
      <c r="C282" s="50"/>
      <c r="D282" s="50"/>
      <c r="E282" s="271"/>
      <c r="F282" s="271"/>
      <c r="G282" s="273"/>
      <c r="H282" s="273"/>
      <c r="I282" s="273"/>
      <c r="J282" s="273"/>
      <c r="K282" s="273"/>
      <c r="L282" s="273"/>
      <c r="M282" s="273"/>
    </row>
    <row r="283" spans="2:13" x14ac:dyDescent="0.3">
      <c r="B283" s="50"/>
      <c r="C283" s="50"/>
      <c r="D283" s="50"/>
      <c r="E283" s="271"/>
      <c r="F283" s="271"/>
      <c r="G283" s="273"/>
      <c r="H283" s="273"/>
      <c r="I283" s="273"/>
      <c r="J283" s="273"/>
      <c r="K283" s="273"/>
      <c r="L283" s="273"/>
      <c r="M283" s="273"/>
    </row>
    <row r="284" spans="2:13" x14ac:dyDescent="0.3">
      <c r="B284" s="50"/>
      <c r="C284" s="50"/>
      <c r="D284" s="50"/>
      <c r="E284" s="271"/>
      <c r="F284" s="271"/>
      <c r="G284" s="273"/>
      <c r="H284" s="273"/>
      <c r="I284" s="273"/>
      <c r="J284" s="273"/>
      <c r="K284" s="273"/>
      <c r="L284" s="273"/>
      <c r="M284" s="273"/>
    </row>
    <row r="285" spans="2:13" x14ac:dyDescent="0.3">
      <c r="B285" s="50"/>
      <c r="C285" s="50"/>
      <c r="D285" s="50"/>
      <c r="E285" s="271"/>
      <c r="F285" s="271"/>
      <c r="G285" s="273"/>
      <c r="H285" s="273"/>
      <c r="I285" s="273"/>
      <c r="J285" s="273"/>
      <c r="K285" s="273"/>
      <c r="L285" s="273"/>
      <c r="M285" s="273"/>
    </row>
    <row r="286" spans="2:13" x14ac:dyDescent="0.3">
      <c r="B286" s="50"/>
      <c r="C286" s="50"/>
      <c r="D286" s="50"/>
      <c r="E286" s="271"/>
      <c r="F286" s="271"/>
      <c r="G286" s="273"/>
      <c r="H286" s="273"/>
      <c r="I286" s="273"/>
      <c r="J286" s="273"/>
      <c r="K286" s="273"/>
      <c r="L286" s="273"/>
      <c r="M286" s="273"/>
    </row>
    <row r="287" spans="2:13" x14ac:dyDescent="0.3">
      <c r="B287" s="50"/>
      <c r="C287" s="50"/>
      <c r="D287" s="50"/>
      <c r="E287" s="271"/>
      <c r="F287" s="271"/>
      <c r="G287" s="273"/>
      <c r="H287" s="273"/>
      <c r="I287" s="273"/>
      <c r="J287" s="273"/>
      <c r="K287" s="273"/>
      <c r="L287" s="273"/>
      <c r="M287" s="273"/>
    </row>
    <row r="288" spans="2:13" x14ac:dyDescent="0.3">
      <c r="B288" s="50"/>
      <c r="C288" s="50"/>
      <c r="D288" s="50"/>
      <c r="E288" s="271"/>
      <c r="F288" s="271"/>
      <c r="G288" s="273"/>
      <c r="H288" s="273"/>
      <c r="I288" s="273"/>
      <c r="J288" s="273"/>
      <c r="K288" s="273"/>
      <c r="L288" s="273"/>
      <c r="M288" s="273"/>
    </row>
    <row r="289" spans="2:13" x14ac:dyDescent="0.3">
      <c r="B289" s="50"/>
      <c r="C289" s="50"/>
      <c r="D289" s="50"/>
      <c r="E289" s="271"/>
      <c r="F289" s="271"/>
      <c r="G289" s="273"/>
      <c r="H289" s="273"/>
      <c r="I289" s="273"/>
      <c r="J289" s="273"/>
      <c r="K289" s="273"/>
      <c r="L289" s="273"/>
      <c r="M289" s="273"/>
    </row>
    <row r="290" spans="2:13" x14ac:dyDescent="0.3">
      <c r="B290" s="50"/>
      <c r="C290" s="50"/>
      <c r="D290" s="50"/>
      <c r="E290" s="271"/>
      <c r="F290" s="271"/>
      <c r="G290" s="273"/>
      <c r="H290" s="273"/>
      <c r="I290" s="273"/>
      <c r="J290" s="273"/>
      <c r="K290" s="273"/>
      <c r="L290" s="273"/>
      <c r="M290" s="273"/>
    </row>
    <row r="291" spans="2:13" x14ac:dyDescent="0.3">
      <c r="B291" s="50"/>
      <c r="C291" s="50"/>
      <c r="D291" s="50"/>
      <c r="E291" s="271"/>
      <c r="F291" s="271"/>
      <c r="G291" s="273"/>
      <c r="H291" s="273"/>
      <c r="I291" s="273"/>
      <c r="J291" s="273"/>
      <c r="K291" s="273"/>
      <c r="L291" s="273"/>
      <c r="M291" s="273"/>
    </row>
    <row r="292" spans="2:13" x14ac:dyDescent="0.3">
      <c r="B292" s="50"/>
      <c r="C292" s="50"/>
      <c r="D292" s="50"/>
      <c r="E292" s="271"/>
      <c r="F292" s="271"/>
      <c r="G292" s="273"/>
      <c r="H292" s="273"/>
      <c r="I292" s="273"/>
      <c r="J292" s="273"/>
      <c r="K292" s="273"/>
      <c r="L292" s="273"/>
      <c r="M292" s="273"/>
    </row>
    <row r="293" spans="2:13" x14ac:dyDescent="0.3">
      <c r="B293" s="50"/>
      <c r="C293" s="50"/>
      <c r="D293" s="50"/>
      <c r="E293" s="271"/>
      <c r="F293" s="271"/>
      <c r="G293" s="273"/>
      <c r="H293" s="273"/>
      <c r="I293" s="273"/>
      <c r="J293" s="273"/>
      <c r="K293" s="273"/>
      <c r="L293" s="273"/>
      <c r="M293" s="273"/>
    </row>
    <row r="294" spans="2:13" x14ac:dyDescent="0.3">
      <c r="B294" s="50"/>
      <c r="C294" s="50"/>
      <c r="D294" s="50"/>
      <c r="E294" s="271"/>
      <c r="F294" s="271"/>
      <c r="G294" s="273"/>
      <c r="H294" s="273"/>
      <c r="I294" s="273"/>
      <c r="J294" s="273"/>
      <c r="K294" s="273"/>
      <c r="L294" s="273"/>
      <c r="M294" s="273"/>
    </row>
    <row r="295" spans="2:13" x14ac:dyDescent="0.3">
      <c r="B295" s="50"/>
      <c r="C295" s="50"/>
      <c r="D295" s="50"/>
      <c r="E295" s="271"/>
      <c r="F295" s="271"/>
      <c r="G295" s="273"/>
      <c r="H295" s="273"/>
      <c r="I295" s="273"/>
      <c r="J295" s="273"/>
      <c r="K295" s="273"/>
      <c r="L295" s="273"/>
      <c r="M295" s="273"/>
    </row>
    <row r="296" spans="2:13" x14ac:dyDescent="0.3">
      <c r="B296" s="50"/>
      <c r="C296" s="50"/>
      <c r="D296" s="50"/>
      <c r="E296" s="271"/>
      <c r="F296" s="271"/>
      <c r="G296" s="273"/>
      <c r="H296" s="273"/>
      <c r="I296" s="273"/>
      <c r="J296" s="273"/>
      <c r="K296" s="273"/>
      <c r="L296" s="273"/>
      <c r="M296" s="273"/>
    </row>
    <row r="297" spans="2:13" x14ac:dyDescent="0.3">
      <c r="B297" s="50"/>
      <c r="C297" s="50"/>
      <c r="D297" s="50"/>
      <c r="E297" s="271"/>
      <c r="F297" s="271"/>
      <c r="G297" s="273"/>
      <c r="H297" s="273"/>
      <c r="I297" s="273"/>
      <c r="J297" s="273"/>
      <c r="K297" s="273"/>
      <c r="L297" s="273"/>
      <c r="M297" s="273"/>
    </row>
    <row r="298" spans="2:13" x14ac:dyDescent="0.3">
      <c r="B298" s="50"/>
      <c r="C298" s="50"/>
      <c r="D298" s="50"/>
      <c r="E298" s="271"/>
      <c r="F298" s="271"/>
      <c r="G298" s="273"/>
      <c r="H298" s="273"/>
      <c r="I298" s="273"/>
      <c r="J298" s="273"/>
      <c r="K298" s="273"/>
      <c r="L298" s="273"/>
      <c r="M298" s="273"/>
    </row>
    <row r="299" spans="2:13" x14ac:dyDescent="0.3">
      <c r="B299" s="50"/>
      <c r="C299" s="50"/>
      <c r="D299" s="50"/>
      <c r="E299" s="271"/>
      <c r="F299" s="271"/>
      <c r="G299" s="273"/>
      <c r="H299" s="273"/>
      <c r="I299" s="273"/>
      <c r="J299" s="273"/>
      <c r="K299" s="273"/>
      <c r="L299" s="273"/>
      <c r="M299" s="273"/>
    </row>
    <row r="300" spans="2:13" x14ac:dyDescent="0.3">
      <c r="B300" s="50"/>
      <c r="C300" s="50"/>
      <c r="D300" s="50"/>
      <c r="E300" s="271"/>
      <c r="F300" s="271"/>
      <c r="G300" s="273"/>
      <c r="H300" s="273"/>
      <c r="I300" s="273"/>
      <c r="J300" s="273"/>
      <c r="K300" s="273"/>
      <c r="L300" s="273"/>
      <c r="M300" s="273"/>
    </row>
    <row r="301" spans="2:13" x14ac:dyDescent="0.3">
      <c r="B301" s="50"/>
      <c r="C301" s="50"/>
      <c r="D301" s="50"/>
      <c r="E301" s="271"/>
      <c r="F301" s="271"/>
      <c r="G301" s="273"/>
      <c r="H301" s="273"/>
      <c r="I301" s="273"/>
      <c r="J301" s="273"/>
      <c r="K301" s="273"/>
      <c r="L301" s="273"/>
      <c r="M301" s="273"/>
    </row>
    <row r="302" spans="2:13" x14ac:dyDescent="0.3">
      <c r="B302" s="50"/>
      <c r="C302" s="50"/>
      <c r="D302" s="50"/>
      <c r="E302" s="271"/>
      <c r="F302" s="271"/>
      <c r="G302" s="273"/>
      <c r="H302" s="273"/>
      <c r="I302" s="273"/>
      <c r="J302" s="273"/>
      <c r="K302" s="273"/>
      <c r="L302" s="273"/>
      <c r="M302" s="273"/>
    </row>
    <row r="303" spans="2:13" x14ac:dyDescent="0.3">
      <c r="B303" s="50"/>
      <c r="C303" s="50"/>
      <c r="D303" s="50"/>
      <c r="E303" s="271"/>
      <c r="F303" s="271"/>
      <c r="G303" s="273"/>
      <c r="H303" s="273"/>
      <c r="I303" s="273"/>
      <c r="J303" s="273"/>
      <c r="K303" s="273"/>
      <c r="L303" s="273"/>
      <c r="M303" s="273"/>
    </row>
    <row r="304" spans="2:13" x14ac:dyDescent="0.3">
      <c r="B304" s="50"/>
      <c r="C304" s="50"/>
      <c r="D304" s="50"/>
      <c r="E304" s="271"/>
      <c r="F304" s="271"/>
      <c r="G304" s="273"/>
      <c r="H304" s="273"/>
      <c r="I304" s="273"/>
      <c r="J304" s="273"/>
      <c r="K304" s="273"/>
      <c r="L304" s="273"/>
      <c r="M304" s="273"/>
    </row>
    <row r="305" spans="2:13" x14ac:dyDescent="0.3">
      <c r="B305" s="50"/>
      <c r="C305" s="50"/>
      <c r="D305" s="50"/>
      <c r="E305" s="271"/>
      <c r="F305" s="271"/>
      <c r="G305" s="273"/>
      <c r="H305" s="273"/>
      <c r="I305" s="273"/>
      <c r="J305" s="273"/>
      <c r="K305" s="273"/>
      <c r="L305" s="273"/>
      <c r="M305" s="273"/>
    </row>
    <row r="306" spans="2:13" x14ac:dyDescent="0.3">
      <c r="B306" s="50"/>
      <c r="C306" s="50"/>
      <c r="D306" s="50"/>
      <c r="E306" s="271"/>
      <c r="F306" s="271"/>
      <c r="G306" s="273"/>
      <c r="H306" s="273"/>
      <c r="I306" s="273"/>
      <c r="J306" s="273"/>
      <c r="K306" s="273"/>
      <c r="L306" s="273"/>
      <c r="M306" s="273"/>
    </row>
    <row r="307" spans="2:13" x14ac:dyDescent="0.3">
      <c r="B307" s="50"/>
      <c r="C307" s="50"/>
      <c r="D307" s="50"/>
      <c r="E307" s="271"/>
      <c r="F307" s="271"/>
      <c r="G307" s="273"/>
      <c r="H307" s="273"/>
      <c r="I307" s="273"/>
      <c r="J307" s="273"/>
      <c r="K307" s="273"/>
      <c r="L307" s="273"/>
      <c r="M307" s="273"/>
    </row>
    <row r="308" spans="2:13" x14ac:dyDescent="0.3">
      <c r="B308" s="50"/>
      <c r="C308" s="50"/>
      <c r="D308" s="50"/>
      <c r="E308" s="271"/>
      <c r="F308" s="271"/>
      <c r="G308" s="273"/>
      <c r="H308" s="273"/>
      <c r="I308" s="273"/>
      <c r="J308" s="273"/>
      <c r="K308" s="273"/>
      <c r="L308" s="273"/>
      <c r="M308" s="273"/>
    </row>
    <row r="309" spans="2:13" x14ac:dyDescent="0.3">
      <c r="B309" s="50"/>
      <c r="C309" s="50"/>
      <c r="D309" s="50"/>
      <c r="E309" s="271"/>
      <c r="F309" s="271"/>
      <c r="G309" s="273"/>
      <c r="H309" s="273"/>
      <c r="I309" s="273"/>
      <c r="J309" s="273"/>
      <c r="K309" s="273"/>
      <c r="L309" s="273"/>
      <c r="M309" s="273"/>
    </row>
    <row r="310" spans="2:13" x14ac:dyDescent="0.3">
      <c r="B310" s="50"/>
      <c r="C310" s="50"/>
      <c r="D310" s="50"/>
      <c r="E310" s="271"/>
      <c r="F310" s="271"/>
      <c r="G310" s="273"/>
      <c r="H310" s="273"/>
      <c r="I310" s="273"/>
      <c r="J310" s="273"/>
      <c r="K310" s="273"/>
      <c r="L310" s="273"/>
      <c r="M310" s="273"/>
    </row>
    <row r="311" spans="2:13" x14ac:dyDescent="0.3">
      <c r="B311" s="50"/>
      <c r="C311" s="50"/>
      <c r="D311" s="50"/>
      <c r="E311" s="271"/>
      <c r="F311" s="271"/>
      <c r="G311" s="273"/>
      <c r="H311" s="273"/>
      <c r="I311" s="273"/>
      <c r="J311" s="273"/>
      <c r="K311" s="273"/>
      <c r="L311" s="273"/>
      <c r="M311" s="273"/>
    </row>
    <row r="312" spans="2:13" x14ac:dyDescent="0.3">
      <c r="B312" s="50"/>
      <c r="C312" s="50"/>
      <c r="D312" s="50"/>
      <c r="E312" s="271"/>
      <c r="F312" s="271"/>
      <c r="G312" s="273"/>
      <c r="H312" s="273"/>
      <c r="I312" s="273"/>
      <c r="J312" s="273"/>
      <c r="K312" s="273"/>
      <c r="L312" s="273"/>
      <c r="M312" s="273"/>
    </row>
    <row r="313" spans="2:13" x14ac:dyDescent="0.3">
      <c r="B313" s="50"/>
      <c r="C313" s="50"/>
      <c r="D313" s="50"/>
      <c r="E313" s="271"/>
      <c r="F313" s="271"/>
      <c r="G313" s="273"/>
      <c r="H313" s="273"/>
      <c r="I313" s="273"/>
      <c r="J313" s="273"/>
      <c r="K313" s="273"/>
      <c r="L313" s="273"/>
      <c r="M313" s="273"/>
    </row>
    <row r="314" spans="2:13" x14ac:dyDescent="0.3">
      <c r="B314" s="50"/>
      <c r="C314" s="50"/>
      <c r="D314" s="50"/>
      <c r="E314" s="271"/>
      <c r="F314" s="271"/>
      <c r="G314" s="273"/>
      <c r="H314" s="273"/>
      <c r="I314" s="273"/>
      <c r="J314" s="273"/>
      <c r="K314" s="273"/>
      <c r="L314" s="273"/>
      <c r="M314" s="273"/>
    </row>
    <row r="315" spans="2:13" x14ac:dyDescent="0.3">
      <c r="B315" s="50"/>
      <c r="C315" s="50"/>
      <c r="D315" s="50"/>
      <c r="E315" s="271"/>
      <c r="F315" s="271"/>
      <c r="G315" s="273"/>
      <c r="H315" s="273"/>
      <c r="I315" s="273"/>
      <c r="J315" s="273"/>
      <c r="K315" s="273"/>
      <c r="L315" s="273"/>
      <c r="M315" s="273"/>
    </row>
    <row r="316" spans="2:13" x14ac:dyDescent="0.3">
      <c r="B316" s="50"/>
      <c r="C316" s="50"/>
      <c r="D316" s="50"/>
      <c r="E316" s="271"/>
      <c r="F316" s="271"/>
      <c r="G316" s="273"/>
      <c r="H316" s="273"/>
      <c r="I316" s="273"/>
      <c r="J316" s="273"/>
      <c r="K316" s="273"/>
      <c r="L316" s="273"/>
      <c r="M316" s="273"/>
    </row>
    <row r="317" spans="2:13" x14ac:dyDescent="0.3">
      <c r="B317" s="50"/>
      <c r="C317" s="50"/>
      <c r="D317" s="50"/>
      <c r="E317" s="271"/>
      <c r="F317" s="271"/>
      <c r="G317" s="273"/>
      <c r="H317" s="273"/>
      <c r="I317" s="273"/>
      <c r="J317" s="273"/>
      <c r="K317" s="273"/>
      <c r="L317" s="273"/>
      <c r="M317" s="273"/>
    </row>
    <row r="318" spans="2:13" x14ac:dyDescent="0.3">
      <c r="B318" s="50"/>
      <c r="C318" s="50"/>
      <c r="D318" s="50"/>
      <c r="E318" s="271"/>
      <c r="F318" s="271"/>
      <c r="G318" s="273"/>
      <c r="H318" s="273"/>
      <c r="I318" s="273"/>
      <c r="J318" s="273"/>
      <c r="K318" s="273"/>
      <c r="L318" s="273"/>
      <c r="M318" s="273"/>
    </row>
    <row r="319" spans="2:13" x14ac:dyDescent="0.3">
      <c r="B319" s="50"/>
      <c r="C319" s="50"/>
      <c r="D319" s="50"/>
      <c r="E319" s="271"/>
      <c r="F319" s="271"/>
      <c r="G319" s="273"/>
      <c r="H319" s="273"/>
      <c r="I319" s="273"/>
      <c r="J319" s="273"/>
      <c r="K319" s="273"/>
      <c r="L319" s="273"/>
      <c r="M319" s="273"/>
    </row>
    <row r="320" spans="2:13" x14ac:dyDescent="0.3">
      <c r="B320" s="50"/>
      <c r="C320" s="50"/>
      <c r="D320" s="50"/>
      <c r="E320" s="271"/>
      <c r="F320" s="271"/>
      <c r="G320" s="273"/>
      <c r="H320" s="273"/>
      <c r="I320" s="273"/>
      <c r="J320" s="273"/>
      <c r="K320" s="273"/>
      <c r="L320" s="273"/>
      <c r="M320" s="273"/>
    </row>
    <row r="321" spans="2:13" x14ac:dyDescent="0.3">
      <c r="B321" s="50"/>
      <c r="C321" s="50"/>
      <c r="D321" s="50"/>
      <c r="E321" s="271"/>
      <c r="F321" s="271"/>
      <c r="G321" s="273"/>
      <c r="H321" s="273"/>
      <c r="I321" s="273"/>
      <c r="J321" s="273"/>
      <c r="K321" s="273"/>
      <c r="L321" s="273"/>
      <c r="M321" s="273"/>
    </row>
    <row r="322" spans="2:13" x14ac:dyDescent="0.3">
      <c r="B322" s="50"/>
      <c r="C322" s="50"/>
      <c r="D322" s="50"/>
      <c r="E322" s="271"/>
      <c r="F322" s="271"/>
      <c r="G322" s="273"/>
      <c r="H322" s="273"/>
      <c r="I322" s="273"/>
      <c r="J322" s="273"/>
      <c r="K322" s="273"/>
      <c r="L322" s="273"/>
      <c r="M322" s="273"/>
    </row>
    <row r="323" spans="2:13" x14ac:dyDescent="0.3">
      <c r="B323" s="50"/>
      <c r="C323" s="50"/>
      <c r="D323" s="50"/>
      <c r="E323" s="271"/>
      <c r="F323" s="271"/>
      <c r="G323" s="273"/>
      <c r="H323" s="273"/>
      <c r="I323" s="273"/>
      <c r="J323" s="273"/>
      <c r="K323" s="273"/>
      <c r="L323" s="273"/>
      <c r="M323" s="273"/>
    </row>
    <row r="324" spans="2:13" x14ac:dyDescent="0.3">
      <c r="B324" s="50"/>
      <c r="C324" s="50"/>
      <c r="D324" s="50"/>
      <c r="E324" s="271"/>
      <c r="F324" s="271"/>
      <c r="G324" s="273"/>
      <c r="H324" s="273"/>
      <c r="I324" s="273"/>
      <c r="J324" s="273"/>
      <c r="K324" s="273"/>
      <c r="L324" s="273"/>
      <c r="M324" s="273"/>
    </row>
    <row r="325" spans="2:13" x14ac:dyDescent="0.3">
      <c r="B325" s="50"/>
      <c r="C325" s="50"/>
      <c r="D325" s="50"/>
      <c r="E325" s="271"/>
      <c r="F325" s="271"/>
      <c r="G325" s="273"/>
      <c r="H325" s="273"/>
      <c r="I325" s="273"/>
      <c r="J325" s="273"/>
      <c r="K325" s="273"/>
      <c r="L325" s="273"/>
      <c r="M325" s="273"/>
    </row>
    <row r="326" spans="2:13" x14ac:dyDescent="0.3">
      <c r="B326" s="50"/>
      <c r="C326" s="50"/>
      <c r="D326" s="50"/>
      <c r="E326" s="271"/>
      <c r="F326" s="271"/>
      <c r="G326" s="273"/>
      <c r="H326" s="273"/>
      <c r="I326" s="273"/>
      <c r="J326" s="273"/>
      <c r="K326" s="273"/>
      <c r="L326" s="273"/>
      <c r="M326" s="273"/>
    </row>
    <row r="327" spans="2:13" x14ac:dyDescent="0.3">
      <c r="B327" s="50"/>
      <c r="C327" s="50"/>
      <c r="D327" s="50"/>
      <c r="E327" s="271"/>
      <c r="F327" s="271"/>
      <c r="G327" s="273"/>
      <c r="H327" s="273"/>
      <c r="I327" s="273"/>
      <c r="J327" s="273"/>
      <c r="K327" s="273"/>
      <c r="L327" s="273"/>
      <c r="M327" s="273"/>
    </row>
    <row r="328" spans="2:13" x14ac:dyDescent="0.3">
      <c r="B328" s="50"/>
      <c r="C328" s="50"/>
      <c r="D328" s="50"/>
      <c r="E328" s="271"/>
      <c r="F328" s="271"/>
      <c r="G328" s="273"/>
      <c r="H328" s="273"/>
      <c r="I328" s="273"/>
      <c r="J328" s="273"/>
      <c r="K328" s="273"/>
      <c r="L328" s="273"/>
      <c r="M328" s="273"/>
    </row>
    <row r="329" spans="2:13" x14ac:dyDescent="0.3">
      <c r="B329" s="50"/>
      <c r="C329" s="50"/>
      <c r="D329" s="50"/>
      <c r="E329" s="271"/>
      <c r="F329" s="271"/>
      <c r="G329" s="273"/>
      <c r="H329" s="273"/>
      <c r="I329" s="273"/>
      <c r="J329" s="273"/>
      <c r="K329" s="273"/>
      <c r="L329" s="273"/>
      <c r="M329" s="273"/>
    </row>
    <row r="330" spans="2:13" x14ac:dyDescent="0.3">
      <c r="B330" s="50"/>
      <c r="C330" s="50"/>
      <c r="D330" s="50"/>
      <c r="E330" s="271"/>
      <c r="F330" s="271"/>
      <c r="G330" s="273"/>
      <c r="H330" s="273"/>
      <c r="I330" s="273"/>
      <c r="J330" s="273"/>
      <c r="K330" s="273"/>
      <c r="L330" s="273"/>
      <c r="M330" s="273"/>
    </row>
    <row r="331" spans="2:13" x14ac:dyDescent="0.3">
      <c r="B331" s="50"/>
      <c r="C331" s="50"/>
      <c r="D331" s="50"/>
      <c r="E331" s="271"/>
      <c r="F331" s="271"/>
      <c r="G331" s="273"/>
      <c r="H331" s="273"/>
      <c r="I331" s="273"/>
      <c r="J331" s="273"/>
      <c r="K331" s="273"/>
      <c r="L331" s="273"/>
      <c r="M331" s="273"/>
    </row>
    <row r="332" spans="2:13" x14ac:dyDescent="0.3">
      <c r="B332" s="50"/>
      <c r="C332" s="50"/>
      <c r="D332" s="50"/>
      <c r="E332" s="271"/>
      <c r="F332" s="271"/>
      <c r="G332" s="273"/>
      <c r="H332" s="273"/>
      <c r="I332" s="273"/>
      <c r="J332" s="273"/>
      <c r="K332" s="273"/>
      <c r="L332" s="273"/>
      <c r="M332" s="273"/>
    </row>
    <row r="333" spans="2:13" x14ac:dyDescent="0.3">
      <c r="B333" s="50"/>
      <c r="C333" s="50"/>
      <c r="D333" s="50"/>
      <c r="E333" s="271"/>
      <c r="F333" s="271"/>
      <c r="G333" s="273"/>
      <c r="H333" s="273"/>
      <c r="I333" s="273"/>
      <c r="J333" s="273"/>
      <c r="K333" s="273"/>
      <c r="L333" s="273"/>
      <c r="M333" s="273"/>
    </row>
    <row r="334" spans="2:13" x14ac:dyDescent="0.3">
      <c r="B334" s="50"/>
      <c r="C334" s="50"/>
      <c r="D334" s="50"/>
      <c r="E334" s="271"/>
      <c r="F334" s="271"/>
      <c r="G334" s="273"/>
      <c r="H334" s="273"/>
      <c r="I334" s="273"/>
      <c r="J334" s="273"/>
      <c r="K334" s="273"/>
      <c r="L334" s="273"/>
      <c r="M334" s="273"/>
    </row>
    <row r="335" spans="2:13" x14ac:dyDescent="0.3">
      <c r="B335" s="50"/>
      <c r="C335" s="50"/>
      <c r="D335" s="50"/>
      <c r="E335" s="271"/>
      <c r="F335" s="271"/>
      <c r="G335" s="273"/>
      <c r="H335" s="273"/>
      <c r="I335" s="273"/>
      <c r="J335" s="273"/>
      <c r="K335" s="273"/>
      <c r="L335" s="273"/>
      <c r="M335" s="273"/>
    </row>
    <row r="336" spans="2:13" x14ac:dyDescent="0.3">
      <c r="B336" s="50"/>
      <c r="C336" s="50"/>
      <c r="D336" s="50"/>
      <c r="E336" s="271"/>
      <c r="F336" s="271"/>
      <c r="G336" s="273"/>
      <c r="H336" s="273"/>
      <c r="I336" s="273"/>
      <c r="J336" s="273"/>
      <c r="K336" s="273"/>
      <c r="L336" s="273"/>
      <c r="M336" s="273"/>
    </row>
    <row r="337" spans="2:13" x14ac:dyDescent="0.3">
      <c r="B337" s="50"/>
      <c r="C337" s="50"/>
      <c r="D337" s="50"/>
      <c r="E337" s="271"/>
      <c r="F337" s="271"/>
      <c r="G337" s="273"/>
      <c r="H337" s="273"/>
      <c r="I337" s="273"/>
      <c r="J337" s="273"/>
      <c r="K337" s="273"/>
      <c r="L337" s="273"/>
      <c r="M337" s="273"/>
    </row>
    <row r="338" spans="2:13" x14ac:dyDescent="0.3">
      <c r="B338" s="50"/>
      <c r="C338" s="50"/>
      <c r="D338" s="50"/>
      <c r="E338" s="271"/>
      <c r="F338" s="271"/>
      <c r="G338" s="273"/>
      <c r="H338" s="273"/>
      <c r="I338" s="273"/>
      <c r="J338" s="273"/>
      <c r="K338" s="273"/>
      <c r="L338" s="273"/>
      <c r="M338" s="273"/>
    </row>
    <row r="339" spans="2:13" x14ac:dyDescent="0.3">
      <c r="B339" s="50"/>
      <c r="C339" s="50"/>
      <c r="D339" s="50"/>
      <c r="E339" s="271"/>
      <c r="F339" s="271"/>
      <c r="G339" s="273"/>
      <c r="H339" s="273"/>
      <c r="I339" s="273"/>
      <c r="J339" s="273"/>
      <c r="K339" s="273"/>
      <c r="L339" s="273"/>
      <c r="M339" s="273"/>
    </row>
    <row r="340" spans="2:13" x14ac:dyDescent="0.3">
      <c r="B340" s="50"/>
      <c r="C340" s="50"/>
      <c r="D340" s="50"/>
      <c r="E340" s="271"/>
      <c r="F340" s="271"/>
      <c r="G340" s="273"/>
      <c r="H340" s="273"/>
      <c r="I340" s="273"/>
      <c r="J340" s="273"/>
      <c r="K340" s="273"/>
      <c r="L340" s="273"/>
      <c r="M340" s="273"/>
    </row>
    <row r="341" spans="2:13" x14ac:dyDescent="0.3">
      <c r="B341" s="50"/>
      <c r="C341" s="50"/>
      <c r="D341" s="50"/>
      <c r="E341" s="271"/>
      <c r="F341" s="271"/>
      <c r="G341" s="273"/>
      <c r="H341" s="273"/>
      <c r="I341" s="273"/>
      <c r="J341" s="273"/>
      <c r="K341" s="273"/>
      <c r="L341" s="273"/>
      <c r="M341" s="273"/>
    </row>
    <row r="342" spans="2:13" x14ac:dyDescent="0.3">
      <c r="B342" s="50"/>
      <c r="C342" s="50"/>
      <c r="D342" s="50"/>
      <c r="E342" s="271"/>
      <c r="F342" s="271"/>
      <c r="G342" s="273"/>
      <c r="H342" s="273"/>
      <c r="I342" s="273"/>
      <c r="J342" s="273"/>
      <c r="K342" s="273"/>
      <c r="L342" s="273"/>
      <c r="M342" s="273"/>
    </row>
    <row r="343" spans="2:13" x14ac:dyDescent="0.3">
      <c r="B343" s="50"/>
      <c r="C343" s="50"/>
      <c r="D343" s="50"/>
      <c r="E343" s="271"/>
      <c r="F343" s="271"/>
      <c r="G343" s="273"/>
      <c r="H343" s="273"/>
      <c r="I343" s="273"/>
      <c r="J343" s="273"/>
      <c r="K343" s="273"/>
      <c r="L343" s="273"/>
      <c r="M343" s="273"/>
    </row>
    <row r="344" spans="2:13" x14ac:dyDescent="0.3">
      <c r="B344" s="50"/>
      <c r="C344" s="50"/>
      <c r="D344" s="50"/>
      <c r="E344" s="271"/>
      <c r="F344" s="271"/>
      <c r="G344" s="273"/>
      <c r="H344" s="273"/>
      <c r="I344" s="273"/>
      <c r="J344" s="273"/>
      <c r="K344" s="273"/>
      <c r="L344" s="273"/>
      <c r="M344" s="273"/>
    </row>
    <row r="345" spans="2:13" x14ac:dyDescent="0.3">
      <c r="B345" s="50"/>
      <c r="C345" s="50"/>
      <c r="D345" s="50"/>
      <c r="E345" s="271"/>
      <c r="F345" s="271"/>
      <c r="G345" s="273"/>
      <c r="H345" s="273"/>
      <c r="I345" s="273"/>
      <c r="J345" s="273"/>
      <c r="K345" s="273"/>
      <c r="L345" s="273"/>
      <c r="M345" s="273"/>
    </row>
    <row r="346" spans="2:13" x14ac:dyDescent="0.3">
      <c r="B346" s="50"/>
      <c r="C346" s="50"/>
      <c r="D346" s="50"/>
      <c r="E346" s="271"/>
      <c r="F346" s="271"/>
      <c r="G346" s="273"/>
      <c r="H346" s="273"/>
      <c r="I346" s="273"/>
      <c r="J346" s="273"/>
      <c r="K346" s="273"/>
      <c r="L346" s="273"/>
      <c r="M346" s="273"/>
    </row>
    <row r="347" spans="2:13" x14ac:dyDescent="0.3">
      <c r="B347" s="50"/>
      <c r="C347" s="50"/>
      <c r="D347" s="50"/>
      <c r="E347" s="271"/>
      <c r="F347" s="271"/>
      <c r="G347" s="273"/>
      <c r="H347" s="273"/>
      <c r="I347" s="273"/>
      <c r="J347" s="273"/>
      <c r="K347" s="273"/>
      <c r="L347" s="273"/>
      <c r="M347" s="273"/>
    </row>
    <row r="348" spans="2:13" x14ac:dyDescent="0.3">
      <c r="B348" s="50"/>
      <c r="C348" s="50"/>
      <c r="D348" s="50"/>
      <c r="E348" s="271"/>
      <c r="F348" s="271"/>
      <c r="G348" s="273"/>
      <c r="H348" s="273"/>
      <c r="I348" s="273"/>
      <c r="J348" s="273"/>
      <c r="K348" s="273"/>
      <c r="L348" s="273"/>
      <c r="M348" s="273"/>
    </row>
    <row r="349" spans="2:13" x14ac:dyDescent="0.3">
      <c r="B349" s="50"/>
      <c r="C349" s="50"/>
      <c r="D349" s="50"/>
      <c r="E349" s="271"/>
      <c r="F349" s="271"/>
      <c r="G349" s="273"/>
      <c r="H349" s="273"/>
      <c r="I349" s="273"/>
      <c r="J349" s="273"/>
      <c r="K349" s="273"/>
      <c r="L349" s="273"/>
      <c r="M349" s="273"/>
    </row>
    <row r="350" spans="2:13" x14ac:dyDescent="0.3">
      <c r="B350" s="50"/>
      <c r="C350" s="50"/>
      <c r="D350" s="50"/>
      <c r="E350" s="271"/>
      <c r="F350" s="271"/>
      <c r="G350" s="273"/>
      <c r="H350" s="273"/>
      <c r="I350" s="273"/>
      <c r="J350" s="273"/>
      <c r="K350" s="273"/>
      <c r="L350" s="273"/>
      <c r="M350" s="273"/>
    </row>
    <row r="351" spans="2:13" x14ac:dyDescent="0.3">
      <c r="B351" s="50"/>
      <c r="C351" s="50"/>
      <c r="D351" s="50"/>
      <c r="E351" s="271"/>
      <c r="F351" s="271"/>
      <c r="G351" s="273"/>
      <c r="H351" s="273"/>
      <c r="I351" s="273"/>
      <c r="J351" s="273"/>
      <c r="K351" s="273"/>
      <c r="L351" s="273"/>
      <c r="M351" s="273"/>
    </row>
    <row r="352" spans="2:13" x14ac:dyDescent="0.3">
      <c r="B352" s="50"/>
      <c r="C352" s="50"/>
      <c r="D352" s="50"/>
      <c r="E352" s="271"/>
      <c r="F352" s="271"/>
      <c r="G352" s="273"/>
      <c r="H352" s="273"/>
      <c r="I352" s="273"/>
      <c r="J352" s="273"/>
      <c r="K352" s="273"/>
      <c r="L352" s="273"/>
      <c r="M352" s="273"/>
    </row>
    <row r="353" spans="2:13" x14ac:dyDescent="0.3">
      <c r="B353" s="50"/>
      <c r="C353" s="50"/>
      <c r="D353" s="50"/>
      <c r="E353" s="271"/>
      <c r="F353" s="271"/>
      <c r="G353" s="273"/>
      <c r="H353" s="273"/>
      <c r="I353" s="273"/>
      <c r="J353" s="273"/>
      <c r="K353" s="273"/>
      <c r="L353" s="273"/>
      <c r="M353" s="273"/>
    </row>
    <row r="354" spans="2:13" x14ac:dyDescent="0.3">
      <c r="B354" s="50"/>
      <c r="C354" s="50"/>
      <c r="D354" s="50"/>
      <c r="E354" s="271"/>
      <c r="F354" s="271"/>
      <c r="G354" s="273"/>
      <c r="H354" s="273"/>
      <c r="I354" s="273"/>
      <c r="J354" s="273"/>
      <c r="K354" s="273"/>
      <c r="L354" s="273"/>
      <c r="M354" s="273"/>
    </row>
    <row r="355" spans="2:13" x14ac:dyDescent="0.3">
      <c r="B355" s="50"/>
      <c r="C355" s="50"/>
      <c r="D355" s="50"/>
      <c r="E355" s="271"/>
      <c r="F355" s="271"/>
      <c r="G355" s="273"/>
      <c r="H355" s="273"/>
      <c r="I355" s="273"/>
      <c r="J355" s="273"/>
      <c r="K355" s="273"/>
      <c r="L355" s="273"/>
      <c r="M355" s="273"/>
    </row>
    <row r="356" spans="2:13" x14ac:dyDescent="0.3">
      <c r="B356" s="50"/>
      <c r="C356" s="50"/>
      <c r="D356" s="50"/>
      <c r="E356" s="271"/>
      <c r="F356" s="271"/>
      <c r="G356" s="273"/>
      <c r="H356" s="273"/>
      <c r="I356" s="273"/>
      <c r="J356" s="273"/>
      <c r="K356" s="273"/>
      <c r="L356" s="273"/>
      <c r="M356" s="273"/>
    </row>
    <row r="357" spans="2:13" x14ac:dyDescent="0.3">
      <c r="B357" s="50"/>
      <c r="C357" s="50"/>
      <c r="D357" s="50"/>
      <c r="E357" s="271"/>
      <c r="F357" s="271"/>
      <c r="G357" s="273"/>
      <c r="H357" s="273"/>
      <c r="I357" s="273"/>
      <c r="J357" s="273"/>
      <c r="K357" s="273"/>
      <c r="L357" s="273"/>
      <c r="M357" s="273"/>
    </row>
    <row r="358" spans="2:13" x14ac:dyDescent="0.3">
      <c r="B358" s="50"/>
      <c r="C358" s="50"/>
      <c r="D358" s="50"/>
      <c r="E358" s="271"/>
      <c r="F358" s="271"/>
      <c r="G358" s="273"/>
      <c r="H358" s="273"/>
      <c r="I358" s="273"/>
      <c r="J358" s="273"/>
      <c r="K358" s="273"/>
      <c r="L358" s="273"/>
      <c r="M358" s="273"/>
    </row>
    <row r="359" spans="2:13" x14ac:dyDescent="0.3">
      <c r="B359" s="50"/>
      <c r="C359" s="50"/>
      <c r="D359" s="50"/>
      <c r="E359" s="271"/>
      <c r="F359" s="271"/>
      <c r="G359" s="273"/>
      <c r="H359" s="273"/>
      <c r="I359" s="273"/>
      <c r="J359" s="273"/>
      <c r="K359" s="273"/>
      <c r="L359" s="273"/>
      <c r="M359" s="273"/>
    </row>
    <row r="360" spans="2:13" x14ac:dyDescent="0.3">
      <c r="B360" s="50"/>
      <c r="C360" s="50"/>
      <c r="D360" s="50"/>
      <c r="E360" s="271"/>
      <c r="F360" s="271"/>
      <c r="G360" s="273"/>
      <c r="H360" s="273"/>
      <c r="I360" s="273"/>
      <c r="J360" s="273"/>
      <c r="K360" s="273"/>
      <c r="L360" s="273"/>
      <c r="M360" s="273"/>
    </row>
    <row r="361" spans="2:13" x14ac:dyDescent="0.3">
      <c r="B361" s="50"/>
      <c r="C361" s="50"/>
      <c r="D361" s="50"/>
      <c r="E361" s="271"/>
      <c r="F361" s="271"/>
      <c r="G361" s="273"/>
      <c r="H361" s="273"/>
      <c r="I361" s="273"/>
      <c r="J361" s="273"/>
      <c r="K361" s="273"/>
      <c r="L361" s="273"/>
      <c r="M361" s="273"/>
    </row>
    <row r="362" spans="2:13" x14ac:dyDescent="0.3">
      <c r="B362" s="50"/>
      <c r="C362" s="50"/>
      <c r="D362" s="50"/>
      <c r="E362" s="271"/>
      <c r="F362" s="271"/>
      <c r="G362" s="273"/>
      <c r="H362" s="273"/>
      <c r="I362" s="273"/>
      <c r="J362" s="273"/>
      <c r="K362" s="273"/>
      <c r="L362" s="273"/>
      <c r="M362" s="273"/>
    </row>
    <row r="363" spans="2:13" x14ac:dyDescent="0.3">
      <c r="B363" s="50"/>
      <c r="C363" s="50"/>
      <c r="D363" s="50"/>
      <c r="E363" s="271"/>
      <c r="F363" s="271"/>
      <c r="G363" s="273"/>
      <c r="H363" s="273"/>
      <c r="I363" s="273"/>
      <c r="J363" s="273"/>
      <c r="K363" s="273"/>
      <c r="L363" s="273"/>
      <c r="M363" s="273"/>
    </row>
    <row r="364" spans="2:13" x14ac:dyDescent="0.3">
      <c r="B364" s="50"/>
      <c r="C364" s="50"/>
      <c r="D364" s="50"/>
      <c r="E364" s="271"/>
      <c r="F364" s="271"/>
      <c r="G364" s="273"/>
      <c r="H364" s="273"/>
      <c r="I364" s="273"/>
      <c r="J364" s="273"/>
      <c r="K364" s="273"/>
      <c r="L364" s="273"/>
      <c r="M364" s="273"/>
    </row>
    <row r="365" spans="2:13" x14ac:dyDescent="0.3">
      <c r="B365" s="50"/>
      <c r="C365" s="50"/>
      <c r="D365" s="50"/>
      <c r="E365" s="271"/>
      <c r="F365" s="271"/>
      <c r="G365" s="273"/>
      <c r="H365" s="273"/>
      <c r="I365" s="273"/>
      <c r="J365" s="273"/>
      <c r="K365" s="273"/>
      <c r="L365" s="273"/>
      <c r="M365" s="273"/>
    </row>
    <row r="366" spans="2:13" x14ac:dyDescent="0.3">
      <c r="B366" s="50"/>
      <c r="C366" s="50"/>
      <c r="D366" s="50"/>
      <c r="E366" s="271"/>
      <c r="F366" s="271"/>
      <c r="G366" s="273"/>
      <c r="H366" s="273"/>
      <c r="I366" s="273"/>
      <c r="J366" s="273"/>
      <c r="K366" s="273"/>
      <c r="L366" s="273"/>
      <c r="M366" s="273"/>
    </row>
    <row r="367" spans="2:13" x14ac:dyDescent="0.3">
      <c r="B367" s="50"/>
      <c r="C367" s="50"/>
      <c r="D367" s="50"/>
      <c r="E367" s="271"/>
      <c r="F367" s="271"/>
      <c r="G367" s="273"/>
      <c r="H367" s="273"/>
      <c r="I367" s="273"/>
      <c r="J367" s="273"/>
      <c r="K367" s="273"/>
      <c r="L367" s="273"/>
      <c r="M367" s="273"/>
    </row>
    <row r="368" spans="2:13" x14ac:dyDescent="0.3">
      <c r="B368" s="50"/>
      <c r="C368" s="50"/>
      <c r="D368" s="50"/>
      <c r="E368" s="271"/>
      <c r="F368" s="271"/>
      <c r="G368" s="273"/>
      <c r="H368" s="273"/>
      <c r="I368" s="273"/>
      <c r="J368" s="273"/>
      <c r="K368" s="273"/>
      <c r="L368" s="273"/>
      <c r="M368" s="273"/>
    </row>
    <row r="369" spans="2:13" x14ac:dyDescent="0.3">
      <c r="B369" s="50"/>
      <c r="C369" s="50"/>
      <c r="D369" s="50"/>
      <c r="E369" s="271"/>
      <c r="F369" s="271"/>
      <c r="G369" s="273"/>
      <c r="H369" s="273"/>
      <c r="I369" s="273"/>
      <c r="J369" s="273"/>
      <c r="K369" s="273"/>
      <c r="L369" s="273"/>
      <c r="M369" s="273"/>
    </row>
    <row r="370" spans="2:13" x14ac:dyDescent="0.3">
      <c r="B370" s="50"/>
      <c r="C370" s="50"/>
      <c r="D370" s="50"/>
      <c r="E370" s="271"/>
      <c r="F370" s="271"/>
      <c r="G370" s="273"/>
      <c r="H370" s="273"/>
      <c r="I370" s="273"/>
      <c r="J370" s="273"/>
      <c r="K370" s="273"/>
      <c r="L370" s="273"/>
      <c r="M370" s="273"/>
    </row>
    <row r="371" spans="2:13" x14ac:dyDescent="0.3">
      <c r="B371" s="50"/>
      <c r="C371" s="50"/>
      <c r="D371" s="50"/>
      <c r="E371" s="271"/>
      <c r="F371" s="271"/>
      <c r="G371" s="273"/>
      <c r="H371" s="273"/>
      <c r="I371" s="273"/>
      <c r="J371" s="273"/>
      <c r="K371" s="273"/>
      <c r="L371" s="273"/>
      <c r="M371" s="273"/>
    </row>
    <row r="372" spans="2:13" x14ac:dyDescent="0.3">
      <c r="B372" s="50"/>
      <c r="C372" s="50"/>
      <c r="D372" s="50"/>
      <c r="E372" s="271"/>
      <c r="F372" s="271"/>
      <c r="G372" s="273"/>
      <c r="H372" s="273"/>
      <c r="I372" s="273"/>
      <c r="J372" s="273"/>
      <c r="K372" s="273"/>
      <c r="L372" s="273"/>
      <c r="M372" s="273"/>
    </row>
    <row r="373" spans="2:13" x14ac:dyDescent="0.3">
      <c r="B373" s="50"/>
      <c r="C373" s="50"/>
      <c r="D373" s="50"/>
      <c r="E373" s="271"/>
      <c r="F373" s="271"/>
      <c r="G373" s="273"/>
      <c r="H373" s="273"/>
      <c r="I373" s="273"/>
      <c r="J373" s="273"/>
      <c r="K373" s="273"/>
      <c r="L373" s="273"/>
      <c r="M373" s="273"/>
    </row>
    <row r="374" spans="2:13" x14ac:dyDescent="0.3">
      <c r="B374" s="50"/>
      <c r="C374" s="50"/>
      <c r="D374" s="50"/>
      <c r="E374" s="271"/>
      <c r="F374" s="271"/>
      <c r="G374" s="273"/>
      <c r="H374" s="273"/>
      <c r="I374" s="273"/>
      <c r="J374" s="273"/>
      <c r="K374" s="273"/>
      <c r="L374" s="273"/>
      <c r="M374" s="273"/>
    </row>
    <row r="375" spans="2:13" x14ac:dyDescent="0.3">
      <c r="B375" s="50"/>
      <c r="C375" s="50"/>
      <c r="D375" s="50"/>
      <c r="E375" s="271"/>
      <c r="F375" s="271"/>
      <c r="G375" s="273"/>
      <c r="H375" s="273"/>
      <c r="I375" s="273"/>
      <c r="J375" s="273"/>
      <c r="K375" s="273"/>
      <c r="L375" s="273"/>
      <c r="M375" s="273"/>
    </row>
    <row r="376" spans="2:13" x14ac:dyDescent="0.3">
      <c r="B376" s="50"/>
      <c r="C376" s="50"/>
      <c r="D376" s="50"/>
      <c r="E376" s="271"/>
      <c r="F376" s="271"/>
      <c r="G376" s="273"/>
      <c r="H376" s="273"/>
      <c r="I376" s="273"/>
      <c r="J376" s="273"/>
      <c r="K376" s="273"/>
      <c r="L376" s="273"/>
      <c r="M376" s="273"/>
    </row>
    <row r="377" spans="2:13" x14ac:dyDescent="0.3">
      <c r="B377" s="50"/>
      <c r="C377" s="50"/>
      <c r="D377" s="50"/>
      <c r="E377" s="271"/>
      <c r="F377" s="271"/>
      <c r="G377" s="273"/>
      <c r="H377" s="273"/>
      <c r="I377" s="273"/>
      <c r="J377" s="273"/>
      <c r="K377" s="273"/>
      <c r="L377" s="273"/>
      <c r="M377" s="273"/>
    </row>
    <row r="378" spans="2:13" x14ac:dyDescent="0.3">
      <c r="B378" s="50"/>
      <c r="C378" s="50"/>
      <c r="D378" s="50"/>
      <c r="E378" s="271"/>
      <c r="F378" s="271"/>
      <c r="G378" s="273"/>
      <c r="H378" s="273"/>
      <c r="I378" s="273"/>
      <c r="J378" s="273"/>
      <c r="K378" s="273"/>
      <c r="L378" s="273"/>
      <c r="M378" s="273"/>
    </row>
    <row r="379" spans="2:13" x14ac:dyDescent="0.3">
      <c r="B379" s="50"/>
      <c r="C379" s="50"/>
      <c r="D379" s="50"/>
      <c r="E379" s="271"/>
      <c r="F379" s="271"/>
      <c r="G379" s="273"/>
      <c r="H379" s="273"/>
      <c r="I379" s="273"/>
      <c r="J379" s="273"/>
      <c r="K379" s="273"/>
      <c r="L379" s="273"/>
      <c r="M379" s="273"/>
    </row>
    <row r="380" spans="2:13" x14ac:dyDescent="0.3">
      <c r="B380" s="50"/>
      <c r="C380" s="50"/>
      <c r="D380" s="50"/>
      <c r="E380" s="271"/>
      <c r="F380" s="271"/>
      <c r="G380" s="273"/>
      <c r="H380" s="273"/>
      <c r="I380" s="273"/>
      <c r="J380" s="273"/>
      <c r="K380" s="273"/>
      <c r="L380" s="273"/>
      <c r="M380" s="273"/>
    </row>
    <row r="381" spans="2:13" x14ac:dyDescent="0.3">
      <c r="B381" s="50"/>
      <c r="C381" s="50"/>
      <c r="D381" s="50"/>
      <c r="E381" s="271"/>
      <c r="F381" s="271"/>
      <c r="G381" s="273"/>
      <c r="H381" s="273"/>
      <c r="I381" s="273"/>
      <c r="J381" s="273"/>
      <c r="K381" s="273"/>
      <c r="L381" s="273"/>
      <c r="M381" s="273"/>
    </row>
    <row r="382" spans="2:13" x14ac:dyDescent="0.3">
      <c r="B382" s="50"/>
      <c r="C382" s="50"/>
      <c r="D382" s="50"/>
      <c r="E382" s="271"/>
      <c r="F382" s="271"/>
      <c r="G382" s="273"/>
      <c r="H382" s="273"/>
      <c r="I382" s="273"/>
      <c r="J382" s="273"/>
      <c r="K382" s="273"/>
      <c r="L382" s="273"/>
      <c r="M382" s="273"/>
    </row>
    <row r="383" spans="2:13" x14ac:dyDescent="0.3">
      <c r="B383" s="50"/>
      <c r="C383" s="50"/>
      <c r="D383" s="50"/>
      <c r="E383" s="271"/>
      <c r="F383" s="271"/>
      <c r="G383" s="273"/>
      <c r="H383" s="273"/>
      <c r="I383" s="273"/>
      <c r="J383" s="273"/>
      <c r="K383" s="273"/>
      <c r="L383" s="273"/>
      <c r="M383" s="273"/>
    </row>
    <row r="384" spans="2:13" x14ac:dyDescent="0.3">
      <c r="B384" s="50"/>
      <c r="C384" s="50"/>
      <c r="D384" s="50"/>
      <c r="E384" s="271"/>
      <c r="F384" s="271"/>
      <c r="G384" s="273"/>
      <c r="H384" s="273"/>
      <c r="I384" s="273"/>
      <c r="J384" s="273"/>
      <c r="K384" s="273"/>
      <c r="L384" s="273"/>
      <c r="M384" s="273"/>
    </row>
    <row r="385" spans="2:13" x14ac:dyDescent="0.3">
      <c r="B385" s="50"/>
      <c r="C385" s="50"/>
      <c r="D385" s="50"/>
      <c r="E385" s="271"/>
      <c r="F385" s="271"/>
      <c r="G385" s="273"/>
      <c r="H385" s="273"/>
      <c r="I385" s="273"/>
      <c r="J385" s="273"/>
      <c r="K385" s="273"/>
      <c r="L385" s="273"/>
      <c r="M385" s="273"/>
    </row>
    <row r="386" spans="2:13" x14ac:dyDescent="0.3">
      <c r="B386" s="50"/>
      <c r="C386" s="50"/>
      <c r="D386" s="50"/>
      <c r="E386" s="271"/>
      <c r="F386" s="271"/>
      <c r="G386" s="273"/>
      <c r="H386" s="273"/>
      <c r="I386" s="273"/>
      <c r="J386" s="273"/>
      <c r="K386" s="273"/>
      <c r="L386" s="273"/>
      <c r="M386" s="273"/>
    </row>
    <row r="387" spans="2:13" x14ac:dyDescent="0.3">
      <c r="B387" s="50"/>
      <c r="C387" s="50"/>
      <c r="D387" s="50"/>
      <c r="E387" s="271"/>
      <c r="F387" s="271"/>
      <c r="G387" s="273"/>
      <c r="H387" s="273"/>
      <c r="I387" s="273"/>
      <c r="J387" s="273"/>
      <c r="K387" s="273"/>
      <c r="L387" s="273"/>
      <c r="M387" s="273"/>
    </row>
    <row r="388" spans="2:13" x14ac:dyDescent="0.3">
      <c r="B388" s="50"/>
      <c r="C388" s="50"/>
      <c r="D388" s="50"/>
      <c r="E388" s="271"/>
      <c r="F388" s="271"/>
      <c r="G388" s="273"/>
      <c r="H388" s="273"/>
      <c r="I388" s="273"/>
      <c r="J388" s="273"/>
      <c r="K388" s="273"/>
      <c r="L388" s="273"/>
      <c r="M388" s="273"/>
    </row>
    <row r="389" spans="2:13" x14ac:dyDescent="0.3">
      <c r="B389" s="50"/>
      <c r="C389" s="50"/>
      <c r="D389" s="50"/>
      <c r="E389" s="271"/>
      <c r="F389" s="271"/>
      <c r="G389" s="273"/>
      <c r="H389" s="273"/>
      <c r="I389" s="273"/>
      <c r="J389" s="273"/>
      <c r="K389" s="273"/>
      <c r="L389" s="273"/>
      <c r="M389" s="273"/>
    </row>
  </sheetData>
  <mergeCells count="14">
    <mergeCell ref="AO26:AP26"/>
    <mergeCell ref="AR26:AS26"/>
    <mergeCell ref="R60:T60"/>
    <mergeCell ref="W26:X26"/>
    <mergeCell ref="Z26:AA26"/>
    <mergeCell ref="AC26:AD26"/>
    <mergeCell ref="AF26:AG26"/>
    <mergeCell ref="AI26:AJ26"/>
    <mergeCell ref="AL26:AM26"/>
    <mergeCell ref="B1:M1"/>
    <mergeCell ref="K3:K4"/>
    <mergeCell ref="N26:O26"/>
    <mergeCell ref="Q26:R26"/>
    <mergeCell ref="T26:U26"/>
  </mergeCells>
  <phoneticPr fontId="3" type="noConversion"/>
  <dataValidations count="1">
    <dataValidation allowBlank="1" showInputMessage="1" showErrorMessage="1" prompt="년-월-일 형식으로 입력" sqref="E7:E9" xr:uid="{7BB7CF02-8F44-4842-A17B-9794CB440AC6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61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B24B-353F-4D17-A6F1-7954739588FB}">
  <sheetPr codeName="Sheet26">
    <tabColor rgb="FF7030A0"/>
    <pageSetUpPr autoPageBreaks="0"/>
  </sheetPr>
  <dimension ref="A1:AB631"/>
  <sheetViews>
    <sheetView showGridLines="0" zoomScaleNormal="100" zoomScaleSheetLayoutView="100" workbookViewId="0">
      <pane ySplit="8" topLeftCell="A9" activePane="bottomLeft" state="frozen"/>
      <selection pane="bottomLeft" activeCell="K4" sqref="K4"/>
    </sheetView>
  </sheetViews>
  <sheetFormatPr defaultRowHeight="16.5" x14ac:dyDescent="0.3"/>
  <cols>
    <col min="1" max="1" width="4.625" customWidth="1"/>
    <col min="2" max="7" width="10.625" style="29" customWidth="1"/>
    <col min="8" max="8" width="10.625" customWidth="1"/>
    <col min="9" max="9" width="4.625" customWidth="1"/>
    <col min="10" max="28" width="9.5" customWidth="1"/>
    <col min="29" max="29" width="4.75" customWidth="1"/>
  </cols>
  <sheetData>
    <row r="1" spans="1:17" ht="40.5" customHeight="1" x14ac:dyDescent="0.3">
      <c r="A1" s="14"/>
      <c r="B1" s="590" t="s">
        <v>270</v>
      </c>
      <c r="C1" s="590"/>
      <c r="D1" s="590"/>
      <c r="E1" s="590"/>
      <c r="F1" s="590"/>
      <c r="G1" s="590"/>
      <c r="H1" s="590"/>
      <c r="I1" s="14"/>
    </row>
    <row r="2" spans="1:17" ht="16.5" customHeight="1" thickBot="1" x14ac:dyDescent="0.35"/>
    <row r="3" spans="1:17" ht="24.95" customHeight="1" thickBot="1" x14ac:dyDescent="0.35">
      <c r="B3" s="34" t="s">
        <v>302</v>
      </c>
      <c r="C3" s="35" t="s">
        <v>224</v>
      </c>
      <c r="D3" s="35" t="s">
        <v>225</v>
      </c>
      <c r="E3" s="35" t="s">
        <v>232</v>
      </c>
      <c r="F3" s="35" t="s">
        <v>227</v>
      </c>
      <c r="G3" s="35" t="s">
        <v>226</v>
      </c>
      <c r="H3" s="36" t="s">
        <v>231</v>
      </c>
    </row>
    <row r="4" spans="1:17" ht="24.95" customHeight="1" thickBot="1" x14ac:dyDescent="0.35">
      <c r="B4" s="274"/>
      <c r="C4" s="275"/>
      <c r="D4" s="300"/>
      <c r="E4" s="565"/>
      <c r="F4" s="338" t="s">
        <v>228</v>
      </c>
      <c r="G4" s="276"/>
      <c r="H4" s="302"/>
    </row>
    <row r="5" spans="1:17" ht="24.95" customHeight="1" thickBot="1" x14ac:dyDescent="0.35">
      <c r="B5" s="34" t="s">
        <v>321</v>
      </c>
      <c r="C5" s="35" t="s">
        <v>322</v>
      </c>
      <c r="D5" s="35" t="s">
        <v>361</v>
      </c>
      <c r="E5" s="35" t="s">
        <v>233</v>
      </c>
      <c r="F5" s="35" t="s">
        <v>229</v>
      </c>
      <c r="G5" s="35" t="s">
        <v>238</v>
      </c>
      <c r="H5" s="36" t="s">
        <v>239</v>
      </c>
    </row>
    <row r="6" spans="1:17" ht="24.95" customHeight="1" x14ac:dyDescent="0.3">
      <c r="B6" s="543" t="str">
        <f>IF(H4="","",DATEDIF(G4,H4,"M")+D6)</f>
        <v/>
      </c>
      <c r="C6" s="544" t="str">
        <f ca="1">IF(H4="","",IF(H4&lt;TODAY(),0,DATEDIF(TODAY(),H4,"M")))</f>
        <v/>
      </c>
      <c r="D6" s="566"/>
      <c r="E6" s="328">
        <f>SUM($E$9:$E$697)</f>
        <v>0</v>
      </c>
      <c r="F6" s="328">
        <f>SUM($F$9:$F$697)</f>
        <v>0</v>
      </c>
      <c r="G6" s="328" t="str">
        <f ca="1">IF($H$4="","",VLOOKUP(TODAY(),$C$8:$H$697,5,TRUE))</f>
        <v/>
      </c>
      <c r="H6" s="339" t="str">
        <f ca="1">IF($H$4="","",VLOOKUP(TODAY(),$C$8:$H$697,6,TRUE))</f>
        <v/>
      </c>
    </row>
    <row r="7" spans="1:17" ht="16.5" customHeight="1" thickBot="1" x14ac:dyDescent="0.35">
      <c r="B7" s="31"/>
      <c r="C7" s="31"/>
      <c r="D7" s="31"/>
      <c r="E7" s="31"/>
      <c r="F7" s="31"/>
      <c r="G7" s="31"/>
      <c r="H7" s="32"/>
      <c r="Q7" s="49"/>
    </row>
    <row r="8" spans="1:17" ht="30" customHeight="1" thickBot="1" x14ac:dyDescent="0.35">
      <c r="B8" s="34" t="s">
        <v>77</v>
      </c>
      <c r="C8" s="34" t="s">
        <v>230</v>
      </c>
      <c r="D8" s="35" t="s">
        <v>234</v>
      </c>
      <c r="E8" s="35" t="s">
        <v>146</v>
      </c>
      <c r="F8" s="36" t="s">
        <v>235</v>
      </c>
      <c r="G8" s="35" t="s">
        <v>237</v>
      </c>
      <c r="H8" s="36" t="s">
        <v>236</v>
      </c>
      <c r="I8" s="57"/>
    </row>
    <row r="9" spans="1:17" ht="20.100000000000001" customHeight="1" x14ac:dyDescent="0.3">
      <c r="B9" s="343">
        <v>1</v>
      </c>
      <c r="C9" s="342" t="str">
        <f>IF($H$4="","",IF(B9&gt;($B$6),"",IF(B9&lt;=($B$6),DATE(YEAR($G$4),MONTH($G$4),DAY($G$4)),"")))</f>
        <v/>
      </c>
      <c r="D9" s="341" t="str">
        <f>IF($H$4="","",IF($F$4="원리금균등상환",IFERROR(IF(B9&lt;=$D$6,0,-PPMT($E$4/12,B9-$D$6,($B$6-$D$6),$D$4)),""),IF($F$4="원금균등상환",IF(B9&lt;($D$6+1),0,IF(B9&gt;$B$6,0,$D$4/($B$6-$D$6))),"")))</f>
        <v/>
      </c>
      <c r="E9" s="328" t="str">
        <f>IF($H$4="","",IF($F$4="원리금균등상환",IFERROR(IF(B9&lt;=$D$6,$D4*($E$4/12),-IPMT($E$4/12,B9-$D$6,($B$6-$D$6),$D$4)),""),IF($F$4="원금균등상환",(D4-D9)*$E$4/12,"")))</f>
        <v/>
      </c>
      <c r="F9" s="339" t="str">
        <f>IF($H$4="","",IF($F$4="원리금균등상환",IFERROR(D9+E9,""),IF($F$4="원금균등상환",D9+E9,"")))</f>
        <v/>
      </c>
      <c r="G9" s="328" t="str">
        <f>IFERROR(IF(B9&gt;(($D$6+$B$6)*12),"",IF(B9=1,D9,D9+G8)),"")</f>
        <v/>
      </c>
      <c r="H9" s="340" t="str">
        <f>IFERROR(IF($H$4="","",D4-D9),"")</f>
        <v/>
      </c>
      <c r="I9" s="57"/>
    </row>
    <row r="10" spans="1:17" ht="20.100000000000001" customHeight="1" x14ac:dyDescent="0.3">
      <c r="B10" s="344">
        <v>2</v>
      </c>
      <c r="C10" s="342" t="str">
        <f>IF($H$4="","",IF(B10&gt;($B$6),"",IF(B10&lt;=($B$6),DATE(YEAR($G$4),MONTH($G$4)+B9,DAY($G$4)),"")))</f>
        <v/>
      </c>
      <c r="D10" s="341" t="str">
        <f t="shared" ref="D10:D73" si="0">IF($H$4="","",IF($F$4="원리금균등상환",IFERROR(IF(B10&lt;=$D$6,0,-PPMT($E$4/12,B10-$D$6,($B$6-$D$6),$D$4)),""),IF($F$4="원금균등상환",IF(B10&lt;($D$6+1),0,IF(B10&gt;$B$6,0,$D$4/($B$6-$D$6))),"")))</f>
        <v/>
      </c>
      <c r="E10" s="328" t="str">
        <f>IF($H$4="","",IF($F$4="원리금균등상환",IFERROR(IF(B10&lt;=$D$6,$H9*($E$4/12),-IPMT($E$4/12,B10-$D$6,($B$6-$D$6),$D$4)),""),IF($F$4="원금균등상환",(H9-D10)*$E$4/12,"")))</f>
        <v/>
      </c>
      <c r="F10" s="339" t="str">
        <f t="shared" ref="F10:F73" si="1">IF($H$4="","",IF($F$4="원리금균등상환",IFERROR(D10+E10,""),IF($F$4="원금균등상환",D10+E10,"")))</f>
        <v/>
      </c>
      <c r="G10" s="328" t="str">
        <f>IFERROR(IF(B10&gt;(($D$6+$B$6)*12),"",IF(B10=1,D10,D10+G9)),"")</f>
        <v/>
      </c>
      <c r="H10" s="340" t="str">
        <f>IFERROR(IF($H$4="","",H9-D10),"")</f>
        <v/>
      </c>
      <c r="I10" s="57"/>
    </row>
    <row r="11" spans="1:17" ht="20.100000000000001" customHeight="1" x14ac:dyDescent="0.3">
      <c r="B11" s="344">
        <v>3</v>
      </c>
      <c r="C11" s="342" t="str">
        <f t="shared" ref="C11:C74" si="2">IF($H$4="","",IF(B11&gt;($B$6),"",IF(B11&lt;=($B$6),DATE(YEAR($G$4),MONTH($G$4)+B10,DAY($G$4)),"")))</f>
        <v/>
      </c>
      <c r="D11" s="341" t="str">
        <f t="shared" si="0"/>
        <v/>
      </c>
      <c r="E11" s="328" t="str">
        <f t="shared" ref="E11:E74" si="3">IF($H$4="","",IF($F$4="원리금균등상환",IFERROR(IF(B11&lt;=$D$6,$H10*($E$4/12),-IPMT($E$4/12,B11-$D$6,($B$6-$D$6),$D$4)),""),IF($F$4="원금균등상환",(H10-D11)*$E$4/12,"")))</f>
        <v/>
      </c>
      <c r="F11" s="339" t="str">
        <f t="shared" si="1"/>
        <v/>
      </c>
      <c r="G11" s="328" t="str">
        <f t="shared" ref="G11:G74" si="4">IFERROR(IF(B11&gt;(($D$6+$B$6)*12),"",IF(B11=1,D11,D11+G10)),"")</f>
        <v/>
      </c>
      <c r="H11" s="340" t="str">
        <f t="shared" ref="H11:H74" si="5">IFERROR(IF($H$4="","",H10-D11),"")</f>
        <v/>
      </c>
      <c r="I11" s="57"/>
    </row>
    <row r="12" spans="1:17" ht="20.100000000000001" customHeight="1" x14ac:dyDescent="0.3">
      <c r="B12" s="344">
        <v>4</v>
      </c>
      <c r="C12" s="342" t="str">
        <f t="shared" si="2"/>
        <v/>
      </c>
      <c r="D12" s="341" t="str">
        <f t="shared" si="0"/>
        <v/>
      </c>
      <c r="E12" s="328" t="str">
        <f t="shared" si="3"/>
        <v/>
      </c>
      <c r="F12" s="339" t="str">
        <f t="shared" si="1"/>
        <v/>
      </c>
      <c r="G12" s="328" t="str">
        <f t="shared" si="4"/>
        <v/>
      </c>
      <c r="H12" s="340" t="str">
        <f t="shared" si="5"/>
        <v/>
      </c>
      <c r="I12" s="57"/>
    </row>
    <row r="13" spans="1:17" ht="20.100000000000001" customHeight="1" x14ac:dyDescent="0.3">
      <c r="B13" s="344">
        <v>5</v>
      </c>
      <c r="C13" s="342" t="str">
        <f t="shared" si="2"/>
        <v/>
      </c>
      <c r="D13" s="341" t="str">
        <f t="shared" si="0"/>
        <v/>
      </c>
      <c r="E13" s="328" t="str">
        <f t="shared" si="3"/>
        <v/>
      </c>
      <c r="F13" s="339" t="str">
        <f t="shared" si="1"/>
        <v/>
      </c>
      <c r="G13" s="328" t="str">
        <f t="shared" si="4"/>
        <v/>
      </c>
      <c r="H13" s="340" t="str">
        <f t="shared" si="5"/>
        <v/>
      </c>
      <c r="I13" s="57"/>
    </row>
    <row r="14" spans="1:17" ht="20.100000000000001" customHeight="1" x14ac:dyDescent="0.3">
      <c r="B14" s="344">
        <v>6</v>
      </c>
      <c r="C14" s="342" t="str">
        <f t="shared" si="2"/>
        <v/>
      </c>
      <c r="D14" s="341" t="str">
        <f t="shared" si="0"/>
        <v/>
      </c>
      <c r="E14" s="328" t="str">
        <f t="shared" si="3"/>
        <v/>
      </c>
      <c r="F14" s="339" t="str">
        <f t="shared" si="1"/>
        <v/>
      </c>
      <c r="G14" s="328" t="str">
        <f t="shared" si="4"/>
        <v/>
      </c>
      <c r="H14" s="340" t="str">
        <f t="shared" si="5"/>
        <v/>
      </c>
      <c r="I14" s="57"/>
    </row>
    <row r="15" spans="1:17" ht="20.100000000000001" customHeight="1" x14ac:dyDescent="0.3">
      <c r="B15" s="344">
        <v>7</v>
      </c>
      <c r="C15" s="342" t="str">
        <f t="shared" si="2"/>
        <v/>
      </c>
      <c r="D15" s="341" t="str">
        <f t="shared" si="0"/>
        <v/>
      </c>
      <c r="E15" s="328" t="str">
        <f t="shared" si="3"/>
        <v/>
      </c>
      <c r="F15" s="339" t="str">
        <f t="shared" si="1"/>
        <v/>
      </c>
      <c r="G15" s="328" t="str">
        <f t="shared" si="4"/>
        <v/>
      </c>
      <c r="H15" s="340" t="str">
        <f t="shared" si="5"/>
        <v/>
      </c>
      <c r="I15" s="57"/>
    </row>
    <row r="16" spans="1:17" ht="20.100000000000001" customHeight="1" x14ac:dyDescent="0.3">
      <c r="B16" s="344">
        <v>8</v>
      </c>
      <c r="C16" s="342" t="str">
        <f t="shared" si="2"/>
        <v/>
      </c>
      <c r="D16" s="341" t="str">
        <f t="shared" si="0"/>
        <v/>
      </c>
      <c r="E16" s="328" t="str">
        <f t="shared" si="3"/>
        <v/>
      </c>
      <c r="F16" s="339" t="str">
        <f t="shared" si="1"/>
        <v/>
      </c>
      <c r="G16" s="328" t="str">
        <f t="shared" si="4"/>
        <v/>
      </c>
      <c r="H16" s="340" t="str">
        <f t="shared" si="5"/>
        <v/>
      </c>
      <c r="I16" s="57"/>
    </row>
    <row r="17" spans="2:9" ht="20.100000000000001" customHeight="1" x14ac:dyDescent="0.3">
      <c r="B17" s="344">
        <v>9</v>
      </c>
      <c r="C17" s="342" t="str">
        <f t="shared" si="2"/>
        <v/>
      </c>
      <c r="D17" s="341" t="str">
        <f t="shared" si="0"/>
        <v/>
      </c>
      <c r="E17" s="328" t="str">
        <f t="shared" si="3"/>
        <v/>
      </c>
      <c r="F17" s="339" t="str">
        <f t="shared" si="1"/>
        <v/>
      </c>
      <c r="G17" s="328" t="str">
        <f t="shared" si="4"/>
        <v/>
      </c>
      <c r="H17" s="340" t="str">
        <f t="shared" si="5"/>
        <v/>
      </c>
      <c r="I17" s="57"/>
    </row>
    <row r="18" spans="2:9" ht="20.100000000000001" customHeight="1" x14ac:dyDescent="0.3">
      <c r="B18" s="344">
        <v>10</v>
      </c>
      <c r="C18" s="342" t="str">
        <f t="shared" si="2"/>
        <v/>
      </c>
      <c r="D18" s="341" t="str">
        <f t="shared" si="0"/>
        <v/>
      </c>
      <c r="E18" s="328" t="str">
        <f t="shared" si="3"/>
        <v/>
      </c>
      <c r="F18" s="339" t="str">
        <f t="shared" si="1"/>
        <v/>
      </c>
      <c r="G18" s="328" t="str">
        <f t="shared" si="4"/>
        <v/>
      </c>
      <c r="H18" s="340" t="str">
        <f t="shared" si="5"/>
        <v/>
      </c>
      <c r="I18" s="57"/>
    </row>
    <row r="19" spans="2:9" ht="20.100000000000001" customHeight="1" x14ac:dyDescent="0.3">
      <c r="B19" s="344">
        <v>11</v>
      </c>
      <c r="C19" s="342" t="str">
        <f t="shared" si="2"/>
        <v/>
      </c>
      <c r="D19" s="341" t="str">
        <f t="shared" si="0"/>
        <v/>
      </c>
      <c r="E19" s="328" t="str">
        <f t="shared" si="3"/>
        <v/>
      </c>
      <c r="F19" s="339" t="str">
        <f t="shared" si="1"/>
        <v/>
      </c>
      <c r="G19" s="328" t="str">
        <f t="shared" si="4"/>
        <v/>
      </c>
      <c r="H19" s="340" t="str">
        <f t="shared" si="5"/>
        <v/>
      </c>
      <c r="I19" s="57"/>
    </row>
    <row r="20" spans="2:9" ht="20.100000000000001" customHeight="1" x14ac:dyDescent="0.3">
      <c r="B20" s="344">
        <v>12</v>
      </c>
      <c r="C20" s="342" t="str">
        <f t="shared" si="2"/>
        <v/>
      </c>
      <c r="D20" s="341" t="str">
        <f t="shared" si="0"/>
        <v/>
      </c>
      <c r="E20" s="328" t="str">
        <f t="shared" si="3"/>
        <v/>
      </c>
      <c r="F20" s="339" t="str">
        <f t="shared" si="1"/>
        <v/>
      </c>
      <c r="G20" s="328" t="str">
        <f t="shared" si="4"/>
        <v/>
      </c>
      <c r="H20" s="340" t="str">
        <f t="shared" si="5"/>
        <v/>
      </c>
      <c r="I20" s="57"/>
    </row>
    <row r="21" spans="2:9" ht="20.100000000000001" customHeight="1" x14ac:dyDescent="0.3">
      <c r="B21" s="343">
        <v>13</v>
      </c>
      <c r="C21" s="342" t="str">
        <f t="shared" si="2"/>
        <v/>
      </c>
      <c r="D21" s="341" t="str">
        <f t="shared" si="0"/>
        <v/>
      </c>
      <c r="E21" s="328" t="str">
        <f t="shared" si="3"/>
        <v/>
      </c>
      <c r="F21" s="339" t="str">
        <f t="shared" si="1"/>
        <v/>
      </c>
      <c r="G21" s="328" t="str">
        <f t="shared" si="4"/>
        <v/>
      </c>
      <c r="H21" s="340" t="str">
        <f t="shared" si="5"/>
        <v/>
      </c>
      <c r="I21" s="57"/>
    </row>
    <row r="22" spans="2:9" ht="20.100000000000001" customHeight="1" x14ac:dyDescent="0.3">
      <c r="B22" s="344">
        <v>14</v>
      </c>
      <c r="C22" s="342" t="str">
        <f t="shared" si="2"/>
        <v/>
      </c>
      <c r="D22" s="341" t="str">
        <f t="shared" si="0"/>
        <v/>
      </c>
      <c r="E22" s="328" t="str">
        <f t="shared" si="3"/>
        <v/>
      </c>
      <c r="F22" s="339" t="str">
        <f t="shared" si="1"/>
        <v/>
      </c>
      <c r="G22" s="328" t="str">
        <f t="shared" si="4"/>
        <v/>
      </c>
      <c r="H22" s="340" t="str">
        <f t="shared" si="5"/>
        <v/>
      </c>
      <c r="I22" s="57"/>
    </row>
    <row r="23" spans="2:9" ht="20.100000000000001" customHeight="1" x14ac:dyDescent="0.3">
      <c r="B23" s="344">
        <v>15</v>
      </c>
      <c r="C23" s="342" t="str">
        <f t="shared" si="2"/>
        <v/>
      </c>
      <c r="D23" s="341" t="str">
        <f t="shared" si="0"/>
        <v/>
      </c>
      <c r="E23" s="328" t="str">
        <f t="shared" si="3"/>
        <v/>
      </c>
      <c r="F23" s="339" t="str">
        <f t="shared" si="1"/>
        <v/>
      </c>
      <c r="G23" s="328" t="str">
        <f t="shared" si="4"/>
        <v/>
      </c>
      <c r="H23" s="340" t="str">
        <f t="shared" si="5"/>
        <v/>
      </c>
      <c r="I23" s="57"/>
    </row>
    <row r="24" spans="2:9" ht="20.100000000000001" customHeight="1" x14ac:dyDescent="0.3">
      <c r="B24" s="344">
        <v>16</v>
      </c>
      <c r="C24" s="342" t="str">
        <f t="shared" si="2"/>
        <v/>
      </c>
      <c r="D24" s="341" t="str">
        <f t="shared" si="0"/>
        <v/>
      </c>
      <c r="E24" s="328" t="str">
        <f t="shared" si="3"/>
        <v/>
      </c>
      <c r="F24" s="339" t="str">
        <f t="shared" si="1"/>
        <v/>
      </c>
      <c r="G24" s="328" t="str">
        <f t="shared" si="4"/>
        <v/>
      </c>
      <c r="H24" s="340" t="str">
        <f t="shared" si="5"/>
        <v/>
      </c>
      <c r="I24" s="57"/>
    </row>
    <row r="25" spans="2:9" ht="20.100000000000001" customHeight="1" x14ac:dyDescent="0.3">
      <c r="B25" s="344">
        <v>17</v>
      </c>
      <c r="C25" s="342" t="str">
        <f t="shared" si="2"/>
        <v/>
      </c>
      <c r="D25" s="341" t="str">
        <f t="shared" si="0"/>
        <v/>
      </c>
      <c r="E25" s="328" t="str">
        <f t="shared" si="3"/>
        <v/>
      </c>
      <c r="F25" s="339" t="str">
        <f t="shared" si="1"/>
        <v/>
      </c>
      <c r="G25" s="328" t="str">
        <f t="shared" si="4"/>
        <v/>
      </c>
      <c r="H25" s="340" t="str">
        <f t="shared" si="5"/>
        <v/>
      </c>
      <c r="I25" s="57"/>
    </row>
    <row r="26" spans="2:9" ht="20.100000000000001" customHeight="1" x14ac:dyDescent="0.3">
      <c r="B26" s="344">
        <v>18</v>
      </c>
      <c r="C26" s="342" t="str">
        <f t="shared" si="2"/>
        <v/>
      </c>
      <c r="D26" s="341" t="str">
        <f t="shared" si="0"/>
        <v/>
      </c>
      <c r="E26" s="328" t="str">
        <f t="shared" si="3"/>
        <v/>
      </c>
      <c r="F26" s="339" t="str">
        <f t="shared" si="1"/>
        <v/>
      </c>
      <c r="G26" s="328" t="str">
        <f t="shared" si="4"/>
        <v/>
      </c>
      <c r="H26" s="340" t="str">
        <f t="shared" si="5"/>
        <v/>
      </c>
      <c r="I26" s="57"/>
    </row>
    <row r="27" spans="2:9" ht="20.100000000000001" customHeight="1" x14ac:dyDescent="0.3">
      <c r="B27" s="344">
        <v>19</v>
      </c>
      <c r="C27" s="342" t="str">
        <f t="shared" si="2"/>
        <v/>
      </c>
      <c r="D27" s="341" t="str">
        <f t="shared" si="0"/>
        <v/>
      </c>
      <c r="E27" s="328" t="str">
        <f t="shared" si="3"/>
        <v/>
      </c>
      <c r="F27" s="339" t="str">
        <f t="shared" si="1"/>
        <v/>
      </c>
      <c r="G27" s="328" t="str">
        <f t="shared" si="4"/>
        <v/>
      </c>
      <c r="H27" s="340" t="str">
        <f t="shared" si="5"/>
        <v/>
      </c>
      <c r="I27" s="57"/>
    </row>
    <row r="28" spans="2:9" ht="20.100000000000001" customHeight="1" x14ac:dyDescent="0.3">
      <c r="B28" s="344">
        <v>20</v>
      </c>
      <c r="C28" s="342" t="str">
        <f t="shared" si="2"/>
        <v/>
      </c>
      <c r="D28" s="341" t="str">
        <f t="shared" si="0"/>
        <v/>
      </c>
      <c r="E28" s="328" t="str">
        <f t="shared" si="3"/>
        <v/>
      </c>
      <c r="F28" s="339" t="str">
        <f t="shared" si="1"/>
        <v/>
      </c>
      <c r="G28" s="328" t="str">
        <f t="shared" si="4"/>
        <v/>
      </c>
      <c r="H28" s="340" t="str">
        <f t="shared" si="5"/>
        <v/>
      </c>
      <c r="I28" s="57"/>
    </row>
    <row r="29" spans="2:9" ht="20.100000000000001" customHeight="1" x14ac:dyDescent="0.3">
      <c r="B29" s="344">
        <v>21</v>
      </c>
      <c r="C29" s="342" t="str">
        <f t="shared" si="2"/>
        <v/>
      </c>
      <c r="D29" s="341" t="str">
        <f t="shared" si="0"/>
        <v/>
      </c>
      <c r="E29" s="328" t="str">
        <f t="shared" si="3"/>
        <v/>
      </c>
      <c r="F29" s="339" t="str">
        <f t="shared" si="1"/>
        <v/>
      </c>
      <c r="G29" s="328" t="str">
        <f t="shared" si="4"/>
        <v/>
      </c>
      <c r="H29" s="340" t="str">
        <f t="shared" si="5"/>
        <v/>
      </c>
      <c r="I29" s="57"/>
    </row>
    <row r="30" spans="2:9" ht="20.100000000000001" customHeight="1" x14ac:dyDescent="0.3">
      <c r="B30" s="344">
        <v>22</v>
      </c>
      <c r="C30" s="342" t="str">
        <f t="shared" si="2"/>
        <v/>
      </c>
      <c r="D30" s="341" t="str">
        <f t="shared" si="0"/>
        <v/>
      </c>
      <c r="E30" s="328" t="str">
        <f t="shared" si="3"/>
        <v/>
      </c>
      <c r="F30" s="339" t="str">
        <f t="shared" si="1"/>
        <v/>
      </c>
      <c r="G30" s="328" t="str">
        <f t="shared" si="4"/>
        <v/>
      </c>
      <c r="H30" s="340" t="str">
        <f t="shared" si="5"/>
        <v/>
      </c>
      <c r="I30" s="57"/>
    </row>
    <row r="31" spans="2:9" ht="20.100000000000001" customHeight="1" x14ac:dyDescent="0.3">
      <c r="B31" s="344">
        <v>23</v>
      </c>
      <c r="C31" s="342" t="str">
        <f t="shared" si="2"/>
        <v/>
      </c>
      <c r="D31" s="341" t="str">
        <f t="shared" si="0"/>
        <v/>
      </c>
      <c r="E31" s="328" t="str">
        <f t="shared" si="3"/>
        <v/>
      </c>
      <c r="F31" s="339" t="str">
        <f t="shared" si="1"/>
        <v/>
      </c>
      <c r="G31" s="328" t="str">
        <f t="shared" si="4"/>
        <v/>
      </c>
      <c r="H31" s="340" t="str">
        <f t="shared" si="5"/>
        <v/>
      </c>
      <c r="I31" s="57"/>
    </row>
    <row r="32" spans="2:9" ht="20.100000000000001" customHeight="1" x14ac:dyDescent="0.3">
      <c r="B32" s="344">
        <v>24</v>
      </c>
      <c r="C32" s="342" t="str">
        <f t="shared" si="2"/>
        <v/>
      </c>
      <c r="D32" s="341" t="str">
        <f t="shared" si="0"/>
        <v/>
      </c>
      <c r="E32" s="328" t="str">
        <f t="shared" si="3"/>
        <v/>
      </c>
      <c r="F32" s="339" t="str">
        <f t="shared" si="1"/>
        <v/>
      </c>
      <c r="G32" s="328" t="str">
        <f t="shared" si="4"/>
        <v/>
      </c>
      <c r="H32" s="340" t="str">
        <f t="shared" si="5"/>
        <v/>
      </c>
      <c r="I32" s="57"/>
    </row>
    <row r="33" spans="2:9" ht="20.100000000000001" customHeight="1" x14ac:dyDescent="0.3">
      <c r="B33" s="343">
        <v>25</v>
      </c>
      <c r="C33" s="342" t="str">
        <f t="shared" si="2"/>
        <v/>
      </c>
      <c r="D33" s="341" t="str">
        <f t="shared" si="0"/>
        <v/>
      </c>
      <c r="E33" s="328" t="str">
        <f t="shared" si="3"/>
        <v/>
      </c>
      <c r="F33" s="339" t="str">
        <f t="shared" si="1"/>
        <v/>
      </c>
      <c r="G33" s="328" t="str">
        <f t="shared" si="4"/>
        <v/>
      </c>
      <c r="H33" s="340" t="str">
        <f t="shared" si="5"/>
        <v/>
      </c>
      <c r="I33" s="57"/>
    </row>
    <row r="34" spans="2:9" ht="20.100000000000001" customHeight="1" x14ac:dyDescent="0.3">
      <c r="B34" s="344">
        <v>26</v>
      </c>
      <c r="C34" s="342" t="str">
        <f t="shared" si="2"/>
        <v/>
      </c>
      <c r="D34" s="341" t="str">
        <f t="shared" si="0"/>
        <v/>
      </c>
      <c r="E34" s="328" t="str">
        <f t="shared" si="3"/>
        <v/>
      </c>
      <c r="F34" s="339" t="str">
        <f t="shared" si="1"/>
        <v/>
      </c>
      <c r="G34" s="328" t="str">
        <f t="shared" si="4"/>
        <v/>
      </c>
      <c r="H34" s="340" t="str">
        <f t="shared" si="5"/>
        <v/>
      </c>
      <c r="I34" s="57"/>
    </row>
    <row r="35" spans="2:9" ht="20.100000000000001" customHeight="1" x14ac:dyDescent="0.3">
      <c r="B35" s="344">
        <v>27</v>
      </c>
      <c r="C35" s="342" t="str">
        <f t="shared" si="2"/>
        <v/>
      </c>
      <c r="D35" s="341" t="str">
        <f t="shared" si="0"/>
        <v/>
      </c>
      <c r="E35" s="328" t="str">
        <f t="shared" si="3"/>
        <v/>
      </c>
      <c r="F35" s="339" t="str">
        <f t="shared" si="1"/>
        <v/>
      </c>
      <c r="G35" s="328" t="str">
        <f t="shared" si="4"/>
        <v/>
      </c>
      <c r="H35" s="340" t="str">
        <f t="shared" si="5"/>
        <v/>
      </c>
      <c r="I35" s="57"/>
    </row>
    <row r="36" spans="2:9" ht="20.100000000000001" customHeight="1" x14ac:dyDescent="0.3">
      <c r="B36" s="344">
        <v>28</v>
      </c>
      <c r="C36" s="342" t="str">
        <f t="shared" si="2"/>
        <v/>
      </c>
      <c r="D36" s="341" t="str">
        <f t="shared" si="0"/>
        <v/>
      </c>
      <c r="E36" s="328" t="str">
        <f t="shared" si="3"/>
        <v/>
      </c>
      <c r="F36" s="339" t="str">
        <f t="shared" si="1"/>
        <v/>
      </c>
      <c r="G36" s="328" t="str">
        <f t="shared" si="4"/>
        <v/>
      </c>
      <c r="H36" s="340" t="str">
        <f t="shared" si="5"/>
        <v/>
      </c>
      <c r="I36" s="57"/>
    </row>
    <row r="37" spans="2:9" ht="20.100000000000001" customHeight="1" x14ac:dyDescent="0.3">
      <c r="B37" s="344">
        <v>29</v>
      </c>
      <c r="C37" s="342" t="str">
        <f t="shared" si="2"/>
        <v/>
      </c>
      <c r="D37" s="341" t="str">
        <f t="shared" si="0"/>
        <v/>
      </c>
      <c r="E37" s="328" t="str">
        <f t="shared" si="3"/>
        <v/>
      </c>
      <c r="F37" s="339" t="str">
        <f t="shared" si="1"/>
        <v/>
      </c>
      <c r="G37" s="328" t="str">
        <f t="shared" si="4"/>
        <v/>
      </c>
      <c r="H37" s="340" t="str">
        <f t="shared" si="5"/>
        <v/>
      </c>
      <c r="I37" s="57"/>
    </row>
    <row r="38" spans="2:9" ht="20.100000000000001" customHeight="1" x14ac:dyDescent="0.3">
      <c r="B38" s="344">
        <v>30</v>
      </c>
      <c r="C38" s="342" t="str">
        <f t="shared" si="2"/>
        <v/>
      </c>
      <c r="D38" s="341" t="str">
        <f t="shared" si="0"/>
        <v/>
      </c>
      <c r="E38" s="328" t="str">
        <f t="shared" si="3"/>
        <v/>
      </c>
      <c r="F38" s="339" t="str">
        <f t="shared" si="1"/>
        <v/>
      </c>
      <c r="G38" s="328" t="str">
        <f t="shared" si="4"/>
        <v/>
      </c>
      <c r="H38" s="340" t="str">
        <f t="shared" si="5"/>
        <v/>
      </c>
      <c r="I38" s="57"/>
    </row>
    <row r="39" spans="2:9" ht="20.100000000000001" customHeight="1" x14ac:dyDescent="0.3">
      <c r="B39" s="344">
        <v>31</v>
      </c>
      <c r="C39" s="342" t="str">
        <f t="shared" si="2"/>
        <v/>
      </c>
      <c r="D39" s="341" t="str">
        <f t="shared" si="0"/>
        <v/>
      </c>
      <c r="E39" s="328" t="str">
        <f t="shared" si="3"/>
        <v/>
      </c>
      <c r="F39" s="339" t="str">
        <f t="shared" si="1"/>
        <v/>
      </c>
      <c r="G39" s="328" t="str">
        <f t="shared" si="4"/>
        <v/>
      </c>
      <c r="H39" s="340" t="str">
        <f t="shared" si="5"/>
        <v/>
      </c>
      <c r="I39" s="57"/>
    </row>
    <row r="40" spans="2:9" ht="20.100000000000001" customHeight="1" x14ac:dyDescent="0.3">
      <c r="B40" s="344">
        <v>32</v>
      </c>
      <c r="C40" s="342" t="str">
        <f t="shared" si="2"/>
        <v/>
      </c>
      <c r="D40" s="341" t="str">
        <f t="shared" si="0"/>
        <v/>
      </c>
      <c r="E40" s="328" t="str">
        <f t="shared" si="3"/>
        <v/>
      </c>
      <c r="F40" s="339" t="str">
        <f t="shared" si="1"/>
        <v/>
      </c>
      <c r="G40" s="328" t="str">
        <f t="shared" si="4"/>
        <v/>
      </c>
      <c r="H40" s="340" t="str">
        <f t="shared" si="5"/>
        <v/>
      </c>
      <c r="I40" s="57"/>
    </row>
    <row r="41" spans="2:9" ht="20.100000000000001" customHeight="1" x14ac:dyDescent="0.3">
      <c r="B41" s="344">
        <v>33</v>
      </c>
      <c r="C41" s="342" t="str">
        <f t="shared" si="2"/>
        <v/>
      </c>
      <c r="D41" s="341" t="str">
        <f t="shared" si="0"/>
        <v/>
      </c>
      <c r="E41" s="328" t="str">
        <f t="shared" si="3"/>
        <v/>
      </c>
      <c r="F41" s="339" t="str">
        <f t="shared" si="1"/>
        <v/>
      </c>
      <c r="G41" s="328" t="str">
        <f t="shared" si="4"/>
        <v/>
      </c>
      <c r="H41" s="340" t="str">
        <f t="shared" si="5"/>
        <v/>
      </c>
      <c r="I41" s="57"/>
    </row>
    <row r="42" spans="2:9" ht="20.100000000000001" customHeight="1" x14ac:dyDescent="0.3">
      <c r="B42" s="344">
        <v>34</v>
      </c>
      <c r="C42" s="342" t="str">
        <f t="shared" si="2"/>
        <v/>
      </c>
      <c r="D42" s="341" t="str">
        <f t="shared" si="0"/>
        <v/>
      </c>
      <c r="E42" s="328" t="str">
        <f t="shared" si="3"/>
        <v/>
      </c>
      <c r="F42" s="339" t="str">
        <f t="shared" si="1"/>
        <v/>
      </c>
      <c r="G42" s="328" t="str">
        <f t="shared" si="4"/>
        <v/>
      </c>
      <c r="H42" s="340" t="str">
        <f t="shared" si="5"/>
        <v/>
      </c>
      <c r="I42" s="57"/>
    </row>
    <row r="43" spans="2:9" ht="20.100000000000001" customHeight="1" x14ac:dyDescent="0.3">
      <c r="B43" s="344">
        <v>35</v>
      </c>
      <c r="C43" s="342" t="str">
        <f t="shared" si="2"/>
        <v/>
      </c>
      <c r="D43" s="341" t="str">
        <f t="shared" si="0"/>
        <v/>
      </c>
      <c r="E43" s="328" t="str">
        <f t="shared" si="3"/>
        <v/>
      </c>
      <c r="F43" s="339" t="str">
        <f t="shared" si="1"/>
        <v/>
      </c>
      <c r="G43" s="328" t="str">
        <f t="shared" si="4"/>
        <v/>
      </c>
      <c r="H43" s="340" t="str">
        <f t="shared" si="5"/>
        <v/>
      </c>
      <c r="I43" s="57"/>
    </row>
    <row r="44" spans="2:9" ht="20.100000000000001" customHeight="1" x14ac:dyDescent="0.3">
      <c r="B44" s="344">
        <v>36</v>
      </c>
      <c r="C44" s="342" t="str">
        <f t="shared" si="2"/>
        <v/>
      </c>
      <c r="D44" s="341" t="str">
        <f t="shared" si="0"/>
        <v/>
      </c>
      <c r="E44" s="328" t="str">
        <f t="shared" si="3"/>
        <v/>
      </c>
      <c r="F44" s="339" t="str">
        <f t="shared" si="1"/>
        <v/>
      </c>
      <c r="G44" s="328" t="str">
        <f t="shared" si="4"/>
        <v/>
      </c>
      <c r="H44" s="340" t="str">
        <f t="shared" si="5"/>
        <v/>
      </c>
      <c r="I44" s="57"/>
    </row>
    <row r="45" spans="2:9" ht="20.100000000000001" customHeight="1" x14ac:dyDescent="0.3">
      <c r="B45" s="344">
        <v>37</v>
      </c>
      <c r="C45" s="342" t="str">
        <f t="shared" si="2"/>
        <v/>
      </c>
      <c r="D45" s="341" t="str">
        <f t="shared" si="0"/>
        <v/>
      </c>
      <c r="E45" s="328" t="str">
        <f t="shared" si="3"/>
        <v/>
      </c>
      <c r="F45" s="339" t="str">
        <f t="shared" si="1"/>
        <v/>
      </c>
      <c r="G45" s="328" t="str">
        <f t="shared" si="4"/>
        <v/>
      </c>
      <c r="H45" s="340" t="str">
        <f t="shared" si="5"/>
        <v/>
      </c>
      <c r="I45" s="57"/>
    </row>
    <row r="46" spans="2:9" ht="20.100000000000001" customHeight="1" x14ac:dyDescent="0.3">
      <c r="B46" s="344">
        <v>38</v>
      </c>
      <c r="C46" s="342" t="str">
        <f t="shared" si="2"/>
        <v/>
      </c>
      <c r="D46" s="341" t="str">
        <f t="shared" si="0"/>
        <v/>
      </c>
      <c r="E46" s="328" t="str">
        <f t="shared" si="3"/>
        <v/>
      </c>
      <c r="F46" s="339" t="str">
        <f t="shared" si="1"/>
        <v/>
      </c>
      <c r="G46" s="328" t="str">
        <f t="shared" si="4"/>
        <v/>
      </c>
      <c r="H46" s="340" t="str">
        <f t="shared" si="5"/>
        <v/>
      </c>
      <c r="I46" s="57"/>
    </row>
    <row r="47" spans="2:9" ht="20.100000000000001" customHeight="1" x14ac:dyDescent="0.3">
      <c r="B47" s="344">
        <v>39</v>
      </c>
      <c r="C47" s="342" t="str">
        <f t="shared" si="2"/>
        <v/>
      </c>
      <c r="D47" s="341" t="str">
        <f t="shared" si="0"/>
        <v/>
      </c>
      <c r="E47" s="328" t="str">
        <f t="shared" si="3"/>
        <v/>
      </c>
      <c r="F47" s="339" t="str">
        <f t="shared" si="1"/>
        <v/>
      </c>
      <c r="G47" s="328" t="str">
        <f t="shared" si="4"/>
        <v/>
      </c>
      <c r="H47" s="340" t="str">
        <f t="shared" si="5"/>
        <v/>
      </c>
      <c r="I47" s="57"/>
    </row>
    <row r="48" spans="2:9" ht="20.100000000000001" customHeight="1" x14ac:dyDescent="0.3">
      <c r="B48" s="344">
        <v>40</v>
      </c>
      <c r="C48" s="342" t="str">
        <f t="shared" si="2"/>
        <v/>
      </c>
      <c r="D48" s="341" t="str">
        <f t="shared" si="0"/>
        <v/>
      </c>
      <c r="E48" s="328" t="str">
        <f t="shared" si="3"/>
        <v/>
      </c>
      <c r="F48" s="339" t="str">
        <f t="shared" si="1"/>
        <v/>
      </c>
      <c r="G48" s="328" t="str">
        <f t="shared" si="4"/>
        <v/>
      </c>
      <c r="H48" s="340" t="str">
        <f t="shared" si="5"/>
        <v/>
      </c>
      <c r="I48" s="57"/>
    </row>
    <row r="49" spans="2:28" ht="20.100000000000001" customHeight="1" x14ac:dyDescent="0.3">
      <c r="B49" s="344">
        <v>41</v>
      </c>
      <c r="C49" s="342" t="str">
        <f t="shared" si="2"/>
        <v/>
      </c>
      <c r="D49" s="341" t="str">
        <f t="shared" si="0"/>
        <v/>
      </c>
      <c r="E49" s="328" t="str">
        <f t="shared" si="3"/>
        <v/>
      </c>
      <c r="F49" s="339" t="str">
        <f t="shared" si="1"/>
        <v/>
      </c>
      <c r="G49" s="328" t="str">
        <f t="shared" si="4"/>
        <v/>
      </c>
      <c r="H49" s="340" t="str">
        <f t="shared" si="5"/>
        <v/>
      </c>
      <c r="I49" s="57"/>
    </row>
    <row r="50" spans="2:28" ht="20.100000000000001" customHeight="1" x14ac:dyDescent="0.3">
      <c r="B50" s="344">
        <v>42</v>
      </c>
      <c r="C50" s="342" t="str">
        <f t="shared" si="2"/>
        <v/>
      </c>
      <c r="D50" s="341" t="str">
        <f t="shared" si="0"/>
        <v/>
      </c>
      <c r="E50" s="328" t="str">
        <f t="shared" si="3"/>
        <v/>
      </c>
      <c r="F50" s="339" t="str">
        <f t="shared" si="1"/>
        <v/>
      </c>
      <c r="G50" s="328" t="str">
        <f t="shared" si="4"/>
        <v/>
      </c>
      <c r="H50" s="340" t="str">
        <f t="shared" si="5"/>
        <v/>
      </c>
      <c r="I50" s="57"/>
    </row>
    <row r="51" spans="2:28" ht="20.100000000000001" customHeight="1" x14ac:dyDescent="0.3">
      <c r="B51" s="344">
        <v>43</v>
      </c>
      <c r="C51" s="342" t="str">
        <f t="shared" si="2"/>
        <v/>
      </c>
      <c r="D51" s="341" t="str">
        <f t="shared" si="0"/>
        <v/>
      </c>
      <c r="E51" s="328" t="str">
        <f t="shared" si="3"/>
        <v/>
      </c>
      <c r="F51" s="339" t="str">
        <f t="shared" si="1"/>
        <v/>
      </c>
      <c r="G51" s="328" t="str">
        <f t="shared" si="4"/>
        <v/>
      </c>
      <c r="H51" s="340" t="str">
        <f t="shared" si="5"/>
        <v/>
      </c>
      <c r="I51" s="57"/>
    </row>
    <row r="52" spans="2:28" ht="20.100000000000001" customHeight="1" x14ac:dyDescent="0.3">
      <c r="B52" s="344">
        <v>44</v>
      </c>
      <c r="C52" s="342" t="str">
        <f t="shared" si="2"/>
        <v/>
      </c>
      <c r="D52" s="341" t="str">
        <f t="shared" si="0"/>
        <v/>
      </c>
      <c r="E52" s="328" t="str">
        <f t="shared" si="3"/>
        <v/>
      </c>
      <c r="F52" s="339" t="str">
        <f t="shared" si="1"/>
        <v/>
      </c>
      <c r="G52" s="328" t="str">
        <f t="shared" si="4"/>
        <v/>
      </c>
      <c r="H52" s="340" t="str">
        <f t="shared" si="5"/>
        <v/>
      </c>
      <c r="I52" s="57"/>
    </row>
    <row r="53" spans="2:28" ht="20.100000000000001" customHeight="1" x14ac:dyDescent="0.3">
      <c r="B53" s="344">
        <v>45</v>
      </c>
      <c r="C53" s="342" t="str">
        <f t="shared" si="2"/>
        <v/>
      </c>
      <c r="D53" s="341" t="str">
        <f t="shared" si="0"/>
        <v/>
      </c>
      <c r="E53" s="328" t="str">
        <f t="shared" si="3"/>
        <v/>
      </c>
      <c r="F53" s="339" t="str">
        <f t="shared" si="1"/>
        <v/>
      </c>
      <c r="G53" s="328" t="str">
        <f t="shared" si="4"/>
        <v/>
      </c>
      <c r="H53" s="340" t="str">
        <f t="shared" si="5"/>
        <v/>
      </c>
      <c r="I53" s="57"/>
    </row>
    <row r="54" spans="2:28" ht="20.100000000000001" customHeight="1" x14ac:dyDescent="0.3">
      <c r="B54" s="344">
        <v>46</v>
      </c>
      <c r="C54" s="342" t="str">
        <f t="shared" si="2"/>
        <v/>
      </c>
      <c r="D54" s="341" t="str">
        <f t="shared" si="0"/>
        <v/>
      </c>
      <c r="E54" s="328" t="str">
        <f t="shared" si="3"/>
        <v/>
      </c>
      <c r="F54" s="339" t="str">
        <f t="shared" si="1"/>
        <v/>
      </c>
      <c r="G54" s="328" t="str">
        <f t="shared" si="4"/>
        <v/>
      </c>
      <c r="H54" s="340" t="str">
        <f t="shared" si="5"/>
        <v/>
      </c>
      <c r="I54" s="57"/>
    </row>
    <row r="55" spans="2:28" ht="20.100000000000001" customHeight="1" x14ac:dyDescent="0.3">
      <c r="B55" s="344">
        <v>47</v>
      </c>
      <c r="C55" s="342" t="str">
        <f t="shared" si="2"/>
        <v/>
      </c>
      <c r="D55" s="341" t="str">
        <f t="shared" si="0"/>
        <v/>
      </c>
      <c r="E55" s="328" t="str">
        <f t="shared" si="3"/>
        <v/>
      </c>
      <c r="F55" s="339" t="str">
        <f t="shared" si="1"/>
        <v/>
      </c>
      <c r="G55" s="328" t="str">
        <f t="shared" si="4"/>
        <v/>
      </c>
      <c r="H55" s="340" t="str">
        <f t="shared" si="5"/>
        <v/>
      </c>
      <c r="I55" s="57"/>
    </row>
    <row r="56" spans="2:28" ht="20.100000000000001" customHeight="1" x14ac:dyDescent="0.3">
      <c r="B56" s="344">
        <v>48</v>
      </c>
      <c r="C56" s="342" t="str">
        <f t="shared" si="2"/>
        <v/>
      </c>
      <c r="D56" s="341" t="str">
        <f t="shared" si="0"/>
        <v/>
      </c>
      <c r="E56" s="328" t="str">
        <f t="shared" si="3"/>
        <v/>
      </c>
      <c r="F56" s="339" t="str">
        <f t="shared" si="1"/>
        <v/>
      </c>
      <c r="G56" s="328" t="str">
        <f t="shared" si="4"/>
        <v/>
      </c>
      <c r="H56" s="340" t="str">
        <f t="shared" si="5"/>
        <v/>
      </c>
      <c r="I56" s="57"/>
    </row>
    <row r="57" spans="2:28" ht="20.100000000000001" customHeight="1" x14ac:dyDescent="0.3">
      <c r="B57" s="344">
        <v>49</v>
      </c>
      <c r="C57" s="342" t="str">
        <f t="shared" si="2"/>
        <v/>
      </c>
      <c r="D57" s="341" t="str">
        <f t="shared" si="0"/>
        <v/>
      </c>
      <c r="E57" s="328" t="str">
        <f t="shared" si="3"/>
        <v/>
      </c>
      <c r="F57" s="339" t="str">
        <f t="shared" si="1"/>
        <v/>
      </c>
      <c r="G57" s="328" t="str">
        <f t="shared" si="4"/>
        <v/>
      </c>
      <c r="H57" s="340" t="str">
        <f t="shared" si="5"/>
        <v/>
      </c>
      <c r="I57" s="57"/>
    </row>
    <row r="58" spans="2:28" ht="20.100000000000001" customHeight="1" x14ac:dyDescent="0.3">
      <c r="B58" s="344">
        <v>50</v>
      </c>
      <c r="C58" s="342" t="str">
        <f t="shared" si="2"/>
        <v/>
      </c>
      <c r="D58" s="341" t="str">
        <f t="shared" si="0"/>
        <v/>
      </c>
      <c r="E58" s="328" t="str">
        <f t="shared" si="3"/>
        <v/>
      </c>
      <c r="F58" s="339" t="str">
        <f t="shared" si="1"/>
        <v/>
      </c>
      <c r="G58" s="328" t="str">
        <f t="shared" si="4"/>
        <v/>
      </c>
      <c r="H58" s="340" t="str">
        <f t="shared" si="5"/>
        <v/>
      </c>
      <c r="I58" s="57"/>
    </row>
    <row r="59" spans="2:28" ht="20.100000000000001" customHeight="1" x14ac:dyDescent="0.3">
      <c r="B59" s="344">
        <v>51</v>
      </c>
      <c r="C59" s="342" t="str">
        <f t="shared" si="2"/>
        <v/>
      </c>
      <c r="D59" s="341" t="str">
        <f t="shared" si="0"/>
        <v/>
      </c>
      <c r="E59" s="328" t="str">
        <f t="shared" si="3"/>
        <v/>
      </c>
      <c r="F59" s="339" t="str">
        <f t="shared" si="1"/>
        <v/>
      </c>
      <c r="G59" s="328" t="str">
        <f t="shared" si="4"/>
        <v/>
      </c>
      <c r="H59" s="340" t="str">
        <f t="shared" si="5"/>
        <v/>
      </c>
      <c r="I59" s="57"/>
    </row>
    <row r="60" spans="2:28" ht="20.100000000000001" customHeight="1" x14ac:dyDescent="0.3">
      <c r="B60" s="344">
        <v>52</v>
      </c>
      <c r="C60" s="342" t="str">
        <f t="shared" si="2"/>
        <v/>
      </c>
      <c r="D60" s="341" t="str">
        <f t="shared" si="0"/>
        <v/>
      </c>
      <c r="E60" s="328" t="str">
        <f t="shared" si="3"/>
        <v/>
      </c>
      <c r="F60" s="339" t="str">
        <f t="shared" si="1"/>
        <v/>
      </c>
      <c r="G60" s="328" t="str">
        <f t="shared" si="4"/>
        <v/>
      </c>
      <c r="H60" s="340" t="str">
        <f t="shared" si="5"/>
        <v/>
      </c>
      <c r="I60" s="57"/>
    </row>
    <row r="61" spans="2:28" ht="20.100000000000001" customHeight="1" x14ac:dyDescent="0.3">
      <c r="B61" s="344">
        <v>53</v>
      </c>
      <c r="C61" s="342" t="str">
        <f t="shared" si="2"/>
        <v/>
      </c>
      <c r="D61" s="341" t="str">
        <f t="shared" si="0"/>
        <v/>
      </c>
      <c r="E61" s="328" t="str">
        <f t="shared" si="3"/>
        <v/>
      </c>
      <c r="F61" s="339" t="str">
        <f t="shared" si="1"/>
        <v/>
      </c>
      <c r="G61" s="328" t="str">
        <f t="shared" si="4"/>
        <v/>
      </c>
      <c r="H61" s="340" t="str">
        <f t="shared" si="5"/>
        <v/>
      </c>
      <c r="I61" s="57"/>
      <c r="K61" s="1"/>
      <c r="L61" s="1"/>
      <c r="M61" s="1"/>
      <c r="T61" s="51"/>
      <c r="U61" s="1"/>
      <c r="V61" s="1"/>
      <c r="Z61" s="1"/>
      <c r="AA61" s="1"/>
      <c r="AB61" s="1"/>
    </row>
    <row r="62" spans="2:28" ht="20.100000000000001" customHeight="1" x14ac:dyDescent="0.3">
      <c r="B62" s="344">
        <v>54</v>
      </c>
      <c r="C62" s="342" t="str">
        <f t="shared" si="2"/>
        <v/>
      </c>
      <c r="D62" s="341" t="str">
        <f t="shared" si="0"/>
        <v/>
      </c>
      <c r="E62" s="328" t="str">
        <f t="shared" si="3"/>
        <v/>
      </c>
      <c r="F62" s="339" t="str">
        <f t="shared" si="1"/>
        <v/>
      </c>
      <c r="G62" s="328" t="str">
        <f t="shared" si="4"/>
        <v/>
      </c>
      <c r="H62" s="340" t="str">
        <f t="shared" si="5"/>
        <v/>
      </c>
      <c r="I62" s="50"/>
      <c r="K62" s="50"/>
      <c r="N62" s="50"/>
      <c r="Q62" s="50"/>
      <c r="T62" s="50"/>
      <c r="W62" s="50"/>
      <c r="Z62" s="50"/>
    </row>
    <row r="63" spans="2:28" ht="20.100000000000001" customHeight="1" x14ac:dyDescent="0.3">
      <c r="B63" s="344">
        <v>55</v>
      </c>
      <c r="C63" s="342" t="str">
        <f t="shared" si="2"/>
        <v/>
      </c>
      <c r="D63" s="341" t="str">
        <f t="shared" si="0"/>
        <v/>
      </c>
      <c r="E63" s="328" t="str">
        <f t="shared" si="3"/>
        <v/>
      </c>
      <c r="F63" s="339" t="str">
        <f t="shared" si="1"/>
        <v/>
      </c>
      <c r="G63" s="328" t="str">
        <f t="shared" si="4"/>
        <v/>
      </c>
      <c r="H63" s="340" t="str">
        <f t="shared" si="5"/>
        <v/>
      </c>
      <c r="I63" s="564"/>
      <c r="K63" s="625"/>
      <c r="L63" s="625"/>
      <c r="M63" s="52"/>
      <c r="N63" s="625"/>
      <c r="O63" s="625"/>
      <c r="P63" s="52"/>
      <c r="Q63" s="625"/>
      <c r="R63" s="625"/>
      <c r="S63" s="52"/>
      <c r="T63" s="625"/>
      <c r="U63" s="625"/>
      <c r="V63" s="52"/>
      <c r="W63" s="625"/>
      <c r="X63" s="625"/>
      <c r="Y63" s="52"/>
      <c r="Z63" s="625"/>
      <c r="AA63" s="625"/>
      <c r="AB63" s="52"/>
    </row>
    <row r="64" spans="2:28" ht="20.100000000000001" customHeight="1" x14ac:dyDescent="0.3">
      <c r="B64" s="344">
        <v>56</v>
      </c>
      <c r="C64" s="342" t="str">
        <f t="shared" si="2"/>
        <v/>
      </c>
      <c r="D64" s="341" t="str">
        <f t="shared" si="0"/>
        <v/>
      </c>
      <c r="E64" s="328" t="str">
        <f t="shared" si="3"/>
        <v/>
      </c>
      <c r="F64" s="339" t="str">
        <f t="shared" si="1"/>
        <v/>
      </c>
      <c r="G64" s="328" t="str">
        <f t="shared" si="4"/>
        <v/>
      </c>
      <c r="H64" s="340" t="str">
        <f t="shared" si="5"/>
        <v/>
      </c>
      <c r="I64" s="57"/>
    </row>
    <row r="65" spans="2:9" ht="20.100000000000001" customHeight="1" x14ac:dyDescent="0.3">
      <c r="B65" s="344">
        <v>57</v>
      </c>
      <c r="C65" s="342" t="str">
        <f t="shared" si="2"/>
        <v/>
      </c>
      <c r="D65" s="341" t="str">
        <f t="shared" si="0"/>
        <v/>
      </c>
      <c r="E65" s="328" t="str">
        <f t="shared" si="3"/>
        <v/>
      </c>
      <c r="F65" s="339" t="str">
        <f t="shared" si="1"/>
        <v/>
      </c>
      <c r="G65" s="328" t="str">
        <f t="shared" si="4"/>
        <v/>
      </c>
      <c r="H65" s="340" t="str">
        <f t="shared" si="5"/>
        <v/>
      </c>
      <c r="I65" s="57"/>
    </row>
    <row r="66" spans="2:9" ht="20.100000000000001" customHeight="1" x14ac:dyDescent="0.3">
      <c r="B66" s="344">
        <v>58</v>
      </c>
      <c r="C66" s="342" t="str">
        <f t="shared" si="2"/>
        <v/>
      </c>
      <c r="D66" s="341" t="str">
        <f t="shared" si="0"/>
        <v/>
      </c>
      <c r="E66" s="328" t="str">
        <f t="shared" si="3"/>
        <v/>
      </c>
      <c r="F66" s="339" t="str">
        <f t="shared" si="1"/>
        <v/>
      </c>
      <c r="G66" s="328" t="str">
        <f t="shared" si="4"/>
        <v/>
      </c>
      <c r="H66" s="340" t="str">
        <f t="shared" si="5"/>
        <v/>
      </c>
      <c r="I66" s="57"/>
    </row>
    <row r="67" spans="2:9" ht="20.100000000000001" customHeight="1" x14ac:dyDescent="0.3">
      <c r="B67" s="344">
        <v>59</v>
      </c>
      <c r="C67" s="342" t="str">
        <f t="shared" si="2"/>
        <v/>
      </c>
      <c r="D67" s="341" t="str">
        <f t="shared" si="0"/>
        <v/>
      </c>
      <c r="E67" s="328" t="str">
        <f t="shared" si="3"/>
        <v/>
      </c>
      <c r="F67" s="339" t="str">
        <f t="shared" si="1"/>
        <v/>
      </c>
      <c r="G67" s="328" t="str">
        <f t="shared" si="4"/>
        <v/>
      </c>
      <c r="H67" s="340" t="str">
        <f t="shared" si="5"/>
        <v/>
      </c>
      <c r="I67" s="57"/>
    </row>
    <row r="68" spans="2:9" ht="20.100000000000001" customHeight="1" x14ac:dyDescent="0.3">
      <c r="B68" s="344">
        <v>60</v>
      </c>
      <c r="C68" s="342" t="str">
        <f t="shared" si="2"/>
        <v/>
      </c>
      <c r="D68" s="341" t="str">
        <f t="shared" si="0"/>
        <v/>
      </c>
      <c r="E68" s="328" t="str">
        <f t="shared" si="3"/>
        <v/>
      </c>
      <c r="F68" s="339" t="str">
        <f t="shared" si="1"/>
        <v/>
      </c>
      <c r="G68" s="328" t="str">
        <f t="shared" si="4"/>
        <v/>
      </c>
      <c r="H68" s="340" t="str">
        <f t="shared" si="5"/>
        <v/>
      </c>
      <c r="I68" s="57"/>
    </row>
    <row r="69" spans="2:9" ht="20.100000000000001" customHeight="1" x14ac:dyDescent="0.3">
      <c r="B69" s="344">
        <v>61</v>
      </c>
      <c r="C69" s="342" t="str">
        <f t="shared" si="2"/>
        <v/>
      </c>
      <c r="D69" s="341" t="str">
        <f t="shared" si="0"/>
        <v/>
      </c>
      <c r="E69" s="328" t="str">
        <f t="shared" si="3"/>
        <v/>
      </c>
      <c r="F69" s="339" t="str">
        <f t="shared" si="1"/>
        <v/>
      </c>
      <c r="G69" s="328" t="str">
        <f t="shared" si="4"/>
        <v/>
      </c>
      <c r="H69" s="340" t="str">
        <f t="shared" si="5"/>
        <v/>
      </c>
      <c r="I69" s="57"/>
    </row>
    <row r="70" spans="2:9" ht="20.100000000000001" customHeight="1" x14ac:dyDescent="0.3">
      <c r="B70" s="344">
        <v>62</v>
      </c>
      <c r="C70" s="342" t="str">
        <f t="shared" si="2"/>
        <v/>
      </c>
      <c r="D70" s="341" t="str">
        <f t="shared" si="0"/>
        <v/>
      </c>
      <c r="E70" s="328" t="str">
        <f t="shared" si="3"/>
        <v/>
      </c>
      <c r="F70" s="339" t="str">
        <f t="shared" si="1"/>
        <v/>
      </c>
      <c r="G70" s="328" t="str">
        <f t="shared" si="4"/>
        <v/>
      </c>
      <c r="H70" s="340" t="str">
        <f t="shared" si="5"/>
        <v/>
      </c>
      <c r="I70" s="57"/>
    </row>
    <row r="71" spans="2:9" ht="20.100000000000001" customHeight="1" x14ac:dyDescent="0.3">
      <c r="B71" s="344">
        <v>63</v>
      </c>
      <c r="C71" s="342" t="str">
        <f t="shared" si="2"/>
        <v/>
      </c>
      <c r="D71" s="341" t="str">
        <f t="shared" si="0"/>
        <v/>
      </c>
      <c r="E71" s="328" t="str">
        <f t="shared" si="3"/>
        <v/>
      </c>
      <c r="F71" s="339" t="str">
        <f t="shared" si="1"/>
        <v/>
      </c>
      <c r="G71" s="328" t="str">
        <f t="shared" si="4"/>
        <v/>
      </c>
      <c r="H71" s="340" t="str">
        <f t="shared" si="5"/>
        <v/>
      </c>
      <c r="I71" s="57"/>
    </row>
    <row r="72" spans="2:9" ht="20.100000000000001" customHeight="1" x14ac:dyDescent="0.3">
      <c r="B72" s="344">
        <v>64</v>
      </c>
      <c r="C72" s="342" t="str">
        <f t="shared" si="2"/>
        <v/>
      </c>
      <c r="D72" s="341" t="str">
        <f t="shared" si="0"/>
        <v/>
      </c>
      <c r="E72" s="328" t="str">
        <f t="shared" si="3"/>
        <v/>
      </c>
      <c r="F72" s="339" t="str">
        <f t="shared" si="1"/>
        <v/>
      </c>
      <c r="G72" s="328" t="str">
        <f t="shared" si="4"/>
        <v/>
      </c>
      <c r="H72" s="340" t="str">
        <f t="shared" si="5"/>
        <v/>
      </c>
      <c r="I72" s="57"/>
    </row>
    <row r="73" spans="2:9" ht="20.100000000000001" customHeight="1" x14ac:dyDescent="0.3">
      <c r="B73" s="344">
        <v>65</v>
      </c>
      <c r="C73" s="342" t="str">
        <f t="shared" si="2"/>
        <v/>
      </c>
      <c r="D73" s="341" t="str">
        <f t="shared" si="0"/>
        <v/>
      </c>
      <c r="E73" s="328" t="str">
        <f t="shared" si="3"/>
        <v/>
      </c>
      <c r="F73" s="339" t="str">
        <f t="shared" si="1"/>
        <v/>
      </c>
      <c r="G73" s="328" t="str">
        <f t="shared" si="4"/>
        <v/>
      </c>
      <c r="H73" s="340" t="str">
        <f t="shared" si="5"/>
        <v/>
      </c>
      <c r="I73" s="57"/>
    </row>
    <row r="74" spans="2:9" ht="20.100000000000001" customHeight="1" x14ac:dyDescent="0.3">
      <c r="B74" s="344">
        <v>66</v>
      </c>
      <c r="C74" s="342" t="str">
        <f t="shared" si="2"/>
        <v/>
      </c>
      <c r="D74" s="341" t="str">
        <f t="shared" ref="D74:D137" si="6">IF($H$4="","",IF($F$4="원리금균등상환",IFERROR(IF(B74&lt;=$D$6,0,-PPMT($E$4/12,B74-$D$6,($B$6-$D$6),$D$4)),""),IF($F$4="원금균등상환",IF(B74&lt;($D$6+1),0,IF(B74&gt;$B$6,0,$D$4/($B$6-$D$6))),"")))</f>
        <v/>
      </c>
      <c r="E74" s="328" t="str">
        <f t="shared" si="3"/>
        <v/>
      </c>
      <c r="F74" s="339" t="str">
        <f t="shared" ref="F74:F137" si="7">IF($H$4="","",IF($F$4="원리금균등상환",IFERROR(D74+E74,""),IF($F$4="원금균등상환",D74+E74,"")))</f>
        <v/>
      </c>
      <c r="G74" s="328" t="str">
        <f t="shared" si="4"/>
        <v/>
      </c>
      <c r="H74" s="340" t="str">
        <f t="shared" si="5"/>
        <v/>
      </c>
      <c r="I74" s="57"/>
    </row>
    <row r="75" spans="2:9" ht="20.100000000000001" customHeight="1" x14ac:dyDescent="0.3">
      <c r="B75" s="344">
        <v>67</v>
      </c>
      <c r="C75" s="342" t="str">
        <f t="shared" ref="C75:C138" si="8">IF($H$4="","",IF(B75&gt;($B$6),"",IF(B75&lt;=($B$6),DATE(YEAR($G$4),MONTH($G$4)+B74,DAY($G$4)),"")))</f>
        <v/>
      </c>
      <c r="D75" s="341" t="str">
        <f t="shared" si="6"/>
        <v/>
      </c>
      <c r="E75" s="328" t="str">
        <f t="shared" ref="E75:E138" si="9">IF($H$4="","",IF($F$4="원리금균등상환",IFERROR(IF(B75&lt;=$D$6,$H74*($E$4/12),-IPMT($E$4/12,B75-$D$6,($B$6-$D$6),$D$4)),""),IF($F$4="원금균등상환",(H74-D75)*$E$4/12,"")))</f>
        <v/>
      </c>
      <c r="F75" s="339" t="str">
        <f t="shared" si="7"/>
        <v/>
      </c>
      <c r="G75" s="328" t="str">
        <f t="shared" ref="G75:G138" si="10">IFERROR(IF(B75&gt;(($D$6+$B$6)*12),"",IF(B75=1,D75,D75+G74)),"")</f>
        <v/>
      </c>
      <c r="H75" s="340" t="str">
        <f t="shared" ref="H75:H138" si="11">IFERROR(IF($H$4="","",H74-D75),"")</f>
        <v/>
      </c>
      <c r="I75" s="57"/>
    </row>
    <row r="76" spans="2:9" ht="20.100000000000001" customHeight="1" x14ac:dyDescent="0.3">
      <c r="B76" s="344">
        <v>68</v>
      </c>
      <c r="C76" s="342" t="str">
        <f t="shared" si="8"/>
        <v/>
      </c>
      <c r="D76" s="341" t="str">
        <f t="shared" si="6"/>
        <v/>
      </c>
      <c r="E76" s="328" t="str">
        <f t="shared" si="9"/>
        <v/>
      </c>
      <c r="F76" s="339" t="str">
        <f t="shared" si="7"/>
        <v/>
      </c>
      <c r="G76" s="328" t="str">
        <f t="shared" si="10"/>
        <v/>
      </c>
      <c r="H76" s="340" t="str">
        <f t="shared" si="11"/>
        <v/>
      </c>
      <c r="I76" s="57"/>
    </row>
    <row r="77" spans="2:9" ht="20.100000000000001" customHeight="1" x14ac:dyDescent="0.3">
      <c r="B77" s="344">
        <v>69</v>
      </c>
      <c r="C77" s="342" t="str">
        <f t="shared" si="8"/>
        <v/>
      </c>
      <c r="D77" s="341" t="str">
        <f t="shared" si="6"/>
        <v/>
      </c>
      <c r="E77" s="328" t="str">
        <f t="shared" si="9"/>
        <v/>
      </c>
      <c r="F77" s="339" t="str">
        <f t="shared" si="7"/>
        <v/>
      </c>
      <c r="G77" s="328" t="str">
        <f t="shared" si="10"/>
        <v/>
      </c>
      <c r="H77" s="340" t="str">
        <f t="shared" si="11"/>
        <v/>
      </c>
      <c r="I77" s="57"/>
    </row>
    <row r="78" spans="2:9" ht="20.100000000000001" customHeight="1" x14ac:dyDescent="0.3">
      <c r="B78" s="344">
        <v>70</v>
      </c>
      <c r="C78" s="342" t="str">
        <f t="shared" si="8"/>
        <v/>
      </c>
      <c r="D78" s="341" t="str">
        <f t="shared" si="6"/>
        <v/>
      </c>
      <c r="E78" s="328" t="str">
        <f t="shared" si="9"/>
        <v/>
      </c>
      <c r="F78" s="339" t="str">
        <f t="shared" si="7"/>
        <v/>
      </c>
      <c r="G78" s="328" t="str">
        <f t="shared" si="10"/>
        <v/>
      </c>
      <c r="H78" s="340" t="str">
        <f t="shared" si="11"/>
        <v/>
      </c>
      <c r="I78" s="57"/>
    </row>
    <row r="79" spans="2:9" ht="20.100000000000001" customHeight="1" x14ac:dyDescent="0.3">
      <c r="B79" s="344">
        <v>71</v>
      </c>
      <c r="C79" s="342" t="str">
        <f t="shared" si="8"/>
        <v/>
      </c>
      <c r="D79" s="341" t="str">
        <f t="shared" si="6"/>
        <v/>
      </c>
      <c r="E79" s="328" t="str">
        <f t="shared" si="9"/>
        <v/>
      </c>
      <c r="F79" s="339" t="str">
        <f t="shared" si="7"/>
        <v/>
      </c>
      <c r="G79" s="328" t="str">
        <f t="shared" si="10"/>
        <v/>
      </c>
      <c r="H79" s="340" t="str">
        <f t="shared" si="11"/>
        <v/>
      </c>
      <c r="I79" s="57"/>
    </row>
    <row r="80" spans="2:9" ht="20.100000000000001" customHeight="1" x14ac:dyDescent="0.3">
      <c r="B80" s="344">
        <v>72</v>
      </c>
      <c r="C80" s="342" t="str">
        <f t="shared" si="8"/>
        <v/>
      </c>
      <c r="D80" s="341" t="str">
        <f t="shared" si="6"/>
        <v/>
      </c>
      <c r="E80" s="328" t="str">
        <f t="shared" si="9"/>
        <v/>
      </c>
      <c r="F80" s="339" t="str">
        <f t="shared" si="7"/>
        <v/>
      </c>
      <c r="G80" s="328" t="str">
        <f t="shared" si="10"/>
        <v/>
      </c>
      <c r="H80" s="340" t="str">
        <f t="shared" si="11"/>
        <v/>
      </c>
      <c r="I80" s="57"/>
    </row>
    <row r="81" spans="2:9" ht="20.100000000000001" customHeight="1" x14ac:dyDescent="0.3">
      <c r="B81" s="344">
        <v>73</v>
      </c>
      <c r="C81" s="342" t="str">
        <f t="shared" si="8"/>
        <v/>
      </c>
      <c r="D81" s="341" t="str">
        <f t="shared" si="6"/>
        <v/>
      </c>
      <c r="E81" s="328" t="str">
        <f t="shared" si="9"/>
        <v/>
      </c>
      <c r="F81" s="339" t="str">
        <f t="shared" si="7"/>
        <v/>
      </c>
      <c r="G81" s="328" t="str">
        <f t="shared" si="10"/>
        <v/>
      </c>
      <c r="H81" s="340" t="str">
        <f t="shared" si="11"/>
        <v/>
      </c>
      <c r="I81" s="57"/>
    </row>
    <row r="82" spans="2:9" ht="20.100000000000001" customHeight="1" x14ac:dyDescent="0.3">
      <c r="B82" s="344">
        <v>74</v>
      </c>
      <c r="C82" s="342" t="str">
        <f t="shared" si="8"/>
        <v/>
      </c>
      <c r="D82" s="341" t="str">
        <f t="shared" si="6"/>
        <v/>
      </c>
      <c r="E82" s="328" t="str">
        <f t="shared" si="9"/>
        <v/>
      </c>
      <c r="F82" s="339" t="str">
        <f t="shared" si="7"/>
        <v/>
      </c>
      <c r="G82" s="328" t="str">
        <f t="shared" si="10"/>
        <v/>
      </c>
      <c r="H82" s="340" t="str">
        <f t="shared" si="11"/>
        <v/>
      </c>
      <c r="I82" s="57"/>
    </row>
    <row r="83" spans="2:9" ht="20.100000000000001" customHeight="1" x14ac:dyDescent="0.3">
      <c r="B83" s="344">
        <v>75</v>
      </c>
      <c r="C83" s="342" t="str">
        <f t="shared" si="8"/>
        <v/>
      </c>
      <c r="D83" s="341" t="str">
        <f t="shared" si="6"/>
        <v/>
      </c>
      <c r="E83" s="328" t="str">
        <f t="shared" si="9"/>
        <v/>
      </c>
      <c r="F83" s="339" t="str">
        <f t="shared" si="7"/>
        <v/>
      </c>
      <c r="G83" s="328" t="str">
        <f t="shared" si="10"/>
        <v/>
      </c>
      <c r="H83" s="340" t="str">
        <f t="shared" si="11"/>
        <v/>
      </c>
      <c r="I83" s="57"/>
    </row>
    <row r="84" spans="2:9" ht="20.100000000000001" customHeight="1" x14ac:dyDescent="0.3">
      <c r="B84" s="344">
        <v>76</v>
      </c>
      <c r="C84" s="342" t="str">
        <f t="shared" si="8"/>
        <v/>
      </c>
      <c r="D84" s="341" t="str">
        <f t="shared" si="6"/>
        <v/>
      </c>
      <c r="E84" s="328" t="str">
        <f t="shared" si="9"/>
        <v/>
      </c>
      <c r="F84" s="339" t="str">
        <f t="shared" si="7"/>
        <v/>
      </c>
      <c r="G84" s="328" t="str">
        <f t="shared" si="10"/>
        <v/>
      </c>
      <c r="H84" s="340" t="str">
        <f t="shared" si="11"/>
        <v/>
      </c>
      <c r="I84" s="57"/>
    </row>
    <row r="85" spans="2:9" ht="20.100000000000001" customHeight="1" x14ac:dyDescent="0.3">
      <c r="B85" s="344">
        <v>77</v>
      </c>
      <c r="C85" s="342" t="str">
        <f t="shared" si="8"/>
        <v/>
      </c>
      <c r="D85" s="341" t="str">
        <f t="shared" si="6"/>
        <v/>
      </c>
      <c r="E85" s="328" t="str">
        <f t="shared" si="9"/>
        <v/>
      </c>
      <c r="F85" s="339" t="str">
        <f t="shared" si="7"/>
        <v/>
      </c>
      <c r="G85" s="328" t="str">
        <f t="shared" si="10"/>
        <v/>
      </c>
      <c r="H85" s="340" t="str">
        <f t="shared" si="11"/>
        <v/>
      </c>
      <c r="I85" s="57"/>
    </row>
    <row r="86" spans="2:9" ht="20.100000000000001" customHeight="1" x14ac:dyDescent="0.3">
      <c r="B86" s="344">
        <v>78</v>
      </c>
      <c r="C86" s="342" t="str">
        <f t="shared" si="8"/>
        <v/>
      </c>
      <c r="D86" s="341" t="str">
        <f t="shared" si="6"/>
        <v/>
      </c>
      <c r="E86" s="328" t="str">
        <f t="shared" si="9"/>
        <v/>
      </c>
      <c r="F86" s="339" t="str">
        <f t="shared" si="7"/>
        <v/>
      </c>
      <c r="G86" s="328" t="str">
        <f t="shared" si="10"/>
        <v/>
      </c>
      <c r="H86" s="340" t="str">
        <f t="shared" si="11"/>
        <v/>
      </c>
      <c r="I86" s="57"/>
    </row>
    <row r="87" spans="2:9" ht="20.100000000000001" customHeight="1" x14ac:dyDescent="0.3">
      <c r="B87" s="344">
        <v>79</v>
      </c>
      <c r="C87" s="342" t="str">
        <f t="shared" si="8"/>
        <v/>
      </c>
      <c r="D87" s="341" t="str">
        <f t="shared" si="6"/>
        <v/>
      </c>
      <c r="E87" s="328" t="str">
        <f t="shared" si="9"/>
        <v/>
      </c>
      <c r="F87" s="339" t="str">
        <f t="shared" si="7"/>
        <v/>
      </c>
      <c r="G87" s="328" t="str">
        <f t="shared" si="10"/>
        <v/>
      </c>
      <c r="H87" s="340" t="str">
        <f t="shared" si="11"/>
        <v/>
      </c>
      <c r="I87" s="57"/>
    </row>
    <row r="88" spans="2:9" ht="20.100000000000001" customHeight="1" x14ac:dyDescent="0.3">
      <c r="B88" s="344">
        <v>80</v>
      </c>
      <c r="C88" s="342" t="str">
        <f t="shared" si="8"/>
        <v/>
      </c>
      <c r="D88" s="341" t="str">
        <f t="shared" si="6"/>
        <v/>
      </c>
      <c r="E88" s="328" t="str">
        <f t="shared" si="9"/>
        <v/>
      </c>
      <c r="F88" s="339" t="str">
        <f t="shared" si="7"/>
        <v/>
      </c>
      <c r="G88" s="328" t="str">
        <f t="shared" si="10"/>
        <v/>
      </c>
      <c r="H88" s="340" t="str">
        <f t="shared" si="11"/>
        <v/>
      </c>
      <c r="I88" s="57"/>
    </row>
    <row r="89" spans="2:9" ht="20.100000000000001" customHeight="1" x14ac:dyDescent="0.3">
      <c r="B89" s="344">
        <v>81</v>
      </c>
      <c r="C89" s="342" t="str">
        <f t="shared" si="8"/>
        <v/>
      </c>
      <c r="D89" s="341" t="str">
        <f t="shared" si="6"/>
        <v/>
      </c>
      <c r="E89" s="328" t="str">
        <f t="shared" si="9"/>
        <v/>
      </c>
      <c r="F89" s="339" t="str">
        <f t="shared" si="7"/>
        <v/>
      </c>
      <c r="G89" s="328" t="str">
        <f t="shared" si="10"/>
        <v/>
      </c>
      <c r="H89" s="340" t="str">
        <f t="shared" si="11"/>
        <v/>
      </c>
      <c r="I89" s="57"/>
    </row>
    <row r="90" spans="2:9" ht="20.100000000000001" customHeight="1" x14ac:dyDescent="0.3">
      <c r="B90" s="344">
        <v>82</v>
      </c>
      <c r="C90" s="342" t="str">
        <f t="shared" si="8"/>
        <v/>
      </c>
      <c r="D90" s="341" t="str">
        <f t="shared" si="6"/>
        <v/>
      </c>
      <c r="E90" s="328" t="str">
        <f t="shared" si="9"/>
        <v/>
      </c>
      <c r="F90" s="339" t="str">
        <f t="shared" si="7"/>
        <v/>
      </c>
      <c r="G90" s="328" t="str">
        <f t="shared" si="10"/>
        <v/>
      </c>
      <c r="H90" s="340" t="str">
        <f t="shared" si="11"/>
        <v/>
      </c>
      <c r="I90" s="57"/>
    </row>
    <row r="91" spans="2:9" ht="20.100000000000001" customHeight="1" x14ac:dyDescent="0.3">
      <c r="B91" s="344">
        <v>83</v>
      </c>
      <c r="C91" s="342" t="str">
        <f t="shared" si="8"/>
        <v/>
      </c>
      <c r="D91" s="341" t="str">
        <f t="shared" si="6"/>
        <v/>
      </c>
      <c r="E91" s="328" t="str">
        <f t="shared" si="9"/>
        <v/>
      </c>
      <c r="F91" s="339" t="str">
        <f t="shared" si="7"/>
        <v/>
      </c>
      <c r="G91" s="328" t="str">
        <f t="shared" si="10"/>
        <v/>
      </c>
      <c r="H91" s="340" t="str">
        <f t="shared" si="11"/>
        <v/>
      </c>
      <c r="I91" s="57"/>
    </row>
    <row r="92" spans="2:9" ht="20.100000000000001" customHeight="1" x14ac:dyDescent="0.3">
      <c r="B92" s="344">
        <v>84</v>
      </c>
      <c r="C92" s="342" t="str">
        <f t="shared" si="8"/>
        <v/>
      </c>
      <c r="D92" s="341" t="str">
        <f t="shared" si="6"/>
        <v/>
      </c>
      <c r="E92" s="328" t="str">
        <f t="shared" si="9"/>
        <v/>
      </c>
      <c r="F92" s="339" t="str">
        <f t="shared" si="7"/>
        <v/>
      </c>
      <c r="G92" s="328" t="str">
        <f t="shared" si="10"/>
        <v/>
      </c>
      <c r="H92" s="340" t="str">
        <f t="shared" si="11"/>
        <v/>
      </c>
      <c r="I92" s="57"/>
    </row>
    <row r="93" spans="2:9" ht="20.100000000000001" customHeight="1" x14ac:dyDescent="0.3">
      <c r="B93" s="344">
        <v>85</v>
      </c>
      <c r="C93" s="342" t="str">
        <f t="shared" si="8"/>
        <v/>
      </c>
      <c r="D93" s="341" t="str">
        <f t="shared" si="6"/>
        <v/>
      </c>
      <c r="E93" s="328" t="str">
        <f t="shared" si="9"/>
        <v/>
      </c>
      <c r="F93" s="339" t="str">
        <f t="shared" si="7"/>
        <v/>
      </c>
      <c r="G93" s="328" t="str">
        <f t="shared" si="10"/>
        <v/>
      </c>
      <c r="H93" s="340" t="str">
        <f t="shared" si="11"/>
        <v/>
      </c>
      <c r="I93" s="57"/>
    </row>
    <row r="94" spans="2:9" ht="20.100000000000001" customHeight="1" x14ac:dyDescent="0.3">
      <c r="B94" s="344">
        <v>86</v>
      </c>
      <c r="C94" s="342" t="str">
        <f t="shared" si="8"/>
        <v/>
      </c>
      <c r="D94" s="341" t="str">
        <f t="shared" si="6"/>
        <v/>
      </c>
      <c r="E94" s="328" t="str">
        <f t="shared" si="9"/>
        <v/>
      </c>
      <c r="F94" s="339" t="str">
        <f t="shared" si="7"/>
        <v/>
      </c>
      <c r="G94" s="328" t="str">
        <f t="shared" si="10"/>
        <v/>
      </c>
      <c r="H94" s="340" t="str">
        <f t="shared" si="11"/>
        <v/>
      </c>
      <c r="I94" s="57"/>
    </row>
    <row r="95" spans="2:9" ht="20.100000000000001" customHeight="1" x14ac:dyDescent="0.3">
      <c r="B95" s="344">
        <v>87</v>
      </c>
      <c r="C95" s="342" t="str">
        <f t="shared" si="8"/>
        <v/>
      </c>
      <c r="D95" s="341" t="str">
        <f t="shared" si="6"/>
        <v/>
      </c>
      <c r="E95" s="328" t="str">
        <f t="shared" si="9"/>
        <v/>
      </c>
      <c r="F95" s="339" t="str">
        <f t="shared" si="7"/>
        <v/>
      </c>
      <c r="G95" s="328" t="str">
        <f t="shared" si="10"/>
        <v/>
      </c>
      <c r="H95" s="340" t="str">
        <f t="shared" si="11"/>
        <v/>
      </c>
      <c r="I95" s="57"/>
    </row>
    <row r="96" spans="2:9" ht="20.100000000000001" customHeight="1" x14ac:dyDescent="0.3">
      <c r="B96" s="344">
        <v>88</v>
      </c>
      <c r="C96" s="342" t="str">
        <f t="shared" si="8"/>
        <v/>
      </c>
      <c r="D96" s="341" t="str">
        <f t="shared" si="6"/>
        <v/>
      </c>
      <c r="E96" s="328" t="str">
        <f t="shared" si="9"/>
        <v/>
      </c>
      <c r="F96" s="339" t="str">
        <f t="shared" si="7"/>
        <v/>
      </c>
      <c r="G96" s="328" t="str">
        <f t="shared" si="10"/>
        <v/>
      </c>
      <c r="H96" s="340" t="str">
        <f t="shared" si="11"/>
        <v/>
      </c>
      <c r="I96" s="57"/>
    </row>
    <row r="97" spans="2:9" ht="20.100000000000001" customHeight="1" x14ac:dyDescent="0.3">
      <c r="B97" s="344">
        <v>89</v>
      </c>
      <c r="C97" s="342" t="str">
        <f t="shared" si="8"/>
        <v/>
      </c>
      <c r="D97" s="341" t="str">
        <f t="shared" si="6"/>
        <v/>
      </c>
      <c r="E97" s="328" t="str">
        <f t="shared" si="9"/>
        <v/>
      </c>
      <c r="F97" s="339" t="str">
        <f t="shared" si="7"/>
        <v/>
      </c>
      <c r="G97" s="328" t="str">
        <f t="shared" si="10"/>
        <v/>
      </c>
      <c r="H97" s="340" t="str">
        <f t="shared" si="11"/>
        <v/>
      </c>
      <c r="I97" s="57"/>
    </row>
    <row r="98" spans="2:9" ht="20.100000000000001" customHeight="1" x14ac:dyDescent="0.3">
      <c r="B98" s="344">
        <v>90</v>
      </c>
      <c r="C98" s="342" t="str">
        <f t="shared" si="8"/>
        <v/>
      </c>
      <c r="D98" s="341" t="str">
        <f t="shared" si="6"/>
        <v/>
      </c>
      <c r="E98" s="328" t="str">
        <f t="shared" si="9"/>
        <v/>
      </c>
      <c r="F98" s="339" t="str">
        <f t="shared" si="7"/>
        <v/>
      </c>
      <c r="G98" s="328" t="str">
        <f t="shared" si="10"/>
        <v/>
      </c>
      <c r="H98" s="340" t="str">
        <f t="shared" si="11"/>
        <v/>
      </c>
      <c r="I98" s="57"/>
    </row>
    <row r="99" spans="2:9" ht="20.100000000000001" customHeight="1" x14ac:dyDescent="0.3">
      <c r="B99" s="344">
        <v>91</v>
      </c>
      <c r="C99" s="342" t="str">
        <f t="shared" si="8"/>
        <v/>
      </c>
      <c r="D99" s="341" t="str">
        <f t="shared" si="6"/>
        <v/>
      </c>
      <c r="E99" s="328" t="str">
        <f t="shared" si="9"/>
        <v/>
      </c>
      <c r="F99" s="339" t="str">
        <f t="shared" si="7"/>
        <v/>
      </c>
      <c r="G99" s="328" t="str">
        <f t="shared" si="10"/>
        <v/>
      </c>
      <c r="H99" s="340" t="str">
        <f t="shared" si="11"/>
        <v/>
      </c>
      <c r="I99" s="57"/>
    </row>
    <row r="100" spans="2:9" ht="20.100000000000001" customHeight="1" x14ac:dyDescent="0.3">
      <c r="B100" s="344">
        <v>92</v>
      </c>
      <c r="C100" s="342" t="str">
        <f t="shared" si="8"/>
        <v/>
      </c>
      <c r="D100" s="341" t="str">
        <f t="shared" si="6"/>
        <v/>
      </c>
      <c r="E100" s="328" t="str">
        <f t="shared" si="9"/>
        <v/>
      </c>
      <c r="F100" s="339" t="str">
        <f t="shared" si="7"/>
        <v/>
      </c>
      <c r="G100" s="328" t="str">
        <f t="shared" si="10"/>
        <v/>
      </c>
      <c r="H100" s="340" t="str">
        <f t="shared" si="11"/>
        <v/>
      </c>
      <c r="I100" s="57"/>
    </row>
    <row r="101" spans="2:9" ht="20.100000000000001" customHeight="1" x14ac:dyDescent="0.3">
      <c r="B101" s="344">
        <v>93</v>
      </c>
      <c r="C101" s="342" t="str">
        <f t="shared" si="8"/>
        <v/>
      </c>
      <c r="D101" s="341" t="str">
        <f t="shared" si="6"/>
        <v/>
      </c>
      <c r="E101" s="328" t="str">
        <f t="shared" si="9"/>
        <v/>
      </c>
      <c r="F101" s="339" t="str">
        <f t="shared" si="7"/>
        <v/>
      </c>
      <c r="G101" s="328" t="str">
        <f t="shared" si="10"/>
        <v/>
      </c>
      <c r="H101" s="340" t="str">
        <f t="shared" si="11"/>
        <v/>
      </c>
      <c r="I101" s="57"/>
    </row>
    <row r="102" spans="2:9" ht="20.100000000000001" customHeight="1" x14ac:dyDescent="0.3">
      <c r="B102" s="344">
        <v>94</v>
      </c>
      <c r="C102" s="342" t="str">
        <f t="shared" si="8"/>
        <v/>
      </c>
      <c r="D102" s="341" t="str">
        <f t="shared" si="6"/>
        <v/>
      </c>
      <c r="E102" s="328" t="str">
        <f t="shared" si="9"/>
        <v/>
      </c>
      <c r="F102" s="339" t="str">
        <f t="shared" si="7"/>
        <v/>
      </c>
      <c r="G102" s="328" t="str">
        <f t="shared" si="10"/>
        <v/>
      </c>
      <c r="H102" s="340" t="str">
        <f t="shared" si="11"/>
        <v/>
      </c>
      <c r="I102" s="57"/>
    </row>
    <row r="103" spans="2:9" ht="20.100000000000001" customHeight="1" x14ac:dyDescent="0.3">
      <c r="B103" s="344">
        <v>95</v>
      </c>
      <c r="C103" s="342" t="str">
        <f t="shared" si="8"/>
        <v/>
      </c>
      <c r="D103" s="341" t="str">
        <f t="shared" si="6"/>
        <v/>
      </c>
      <c r="E103" s="328" t="str">
        <f t="shared" si="9"/>
        <v/>
      </c>
      <c r="F103" s="339" t="str">
        <f t="shared" si="7"/>
        <v/>
      </c>
      <c r="G103" s="328" t="str">
        <f t="shared" si="10"/>
        <v/>
      </c>
      <c r="H103" s="340" t="str">
        <f t="shared" si="11"/>
        <v/>
      </c>
      <c r="I103" s="57"/>
    </row>
    <row r="104" spans="2:9" ht="20.100000000000001" customHeight="1" x14ac:dyDescent="0.3">
      <c r="B104" s="344">
        <v>96</v>
      </c>
      <c r="C104" s="342" t="str">
        <f t="shared" si="8"/>
        <v/>
      </c>
      <c r="D104" s="341" t="str">
        <f t="shared" si="6"/>
        <v/>
      </c>
      <c r="E104" s="328" t="str">
        <f t="shared" si="9"/>
        <v/>
      </c>
      <c r="F104" s="339" t="str">
        <f t="shared" si="7"/>
        <v/>
      </c>
      <c r="G104" s="328" t="str">
        <f t="shared" si="10"/>
        <v/>
      </c>
      <c r="H104" s="340" t="str">
        <f t="shared" si="11"/>
        <v/>
      </c>
      <c r="I104" s="57"/>
    </row>
    <row r="105" spans="2:9" ht="20.100000000000001" customHeight="1" x14ac:dyDescent="0.3">
      <c r="B105" s="344">
        <v>97</v>
      </c>
      <c r="C105" s="342" t="str">
        <f t="shared" si="8"/>
        <v/>
      </c>
      <c r="D105" s="341" t="str">
        <f t="shared" si="6"/>
        <v/>
      </c>
      <c r="E105" s="328" t="str">
        <f t="shared" si="9"/>
        <v/>
      </c>
      <c r="F105" s="339" t="str">
        <f t="shared" si="7"/>
        <v/>
      </c>
      <c r="G105" s="328" t="str">
        <f t="shared" si="10"/>
        <v/>
      </c>
      <c r="H105" s="340" t="str">
        <f t="shared" si="11"/>
        <v/>
      </c>
      <c r="I105" s="57"/>
    </row>
    <row r="106" spans="2:9" ht="20.100000000000001" customHeight="1" x14ac:dyDescent="0.3">
      <c r="B106" s="344">
        <v>98</v>
      </c>
      <c r="C106" s="342" t="str">
        <f t="shared" si="8"/>
        <v/>
      </c>
      <c r="D106" s="341" t="str">
        <f t="shared" si="6"/>
        <v/>
      </c>
      <c r="E106" s="328" t="str">
        <f t="shared" si="9"/>
        <v/>
      </c>
      <c r="F106" s="339" t="str">
        <f t="shared" si="7"/>
        <v/>
      </c>
      <c r="G106" s="328" t="str">
        <f t="shared" si="10"/>
        <v/>
      </c>
      <c r="H106" s="340" t="str">
        <f t="shared" si="11"/>
        <v/>
      </c>
      <c r="I106" s="57"/>
    </row>
    <row r="107" spans="2:9" ht="20.100000000000001" customHeight="1" x14ac:dyDescent="0.3">
      <c r="B107" s="344">
        <v>99</v>
      </c>
      <c r="C107" s="342" t="str">
        <f t="shared" si="8"/>
        <v/>
      </c>
      <c r="D107" s="341" t="str">
        <f t="shared" si="6"/>
        <v/>
      </c>
      <c r="E107" s="328" t="str">
        <f t="shared" si="9"/>
        <v/>
      </c>
      <c r="F107" s="339" t="str">
        <f t="shared" si="7"/>
        <v/>
      </c>
      <c r="G107" s="328" t="str">
        <f t="shared" si="10"/>
        <v/>
      </c>
      <c r="H107" s="340" t="str">
        <f t="shared" si="11"/>
        <v/>
      </c>
      <c r="I107" s="57"/>
    </row>
    <row r="108" spans="2:9" ht="20.100000000000001" customHeight="1" x14ac:dyDescent="0.3">
      <c r="B108" s="344">
        <v>100</v>
      </c>
      <c r="C108" s="342" t="str">
        <f t="shared" si="8"/>
        <v/>
      </c>
      <c r="D108" s="341" t="str">
        <f t="shared" si="6"/>
        <v/>
      </c>
      <c r="E108" s="328" t="str">
        <f t="shared" si="9"/>
        <v/>
      </c>
      <c r="F108" s="339" t="str">
        <f t="shared" si="7"/>
        <v/>
      </c>
      <c r="G108" s="328" t="str">
        <f t="shared" si="10"/>
        <v/>
      </c>
      <c r="H108" s="340" t="str">
        <f t="shared" si="11"/>
        <v/>
      </c>
      <c r="I108" s="57"/>
    </row>
    <row r="109" spans="2:9" ht="20.100000000000001" customHeight="1" x14ac:dyDescent="0.3">
      <c r="B109" s="344">
        <v>101</v>
      </c>
      <c r="C109" s="342" t="str">
        <f t="shared" si="8"/>
        <v/>
      </c>
      <c r="D109" s="341" t="str">
        <f t="shared" si="6"/>
        <v/>
      </c>
      <c r="E109" s="328" t="str">
        <f t="shared" si="9"/>
        <v/>
      </c>
      <c r="F109" s="339" t="str">
        <f t="shared" si="7"/>
        <v/>
      </c>
      <c r="G109" s="328" t="str">
        <f t="shared" si="10"/>
        <v/>
      </c>
      <c r="H109" s="340" t="str">
        <f t="shared" si="11"/>
        <v/>
      </c>
      <c r="I109" s="57"/>
    </row>
    <row r="110" spans="2:9" ht="20.100000000000001" customHeight="1" x14ac:dyDescent="0.3">
      <c r="B110" s="344">
        <v>102</v>
      </c>
      <c r="C110" s="342" t="str">
        <f t="shared" si="8"/>
        <v/>
      </c>
      <c r="D110" s="341" t="str">
        <f t="shared" si="6"/>
        <v/>
      </c>
      <c r="E110" s="328" t="str">
        <f t="shared" si="9"/>
        <v/>
      </c>
      <c r="F110" s="339" t="str">
        <f t="shared" si="7"/>
        <v/>
      </c>
      <c r="G110" s="328" t="str">
        <f t="shared" si="10"/>
        <v/>
      </c>
      <c r="H110" s="340" t="str">
        <f t="shared" si="11"/>
        <v/>
      </c>
      <c r="I110" s="57"/>
    </row>
    <row r="111" spans="2:9" ht="20.100000000000001" customHeight="1" x14ac:dyDescent="0.3">
      <c r="B111" s="344">
        <v>103</v>
      </c>
      <c r="C111" s="342" t="str">
        <f t="shared" si="8"/>
        <v/>
      </c>
      <c r="D111" s="341" t="str">
        <f t="shared" si="6"/>
        <v/>
      </c>
      <c r="E111" s="328" t="str">
        <f t="shared" si="9"/>
        <v/>
      </c>
      <c r="F111" s="339" t="str">
        <f t="shared" si="7"/>
        <v/>
      </c>
      <c r="G111" s="328" t="str">
        <f t="shared" si="10"/>
        <v/>
      </c>
      <c r="H111" s="340" t="str">
        <f t="shared" si="11"/>
        <v/>
      </c>
      <c r="I111" s="57"/>
    </row>
    <row r="112" spans="2:9" ht="20.100000000000001" customHeight="1" x14ac:dyDescent="0.3">
      <c r="B112" s="344">
        <v>104</v>
      </c>
      <c r="C112" s="342" t="str">
        <f t="shared" si="8"/>
        <v/>
      </c>
      <c r="D112" s="341" t="str">
        <f t="shared" si="6"/>
        <v/>
      </c>
      <c r="E112" s="328" t="str">
        <f t="shared" si="9"/>
        <v/>
      </c>
      <c r="F112" s="339" t="str">
        <f t="shared" si="7"/>
        <v/>
      </c>
      <c r="G112" s="328" t="str">
        <f t="shared" si="10"/>
        <v/>
      </c>
      <c r="H112" s="340" t="str">
        <f t="shared" si="11"/>
        <v/>
      </c>
      <c r="I112" s="57"/>
    </row>
    <row r="113" spans="2:9" ht="20.100000000000001" customHeight="1" x14ac:dyDescent="0.3">
      <c r="B113" s="344">
        <v>105</v>
      </c>
      <c r="C113" s="342" t="str">
        <f t="shared" si="8"/>
        <v/>
      </c>
      <c r="D113" s="341" t="str">
        <f t="shared" si="6"/>
        <v/>
      </c>
      <c r="E113" s="328" t="str">
        <f t="shared" si="9"/>
        <v/>
      </c>
      <c r="F113" s="339" t="str">
        <f t="shared" si="7"/>
        <v/>
      </c>
      <c r="G113" s="328" t="str">
        <f t="shared" si="10"/>
        <v/>
      </c>
      <c r="H113" s="340" t="str">
        <f t="shared" si="11"/>
        <v/>
      </c>
      <c r="I113" s="57"/>
    </row>
    <row r="114" spans="2:9" ht="20.100000000000001" customHeight="1" x14ac:dyDescent="0.3">
      <c r="B114" s="344">
        <v>106</v>
      </c>
      <c r="C114" s="342" t="str">
        <f t="shared" si="8"/>
        <v/>
      </c>
      <c r="D114" s="341" t="str">
        <f t="shared" si="6"/>
        <v/>
      </c>
      <c r="E114" s="328" t="str">
        <f t="shared" si="9"/>
        <v/>
      </c>
      <c r="F114" s="339" t="str">
        <f t="shared" si="7"/>
        <v/>
      </c>
      <c r="G114" s="328" t="str">
        <f t="shared" si="10"/>
        <v/>
      </c>
      <c r="H114" s="340" t="str">
        <f t="shared" si="11"/>
        <v/>
      </c>
      <c r="I114" s="57"/>
    </row>
    <row r="115" spans="2:9" ht="20.100000000000001" customHeight="1" x14ac:dyDescent="0.3">
      <c r="B115" s="344">
        <v>107</v>
      </c>
      <c r="C115" s="342" t="str">
        <f t="shared" si="8"/>
        <v/>
      </c>
      <c r="D115" s="341" t="str">
        <f t="shared" si="6"/>
        <v/>
      </c>
      <c r="E115" s="328" t="str">
        <f t="shared" si="9"/>
        <v/>
      </c>
      <c r="F115" s="339" t="str">
        <f t="shared" si="7"/>
        <v/>
      </c>
      <c r="G115" s="328" t="str">
        <f t="shared" si="10"/>
        <v/>
      </c>
      <c r="H115" s="340" t="str">
        <f t="shared" si="11"/>
        <v/>
      </c>
      <c r="I115" s="57"/>
    </row>
    <row r="116" spans="2:9" ht="20.100000000000001" customHeight="1" x14ac:dyDescent="0.3">
      <c r="B116" s="344">
        <v>108</v>
      </c>
      <c r="C116" s="342" t="str">
        <f t="shared" si="8"/>
        <v/>
      </c>
      <c r="D116" s="341" t="str">
        <f t="shared" si="6"/>
        <v/>
      </c>
      <c r="E116" s="328" t="str">
        <f t="shared" si="9"/>
        <v/>
      </c>
      <c r="F116" s="339" t="str">
        <f t="shared" si="7"/>
        <v/>
      </c>
      <c r="G116" s="328" t="str">
        <f t="shared" si="10"/>
        <v/>
      </c>
      <c r="H116" s="340" t="str">
        <f t="shared" si="11"/>
        <v/>
      </c>
      <c r="I116" s="57"/>
    </row>
    <row r="117" spans="2:9" ht="20.100000000000001" customHeight="1" x14ac:dyDescent="0.3">
      <c r="B117" s="344">
        <v>109</v>
      </c>
      <c r="C117" s="342" t="str">
        <f t="shared" si="8"/>
        <v/>
      </c>
      <c r="D117" s="341" t="str">
        <f t="shared" si="6"/>
        <v/>
      </c>
      <c r="E117" s="328" t="str">
        <f t="shared" si="9"/>
        <v/>
      </c>
      <c r="F117" s="339" t="str">
        <f t="shared" si="7"/>
        <v/>
      </c>
      <c r="G117" s="328" t="str">
        <f t="shared" si="10"/>
        <v/>
      </c>
      <c r="H117" s="340" t="str">
        <f t="shared" si="11"/>
        <v/>
      </c>
      <c r="I117" s="57"/>
    </row>
    <row r="118" spans="2:9" ht="20.100000000000001" customHeight="1" x14ac:dyDescent="0.3">
      <c r="B118" s="344">
        <v>110</v>
      </c>
      <c r="C118" s="342" t="str">
        <f t="shared" si="8"/>
        <v/>
      </c>
      <c r="D118" s="341" t="str">
        <f t="shared" si="6"/>
        <v/>
      </c>
      <c r="E118" s="328" t="str">
        <f t="shared" si="9"/>
        <v/>
      </c>
      <c r="F118" s="339" t="str">
        <f t="shared" si="7"/>
        <v/>
      </c>
      <c r="G118" s="328" t="str">
        <f t="shared" si="10"/>
        <v/>
      </c>
      <c r="H118" s="340" t="str">
        <f t="shared" si="11"/>
        <v/>
      </c>
      <c r="I118" s="57"/>
    </row>
    <row r="119" spans="2:9" ht="20.100000000000001" customHeight="1" x14ac:dyDescent="0.3">
      <c r="B119" s="344">
        <v>111</v>
      </c>
      <c r="C119" s="342" t="str">
        <f t="shared" si="8"/>
        <v/>
      </c>
      <c r="D119" s="341" t="str">
        <f t="shared" si="6"/>
        <v/>
      </c>
      <c r="E119" s="328" t="str">
        <f t="shared" si="9"/>
        <v/>
      </c>
      <c r="F119" s="339" t="str">
        <f t="shared" si="7"/>
        <v/>
      </c>
      <c r="G119" s="328" t="str">
        <f t="shared" si="10"/>
        <v/>
      </c>
      <c r="H119" s="340" t="str">
        <f t="shared" si="11"/>
        <v/>
      </c>
      <c r="I119" s="57"/>
    </row>
    <row r="120" spans="2:9" ht="20.100000000000001" customHeight="1" x14ac:dyDescent="0.3">
      <c r="B120" s="344">
        <v>112</v>
      </c>
      <c r="C120" s="342" t="str">
        <f t="shared" si="8"/>
        <v/>
      </c>
      <c r="D120" s="341" t="str">
        <f t="shared" si="6"/>
        <v/>
      </c>
      <c r="E120" s="328" t="str">
        <f t="shared" si="9"/>
        <v/>
      </c>
      <c r="F120" s="339" t="str">
        <f t="shared" si="7"/>
        <v/>
      </c>
      <c r="G120" s="328" t="str">
        <f t="shared" si="10"/>
        <v/>
      </c>
      <c r="H120" s="340" t="str">
        <f t="shared" si="11"/>
        <v/>
      </c>
      <c r="I120" s="57"/>
    </row>
    <row r="121" spans="2:9" ht="20.100000000000001" customHeight="1" x14ac:dyDescent="0.3">
      <c r="B121" s="344">
        <v>113</v>
      </c>
      <c r="C121" s="342" t="str">
        <f t="shared" si="8"/>
        <v/>
      </c>
      <c r="D121" s="341" t="str">
        <f t="shared" si="6"/>
        <v/>
      </c>
      <c r="E121" s="328" t="str">
        <f t="shared" si="9"/>
        <v/>
      </c>
      <c r="F121" s="339" t="str">
        <f t="shared" si="7"/>
        <v/>
      </c>
      <c r="G121" s="328" t="str">
        <f t="shared" si="10"/>
        <v/>
      </c>
      <c r="H121" s="340" t="str">
        <f t="shared" si="11"/>
        <v/>
      </c>
      <c r="I121" s="57"/>
    </row>
    <row r="122" spans="2:9" ht="20.100000000000001" customHeight="1" x14ac:dyDescent="0.3">
      <c r="B122" s="344">
        <v>114</v>
      </c>
      <c r="C122" s="342" t="str">
        <f t="shared" si="8"/>
        <v/>
      </c>
      <c r="D122" s="341" t="str">
        <f t="shared" si="6"/>
        <v/>
      </c>
      <c r="E122" s="328" t="str">
        <f t="shared" si="9"/>
        <v/>
      </c>
      <c r="F122" s="339" t="str">
        <f t="shared" si="7"/>
        <v/>
      </c>
      <c r="G122" s="328" t="str">
        <f t="shared" si="10"/>
        <v/>
      </c>
      <c r="H122" s="340" t="str">
        <f t="shared" si="11"/>
        <v/>
      </c>
      <c r="I122" s="57"/>
    </row>
    <row r="123" spans="2:9" ht="20.100000000000001" customHeight="1" x14ac:dyDescent="0.3">
      <c r="B123" s="344">
        <v>115</v>
      </c>
      <c r="C123" s="342" t="str">
        <f t="shared" si="8"/>
        <v/>
      </c>
      <c r="D123" s="341" t="str">
        <f t="shared" si="6"/>
        <v/>
      </c>
      <c r="E123" s="328" t="str">
        <f t="shared" si="9"/>
        <v/>
      </c>
      <c r="F123" s="339" t="str">
        <f t="shared" si="7"/>
        <v/>
      </c>
      <c r="G123" s="328" t="str">
        <f t="shared" si="10"/>
        <v/>
      </c>
      <c r="H123" s="340" t="str">
        <f t="shared" si="11"/>
        <v/>
      </c>
      <c r="I123" s="57"/>
    </row>
    <row r="124" spans="2:9" ht="20.100000000000001" customHeight="1" x14ac:dyDescent="0.3">
      <c r="B124" s="344">
        <v>116</v>
      </c>
      <c r="C124" s="342" t="str">
        <f t="shared" si="8"/>
        <v/>
      </c>
      <c r="D124" s="341" t="str">
        <f t="shared" si="6"/>
        <v/>
      </c>
      <c r="E124" s="328" t="str">
        <f t="shared" si="9"/>
        <v/>
      </c>
      <c r="F124" s="339" t="str">
        <f t="shared" si="7"/>
        <v/>
      </c>
      <c r="G124" s="328" t="str">
        <f t="shared" si="10"/>
        <v/>
      </c>
      <c r="H124" s="340" t="str">
        <f t="shared" si="11"/>
        <v/>
      </c>
      <c r="I124" s="57"/>
    </row>
    <row r="125" spans="2:9" ht="20.100000000000001" customHeight="1" x14ac:dyDescent="0.3">
      <c r="B125" s="344">
        <v>117</v>
      </c>
      <c r="C125" s="342" t="str">
        <f t="shared" si="8"/>
        <v/>
      </c>
      <c r="D125" s="341" t="str">
        <f t="shared" si="6"/>
        <v/>
      </c>
      <c r="E125" s="328" t="str">
        <f t="shared" si="9"/>
        <v/>
      </c>
      <c r="F125" s="339" t="str">
        <f t="shared" si="7"/>
        <v/>
      </c>
      <c r="G125" s="328" t="str">
        <f t="shared" si="10"/>
        <v/>
      </c>
      <c r="H125" s="340" t="str">
        <f t="shared" si="11"/>
        <v/>
      </c>
      <c r="I125" s="57"/>
    </row>
    <row r="126" spans="2:9" ht="20.100000000000001" customHeight="1" x14ac:dyDescent="0.3">
      <c r="B126" s="344">
        <v>118</v>
      </c>
      <c r="C126" s="342" t="str">
        <f t="shared" si="8"/>
        <v/>
      </c>
      <c r="D126" s="341" t="str">
        <f t="shared" si="6"/>
        <v/>
      </c>
      <c r="E126" s="328" t="str">
        <f t="shared" si="9"/>
        <v/>
      </c>
      <c r="F126" s="339" t="str">
        <f t="shared" si="7"/>
        <v/>
      </c>
      <c r="G126" s="328" t="str">
        <f t="shared" si="10"/>
        <v/>
      </c>
      <c r="H126" s="340" t="str">
        <f t="shared" si="11"/>
        <v/>
      </c>
      <c r="I126" s="57"/>
    </row>
    <row r="127" spans="2:9" ht="20.100000000000001" customHeight="1" x14ac:dyDescent="0.3">
      <c r="B127" s="344">
        <v>119</v>
      </c>
      <c r="C127" s="342" t="str">
        <f t="shared" si="8"/>
        <v/>
      </c>
      <c r="D127" s="341" t="str">
        <f t="shared" si="6"/>
        <v/>
      </c>
      <c r="E127" s="328" t="str">
        <f t="shared" si="9"/>
        <v/>
      </c>
      <c r="F127" s="339" t="str">
        <f t="shared" si="7"/>
        <v/>
      </c>
      <c r="G127" s="328" t="str">
        <f t="shared" si="10"/>
        <v/>
      </c>
      <c r="H127" s="340" t="str">
        <f t="shared" si="11"/>
        <v/>
      </c>
      <c r="I127" s="57"/>
    </row>
    <row r="128" spans="2:9" ht="20.100000000000001" customHeight="1" x14ac:dyDescent="0.3">
      <c r="B128" s="344">
        <v>120</v>
      </c>
      <c r="C128" s="342" t="str">
        <f t="shared" si="8"/>
        <v/>
      </c>
      <c r="D128" s="341" t="str">
        <f t="shared" si="6"/>
        <v/>
      </c>
      <c r="E128" s="328" t="str">
        <f t="shared" si="9"/>
        <v/>
      </c>
      <c r="F128" s="339" t="str">
        <f t="shared" si="7"/>
        <v/>
      </c>
      <c r="G128" s="328" t="str">
        <f t="shared" si="10"/>
        <v/>
      </c>
      <c r="H128" s="340" t="str">
        <f t="shared" si="11"/>
        <v/>
      </c>
      <c r="I128" s="57"/>
    </row>
    <row r="129" spans="2:9" ht="20.100000000000001" customHeight="1" x14ac:dyDescent="0.3">
      <c r="B129" s="344">
        <v>121</v>
      </c>
      <c r="C129" s="342" t="str">
        <f t="shared" si="8"/>
        <v/>
      </c>
      <c r="D129" s="341" t="str">
        <f t="shared" si="6"/>
        <v/>
      </c>
      <c r="E129" s="328" t="str">
        <f t="shared" si="9"/>
        <v/>
      </c>
      <c r="F129" s="339" t="str">
        <f t="shared" si="7"/>
        <v/>
      </c>
      <c r="G129" s="328" t="str">
        <f t="shared" si="10"/>
        <v/>
      </c>
      <c r="H129" s="340" t="str">
        <f t="shared" si="11"/>
        <v/>
      </c>
      <c r="I129" s="57"/>
    </row>
    <row r="130" spans="2:9" ht="20.100000000000001" customHeight="1" x14ac:dyDescent="0.3">
      <c r="B130" s="344">
        <v>122</v>
      </c>
      <c r="C130" s="342" t="str">
        <f t="shared" si="8"/>
        <v/>
      </c>
      <c r="D130" s="341" t="str">
        <f t="shared" si="6"/>
        <v/>
      </c>
      <c r="E130" s="328" t="str">
        <f t="shared" si="9"/>
        <v/>
      </c>
      <c r="F130" s="339" t="str">
        <f t="shared" si="7"/>
        <v/>
      </c>
      <c r="G130" s="328" t="str">
        <f t="shared" si="10"/>
        <v/>
      </c>
      <c r="H130" s="340" t="str">
        <f t="shared" si="11"/>
        <v/>
      </c>
      <c r="I130" s="57"/>
    </row>
    <row r="131" spans="2:9" ht="20.100000000000001" customHeight="1" x14ac:dyDescent="0.3">
      <c r="B131" s="344">
        <v>123</v>
      </c>
      <c r="C131" s="342" t="str">
        <f t="shared" si="8"/>
        <v/>
      </c>
      <c r="D131" s="341" t="str">
        <f t="shared" si="6"/>
        <v/>
      </c>
      <c r="E131" s="328" t="str">
        <f t="shared" si="9"/>
        <v/>
      </c>
      <c r="F131" s="339" t="str">
        <f t="shared" si="7"/>
        <v/>
      </c>
      <c r="G131" s="328" t="str">
        <f t="shared" si="10"/>
        <v/>
      </c>
      <c r="H131" s="340" t="str">
        <f t="shared" si="11"/>
        <v/>
      </c>
      <c r="I131" s="57"/>
    </row>
    <row r="132" spans="2:9" ht="20.100000000000001" customHeight="1" x14ac:dyDescent="0.3">
      <c r="B132" s="344">
        <v>124</v>
      </c>
      <c r="C132" s="342" t="str">
        <f t="shared" si="8"/>
        <v/>
      </c>
      <c r="D132" s="341" t="str">
        <f t="shared" si="6"/>
        <v/>
      </c>
      <c r="E132" s="328" t="str">
        <f t="shared" si="9"/>
        <v/>
      </c>
      <c r="F132" s="339" t="str">
        <f t="shared" si="7"/>
        <v/>
      </c>
      <c r="G132" s="328" t="str">
        <f t="shared" si="10"/>
        <v/>
      </c>
      <c r="H132" s="340" t="str">
        <f t="shared" si="11"/>
        <v/>
      </c>
      <c r="I132" s="57"/>
    </row>
    <row r="133" spans="2:9" ht="20.100000000000001" customHeight="1" x14ac:dyDescent="0.3">
      <c r="B133" s="344">
        <v>125</v>
      </c>
      <c r="C133" s="342" t="str">
        <f t="shared" si="8"/>
        <v/>
      </c>
      <c r="D133" s="341" t="str">
        <f t="shared" si="6"/>
        <v/>
      </c>
      <c r="E133" s="328" t="str">
        <f t="shared" si="9"/>
        <v/>
      </c>
      <c r="F133" s="339" t="str">
        <f t="shared" si="7"/>
        <v/>
      </c>
      <c r="G133" s="328" t="str">
        <f t="shared" si="10"/>
        <v/>
      </c>
      <c r="H133" s="340" t="str">
        <f t="shared" si="11"/>
        <v/>
      </c>
      <c r="I133" s="57"/>
    </row>
    <row r="134" spans="2:9" ht="20.100000000000001" customHeight="1" x14ac:dyDescent="0.3">
      <c r="B134" s="344">
        <v>126</v>
      </c>
      <c r="C134" s="342" t="str">
        <f t="shared" si="8"/>
        <v/>
      </c>
      <c r="D134" s="341" t="str">
        <f t="shared" si="6"/>
        <v/>
      </c>
      <c r="E134" s="328" t="str">
        <f t="shared" si="9"/>
        <v/>
      </c>
      <c r="F134" s="339" t="str">
        <f t="shared" si="7"/>
        <v/>
      </c>
      <c r="G134" s="328" t="str">
        <f t="shared" si="10"/>
        <v/>
      </c>
      <c r="H134" s="340" t="str">
        <f t="shared" si="11"/>
        <v/>
      </c>
      <c r="I134" s="57"/>
    </row>
    <row r="135" spans="2:9" ht="20.100000000000001" customHeight="1" x14ac:dyDescent="0.3">
      <c r="B135" s="344">
        <v>127</v>
      </c>
      <c r="C135" s="342" t="str">
        <f t="shared" si="8"/>
        <v/>
      </c>
      <c r="D135" s="341" t="str">
        <f t="shared" si="6"/>
        <v/>
      </c>
      <c r="E135" s="328" t="str">
        <f t="shared" si="9"/>
        <v/>
      </c>
      <c r="F135" s="339" t="str">
        <f t="shared" si="7"/>
        <v/>
      </c>
      <c r="G135" s="328" t="str">
        <f t="shared" si="10"/>
        <v/>
      </c>
      <c r="H135" s="340" t="str">
        <f t="shared" si="11"/>
        <v/>
      </c>
      <c r="I135" s="57"/>
    </row>
    <row r="136" spans="2:9" ht="20.100000000000001" customHeight="1" x14ac:dyDescent="0.3">
      <c r="B136" s="344">
        <v>128</v>
      </c>
      <c r="C136" s="342" t="str">
        <f t="shared" si="8"/>
        <v/>
      </c>
      <c r="D136" s="341" t="str">
        <f t="shared" si="6"/>
        <v/>
      </c>
      <c r="E136" s="328" t="str">
        <f t="shared" si="9"/>
        <v/>
      </c>
      <c r="F136" s="339" t="str">
        <f t="shared" si="7"/>
        <v/>
      </c>
      <c r="G136" s="328" t="str">
        <f t="shared" si="10"/>
        <v/>
      </c>
      <c r="H136" s="340" t="str">
        <f t="shared" si="11"/>
        <v/>
      </c>
      <c r="I136" s="57"/>
    </row>
    <row r="137" spans="2:9" ht="20.100000000000001" customHeight="1" x14ac:dyDescent="0.3">
      <c r="B137" s="344">
        <v>129</v>
      </c>
      <c r="C137" s="342" t="str">
        <f t="shared" si="8"/>
        <v/>
      </c>
      <c r="D137" s="341" t="str">
        <f t="shared" si="6"/>
        <v/>
      </c>
      <c r="E137" s="328" t="str">
        <f t="shared" si="9"/>
        <v/>
      </c>
      <c r="F137" s="339" t="str">
        <f t="shared" si="7"/>
        <v/>
      </c>
      <c r="G137" s="328" t="str">
        <f t="shared" si="10"/>
        <v/>
      </c>
      <c r="H137" s="340" t="str">
        <f t="shared" si="11"/>
        <v/>
      </c>
      <c r="I137" s="57"/>
    </row>
    <row r="138" spans="2:9" ht="20.100000000000001" customHeight="1" x14ac:dyDescent="0.3">
      <c r="B138" s="344">
        <v>130</v>
      </c>
      <c r="C138" s="342" t="str">
        <f t="shared" si="8"/>
        <v/>
      </c>
      <c r="D138" s="341" t="str">
        <f t="shared" ref="D138:D201" si="12">IF($H$4="","",IF($F$4="원리금균등상환",IFERROR(IF(B138&lt;=$D$6,0,-PPMT($E$4/12,B138-$D$6,($B$6-$D$6),$D$4)),""),IF($F$4="원금균등상환",IF(B138&lt;($D$6+1),0,IF(B138&gt;$B$6,0,$D$4/($B$6-$D$6))),"")))</f>
        <v/>
      </c>
      <c r="E138" s="328" t="str">
        <f t="shared" si="9"/>
        <v/>
      </c>
      <c r="F138" s="339" t="str">
        <f t="shared" ref="F138:F201" si="13">IF($H$4="","",IF($F$4="원리금균등상환",IFERROR(D138+E138,""),IF($F$4="원금균등상환",D138+E138,"")))</f>
        <v/>
      </c>
      <c r="G138" s="328" t="str">
        <f t="shared" si="10"/>
        <v/>
      </c>
      <c r="H138" s="340" t="str">
        <f t="shared" si="11"/>
        <v/>
      </c>
      <c r="I138" s="57"/>
    </row>
    <row r="139" spans="2:9" ht="20.100000000000001" customHeight="1" x14ac:dyDescent="0.3">
      <c r="B139" s="344">
        <v>131</v>
      </c>
      <c r="C139" s="342" t="str">
        <f t="shared" ref="C139:C202" si="14">IF($H$4="","",IF(B139&gt;($B$6),"",IF(B139&lt;=($B$6),DATE(YEAR($G$4),MONTH($G$4)+B138,DAY($G$4)),"")))</f>
        <v/>
      </c>
      <c r="D139" s="341" t="str">
        <f t="shared" si="12"/>
        <v/>
      </c>
      <c r="E139" s="328" t="str">
        <f t="shared" ref="E139:E202" si="15">IF($H$4="","",IF($F$4="원리금균등상환",IFERROR(IF(B139&lt;=$D$6,$H138*($E$4/12),-IPMT($E$4/12,B139-$D$6,($B$6-$D$6),$D$4)),""),IF($F$4="원금균등상환",(H138-D139)*$E$4/12,"")))</f>
        <v/>
      </c>
      <c r="F139" s="339" t="str">
        <f t="shared" si="13"/>
        <v/>
      </c>
      <c r="G139" s="328" t="str">
        <f t="shared" ref="G139:G202" si="16">IFERROR(IF(B139&gt;(($D$6+$B$6)*12),"",IF(B139=1,D139,D139+G138)),"")</f>
        <v/>
      </c>
      <c r="H139" s="340" t="str">
        <f t="shared" ref="H139:H202" si="17">IFERROR(IF($H$4="","",H138-D139),"")</f>
        <v/>
      </c>
      <c r="I139" s="57"/>
    </row>
    <row r="140" spans="2:9" ht="20.100000000000001" customHeight="1" x14ac:dyDescent="0.3">
      <c r="B140" s="344">
        <v>132</v>
      </c>
      <c r="C140" s="342" t="str">
        <f t="shared" si="14"/>
        <v/>
      </c>
      <c r="D140" s="341" t="str">
        <f t="shared" si="12"/>
        <v/>
      </c>
      <c r="E140" s="328" t="str">
        <f t="shared" si="15"/>
        <v/>
      </c>
      <c r="F140" s="339" t="str">
        <f t="shared" si="13"/>
        <v/>
      </c>
      <c r="G140" s="328" t="str">
        <f t="shared" si="16"/>
        <v/>
      </c>
      <c r="H140" s="340" t="str">
        <f t="shared" si="17"/>
        <v/>
      </c>
      <c r="I140" s="57"/>
    </row>
    <row r="141" spans="2:9" ht="20.100000000000001" customHeight="1" x14ac:dyDescent="0.3">
      <c r="B141" s="344">
        <v>133</v>
      </c>
      <c r="C141" s="342" t="str">
        <f t="shared" si="14"/>
        <v/>
      </c>
      <c r="D141" s="341" t="str">
        <f t="shared" si="12"/>
        <v/>
      </c>
      <c r="E141" s="328" t="str">
        <f t="shared" si="15"/>
        <v/>
      </c>
      <c r="F141" s="339" t="str">
        <f t="shared" si="13"/>
        <v/>
      </c>
      <c r="G141" s="328" t="str">
        <f t="shared" si="16"/>
        <v/>
      </c>
      <c r="H141" s="340" t="str">
        <f t="shared" si="17"/>
        <v/>
      </c>
      <c r="I141" s="57"/>
    </row>
    <row r="142" spans="2:9" ht="20.100000000000001" customHeight="1" x14ac:dyDescent="0.3">
      <c r="B142" s="344">
        <v>134</v>
      </c>
      <c r="C142" s="342" t="str">
        <f t="shared" si="14"/>
        <v/>
      </c>
      <c r="D142" s="341" t="str">
        <f t="shared" si="12"/>
        <v/>
      </c>
      <c r="E142" s="328" t="str">
        <f t="shared" si="15"/>
        <v/>
      </c>
      <c r="F142" s="339" t="str">
        <f t="shared" si="13"/>
        <v/>
      </c>
      <c r="G142" s="328" t="str">
        <f t="shared" si="16"/>
        <v/>
      </c>
      <c r="H142" s="340" t="str">
        <f t="shared" si="17"/>
        <v/>
      </c>
      <c r="I142" s="57"/>
    </row>
    <row r="143" spans="2:9" ht="20.100000000000001" customHeight="1" x14ac:dyDescent="0.3">
      <c r="B143" s="344">
        <v>135</v>
      </c>
      <c r="C143" s="342" t="str">
        <f t="shared" si="14"/>
        <v/>
      </c>
      <c r="D143" s="341" t="str">
        <f t="shared" si="12"/>
        <v/>
      </c>
      <c r="E143" s="328" t="str">
        <f t="shared" si="15"/>
        <v/>
      </c>
      <c r="F143" s="339" t="str">
        <f t="shared" si="13"/>
        <v/>
      </c>
      <c r="G143" s="328" t="str">
        <f t="shared" si="16"/>
        <v/>
      </c>
      <c r="H143" s="340" t="str">
        <f t="shared" si="17"/>
        <v/>
      </c>
      <c r="I143" s="57"/>
    </row>
    <row r="144" spans="2:9" ht="20.100000000000001" customHeight="1" x14ac:dyDescent="0.3">
      <c r="B144" s="344">
        <v>136</v>
      </c>
      <c r="C144" s="342" t="str">
        <f t="shared" si="14"/>
        <v/>
      </c>
      <c r="D144" s="341" t="str">
        <f t="shared" si="12"/>
        <v/>
      </c>
      <c r="E144" s="328" t="str">
        <f t="shared" si="15"/>
        <v/>
      </c>
      <c r="F144" s="339" t="str">
        <f t="shared" si="13"/>
        <v/>
      </c>
      <c r="G144" s="328" t="str">
        <f t="shared" si="16"/>
        <v/>
      </c>
      <c r="H144" s="340" t="str">
        <f t="shared" si="17"/>
        <v/>
      </c>
      <c r="I144" s="57"/>
    </row>
    <row r="145" spans="2:9" ht="20.100000000000001" customHeight="1" x14ac:dyDescent="0.3">
      <c r="B145" s="344">
        <v>137</v>
      </c>
      <c r="C145" s="342" t="str">
        <f t="shared" si="14"/>
        <v/>
      </c>
      <c r="D145" s="341" t="str">
        <f t="shared" si="12"/>
        <v/>
      </c>
      <c r="E145" s="328" t="str">
        <f t="shared" si="15"/>
        <v/>
      </c>
      <c r="F145" s="339" t="str">
        <f t="shared" si="13"/>
        <v/>
      </c>
      <c r="G145" s="328" t="str">
        <f t="shared" si="16"/>
        <v/>
      </c>
      <c r="H145" s="340" t="str">
        <f t="shared" si="17"/>
        <v/>
      </c>
      <c r="I145" s="57"/>
    </row>
    <row r="146" spans="2:9" ht="20.100000000000001" customHeight="1" x14ac:dyDescent="0.3">
      <c r="B146" s="344">
        <v>138</v>
      </c>
      <c r="C146" s="342" t="str">
        <f t="shared" si="14"/>
        <v/>
      </c>
      <c r="D146" s="341" t="str">
        <f t="shared" si="12"/>
        <v/>
      </c>
      <c r="E146" s="328" t="str">
        <f t="shared" si="15"/>
        <v/>
      </c>
      <c r="F146" s="339" t="str">
        <f t="shared" si="13"/>
        <v/>
      </c>
      <c r="G146" s="328" t="str">
        <f t="shared" si="16"/>
        <v/>
      </c>
      <c r="H146" s="340" t="str">
        <f t="shared" si="17"/>
        <v/>
      </c>
      <c r="I146" s="57"/>
    </row>
    <row r="147" spans="2:9" ht="20.100000000000001" customHeight="1" x14ac:dyDescent="0.3">
      <c r="B147" s="344">
        <v>139</v>
      </c>
      <c r="C147" s="342" t="str">
        <f t="shared" si="14"/>
        <v/>
      </c>
      <c r="D147" s="341" t="str">
        <f t="shared" si="12"/>
        <v/>
      </c>
      <c r="E147" s="328" t="str">
        <f t="shared" si="15"/>
        <v/>
      </c>
      <c r="F147" s="339" t="str">
        <f t="shared" si="13"/>
        <v/>
      </c>
      <c r="G147" s="328" t="str">
        <f t="shared" si="16"/>
        <v/>
      </c>
      <c r="H147" s="340" t="str">
        <f t="shared" si="17"/>
        <v/>
      </c>
      <c r="I147" s="57"/>
    </row>
    <row r="148" spans="2:9" ht="20.100000000000001" customHeight="1" x14ac:dyDescent="0.3">
      <c r="B148" s="344">
        <v>140</v>
      </c>
      <c r="C148" s="342" t="str">
        <f t="shared" si="14"/>
        <v/>
      </c>
      <c r="D148" s="341" t="str">
        <f t="shared" si="12"/>
        <v/>
      </c>
      <c r="E148" s="328" t="str">
        <f t="shared" si="15"/>
        <v/>
      </c>
      <c r="F148" s="339" t="str">
        <f t="shared" si="13"/>
        <v/>
      </c>
      <c r="G148" s="328" t="str">
        <f t="shared" si="16"/>
        <v/>
      </c>
      <c r="H148" s="340" t="str">
        <f t="shared" si="17"/>
        <v/>
      </c>
      <c r="I148" s="57"/>
    </row>
    <row r="149" spans="2:9" ht="20.100000000000001" customHeight="1" x14ac:dyDescent="0.3">
      <c r="B149" s="344">
        <v>141</v>
      </c>
      <c r="C149" s="342" t="str">
        <f t="shared" si="14"/>
        <v/>
      </c>
      <c r="D149" s="341" t="str">
        <f t="shared" si="12"/>
        <v/>
      </c>
      <c r="E149" s="328" t="str">
        <f t="shared" si="15"/>
        <v/>
      </c>
      <c r="F149" s="339" t="str">
        <f t="shared" si="13"/>
        <v/>
      </c>
      <c r="G149" s="328" t="str">
        <f t="shared" si="16"/>
        <v/>
      </c>
      <c r="H149" s="340" t="str">
        <f t="shared" si="17"/>
        <v/>
      </c>
      <c r="I149" s="57"/>
    </row>
    <row r="150" spans="2:9" ht="20.100000000000001" customHeight="1" x14ac:dyDescent="0.3">
      <c r="B150" s="344">
        <v>142</v>
      </c>
      <c r="C150" s="342" t="str">
        <f t="shared" si="14"/>
        <v/>
      </c>
      <c r="D150" s="341" t="str">
        <f t="shared" si="12"/>
        <v/>
      </c>
      <c r="E150" s="328" t="str">
        <f t="shared" si="15"/>
        <v/>
      </c>
      <c r="F150" s="339" t="str">
        <f t="shared" si="13"/>
        <v/>
      </c>
      <c r="G150" s="328" t="str">
        <f t="shared" si="16"/>
        <v/>
      </c>
      <c r="H150" s="340" t="str">
        <f t="shared" si="17"/>
        <v/>
      </c>
      <c r="I150" s="57"/>
    </row>
    <row r="151" spans="2:9" ht="20.100000000000001" customHeight="1" x14ac:dyDescent="0.3">
      <c r="B151" s="344">
        <v>143</v>
      </c>
      <c r="C151" s="342" t="str">
        <f t="shared" si="14"/>
        <v/>
      </c>
      <c r="D151" s="341" t="str">
        <f t="shared" si="12"/>
        <v/>
      </c>
      <c r="E151" s="328" t="str">
        <f t="shared" si="15"/>
        <v/>
      </c>
      <c r="F151" s="339" t="str">
        <f t="shared" si="13"/>
        <v/>
      </c>
      <c r="G151" s="328" t="str">
        <f t="shared" si="16"/>
        <v/>
      </c>
      <c r="H151" s="340" t="str">
        <f t="shared" si="17"/>
        <v/>
      </c>
      <c r="I151" s="57"/>
    </row>
    <row r="152" spans="2:9" ht="20.100000000000001" customHeight="1" x14ac:dyDescent="0.3">
      <c r="B152" s="344">
        <v>144</v>
      </c>
      <c r="C152" s="342" t="str">
        <f t="shared" si="14"/>
        <v/>
      </c>
      <c r="D152" s="341" t="str">
        <f t="shared" si="12"/>
        <v/>
      </c>
      <c r="E152" s="328" t="str">
        <f t="shared" si="15"/>
        <v/>
      </c>
      <c r="F152" s="339" t="str">
        <f t="shared" si="13"/>
        <v/>
      </c>
      <c r="G152" s="328" t="str">
        <f t="shared" si="16"/>
        <v/>
      </c>
      <c r="H152" s="340" t="str">
        <f t="shared" si="17"/>
        <v/>
      </c>
      <c r="I152" s="57"/>
    </row>
    <row r="153" spans="2:9" ht="20.100000000000001" customHeight="1" x14ac:dyDescent="0.3">
      <c r="B153" s="344">
        <v>145</v>
      </c>
      <c r="C153" s="342" t="str">
        <f t="shared" si="14"/>
        <v/>
      </c>
      <c r="D153" s="341" t="str">
        <f t="shared" si="12"/>
        <v/>
      </c>
      <c r="E153" s="328" t="str">
        <f t="shared" si="15"/>
        <v/>
      </c>
      <c r="F153" s="339" t="str">
        <f t="shared" si="13"/>
        <v/>
      </c>
      <c r="G153" s="328" t="str">
        <f t="shared" si="16"/>
        <v/>
      </c>
      <c r="H153" s="340" t="str">
        <f t="shared" si="17"/>
        <v/>
      </c>
      <c r="I153" s="57"/>
    </row>
    <row r="154" spans="2:9" ht="20.100000000000001" customHeight="1" x14ac:dyDescent="0.3">
      <c r="B154" s="344">
        <v>146</v>
      </c>
      <c r="C154" s="342" t="str">
        <f t="shared" si="14"/>
        <v/>
      </c>
      <c r="D154" s="341" t="str">
        <f t="shared" si="12"/>
        <v/>
      </c>
      <c r="E154" s="328" t="str">
        <f t="shared" si="15"/>
        <v/>
      </c>
      <c r="F154" s="339" t="str">
        <f t="shared" si="13"/>
        <v/>
      </c>
      <c r="G154" s="328" t="str">
        <f t="shared" si="16"/>
        <v/>
      </c>
      <c r="H154" s="340" t="str">
        <f t="shared" si="17"/>
        <v/>
      </c>
      <c r="I154" s="57"/>
    </row>
    <row r="155" spans="2:9" ht="20.100000000000001" customHeight="1" x14ac:dyDescent="0.3">
      <c r="B155" s="344">
        <v>147</v>
      </c>
      <c r="C155" s="342" t="str">
        <f t="shared" si="14"/>
        <v/>
      </c>
      <c r="D155" s="341" t="str">
        <f t="shared" si="12"/>
        <v/>
      </c>
      <c r="E155" s="328" t="str">
        <f t="shared" si="15"/>
        <v/>
      </c>
      <c r="F155" s="339" t="str">
        <f t="shared" si="13"/>
        <v/>
      </c>
      <c r="G155" s="328" t="str">
        <f t="shared" si="16"/>
        <v/>
      </c>
      <c r="H155" s="340" t="str">
        <f t="shared" si="17"/>
        <v/>
      </c>
      <c r="I155" s="57"/>
    </row>
    <row r="156" spans="2:9" ht="20.100000000000001" customHeight="1" x14ac:dyDescent="0.3">
      <c r="B156" s="344">
        <v>148</v>
      </c>
      <c r="C156" s="342" t="str">
        <f t="shared" si="14"/>
        <v/>
      </c>
      <c r="D156" s="341" t="str">
        <f t="shared" si="12"/>
        <v/>
      </c>
      <c r="E156" s="328" t="str">
        <f t="shared" si="15"/>
        <v/>
      </c>
      <c r="F156" s="339" t="str">
        <f t="shared" si="13"/>
        <v/>
      </c>
      <c r="G156" s="328" t="str">
        <f t="shared" si="16"/>
        <v/>
      </c>
      <c r="H156" s="340" t="str">
        <f t="shared" si="17"/>
        <v/>
      </c>
      <c r="I156" s="57"/>
    </row>
    <row r="157" spans="2:9" ht="20.100000000000001" customHeight="1" x14ac:dyDescent="0.3">
      <c r="B157" s="344">
        <v>149</v>
      </c>
      <c r="C157" s="342" t="str">
        <f t="shared" si="14"/>
        <v/>
      </c>
      <c r="D157" s="341" t="str">
        <f t="shared" si="12"/>
        <v/>
      </c>
      <c r="E157" s="328" t="str">
        <f t="shared" si="15"/>
        <v/>
      </c>
      <c r="F157" s="339" t="str">
        <f t="shared" si="13"/>
        <v/>
      </c>
      <c r="G157" s="328" t="str">
        <f t="shared" si="16"/>
        <v/>
      </c>
      <c r="H157" s="340" t="str">
        <f t="shared" si="17"/>
        <v/>
      </c>
      <c r="I157" s="57"/>
    </row>
    <row r="158" spans="2:9" ht="20.100000000000001" customHeight="1" x14ac:dyDescent="0.3">
      <c r="B158" s="344">
        <v>150</v>
      </c>
      <c r="C158" s="342" t="str">
        <f t="shared" si="14"/>
        <v/>
      </c>
      <c r="D158" s="341" t="str">
        <f t="shared" si="12"/>
        <v/>
      </c>
      <c r="E158" s="328" t="str">
        <f t="shared" si="15"/>
        <v/>
      </c>
      <c r="F158" s="339" t="str">
        <f t="shared" si="13"/>
        <v/>
      </c>
      <c r="G158" s="328" t="str">
        <f t="shared" si="16"/>
        <v/>
      </c>
      <c r="H158" s="340" t="str">
        <f t="shared" si="17"/>
        <v/>
      </c>
      <c r="I158" s="57"/>
    </row>
    <row r="159" spans="2:9" ht="20.100000000000001" customHeight="1" x14ac:dyDescent="0.3">
      <c r="B159" s="344">
        <v>151</v>
      </c>
      <c r="C159" s="342" t="str">
        <f t="shared" si="14"/>
        <v/>
      </c>
      <c r="D159" s="341" t="str">
        <f t="shared" si="12"/>
        <v/>
      </c>
      <c r="E159" s="328" t="str">
        <f t="shared" si="15"/>
        <v/>
      </c>
      <c r="F159" s="339" t="str">
        <f t="shared" si="13"/>
        <v/>
      </c>
      <c r="G159" s="328" t="str">
        <f t="shared" si="16"/>
        <v/>
      </c>
      <c r="H159" s="340" t="str">
        <f t="shared" si="17"/>
        <v/>
      </c>
      <c r="I159" s="57"/>
    </row>
    <row r="160" spans="2:9" ht="20.100000000000001" customHeight="1" x14ac:dyDescent="0.3">
      <c r="B160" s="344">
        <v>152</v>
      </c>
      <c r="C160" s="342" t="str">
        <f t="shared" si="14"/>
        <v/>
      </c>
      <c r="D160" s="341" t="str">
        <f t="shared" si="12"/>
        <v/>
      </c>
      <c r="E160" s="328" t="str">
        <f t="shared" si="15"/>
        <v/>
      </c>
      <c r="F160" s="339" t="str">
        <f t="shared" si="13"/>
        <v/>
      </c>
      <c r="G160" s="328" t="str">
        <f t="shared" si="16"/>
        <v/>
      </c>
      <c r="H160" s="340" t="str">
        <f t="shared" si="17"/>
        <v/>
      </c>
      <c r="I160" s="57"/>
    </row>
    <row r="161" spans="2:9" ht="20.100000000000001" customHeight="1" x14ac:dyDescent="0.3">
      <c r="B161" s="344">
        <v>153</v>
      </c>
      <c r="C161" s="342" t="str">
        <f t="shared" si="14"/>
        <v/>
      </c>
      <c r="D161" s="341" t="str">
        <f t="shared" si="12"/>
        <v/>
      </c>
      <c r="E161" s="328" t="str">
        <f t="shared" si="15"/>
        <v/>
      </c>
      <c r="F161" s="339" t="str">
        <f t="shared" si="13"/>
        <v/>
      </c>
      <c r="G161" s="328" t="str">
        <f t="shared" si="16"/>
        <v/>
      </c>
      <c r="H161" s="340" t="str">
        <f t="shared" si="17"/>
        <v/>
      </c>
      <c r="I161" s="57"/>
    </row>
    <row r="162" spans="2:9" ht="20.100000000000001" customHeight="1" x14ac:dyDescent="0.3">
      <c r="B162" s="344">
        <v>154</v>
      </c>
      <c r="C162" s="342" t="str">
        <f t="shared" si="14"/>
        <v/>
      </c>
      <c r="D162" s="341" t="str">
        <f t="shared" si="12"/>
        <v/>
      </c>
      <c r="E162" s="328" t="str">
        <f t="shared" si="15"/>
        <v/>
      </c>
      <c r="F162" s="339" t="str">
        <f t="shared" si="13"/>
        <v/>
      </c>
      <c r="G162" s="328" t="str">
        <f t="shared" si="16"/>
        <v/>
      </c>
      <c r="H162" s="340" t="str">
        <f t="shared" si="17"/>
        <v/>
      </c>
      <c r="I162" s="57"/>
    </row>
    <row r="163" spans="2:9" ht="20.100000000000001" customHeight="1" x14ac:dyDescent="0.3">
      <c r="B163" s="344">
        <v>155</v>
      </c>
      <c r="C163" s="342" t="str">
        <f t="shared" si="14"/>
        <v/>
      </c>
      <c r="D163" s="341" t="str">
        <f t="shared" si="12"/>
        <v/>
      </c>
      <c r="E163" s="328" t="str">
        <f t="shared" si="15"/>
        <v/>
      </c>
      <c r="F163" s="339" t="str">
        <f t="shared" si="13"/>
        <v/>
      </c>
      <c r="G163" s="328" t="str">
        <f t="shared" si="16"/>
        <v/>
      </c>
      <c r="H163" s="340" t="str">
        <f t="shared" si="17"/>
        <v/>
      </c>
      <c r="I163" s="57"/>
    </row>
    <row r="164" spans="2:9" ht="20.100000000000001" customHeight="1" x14ac:dyDescent="0.3">
      <c r="B164" s="344">
        <v>156</v>
      </c>
      <c r="C164" s="342" t="str">
        <f t="shared" si="14"/>
        <v/>
      </c>
      <c r="D164" s="341" t="str">
        <f t="shared" si="12"/>
        <v/>
      </c>
      <c r="E164" s="328" t="str">
        <f t="shared" si="15"/>
        <v/>
      </c>
      <c r="F164" s="339" t="str">
        <f t="shared" si="13"/>
        <v/>
      </c>
      <c r="G164" s="328" t="str">
        <f t="shared" si="16"/>
        <v/>
      </c>
      <c r="H164" s="340" t="str">
        <f t="shared" si="17"/>
        <v/>
      </c>
      <c r="I164" s="57"/>
    </row>
    <row r="165" spans="2:9" ht="20.100000000000001" customHeight="1" x14ac:dyDescent="0.3">
      <c r="B165" s="344">
        <v>157</v>
      </c>
      <c r="C165" s="342" t="str">
        <f t="shared" si="14"/>
        <v/>
      </c>
      <c r="D165" s="341" t="str">
        <f t="shared" si="12"/>
        <v/>
      </c>
      <c r="E165" s="328" t="str">
        <f t="shared" si="15"/>
        <v/>
      </c>
      <c r="F165" s="339" t="str">
        <f t="shared" si="13"/>
        <v/>
      </c>
      <c r="G165" s="328" t="str">
        <f t="shared" si="16"/>
        <v/>
      </c>
      <c r="H165" s="340" t="str">
        <f t="shared" si="17"/>
        <v/>
      </c>
      <c r="I165" s="57"/>
    </row>
    <row r="166" spans="2:9" ht="20.100000000000001" customHeight="1" x14ac:dyDescent="0.3">
      <c r="B166" s="344">
        <v>158</v>
      </c>
      <c r="C166" s="342" t="str">
        <f t="shared" si="14"/>
        <v/>
      </c>
      <c r="D166" s="341" t="str">
        <f t="shared" si="12"/>
        <v/>
      </c>
      <c r="E166" s="328" t="str">
        <f t="shared" si="15"/>
        <v/>
      </c>
      <c r="F166" s="339" t="str">
        <f t="shared" si="13"/>
        <v/>
      </c>
      <c r="G166" s="328" t="str">
        <f t="shared" si="16"/>
        <v/>
      </c>
      <c r="H166" s="340" t="str">
        <f t="shared" si="17"/>
        <v/>
      </c>
      <c r="I166" s="57"/>
    </row>
    <row r="167" spans="2:9" ht="20.100000000000001" customHeight="1" x14ac:dyDescent="0.3">
      <c r="B167" s="344">
        <v>159</v>
      </c>
      <c r="C167" s="342" t="str">
        <f t="shared" si="14"/>
        <v/>
      </c>
      <c r="D167" s="341" t="str">
        <f t="shared" si="12"/>
        <v/>
      </c>
      <c r="E167" s="328" t="str">
        <f t="shared" si="15"/>
        <v/>
      </c>
      <c r="F167" s="339" t="str">
        <f t="shared" si="13"/>
        <v/>
      </c>
      <c r="G167" s="328" t="str">
        <f t="shared" si="16"/>
        <v/>
      </c>
      <c r="H167" s="340" t="str">
        <f t="shared" si="17"/>
        <v/>
      </c>
      <c r="I167" s="57"/>
    </row>
    <row r="168" spans="2:9" ht="20.100000000000001" customHeight="1" x14ac:dyDescent="0.3">
      <c r="B168" s="344">
        <v>160</v>
      </c>
      <c r="C168" s="342" t="str">
        <f t="shared" si="14"/>
        <v/>
      </c>
      <c r="D168" s="341" t="str">
        <f t="shared" si="12"/>
        <v/>
      </c>
      <c r="E168" s="328" t="str">
        <f t="shared" si="15"/>
        <v/>
      </c>
      <c r="F168" s="339" t="str">
        <f t="shared" si="13"/>
        <v/>
      </c>
      <c r="G168" s="328" t="str">
        <f t="shared" si="16"/>
        <v/>
      </c>
      <c r="H168" s="340" t="str">
        <f t="shared" si="17"/>
        <v/>
      </c>
      <c r="I168" s="57"/>
    </row>
    <row r="169" spans="2:9" ht="20.100000000000001" customHeight="1" x14ac:dyDescent="0.3">
      <c r="B169" s="344">
        <v>161</v>
      </c>
      <c r="C169" s="342" t="str">
        <f t="shared" si="14"/>
        <v/>
      </c>
      <c r="D169" s="341" t="str">
        <f t="shared" si="12"/>
        <v/>
      </c>
      <c r="E169" s="328" t="str">
        <f t="shared" si="15"/>
        <v/>
      </c>
      <c r="F169" s="339" t="str">
        <f t="shared" si="13"/>
        <v/>
      </c>
      <c r="G169" s="328" t="str">
        <f t="shared" si="16"/>
        <v/>
      </c>
      <c r="H169" s="340" t="str">
        <f t="shared" si="17"/>
        <v/>
      </c>
      <c r="I169" s="57"/>
    </row>
    <row r="170" spans="2:9" ht="20.100000000000001" customHeight="1" x14ac:dyDescent="0.3">
      <c r="B170" s="344">
        <v>162</v>
      </c>
      <c r="C170" s="342" t="str">
        <f t="shared" si="14"/>
        <v/>
      </c>
      <c r="D170" s="341" t="str">
        <f t="shared" si="12"/>
        <v/>
      </c>
      <c r="E170" s="328" t="str">
        <f t="shared" si="15"/>
        <v/>
      </c>
      <c r="F170" s="339" t="str">
        <f t="shared" si="13"/>
        <v/>
      </c>
      <c r="G170" s="328" t="str">
        <f t="shared" si="16"/>
        <v/>
      </c>
      <c r="H170" s="340" t="str">
        <f t="shared" si="17"/>
        <v/>
      </c>
      <c r="I170" s="57"/>
    </row>
    <row r="171" spans="2:9" ht="20.100000000000001" customHeight="1" x14ac:dyDescent="0.3">
      <c r="B171" s="344">
        <v>163</v>
      </c>
      <c r="C171" s="342" t="str">
        <f t="shared" si="14"/>
        <v/>
      </c>
      <c r="D171" s="341" t="str">
        <f t="shared" si="12"/>
        <v/>
      </c>
      <c r="E171" s="328" t="str">
        <f t="shared" si="15"/>
        <v/>
      </c>
      <c r="F171" s="339" t="str">
        <f t="shared" si="13"/>
        <v/>
      </c>
      <c r="G171" s="328" t="str">
        <f t="shared" si="16"/>
        <v/>
      </c>
      <c r="H171" s="340" t="str">
        <f t="shared" si="17"/>
        <v/>
      </c>
      <c r="I171" s="57"/>
    </row>
    <row r="172" spans="2:9" ht="20.100000000000001" customHeight="1" x14ac:dyDescent="0.3">
      <c r="B172" s="344">
        <v>164</v>
      </c>
      <c r="C172" s="342" t="str">
        <f t="shared" si="14"/>
        <v/>
      </c>
      <c r="D172" s="341" t="str">
        <f t="shared" si="12"/>
        <v/>
      </c>
      <c r="E172" s="328" t="str">
        <f t="shared" si="15"/>
        <v/>
      </c>
      <c r="F172" s="339" t="str">
        <f t="shared" si="13"/>
        <v/>
      </c>
      <c r="G172" s="328" t="str">
        <f t="shared" si="16"/>
        <v/>
      </c>
      <c r="H172" s="340" t="str">
        <f t="shared" si="17"/>
        <v/>
      </c>
      <c r="I172" s="57"/>
    </row>
    <row r="173" spans="2:9" ht="20.100000000000001" customHeight="1" x14ac:dyDescent="0.3">
      <c r="B173" s="344">
        <v>165</v>
      </c>
      <c r="C173" s="342" t="str">
        <f t="shared" si="14"/>
        <v/>
      </c>
      <c r="D173" s="341" t="str">
        <f t="shared" si="12"/>
        <v/>
      </c>
      <c r="E173" s="328" t="str">
        <f t="shared" si="15"/>
        <v/>
      </c>
      <c r="F173" s="339" t="str">
        <f t="shared" si="13"/>
        <v/>
      </c>
      <c r="G173" s="328" t="str">
        <f t="shared" si="16"/>
        <v/>
      </c>
      <c r="H173" s="340" t="str">
        <f t="shared" si="17"/>
        <v/>
      </c>
      <c r="I173" s="57"/>
    </row>
    <row r="174" spans="2:9" ht="20.100000000000001" customHeight="1" x14ac:dyDescent="0.3">
      <c r="B174" s="344">
        <v>166</v>
      </c>
      <c r="C174" s="342" t="str">
        <f t="shared" si="14"/>
        <v/>
      </c>
      <c r="D174" s="341" t="str">
        <f t="shared" si="12"/>
        <v/>
      </c>
      <c r="E174" s="328" t="str">
        <f t="shared" si="15"/>
        <v/>
      </c>
      <c r="F174" s="339" t="str">
        <f t="shared" si="13"/>
        <v/>
      </c>
      <c r="G174" s="328" t="str">
        <f t="shared" si="16"/>
        <v/>
      </c>
      <c r="H174" s="340" t="str">
        <f t="shared" si="17"/>
        <v/>
      </c>
      <c r="I174" s="57"/>
    </row>
    <row r="175" spans="2:9" ht="20.100000000000001" customHeight="1" x14ac:dyDescent="0.3">
      <c r="B175" s="344">
        <v>167</v>
      </c>
      <c r="C175" s="342" t="str">
        <f t="shared" si="14"/>
        <v/>
      </c>
      <c r="D175" s="341" t="str">
        <f t="shared" si="12"/>
        <v/>
      </c>
      <c r="E175" s="328" t="str">
        <f t="shared" si="15"/>
        <v/>
      </c>
      <c r="F175" s="339" t="str">
        <f t="shared" si="13"/>
        <v/>
      </c>
      <c r="G175" s="328" t="str">
        <f t="shared" si="16"/>
        <v/>
      </c>
      <c r="H175" s="340" t="str">
        <f t="shared" si="17"/>
        <v/>
      </c>
      <c r="I175" s="57"/>
    </row>
    <row r="176" spans="2:9" ht="20.100000000000001" customHeight="1" x14ac:dyDescent="0.3">
      <c r="B176" s="344">
        <v>168</v>
      </c>
      <c r="C176" s="342" t="str">
        <f t="shared" si="14"/>
        <v/>
      </c>
      <c r="D176" s="341" t="str">
        <f t="shared" si="12"/>
        <v/>
      </c>
      <c r="E176" s="328" t="str">
        <f t="shared" si="15"/>
        <v/>
      </c>
      <c r="F176" s="339" t="str">
        <f t="shared" si="13"/>
        <v/>
      </c>
      <c r="G176" s="328" t="str">
        <f t="shared" si="16"/>
        <v/>
      </c>
      <c r="H176" s="340" t="str">
        <f t="shared" si="17"/>
        <v/>
      </c>
      <c r="I176" s="57"/>
    </row>
    <row r="177" spans="2:9" ht="20.100000000000001" customHeight="1" x14ac:dyDescent="0.3">
      <c r="B177" s="344">
        <v>169</v>
      </c>
      <c r="C177" s="342" t="str">
        <f t="shared" si="14"/>
        <v/>
      </c>
      <c r="D177" s="341" t="str">
        <f t="shared" si="12"/>
        <v/>
      </c>
      <c r="E177" s="328" t="str">
        <f t="shared" si="15"/>
        <v/>
      </c>
      <c r="F177" s="339" t="str">
        <f t="shared" si="13"/>
        <v/>
      </c>
      <c r="G177" s="328" t="str">
        <f t="shared" si="16"/>
        <v/>
      </c>
      <c r="H177" s="340" t="str">
        <f t="shared" si="17"/>
        <v/>
      </c>
      <c r="I177" s="57"/>
    </row>
    <row r="178" spans="2:9" ht="20.100000000000001" customHeight="1" x14ac:dyDescent="0.3">
      <c r="B178" s="344">
        <v>170</v>
      </c>
      <c r="C178" s="342" t="str">
        <f t="shared" si="14"/>
        <v/>
      </c>
      <c r="D178" s="341" t="str">
        <f t="shared" si="12"/>
        <v/>
      </c>
      <c r="E178" s="328" t="str">
        <f t="shared" si="15"/>
        <v/>
      </c>
      <c r="F178" s="339" t="str">
        <f t="shared" si="13"/>
        <v/>
      </c>
      <c r="G178" s="328" t="str">
        <f t="shared" si="16"/>
        <v/>
      </c>
      <c r="H178" s="340" t="str">
        <f t="shared" si="17"/>
        <v/>
      </c>
      <c r="I178" s="57"/>
    </row>
    <row r="179" spans="2:9" ht="20.100000000000001" customHeight="1" x14ac:dyDescent="0.3">
      <c r="B179" s="344">
        <v>171</v>
      </c>
      <c r="C179" s="342" t="str">
        <f t="shared" si="14"/>
        <v/>
      </c>
      <c r="D179" s="341" t="str">
        <f t="shared" si="12"/>
        <v/>
      </c>
      <c r="E179" s="328" t="str">
        <f t="shared" si="15"/>
        <v/>
      </c>
      <c r="F179" s="339" t="str">
        <f t="shared" si="13"/>
        <v/>
      </c>
      <c r="G179" s="328" t="str">
        <f t="shared" si="16"/>
        <v/>
      </c>
      <c r="H179" s="340" t="str">
        <f t="shared" si="17"/>
        <v/>
      </c>
      <c r="I179" s="57"/>
    </row>
    <row r="180" spans="2:9" ht="20.100000000000001" customHeight="1" x14ac:dyDescent="0.3">
      <c r="B180" s="344">
        <v>172</v>
      </c>
      <c r="C180" s="342" t="str">
        <f t="shared" si="14"/>
        <v/>
      </c>
      <c r="D180" s="341" t="str">
        <f t="shared" si="12"/>
        <v/>
      </c>
      <c r="E180" s="328" t="str">
        <f t="shared" si="15"/>
        <v/>
      </c>
      <c r="F180" s="339" t="str">
        <f t="shared" si="13"/>
        <v/>
      </c>
      <c r="G180" s="328" t="str">
        <f t="shared" si="16"/>
        <v/>
      </c>
      <c r="H180" s="340" t="str">
        <f t="shared" si="17"/>
        <v/>
      </c>
      <c r="I180" s="57"/>
    </row>
    <row r="181" spans="2:9" ht="20.100000000000001" customHeight="1" x14ac:dyDescent="0.3">
      <c r="B181" s="344">
        <v>173</v>
      </c>
      <c r="C181" s="342" t="str">
        <f t="shared" si="14"/>
        <v/>
      </c>
      <c r="D181" s="341" t="str">
        <f t="shared" si="12"/>
        <v/>
      </c>
      <c r="E181" s="328" t="str">
        <f t="shared" si="15"/>
        <v/>
      </c>
      <c r="F181" s="339" t="str">
        <f t="shared" si="13"/>
        <v/>
      </c>
      <c r="G181" s="328" t="str">
        <f t="shared" si="16"/>
        <v/>
      </c>
      <c r="H181" s="340" t="str">
        <f t="shared" si="17"/>
        <v/>
      </c>
      <c r="I181" s="57"/>
    </row>
    <row r="182" spans="2:9" ht="20.100000000000001" customHeight="1" x14ac:dyDescent="0.3">
      <c r="B182" s="344">
        <v>174</v>
      </c>
      <c r="C182" s="342" t="str">
        <f t="shared" si="14"/>
        <v/>
      </c>
      <c r="D182" s="341" t="str">
        <f t="shared" si="12"/>
        <v/>
      </c>
      <c r="E182" s="328" t="str">
        <f t="shared" si="15"/>
        <v/>
      </c>
      <c r="F182" s="339" t="str">
        <f t="shared" si="13"/>
        <v/>
      </c>
      <c r="G182" s="328" t="str">
        <f t="shared" si="16"/>
        <v/>
      </c>
      <c r="H182" s="340" t="str">
        <f t="shared" si="17"/>
        <v/>
      </c>
      <c r="I182" s="57"/>
    </row>
    <row r="183" spans="2:9" ht="20.100000000000001" customHeight="1" x14ac:dyDescent="0.3">
      <c r="B183" s="344">
        <v>175</v>
      </c>
      <c r="C183" s="342" t="str">
        <f t="shared" si="14"/>
        <v/>
      </c>
      <c r="D183" s="341" t="str">
        <f t="shared" si="12"/>
        <v/>
      </c>
      <c r="E183" s="328" t="str">
        <f t="shared" si="15"/>
        <v/>
      </c>
      <c r="F183" s="339" t="str">
        <f t="shared" si="13"/>
        <v/>
      </c>
      <c r="G183" s="328" t="str">
        <f t="shared" si="16"/>
        <v/>
      </c>
      <c r="H183" s="340" t="str">
        <f t="shared" si="17"/>
        <v/>
      </c>
      <c r="I183" s="57"/>
    </row>
    <row r="184" spans="2:9" ht="20.100000000000001" customHeight="1" x14ac:dyDescent="0.3">
      <c r="B184" s="344">
        <v>176</v>
      </c>
      <c r="C184" s="342" t="str">
        <f t="shared" si="14"/>
        <v/>
      </c>
      <c r="D184" s="341" t="str">
        <f t="shared" si="12"/>
        <v/>
      </c>
      <c r="E184" s="328" t="str">
        <f t="shared" si="15"/>
        <v/>
      </c>
      <c r="F184" s="339" t="str">
        <f t="shared" si="13"/>
        <v/>
      </c>
      <c r="G184" s="328" t="str">
        <f t="shared" si="16"/>
        <v/>
      </c>
      <c r="H184" s="340" t="str">
        <f t="shared" si="17"/>
        <v/>
      </c>
      <c r="I184" s="57"/>
    </row>
    <row r="185" spans="2:9" ht="20.100000000000001" customHeight="1" x14ac:dyDescent="0.3">
      <c r="B185" s="344">
        <v>177</v>
      </c>
      <c r="C185" s="342" t="str">
        <f t="shared" si="14"/>
        <v/>
      </c>
      <c r="D185" s="341" t="str">
        <f t="shared" si="12"/>
        <v/>
      </c>
      <c r="E185" s="328" t="str">
        <f t="shared" si="15"/>
        <v/>
      </c>
      <c r="F185" s="339" t="str">
        <f t="shared" si="13"/>
        <v/>
      </c>
      <c r="G185" s="328" t="str">
        <f t="shared" si="16"/>
        <v/>
      </c>
      <c r="H185" s="340" t="str">
        <f t="shared" si="17"/>
        <v/>
      </c>
      <c r="I185" s="57"/>
    </row>
    <row r="186" spans="2:9" ht="20.100000000000001" customHeight="1" x14ac:dyDescent="0.3">
      <c r="B186" s="344">
        <v>178</v>
      </c>
      <c r="C186" s="342" t="str">
        <f t="shared" si="14"/>
        <v/>
      </c>
      <c r="D186" s="341" t="str">
        <f t="shared" si="12"/>
        <v/>
      </c>
      <c r="E186" s="328" t="str">
        <f t="shared" si="15"/>
        <v/>
      </c>
      <c r="F186" s="339" t="str">
        <f t="shared" si="13"/>
        <v/>
      </c>
      <c r="G186" s="328" t="str">
        <f t="shared" si="16"/>
        <v/>
      </c>
      <c r="H186" s="340" t="str">
        <f t="shared" si="17"/>
        <v/>
      </c>
      <c r="I186" s="57"/>
    </row>
    <row r="187" spans="2:9" ht="20.100000000000001" customHeight="1" x14ac:dyDescent="0.3">
      <c r="B187" s="344">
        <v>179</v>
      </c>
      <c r="C187" s="342" t="str">
        <f t="shared" si="14"/>
        <v/>
      </c>
      <c r="D187" s="341" t="str">
        <f t="shared" si="12"/>
        <v/>
      </c>
      <c r="E187" s="328" t="str">
        <f t="shared" si="15"/>
        <v/>
      </c>
      <c r="F187" s="339" t="str">
        <f t="shared" si="13"/>
        <v/>
      </c>
      <c r="G187" s="328" t="str">
        <f t="shared" si="16"/>
        <v/>
      </c>
      <c r="H187" s="340" t="str">
        <f t="shared" si="17"/>
        <v/>
      </c>
      <c r="I187" s="57"/>
    </row>
    <row r="188" spans="2:9" ht="20.100000000000001" customHeight="1" x14ac:dyDescent="0.3">
      <c r="B188" s="344">
        <v>180</v>
      </c>
      <c r="C188" s="342" t="str">
        <f t="shared" si="14"/>
        <v/>
      </c>
      <c r="D188" s="341" t="str">
        <f t="shared" si="12"/>
        <v/>
      </c>
      <c r="E188" s="328" t="str">
        <f t="shared" si="15"/>
        <v/>
      </c>
      <c r="F188" s="339" t="str">
        <f t="shared" si="13"/>
        <v/>
      </c>
      <c r="G188" s="328" t="str">
        <f t="shared" si="16"/>
        <v/>
      </c>
      <c r="H188" s="340" t="str">
        <f t="shared" si="17"/>
        <v/>
      </c>
      <c r="I188" s="57"/>
    </row>
    <row r="189" spans="2:9" ht="20.100000000000001" customHeight="1" x14ac:dyDescent="0.3">
      <c r="B189" s="344">
        <v>181</v>
      </c>
      <c r="C189" s="342" t="str">
        <f t="shared" si="14"/>
        <v/>
      </c>
      <c r="D189" s="341" t="str">
        <f t="shared" si="12"/>
        <v/>
      </c>
      <c r="E189" s="328" t="str">
        <f t="shared" si="15"/>
        <v/>
      </c>
      <c r="F189" s="339" t="str">
        <f t="shared" si="13"/>
        <v/>
      </c>
      <c r="G189" s="328" t="str">
        <f t="shared" si="16"/>
        <v/>
      </c>
      <c r="H189" s="340" t="str">
        <f t="shared" si="17"/>
        <v/>
      </c>
      <c r="I189" s="57"/>
    </row>
    <row r="190" spans="2:9" ht="20.100000000000001" customHeight="1" x14ac:dyDescent="0.3">
      <c r="B190" s="344">
        <v>182</v>
      </c>
      <c r="C190" s="342" t="str">
        <f t="shared" si="14"/>
        <v/>
      </c>
      <c r="D190" s="341" t="str">
        <f t="shared" si="12"/>
        <v/>
      </c>
      <c r="E190" s="328" t="str">
        <f t="shared" si="15"/>
        <v/>
      </c>
      <c r="F190" s="339" t="str">
        <f t="shared" si="13"/>
        <v/>
      </c>
      <c r="G190" s="328" t="str">
        <f t="shared" si="16"/>
        <v/>
      </c>
      <c r="H190" s="340" t="str">
        <f t="shared" si="17"/>
        <v/>
      </c>
      <c r="I190" s="57"/>
    </row>
    <row r="191" spans="2:9" ht="20.100000000000001" customHeight="1" x14ac:dyDescent="0.3">
      <c r="B191" s="344">
        <v>183</v>
      </c>
      <c r="C191" s="342" t="str">
        <f t="shared" si="14"/>
        <v/>
      </c>
      <c r="D191" s="341" t="str">
        <f t="shared" si="12"/>
        <v/>
      </c>
      <c r="E191" s="328" t="str">
        <f t="shared" si="15"/>
        <v/>
      </c>
      <c r="F191" s="339" t="str">
        <f t="shared" si="13"/>
        <v/>
      </c>
      <c r="G191" s="328" t="str">
        <f t="shared" si="16"/>
        <v/>
      </c>
      <c r="H191" s="340" t="str">
        <f t="shared" si="17"/>
        <v/>
      </c>
      <c r="I191" s="57"/>
    </row>
    <row r="192" spans="2:9" ht="20.100000000000001" customHeight="1" x14ac:dyDescent="0.3">
      <c r="B192" s="344">
        <v>184</v>
      </c>
      <c r="C192" s="342" t="str">
        <f t="shared" si="14"/>
        <v/>
      </c>
      <c r="D192" s="341" t="str">
        <f t="shared" si="12"/>
        <v/>
      </c>
      <c r="E192" s="328" t="str">
        <f t="shared" si="15"/>
        <v/>
      </c>
      <c r="F192" s="339" t="str">
        <f t="shared" si="13"/>
        <v/>
      </c>
      <c r="G192" s="328" t="str">
        <f t="shared" si="16"/>
        <v/>
      </c>
      <c r="H192" s="340" t="str">
        <f t="shared" si="17"/>
        <v/>
      </c>
      <c r="I192" s="57"/>
    </row>
    <row r="193" spans="2:9" ht="20.100000000000001" customHeight="1" x14ac:dyDescent="0.3">
      <c r="B193" s="344">
        <v>185</v>
      </c>
      <c r="C193" s="342" t="str">
        <f t="shared" si="14"/>
        <v/>
      </c>
      <c r="D193" s="341" t="str">
        <f t="shared" si="12"/>
        <v/>
      </c>
      <c r="E193" s="328" t="str">
        <f t="shared" si="15"/>
        <v/>
      </c>
      <c r="F193" s="339" t="str">
        <f t="shared" si="13"/>
        <v/>
      </c>
      <c r="G193" s="328" t="str">
        <f t="shared" si="16"/>
        <v/>
      </c>
      <c r="H193" s="340" t="str">
        <f t="shared" si="17"/>
        <v/>
      </c>
      <c r="I193" s="57"/>
    </row>
    <row r="194" spans="2:9" ht="20.100000000000001" customHeight="1" x14ac:dyDescent="0.3">
      <c r="B194" s="344">
        <v>186</v>
      </c>
      <c r="C194" s="342" t="str">
        <f t="shared" si="14"/>
        <v/>
      </c>
      <c r="D194" s="341" t="str">
        <f t="shared" si="12"/>
        <v/>
      </c>
      <c r="E194" s="328" t="str">
        <f t="shared" si="15"/>
        <v/>
      </c>
      <c r="F194" s="339" t="str">
        <f t="shared" si="13"/>
        <v/>
      </c>
      <c r="G194" s="328" t="str">
        <f t="shared" si="16"/>
        <v/>
      </c>
      <c r="H194" s="340" t="str">
        <f t="shared" si="17"/>
        <v/>
      </c>
      <c r="I194" s="57"/>
    </row>
    <row r="195" spans="2:9" ht="20.100000000000001" customHeight="1" x14ac:dyDescent="0.3">
      <c r="B195" s="344">
        <v>187</v>
      </c>
      <c r="C195" s="342" t="str">
        <f t="shared" si="14"/>
        <v/>
      </c>
      <c r="D195" s="341" t="str">
        <f t="shared" si="12"/>
        <v/>
      </c>
      <c r="E195" s="328" t="str">
        <f t="shared" si="15"/>
        <v/>
      </c>
      <c r="F195" s="339" t="str">
        <f t="shared" si="13"/>
        <v/>
      </c>
      <c r="G195" s="328" t="str">
        <f t="shared" si="16"/>
        <v/>
      </c>
      <c r="H195" s="340" t="str">
        <f t="shared" si="17"/>
        <v/>
      </c>
      <c r="I195" s="57"/>
    </row>
    <row r="196" spans="2:9" ht="20.100000000000001" customHeight="1" x14ac:dyDescent="0.3">
      <c r="B196" s="344">
        <v>188</v>
      </c>
      <c r="C196" s="342" t="str">
        <f t="shared" si="14"/>
        <v/>
      </c>
      <c r="D196" s="341" t="str">
        <f t="shared" si="12"/>
        <v/>
      </c>
      <c r="E196" s="328" t="str">
        <f t="shared" si="15"/>
        <v/>
      </c>
      <c r="F196" s="339" t="str">
        <f t="shared" si="13"/>
        <v/>
      </c>
      <c r="G196" s="328" t="str">
        <f t="shared" si="16"/>
        <v/>
      </c>
      <c r="H196" s="340" t="str">
        <f t="shared" si="17"/>
        <v/>
      </c>
      <c r="I196" s="57"/>
    </row>
    <row r="197" spans="2:9" ht="20.100000000000001" customHeight="1" x14ac:dyDescent="0.3">
      <c r="B197" s="344">
        <v>189</v>
      </c>
      <c r="C197" s="342" t="str">
        <f t="shared" si="14"/>
        <v/>
      </c>
      <c r="D197" s="341" t="str">
        <f t="shared" si="12"/>
        <v/>
      </c>
      <c r="E197" s="328" t="str">
        <f t="shared" si="15"/>
        <v/>
      </c>
      <c r="F197" s="339" t="str">
        <f t="shared" si="13"/>
        <v/>
      </c>
      <c r="G197" s="328" t="str">
        <f t="shared" si="16"/>
        <v/>
      </c>
      <c r="H197" s="340" t="str">
        <f t="shared" si="17"/>
        <v/>
      </c>
      <c r="I197" s="57"/>
    </row>
    <row r="198" spans="2:9" ht="20.100000000000001" customHeight="1" x14ac:dyDescent="0.3">
      <c r="B198" s="344">
        <v>190</v>
      </c>
      <c r="C198" s="342" t="str">
        <f t="shared" si="14"/>
        <v/>
      </c>
      <c r="D198" s="341" t="str">
        <f t="shared" si="12"/>
        <v/>
      </c>
      <c r="E198" s="328" t="str">
        <f t="shared" si="15"/>
        <v/>
      </c>
      <c r="F198" s="339" t="str">
        <f t="shared" si="13"/>
        <v/>
      </c>
      <c r="G198" s="328" t="str">
        <f t="shared" si="16"/>
        <v/>
      </c>
      <c r="H198" s="340" t="str">
        <f t="shared" si="17"/>
        <v/>
      </c>
      <c r="I198" s="57"/>
    </row>
    <row r="199" spans="2:9" ht="20.100000000000001" customHeight="1" x14ac:dyDescent="0.3">
      <c r="B199" s="344">
        <v>191</v>
      </c>
      <c r="C199" s="342" t="str">
        <f t="shared" si="14"/>
        <v/>
      </c>
      <c r="D199" s="341" t="str">
        <f t="shared" si="12"/>
        <v/>
      </c>
      <c r="E199" s="328" t="str">
        <f t="shared" si="15"/>
        <v/>
      </c>
      <c r="F199" s="339" t="str">
        <f t="shared" si="13"/>
        <v/>
      </c>
      <c r="G199" s="328" t="str">
        <f t="shared" si="16"/>
        <v/>
      </c>
      <c r="H199" s="340" t="str">
        <f t="shared" si="17"/>
        <v/>
      </c>
      <c r="I199" s="57"/>
    </row>
    <row r="200" spans="2:9" ht="20.100000000000001" customHeight="1" x14ac:dyDescent="0.3">
      <c r="B200" s="344">
        <v>192</v>
      </c>
      <c r="C200" s="342" t="str">
        <f t="shared" si="14"/>
        <v/>
      </c>
      <c r="D200" s="341" t="str">
        <f t="shared" si="12"/>
        <v/>
      </c>
      <c r="E200" s="328" t="str">
        <f t="shared" si="15"/>
        <v/>
      </c>
      <c r="F200" s="339" t="str">
        <f t="shared" si="13"/>
        <v/>
      </c>
      <c r="G200" s="328" t="str">
        <f t="shared" si="16"/>
        <v/>
      </c>
      <c r="H200" s="340" t="str">
        <f t="shared" si="17"/>
        <v/>
      </c>
      <c r="I200" s="57"/>
    </row>
    <row r="201" spans="2:9" ht="20.100000000000001" customHeight="1" x14ac:dyDescent="0.3">
      <c r="B201" s="344">
        <v>193</v>
      </c>
      <c r="C201" s="342" t="str">
        <f t="shared" si="14"/>
        <v/>
      </c>
      <c r="D201" s="341" t="str">
        <f t="shared" si="12"/>
        <v/>
      </c>
      <c r="E201" s="328" t="str">
        <f t="shared" si="15"/>
        <v/>
      </c>
      <c r="F201" s="339" t="str">
        <f t="shared" si="13"/>
        <v/>
      </c>
      <c r="G201" s="328" t="str">
        <f t="shared" si="16"/>
        <v/>
      </c>
      <c r="H201" s="340" t="str">
        <f t="shared" si="17"/>
        <v/>
      </c>
      <c r="I201" s="57"/>
    </row>
    <row r="202" spans="2:9" ht="20.100000000000001" customHeight="1" x14ac:dyDescent="0.3">
      <c r="B202" s="344">
        <v>194</v>
      </c>
      <c r="C202" s="342" t="str">
        <f t="shared" si="14"/>
        <v/>
      </c>
      <c r="D202" s="341" t="str">
        <f t="shared" ref="D202:D265" si="18">IF($H$4="","",IF($F$4="원리금균등상환",IFERROR(IF(B202&lt;=$D$6,0,-PPMT($E$4/12,B202-$D$6,($B$6-$D$6),$D$4)),""),IF($F$4="원금균등상환",IF(B202&lt;($D$6+1),0,IF(B202&gt;$B$6,0,$D$4/($B$6-$D$6))),"")))</f>
        <v/>
      </c>
      <c r="E202" s="328" t="str">
        <f t="shared" si="15"/>
        <v/>
      </c>
      <c r="F202" s="339" t="str">
        <f t="shared" ref="F202:F265" si="19">IF($H$4="","",IF($F$4="원리금균등상환",IFERROR(D202+E202,""),IF($F$4="원금균등상환",D202+E202,"")))</f>
        <v/>
      </c>
      <c r="G202" s="328" t="str">
        <f t="shared" si="16"/>
        <v/>
      </c>
      <c r="H202" s="340" t="str">
        <f t="shared" si="17"/>
        <v/>
      </c>
      <c r="I202" s="57"/>
    </row>
    <row r="203" spans="2:9" ht="20.100000000000001" customHeight="1" x14ac:dyDescent="0.3">
      <c r="B203" s="344">
        <v>195</v>
      </c>
      <c r="C203" s="342" t="str">
        <f t="shared" ref="C203:C266" si="20">IF($H$4="","",IF(B203&gt;($B$6),"",IF(B203&lt;=($B$6),DATE(YEAR($G$4),MONTH($G$4)+B202,DAY($G$4)),"")))</f>
        <v/>
      </c>
      <c r="D203" s="341" t="str">
        <f t="shared" si="18"/>
        <v/>
      </c>
      <c r="E203" s="328" t="str">
        <f t="shared" ref="E203:E266" si="21">IF($H$4="","",IF($F$4="원리금균등상환",IFERROR(IF(B203&lt;=$D$6,$H202*($E$4/12),-IPMT($E$4/12,B203-$D$6,($B$6-$D$6),$D$4)),""),IF($F$4="원금균등상환",(H202-D203)*$E$4/12,"")))</f>
        <v/>
      </c>
      <c r="F203" s="339" t="str">
        <f t="shared" si="19"/>
        <v/>
      </c>
      <c r="G203" s="328" t="str">
        <f t="shared" ref="G203:G266" si="22">IFERROR(IF(B203&gt;(($D$6+$B$6)*12),"",IF(B203=1,D203,D203+G202)),"")</f>
        <v/>
      </c>
      <c r="H203" s="340" t="str">
        <f t="shared" ref="H203:H266" si="23">IFERROR(IF($H$4="","",H202-D203),"")</f>
        <v/>
      </c>
      <c r="I203" s="57"/>
    </row>
    <row r="204" spans="2:9" ht="20.100000000000001" customHeight="1" x14ac:dyDescent="0.3">
      <c r="B204" s="344">
        <v>196</v>
      </c>
      <c r="C204" s="342" t="str">
        <f t="shared" si="20"/>
        <v/>
      </c>
      <c r="D204" s="341" t="str">
        <f t="shared" si="18"/>
        <v/>
      </c>
      <c r="E204" s="328" t="str">
        <f t="shared" si="21"/>
        <v/>
      </c>
      <c r="F204" s="339" t="str">
        <f t="shared" si="19"/>
        <v/>
      </c>
      <c r="G204" s="328" t="str">
        <f t="shared" si="22"/>
        <v/>
      </c>
      <c r="H204" s="340" t="str">
        <f t="shared" si="23"/>
        <v/>
      </c>
      <c r="I204" s="57"/>
    </row>
    <row r="205" spans="2:9" ht="20.100000000000001" customHeight="1" x14ac:dyDescent="0.3">
      <c r="B205" s="344">
        <v>197</v>
      </c>
      <c r="C205" s="342" t="str">
        <f t="shared" si="20"/>
        <v/>
      </c>
      <c r="D205" s="341" t="str">
        <f t="shared" si="18"/>
        <v/>
      </c>
      <c r="E205" s="328" t="str">
        <f t="shared" si="21"/>
        <v/>
      </c>
      <c r="F205" s="339" t="str">
        <f t="shared" si="19"/>
        <v/>
      </c>
      <c r="G205" s="328" t="str">
        <f t="shared" si="22"/>
        <v/>
      </c>
      <c r="H205" s="340" t="str">
        <f t="shared" si="23"/>
        <v/>
      </c>
      <c r="I205" s="57"/>
    </row>
    <row r="206" spans="2:9" ht="20.100000000000001" customHeight="1" x14ac:dyDescent="0.3">
      <c r="B206" s="344">
        <v>198</v>
      </c>
      <c r="C206" s="342" t="str">
        <f t="shared" si="20"/>
        <v/>
      </c>
      <c r="D206" s="341" t="str">
        <f t="shared" si="18"/>
        <v/>
      </c>
      <c r="E206" s="328" t="str">
        <f t="shared" si="21"/>
        <v/>
      </c>
      <c r="F206" s="339" t="str">
        <f t="shared" si="19"/>
        <v/>
      </c>
      <c r="G206" s="328" t="str">
        <f t="shared" si="22"/>
        <v/>
      </c>
      <c r="H206" s="340" t="str">
        <f t="shared" si="23"/>
        <v/>
      </c>
      <c r="I206" s="57"/>
    </row>
    <row r="207" spans="2:9" ht="20.100000000000001" customHeight="1" x14ac:dyDescent="0.3">
      <c r="B207" s="344">
        <v>199</v>
      </c>
      <c r="C207" s="342" t="str">
        <f t="shared" si="20"/>
        <v/>
      </c>
      <c r="D207" s="341" t="str">
        <f t="shared" si="18"/>
        <v/>
      </c>
      <c r="E207" s="328" t="str">
        <f t="shared" si="21"/>
        <v/>
      </c>
      <c r="F207" s="339" t="str">
        <f t="shared" si="19"/>
        <v/>
      </c>
      <c r="G207" s="328" t="str">
        <f t="shared" si="22"/>
        <v/>
      </c>
      <c r="H207" s="340" t="str">
        <f t="shared" si="23"/>
        <v/>
      </c>
      <c r="I207" s="57"/>
    </row>
    <row r="208" spans="2:9" ht="20.100000000000001" customHeight="1" x14ac:dyDescent="0.3">
      <c r="B208" s="344">
        <v>200</v>
      </c>
      <c r="C208" s="342" t="str">
        <f t="shared" si="20"/>
        <v/>
      </c>
      <c r="D208" s="341" t="str">
        <f t="shared" si="18"/>
        <v/>
      </c>
      <c r="E208" s="328" t="str">
        <f t="shared" si="21"/>
        <v/>
      </c>
      <c r="F208" s="339" t="str">
        <f t="shared" si="19"/>
        <v/>
      </c>
      <c r="G208" s="328" t="str">
        <f t="shared" si="22"/>
        <v/>
      </c>
      <c r="H208" s="340" t="str">
        <f t="shared" si="23"/>
        <v/>
      </c>
      <c r="I208" s="57"/>
    </row>
    <row r="209" spans="2:9" ht="20.100000000000001" customHeight="1" x14ac:dyDescent="0.3">
      <c r="B209" s="344">
        <v>201</v>
      </c>
      <c r="C209" s="342" t="str">
        <f t="shared" si="20"/>
        <v/>
      </c>
      <c r="D209" s="341" t="str">
        <f t="shared" si="18"/>
        <v/>
      </c>
      <c r="E209" s="328" t="str">
        <f t="shared" si="21"/>
        <v/>
      </c>
      <c r="F209" s="339" t="str">
        <f t="shared" si="19"/>
        <v/>
      </c>
      <c r="G209" s="328" t="str">
        <f t="shared" si="22"/>
        <v/>
      </c>
      <c r="H209" s="340" t="str">
        <f t="shared" si="23"/>
        <v/>
      </c>
      <c r="I209" s="57"/>
    </row>
    <row r="210" spans="2:9" ht="20.100000000000001" customHeight="1" x14ac:dyDescent="0.3">
      <c r="B210" s="344">
        <v>202</v>
      </c>
      <c r="C210" s="342" t="str">
        <f t="shared" si="20"/>
        <v/>
      </c>
      <c r="D210" s="341" t="str">
        <f t="shared" si="18"/>
        <v/>
      </c>
      <c r="E210" s="328" t="str">
        <f t="shared" si="21"/>
        <v/>
      </c>
      <c r="F210" s="339" t="str">
        <f t="shared" si="19"/>
        <v/>
      </c>
      <c r="G210" s="328" t="str">
        <f t="shared" si="22"/>
        <v/>
      </c>
      <c r="H210" s="340" t="str">
        <f t="shared" si="23"/>
        <v/>
      </c>
      <c r="I210" s="57"/>
    </row>
    <row r="211" spans="2:9" ht="20.100000000000001" customHeight="1" x14ac:dyDescent="0.3">
      <c r="B211" s="344">
        <v>203</v>
      </c>
      <c r="C211" s="342" t="str">
        <f t="shared" si="20"/>
        <v/>
      </c>
      <c r="D211" s="341" t="str">
        <f t="shared" si="18"/>
        <v/>
      </c>
      <c r="E211" s="328" t="str">
        <f t="shared" si="21"/>
        <v/>
      </c>
      <c r="F211" s="339" t="str">
        <f t="shared" si="19"/>
        <v/>
      </c>
      <c r="G211" s="328" t="str">
        <f t="shared" si="22"/>
        <v/>
      </c>
      <c r="H211" s="340" t="str">
        <f t="shared" si="23"/>
        <v/>
      </c>
      <c r="I211" s="57"/>
    </row>
    <row r="212" spans="2:9" ht="20.100000000000001" customHeight="1" x14ac:dyDescent="0.3">
      <c r="B212" s="344">
        <v>204</v>
      </c>
      <c r="C212" s="342" t="str">
        <f t="shared" si="20"/>
        <v/>
      </c>
      <c r="D212" s="341" t="str">
        <f t="shared" si="18"/>
        <v/>
      </c>
      <c r="E212" s="328" t="str">
        <f t="shared" si="21"/>
        <v/>
      </c>
      <c r="F212" s="339" t="str">
        <f t="shared" si="19"/>
        <v/>
      </c>
      <c r="G212" s="328" t="str">
        <f t="shared" si="22"/>
        <v/>
      </c>
      <c r="H212" s="340" t="str">
        <f t="shared" si="23"/>
        <v/>
      </c>
      <c r="I212" s="57"/>
    </row>
    <row r="213" spans="2:9" ht="20.100000000000001" customHeight="1" x14ac:dyDescent="0.3">
      <c r="B213" s="344">
        <v>205</v>
      </c>
      <c r="C213" s="342" t="str">
        <f t="shared" si="20"/>
        <v/>
      </c>
      <c r="D213" s="341" t="str">
        <f t="shared" si="18"/>
        <v/>
      </c>
      <c r="E213" s="328" t="str">
        <f t="shared" si="21"/>
        <v/>
      </c>
      <c r="F213" s="339" t="str">
        <f t="shared" si="19"/>
        <v/>
      </c>
      <c r="G213" s="328" t="str">
        <f t="shared" si="22"/>
        <v/>
      </c>
      <c r="H213" s="340" t="str">
        <f t="shared" si="23"/>
        <v/>
      </c>
      <c r="I213" s="57"/>
    </row>
    <row r="214" spans="2:9" ht="20.100000000000001" customHeight="1" x14ac:dyDescent="0.3">
      <c r="B214" s="344">
        <v>206</v>
      </c>
      <c r="C214" s="342" t="str">
        <f t="shared" si="20"/>
        <v/>
      </c>
      <c r="D214" s="341" t="str">
        <f t="shared" si="18"/>
        <v/>
      </c>
      <c r="E214" s="328" t="str">
        <f t="shared" si="21"/>
        <v/>
      </c>
      <c r="F214" s="339" t="str">
        <f t="shared" si="19"/>
        <v/>
      </c>
      <c r="G214" s="328" t="str">
        <f t="shared" si="22"/>
        <v/>
      </c>
      <c r="H214" s="340" t="str">
        <f t="shared" si="23"/>
        <v/>
      </c>
      <c r="I214" s="57"/>
    </row>
    <row r="215" spans="2:9" ht="20.100000000000001" customHeight="1" x14ac:dyDescent="0.3">
      <c r="B215" s="344">
        <v>207</v>
      </c>
      <c r="C215" s="342" t="str">
        <f t="shared" si="20"/>
        <v/>
      </c>
      <c r="D215" s="341" t="str">
        <f t="shared" si="18"/>
        <v/>
      </c>
      <c r="E215" s="328" t="str">
        <f t="shared" si="21"/>
        <v/>
      </c>
      <c r="F215" s="339" t="str">
        <f t="shared" si="19"/>
        <v/>
      </c>
      <c r="G215" s="328" t="str">
        <f t="shared" si="22"/>
        <v/>
      </c>
      <c r="H215" s="340" t="str">
        <f t="shared" si="23"/>
        <v/>
      </c>
      <c r="I215" s="57"/>
    </row>
    <row r="216" spans="2:9" ht="20.100000000000001" customHeight="1" x14ac:dyDescent="0.3">
      <c r="B216" s="344">
        <v>208</v>
      </c>
      <c r="C216" s="342" t="str">
        <f t="shared" si="20"/>
        <v/>
      </c>
      <c r="D216" s="341" t="str">
        <f t="shared" si="18"/>
        <v/>
      </c>
      <c r="E216" s="328" t="str">
        <f t="shared" si="21"/>
        <v/>
      </c>
      <c r="F216" s="339" t="str">
        <f t="shared" si="19"/>
        <v/>
      </c>
      <c r="G216" s="328" t="str">
        <f t="shared" si="22"/>
        <v/>
      </c>
      <c r="H216" s="340" t="str">
        <f t="shared" si="23"/>
        <v/>
      </c>
      <c r="I216" s="57"/>
    </row>
    <row r="217" spans="2:9" ht="20.100000000000001" customHeight="1" x14ac:dyDescent="0.3">
      <c r="B217" s="344">
        <v>209</v>
      </c>
      <c r="C217" s="342" t="str">
        <f t="shared" si="20"/>
        <v/>
      </c>
      <c r="D217" s="341" t="str">
        <f t="shared" si="18"/>
        <v/>
      </c>
      <c r="E217" s="328" t="str">
        <f t="shared" si="21"/>
        <v/>
      </c>
      <c r="F217" s="339" t="str">
        <f t="shared" si="19"/>
        <v/>
      </c>
      <c r="G217" s="328" t="str">
        <f t="shared" si="22"/>
        <v/>
      </c>
      <c r="H217" s="340" t="str">
        <f t="shared" si="23"/>
        <v/>
      </c>
      <c r="I217" s="57"/>
    </row>
    <row r="218" spans="2:9" ht="20.100000000000001" customHeight="1" x14ac:dyDescent="0.3">
      <c r="B218" s="344">
        <v>210</v>
      </c>
      <c r="C218" s="342" t="str">
        <f t="shared" si="20"/>
        <v/>
      </c>
      <c r="D218" s="341" t="str">
        <f t="shared" si="18"/>
        <v/>
      </c>
      <c r="E218" s="328" t="str">
        <f t="shared" si="21"/>
        <v/>
      </c>
      <c r="F218" s="339" t="str">
        <f t="shared" si="19"/>
        <v/>
      </c>
      <c r="G218" s="328" t="str">
        <f t="shared" si="22"/>
        <v/>
      </c>
      <c r="H218" s="340" t="str">
        <f t="shared" si="23"/>
        <v/>
      </c>
      <c r="I218" s="57"/>
    </row>
    <row r="219" spans="2:9" ht="20.100000000000001" customHeight="1" x14ac:dyDescent="0.3">
      <c r="B219" s="344">
        <v>211</v>
      </c>
      <c r="C219" s="342" t="str">
        <f t="shared" si="20"/>
        <v/>
      </c>
      <c r="D219" s="341" t="str">
        <f t="shared" si="18"/>
        <v/>
      </c>
      <c r="E219" s="328" t="str">
        <f t="shared" si="21"/>
        <v/>
      </c>
      <c r="F219" s="339" t="str">
        <f t="shared" si="19"/>
        <v/>
      </c>
      <c r="G219" s="328" t="str">
        <f t="shared" si="22"/>
        <v/>
      </c>
      <c r="H219" s="340" t="str">
        <f t="shared" si="23"/>
        <v/>
      </c>
      <c r="I219" s="57"/>
    </row>
    <row r="220" spans="2:9" ht="20.100000000000001" customHeight="1" x14ac:dyDescent="0.3">
      <c r="B220" s="344">
        <v>212</v>
      </c>
      <c r="C220" s="342" t="str">
        <f t="shared" si="20"/>
        <v/>
      </c>
      <c r="D220" s="341" t="str">
        <f t="shared" si="18"/>
        <v/>
      </c>
      <c r="E220" s="328" t="str">
        <f t="shared" si="21"/>
        <v/>
      </c>
      <c r="F220" s="339" t="str">
        <f t="shared" si="19"/>
        <v/>
      </c>
      <c r="G220" s="328" t="str">
        <f t="shared" si="22"/>
        <v/>
      </c>
      <c r="H220" s="340" t="str">
        <f t="shared" si="23"/>
        <v/>
      </c>
      <c r="I220" s="57"/>
    </row>
    <row r="221" spans="2:9" ht="20.100000000000001" customHeight="1" x14ac:dyDescent="0.3">
      <c r="B221" s="344">
        <v>213</v>
      </c>
      <c r="C221" s="342" t="str">
        <f t="shared" si="20"/>
        <v/>
      </c>
      <c r="D221" s="341" t="str">
        <f t="shared" si="18"/>
        <v/>
      </c>
      <c r="E221" s="328" t="str">
        <f t="shared" si="21"/>
        <v/>
      </c>
      <c r="F221" s="339" t="str">
        <f t="shared" si="19"/>
        <v/>
      </c>
      <c r="G221" s="328" t="str">
        <f t="shared" si="22"/>
        <v/>
      </c>
      <c r="H221" s="340" t="str">
        <f t="shared" si="23"/>
        <v/>
      </c>
      <c r="I221" s="57"/>
    </row>
    <row r="222" spans="2:9" ht="20.100000000000001" customHeight="1" x14ac:dyDescent="0.3">
      <c r="B222" s="344">
        <v>214</v>
      </c>
      <c r="C222" s="342" t="str">
        <f t="shared" si="20"/>
        <v/>
      </c>
      <c r="D222" s="341" t="str">
        <f t="shared" si="18"/>
        <v/>
      </c>
      <c r="E222" s="328" t="str">
        <f t="shared" si="21"/>
        <v/>
      </c>
      <c r="F222" s="339" t="str">
        <f t="shared" si="19"/>
        <v/>
      </c>
      <c r="G222" s="328" t="str">
        <f t="shared" si="22"/>
        <v/>
      </c>
      <c r="H222" s="340" t="str">
        <f t="shared" si="23"/>
        <v/>
      </c>
      <c r="I222" s="57"/>
    </row>
    <row r="223" spans="2:9" ht="20.100000000000001" customHeight="1" x14ac:dyDescent="0.3">
      <c r="B223" s="344">
        <v>215</v>
      </c>
      <c r="C223" s="342" t="str">
        <f t="shared" si="20"/>
        <v/>
      </c>
      <c r="D223" s="341" t="str">
        <f t="shared" si="18"/>
        <v/>
      </c>
      <c r="E223" s="328" t="str">
        <f t="shared" si="21"/>
        <v/>
      </c>
      <c r="F223" s="339" t="str">
        <f t="shared" si="19"/>
        <v/>
      </c>
      <c r="G223" s="328" t="str">
        <f t="shared" si="22"/>
        <v/>
      </c>
      <c r="H223" s="340" t="str">
        <f t="shared" si="23"/>
        <v/>
      </c>
      <c r="I223" s="57"/>
    </row>
    <row r="224" spans="2:9" ht="20.100000000000001" customHeight="1" x14ac:dyDescent="0.3">
      <c r="B224" s="344">
        <v>216</v>
      </c>
      <c r="C224" s="342" t="str">
        <f t="shared" si="20"/>
        <v/>
      </c>
      <c r="D224" s="341" t="str">
        <f t="shared" si="18"/>
        <v/>
      </c>
      <c r="E224" s="328" t="str">
        <f t="shared" si="21"/>
        <v/>
      </c>
      <c r="F224" s="339" t="str">
        <f t="shared" si="19"/>
        <v/>
      </c>
      <c r="G224" s="328" t="str">
        <f t="shared" si="22"/>
        <v/>
      </c>
      <c r="H224" s="340" t="str">
        <f t="shared" si="23"/>
        <v/>
      </c>
      <c r="I224" s="57"/>
    </row>
    <row r="225" spans="2:9" ht="20.100000000000001" customHeight="1" x14ac:dyDescent="0.3">
      <c r="B225" s="344">
        <v>217</v>
      </c>
      <c r="C225" s="342" t="str">
        <f t="shared" si="20"/>
        <v/>
      </c>
      <c r="D225" s="341" t="str">
        <f t="shared" si="18"/>
        <v/>
      </c>
      <c r="E225" s="328" t="str">
        <f t="shared" si="21"/>
        <v/>
      </c>
      <c r="F225" s="339" t="str">
        <f t="shared" si="19"/>
        <v/>
      </c>
      <c r="G225" s="328" t="str">
        <f t="shared" si="22"/>
        <v/>
      </c>
      <c r="H225" s="340" t="str">
        <f t="shared" si="23"/>
        <v/>
      </c>
      <c r="I225" s="57"/>
    </row>
    <row r="226" spans="2:9" ht="20.100000000000001" customHeight="1" x14ac:dyDescent="0.3">
      <c r="B226" s="344">
        <v>218</v>
      </c>
      <c r="C226" s="342" t="str">
        <f t="shared" si="20"/>
        <v/>
      </c>
      <c r="D226" s="341" t="str">
        <f t="shared" si="18"/>
        <v/>
      </c>
      <c r="E226" s="328" t="str">
        <f t="shared" si="21"/>
        <v/>
      </c>
      <c r="F226" s="339" t="str">
        <f t="shared" si="19"/>
        <v/>
      </c>
      <c r="G226" s="328" t="str">
        <f t="shared" si="22"/>
        <v/>
      </c>
      <c r="H226" s="340" t="str">
        <f t="shared" si="23"/>
        <v/>
      </c>
      <c r="I226" s="57"/>
    </row>
    <row r="227" spans="2:9" ht="20.100000000000001" customHeight="1" x14ac:dyDescent="0.3">
      <c r="B227" s="344">
        <v>219</v>
      </c>
      <c r="C227" s="342" t="str">
        <f t="shared" si="20"/>
        <v/>
      </c>
      <c r="D227" s="341" t="str">
        <f t="shared" si="18"/>
        <v/>
      </c>
      <c r="E227" s="328" t="str">
        <f t="shared" si="21"/>
        <v/>
      </c>
      <c r="F227" s="339" t="str">
        <f t="shared" si="19"/>
        <v/>
      </c>
      <c r="G227" s="328" t="str">
        <f t="shared" si="22"/>
        <v/>
      </c>
      <c r="H227" s="340" t="str">
        <f t="shared" si="23"/>
        <v/>
      </c>
      <c r="I227" s="57"/>
    </row>
    <row r="228" spans="2:9" ht="20.100000000000001" customHeight="1" x14ac:dyDescent="0.3">
      <c r="B228" s="344">
        <v>220</v>
      </c>
      <c r="C228" s="342" t="str">
        <f t="shared" si="20"/>
        <v/>
      </c>
      <c r="D228" s="341" t="str">
        <f t="shared" si="18"/>
        <v/>
      </c>
      <c r="E228" s="328" t="str">
        <f t="shared" si="21"/>
        <v/>
      </c>
      <c r="F228" s="339" t="str">
        <f t="shared" si="19"/>
        <v/>
      </c>
      <c r="G228" s="328" t="str">
        <f t="shared" si="22"/>
        <v/>
      </c>
      <c r="H228" s="340" t="str">
        <f t="shared" si="23"/>
        <v/>
      </c>
      <c r="I228" s="57"/>
    </row>
    <row r="229" spans="2:9" ht="20.100000000000001" customHeight="1" x14ac:dyDescent="0.3">
      <c r="B229" s="344">
        <v>221</v>
      </c>
      <c r="C229" s="342" t="str">
        <f t="shared" si="20"/>
        <v/>
      </c>
      <c r="D229" s="341" t="str">
        <f t="shared" si="18"/>
        <v/>
      </c>
      <c r="E229" s="328" t="str">
        <f t="shared" si="21"/>
        <v/>
      </c>
      <c r="F229" s="339" t="str">
        <f t="shared" si="19"/>
        <v/>
      </c>
      <c r="G229" s="328" t="str">
        <f t="shared" si="22"/>
        <v/>
      </c>
      <c r="H229" s="340" t="str">
        <f t="shared" si="23"/>
        <v/>
      </c>
      <c r="I229" s="57"/>
    </row>
    <row r="230" spans="2:9" ht="20.100000000000001" customHeight="1" x14ac:dyDescent="0.3">
      <c r="B230" s="344">
        <v>222</v>
      </c>
      <c r="C230" s="342" t="str">
        <f t="shared" si="20"/>
        <v/>
      </c>
      <c r="D230" s="341" t="str">
        <f t="shared" si="18"/>
        <v/>
      </c>
      <c r="E230" s="328" t="str">
        <f t="shared" si="21"/>
        <v/>
      </c>
      <c r="F230" s="339" t="str">
        <f t="shared" si="19"/>
        <v/>
      </c>
      <c r="G230" s="328" t="str">
        <f t="shared" si="22"/>
        <v/>
      </c>
      <c r="H230" s="340" t="str">
        <f t="shared" si="23"/>
        <v/>
      </c>
      <c r="I230" s="57"/>
    </row>
    <row r="231" spans="2:9" ht="20.100000000000001" customHeight="1" x14ac:dyDescent="0.3">
      <c r="B231" s="344">
        <v>223</v>
      </c>
      <c r="C231" s="342" t="str">
        <f t="shared" si="20"/>
        <v/>
      </c>
      <c r="D231" s="341" t="str">
        <f t="shared" si="18"/>
        <v/>
      </c>
      <c r="E231" s="328" t="str">
        <f t="shared" si="21"/>
        <v/>
      </c>
      <c r="F231" s="339" t="str">
        <f t="shared" si="19"/>
        <v/>
      </c>
      <c r="G231" s="328" t="str">
        <f t="shared" si="22"/>
        <v/>
      </c>
      <c r="H231" s="340" t="str">
        <f t="shared" si="23"/>
        <v/>
      </c>
      <c r="I231" s="57"/>
    </row>
    <row r="232" spans="2:9" ht="20.100000000000001" customHeight="1" x14ac:dyDescent="0.3">
      <c r="B232" s="344">
        <v>224</v>
      </c>
      <c r="C232" s="342" t="str">
        <f t="shared" si="20"/>
        <v/>
      </c>
      <c r="D232" s="341" t="str">
        <f t="shared" si="18"/>
        <v/>
      </c>
      <c r="E232" s="328" t="str">
        <f t="shared" si="21"/>
        <v/>
      </c>
      <c r="F232" s="339" t="str">
        <f t="shared" si="19"/>
        <v/>
      </c>
      <c r="G232" s="328" t="str">
        <f t="shared" si="22"/>
        <v/>
      </c>
      <c r="H232" s="340" t="str">
        <f t="shared" si="23"/>
        <v/>
      </c>
      <c r="I232" s="57"/>
    </row>
    <row r="233" spans="2:9" ht="20.100000000000001" customHeight="1" x14ac:dyDescent="0.3">
      <c r="B233" s="344">
        <v>225</v>
      </c>
      <c r="C233" s="342" t="str">
        <f t="shared" si="20"/>
        <v/>
      </c>
      <c r="D233" s="341" t="str">
        <f t="shared" si="18"/>
        <v/>
      </c>
      <c r="E233" s="328" t="str">
        <f t="shared" si="21"/>
        <v/>
      </c>
      <c r="F233" s="339" t="str">
        <f t="shared" si="19"/>
        <v/>
      </c>
      <c r="G233" s="328" t="str">
        <f t="shared" si="22"/>
        <v/>
      </c>
      <c r="H233" s="340" t="str">
        <f t="shared" si="23"/>
        <v/>
      </c>
      <c r="I233" s="57"/>
    </row>
    <row r="234" spans="2:9" ht="20.100000000000001" customHeight="1" x14ac:dyDescent="0.3">
      <c r="B234" s="344">
        <v>226</v>
      </c>
      <c r="C234" s="342" t="str">
        <f t="shared" si="20"/>
        <v/>
      </c>
      <c r="D234" s="341" t="str">
        <f t="shared" si="18"/>
        <v/>
      </c>
      <c r="E234" s="328" t="str">
        <f t="shared" si="21"/>
        <v/>
      </c>
      <c r="F234" s="339" t="str">
        <f t="shared" si="19"/>
        <v/>
      </c>
      <c r="G234" s="328" t="str">
        <f t="shared" si="22"/>
        <v/>
      </c>
      <c r="H234" s="340" t="str">
        <f t="shared" si="23"/>
        <v/>
      </c>
      <c r="I234" s="57"/>
    </row>
    <row r="235" spans="2:9" ht="20.100000000000001" customHeight="1" x14ac:dyDescent="0.3">
      <c r="B235" s="344">
        <v>227</v>
      </c>
      <c r="C235" s="342" t="str">
        <f t="shared" si="20"/>
        <v/>
      </c>
      <c r="D235" s="341" t="str">
        <f t="shared" si="18"/>
        <v/>
      </c>
      <c r="E235" s="328" t="str">
        <f t="shared" si="21"/>
        <v/>
      </c>
      <c r="F235" s="339" t="str">
        <f t="shared" si="19"/>
        <v/>
      </c>
      <c r="G235" s="328" t="str">
        <f t="shared" si="22"/>
        <v/>
      </c>
      <c r="H235" s="340" t="str">
        <f t="shared" si="23"/>
        <v/>
      </c>
      <c r="I235" s="57"/>
    </row>
    <row r="236" spans="2:9" ht="20.100000000000001" customHeight="1" x14ac:dyDescent="0.3">
      <c r="B236" s="344">
        <v>228</v>
      </c>
      <c r="C236" s="342" t="str">
        <f t="shared" si="20"/>
        <v/>
      </c>
      <c r="D236" s="341" t="str">
        <f t="shared" si="18"/>
        <v/>
      </c>
      <c r="E236" s="328" t="str">
        <f t="shared" si="21"/>
        <v/>
      </c>
      <c r="F236" s="339" t="str">
        <f t="shared" si="19"/>
        <v/>
      </c>
      <c r="G236" s="328" t="str">
        <f t="shared" si="22"/>
        <v/>
      </c>
      <c r="H236" s="340" t="str">
        <f t="shared" si="23"/>
        <v/>
      </c>
      <c r="I236" s="57"/>
    </row>
    <row r="237" spans="2:9" ht="20.100000000000001" customHeight="1" x14ac:dyDescent="0.3">
      <c r="B237" s="344">
        <v>229</v>
      </c>
      <c r="C237" s="342" t="str">
        <f t="shared" si="20"/>
        <v/>
      </c>
      <c r="D237" s="341" t="str">
        <f t="shared" si="18"/>
        <v/>
      </c>
      <c r="E237" s="328" t="str">
        <f t="shared" si="21"/>
        <v/>
      </c>
      <c r="F237" s="339" t="str">
        <f t="shared" si="19"/>
        <v/>
      </c>
      <c r="G237" s="328" t="str">
        <f t="shared" si="22"/>
        <v/>
      </c>
      <c r="H237" s="340" t="str">
        <f t="shared" si="23"/>
        <v/>
      </c>
      <c r="I237" s="57"/>
    </row>
    <row r="238" spans="2:9" ht="20.100000000000001" customHeight="1" x14ac:dyDescent="0.3">
      <c r="B238" s="344">
        <v>230</v>
      </c>
      <c r="C238" s="342" t="str">
        <f t="shared" si="20"/>
        <v/>
      </c>
      <c r="D238" s="341" t="str">
        <f t="shared" si="18"/>
        <v/>
      </c>
      <c r="E238" s="328" t="str">
        <f t="shared" si="21"/>
        <v/>
      </c>
      <c r="F238" s="339" t="str">
        <f t="shared" si="19"/>
        <v/>
      </c>
      <c r="G238" s="328" t="str">
        <f t="shared" si="22"/>
        <v/>
      </c>
      <c r="H238" s="340" t="str">
        <f t="shared" si="23"/>
        <v/>
      </c>
      <c r="I238" s="57"/>
    </row>
    <row r="239" spans="2:9" ht="20.100000000000001" customHeight="1" x14ac:dyDescent="0.3">
      <c r="B239" s="344">
        <v>231</v>
      </c>
      <c r="C239" s="342" t="str">
        <f t="shared" si="20"/>
        <v/>
      </c>
      <c r="D239" s="341" t="str">
        <f t="shared" si="18"/>
        <v/>
      </c>
      <c r="E239" s="328" t="str">
        <f t="shared" si="21"/>
        <v/>
      </c>
      <c r="F239" s="339" t="str">
        <f t="shared" si="19"/>
        <v/>
      </c>
      <c r="G239" s="328" t="str">
        <f t="shared" si="22"/>
        <v/>
      </c>
      <c r="H239" s="340" t="str">
        <f t="shared" si="23"/>
        <v/>
      </c>
      <c r="I239" s="57"/>
    </row>
    <row r="240" spans="2:9" ht="20.100000000000001" customHeight="1" x14ac:dyDescent="0.3">
      <c r="B240" s="344">
        <v>232</v>
      </c>
      <c r="C240" s="342" t="str">
        <f t="shared" si="20"/>
        <v/>
      </c>
      <c r="D240" s="341" t="str">
        <f t="shared" si="18"/>
        <v/>
      </c>
      <c r="E240" s="328" t="str">
        <f t="shared" si="21"/>
        <v/>
      </c>
      <c r="F240" s="339" t="str">
        <f t="shared" si="19"/>
        <v/>
      </c>
      <c r="G240" s="328" t="str">
        <f t="shared" si="22"/>
        <v/>
      </c>
      <c r="H240" s="340" t="str">
        <f t="shared" si="23"/>
        <v/>
      </c>
      <c r="I240" s="57"/>
    </row>
    <row r="241" spans="2:9" ht="20.100000000000001" customHeight="1" x14ac:dyDescent="0.3">
      <c r="B241" s="344">
        <v>233</v>
      </c>
      <c r="C241" s="342" t="str">
        <f t="shared" si="20"/>
        <v/>
      </c>
      <c r="D241" s="341" t="str">
        <f t="shared" si="18"/>
        <v/>
      </c>
      <c r="E241" s="328" t="str">
        <f t="shared" si="21"/>
        <v/>
      </c>
      <c r="F241" s="339" t="str">
        <f t="shared" si="19"/>
        <v/>
      </c>
      <c r="G241" s="328" t="str">
        <f t="shared" si="22"/>
        <v/>
      </c>
      <c r="H241" s="340" t="str">
        <f t="shared" si="23"/>
        <v/>
      </c>
      <c r="I241" s="57"/>
    </row>
    <row r="242" spans="2:9" ht="20.100000000000001" customHeight="1" x14ac:dyDescent="0.3">
      <c r="B242" s="344">
        <v>234</v>
      </c>
      <c r="C242" s="342" t="str">
        <f t="shared" si="20"/>
        <v/>
      </c>
      <c r="D242" s="341" t="str">
        <f t="shared" si="18"/>
        <v/>
      </c>
      <c r="E242" s="328" t="str">
        <f t="shared" si="21"/>
        <v/>
      </c>
      <c r="F242" s="339" t="str">
        <f t="shared" si="19"/>
        <v/>
      </c>
      <c r="G242" s="328" t="str">
        <f t="shared" si="22"/>
        <v/>
      </c>
      <c r="H242" s="340" t="str">
        <f t="shared" si="23"/>
        <v/>
      </c>
      <c r="I242" s="57"/>
    </row>
    <row r="243" spans="2:9" ht="20.100000000000001" customHeight="1" x14ac:dyDescent="0.3">
      <c r="B243" s="344">
        <v>235</v>
      </c>
      <c r="C243" s="342" t="str">
        <f t="shared" si="20"/>
        <v/>
      </c>
      <c r="D243" s="341" t="str">
        <f t="shared" si="18"/>
        <v/>
      </c>
      <c r="E243" s="328" t="str">
        <f t="shared" si="21"/>
        <v/>
      </c>
      <c r="F243" s="339" t="str">
        <f t="shared" si="19"/>
        <v/>
      </c>
      <c r="G243" s="328" t="str">
        <f t="shared" si="22"/>
        <v/>
      </c>
      <c r="H243" s="340" t="str">
        <f t="shared" si="23"/>
        <v/>
      </c>
      <c r="I243" s="57"/>
    </row>
    <row r="244" spans="2:9" ht="20.100000000000001" customHeight="1" x14ac:dyDescent="0.3">
      <c r="B244" s="344">
        <v>236</v>
      </c>
      <c r="C244" s="342" t="str">
        <f t="shared" si="20"/>
        <v/>
      </c>
      <c r="D244" s="341" t="str">
        <f t="shared" si="18"/>
        <v/>
      </c>
      <c r="E244" s="328" t="str">
        <f t="shared" si="21"/>
        <v/>
      </c>
      <c r="F244" s="339" t="str">
        <f t="shared" si="19"/>
        <v/>
      </c>
      <c r="G244" s="328" t="str">
        <f t="shared" si="22"/>
        <v/>
      </c>
      <c r="H244" s="340" t="str">
        <f t="shared" si="23"/>
        <v/>
      </c>
      <c r="I244" s="57"/>
    </row>
    <row r="245" spans="2:9" ht="20.100000000000001" customHeight="1" x14ac:dyDescent="0.3">
      <c r="B245" s="344">
        <v>237</v>
      </c>
      <c r="C245" s="342" t="str">
        <f t="shared" si="20"/>
        <v/>
      </c>
      <c r="D245" s="341" t="str">
        <f t="shared" si="18"/>
        <v/>
      </c>
      <c r="E245" s="328" t="str">
        <f t="shared" si="21"/>
        <v/>
      </c>
      <c r="F245" s="339" t="str">
        <f t="shared" si="19"/>
        <v/>
      </c>
      <c r="G245" s="328" t="str">
        <f t="shared" si="22"/>
        <v/>
      </c>
      <c r="H245" s="340" t="str">
        <f t="shared" si="23"/>
        <v/>
      </c>
      <c r="I245" s="57"/>
    </row>
    <row r="246" spans="2:9" ht="20.100000000000001" customHeight="1" x14ac:dyDescent="0.3">
      <c r="B246" s="344">
        <v>238</v>
      </c>
      <c r="C246" s="342" t="str">
        <f t="shared" si="20"/>
        <v/>
      </c>
      <c r="D246" s="341" t="str">
        <f t="shared" si="18"/>
        <v/>
      </c>
      <c r="E246" s="328" t="str">
        <f t="shared" si="21"/>
        <v/>
      </c>
      <c r="F246" s="339" t="str">
        <f t="shared" si="19"/>
        <v/>
      </c>
      <c r="G246" s="328" t="str">
        <f t="shared" si="22"/>
        <v/>
      </c>
      <c r="H246" s="340" t="str">
        <f t="shared" si="23"/>
        <v/>
      </c>
      <c r="I246" s="57"/>
    </row>
    <row r="247" spans="2:9" ht="20.100000000000001" customHeight="1" x14ac:dyDescent="0.3">
      <c r="B247" s="344">
        <v>239</v>
      </c>
      <c r="C247" s="342" t="str">
        <f t="shared" si="20"/>
        <v/>
      </c>
      <c r="D247" s="341" t="str">
        <f t="shared" si="18"/>
        <v/>
      </c>
      <c r="E247" s="328" t="str">
        <f t="shared" si="21"/>
        <v/>
      </c>
      <c r="F247" s="339" t="str">
        <f t="shared" si="19"/>
        <v/>
      </c>
      <c r="G247" s="328" t="str">
        <f t="shared" si="22"/>
        <v/>
      </c>
      <c r="H247" s="340" t="str">
        <f t="shared" si="23"/>
        <v/>
      </c>
      <c r="I247" s="57"/>
    </row>
    <row r="248" spans="2:9" ht="20.100000000000001" customHeight="1" x14ac:dyDescent="0.3">
      <c r="B248" s="344">
        <v>240</v>
      </c>
      <c r="C248" s="342" t="str">
        <f t="shared" si="20"/>
        <v/>
      </c>
      <c r="D248" s="341" t="str">
        <f t="shared" si="18"/>
        <v/>
      </c>
      <c r="E248" s="328" t="str">
        <f t="shared" si="21"/>
        <v/>
      </c>
      <c r="F248" s="339" t="str">
        <f t="shared" si="19"/>
        <v/>
      </c>
      <c r="G248" s="328" t="str">
        <f t="shared" si="22"/>
        <v/>
      </c>
      <c r="H248" s="340" t="str">
        <f t="shared" si="23"/>
        <v/>
      </c>
      <c r="I248" s="57"/>
    </row>
    <row r="249" spans="2:9" ht="20.100000000000001" customHeight="1" x14ac:dyDescent="0.3">
      <c r="B249" s="344">
        <v>241</v>
      </c>
      <c r="C249" s="342" t="str">
        <f t="shared" si="20"/>
        <v/>
      </c>
      <c r="D249" s="341" t="str">
        <f t="shared" si="18"/>
        <v/>
      </c>
      <c r="E249" s="328" t="str">
        <f t="shared" si="21"/>
        <v/>
      </c>
      <c r="F249" s="339" t="str">
        <f t="shared" si="19"/>
        <v/>
      </c>
      <c r="G249" s="328" t="str">
        <f t="shared" si="22"/>
        <v/>
      </c>
      <c r="H249" s="340" t="str">
        <f t="shared" si="23"/>
        <v/>
      </c>
      <c r="I249" s="57"/>
    </row>
    <row r="250" spans="2:9" ht="20.100000000000001" customHeight="1" x14ac:dyDescent="0.3">
      <c r="B250" s="344">
        <v>242</v>
      </c>
      <c r="C250" s="342" t="str">
        <f t="shared" si="20"/>
        <v/>
      </c>
      <c r="D250" s="341" t="str">
        <f t="shared" si="18"/>
        <v/>
      </c>
      <c r="E250" s="328" t="str">
        <f t="shared" si="21"/>
        <v/>
      </c>
      <c r="F250" s="339" t="str">
        <f t="shared" si="19"/>
        <v/>
      </c>
      <c r="G250" s="328" t="str">
        <f t="shared" si="22"/>
        <v/>
      </c>
      <c r="H250" s="340" t="str">
        <f t="shared" si="23"/>
        <v/>
      </c>
      <c r="I250" s="57"/>
    </row>
    <row r="251" spans="2:9" ht="20.100000000000001" customHeight="1" x14ac:dyDescent="0.3">
      <c r="B251" s="344">
        <v>243</v>
      </c>
      <c r="C251" s="342" t="str">
        <f t="shared" si="20"/>
        <v/>
      </c>
      <c r="D251" s="341" t="str">
        <f t="shared" si="18"/>
        <v/>
      </c>
      <c r="E251" s="328" t="str">
        <f t="shared" si="21"/>
        <v/>
      </c>
      <c r="F251" s="339" t="str">
        <f t="shared" si="19"/>
        <v/>
      </c>
      <c r="G251" s="328" t="str">
        <f t="shared" si="22"/>
        <v/>
      </c>
      <c r="H251" s="340" t="str">
        <f t="shared" si="23"/>
        <v/>
      </c>
      <c r="I251" s="57"/>
    </row>
    <row r="252" spans="2:9" ht="20.100000000000001" customHeight="1" x14ac:dyDescent="0.3">
      <c r="B252" s="344">
        <v>244</v>
      </c>
      <c r="C252" s="342" t="str">
        <f t="shared" si="20"/>
        <v/>
      </c>
      <c r="D252" s="341" t="str">
        <f t="shared" si="18"/>
        <v/>
      </c>
      <c r="E252" s="328" t="str">
        <f t="shared" si="21"/>
        <v/>
      </c>
      <c r="F252" s="339" t="str">
        <f t="shared" si="19"/>
        <v/>
      </c>
      <c r="G252" s="328" t="str">
        <f t="shared" si="22"/>
        <v/>
      </c>
      <c r="H252" s="340" t="str">
        <f t="shared" si="23"/>
        <v/>
      </c>
      <c r="I252" s="57"/>
    </row>
    <row r="253" spans="2:9" ht="20.100000000000001" customHeight="1" x14ac:dyDescent="0.3">
      <c r="B253" s="344">
        <v>245</v>
      </c>
      <c r="C253" s="342" t="str">
        <f t="shared" si="20"/>
        <v/>
      </c>
      <c r="D253" s="341" t="str">
        <f t="shared" si="18"/>
        <v/>
      </c>
      <c r="E253" s="328" t="str">
        <f t="shared" si="21"/>
        <v/>
      </c>
      <c r="F253" s="339" t="str">
        <f t="shared" si="19"/>
        <v/>
      </c>
      <c r="G253" s="328" t="str">
        <f t="shared" si="22"/>
        <v/>
      </c>
      <c r="H253" s="340" t="str">
        <f t="shared" si="23"/>
        <v/>
      </c>
      <c r="I253" s="57"/>
    </row>
    <row r="254" spans="2:9" ht="20.100000000000001" customHeight="1" x14ac:dyDescent="0.3">
      <c r="B254" s="344">
        <v>246</v>
      </c>
      <c r="C254" s="342" t="str">
        <f t="shared" si="20"/>
        <v/>
      </c>
      <c r="D254" s="341" t="str">
        <f t="shared" si="18"/>
        <v/>
      </c>
      <c r="E254" s="328" t="str">
        <f t="shared" si="21"/>
        <v/>
      </c>
      <c r="F254" s="339" t="str">
        <f t="shared" si="19"/>
        <v/>
      </c>
      <c r="G254" s="328" t="str">
        <f t="shared" si="22"/>
        <v/>
      </c>
      <c r="H254" s="340" t="str">
        <f t="shared" si="23"/>
        <v/>
      </c>
      <c r="I254" s="57"/>
    </row>
    <row r="255" spans="2:9" ht="20.100000000000001" customHeight="1" x14ac:dyDescent="0.3">
      <c r="B255" s="344">
        <v>247</v>
      </c>
      <c r="C255" s="342" t="str">
        <f t="shared" si="20"/>
        <v/>
      </c>
      <c r="D255" s="341" t="str">
        <f t="shared" si="18"/>
        <v/>
      </c>
      <c r="E255" s="328" t="str">
        <f t="shared" si="21"/>
        <v/>
      </c>
      <c r="F255" s="339" t="str">
        <f t="shared" si="19"/>
        <v/>
      </c>
      <c r="G255" s="328" t="str">
        <f t="shared" si="22"/>
        <v/>
      </c>
      <c r="H255" s="340" t="str">
        <f t="shared" si="23"/>
        <v/>
      </c>
      <c r="I255" s="57"/>
    </row>
    <row r="256" spans="2:9" ht="20.100000000000001" customHeight="1" x14ac:dyDescent="0.3">
      <c r="B256" s="344">
        <v>248</v>
      </c>
      <c r="C256" s="342" t="str">
        <f t="shared" si="20"/>
        <v/>
      </c>
      <c r="D256" s="341" t="str">
        <f t="shared" si="18"/>
        <v/>
      </c>
      <c r="E256" s="328" t="str">
        <f t="shared" si="21"/>
        <v/>
      </c>
      <c r="F256" s="339" t="str">
        <f t="shared" si="19"/>
        <v/>
      </c>
      <c r="G256" s="328" t="str">
        <f t="shared" si="22"/>
        <v/>
      </c>
      <c r="H256" s="340" t="str">
        <f t="shared" si="23"/>
        <v/>
      </c>
      <c r="I256" s="57"/>
    </row>
    <row r="257" spans="2:9" ht="20.100000000000001" customHeight="1" x14ac:dyDescent="0.3">
      <c r="B257" s="344">
        <v>249</v>
      </c>
      <c r="C257" s="342" t="str">
        <f t="shared" si="20"/>
        <v/>
      </c>
      <c r="D257" s="341" t="str">
        <f t="shared" si="18"/>
        <v/>
      </c>
      <c r="E257" s="328" t="str">
        <f t="shared" si="21"/>
        <v/>
      </c>
      <c r="F257" s="339" t="str">
        <f t="shared" si="19"/>
        <v/>
      </c>
      <c r="G257" s="328" t="str">
        <f t="shared" si="22"/>
        <v/>
      </c>
      <c r="H257" s="340" t="str">
        <f t="shared" si="23"/>
        <v/>
      </c>
      <c r="I257" s="57"/>
    </row>
    <row r="258" spans="2:9" ht="20.100000000000001" customHeight="1" x14ac:dyDescent="0.3">
      <c r="B258" s="344">
        <v>250</v>
      </c>
      <c r="C258" s="342" t="str">
        <f t="shared" si="20"/>
        <v/>
      </c>
      <c r="D258" s="341" t="str">
        <f t="shared" si="18"/>
        <v/>
      </c>
      <c r="E258" s="328" t="str">
        <f t="shared" si="21"/>
        <v/>
      </c>
      <c r="F258" s="339" t="str">
        <f t="shared" si="19"/>
        <v/>
      </c>
      <c r="G258" s="328" t="str">
        <f t="shared" si="22"/>
        <v/>
      </c>
      <c r="H258" s="340" t="str">
        <f t="shared" si="23"/>
        <v/>
      </c>
      <c r="I258" s="57"/>
    </row>
    <row r="259" spans="2:9" ht="20.100000000000001" customHeight="1" x14ac:dyDescent="0.3">
      <c r="B259" s="344">
        <v>251</v>
      </c>
      <c r="C259" s="342" t="str">
        <f t="shared" si="20"/>
        <v/>
      </c>
      <c r="D259" s="341" t="str">
        <f t="shared" si="18"/>
        <v/>
      </c>
      <c r="E259" s="328" t="str">
        <f t="shared" si="21"/>
        <v/>
      </c>
      <c r="F259" s="339" t="str">
        <f t="shared" si="19"/>
        <v/>
      </c>
      <c r="G259" s="328" t="str">
        <f t="shared" si="22"/>
        <v/>
      </c>
      <c r="H259" s="340" t="str">
        <f t="shared" si="23"/>
        <v/>
      </c>
      <c r="I259" s="57"/>
    </row>
    <row r="260" spans="2:9" ht="20.100000000000001" customHeight="1" x14ac:dyDescent="0.3">
      <c r="B260" s="344">
        <v>252</v>
      </c>
      <c r="C260" s="342" t="str">
        <f t="shared" si="20"/>
        <v/>
      </c>
      <c r="D260" s="341" t="str">
        <f t="shared" si="18"/>
        <v/>
      </c>
      <c r="E260" s="328" t="str">
        <f t="shared" si="21"/>
        <v/>
      </c>
      <c r="F260" s="339" t="str">
        <f t="shared" si="19"/>
        <v/>
      </c>
      <c r="G260" s="328" t="str">
        <f t="shared" si="22"/>
        <v/>
      </c>
      <c r="H260" s="340" t="str">
        <f t="shared" si="23"/>
        <v/>
      </c>
      <c r="I260" s="57"/>
    </row>
    <row r="261" spans="2:9" ht="20.100000000000001" customHeight="1" x14ac:dyDescent="0.3">
      <c r="B261" s="344">
        <v>253</v>
      </c>
      <c r="C261" s="342" t="str">
        <f t="shared" si="20"/>
        <v/>
      </c>
      <c r="D261" s="341" t="str">
        <f t="shared" si="18"/>
        <v/>
      </c>
      <c r="E261" s="328" t="str">
        <f t="shared" si="21"/>
        <v/>
      </c>
      <c r="F261" s="339" t="str">
        <f t="shared" si="19"/>
        <v/>
      </c>
      <c r="G261" s="328" t="str">
        <f t="shared" si="22"/>
        <v/>
      </c>
      <c r="H261" s="340" t="str">
        <f t="shared" si="23"/>
        <v/>
      </c>
      <c r="I261" s="57"/>
    </row>
    <row r="262" spans="2:9" ht="20.100000000000001" customHeight="1" x14ac:dyDescent="0.3">
      <c r="B262" s="344">
        <v>254</v>
      </c>
      <c r="C262" s="342" t="str">
        <f t="shared" si="20"/>
        <v/>
      </c>
      <c r="D262" s="341" t="str">
        <f t="shared" si="18"/>
        <v/>
      </c>
      <c r="E262" s="328" t="str">
        <f t="shared" si="21"/>
        <v/>
      </c>
      <c r="F262" s="339" t="str">
        <f t="shared" si="19"/>
        <v/>
      </c>
      <c r="G262" s="328" t="str">
        <f t="shared" si="22"/>
        <v/>
      </c>
      <c r="H262" s="340" t="str">
        <f t="shared" si="23"/>
        <v/>
      </c>
      <c r="I262" s="57"/>
    </row>
    <row r="263" spans="2:9" ht="20.100000000000001" customHeight="1" x14ac:dyDescent="0.3">
      <c r="B263" s="344">
        <v>255</v>
      </c>
      <c r="C263" s="342" t="str">
        <f t="shared" si="20"/>
        <v/>
      </c>
      <c r="D263" s="341" t="str">
        <f t="shared" si="18"/>
        <v/>
      </c>
      <c r="E263" s="328" t="str">
        <f t="shared" si="21"/>
        <v/>
      </c>
      <c r="F263" s="339" t="str">
        <f t="shared" si="19"/>
        <v/>
      </c>
      <c r="G263" s="328" t="str">
        <f t="shared" si="22"/>
        <v/>
      </c>
      <c r="H263" s="340" t="str">
        <f t="shared" si="23"/>
        <v/>
      </c>
      <c r="I263" s="57"/>
    </row>
    <row r="264" spans="2:9" ht="20.100000000000001" customHeight="1" x14ac:dyDescent="0.3">
      <c r="B264" s="344">
        <v>256</v>
      </c>
      <c r="C264" s="342" t="str">
        <f t="shared" si="20"/>
        <v/>
      </c>
      <c r="D264" s="341" t="str">
        <f t="shared" si="18"/>
        <v/>
      </c>
      <c r="E264" s="328" t="str">
        <f t="shared" si="21"/>
        <v/>
      </c>
      <c r="F264" s="339" t="str">
        <f t="shared" si="19"/>
        <v/>
      </c>
      <c r="G264" s="328" t="str">
        <f t="shared" si="22"/>
        <v/>
      </c>
      <c r="H264" s="340" t="str">
        <f t="shared" si="23"/>
        <v/>
      </c>
      <c r="I264" s="57"/>
    </row>
    <row r="265" spans="2:9" ht="20.100000000000001" customHeight="1" x14ac:dyDescent="0.3">
      <c r="B265" s="344">
        <v>257</v>
      </c>
      <c r="C265" s="342" t="str">
        <f t="shared" si="20"/>
        <v/>
      </c>
      <c r="D265" s="341" t="str">
        <f t="shared" si="18"/>
        <v/>
      </c>
      <c r="E265" s="328" t="str">
        <f t="shared" si="21"/>
        <v/>
      </c>
      <c r="F265" s="339" t="str">
        <f t="shared" si="19"/>
        <v/>
      </c>
      <c r="G265" s="328" t="str">
        <f t="shared" si="22"/>
        <v/>
      </c>
      <c r="H265" s="340" t="str">
        <f t="shared" si="23"/>
        <v/>
      </c>
      <c r="I265" s="57"/>
    </row>
    <row r="266" spans="2:9" ht="20.100000000000001" customHeight="1" x14ac:dyDescent="0.3">
      <c r="B266" s="344">
        <v>258</v>
      </c>
      <c r="C266" s="342" t="str">
        <f t="shared" si="20"/>
        <v/>
      </c>
      <c r="D266" s="341" t="str">
        <f t="shared" ref="D266:D329" si="24">IF($H$4="","",IF($F$4="원리금균등상환",IFERROR(IF(B266&lt;=$D$6,0,-PPMT($E$4/12,B266-$D$6,($B$6-$D$6),$D$4)),""),IF($F$4="원금균등상환",IF(B266&lt;($D$6+1),0,IF(B266&gt;$B$6,0,$D$4/($B$6-$D$6))),"")))</f>
        <v/>
      </c>
      <c r="E266" s="328" t="str">
        <f t="shared" si="21"/>
        <v/>
      </c>
      <c r="F266" s="339" t="str">
        <f t="shared" ref="F266:F329" si="25">IF($H$4="","",IF($F$4="원리금균등상환",IFERROR(D266+E266,""),IF($F$4="원금균등상환",D266+E266,"")))</f>
        <v/>
      </c>
      <c r="G266" s="328" t="str">
        <f t="shared" si="22"/>
        <v/>
      </c>
      <c r="H266" s="340" t="str">
        <f t="shared" si="23"/>
        <v/>
      </c>
      <c r="I266" s="57"/>
    </row>
    <row r="267" spans="2:9" ht="20.100000000000001" customHeight="1" x14ac:dyDescent="0.3">
      <c r="B267" s="344">
        <v>259</v>
      </c>
      <c r="C267" s="342" t="str">
        <f t="shared" ref="C267:C330" si="26">IF($H$4="","",IF(B267&gt;($B$6),"",IF(B267&lt;=($B$6),DATE(YEAR($G$4),MONTH($G$4)+B266,DAY($G$4)),"")))</f>
        <v/>
      </c>
      <c r="D267" s="341" t="str">
        <f t="shared" si="24"/>
        <v/>
      </c>
      <c r="E267" s="328" t="str">
        <f t="shared" ref="E267:E330" si="27">IF($H$4="","",IF($F$4="원리금균등상환",IFERROR(IF(B267&lt;=$D$6,$H266*($E$4/12),-IPMT($E$4/12,B267-$D$6,($B$6-$D$6),$D$4)),""),IF($F$4="원금균등상환",(H266-D267)*$E$4/12,"")))</f>
        <v/>
      </c>
      <c r="F267" s="339" t="str">
        <f t="shared" si="25"/>
        <v/>
      </c>
      <c r="G267" s="328" t="str">
        <f t="shared" ref="G267:G330" si="28">IFERROR(IF(B267&gt;(($D$6+$B$6)*12),"",IF(B267=1,D267,D267+G266)),"")</f>
        <v/>
      </c>
      <c r="H267" s="340" t="str">
        <f t="shared" ref="H267:H330" si="29">IFERROR(IF($H$4="","",H266-D267),"")</f>
        <v/>
      </c>
      <c r="I267" s="57"/>
    </row>
    <row r="268" spans="2:9" ht="20.100000000000001" customHeight="1" x14ac:dyDescent="0.3">
      <c r="B268" s="344">
        <v>260</v>
      </c>
      <c r="C268" s="342" t="str">
        <f t="shared" si="26"/>
        <v/>
      </c>
      <c r="D268" s="341" t="str">
        <f t="shared" si="24"/>
        <v/>
      </c>
      <c r="E268" s="328" t="str">
        <f t="shared" si="27"/>
        <v/>
      </c>
      <c r="F268" s="339" t="str">
        <f t="shared" si="25"/>
        <v/>
      </c>
      <c r="G268" s="328" t="str">
        <f t="shared" si="28"/>
        <v/>
      </c>
      <c r="H268" s="340" t="str">
        <f t="shared" si="29"/>
        <v/>
      </c>
      <c r="I268" s="57"/>
    </row>
    <row r="269" spans="2:9" ht="20.100000000000001" customHeight="1" x14ac:dyDescent="0.3">
      <c r="B269" s="344">
        <v>261</v>
      </c>
      <c r="C269" s="342" t="str">
        <f t="shared" si="26"/>
        <v/>
      </c>
      <c r="D269" s="341" t="str">
        <f t="shared" si="24"/>
        <v/>
      </c>
      <c r="E269" s="328" t="str">
        <f t="shared" si="27"/>
        <v/>
      </c>
      <c r="F269" s="339" t="str">
        <f t="shared" si="25"/>
        <v/>
      </c>
      <c r="G269" s="328" t="str">
        <f t="shared" si="28"/>
        <v/>
      </c>
      <c r="H269" s="340" t="str">
        <f t="shared" si="29"/>
        <v/>
      </c>
      <c r="I269" s="57"/>
    </row>
    <row r="270" spans="2:9" ht="20.100000000000001" customHeight="1" x14ac:dyDescent="0.3">
      <c r="B270" s="344">
        <v>262</v>
      </c>
      <c r="C270" s="342" t="str">
        <f t="shared" si="26"/>
        <v/>
      </c>
      <c r="D270" s="341" t="str">
        <f t="shared" si="24"/>
        <v/>
      </c>
      <c r="E270" s="328" t="str">
        <f t="shared" si="27"/>
        <v/>
      </c>
      <c r="F270" s="339" t="str">
        <f t="shared" si="25"/>
        <v/>
      </c>
      <c r="G270" s="328" t="str">
        <f t="shared" si="28"/>
        <v/>
      </c>
      <c r="H270" s="340" t="str">
        <f t="shared" si="29"/>
        <v/>
      </c>
      <c r="I270" s="57"/>
    </row>
    <row r="271" spans="2:9" ht="20.100000000000001" customHeight="1" x14ac:dyDescent="0.3">
      <c r="B271" s="344">
        <v>263</v>
      </c>
      <c r="C271" s="342" t="str">
        <f t="shared" si="26"/>
        <v/>
      </c>
      <c r="D271" s="341" t="str">
        <f t="shared" si="24"/>
        <v/>
      </c>
      <c r="E271" s="328" t="str">
        <f t="shared" si="27"/>
        <v/>
      </c>
      <c r="F271" s="339" t="str">
        <f t="shared" si="25"/>
        <v/>
      </c>
      <c r="G271" s="328" t="str">
        <f t="shared" si="28"/>
        <v/>
      </c>
      <c r="H271" s="340" t="str">
        <f t="shared" si="29"/>
        <v/>
      </c>
      <c r="I271" s="57"/>
    </row>
    <row r="272" spans="2:9" ht="20.100000000000001" customHeight="1" x14ac:dyDescent="0.3">
      <c r="B272" s="344">
        <v>264</v>
      </c>
      <c r="C272" s="342" t="str">
        <f t="shared" si="26"/>
        <v/>
      </c>
      <c r="D272" s="341" t="str">
        <f t="shared" si="24"/>
        <v/>
      </c>
      <c r="E272" s="328" t="str">
        <f t="shared" si="27"/>
        <v/>
      </c>
      <c r="F272" s="339" t="str">
        <f t="shared" si="25"/>
        <v/>
      </c>
      <c r="G272" s="328" t="str">
        <f t="shared" si="28"/>
        <v/>
      </c>
      <c r="H272" s="340" t="str">
        <f t="shared" si="29"/>
        <v/>
      </c>
      <c r="I272" s="57"/>
    </row>
    <row r="273" spans="2:9" ht="20.100000000000001" customHeight="1" x14ac:dyDescent="0.3">
      <c r="B273" s="344">
        <v>265</v>
      </c>
      <c r="C273" s="342" t="str">
        <f t="shared" si="26"/>
        <v/>
      </c>
      <c r="D273" s="341" t="str">
        <f t="shared" si="24"/>
        <v/>
      </c>
      <c r="E273" s="328" t="str">
        <f t="shared" si="27"/>
        <v/>
      </c>
      <c r="F273" s="339" t="str">
        <f t="shared" si="25"/>
        <v/>
      </c>
      <c r="G273" s="328" t="str">
        <f t="shared" si="28"/>
        <v/>
      </c>
      <c r="H273" s="340" t="str">
        <f t="shared" si="29"/>
        <v/>
      </c>
      <c r="I273" s="57"/>
    </row>
    <row r="274" spans="2:9" ht="20.100000000000001" customHeight="1" x14ac:dyDescent="0.3">
      <c r="B274" s="344">
        <v>266</v>
      </c>
      <c r="C274" s="342" t="str">
        <f t="shared" si="26"/>
        <v/>
      </c>
      <c r="D274" s="341" t="str">
        <f t="shared" si="24"/>
        <v/>
      </c>
      <c r="E274" s="328" t="str">
        <f t="shared" si="27"/>
        <v/>
      </c>
      <c r="F274" s="339" t="str">
        <f t="shared" si="25"/>
        <v/>
      </c>
      <c r="G274" s="328" t="str">
        <f t="shared" si="28"/>
        <v/>
      </c>
      <c r="H274" s="340" t="str">
        <f t="shared" si="29"/>
        <v/>
      </c>
      <c r="I274" s="57"/>
    </row>
    <row r="275" spans="2:9" ht="20.100000000000001" customHeight="1" x14ac:dyDescent="0.3">
      <c r="B275" s="344">
        <v>267</v>
      </c>
      <c r="C275" s="342" t="str">
        <f t="shared" si="26"/>
        <v/>
      </c>
      <c r="D275" s="341" t="str">
        <f t="shared" si="24"/>
        <v/>
      </c>
      <c r="E275" s="328" t="str">
        <f t="shared" si="27"/>
        <v/>
      </c>
      <c r="F275" s="339" t="str">
        <f t="shared" si="25"/>
        <v/>
      </c>
      <c r="G275" s="328" t="str">
        <f t="shared" si="28"/>
        <v/>
      </c>
      <c r="H275" s="340" t="str">
        <f t="shared" si="29"/>
        <v/>
      </c>
      <c r="I275" s="57"/>
    </row>
    <row r="276" spans="2:9" ht="20.100000000000001" customHeight="1" x14ac:dyDescent="0.3">
      <c r="B276" s="344">
        <v>268</v>
      </c>
      <c r="C276" s="342" t="str">
        <f t="shared" si="26"/>
        <v/>
      </c>
      <c r="D276" s="341" t="str">
        <f t="shared" si="24"/>
        <v/>
      </c>
      <c r="E276" s="328" t="str">
        <f t="shared" si="27"/>
        <v/>
      </c>
      <c r="F276" s="339" t="str">
        <f t="shared" si="25"/>
        <v/>
      </c>
      <c r="G276" s="328" t="str">
        <f t="shared" si="28"/>
        <v/>
      </c>
      <c r="H276" s="340" t="str">
        <f t="shared" si="29"/>
        <v/>
      </c>
      <c r="I276" s="57"/>
    </row>
    <row r="277" spans="2:9" ht="20.100000000000001" customHeight="1" x14ac:dyDescent="0.3">
      <c r="B277" s="344">
        <v>269</v>
      </c>
      <c r="C277" s="342" t="str">
        <f t="shared" si="26"/>
        <v/>
      </c>
      <c r="D277" s="341" t="str">
        <f t="shared" si="24"/>
        <v/>
      </c>
      <c r="E277" s="328" t="str">
        <f t="shared" si="27"/>
        <v/>
      </c>
      <c r="F277" s="339" t="str">
        <f t="shared" si="25"/>
        <v/>
      </c>
      <c r="G277" s="328" t="str">
        <f t="shared" si="28"/>
        <v/>
      </c>
      <c r="H277" s="340" t="str">
        <f t="shared" si="29"/>
        <v/>
      </c>
      <c r="I277" s="57"/>
    </row>
    <row r="278" spans="2:9" ht="20.100000000000001" customHeight="1" x14ac:dyDescent="0.3">
      <c r="B278" s="344">
        <v>270</v>
      </c>
      <c r="C278" s="342" t="str">
        <f t="shared" si="26"/>
        <v/>
      </c>
      <c r="D278" s="341" t="str">
        <f t="shared" si="24"/>
        <v/>
      </c>
      <c r="E278" s="328" t="str">
        <f t="shared" si="27"/>
        <v/>
      </c>
      <c r="F278" s="339" t="str">
        <f t="shared" si="25"/>
        <v/>
      </c>
      <c r="G278" s="328" t="str">
        <f t="shared" si="28"/>
        <v/>
      </c>
      <c r="H278" s="340" t="str">
        <f t="shared" si="29"/>
        <v/>
      </c>
      <c r="I278" s="57"/>
    </row>
    <row r="279" spans="2:9" ht="20.100000000000001" customHeight="1" x14ac:dyDescent="0.3">
      <c r="B279" s="344">
        <v>271</v>
      </c>
      <c r="C279" s="342" t="str">
        <f t="shared" si="26"/>
        <v/>
      </c>
      <c r="D279" s="341" t="str">
        <f t="shared" si="24"/>
        <v/>
      </c>
      <c r="E279" s="328" t="str">
        <f t="shared" si="27"/>
        <v/>
      </c>
      <c r="F279" s="339" t="str">
        <f t="shared" si="25"/>
        <v/>
      </c>
      <c r="G279" s="328" t="str">
        <f t="shared" si="28"/>
        <v/>
      </c>
      <c r="H279" s="340" t="str">
        <f t="shared" si="29"/>
        <v/>
      </c>
      <c r="I279" s="57"/>
    </row>
    <row r="280" spans="2:9" ht="20.100000000000001" customHeight="1" x14ac:dyDescent="0.3">
      <c r="B280" s="344">
        <v>272</v>
      </c>
      <c r="C280" s="342" t="str">
        <f t="shared" si="26"/>
        <v/>
      </c>
      <c r="D280" s="341" t="str">
        <f t="shared" si="24"/>
        <v/>
      </c>
      <c r="E280" s="328" t="str">
        <f t="shared" si="27"/>
        <v/>
      </c>
      <c r="F280" s="339" t="str">
        <f t="shared" si="25"/>
        <v/>
      </c>
      <c r="G280" s="328" t="str">
        <f t="shared" si="28"/>
        <v/>
      </c>
      <c r="H280" s="340" t="str">
        <f t="shared" si="29"/>
        <v/>
      </c>
      <c r="I280" s="57"/>
    </row>
    <row r="281" spans="2:9" ht="20.100000000000001" customHeight="1" x14ac:dyDescent="0.3">
      <c r="B281" s="344">
        <v>273</v>
      </c>
      <c r="C281" s="342" t="str">
        <f t="shared" si="26"/>
        <v/>
      </c>
      <c r="D281" s="341" t="str">
        <f t="shared" si="24"/>
        <v/>
      </c>
      <c r="E281" s="328" t="str">
        <f t="shared" si="27"/>
        <v/>
      </c>
      <c r="F281" s="339" t="str">
        <f t="shared" si="25"/>
        <v/>
      </c>
      <c r="G281" s="328" t="str">
        <f t="shared" si="28"/>
        <v/>
      </c>
      <c r="H281" s="340" t="str">
        <f t="shared" si="29"/>
        <v/>
      </c>
      <c r="I281" s="57"/>
    </row>
    <row r="282" spans="2:9" ht="20.100000000000001" customHeight="1" x14ac:dyDescent="0.3">
      <c r="B282" s="344">
        <v>274</v>
      </c>
      <c r="C282" s="342" t="str">
        <f t="shared" si="26"/>
        <v/>
      </c>
      <c r="D282" s="341" t="str">
        <f t="shared" si="24"/>
        <v/>
      </c>
      <c r="E282" s="328" t="str">
        <f t="shared" si="27"/>
        <v/>
      </c>
      <c r="F282" s="339" t="str">
        <f t="shared" si="25"/>
        <v/>
      </c>
      <c r="G282" s="328" t="str">
        <f t="shared" si="28"/>
        <v/>
      </c>
      <c r="H282" s="340" t="str">
        <f t="shared" si="29"/>
        <v/>
      </c>
      <c r="I282" s="57"/>
    </row>
    <row r="283" spans="2:9" ht="20.100000000000001" customHeight="1" x14ac:dyDescent="0.3">
      <c r="B283" s="344">
        <v>275</v>
      </c>
      <c r="C283" s="342" t="str">
        <f t="shared" si="26"/>
        <v/>
      </c>
      <c r="D283" s="341" t="str">
        <f t="shared" si="24"/>
        <v/>
      </c>
      <c r="E283" s="328" t="str">
        <f t="shared" si="27"/>
        <v/>
      </c>
      <c r="F283" s="339" t="str">
        <f t="shared" si="25"/>
        <v/>
      </c>
      <c r="G283" s="328" t="str">
        <f t="shared" si="28"/>
        <v/>
      </c>
      <c r="H283" s="340" t="str">
        <f t="shared" si="29"/>
        <v/>
      </c>
      <c r="I283" s="57"/>
    </row>
    <row r="284" spans="2:9" ht="20.100000000000001" customHeight="1" x14ac:dyDescent="0.3">
      <c r="B284" s="344">
        <v>276</v>
      </c>
      <c r="C284" s="342" t="str">
        <f t="shared" si="26"/>
        <v/>
      </c>
      <c r="D284" s="341" t="str">
        <f t="shared" si="24"/>
        <v/>
      </c>
      <c r="E284" s="328" t="str">
        <f t="shared" si="27"/>
        <v/>
      </c>
      <c r="F284" s="339" t="str">
        <f t="shared" si="25"/>
        <v/>
      </c>
      <c r="G284" s="328" t="str">
        <f t="shared" si="28"/>
        <v/>
      </c>
      <c r="H284" s="340" t="str">
        <f t="shared" si="29"/>
        <v/>
      </c>
      <c r="I284" s="57"/>
    </row>
    <row r="285" spans="2:9" ht="20.100000000000001" customHeight="1" x14ac:dyDescent="0.3">
      <c r="B285" s="344">
        <v>277</v>
      </c>
      <c r="C285" s="342" t="str">
        <f t="shared" si="26"/>
        <v/>
      </c>
      <c r="D285" s="341" t="str">
        <f t="shared" si="24"/>
        <v/>
      </c>
      <c r="E285" s="328" t="str">
        <f t="shared" si="27"/>
        <v/>
      </c>
      <c r="F285" s="339" t="str">
        <f t="shared" si="25"/>
        <v/>
      </c>
      <c r="G285" s="328" t="str">
        <f t="shared" si="28"/>
        <v/>
      </c>
      <c r="H285" s="340" t="str">
        <f t="shared" si="29"/>
        <v/>
      </c>
      <c r="I285" s="57"/>
    </row>
    <row r="286" spans="2:9" ht="20.100000000000001" customHeight="1" x14ac:dyDescent="0.3">
      <c r="B286" s="344">
        <v>278</v>
      </c>
      <c r="C286" s="342" t="str">
        <f t="shared" si="26"/>
        <v/>
      </c>
      <c r="D286" s="341" t="str">
        <f t="shared" si="24"/>
        <v/>
      </c>
      <c r="E286" s="328" t="str">
        <f t="shared" si="27"/>
        <v/>
      </c>
      <c r="F286" s="339" t="str">
        <f t="shared" si="25"/>
        <v/>
      </c>
      <c r="G286" s="328" t="str">
        <f t="shared" si="28"/>
        <v/>
      </c>
      <c r="H286" s="340" t="str">
        <f t="shared" si="29"/>
        <v/>
      </c>
      <c r="I286" s="57"/>
    </row>
    <row r="287" spans="2:9" ht="20.100000000000001" customHeight="1" x14ac:dyDescent="0.3">
      <c r="B287" s="344">
        <v>279</v>
      </c>
      <c r="C287" s="342" t="str">
        <f t="shared" si="26"/>
        <v/>
      </c>
      <c r="D287" s="341" t="str">
        <f t="shared" si="24"/>
        <v/>
      </c>
      <c r="E287" s="328" t="str">
        <f t="shared" si="27"/>
        <v/>
      </c>
      <c r="F287" s="339" t="str">
        <f t="shared" si="25"/>
        <v/>
      </c>
      <c r="G287" s="328" t="str">
        <f t="shared" si="28"/>
        <v/>
      </c>
      <c r="H287" s="340" t="str">
        <f t="shared" si="29"/>
        <v/>
      </c>
      <c r="I287" s="57"/>
    </row>
    <row r="288" spans="2:9" ht="20.100000000000001" customHeight="1" x14ac:dyDescent="0.3">
      <c r="B288" s="344">
        <v>280</v>
      </c>
      <c r="C288" s="342" t="str">
        <f t="shared" si="26"/>
        <v/>
      </c>
      <c r="D288" s="341" t="str">
        <f t="shared" si="24"/>
        <v/>
      </c>
      <c r="E288" s="328" t="str">
        <f t="shared" si="27"/>
        <v/>
      </c>
      <c r="F288" s="339" t="str">
        <f t="shared" si="25"/>
        <v/>
      </c>
      <c r="G288" s="328" t="str">
        <f t="shared" si="28"/>
        <v/>
      </c>
      <c r="H288" s="340" t="str">
        <f t="shared" si="29"/>
        <v/>
      </c>
      <c r="I288" s="57"/>
    </row>
    <row r="289" spans="2:9" ht="20.100000000000001" customHeight="1" x14ac:dyDescent="0.3">
      <c r="B289" s="344">
        <v>281</v>
      </c>
      <c r="C289" s="342" t="str">
        <f t="shared" si="26"/>
        <v/>
      </c>
      <c r="D289" s="341" t="str">
        <f t="shared" si="24"/>
        <v/>
      </c>
      <c r="E289" s="328" t="str">
        <f t="shared" si="27"/>
        <v/>
      </c>
      <c r="F289" s="339" t="str">
        <f t="shared" si="25"/>
        <v/>
      </c>
      <c r="G289" s="328" t="str">
        <f t="shared" si="28"/>
        <v/>
      </c>
      <c r="H289" s="340" t="str">
        <f t="shared" si="29"/>
        <v/>
      </c>
      <c r="I289" s="57"/>
    </row>
    <row r="290" spans="2:9" ht="20.100000000000001" customHeight="1" x14ac:dyDescent="0.3">
      <c r="B290" s="344">
        <v>282</v>
      </c>
      <c r="C290" s="342" t="str">
        <f t="shared" si="26"/>
        <v/>
      </c>
      <c r="D290" s="341" t="str">
        <f t="shared" si="24"/>
        <v/>
      </c>
      <c r="E290" s="328" t="str">
        <f t="shared" si="27"/>
        <v/>
      </c>
      <c r="F290" s="339" t="str">
        <f t="shared" si="25"/>
        <v/>
      </c>
      <c r="G290" s="328" t="str">
        <f t="shared" si="28"/>
        <v/>
      </c>
      <c r="H290" s="340" t="str">
        <f t="shared" si="29"/>
        <v/>
      </c>
      <c r="I290" s="57"/>
    </row>
    <row r="291" spans="2:9" ht="20.100000000000001" customHeight="1" x14ac:dyDescent="0.3">
      <c r="B291" s="344">
        <v>283</v>
      </c>
      <c r="C291" s="342" t="str">
        <f t="shared" si="26"/>
        <v/>
      </c>
      <c r="D291" s="341" t="str">
        <f t="shared" si="24"/>
        <v/>
      </c>
      <c r="E291" s="328" t="str">
        <f t="shared" si="27"/>
        <v/>
      </c>
      <c r="F291" s="339" t="str">
        <f t="shared" si="25"/>
        <v/>
      </c>
      <c r="G291" s="328" t="str">
        <f t="shared" si="28"/>
        <v/>
      </c>
      <c r="H291" s="340" t="str">
        <f t="shared" si="29"/>
        <v/>
      </c>
      <c r="I291" s="57"/>
    </row>
    <row r="292" spans="2:9" ht="20.100000000000001" customHeight="1" x14ac:dyDescent="0.3">
      <c r="B292" s="344">
        <v>284</v>
      </c>
      <c r="C292" s="342" t="str">
        <f t="shared" si="26"/>
        <v/>
      </c>
      <c r="D292" s="341" t="str">
        <f t="shared" si="24"/>
        <v/>
      </c>
      <c r="E292" s="328" t="str">
        <f t="shared" si="27"/>
        <v/>
      </c>
      <c r="F292" s="339" t="str">
        <f t="shared" si="25"/>
        <v/>
      </c>
      <c r="G292" s="328" t="str">
        <f t="shared" si="28"/>
        <v/>
      </c>
      <c r="H292" s="340" t="str">
        <f t="shared" si="29"/>
        <v/>
      </c>
      <c r="I292" s="57"/>
    </row>
    <row r="293" spans="2:9" ht="20.100000000000001" customHeight="1" x14ac:dyDescent="0.3">
      <c r="B293" s="344">
        <v>285</v>
      </c>
      <c r="C293" s="342" t="str">
        <f t="shared" si="26"/>
        <v/>
      </c>
      <c r="D293" s="341" t="str">
        <f t="shared" si="24"/>
        <v/>
      </c>
      <c r="E293" s="328" t="str">
        <f t="shared" si="27"/>
        <v/>
      </c>
      <c r="F293" s="339" t="str">
        <f t="shared" si="25"/>
        <v/>
      </c>
      <c r="G293" s="328" t="str">
        <f t="shared" si="28"/>
        <v/>
      </c>
      <c r="H293" s="340" t="str">
        <f t="shared" si="29"/>
        <v/>
      </c>
      <c r="I293" s="57"/>
    </row>
    <row r="294" spans="2:9" ht="20.100000000000001" customHeight="1" x14ac:dyDescent="0.3">
      <c r="B294" s="344">
        <v>286</v>
      </c>
      <c r="C294" s="342" t="str">
        <f t="shared" si="26"/>
        <v/>
      </c>
      <c r="D294" s="341" t="str">
        <f t="shared" si="24"/>
        <v/>
      </c>
      <c r="E294" s="328" t="str">
        <f t="shared" si="27"/>
        <v/>
      </c>
      <c r="F294" s="339" t="str">
        <f t="shared" si="25"/>
        <v/>
      </c>
      <c r="G294" s="328" t="str">
        <f t="shared" si="28"/>
        <v/>
      </c>
      <c r="H294" s="340" t="str">
        <f t="shared" si="29"/>
        <v/>
      </c>
      <c r="I294" s="57"/>
    </row>
    <row r="295" spans="2:9" ht="20.100000000000001" customHeight="1" x14ac:dyDescent="0.3">
      <c r="B295" s="344">
        <v>287</v>
      </c>
      <c r="C295" s="342" t="str">
        <f t="shared" si="26"/>
        <v/>
      </c>
      <c r="D295" s="341" t="str">
        <f t="shared" si="24"/>
        <v/>
      </c>
      <c r="E295" s="328" t="str">
        <f t="shared" si="27"/>
        <v/>
      </c>
      <c r="F295" s="339" t="str">
        <f t="shared" si="25"/>
        <v/>
      </c>
      <c r="G295" s="328" t="str">
        <f t="shared" si="28"/>
        <v/>
      </c>
      <c r="H295" s="340" t="str">
        <f t="shared" si="29"/>
        <v/>
      </c>
      <c r="I295" s="57"/>
    </row>
    <row r="296" spans="2:9" ht="20.100000000000001" customHeight="1" x14ac:dyDescent="0.3">
      <c r="B296" s="344">
        <v>288</v>
      </c>
      <c r="C296" s="342" t="str">
        <f t="shared" si="26"/>
        <v/>
      </c>
      <c r="D296" s="341" t="str">
        <f t="shared" si="24"/>
        <v/>
      </c>
      <c r="E296" s="328" t="str">
        <f t="shared" si="27"/>
        <v/>
      </c>
      <c r="F296" s="339" t="str">
        <f t="shared" si="25"/>
        <v/>
      </c>
      <c r="G296" s="328" t="str">
        <f t="shared" si="28"/>
        <v/>
      </c>
      <c r="H296" s="340" t="str">
        <f t="shared" si="29"/>
        <v/>
      </c>
      <c r="I296" s="57"/>
    </row>
    <row r="297" spans="2:9" ht="20.100000000000001" customHeight="1" x14ac:dyDescent="0.3">
      <c r="B297" s="344">
        <v>289</v>
      </c>
      <c r="C297" s="342" t="str">
        <f t="shared" si="26"/>
        <v/>
      </c>
      <c r="D297" s="341" t="str">
        <f t="shared" si="24"/>
        <v/>
      </c>
      <c r="E297" s="328" t="str">
        <f t="shared" si="27"/>
        <v/>
      </c>
      <c r="F297" s="339" t="str">
        <f t="shared" si="25"/>
        <v/>
      </c>
      <c r="G297" s="328" t="str">
        <f t="shared" si="28"/>
        <v/>
      </c>
      <c r="H297" s="340" t="str">
        <f t="shared" si="29"/>
        <v/>
      </c>
      <c r="I297" s="57"/>
    </row>
    <row r="298" spans="2:9" ht="20.100000000000001" customHeight="1" x14ac:dyDescent="0.3">
      <c r="B298" s="344">
        <v>290</v>
      </c>
      <c r="C298" s="342" t="str">
        <f t="shared" si="26"/>
        <v/>
      </c>
      <c r="D298" s="341" t="str">
        <f t="shared" si="24"/>
        <v/>
      </c>
      <c r="E298" s="328" t="str">
        <f t="shared" si="27"/>
        <v/>
      </c>
      <c r="F298" s="339" t="str">
        <f t="shared" si="25"/>
        <v/>
      </c>
      <c r="G298" s="328" t="str">
        <f t="shared" si="28"/>
        <v/>
      </c>
      <c r="H298" s="340" t="str">
        <f t="shared" si="29"/>
        <v/>
      </c>
      <c r="I298" s="57"/>
    </row>
    <row r="299" spans="2:9" ht="20.100000000000001" customHeight="1" x14ac:dyDescent="0.3">
      <c r="B299" s="344">
        <v>291</v>
      </c>
      <c r="C299" s="342" t="str">
        <f t="shared" si="26"/>
        <v/>
      </c>
      <c r="D299" s="341" t="str">
        <f t="shared" si="24"/>
        <v/>
      </c>
      <c r="E299" s="328" t="str">
        <f t="shared" si="27"/>
        <v/>
      </c>
      <c r="F299" s="339" t="str">
        <f t="shared" si="25"/>
        <v/>
      </c>
      <c r="G299" s="328" t="str">
        <f t="shared" si="28"/>
        <v/>
      </c>
      <c r="H299" s="340" t="str">
        <f t="shared" si="29"/>
        <v/>
      </c>
      <c r="I299" s="57"/>
    </row>
    <row r="300" spans="2:9" ht="20.100000000000001" customHeight="1" x14ac:dyDescent="0.3">
      <c r="B300" s="344">
        <v>292</v>
      </c>
      <c r="C300" s="342" t="str">
        <f t="shared" si="26"/>
        <v/>
      </c>
      <c r="D300" s="341" t="str">
        <f t="shared" si="24"/>
        <v/>
      </c>
      <c r="E300" s="328" t="str">
        <f t="shared" si="27"/>
        <v/>
      </c>
      <c r="F300" s="339" t="str">
        <f t="shared" si="25"/>
        <v/>
      </c>
      <c r="G300" s="328" t="str">
        <f t="shared" si="28"/>
        <v/>
      </c>
      <c r="H300" s="340" t="str">
        <f t="shared" si="29"/>
        <v/>
      </c>
      <c r="I300" s="57"/>
    </row>
    <row r="301" spans="2:9" ht="20.100000000000001" customHeight="1" x14ac:dyDescent="0.3">
      <c r="B301" s="344">
        <v>293</v>
      </c>
      <c r="C301" s="342" t="str">
        <f t="shared" si="26"/>
        <v/>
      </c>
      <c r="D301" s="341" t="str">
        <f t="shared" si="24"/>
        <v/>
      </c>
      <c r="E301" s="328" t="str">
        <f t="shared" si="27"/>
        <v/>
      </c>
      <c r="F301" s="339" t="str">
        <f t="shared" si="25"/>
        <v/>
      </c>
      <c r="G301" s="328" t="str">
        <f t="shared" si="28"/>
        <v/>
      </c>
      <c r="H301" s="340" t="str">
        <f t="shared" si="29"/>
        <v/>
      </c>
      <c r="I301" s="57"/>
    </row>
    <row r="302" spans="2:9" ht="20.100000000000001" customHeight="1" x14ac:dyDescent="0.3">
      <c r="B302" s="344">
        <v>294</v>
      </c>
      <c r="C302" s="342" t="str">
        <f t="shared" si="26"/>
        <v/>
      </c>
      <c r="D302" s="341" t="str">
        <f t="shared" si="24"/>
        <v/>
      </c>
      <c r="E302" s="328" t="str">
        <f t="shared" si="27"/>
        <v/>
      </c>
      <c r="F302" s="339" t="str">
        <f t="shared" si="25"/>
        <v/>
      </c>
      <c r="G302" s="328" t="str">
        <f t="shared" si="28"/>
        <v/>
      </c>
      <c r="H302" s="340" t="str">
        <f t="shared" si="29"/>
        <v/>
      </c>
      <c r="I302" s="57"/>
    </row>
    <row r="303" spans="2:9" ht="20.100000000000001" customHeight="1" x14ac:dyDescent="0.3">
      <c r="B303" s="344">
        <v>295</v>
      </c>
      <c r="C303" s="342" t="str">
        <f t="shared" si="26"/>
        <v/>
      </c>
      <c r="D303" s="341" t="str">
        <f t="shared" si="24"/>
        <v/>
      </c>
      <c r="E303" s="328" t="str">
        <f t="shared" si="27"/>
        <v/>
      </c>
      <c r="F303" s="339" t="str">
        <f t="shared" si="25"/>
        <v/>
      </c>
      <c r="G303" s="328" t="str">
        <f t="shared" si="28"/>
        <v/>
      </c>
      <c r="H303" s="340" t="str">
        <f t="shared" si="29"/>
        <v/>
      </c>
      <c r="I303" s="57"/>
    </row>
    <row r="304" spans="2:9" ht="20.100000000000001" customHeight="1" x14ac:dyDescent="0.3">
      <c r="B304" s="344">
        <v>296</v>
      </c>
      <c r="C304" s="342" t="str">
        <f t="shared" si="26"/>
        <v/>
      </c>
      <c r="D304" s="341" t="str">
        <f t="shared" si="24"/>
        <v/>
      </c>
      <c r="E304" s="328" t="str">
        <f t="shared" si="27"/>
        <v/>
      </c>
      <c r="F304" s="339" t="str">
        <f t="shared" si="25"/>
        <v/>
      </c>
      <c r="G304" s="328" t="str">
        <f t="shared" si="28"/>
        <v/>
      </c>
      <c r="H304" s="340" t="str">
        <f t="shared" si="29"/>
        <v/>
      </c>
      <c r="I304" s="57"/>
    </row>
    <row r="305" spans="2:9" ht="20.100000000000001" customHeight="1" x14ac:dyDescent="0.3">
      <c r="B305" s="344">
        <v>297</v>
      </c>
      <c r="C305" s="342" t="str">
        <f t="shared" si="26"/>
        <v/>
      </c>
      <c r="D305" s="341" t="str">
        <f t="shared" si="24"/>
        <v/>
      </c>
      <c r="E305" s="328" t="str">
        <f t="shared" si="27"/>
        <v/>
      </c>
      <c r="F305" s="339" t="str">
        <f t="shared" si="25"/>
        <v/>
      </c>
      <c r="G305" s="328" t="str">
        <f t="shared" si="28"/>
        <v/>
      </c>
      <c r="H305" s="340" t="str">
        <f t="shared" si="29"/>
        <v/>
      </c>
      <c r="I305" s="57"/>
    </row>
    <row r="306" spans="2:9" ht="20.100000000000001" customHeight="1" x14ac:dyDescent="0.3">
      <c r="B306" s="344">
        <v>298</v>
      </c>
      <c r="C306" s="342" t="str">
        <f t="shared" si="26"/>
        <v/>
      </c>
      <c r="D306" s="341" t="str">
        <f t="shared" si="24"/>
        <v/>
      </c>
      <c r="E306" s="328" t="str">
        <f t="shared" si="27"/>
        <v/>
      </c>
      <c r="F306" s="339" t="str">
        <f t="shared" si="25"/>
        <v/>
      </c>
      <c r="G306" s="328" t="str">
        <f t="shared" si="28"/>
        <v/>
      </c>
      <c r="H306" s="340" t="str">
        <f t="shared" si="29"/>
        <v/>
      </c>
      <c r="I306" s="57"/>
    </row>
    <row r="307" spans="2:9" ht="20.100000000000001" customHeight="1" x14ac:dyDescent="0.3">
      <c r="B307" s="344">
        <v>299</v>
      </c>
      <c r="C307" s="342" t="str">
        <f t="shared" si="26"/>
        <v/>
      </c>
      <c r="D307" s="341" t="str">
        <f t="shared" si="24"/>
        <v/>
      </c>
      <c r="E307" s="328" t="str">
        <f t="shared" si="27"/>
        <v/>
      </c>
      <c r="F307" s="339" t="str">
        <f t="shared" si="25"/>
        <v/>
      </c>
      <c r="G307" s="328" t="str">
        <f t="shared" si="28"/>
        <v/>
      </c>
      <c r="H307" s="340" t="str">
        <f t="shared" si="29"/>
        <v/>
      </c>
      <c r="I307" s="57"/>
    </row>
    <row r="308" spans="2:9" ht="20.100000000000001" customHeight="1" x14ac:dyDescent="0.3">
      <c r="B308" s="344">
        <v>300</v>
      </c>
      <c r="C308" s="342" t="str">
        <f t="shared" si="26"/>
        <v/>
      </c>
      <c r="D308" s="341" t="str">
        <f t="shared" si="24"/>
        <v/>
      </c>
      <c r="E308" s="328" t="str">
        <f t="shared" si="27"/>
        <v/>
      </c>
      <c r="F308" s="339" t="str">
        <f t="shared" si="25"/>
        <v/>
      </c>
      <c r="G308" s="328" t="str">
        <f t="shared" si="28"/>
        <v/>
      </c>
      <c r="H308" s="340" t="str">
        <f t="shared" si="29"/>
        <v/>
      </c>
      <c r="I308" s="57"/>
    </row>
    <row r="309" spans="2:9" ht="20.100000000000001" customHeight="1" x14ac:dyDescent="0.3">
      <c r="B309" s="344">
        <v>301</v>
      </c>
      <c r="C309" s="342" t="str">
        <f t="shared" si="26"/>
        <v/>
      </c>
      <c r="D309" s="341" t="str">
        <f t="shared" si="24"/>
        <v/>
      </c>
      <c r="E309" s="328" t="str">
        <f t="shared" si="27"/>
        <v/>
      </c>
      <c r="F309" s="339" t="str">
        <f t="shared" si="25"/>
        <v/>
      </c>
      <c r="G309" s="328" t="str">
        <f t="shared" si="28"/>
        <v/>
      </c>
      <c r="H309" s="340" t="str">
        <f t="shared" si="29"/>
        <v/>
      </c>
      <c r="I309" s="57"/>
    </row>
    <row r="310" spans="2:9" ht="20.100000000000001" customHeight="1" x14ac:dyDescent="0.3">
      <c r="B310" s="344">
        <v>302</v>
      </c>
      <c r="C310" s="342" t="str">
        <f t="shared" si="26"/>
        <v/>
      </c>
      <c r="D310" s="341" t="str">
        <f t="shared" si="24"/>
        <v/>
      </c>
      <c r="E310" s="328" t="str">
        <f t="shared" si="27"/>
        <v/>
      </c>
      <c r="F310" s="339" t="str">
        <f t="shared" si="25"/>
        <v/>
      </c>
      <c r="G310" s="328" t="str">
        <f t="shared" si="28"/>
        <v/>
      </c>
      <c r="H310" s="340" t="str">
        <f t="shared" si="29"/>
        <v/>
      </c>
      <c r="I310" s="57"/>
    </row>
    <row r="311" spans="2:9" ht="20.100000000000001" customHeight="1" x14ac:dyDescent="0.3">
      <c r="B311" s="344">
        <v>303</v>
      </c>
      <c r="C311" s="342" t="str">
        <f t="shared" si="26"/>
        <v/>
      </c>
      <c r="D311" s="341" t="str">
        <f t="shared" si="24"/>
        <v/>
      </c>
      <c r="E311" s="328" t="str">
        <f t="shared" si="27"/>
        <v/>
      </c>
      <c r="F311" s="339" t="str">
        <f t="shared" si="25"/>
        <v/>
      </c>
      <c r="G311" s="328" t="str">
        <f t="shared" si="28"/>
        <v/>
      </c>
      <c r="H311" s="340" t="str">
        <f t="shared" si="29"/>
        <v/>
      </c>
      <c r="I311" s="57"/>
    </row>
    <row r="312" spans="2:9" ht="20.100000000000001" customHeight="1" x14ac:dyDescent="0.3">
      <c r="B312" s="344">
        <v>304</v>
      </c>
      <c r="C312" s="342" t="str">
        <f t="shared" si="26"/>
        <v/>
      </c>
      <c r="D312" s="341" t="str">
        <f t="shared" si="24"/>
        <v/>
      </c>
      <c r="E312" s="328" t="str">
        <f t="shared" si="27"/>
        <v/>
      </c>
      <c r="F312" s="339" t="str">
        <f t="shared" si="25"/>
        <v/>
      </c>
      <c r="G312" s="328" t="str">
        <f t="shared" si="28"/>
        <v/>
      </c>
      <c r="H312" s="340" t="str">
        <f t="shared" si="29"/>
        <v/>
      </c>
      <c r="I312" s="57"/>
    </row>
    <row r="313" spans="2:9" ht="20.100000000000001" customHeight="1" x14ac:dyDescent="0.3">
      <c r="B313" s="344">
        <v>305</v>
      </c>
      <c r="C313" s="342" t="str">
        <f t="shared" si="26"/>
        <v/>
      </c>
      <c r="D313" s="341" t="str">
        <f t="shared" si="24"/>
        <v/>
      </c>
      <c r="E313" s="328" t="str">
        <f t="shared" si="27"/>
        <v/>
      </c>
      <c r="F313" s="339" t="str">
        <f t="shared" si="25"/>
        <v/>
      </c>
      <c r="G313" s="328" t="str">
        <f t="shared" si="28"/>
        <v/>
      </c>
      <c r="H313" s="340" t="str">
        <f t="shared" si="29"/>
        <v/>
      </c>
      <c r="I313" s="57"/>
    </row>
    <row r="314" spans="2:9" ht="20.100000000000001" customHeight="1" x14ac:dyDescent="0.3">
      <c r="B314" s="344">
        <v>306</v>
      </c>
      <c r="C314" s="342" t="str">
        <f t="shared" si="26"/>
        <v/>
      </c>
      <c r="D314" s="341" t="str">
        <f t="shared" si="24"/>
        <v/>
      </c>
      <c r="E314" s="328" t="str">
        <f t="shared" si="27"/>
        <v/>
      </c>
      <c r="F314" s="339" t="str">
        <f t="shared" si="25"/>
        <v/>
      </c>
      <c r="G314" s="328" t="str">
        <f t="shared" si="28"/>
        <v/>
      </c>
      <c r="H314" s="340" t="str">
        <f t="shared" si="29"/>
        <v/>
      </c>
      <c r="I314" s="57"/>
    </row>
    <row r="315" spans="2:9" ht="20.100000000000001" customHeight="1" x14ac:dyDescent="0.3">
      <c r="B315" s="344">
        <v>307</v>
      </c>
      <c r="C315" s="342" t="str">
        <f t="shared" si="26"/>
        <v/>
      </c>
      <c r="D315" s="341" t="str">
        <f t="shared" si="24"/>
        <v/>
      </c>
      <c r="E315" s="328" t="str">
        <f t="shared" si="27"/>
        <v/>
      </c>
      <c r="F315" s="339" t="str">
        <f t="shared" si="25"/>
        <v/>
      </c>
      <c r="G315" s="328" t="str">
        <f t="shared" si="28"/>
        <v/>
      </c>
      <c r="H315" s="340" t="str">
        <f t="shared" si="29"/>
        <v/>
      </c>
      <c r="I315" s="57"/>
    </row>
    <row r="316" spans="2:9" ht="20.100000000000001" customHeight="1" x14ac:dyDescent="0.3">
      <c r="B316" s="344">
        <v>308</v>
      </c>
      <c r="C316" s="342" t="str">
        <f t="shared" si="26"/>
        <v/>
      </c>
      <c r="D316" s="341" t="str">
        <f t="shared" si="24"/>
        <v/>
      </c>
      <c r="E316" s="328" t="str">
        <f t="shared" si="27"/>
        <v/>
      </c>
      <c r="F316" s="339" t="str">
        <f t="shared" si="25"/>
        <v/>
      </c>
      <c r="G316" s="328" t="str">
        <f t="shared" si="28"/>
        <v/>
      </c>
      <c r="H316" s="340" t="str">
        <f t="shared" si="29"/>
        <v/>
      </c>
      <c r="I316" s="57"/>
    </row>
    <row r="317" spans="2:9" ht="20.100000000000001" customHeight="1" x14ac:dyDescent="0.3">
      <c r="B317" s="344">
        <v>309</v>
      </c>
      <c r="C317" s="342" t="str">
        <f t="shared" si="26"/>
        <v/>
      </c>
      <c r="D317" s="341" t="str">
        <f t="shared" si="24"/>
        <v/>
      </c>
      <c r="E317" s="328" t="str">
        <f t="shared" si="27"/>
        <v/>
      </c>
      <c r="F317" s="339" t="str">
        <f t="shared" si="25"/>
        <v/>
      </c>
      <c r="G317" s="328" t="str">
        <f t="shared" si="28"/>
        <v/>
      </c>
      <c r="H317" s="340" t="str">
        <f t="shared" si="29"/>
        <v/>
      </c>
      <c r="I317" s="57"/>
    </row>
    <row r="318" spans="2:9" ht="20.100000000000001" customHeight="1" x14ac:dyDescent="0.3">
      <c r="B318" s="344">
        <v>310</v>
      </c>
      <c r="C318" s="342" t="str">
        <f t="shared" si="26"/>
        <v/>
      </c>
      <c r="D318" s="341" t="str">
        <f t="shared" si="24"/>
        <v/>
      </c>
      <c r="E318" s="328" t="str">
        <f t="shared" si="27"/>
        <v/>
      </c>
      <c r="F318" s="339" t="str">
        <f t="shared" si="25"/>
        <v/>
      </c>
      <c r="G318" s="328" t="str">
        <f t="shared" si="28"/>
        <v/>
      </c>
      <c r="H318" s="340" t="str">
        <f t="shared" si="29"/>
        <v/>
      </c>
      <c r="I318" s="57"/>
    </row>
    <row r="319" spans="2:9" ht="20.100000000000001" customHeight="1" x14ac:dyDescent="0.3">
      <c r="B319" s="344">
        <v>311</v>
      </c>
      <c r="C319" s="342" t="str">
        <f t="shared" si="26"/>
        <v/>
      </c>
      <c r="D319" s="341" t="str">
        <f t="shared" si="24"/>
        <v/>
      </c>
      <c r="E319" s="328" t="str">
        <f t="shared" si="27"/>
        <v/>
      </c>
      <c r="F319" s="339" t="str">
        <f t="shared" si="25"/>
        <v/>
      </c>
      <c r="G319" s="328" t="str">
        <f t="shared" si="28"/>
        <v/>
      </c>
      <c r="H319" s="340" t="str">
        <f t="shared" si="29"/>
        <v/>
      </c>
      <c r="I319" s="57"/>
    </row>
    <row r="320" spans="2:9" ht="20.100000000000001" customHeight="1" x14ac:dyDescent="0.3">
      <c r="B320" s="344">
        <v>312</v>
      </c>
      <c r="C320" s="342" t="str">
        <f t="shared" si="26"/>
        <v/>
      </c>
      <c r="D320" s="341" t="str">
        <f t="shared" si="24"/>
        <v/>
      </c>
      <c r="E320" s="328" t="str">
        <f t="shared" si="27"/>
        <v/>
      </c>
      <c r="F320" s="339" t="str">
        <f t="shared" si="25"/>
        <v/>
      </c>
      <c r="G320" s="328" t="str">
        <f t="shared" si="28"/>
        <v/>
      </c>
      <c r="H320" s="340" t="str">
        <f t="shared" si="29"/>
        <v/>
      </c>
      <c r="I320" s="57"/>
    </row>
    <row r="321" spans="2:9" ht="20.100000000000001" customHeight="1" x14ac:dyDescent="0.3">
      <c r="B321" s="344">
        <v>313</v>
      </c>
      <c r="C321" s="342" t="str">
        <f t="shared" si="26"/>
        <v/>
      </c>
      <c r="D321" s="341" t="str">
        <f t="shared" si="24"/>
        <v/>
      </c>
      <c r="E321" s="328" t="str">
        <f t="shared" si="27"/>
        <v/>
      </c>
      <c r="F321" s="339" t="str">
        <f t="shared" si="25"/>
        <v/>
      </c>
      <c r="G321" s="328" t="str">
        <f t="shared" si="28"/>
        <v/>
      </c>
      <c r="H321" s="340" t="str">
        <f t="shared" si="29"/>
        <v/>
      </c>
      <c r="I321" s="57"/>
    </row>
    <row r="322" spans="2:9" ht="20.100000000000001" customHeight="1" x14ac:dyDescent="0.3">
      <c r="B322" s="344">
        <v>314</v>
      </c>
      <c r="C322" s="342" t="str">
        <f t="shared" si="26"/>
        <v/>
      </c>
      <c r="D322" s="341" t="str">
        <f t="shared" si="24"/>
        <v/>
      </c>
      <c r="E322" s="328" t="str">
        <f t="shared" si="27"/>
        <v/>
      </c>
      <c r="F322" s="339" t="str">
        <f t="shared" si="25"/>
        <v/>
      </c>
      <c r="G322" s="328" t="str">
        <f t="shared" si="28"/>
        <v/>
      </c>
      <c r="H322" s="340" t="str">
        <f t="shared" si="29"/>
        <v/>
      </c>
      <c r="I322" s="57"/>
    </row>
    <row r="323" spans="2:9" ht="20.100000000000001" customHeight="1" x14ac:dyDescent="0.3">
      <c r="B323" s="344">
        <v>315</v>
      </c>
      <c r="C323" s="342" t="str">
        <f t="shared" si="26"/>
        <v/>
      </c>
      <c r="D323" s="341" t="str">
        <f t="shared" si="24"/>
        <v/>
      </c>
      <c r="E323" s="328" t="str">
        <f t="shared" si="27"/>
        <v/>
      </c>
      <c r="F323" s="339" t="str">
        <f t="shared" si="25"/>
        <v/>
      </c>
      <c r="G323" s="328" t="str">
        <f t="shared" si="28"/>
        <v/>
      </c>
      <c r="H323" s="340" t="str">
        <f t="shared" si="29"/>
        <v/>
      </c>
      <c r="I323" s="57"/>
    </row>
    <row r="324" spans="2:9" ht="20.100000000000001" customHeight="1" x14ac:dyDescent="0.3">
      <c r="B324" s="344">
        <v>316</v>
      </c>
      <c r="C324" s="342" t="str">
        <f t="shared" si="26"/>
        <v/>
      </c>
      <c r="D324" s="341" t="str">
        <f t="shared" si="24"/>
        <v/>
      </c>
      <c r="E324" s="328" t="str">
        <f t="shared" si="27"/>
        <v/>
      </c>
      <c r="F324" s="339" t="str">
        <f t="shared" si="25"/>
        <v/>
      </c>
      <c r="G324" s="328" t="str">
        <f t="shared" si="28"/>
        <v/>
      </c>
      <c r="H324" s="340" t="str">
        <f t="shared" si="29"/>
        <v/>
      </c>
      <c r="I324" s="57"/>
    </row>
    <row r="325" spans="2:9" ht="20.100000000000001" customHeight="1" x14ac:dyDescent="0.3">
      <c r="B325" s="344">
        <v>317</v>
      </c>
      <c r="C325" s="342" t="str">
        <f t="shared" si="26"/>
        <v/>
      </c>
      <c r="D325" s="341" t="str">
        <f t="shared" si="24"/>
        <v/>
      </c>
      <c r="E325" s="328" t="str">
        <f t="shared" si="27"/>
        <v/>
      </c>
      <c r="F325" s="339" t="str">
        <f t="shared" si="25"/>
        <v/>
      </c>
      <c r="G325" s="328" t="str">
        <f t="shared" si="28"/>
        <v/>
      </c>
      <c r="H325" s="340" t="str">
        <f t="shared" si="29"/>
        <v/>
      </c>
      <c r="I325" s="57"/>
    </row>
    <row r="326" spans="2:9" ht="20.100000000000001" customHeight="1" x14ac:dyDescent="0.3">
      <c r="B326" s="344">
        <v>318</v>
      </c>
      <c r="C326" s="342" t="str">
        <f t="shared" si="26"/>
        <v/>
      </c>
      <c r="D326" s="341" t="str">
        <f t="shared" si="24"/>
        <v/>
      </c>
      <c r="E326" s="328" t="str">
        <f t="shared" si="27"/>
        <v/>
      </c>
      <c r="F326" s="339" t="str">
        <f t="shared" si="25"/>
        <v/>
      </c>
      <c r="G326" s="328" t="str">
        <f t="shared" si="28"/>
        <v/>
      </c>
      <c r="H326" s="340" t="str">
        <f t="shared" si="29"/>
        <v/>
      </c>
      <c r="I326" s="57"/>
    </row>
    <row r="327" spans="2:9" ht="20.100000000000001" customHeight="1" x14ac:dyDescent="0.3">
      <c r="B327" s="344">
        <v>319</v>
      </c>
      <c r="C327" s="342" t="str">
        <f t="shared" si="26"/>
        <v/>
      </c>
      <c r="D327" s="341" t="str">
        <f t="shared" si="24"/>
        <v/>
      </c>
      <c r="E327" s="328" t="str">
        <f t="shared" si="27"/>
        <v/>
      </c>
      <c r="F327" s="339" t="str">
        <f t="shared" si="25"/>
        <v/>
      </c>
      <c r="G327" s="328" t="str">
        <f t="shared" si="28"/>
        <v/>
      </c>
      <c r="H327" s="340" t="str">
        <f t="shared" si="29"/>
        <v/>
      </c>
      <c r="I327" s="57"/>
    </row>
    <row r="328" spans="2:9" ht="20.100000000000001" customHeight="1" x14ac:dyDescent="0.3">
      <c r="B328" s="344">
        <v>320</v>
      </c>
      <c r="C328" s="342" t="str">
        <f t="shared" si="26"/>
        <v/>
      </c>
      <c r="D328" s="341" t="str">
        <f t="shared" si="24"/>
        <v/>
      </c>
      <c r="E328" s="328" t="str">
        <f t="shared" si="27"/>
        <v/>
      </c>
      <c r="F328" s="339" t="str">
        <f t="shared" si="25"/>
        <v/>
      </c>
      <c r="G328" s="328" t="str">
        <f t="shared" si="28"/>
        <v/>
      </c>
      <c r="H328" s="340" t="str">
        <f t="shared" si="29"/>
        <v/>
      </c>
      <c r="I328" s="57"/>
    </row>
    <row r="329" spans="2:9" ht="20.100000000000001" customHeight="1" x14ac:dyDescent="0.3">
      <c r="B329" s="344">
        <v>321</v>
      </c>
      <c r="C329" s="342" t="str">
        <f t="shared" si="26"/>
        <v/>
      </c>
      <c r="D329" s="341" t="str">
        <f t="shared" si="24"/>
        <v/>
      </c>
      <c r="E329" s="328" t="str">
        <f t="shared" si="27"/>
        <v/>
      </c>
      <c r="F329" s="339" t="str">
        <f t="shared" si="25"/>
        <v/>
      </c>
      <c r="G329" s="328" t="str">
        <f t="shared" si="28"/>
        <v/>
      </c>
      <c r="H329" s="340" t="str">
        <f t="shared" si="29"/>
        <v/>
      </c>
      <c r="I329" s="57"/>
    </row>
    <row r="330" spans="2:9" ht="20.100000000000001" customHeight="1" x14ac:dyDescent="0.3">
      <c r="B330" s="344">
        <v>322</v>
      </c>
      <c r="C330" s="342" t="str">
        <f t="shared" si="26"/>
        <v/>
      </c>
      <c r="D330" s="341" t="str">
        <f t="shared" ref="D330:D393" si="30">IF($H$4="","",IF($F$4="원리금균등상환",IFERROR(IF(B330&lt;=$D$6,0,-PPMT($E$4/12,B330-$D$6,($B$6-$D$6),$D$4)),""),IF($F$4="원금균등상환",IF(B330&lt;($D$6+1),0,IF(B330&gt;$B$6,0,$D$4/($B$6-$D$6))),"")))</f>
        <v/>
      </c>
      <c r="E330" s="328" t="str">
        <f t="shared" si="27"/>
        <v/>
      </c>
      <c r="F330" s="339" t="str">
        <f t="shared" ref="F330:F393" si="31">IF($H$4="","",IF($F$4="원리금균등상환",IFERROR(D330+E330,""),IF($F$4="원금균등상환",D330+E330,"")))</f>
        <v/>
      </c>
      <c r="G330" s="328" t="str">
        <f t="shared" si="28"/>
        <v/>
      </c>
      <c r="H330" s="340" t="str">
        <f t="shared" si="29"/>
        <v/>
      </c>
      <c r="I330" s="57"/>
    </row>
    <row r="331" spans="2:9" ht="20.100000000000001" customHeight="1" x14ac:dyDescent="0.3">
      <c r="B331" s="344">
        <v>323</v>
      </c>
      <c r="C331" s="342" t="str">
        <f t="shared" ref="C331:C394" si="32">IF($H$4="","",IF(B331&gt;($B$6),"",IF(B331&lt;=($B$6),DATE(YEAR($G$4),MONTH($G$4)+B330,DAY($G$4)),"")))</f>
        <v/>
      </c>
      <c r="D331" s="341" t="str">
        <f t="shared" si="30"/>
        <v/>
      </c>
      <c r="E331" s="328" t="str">
        <f t="shared" ref="E331:E394" si="33">IF($H$4="","",IF($F$4="원리금균등상환",IFERROR(IF(B331&lt;=$D$6,$H330*($E$4/12),-IPMT($E$4/12,B331-$D$6,($B$6-$D$6),$D$4)),""),IF($F$4="원금균등상환",(H330-D331)*$E$4/12,"")))</f>
        <v/>
      </c>
      <c r="F331" s="339" t="str">
        <f t="shared" si="31"/>
        <v/>
      </c>
      <c r="G331" s="328" t="str">
        <f t="shared" ref="G331:G394" si="34">IFERROR(IF(B331&gt;(($D$6+$B$6)*12),"",IF(B331=1,D331,D331+G330)),"")</f>
        <v/>
      </c>
      <c r="H331" s="340" t="str">
        <f t="shared" ref="H331:H394" si="35">IFERROR(IF($H$4="","",H330-D331),"")</f>
        <v/>
      </c>
      <c r="I331" s="57"/>
    </row>
    <row r="332" spans="2:9" ht="20.100000000000001" customHeight="1" x14ac:dyDescent="0.3">
      <c r="B332" s="344">
        <v>324</v>
      </c>
      <c r="C332" s="342" t="str">
        <f t="shared" si="32"/>
        <v/>
      </c>
      <c r="D332" s="341" t="str">
        <f t="shared" si="30"/>
        <v/>
      </c>
      <c r="E332" s="328" t="str">
        <f t="shared" si="33"/>
        <v/>
      </c>
      <c r="F332" s="339" t="str">
        <f t="shared" si="31"/>
        <v/>
      </c>
      <c r="G332" s="328" t="str">
        <f t="shared" si="34"/>
        <v/>
      </c>
      <c r="H332" s="340" t="str">
        <f t="shared" si="35"/>
        <v/>
      </c>
      <c r="I332" s="57"/>
    </row>
    <row r="333" spans="2:9" ht="20.100000000000001" customHeight="1" x14ac:dyDescent="0.3">
      <c r="B333" s="344">
        <v>325</v>
      </c>
      <c r="C333" s="342" t="str">
        <f t="shared" si="32"/>
        <v/>
      </c>
      <c r="D333" s="341" t="str">
        <f t="shared" si="30"/>
        <v/>
      </c>
      <c r="E333" s="328" t="str">
        <f t="shared" si="33"/>
        <v/>
      </c>
      <c r="F333" s="339" t="str">
        <f t="shared" si="31"/>
        <v/>
      </c>
      <c r="G333" s="328" t="str">
        <f t="shared" si="34"/>
        <v/>
      </c>
      <c r="H333" s="340" t="str">
        <f t="shared" si="35"/>
        <v/>
      </c>
      <c r="I333" s="57"/>
    </row>
    <row r="334" spans="2:9" ht="20.100000000000001" customHeight="1" x14ac:dyDescent="0.3">
      <c r="B334" s="344">
        <v>326</v>
      </c>
      <c r="C334" s="342" t="str">
        <f t="shared" si="32"/>
        <v/>
      </c>
      <c r="D334" s="341" t="str">
        <f t="shared" si="30"/>
        <v/>
      </c>
      <c r="E334" s="328" t="str">
        <f t="shared" si="33"/>
        <v/>
      </c>
      <c r="F334" s="339" t="str">
        <f t="shared" si="31"/>
        <v/>
      </c>
      <c r="G334" s="328" t="str">
        <f t="shared" si="34"/>
        <v/>
      </c>
      <c r="H334" s="340" t="str">
        <f t="shared" si="35"/>
        <v/>
      </c>
      <c r="I334" s="57"/>
    </row>
    <row r="335" spans="2:9" ht="20.100000000000001" customHeight="1" x14ac:dyDescent="0.3">
      <c r="B335" s="344">
        <v>327</v>
      </c>
      <c r="C335" s="342" t="str">
        <f t="shared" si="32"/>
        <v/>
      </c>
      <c r="D335" s="341" t="str">
        <f t="shared" si="30"/>
        <v/>
      </c>
      <c r="E335" s="328" t="str">
        <f t="shared" si="33"/>
        <v/>
      </c>
      <c r="F335" s="339" t="str">
        <f t="shared" si="31"/>
        <v/>
      </c>
      <c r="G335" s="328" t="str">
        <f t="shared" si="34"/>
        <v/>
      </c>
      <c r="H335" s="340" t="str">
        <f t="shared" si="35"/>
        <v/>
      </c>
      <c r="I335" s="57"/>
    </row>
    <row r="336" spans="2:9" ht="20.100000000000001" customHeight="1" x14ac:dyDescent="0.3">
      <c r="B336" s="344">
        <v>328</v>
      </c>
      <c r="C336" s="342" t="str">
        <f t="shared" si="32"/>
        <v/>
      </c>
      <c r="D336" s="341" t="str">
        <f t="shared" si="30"/>
        <v/>
      </c>
      <c r="E336" s="328" t="str">
        <f t="shared" si="33"/>
        <v/>
      </c>
      <c r="F336" s="339" t="str">
        <f t="shared" si="31"/>
        <v/>
      </c>
      <c r="G336" s="328" t="str">
        <f t="shared" si="34"/>
        <v/>
      </c>
      <c r="H336" s="340" t="str">
        <f t="shared" si="35"/>
        <v/>
      </c>
      <c r="I336" s="57"/>
    </row>
    <row r="337" spans="2:9" ht="20.100000000000001" customHeight="1" x14ac:dyDescent="0.3">
      <c r="B337" s="344">
        <v>329</v>
      </c>
      <c r="C337" s="342" t="str">
        <f t="shared" si="32"/>
        <v/>
      </c>
      <c r="D337" s="341" t="str">
        <f t="shared" si="30"/>
        <v/>
      </c>
      <c r="E337" s="328" t="str">
        <f t="shared" si="33"/>
        <v/>
      </c>
      <c r="F337" s="339" t="str">
        <f t="shared" si="31"/>
        <v/>
      </c>
      <c r="G337" s="328" t="str">
        <f t="shared" si="34"/>
        <v/>
      </c>
      <c r="H337" s="340" t="str">
        <f t="shared" si="35"/>
        <v/>
      </c>
      <c r="I337" s="57"/>
    </row>
    <row r="338" spans="2:9" ht="20.100000000000001" customHeight="1" x14ac:dyDescent="0.3">
      <c r="B338" s="344">
        <v>330</v>
      </c>
      <c r="C338" s="342" t="str">
        <f t="shared" si="32"/>
        <v/>
      </c>
      <c r="D338" s="341" t="str">
        <f t="shared" si="30"/>
        <v/>
      </c>
      <c r="E338" s="328" t="str">
        <f t="shared" si="33"/>
        <v/>
      </c>
      <c r="F338" s="339" t="str">
        <f t="shared" si="31"/>
        <v/>
      </c>
      <c r="G338" s="328" t="str">
        <f t="shared" si="34"/>
        <v/>
      </c>
      <c r="H338" s="340" t="str">
        <f t="shared" si="35"/>
        <v/>
      </c>
      <c r="I338" s="57"/>
    </row>
    <row r="339" spans="2:9" ht="20.100000000000001" customHeight="1" x14ac:dyDescent="0.3">
      <c r="B339" s="344">
        <v>331</v>
      </c>
      <c r="C339" s="342" t="str">
        <f t="shared" si="32"/>
        <v/>
      </c>
      <c r="D339" s="341" t="str">
        <f t="shared" si="30"/>
        <v/>
      </c>
      <c r="E339" s="328" t="str">
        <f t="shared" si="33"/>
        <v/>
      </c>
      <c r="F339" s="339" t="str">
        <f t="shared" si="31"/>
        <v/>
      </c>
      <c r="G339" s="328" t="str">
        <f t="shared" si="34"/>
        <v/>
      </c>
      <c r="H339" s="340" t="str">
        <f t="shared" si="35"/>
        <v/>
      </c>
      <c r="I339" s="57"/>
    </row>
    <row r="340" spans="2:9" ht="20.100000000000001" customHeight="1" x14ac:dyDescent="0.3">
      <c r="B340" s="344">
        <v>332</v>
      </c>
      <c r="C340" s="342" t="str">
        <f t="shared" si="32"/>
        <v/>
      </c>
      <c r="D340" s="341" t="str">
        <f t="shared" si="30"/>
        <v/>
      </c>
      <c r="E340" s="328" t="str">
        <f t="shared" si="33"/>
        <v/>
      </c>
      <c r="F340" s="339" t="str">
        <f t="shared" si="31"/>
        <v/>
      </c>
      <c r="G340" s="328" t="str">
        <f t="shared" si="34"/>
        <v/>
      </c>
      <c r="H340" s="340" t="str">
        <f t="shared" si="35"/>
        <v/>
      </c>
      <c r="I340" s="57"/>
    </row>
    <row r="341" spans="2:9" ht="20.100000000000001" customHeight="1" x14ac:dyDescent="0.3">
      <c r="B341" s="344">
        <v>333</v>
      </c>
      <c r="C341" s="342" t="str">
        <f t="shared" si="32"/>
        <v/>
      </c>
      <c r="D341" s="341" t="str">
        <f t="shared" si="30"/>
        <v/>
      </c>
      <c r="E341" s="328" t="str">
        <f t="shared" si="33"/>
        <v/>
      </c>
      <c r="F341" s="339" t="str">
        <f t="shared" si="31"/>
        <v/>
      </c>
      <c r="G341" s="328" t="str">
        <f t="shared" si="34"/>
        <v/>
      </c>
      <c r="H341" s="340" t="str">
        <f t="shared" si="35"/>
        <v/>
      </c>
      <c r="I341" s="57"/>
    </row>
    <row r="342" spans="2:9" ht="20.100000000000001" customHeight="1" x14ac:dyDescent="0.3">
      <c r="B342" s="344">
        <v>334</v>
      </c>
      <c r="C342" s="342" t="str">
        <f t="shared" si="32"/>
        <v/>
      </c>
      <c r="D342" s="341" t="str">
        <f t="shared" si="30"/>
        <v/>
      </c>
      <c r="E342" s="328" t="str">
        <f t="shared" si="33"/>
        <v/>
      </c>
      <c r="F342" s="339" t="str">
        <f t="shared" si="31"/>
        <v/>
      </c>
      <c r="G342" s="328" t="str">
        <f t="shared" si="34"/>
        <v/>
      </c>
      <c r="H342" s="340" t="str">
        <f t="shared" si="35"/>
        <v/>
      </c>
      <c r="I342" s="57"/>
    </row>
    <row r="343" spans="2:9" ht="20.100000000000001" customHeight="1" x14ac:dyDescent="0.3">
      <c r="B343" s="344">
        <v>335</v>
      </c>
      <c r="C343" s="342" t="str">
        <f t="shared" si="32"/>
        <v/>
      </c>
      <c r="D343" s="341" t="str">
        <f t="shared" si="30"/>
        <v/>
      </c>
      <c r="E343" s="328" t="str">
        <f t="shared" si="33"/>
        <v/>
      </c>
      <c r="F343" s="339" t="str">
        <f t="shared" si="31"/>
        <v/>
      </c>
      <c r="G343" s="328" t="str">
        <f t="shared" si="34"/>
        <v/>
      </c>
      <c r="H343" s="340" t="str">
        <f t="shared" si="35"/>
        <v/>
      </c>
      <c r="I343" s="57"/>
    </row>
    <row r="344" spans="2:9" ht="20.100000000000001" customHeight="1" x14ac:dyDescent="0.3">
      <c r="B344" s="344">
        <v>336</v>
      </c>
      <c r="C344" s="342" t="str">
        <f t="shared" si="32"/>
        <v/>
      </c>
      <c r="D344" s="341" t="str">
        <f t="shared" si="30"/>
        <v/>
      </c>
      <c r="E344" s="328" t="str">
        <f t="shared" si="33"/>
        <v/>
      </c>
      <c r="F344" s="339" t="str">
        <f t="shared" si="31"/>
        <v/>
      </c>
      <c r="G344" s="328" t="str">
        <f t="shared" si="34"/>
        <v/>
      </c>
      <c r="H344" s="340" t="str">
        <f t="shared" si="35"/>
        <v/>
      </c>
      <c r="I344" s="57"/>
    </row>
    <row r="345" spans="2:9" ht="20.100000000000001" customHeight="1" x14ac:dyDescent="0.3">
      <c r="B345" s="344">
        <v>337</v>
      </c>
      <c r="C345" s="342" t="str">
        <f t="shared" si="32"/>
        <v/>
      </c>
      <c r="D345" s="341" t="str">
        <f t="shared" si="30"/>
        <v/>
      </c>
      <c r="E345" s="328" t="str">
        <f t="shared" si="33"/>
        <v/>
      </c>
      <c r="F345" s="339" t="str">
        <f t="shared" si="31"/>
        <v/>
      </c>
      <c r="G345" s="328" t="str">
        <f t="shared" si="34"/>
        <v/>
      </c>
      <c r="H345" s="340" t="str">
        <f t="shared" si="35"/>
        <v/>
      </c>
      <c r="I345" s="57"/>
    </row>
    <row r="346" spans="2:9" ht="20.100000000000001" customHeight="1" x14ac:dyDescent="0.3">
      <c r="B346" s="344">
        <v>338</v>
      </c>
      <c r="C346" s="342" t="str">
        <f t="shared" si="32"/>
        <v/>
      </c>
      <c r="D346" s="341" t="str">
        <f t="shared" si="30"/>
        <v/>
      </c>
      <c r="E346" s="328" t="str">
        <f t="shared" si="33"/>
        <v/>
      </c>
      <c r="F346" s="339" t="str">
        <f t="shared" si="31"/>
        <v/>
      </c>
      <c r="G346" s="328" t="str">
        <f t="shared" si="34"/>
        <v/>
      </c>
      <c r="H346" s="340" t="str">
        <f t="shared" si="35"/>
        <v/>
      </c>
      <c r="I346" s="57"/>
    </row>
    <row r="347" spans="2:9" ht="20.100000000000001" customHeight="1" x14ac:dyDescent="0.3">
      <c r="B347" s="344">
        <v>339</v>
      </c>
      <c r="C347" s="342" t="str">
        <f t="shared" si="32"/>
        <v/>
      </c>
      <c r="D347" s="341" t="str">
        <f t="shared" si="30"/>
        <v/>
      </c>
      <c r="E347" s="328" t="str">
        <f t="shared" si="33"/>
        <v/>
      </c>
      <c r="F347" s="339" t="str">
        <f t="shared" si="31"/>
        <v/>
      </c>
      <c r="G347" s="328" t="str">
        <f t="shared" si="34"/>
        <v/>
      </c>
      <c r="H347" s="340" t="str">
        <f t="shared" si="35"/>
        <v/>
      </c>
      <c r="I347" s="57"/>
    </row>
    <row r="348" spans="2:9" ht="20.100000000000001" customHeight="1" x14ac:dyDescent="0.3">
      <c r="B348" s="344">
        <v>340</v>
      </c>
      <c r="C348" s="342" t="str">
        <f t="shared" si="32"/>
        <v/>
      </c>
      <c r="D348" s="341" t="str">
        <f t="shared" si="30"/>
        <v/>
      </c>
      <c r="E348" s="328" t="str">
        <f t="shared" si="33"/>
        <v/>
      </c>
      <c r="F348" s="339" t="str">
        <f t="shared" si="31"/>
        <v/>
      </c>
      <c r="G348" s="328" t="str">
        <f t="shared" si="34"/>
        <v/>
      </c>
      <c r="H348" s="340" t="str">
        <f t="shared" si="35"/>
        <v/>
      </c>
      <c r="I348" s="57"/>
    </row>
    <row r="349" spans="2:9" ht="20.100000000000001" customHeight="1" x14ac:dyDescent="0.3">
      <c r="B349" s="344">
        <v>341</v>
      </c>
      <c r="C349" s="342" t="str">
        <f t="shared" si="32"/>
        <v/>
      </c>
      <c r="D349" s="341" t="str">
        <f t="shared" si="30"/>
        <v/>
      </c>
      <c r="E349" s="328" t="str">
        <f t="shared" si="33"/>
        <v/>
      </c>
      <c r="F349" s="339" t="str">
        <f t="shared" si="31"/>
        <v/>
      </c>
      <c r="G349" s="328" t="str">
        <f t="shared" si="34"/>
        <v/>
      </c>
      <c r="H349" s="340" t="str">
        <f t="shared" si="35"/>
        <v/>
      </c>
      <c r="I349" s="57"/>
    </row>
    <row r="350" spans="2:9" ht="20.100000000000001" customHeight="1" x14ac:dyDescent="0.3">
      <c r="B350" s="344">
        <v>342</v>
      </c>
      <c r="C350" s="342" t="str">
        <f t="shared" si="32"/>
        <v/>
      </c>
      <c r="D350" s="341" t="str">
        <f t="shared" si="30"/>
        <v/>
      </c>
      <c r="E350" s="328" t="str">
        <f t="shared" si="33"/>
        <v/>
      </c>
      <c r="F350" s="339" t="str">
        <f t="shared" si="31"/>
        <v/>
      </c>
      <c r="G350" s="328" t="str">
        <f t="shared" si="34"/>
        <v/>
      </c>
      <c r="H350" s="340" t="str">
        <f t="shared" si="35"/>
        <v/>
      </c>
      <c r="I350" s="57"/>
    </row>
    <row r="351" spans="2:9" ht="20.100000000000001" customHeight="1" x14ac:dyDescent="0.3">
      <c r="B351" s="344">
        <v>343</v>
      </c>
      <c r="C351" s="342" t="str">
        <f t="shared" si="32"/>
        <v/>
      </c>
      <c r="D351" s="341" t="str">
        <f t="shared" si="30"/>
        <v/>
      </c>
      <c r="E351" s="328" t="str">
        <f t="shared" si="33"/>
        <v/>
      </c>
      <c r="F351" s="339" t="str">
        <f t="shared" si="31"/>
        <v/>
      </c>
      <c r="G351" s="328" t="str">
        <f t="shared" si="34"/>
        <v/>
      </c>
      <c r="H351" s="340" t="str">
        <f t="shared" si="35"/>
        <v/>
      </c>
      <c r="I351" s="57"/>
    </row>
    <row r="352" spans="2:9" ht="20.100000000000001" customHeight="1" x14ac:dyDescent="0.3">
      <c r="B352" s="344">
        <v>344</v>
      </c>
      <c r="C352" s="342" t="str">
        <f t="shared" si="32"/>
        <v/>
      </c>
      <c r="D352" s="341" t="str">
        <f t="shared" si="30"/>
        <v/>
      </c>
      <c r="E352" s="328" t="str">
        <f t="shared" si="33"/>
        <v/>
      </c>
      <c r="F352" s="339" t="str">
        <f t="shared" si="31"/>
        <v/>
      </c>
      <c r="G352" s="328" t="str">
        <f t="shared" si="34"/>
        <v/>
      </c>
      <c r="H352" s="340" t="str">
        <f t="shared" si="35"/>
        <v/>
      </c>
      <c r="I352" s="57"/>
    </row>
    <row r="353" spans="2:9" ht="20.100000000000001" customHeight="1" x14ac:dyDescent="0.3">
      <c r="B353" s="344">
        <v>345</v>
      </c>
      <c r="C353" s="342" t="str">
        <f t="shared" si="32"/>
        <v/>
      </c>
      <c r="D353" s="341" t="str">
        <f t="shared" si="30"/>
        <v/>
      </c>
      <c r="E353" s="328" t="str">
        <f t="shared" si="33"/>
        <v/>
      </c>
      <c r="F353" s="339" t="str">
        <f t="shared" si="31"/>
        <v/>
      </c>
      <c r="G353" s="328" t="str">
        <f t="shared" si="34"/>
        <v/>
      </c>
      <c r="H353" s="340" t="str">
        <f t="shared" si="35"/>
        <v/>
      </c>
      <c r="I353" s="57"/>
    </row>
    <row r="354" spans="2:9" ht="20.100000000000001" customHeight="1" x14ac:dyDescent="0.3">
      <c r="B354" s="344">
        <v>346</v>
      </c>
      <c r="C354" s="342" t="str">
        <f t="shared" si="32"/>
        <v/>
      </c>
      <c r="D354" s="341" t="str">
        <f t="shared" si="30"/>
        <v/>
      </c>
      <c r="E354" s="328" t="str">
        <f t="shared" si="33"/>
        <v/>
      </c>
      <c r="F354" s="339" t="str">
        <f t="shared" si="31"/>
        <v/>
      </c>
      <c r="G354" s="328" t="str">
        <f t="shared" si="34"/>
        <v/>
      </c>
      <c r="H354" s="340" t="str">
        <f t="shared" si="35"/>
        <v/>
      </c>
      <c r="I354" s="57"/>
    </row>
    <row r="355" spans="2:9" ht="20.100000000000001" customHeight="1" x14ac:dyDescent="0.3">
      <c r="B355" s="344">
        <v>347</v>
      </c>
      <c r="C355" s="342" t="str">
        <f t="shared" si="32"/>
        <v/>
      </c>
      <c r="D355" s="341" t="str">
        <f t="shared" si="30"/>
        <v/>
      </c>
      <c r="E355" s="328" t="str">
        <f t="shared" si="33"/>
        <v/>
      </c>
      <c r="F355" s="339" t="str">
        <f t="shared" si="31"/>
        <v/>
      </c>
      <c r="G355" s="328" t="str">
        <f t="shared" si="34"/>
        <v/>
      </c>
      <c r="H355" s="340" t="str">
        <f t="shared" si="35"/>
        <v/>
      </c>
      <c r="I355" s="57"/>
    </row>
    <row r="356" spans="2:9" ht="20.100000000000001" customHeight="1" x14ac:dyDescent="0.3">
      <c r="B356" s="344">
        <v>348</v>
      </c>
      <c r="C356" s="342" t="str">
        <f t="shared" si="32"/>
        <v/>
      </c>
      <c r="D356" s="341" t="str">
        <f t="shared" si="30"/>
        <v/>
      </c>
      <c r="E356" s="328" t="str">
        <f t="shared" si="33"/>
        <v/>
      </c>
      <c r="F356" s="339" t="str">
        <f t="shared" si="31"/>
        <v/>
      </c>
      <c r="G356" s="328" t="str">
        <f t="shared" si="34"/>
        <v/>
      </c>
      <c r="H356" s="340" t="str">
        <f t="shared" si="35"/>
        <v/>
      </c>
      <c r="I356" s="57"/>
    </row>
    <row r="357" spans="2:9" ht="20.100000000000001" customHeight="1" x14ac:dyDescent="0.3">
      <c r="B357" s="344">
        <v>349</v>
      </c>
      <c r="C357" s="342" t="str">
        <f t="shared" si="32"/>
        <v/>
      </c>
      <c r="D357" s="341" t="str">
        <f t="shared" si="30"/>
        <v/>
      </c>
      <c r="E357" s="328" t="str">
        <f t="shared" si="33"/>
        <v/>
      </c>
      <c r="F357" s="339" t="str">
        <f t="shared" si="31"/>
        <v/>
      </c>
      <c r="G357" s="328" t="str">
        <f t="shared" si="34"/>
        <v/>
      </c>
      <c r="H357" s="340" t="str">
        <f t="shared" si="35"/>
        <v/>
      </c>
      <c r="I357" s="57"/>
    </row>
    <row r="358" spans="2:9" ht="20.100000000000001" customHeight="1" x14ac:dyDescent="0.3">
      <c r="B358" s="344">
        <v>350</v>
      </c>
      <c r="C358" s="342" t="str">
        <f t="shared" si="32"/>
        <v/>
      </c>
      <c r="D358" s="341" t="str">
        <f t="shared" si="30"/>
        <v/>
      </c>
      <c r="E358" s="328" t="str">
        <f t="shared" si="33"/>
        <v/>
      </c>
      <c r="F358" s="339" t="str">
        <f t="shared" si="31"/>
        <v/>
      </c>
      <c r="G358" s="328" t="str">
        <f t="shared" si="34"/>
        <v/>
      </c>
      <c r="H358" s="340" t="str">
        <f t="shared" si="35"/>
        <v/>
      </c>
      <c r="I358" s="57"/>
    </row>
    <row r="359" spans="2:9" ht="20.100000000000001" customHeight="1" x14ac:dyDescent="0.3">
      <c r="B359" s="344">
        <v>351</v>
      </c>
      <c r="C359" s="342" t="str">
        <f t="shared" si="32"/>
        <v/>
      </c>
      <c r="D359" s="341" t="str">
        <f t="shared" si="30"/>
        <v/>
      </c>
      <c r="E359" s="328" t="str">
        <f t="shared" si="33"/>
        <v/>
      </c>
      <c r="F359" s="339" t="str">
        <f t="shared" si="31"/>
        <v/>
      </c>
      <c r="G359" s="328" t="str">
        <f t="shared" si="34"/>
        <v/>
      </c>
      <c r="H359" s="340" t="str">
        <f t="shared" si="35"/>
        <v/>
      </c>
      <c r="I359" s="57"/>
    </row>
    <row r="360" spans="2:9" ht="20.100000000000001" customHeight="1" x14ac:dyDescent="0.3">
      <c r="B360" s="344">
        <v>352</v>
      </c>
      <c r="C360" s="342" t="str">
        <f t="shared" si="32"/>
        <v/>
      </c>
      <c r="D360" s="341" t="str">
        <f t="shared" si="30"/>
        <v/>
      </c>
      <c r="E360" s="328" t="str">
        <f t="shared" si="33"/>
        <v/>
      </c>
      <c r="F360" s="339" t="str">
        <f t="shared" si="31"/>
        <v/>
      </c>
      <c r="G360" s="328" t="str">
        <f t="shared" si="34"/>
        <v/>
      </c>
      <c r="H360" s="340" t="str">
        <f t="shared" si="35"/>
        <v/>
      </c>
      <c r="I360" s="57"/>
    </row>
    <row r="361" spans="2:9" ht="20.100000000000001" customHeight="1" x14ac:dyDescent="0.3">
      <c r="B361" s="344">
        <v>353</v>
      </c>
      <c r="C361" s="342" t="str">
        <f t="shared" si="32"/>
        <v/>
      </c>
      <c r="D361" s="341" t="str">
        <f t="shared" si="30"/>
        <v/>
      </c>
      <c r="E361" s="328" t="str">
        <f t="shared" si="33"/>
        <v/>
      </c>
      <c r="F361" s="339" t="str">
        <f t="shared" si="31"/>
        <v/>
      </c>
      <c r="G361" s="328" t="str">
        <f t="shared" si="34"/>
        <v/>
      </c>
      <c r="H361" s="340" t="str">
        <f t="shared" si="35"/>
        <v/>
      </c>
      <c r="I361" s="57"/>
    </row>
    <row r="362" spans="2:9" ht="20.100000000000001" customHeight="1" x14ac:dyDescent="0.3">
      <c r="B362" s="344">
        <v>354</v>
      </c>
      <c r="C362" s="342" t="str">
        <f t="shared" si="32"/>
        <v/>
      </c>
      <c r="D362" s="341" t="str">
        <f t="shared" si="30"/>
        <v/>
      </c>
      <c r="E362" s="328" t="str">
        <f t="shared" si="33"/>
        <v/>
      </c>
      <c r="F362" s="339" t="str">
        <f t="shared" si="31"/>
        <v/>
      </c>
      <c r="G362" s="328" t="str">
        <f t="shared" si="34"/>
        <v/>
      </c>
      <c r="H362" s="340" t="str">
        <f t="shared" si="35"/>
        <v/>
      </c>
      <c r="I362" s="57"/>
    </row>
    <row r="363" spans="2:9" ht="20.100000000000001" customHeight="1" x14ac:dyDescent="0.3">
      <c r="B363" s="344">
        <v>355</v>
      </c>
      <c r="C363" s="342" t="str">
        <f t="shared" si="32"/>
        <v/>
      </c>
      <c r="D363" s="341" t="str">
        <f t="shared" si="30"/>
        <v/>
      </c>
      <c r="E363" s="328" t="str">
        <f t="shared" si="33"/>
        <v/>
      </c>
      <c r="F363" s="339" t="str">
        <f t="shared" si="31"/>
        <v/>
      </c>
      <c r="G363" s="328" t="str">
        <f t="shared" si="34"/>
        <v/>
      </c>
      <c r="H363" s="340" t="str">
        <f t="shared" si="35"/>
        <v/>
      </c>
      <c r="I363" s="57"/>
    </row>
    <row r="364" spans="2:9" ht="20.100000000000001" customHeight="1" x14ac:dyDescent="0.3">
      <c r="B364" s="344">
        <v>356</v>
      </c>
      <c r="C364" s="342" t="str">
        <f t="shared" si="32"/>
        <v/>
      </c>
      <c r="D364" s="341" t="str">
        <f t="shared" si="30"/>
        <v/>
      </c>
      <c r="E364" s="328" t="str">
        <f t="shared" si="33"/>
        <v/>
      </c>
      <c r="F364" s="339" t="str">
        <f t="shared" si="31"/>
        <v/>
      </c>
      <c r="G364" s="328" t="str">
        <f t="shared" si="34"/>
        <v/>
      </c>
      <c r="H364" s="340" t="str">
        <f t="shared" si="35"/>
        <v/>
      </c>
      <c r="I364" s="57"/>
    </row>
    <row r="365" spans="2:9" ht="20.100000000000001" customHeight="1" x14ac:dyDescent="0.3">
      <c r="B365" s="344">
        <v>357</v>
      </c>
      <c r="C365" s="342" t="str">
        <f t="shared" si="32"/>
        <v/>
      </c>
      <c r="D365" s="341" t="str">
        <f t="shared" si="30"/>
        <v/>
      </c>
      <c r="E365" s="328" t="str">
        <f t="shared" si="33"/>
        <v/>
      </c>
      <c r="F365" s="339" t="str">
        <f t="shared" si="31"/>
        <v/>
      </c>
      <c r="G365" s="328" t="str">
        <f t="shared" si="34"/>
        <v/>
      </c>
      <c r="H365" s="340" t="str">
        <f t="shared" si="35"/>
        <v/>
      </c>
      <c r="I365" s="57"/>
    </row>
    <row r="366" spans="2:9" ht="20.100000000000001" customHeight="1" x14ac:dyDescent="0.3">
      <c r="B366" s="344">
        <v>358</v>
      </c>
      <c r="C366" s="342" t="str">
        <f t="shared" si="32"/>
        <v/>
      </c>
      <c r="D366" s="341" t="str">
        <f t="shared" si="30"/>
        <v/>
      </c>
      <c r="E366" s="328" t="str">
        <f t="shared" si="33"/>
        <v/>
      </c>
      <c r="F366" s="339" t="str">
        <f t="shared" si="31"/>
        <v/>
      </c>
      <c r="G366" s="328" t="str">
        <f t="shared" si="34"/>
        <v/>
      </c>
      <c r="H366" s="340" t="str">
        <f t="shared" si="35"/>
        <v/>
      </c>
      <c r="I366" s="57"/>
    </row>
    <row r="367" spans="2:9" ht="20.100000000000001" customHeight="1" x14ac:dyDescent="0.3">
      <c r="B367" s="344">
        <v>359</v>
      </c>
      <c r="C367" s="342" t="str">
        <f t="shared" si="32"/>
        <v/>
      </c>
      <c r="D367" s="341" t="str">
        <f t="shared" si="30"/>
        <v/>
      </c>
      <c r="E367" s="328" t="str">
        <f t="shared" si="33"/>
        <v/>
      </c>
      <c r="F367" s="339" t="str">
        <f t="shared" si="31"/>
        <v/>
      </c>
      <c r="G367" s="328" t="str">
        <f t="shared" si="34"/>
        <v/>
      </c>
      <c r="H367" s="340" t="str">
        <f t="shared" si="35"/>
        <v/>
      </c>
      <c r="I367" s="57"/>
    </row>
    <row r="368" spans="2:9" ht="20.100000000000001" customHeight="1" x14ac:dyDescent="0.3">
      <c r="B368" s="344">
        <v>360</v>
      </c>
      <c r="C368" s="342" t="str">
        <f t="shared" si="32"/>
        <v/>
      </c>
      <c r="D368" s="341" t="str">
        <f t="shared" si="30"/>
        <v/>
      </c>
      <c r="E368" s="328" t="str">
        <f t="shared" si="33"/>
        <v/>
      </c>
      <c r="F368" s="339" t="str">
        <f t="shared" si="31"/>
        <v/>
      </c>
      <c r="G368" s="328" t="str">
        <f t="shared" si="34"/>
        <v/>
      </c>
      <c r="H368" s="340" t="str">
        <f t="shared" si="35"/>
        <v/>
      </c>
      <c r="I368" s="57"/>
    </row>
    <row r="369" spans="2:9" ht="20.100000000000001" customHeight="1" x14ac:dyDescent="0.3">
      <c r="B369" s="344">
        <v>361</v>
      </c>
      <c r="C369" s="342" t="str">
        <f t="shared" si="32"/>
        <v/>
      </c>
      <c r="D369" s="341" t="str">
        <f t="shared" si="30"/>
        <v/>
      </c>
      <c r="E369" s="328" t="str">
        <f t="shared" si="33"/>
        <v/>
      </c>
      <c r="F369" s="339" t="str">
        <f t="shared" si="31"/>
        <v/>
      </c>
      <c r="G369" s="328" t="str">
        <f t="shared" si="34"/>
        <v/>
      </c>
      <c r="H369" s="340" t="str">
        <f t="shared" si="35"/>
        <v/>
      </c>
      <c r="I369" s="57"/>
    </row>
    <row r="370" spans="2:9" ht="20.100000000000001" customHeight="1" x14ac:dyDescent="0.3">
      <c r="B370" s="344">
        <v>362</v>
      </c>
      <c r="C370" s="342" t="str">
        <f t="shared" si="32"/>
        <v/>
      </c>
      <c r="D370" s="341" t="str">
        <f t="shared" si="30"/>
        <v/>
      </c>
      <c r="E370" s="328" t="str">
        <f t="shared" si="33"/>
        <v/>
      </c>
      <c r="F370" s="339" t="str">
        <f t="shared" si="31"/>
        <v/>
      </c>
      <c r="G370" s="328" t="str">
        <f t="shared" si="34"/>
        <v/>
      </c>
      <c r="H370" s="340" t="str">
        <f t="shared" si="35"/>
        <v/>
      </c>
      <c r="I370" s="57"/>
    </row>
    <row r="371" spans="2:9" ht="20.100000000000001" customHeight="1" x14ac:dyDescent="0.3">
      <c r="B371" s="344">
        <v>363</v>
      </c>
      <c r="C371" s="342" t="str">
        <f t="shared" si="32"/>
        <v/>
      </c>
      <c r="D371" s="341" t="str">
        <f t="shared" si="30"/>
        <v/>
      </c>
      <c r="E371" s="328" t="str">
        <f t="shared" si="33"/>
        <v/>
      </c>
      <c r="F371" s="339" t="str">
        <f t="shared" si="31"/>
        <v/>
      </c>
      <c r="G371" s="328" t="str">
        <f t="shared" si="34"/>
        <v/>
      </c>
      <c r="H371" s="340" t="str">
        <f t="shared" si="35"/>
        <v/>
      </c>
      <c r="I371" s="57"/>
    </row>
    <row r="372" spans="2:9" ht="20.100000000000001" customHeight="1" x14ac:dyDescent="0.3">
      <c r="B372" s="344">
        <v>364</v>
      </c>
      <c r="C372" s="342" t="str">
        <f t="shared" si="32"/>
        <v/>
      </c>
      <c r="D372" s="341" t="str">
        <f t="shared" si="30"/>
        <v/>
      </c>
      <c r="E372" s="328" t="str">
        <f t="shared" si="33"/>
        <v/>
      </c>
      <c r="F372" s="339" t="str">
        <f t="shared" si="31"/>
        <v/>
      </c>
      <c r="G372" s="328" t="str">
        <f t="shared" si="34"/>
        <v/>
      </c>
      <c r="H372" s="340" t="str">
        <f t="shared" si="35"/>
        <v/>
      </c>
      <c r="I372" s="57"/>
    </row>
    <row r="373" spans="2:9" ht="20.100000000000001" customHeight="1" x14ac:dyDescent="0.3">
      <c r="B373" s="344">
        <v>365</v>
      </c>
      <c r="C373" s="342" t="str">
        <f t="shared" si="32"/>
        <v/>
      </c>
      <c r="D373" s="341" t="str">
        <f t="shared" si="30"/>
        <v/>
      </c>
      <c r="E373" s="328" t="str">
        <f t="shared" si="33"/>
        <v/>
      </c>
      <c r="F373" s="339" t="str">
        <f t="shared" si="31"/>
        <v/>
      </c>
      <c r="G373" s="328" t="str">
        <f t="shared" si="34"/>
        <v/>
      </c>
      <c r="H373" s="340" t="str">
        <f t="shared" si="35"/>
        <v/>
      </c>
      <c r="I373" s="57"/>
    </row>
    <row r="374" spans="2:9" ht="20.100000000000001" customHeight="1" x14ac:dyDescent="0.3">
      <c r="B374" s="344">
        <v>366</v>
      </c>
      <c r="C374" s="342" t="str">
        <f t="shared" si="32"/>
        <v/>
      </c>
      <c r="D374" s="341" t="str">
        <f t="shared" si="30"/>
        <v/>
      </c>
      <c r="E374" s="328" t="str">
        <f t="shared" si="33"/>
        <v/>
      </c>
      <c r="F374" s="339" t="str">
        <f t="shared" si="31"/>
        <v/>
      </c>
      <c r="G374" s="328" t="str">
        <f t="shared" si="34"/>
        <v/>
      </c>
      <c r="H374" s="340" t="str">
        <f t="shared" si="35"/>
        <v/>
      </c>
      <c r="I374" s="57"/>
    </row>
    <row r="375" spans="2:9" ht="20.100000000000001" customHeight="1" x14ac:dyDescent="0.3">
      <c r="B375" s="344">
        <v>367</v>
      </c>
      <c r="C375" s="342" t="str">
        <f t="shared" si="32"/>
        <v/>
      </c>
      <c r="D375" s="341" t="str">
        <f t="shared" si="30"/>
        <v/>
      </c>
      <c r="E375" s="328" t="str">
        <f t="shared" si="33"/>
        <v/>
      </c>
      <c r="F375" s="339" t="str">
        <f t="shared" si="31"/>
        <v/>
      </c>
      <c r="G375" s="328" t="str">
        <f t="shared" si="34"/>
        <v/>
      </c>
      <c r="H375" s="340" t="str">
        <f t="shared" si="35"/>
        <v/>
      </c>
      <c r="I375" s="57"/>
    </row>
    <row r="376" spans="2:9" ht="20.100000000000001" customHeight="1" x14ac:dyDescent="0.3">
      <c r="B376" s="344">
        <v>368</v>
      </c>
      <c r="C376" s="342" t="str">
        <f t="shared" si="32"/>
        <v/>
      </c>
      <c r="D376" s="341" t="str">
        <f t="shared" si="30"/>
        <v/>
      </c>
      <c r="E376" s="328" t="str">
        <f t="shared" si="33"/>
        <v/>
      </c>
      <c r="F376" s="339" t="str">
        <f t="shared" si="31"/>
        <v/>
      </c>
      <c r="G376" s="328" t="str">
        <f t="shared" si="34"/>
        <v/>
      </c>
      <c r="H376" s="340" t="str">
        <f t="shared" si="35"/>
        <v/>
      </c>
      <c r="I376" s="57"/>
    </row>
    <row r="377" spans="2:9" ht="20.100000000000001" customHeight="1" x14ac:dyDescent="0.3">
      <c r="B377" s="344">
        <v>369</v>
      </c>
      <c r="C377" s="342" t="str">
        <f t="shared" si="32"/>
        <v/>
      </c>
      <c r="D377" s="341" t="str">
        <f t="shared" si="30"/>
        <v/>
      </c>
      <c r="E377" s="328" t="str">
        <f t="shared" si="33"/>
        <v/>
      </c>
      <c r="F377" s="339" t="str">
        <f t="shared" si="31"/>
        <v/>
      </c>
      <c r="G377" s="328" t="str">
        <f t="shared" si="34"/>
        <v/>
      </c>
      <c r="H377" s="340" t="str">
        <f t="shared" si="35"/>
        <v/>
      </c>
      <c r="I377" s="57"/>
    </row>
    <row r="378" spans="2:9" ht="20.100000000000001" customHeight="1" x14ac:dyDescent="0.3">
      <c r="B378" s="344">
        <v>370</v>
      </c>
      <c r="C378" s="342" t="str">
        <f t="shared" si="32"/>
        <v/>
      </c>
      <c r="D378" s="341" t="str">
        <f t="shared" si="30"/>
        <v/>
      </c>
      <c r="E378" s="328" t="str">
        <f t="shared" si="33"/>
        <v/>
      </c>
      <c r="F378" s="339" t="str">
        <f t="shared" si="31"/>
        <v/>
      </c>
      <c r="G378" s="328" t="str">
        <f t="shared" si="34"/>
        <v/>
      </c>
      <c r="H378" s="340" t="str">
        <f t="shared" si="35"/>
        <v/>
      </c>
      <c r="I378" s="57"/>
    </row>
    <row r="379" spans="2:9" ht="20.100000000000001" customHeight="1" x14ac:dyDescent="0.3">
      <c r="B379" s="344">
        <v>371</v>
      </c>
      <c r="C379" s="342" t="str">
        <f t="shared" si="32"/>
        <v/>
      </c>
      <c r="D379" s="341" t="str">
        <f t="shared" si="30"/>
        <v/>
      </c>
      <c r="E379" s="328" t="str">
        <f t="shared" si="33"/>
        <v/>
      </c>
      <c r="F379" s="339" t="str">
        <f t="shared" si="31"/>
        <v/>
      </c>
      <c r="G379" s="328" t="str">
        <f t="shared" si="34"/>
        <v/>
      </c>
      <c r="H379" s="340" t="str">
        <f t="shared" si="35"/>
        <v/>
      </c>
      <c r="I379" s="57"/>
    </row>
    <row r="380" spans="2:9" ht="20.100000000000001" customHeight="1" x14ac:dyDescent="0.3">
      <c r="B380" s="344">
        <v>372</v>
      </c>
      <c r="C380" s="342" t="str">
        <f t="shared" si="32"/>
        <v/>
      </c>
      <c r="D380" s="341" t="str">
        <f t="shared" si="30"/>
        <v/>
      </c>
      <c r="E380" s="328" t="str">
        <f t="shared" si="33"/>
        <v/>
      </c>
      <c r="F380" s="339" t="str">
        <f t="shared" si="31"/>
        <v/>
      </c>
      <c r="G380" s="328" t="str">
        <f t="shared" si="34"/>
        <v/>
      </c>
      <c r="H380" s="340" t="str">
        <f t="shared" si="35"/>
        <v/>
      </c>
      <c r="I380" s="57"/>
    </row>
    <row r="381" spans="2:9" ht="20.100000000000001" customHeight="1" x14ac:dyDescent="0.3">
      <c r="B381" s="344">
        <v>373</v>
      </c>
      <c r="C381" s="342" t="str">
        <f t="shared" si="32"/>
        <v/>
      </c>
      <c r="D381" s="341" t="str">
        <f t="shared" si="30"/>
        <v/>
      </c>
      <c r="E381" s="328" t="str">
        <f t="shared" si="33"/>
        <v/>
      </c>
      <c r="F381" s="339" t="str">
        <f t="shared" si="31"/>
        <v/>
      </c>
      <c r="G381" s="328" t="str">
        <f t="shared" si="34"/>
        <v/>
      </c>
      <c r="H381" s="340" t="str">
        <f t="shared" si="35"/>
        <v/>
      </c>
      <c r="I381" s="57"/>
    </row>
    <row r="382" spans="2:9" ht="20.100000000000001" customHeight="1" x14ac:dyDescent="0.3">
      <c r="B382" s="344">
        <v>374</v>
      </c>
      <c r="C382" s="342" t="str">
        <f t="shared" si="32"/>
        <v/>
      </c>
      <c r="D382" s="341" t="str">
        <f t="shared" si="30"/>
        <v/>
      </c>
      <c r="E382" s="328" t="str">
        <f t="shared" si="33"/>
        <v/>
      </c>
      <c r="F382" s="339" t="str">
        <f t="shared" si="31"/>
        <v/>
      </c>
      <c r="G382" s="328" t="str">
        <f t="shared" si="34"/>
        <v/>
      </c>
      <c r="H382" s="340" t="str">
        <f t="shared" si="35"/>
        <v/>
      </c>
      <c r="I382" s="57"/>
    </row>
    <row r="383" spans="2:9" ht="20.100000000000001" customHeight="1" x14ac:dyDescent="0.3">
      <c r="B383" s="344">
        <v>375</v>
      </c>
      <c r="C383" s="342" t="str">
        <f t="shared" si="32"/>
        <v/>
      </c>
      <c r="D383" s="341" t="str">
        <f t="shared" si="30"/>
        <v/>
      </c>
      <c r="E383" s="328" t="str">
        <f t="shared" si="33"/>
        <v/>
      </c>
      <c r="F383" s="339" t="str">
        <f t="shared" si="31"/>
        <v/>
      </c>
      <c r="G383" s="328" t="str">
        <f t="shared" si="34"/>
        <v/>
      </c>
      <c r="H383" s="340" t="str">
        <f t="shared" si="35"/>
        <v/>
      </c>
      <c r="I383" s="57"/>
    </row>
    <row r="384" spans="2:9" ht="20.100000000000001" customHeight="1" x14ac:dyDescent="0.3">
      <c r="B384" s="344">
        <v>376</v>
      </c>
      <c r="C384" s="342" t="str">
        <f t="shared" si="32"/>
        <v/>
      </c>
      <c r="D384" s="341" t="str">
        <f t="shared" si="30"/>
        <v/>
      </c>
      <c r="E384" s="328" t="str">
        <f t="shared" si="33"/>
        <v/>
      </c>
      <c r="F384" s="339" t="str">
        <f t="shared" si="31"/>
        <v/>
      </c>
      <c r="G384" s="328" t="str">
        <f t="shared" si="34"/>
        <v/>
      </c>
      <c r="H384" s="340" t="str">
        <f t="shared" si="35"/>
        <v/>
      </c>
      <c r="I384" s="57"/>
    </row>
    <row r="385" spans="2:9" ht="20.100000000000001" customHeight="1" x14ac:dyDescent="0.3">
      <c r="B385" s="344">
        <v>377</v>
      </c>
      <c r="C385" s="342" t="str">
        <f t="shared" si="32"/>
        <v/>
      </c>
      <c r="D385" s="341" t="str">
        <f t="shared" si="30"/>
        <v/>
      </c>
      <c r="E385" s="328" t="str">
        <f t="shared" si="33"/>
        <v/>
      </c>
      <c r="F385" s="339" t="str">
        <f t="shared" si="31"/>
        <v/>
      </c>
      <c r="G385" s="328" t="str">
        <f t="shared" si="34"/>
        <v/>
      </c>
      <c r="H385" s="340" t="str">
        <f t="shared" si="35"/>
        <v/>
      </c>
      <c r="I385" s="57"/>
    </row>
    <row r="386" spans="2:9" ht="20.100000000000001" customHeight="1" x14ac:dyDescent="0.3">
      <c r="B386" s="344">
        <v>378</v>
      </c>
      <c r="C386" s="342" t="str">
        <f t="shared" si="32"/>
        <v/>
      </c>
      <c r="D386" s="341" t="str">
        <f t="shared" si="30"/>
        <v/>
      </c>
      <c r="E386" s="328" t="str">
        <f t="shared" si="33"/>
        <v/>
      </c>
      <c r="F386" s="339" t="str">
        <f t="shared" si="31"/>
        <v/>
      </c>
      <c r="G386" s="328" t="str">
        <f t="shared" si="34"/>
        <v/>
      </c>
      <c r="H386" s="340" t="str">
        <f t="shared" si="35"/>
        <v/>
      </c>
      <c r="I386" s="57"/>
    </row>
    <row r="387" spans="2:9" ht="20.100000000000001" customHeight="1" x14ac:dyDescent="0.3">
      <c r="B387" s="344">
        <v>379</v>
      </c>
      <c r="C387" s="342" t="str">
        <f t="shared" si="32"/>
        <v/>
      </c>
      <c r="D387" s="341" t="str">
        <f t="shared" si="30"/>
        <v/>
      </c>
      <c r="E387" s="328" t="str">
        <f t="shared" si="33"/>
        <v/>
      </c>
      <c r="F387" s="339" t="str">
        <f t="shared" si="31"/>
        <v/>
      </c>
      <c r="G387" s="328" t="str">
        <f t="shared" si="34"/>
        <v/>
      </c>
      <c r="H387" s="340" t="str">
        <f t="shared" si="35"/>
        <v/>
      </c>
      <c r="I387" s="57"/>
    </row>
    <row r="388" spans="2:9" ht="20.100000000000001" customHeight="1" x14ac:dyDescent="0.3">
      <c r="B388" s="344">
        <v>380</v>
      </c>
      <c r="C388" s="342" t="str">
        <f t="shared" si="32"/>
        <v/>
      </c>
      <c r="D388" s="341" t="str">
        <f t="shared" si="30"/>
        <v/>
      </c>
      <c r="E388" s="328" t="str">
        <f t="shared" si="33"/>
        <v/>
      </c>
      <c r="F388" s="339" t="str">
        <f t="shared" si="31"/>
        <v/>
      </c>
      <c r="G388" s="328" t="str">
        <f t="shared" si="34"/>
        <v/>
      </c>
      <c r="H388" s="340" t="str">
        <f t="shared" si="35"/>
        <v/>
      </c>
      <c r="I388" s="57"/>
    </row>
    <row r="389" spans="2:9" ht="20.100000000000001" customHeight="1" x14ac:dyDescent="0.3">
      <c r="B389" s="344">
        <v>381</v>
      </c>
      <c r="C389" s="342" t="str">
        <f t="shared" si="32"/>
        <v/>
      </c>
      <c r="D389" s="341" t="str">
        <f t="shared" si="30"/>
        <v/>
      </c>
      <c r="E389" s="328" t="str">
        <f t="shared" si="33"/>
        <v/>
      </c>
      <c r="F389" s="339" t="str">
        <f t="shared" si="31"/>
        <v/>
      </c>
      <c r="G389" s="328" t="str">
        <f t="shared" si="34"/>
        <v/>
      </c>
      <c r="H389" s="340" t="str">
        <f t="shared" si="35"/>
        <v/>
      </c>
      <c r="I389" s="57"/>
    </row>
    <row r="390" spans="2:9" ht="20.100000000000001" customHeight="1" x14ac:dyDescent="0.3">
      <c r="B390" s="344">
        <v>382</v>
      </c>
      <c r="C390" s="342" t="str">
        <f t="shared" si="32"/>
        <v/>
      </c>
      <c r="D390" s="341" t="str">
        <f t="shared" si="30"/>
        <v/>
      </c>
      <c r="E390" s="328" t="str">
        <f t="shared" si="33"/>
        <v/>
      </c>
      <c r="F390" s="339" t="str">
        <f t="shared" si="31"/>
        <v/>
      </c>
      <c r="G390" s="328" t="str">
        <f t="shared" si="34"/>
        <v/>
      </c>
      <c r="H390" s="340" t="str">
        <f t="shared" si="35"/>
        <v/>
      </c>
      <c r="I390" s="57"/>
    </row>
    <row r="391" spans="2:9" ht="20.100000000000001" customHeight="1" x14ac:dyDescent="0.3">
      <c r="B391" s="344">
        <v>383</v>
      </c>
      <c r="C391" s="342" t="str">
        <f t="shared" si="32"/>
        <v/>
      </c>
      <c r="D391" s="341" t="str">
        <f t="shared" si="30"/>
        <v/>
      </c>
      <c r="E391" s="328" t="str">
        <f t="shared" si="33"/>
        <v/>
      </c>
      <c r="F391" s="339" t="str">
        <f t="shared" si="31"/>
        <v/>
      </c>
      <c r="G391" s="328" t="str">
        <f t="shared" si="34"/>
        <v/>
      </c>
      <c r="H391" s="340" t="str">
        <f t="shared" si="35"/>
        <v/>
      </c>
      <c r="I391" s="57"/>
    </row>
    <row r="392" spans="2:9" ht="20.100000000000001" customHeight="1" x14ac:dyDescent="0.3">
      <c r="B392" s="344">
        <v>384</v>
      </c>
      <c r="C392" s="342" t="str">
        <f t="shared" si="32"/>
        <v/>
      </c>
      <c r="D392" s="341" t="str">
        <f t="shared" si="30"/>
        <v/>
      </c>
      <c r="E392" s="328" t="str">
        <f t="shared" si="33"/>
        <v/>
      </c>
      <c r="F392" s="339" t="str">
        <f t="shared" si="31"/>
        <v/>
      </c>
      <c r="G392" s="328" t="str">
        <f t="shared" si="34"/>
        <v/>
      </c>
      <c r="H392" s="340" t="str">
        <f t="shared" si="35"/>
        <v/>
      </c>
      <c r="I392" s="57"/>
    </row>
    <row r="393" spans="2:9" ht="20.100000000000001" customHeight="1" x14ac:dyDescent="0.3">
      <c r="B393" s="344">
        <v>385</v>
      </c>
      <c r="C393" s="342" t="str">
        <f t="shared" si="32"/>
        <v/>
      </c>
      <c r="D393" s="341" t="str">
        <f t="shared" si="30"/>
        <v/>
      </c>
      <c r="E393" s="328" t="str">
        <f t="shared" si="33"/>
        <v/>
      </c>
      <c r="F393" s="339" t="str">
        <f t="shared" si="31"/>
        <v/>
      </c>
      <c r="G393" s="328" t="str">
        <f t="shared" si="34"/>
        <v/>
      </c>
      <c r="H393" s="340" t="str">
        <f t="shared" si="35"/>
        <v/>
      </c>
      <c r="I393" s="57"/>
    </row>
    <row r="394" spans="2:9" ht="20.100000000000001" customHeight="1" x14ac:dyDescent="0.3">
      <c r="B394" s="344">
        <v>386</v>
      </c>
      <c r="C394" s="342" t="str">
        <f t="shared" si="32"/>
        <v/>
      </c>
      <c r="D394" s="341" t="str">
        <f t="shared" ref="D394:D457" si="36">IF($H$4="","",IF($F$4="원리금균등상환",IFERROR(IF(B394&lt;=$D$6,0,-PPMT($E$4/12,B394-$D$6,($B$6-$D$6),$D$4)),""),IF($F$4="원금균등상환",IF(B394&lt;($D$6+1),0,IF(B394&gt;$B$6,0,$D$4/($B$6-$D$6))),"")))</f>
        <v/>
      </c>
      <c r="E394" s="328" t="str">
        <f t="shared" si="33"/>
        <v/>
      </c>
      <c r="F394" s="339" t="str">
        <f t="shared" ref="F394:F457" si="37">IF($H$4="","",IF($F$4="원리금균등상환",IFERROR(D394+E394,""),IF($F$4="원금균등상환",D394+E394,"")))</f>
        <v/>
      </c>
      <c r="G394" s="328" t="str">
        <f t="shared" si="34"/>
        <v/>
      </c>
      <c r="H394" s="340" t="str">
        <f t="shared" si="35"/>
        <v/>
      </c>
      <c r="I394" s="57"/>
    </row>
    <row r="395" spans="2:9" ht="20.100000000000001" customHeight="1" x14ac:dyDescent="0.3">
      <c r="B395" s="344">
        <v>387</v>
      </c>
      <c r="C395" s="342" t="str">
        <f t="shared" ref="C395:C458" si="38">IF($H$4="","",IF(B395&gt;($B$6),"",IF(B395&lt;=($B$6),DATE(YEAR($G$4),MONTH($G$4)+B394,DAY($G$4)),"")))</f>
        <v/>
      </c>
      <c r="D395" s="341" t="str">
        <f t="shared" si="36"/>
        <v/>
      </c>
      <c r="E395" s="328" t="str">
        <f t="shared" ref="E395:E458" si="39">IF($H$4="","",IF($F$4="원리금균등상환",IFERROR(IF(B395&lt;=$D$6,$H394*($E$4/12),-IPMT($E$4/12,B395-$D$6,($B$6-$D$6),$D$4)),""),IF($F$4="원금균등상환",(H394-D395)*$E$4/12,"")))</f>
        <v/>
      </c>
      <c r="F395" s="339" t="str">
        <f t="shared" si="37"/>
        <v/>
      </c>
      <c r="G395" s="328" t="str">
        <f t="shared" ref="G395:G458" si="40">IFERROR(IF(B395&gt;(($D$6+$B$6)*12),"",IF(B395=1,D395,D395+G394)),"")</f>
        <v/>
      </c>
      <c r="H395" s="340" t="str">
        <f t="shared" ref="H395:H458" si="41">IFERROR(IF($H$4="","",H394-D395),"")</f>
        <v/>
      </c>
      <c r="I395" s="57"/>
    </row>
    <row r="396" spans="2:9" ht="20.100000000000001" customHeight="1" x14ac:dyDescent="0.3">
      <c r="B396" s="344">
        <v>388</v>
      </c>
      <c r="C396" s="342" t="str">
        <f t="shared" si="38"/>
        <v/>
      </c>
      <c r="D396" s="341" t="str">
        <f t="shared" si="36"/>
        <v/>
      </c>
      <c r="E396" s="328" t="str">
        <f t="shared" si="39"/>
        <v/>
      </c>
      <c r="F396" s="339" t="str">
        <f t="shared" si="37"/>
        <v/>
      </c>
      <c r="G396" s="328" t="str">
        <f t="shared" si="40"/>
        <v/>
      </c>
      <c r="H396" s="340" t="str">
        <f t="shared" si="41"/>
        <v/>
      </c>
      <c r="I396" s="57"/>
    </row>
    <row r="397" spans="2:9" ht="20.100000000000001" customHeight="1" x14ac:dyDescent="0.3">
      <c r="B397" s="344">
        <v>389</v>
      </c>
      <c r="C397" s="342" t="str">
        <f t="shared" si="38"/>
        <v/>
      </c>
      <c r="D397" s="341" t="str">
        <f t="shared" si="36"/>
        <v/>
      </c>
      <c r="E397" s="328" t="str">
        <f t="shared" si="39"/>
        <v/>
      </c>
      <c r="F397" s="339" t="str">
        <f t="shared" si="37"/>
        <v/>
      </c>
      <c r="G397" s="328" t="str">
        <f t="shared" si="40"/>
        <v/>
      </c>
      <c r="H397" s="340" t="str">
        <f t="shared" si="41"/>
        <v/>
      </c>
      <c r="I397" s="57"/>
    </row>
    <row r="398" spans="2:9" ht="20.100000000000001" customHeight="1" x14ac:dyDescent="0.3">
      <c r="B398" s="344">
        <v>390</v>
      </c>
      <c r="C398" s="342" t="str">
        <f t="shared" si="38"/>
        <v/>
      </c>
      <c r="D398" s="341" t="str">
        <f t="shared" si="36"/>
        <v/>
      </c>
      <c r="E398" s="328" t="str">
        <f t="shared" si="39"/>
        <v/>
      </c>
      <c r="F398" s="339" t="str">
        <f t="shared" si="37"/>
        <v/>
      </c>
      <c r="G398" s="328" t="str">
        <f t="shared" si="40"/>
        <v/>
      </c>
      <c r="H398" s="340" t="str">
        <f t="shared" si="41"/>
        <v/>
      </c>
      <c r="I398" s="57"/>
    </row>
    <row r="399" spans="2:9" ht="20.100000000000001" customHeight="1" x14ac:dyDescent="0.3">
      <c r="B399" s="344">
        <v>391</v>
      </c>
      <c r="C399" s="342" t="str">
        <f t="shared" si="38"/>
        <v/>
      </c>
      <c r="D399" s="341" t="str">
        <f t="shared" si="36"/>
        <v/>
      </c>
      <c r="E399" s="328" t="str">
        <f t="shared" si="39"/>
        <v/>
      </c>
      <c r="F399" s="339" t="str">
        <f t="shared" si="37"/>
        <v/>
      </c>
      <c r="G399" s="328" t="str">
        <f t="shared" si="40"/>
        <v/>
      </c>
      <c r="H399" s="340" t="str">
        <f t="shared" si="41"/>
        <v/>
      </c>
      <c r="I399" s="57"/>
    </row>
    <row r="400" spans="2:9" ht="20.100000000000001" customHeight="1" x14ac:dyDescent="0.3">
      <c r="B400" s="344">
        <v>392</v>
      </c>
      <c r="C400" s="342" t="str">
        <f t="shared" si="38"/>
        <v/>
      </c>
      <c r="D400" s="341" t="str">
        <f t="shared" si="36"/>
        <v/>
      </c>
      <c r="E400" s="328" t="str">
        <f t="shared" si="39"/>
        <v/>
      </c>
      <c r="F400" s="339" t="str">
        <f t="shared" si="37"/>
        <v/>
      </c>
      <c r="G400" s="328" t="str">
        <f t="shared" si="40"/>
        <v/>
      </c>
      <c r="H400" s="340" t="str">
        <f t="shared" si="41"/>
        <v/>
      </c>
      <c r="I400" s="57"/>
    </row>
    <row r="401" spans="2:9" ht="20.100000000000001" customHeight="1" x14ac:dyDescent="0.3">
      <c r="B401" s="344">
        <v>393</v>
      </c>
      <c r="C401" s="342" t="str">
        <f t="shared" si="38"/>
        <v/>
      </c>
      <c r="D401" s="341" t="str">
        <f t="shared" si="36"/>
        <v/>
      </c>
      <c r="E401" s="328" t="str">
        <f t="shared" si="39"/>
        <v/>
      </c>
      <c r="F401" s="339" t="str">
        <f t="shared" si="37"/>
        <v/>
      </c>
      <c r="G401" s="328" t="str">
        <f t="shared" si="40"/>
        <v/>
      </c>
      <c r="H401" s="340" t="str">
        <f t="shared" si="41"/>
        <v/>
      </c>
      <c r="I401" s="57"/>
    </row>
    <row r="402" spans="2:9" ht="20.100000000000001" customHeight="1" x14ac:dyDescent="0.3">
      <c r="B402" s="344">
        <v>394</v>
      </c>
      <c r="C402" s="342" t="str">
        <f t="shared" si="38"/>
        <v/>
      </c>
      <c r="D402" s="341" t="str">
        <f t="shared" si="36"/>
        <v/>
      </c>
      <c r="E402" s="328" t="str">
        <f t="shared" si="39"/>
        <v/>
      </c>
      <c r="F402" s="339" t="str">
        <f t="shared" si="37"/>
        <v/>
      </c>
      <c r="G402" s="328" t="str">
        <f t="shared" si="40"/>
        <v/>
      </c>
      <c r="H402" s="340" t="str">
        <f t="shared" si="41"/>
        <v/>
      </c>
      <c r="I402" s="57"/>
    </row>
    <row r="403" spans="2:9" ht="20.100000000000001" customHeight="1" x14ac:dyDescent="0.3">
      <c r="B403" s="344">
        <v>395</v>
      </c>
      <c r="C403" s="342" t="str">
        <f t="shared" si="38"/>
        <v/>
      </c>
      <c r="D403" s="341" t="str">
        <f t="shared" si="36"/>
        <v/>
      </c>
      <c r="E403" s="328" t="str">
        <f t="shared" si="39"/>
        <v/>
      </c>
      <c r="F403" s="339" t="str">
        <f t="shared" si="37"/>
        <v/>
      </c>
      <c r="G403" s="328" t="str">
        <f t="shared" si="40"/>
        <v/>
      </c>
      <c r="H403" s="340" t="str">
        <f t="shared" si="41"/>
        <v/>
      </c>
      <c r="I403" s="57"/>
    </row>
    <row r="404" spans="2:9" ht="20.100000000000001" customHeight="1" x14ac:dyDescent="0.3">
      <c r="B404" s="344">
        <v>396</v>
      </c>
      <c r="C404" s="342" t="str">
        <f t="shared" si="38"/>
        <v/>
      </c>
      <c r="D404" s="341" t="str">
        <f t="shared" si="36"/>
        <v/>
      </c>
      <c r="E404" s="328" t="str">
        <f t="shared" si="39"/>
        <v/>
      </c>
      <c r="F404" s="339" t="str">
        <f t="shared" si="37"/>
        <v/>
      </c>
      <c r="G404" s="328" t="str">
        <f t="shared" si="40"/>
        <v/>
      </c>
      <c r="H404" s="340" t="str">
        <f t="shared" si="41"/>
        <v/>
      </c>
      <c r="I404" s="57"/>
    </row>
    <row r="405" spans="2:9" ht="20.100000000000001" customHeight="1" x14ac:dyDescent="0.3">
      <c r="B405" s="344">
        <v>397</v>
      </c>
      <c r="C405" s="342" t="str">
        <f t="shared" si="38"/>
        <v/>
      </c>
      <c r="D405" s="341" t="str">
        <f t="shared" si="36"/>
        <v/>
      </c>
      <c r="E405" s="328" t="str">
        <f t="shared" si="39"/>
        <v/>
      </c>
      <c r="F405" s="339" t="str">
        <f t="shared" si="37"/>
        <v/>
      </c>
      <c r="G405" s="328" t="str">
        <f t="shared" si="40"/>
        <v/>
      </c>
      <c r="H405" s="340" t="str">
        <f t="shared" si="41"/>
        <v/>
      </c>
      <c r="I405" s="57"/>
    </row>
    <row r="406" spans="2:9" ht="20.100000000000001" customHeight="1" x14ac:dyDescent="0.3">
      <c r="B406" s="344">
        <v>398</v>
      </c>
      <c r="C406" s="342" t="str">
        <f t="shared" si="38"/>
        <v/>
      </c>
      <c r="D406" s="341" t="str">
        <f t="shared" si="36"/>
        <v/>
      </c>
      <c r="E406" s="328" t="str">
        <f t="shared" si="39"/>
        <v/>
      </c>
      <c r="F406" s="339" t="str">
        <f t="shared" si="37"/>
        <v/>
      </c>
      <c r="G406" s="328" t="str">
        <f t="shared" si="40"/>
        <v/>
      </c>
      <c r="H406" s="340" t="str">
        <f t="shared" si="41"/>
        <v/>
      </c>
      <c r="I406" s="57"/>
    </row>
    <row r="407" spans="2:9" ht="20.100000000000001" customHeight="1" x14ac:dyDescent="0.3">
      <c r="B407" s="344">
        <v>399</v>
      </c>
      <c r="C407" s="342" t="str">
        <f t="shared" si="38"/>
        <v/>
      </c>
      <c r="D407" s="341" t="str">
        <f t="shared" si="36"/>
        <v/>
      </c>
      <c r="E407" s="328" t="str">
        <f t="shared" si="39"/>
        <v/>
      </c>
      <c r="F407" s="339" t="str">
        <f t="shared" si="37"/>
        <v/>
      </c>
      <c r="G407" s="328" t="str">
        <f t="shared" si="40"/>
        <v/>
      </c>
      <c r="H407" s="340" t="str">
        <f t="shared" si="41"/>
        <v/>
      </c>
      <c r="I407" s="57"/>
    </row>
    <row r="408" spans="2:9" ht="20.100000000000001" customHeight="1" x14ac:dyDescent="0.3">
      <c r="B408" s="344">
        <v>400</v>
      </c>
      <c r="C408" s="342" t="str">
        <f t="shared" si="38"/>
        <v/>
      </c>
      <c r="D408" s="341" t="str">
        <f t="shared" si="36"/>
        <v/>
      </c>
      <c r="E408" s="328" t="str">
        <f t="shared" si="39"/>
        <v/>
      </c>
      <c r="F408" s="339" t="str">
        <f t="shared" si="37"/>
        <v/>
      </c>
      <c r="G408" s="328" t="str">
        <f t="shared" si="40"/>
        <v/>
      </c>
      <c r="H408" s="340" t="str">
        <f t="shared" si="41"/>
        <v/>
      </c>
      <c r="I408" s="57"/>
    </row>
    <row r="409" spans="2:9" ht="20.100000000000001" customHeight="1" x14ac:dyDescent="0.3">
      <c r="B409" s="344">
        <v>401</v>
      </c>
      <c r="C409" s="342" t="str">
        <f t="shared" si="38"/>
        <v/>
      </c>
      <c r="D409" s="341" t="str">
        <f t="shared" si="36"/>
        <v/>
      </c>
      <c r="E409" s="328" t="str">
        <f t="shared" si="39"/>
        <v/>
      </c>
      <c r="F409" s="339" t="str">
        <f t="shared" si="37"/>
        <v/>
      </c>
      <c r="G409" s="328" t="str">
        <f t="shared" si="40"/>
        <v/>
      </c>
      <c r="H409" s="340" t="str">
        <f t="shared" si="41"/>
        <v/>
      </c>
      <c r="I409" s="57"/>
    </row>
    <row r="410" spans="2:9" ht="20.100000000000001" customHeight="1" x14ac:dyDescent="0.3">
      <c r="B410" s="344">
        <v>402</v>
      </c>
      <c r="C410" s="342" t="str">
        <f t="shared" si="38"/>
        <v/>
      </c>
      <c r="D410" s="341" t="str">
        <f t="shared" si="36"/>
        <v/>
      </c>
      <c r="E410" s="328" t="str">
        <f t="shared" si="39"/>
        <v/>
      </c>
      <c r="F410" s="339" t="str">
        <f t="shared" si="37"/>
        <v/>
      </c>
      <c r="G410" s="328" t="str">
        <f t="shared" si="40"/>
        <v/>
      </c>
      <c r="H410" s="340" t="str">
        <f t="shared" si="41"/>
        <v/>
      </c>
      <c r="I410" s="57"/>
    </row>
    <row r="411" spans="2:9" ht="20.100000000000001" customHeight="1" x14ac:dyDescent="0.3">
      <c r="B411" s="344">
        <v>403</v>
      </c>
      <c r="C411" s="342" t="str">
        <f t="shared" si="38"/>
        <v/>
      </c>
      <c r="D411" s="341" t="str">
        <f t="shared" si="36"/>
        <v/>
      </c>
      <c r="E411" s="328" t="str">
        <f t="shared" si="39"/>
        <v/>
      </c>
      <c r="F411" s="339" t="str">
        <f t="shared" si="37"/>
        <v/>
      </c>
      <c r="G411" s="328" t="str">
        <f t="shared" si="40"/>
        <v/>
      </c>
      <c r="H411" s="340" t="str">
        <f t="shared" si="41"/>
        <v/>
      </c>
      <c r="I411" s="57"/>
    </row>
    <row r="412" spans="2:9" ht="20.100000000000001" customHeight="1" x14ac:dyDescent="0.3">
      <c r="B412" s="344">
        <v>404</v>
      </c>
      <c r="C412" s="342" t="str">
        <f t="shared" si="38"/>
        <v/>
      </c>
      <c r="D412" s="341" t="str">
        <f t="shared" si="36"/>
        <v/>
      </c>
      <c r="E412" s="328" t="str">
        <f t="shared" si="39"/>
        <v/>
      </c>
      <c r="F412" s="339" t="str">
        <f t="shared" si="37"/>
        <v/>
      </c>
      <c r="G412" s="328" t="str">
        <f t="shared" si="40"/>
        <v/>
      </c>
      <c r="H412" s="340" t="str">
        <f t="shared" si="41"/>
        <v/>
      </c>
      <c r="I412" s="57"/>
    </row>
    <row r="413" spans="2:9" ht="20.100000000000001" customHeight="1" x14ac:dyDescent="0.3">
      <c r="B413" s="344">
        <v>405</v>
      </c>
      <c r="C413" s="342" t="str">
        <f t="shared" si="38"/>
        <v/>
      </c>
      <c r="D413" s="341" t="str">
        <f t="shared" si="36"/>
        <v/>
      </c>
      <c r="E413" s="328" t="str">
        <f t="shared" si="39"/>
        <v/>
      </c>
      <c r="F413" s="339" t="str">
        <f t="shared" si="37"/>
        <v/>
      </c>
      <c r="G413" s="328" t="str">
        <f t="shared" si="40"/>
        <v/>
      </c>
      <c r="H413" s="340" t="str">
        <f t="shared" si="41"/>
        <v/>
      </c>
      <c r="I413" s="57"/>
    </row>
    <row r="414" spans="2:9" ht="20.100000000000001" customHeight="1" x14ac:dyDescent="0.3">
      <c r="B414" s="344">
        <v>406</v>
      </c>
      <c r="C414" s="342" t="str">
        <f t="shared" si="38"/>
        <v/>
      </c>
      <c r="D414" s="341" t="str">
        <f t="shared" si="36"/>
        <v/>
      </c>
      <c r="E414" s="328" t="str">
        <f t="shared" si="39"/>
        <v/>
      </c>
      <c r="F414" s="339" t="str">
        <f t="shared" si="37"/>
        <v/>
      </c>
      <c r="G414" s="328" t="str">
        <f t="shared" si="40"/>
        <v/>
      </c>
      <c r="H414" s="340" t="str">
        <f t="shared" si="41"/>
        <v/>
      </c>
      <c r="I414" s="57"/>
    </row>
    <row r="415" spans="2:9" ht="20.100000000000001" customHeight="1" x14ac:dyDescent="0.3">
      <c r="B415" s="344">
        <v>407</v>
      </c>
      <c r="C415" s="342" t="str">
        <f t="shared" si="38"/>
        <v/>
      </c>
      <c r="D415" s="341" t="str">
        <f t="shared" si="36"/>
        <v/>
      </c>
      <c r="E415" s="328" t="str">
        <f t="shared" si="39"/>
        <v/>
      </c>
      <c r="F415" s="339" t="str">
        <f t="shared" si="37"/>
        <v/>
      </c>
      <c r="G415" s="328" t="str">
        <f t="shared" si="40"/>
        <v/>
      </c>
      <c r="H415" s="340" t="str">
        <f t="shared" si="41"/>
        <v/>
      </c>
      <c r="I415" s="57"/>
    </row>
    <row r="416" spans="2:9" ht="20.100000000000001" customHeight="1" x14ac:dyDescent="0.3">
      <c r="B416" s="344">
        <v>408</v>
      </c>
      <c r="C416" s="342" t="str">
        <f t="shared" si="38"/>
        <v/>
      </c>
      <c r="D416" s="341" t="str">
        <f t="shared" si="36"/>
        <v/>
      </c>
      <c r="E416" s="328" t="str">
        <f t="shared" si="39"/>
        <v/>
      </c>
      <c r="F416" s="339" t="str">
        <f t="shared" si="37"/>
        <v/>
      </c>
      <c r="G416" s="328" t="str">
        <f t="shared" si="40"/>
        <v/>
      </c>
      <c r="H416" s="340" t="str">
        <f t="shared" si="41"/>
        <v/>
      </c>
      <c r="I416" s="57"/>
    </row>
    <row r="417" spans="2:9" ht="20.100000000000001" customHeight="1" x14ac:dyDescent="0.3">
      <c r="B417" s="344">
        <v>409</v>
      </c>
      <c r="C417" s="342" t="str">
        <f t="shared" si="38"/>
        <v/>
      </c>
      <c r="D417" s="341" t="str">
        <f t="shared" si="36"/>
        <v/>
      </c>
      <c r="E417" s="328" t="str">
        <f t="shared" si="39"/>
        <v/>
      </c>
      <c r="F417" s="339" t="str">
        <f t="shared" si="37"/>
        <v/>
      </c>
      <c r="G417" s="328" t="str">
        <f t="shared" si="40"/>
        <v/>
      </c>
      <c r="H417" s="340" t="str">
        <f t="shared" si="41"/>
        <v/>
      </c>
      <c r="I417" s="57"/>
    </row>
    <row r="418" spans="2:9" ht="20.100000000000001" customHeight="1" x14ac:dyDescent="0.3">
      <c r="B418" s="344">
        <v>410</v>
      </c>
      <c r="C418" s="342" t="str">
        <f t="shared" si="38"/>
        <v/>
      </c>
      <c r="D418" s="341" t="str">
        <f t="shared" si="36"/>
        <v/>
      </c>
      <c r="E418" s="328" t="str">
        <f t="shared" si="39"/>
        <v/>
      </c>
      <c r="F418" s="339" t="str">
        <f t="shared" si="37"/>
        <v/>
      </c>
      <c r="G418" s="328" t="str">
        <f t="shared" si="40"/>
        <v/>
      </c>
      <c r="H418" s="340" t="str">
        <f t="shared" si="41"/>
        <v/>
      </c>
      <c r="I418" s="57"/>
    </row>
    <row r="419" spans="2:9" ht="20.100000000000001" customHeight="1" x14ac:dyDescent="0.3">
      <c r="B419" s="344">
        <v>411</v>
      </c>
      <c r="C419" s="342" t="str">
        <f t="shared" si="38"/>
        <v/>
      </c>
      <c r="D419" s="341" t="str">
        <f t="shared" si="36"/>
        <v/>
      </c>
      <c r="E419" s="328" t="str">
        <f t="shared" si="39"/>
        <v/>
      </c>
      <c r="F419" s="339" t="str">
        <f t="shared" si="37"/>
        <v/>
      </c>
      <c r="G419" s="328" t="str">
        <f t="shared" si="40"/>
        <v/>
      </c>
      <c r="H419" s="340" t="str">
        <f t="shared" si="41"/>
        <v/>
      </c>
      <c r="I419" s="57"/>
    </row>
    <row r="420" spans="2:9" ht="20.100000000000001" customHeight="1" x14ac:dyDescent="0.3">
      <c r="B420" s="344">
        <v>412</v>
      </c>
      <c r="C420" s="342" t="str">
        <f t="shared" si="38"/>
        <v/>
      </c>
      <c r="D420" s="341" t="str">
        <f t="shared" si="36"/>
        <v/>
      </c>
      <c r="E420" s="328" t="str">
        <f t="shared" si="39"/>
        <v/>
      </c>
      <c r="F420" s="339" t="str">
        <f t="shared" si="37"/>
        <v/>
      </c>
      <c r="G420" s="328" t="str">
        <f t="shared" si="40"/>
        <v/>
      </c>
      <c r="H420" s="340" t="str">
        <f t="shared" si="41"/>
        <v/>
      </c>
      <c r="I420" s="57"/>
    </row>
    <row r="421" spans="2:9" ht="20.100000000000001" customHeight="1" x14ac:dyDescent="0.3">
      <c r="B421" s="344">
        <v>413</v>
      </c>
      <c r="C421" s="342" t="str">
        <f t="shared" si="38"/>
        <v/>
      </c>
      <c r="D421" s="341" t="str">
        <f t="shared" si="36"/>
        <v/>
      </c>
      <c r="E421" s="328" t="str">
        <f t="shared" si="39"/>
        <v/>
      </c>
      <c r="F421" s="339" t="str">
        <f t="shared" si="37"/>
        <v/>
      </c>
      <c r="G421" s="328" t="str">
        <f t="shared" si="40"/>
        <v/>
      </c>
      <c r="H421" s="340" t="str">
        <f t="shared" si="41"/>
        <v/>
      </c>
      <c r="I421" s="57"/>
    </row>
    <row r="422" spans="2:9" ht="20.100000000000001" customHeight="1" x14ac:dyDescent="0.3">
      <c r="B422" s="344">
        <v>414</v>
      </c>
      <c r="C422" s="342" t="str">
        <f t="shared" si="38"/>
        <v/>
      </c>
      <c r="D422" s="341" t="str">
        <f t="shared" si="36"/>
        <v/>
      </c>
      <c r="E422" s="328" t="str">
        <f t="shared" si="39"/>
        <v/>
      </c>
      <c r="F422" s="339" t="str">
        <f t="shared" si="37"/>
        <v/>
      </c>
      <c r="G422" s="328" t="str">
        <f t="shared" si="40"/>
        <v/>
      </c>
      <c r="H422" s="340" t="str">
        <f t="shared" si="41"/>
        <v/>
      </c>
      <c r="I422" s="57"/>
    </row>
    <row r="423" spans="2:9" ht="20.100000000000001" customHeight="1" x14ac:dyDescent="0.3">
      <c r="B423" s="344">
        <v>415</v>
      </c>
      <c r="C423" s="342" t="str">
        <f t="shared" si="38"/>
        <v/>
      </c>
      <c r="D423" s="341" t="str">
        <f t="shared" si="36"/>
        <v/>
      </c>
      <c r="E423" s="328" t="str">
        <f t="shared" si="39"/>
        <v/>
      </c>
      <c r="F423" s="339" t="str">
        <f t="shared" si="37"/>
        <v/>
      </c>
      <c r="G423" s="328" t="str">
        <f t="shared" si="40"/>
        <v/>
      </c>
      <c r="H423" s="340" t="str">
        <f t="shared" si="41"/>
        <v/>
      </c>
      <c r="I423" s="57"/>
    </row>
    <row r="424" spans="2:9" ht="20.100000000000001" customHeight="1" x14ac:dyDescent="0.3">
      <c r="B424" s="344">
        <v>416</v>
      </c>
      <c r="C424" s="342" t="str">
        <f t="shared" si="38"/>
        <v/>
      </c>
      <c r="D424" s="341" t="str">
        <f t="shared" si="36"/>
        <v/>
      </c>
      <c r="E424" s="328" t="str">
        <f t="shared" si="39"/>
        <v/>
      </c>
      <c r="F424" s="339" t="str">
        <f t="shared" si="37"/>
        <v/>
      </c>
      <c r="G424" s="328" t="str">
        <f t="shared" si="40"/>
        <v/>
      </c>
      <c r="H424" s="340" t="str">
        <f t="shared" si="41"/>
        <v/>
      </c>
      <c r="I424" s="57"/>
    </row>
    <row r="425" spans="2:9" ht="20.100000000000001" customHeight="1" x14ac:dyDescent="0.3">
      <c r="B425" s="344">
        <v>417</v>
      </c>
      <c r="C425" s="342" t="str">
        <f t="shared" si="38"/>
        <v/>
      </c>
      <c r="D425" s="341" t="str">
        <f t="shared" si="36"/>
        <v/>
      </c>
      <c r="E425" s="328" t="str">
        <f t="shared" si="39"/>
        <v/>
      </c>
      <c r="F425" s="339" t="str">
        <f t="shared" si="37"/>
        <v/>
      </c>
      <c r="G425" s="328" t="str">
        <f t="shared" si="40"/>
        <v/>
      </c>
      <c r="H425" s="340" t="str">
        <f t="shared" si="41"/>
        <v/>
      </c>
      <c r="I425" s="57"/>
    </row>
    <row r="426" spans="2:9" ht="20.100000000000001" customHeight="1" x14ac:dyDescent="0.3">
      <c r="B426" s="344">
        <v>418</v>
      </c>
      <c r="C426" s="342" t="str">
        <f t="shared" si="38"/>
        <v/>
      </c>
      <c r="D426" s="341" t="str">
        <f t="shared" si="36"/>
        <v/>
      </c>
      <c r="E426" s="328" t="str">
        <f t="shared" si="39"/>
        <v/>
      </c>
      <c r="F426" s="339" t="str">
        <f t="shared" si="37"/>
        <v/>
      </c>
      <c r="G426" s="328" t="str">
        <f t="shared" si="40"/>
        <v/>
      </c>
      <c r="H426" s="340" t="str">
        <f t="shared" si="41"/>
        <v/>
      </c>
      <c r="I426" s="57"/>
    </row>
    <row r="427" spans="2:9" ht="20.100000000000001" customHeight="1" x14ac:dyDescent="0.3">
      <c r="B427" s="344">
        <v>419</v>
      </c>
      <c r="C427" s="342" t="str">
        <f t="shared" si="38"/>
        <v/>
      </c>
      <c r="D427" s="341" t="str">
        <f t="shared" si="36"/>
        <v/>
      </c>
      <c r="E427" s="328" t="str">
        <f t="shared" si="39"/>
        <v/>
      </c>
      <c r="F427" s="339" t="str">
        <f t="shared" si="37"/>
        <v/>
      </c>
      <c r="G427" s="328" t="str">
        <f t="shared" si="40"/>
        <v/>
      </c>
      <c r="H427" s="340" t="str">
        <f t="shared" si="41"/>
        <v/>
      </c>
      <c r="I427" s="57"/>
    </row>
    <row r="428" spans="2:9" ht="20.100000000000001" customHeight="1" x14ac:dyDescent="0.3">
      <c r="B428" s="344">
        <v>420</v>
      </c>
      <c r="C428" s="342" t="str">
        <f t="shared" si="38"/>
        <v/>
      </c>
      <c r="D428" s="341" t="str">
        <f t="shared" si="36"/>
        <v/>
      </c>
      <c r="E428" s="328" t="str">
        <f t="shared" si="39"/>
        <v/>
      </c>
      <c r="F428" s="339" t="str">
        <f t="shared" si="37"/>
        <v/>
      </c>
      <c r="G428" s="328" t="str">
        <f t="shared" si="40"/>
        <v/>
      </c>
      <c r="H428" s="340" t="str">
        <f t="shared" si="41"/>
        <v/>
      </c>
      <c r="I428" s="57"/>
    </row>
    <row r="429" spans="2:9" ht="20.100000000000001" customHeight="1" x14ac:dyDescent="0.3">
      <c r="B429" s="344">
        <v>421</v>
      </c>
      <c r="C429" s="342" t="str">
        <f t="shared" si="38"/>
        <v/>
      </c>
      <c r="D429" s="341" t="str">
        <f t="shared" si="36"/>
        <v/>
      </c>
      <c r="E429" s="328" t="str">
        <f t="shared" si="39"/>
        <v/>
      </c>
      <c r="F429" s="339" t="str">
        <f t="shared" si="37"/>
        <v/>
      </c>
      <c r="G429" s="328" t="str">
        <f t="shared" si="40"/>
        <v/>
      </c>
      <c r="H429" s="340" t="str">
        <f t="shared" si="41"/>
        <v/>
      </c>
      <c r="I429" s="57"/>
    </row>
    <row r="430" spans="2:9" ht="20.100000000000001" customHeight="1" x14ac:dyDescent="0.3">
      <c r="B430" s="344">
        <v>422</v>
      </c>
      <c r="C430" s="342" t="str">
        <f t="shared" si="38"/>
        <v/>
      </c>
      <c r="D430" s="341" t="str">
        <f t="shared" si="36"/>
        <v/>
      </c>
      <c r="E430" s="328" t="str">
        <f t="shared" si="39"/>
        <v/>
      </c>
      <c r="F430" s="339" t="str">
        <f t="shared" si="37"/>
        <v/>
      </c>
      <c r="G430" s="328" t="str">
        <f t="shared" si="40"/>
        <v/>
      </c>
      <c r="H430" s="340" t="str">
        <f t="shared" si="41"/>
        <v/>
      </c>
      <c r="I430" s="57"/>
    </row>
    <row r="431" spans="2:9" ht="20.100000000000001" customHeight="1" x14ac:dyDescent="0.3">
      <c r="B431" s="344">
        <v>423</v>
      </c>
      <c r="C431" s="342" t="str">
        <f t="shared" si="38"/>
        <v/>
      </c>
      <c r="D431" s="341" t="str">
        <f t="shared" si="36"/>
        <v/>
      </c>
      <c r="E431" s="328" t="str">
        <f t="shared" si="39"/>
        <v/>
      </c>
      <c r="F431" s="339" t="str">
        <f t="shared" si="37"/>
        <v/>
      </c>
      <c r="G431" s="328" t="str">
        <f t="shared" si="40"/>
        <v/>
      </c>
      <c r="H431" s="340" t="str">
        <f t="shared" si="41"/>
        <v/>
      </c>
      <c r="I431" s="57"/>
    </row>
    <row r="432" spans="2:9" ht="20.100000000000001" customHeight="1" x14ac:dyDescent="0.3">
      <c r="B432" s="344">
        <v>424</v>
      </c>
      <c r="C432" s="342" t="str">
        <f t="shared" si="38"/>
        <v/>
      </c>
      <c r="D432" s="341" t="str">
        <f t="shared" si="36"/>
        <v/>
      </c>
      <c r="E432" s="328" t="str">
        <f t="shared" si="39"/>
        <v/>
      </c>
      <c r="F432" s="339" t="str">
        <f t="shared" si="37"/>
        <v/>
      </c>
      <c r="G432" s="328" t="str">
        <f t="shared" si="40"/>
        <v/>
      </c>
      <c r="H432" s="340" t="str">
        <f t="shared" si="41"/>
        <v/>
      </c>
      <c r="I432" s="57"/>
    </row>
    <row r="433" spans="2:9" ht="20.100000000000001" customHeight="1" x14ac:dyDescent="0.3">
      <c r="B433" s="344">
        <v>425</v>
      </c>
      <c r="C433" s="342" t="str">
        <f t="shared" si="38"/>
        <v/>
      </c>
      <c r="D433" s="341" t="str">
        <f t="shared" si="36"/>
        <v/>
      </c>
      <c r="E433" s="328" t="str">
        <f t="shared" si="39"/>
        <v/>
      </c>
      <c r="F433" s="339" t="str">
        <f t="shared" si="37"/>
        <v/>
      </c>
      <c r="G433" s="328" t="str">
        <f t="shared" si="40"/>
        <v/>
      </c>
      <c r="H433" s="340" t="str">
        <f t="shared" si="41"/>
        <v/>
      </c>
      <c r="I433" s="57"/>
    </row>
    <row r="434" spans="2:9" ht="20.100000000000001" customHeight="1" x14ac:dyDescent="0.3">
      <c r="B434" s="344">
        <v>426</v>
      </c>
      <c r="C434" s="342" t="str">
        <f t="shared" si="38"/>
        <v/>
      </c>
      <c r="D434" s="341" t="str">
        <f t="shared" si="36"/>
        <v/>
      </c>
      <c r="E434" s="328" t="str">
        <f t="shared" si="39"/>
        <v/>
      </c>
      <c r="F434" s="339" t="str">
        <f t="shared" si="37"/>
        <v/>
      </c>
      <c r="G434" s="328" t="str">
        <f t="shared" si="40"/>
        <v/>
      </c>
      <c r="H434" s="340" t="str">
        <f t="shared" si="41"/>
        <v/>
      </c>
      <c r="I434" s="57"/>
    </row>
    <row r="435" spans="2:9" ht="20.100000000000001" customHeight="1" x14ac:dyDescent="0.3">
      <c r="B435" s="344">
        <v>427</v>
      </c>
      <c r="C435" s="342" t="str">
        <f t="shared" si="38"/>
        <v/>
      </c>
      <c r="D435" s="341" t="str">
        <f t="shared" si="36"/>
        <v/>
      </c>
      <c r="E435" s="328" t="str">
        <f t="shared" si="39"/>
        <v/>
      </c>
      <c r="F435" s="339" t="str">
        <f t="shared" si="37"/>
        <v/>
      </c>
      <c r="G435" s="328" t="str">
        <f t="shared" si="40"/>
        <v/>
      </c>
      <c r="H435" s="340" t="str">
        <f t="shared" si="41"/>
        <v/>
      </c>
      <c r="I435" s="57"/>
    </row>
    <row r="436" spans="2:9" ht="20.100000000000001" customHeight="1" x14ac:dyDescent="0.3">
      <c r="B436" s="344">
        <v>428</v>
      </c>
      <c r="C436" s="342" t="str">
        <f t="shared" si="38"/>
        <v/>
      </c>
      <c r="D436" s="341" t="str">
        <f t="shared" si="36"/>
        <v/>
      </c>
      <c r="E436" s="328" t="str">
        <f t="shared" si="39"/>
        <v/>
      </c>
      <c r="F436" s="339" t="str">
        <f t="shared" si="37"/>
        <v/>
      </c>
      <c r="G436" s="328" t="str">
        <f t="shared" si="40"/>
        <v/>
      </c>
      <c r="H436" s="340" t="str">
        <f t="shared" si="41"/>
        <v/>
      </c>
      <c r="I436" s="57"/>
    </row>
    <row r="437" spans="2:9" ht="20.100000000000001" customHeight="1" x14ac:dyDescent="0.3">
      <c r="B437" s="344">
        <v>429</v>
      </c>
      <c r="C437" s="342" t="str">
        <f t="shared" si="38"/>
        <v/>
      </c>
      <c r="D437" s="341" t="str">
        <f t="shared" si="36"/>
        <v/>
      </c>
      <c r="E437" s="328" t="str">
        <f t="shared" si="39"/>
        <v/>
      </c>
      <c r="F437" s="339" t="str">
        <f t="shared" si="37"/>
        <v/>
      </c>
      <c r="G437" s="328" t="str">
        <f t="shared" si="40"/>
        <v/>
      </c>
      <c r="H437" s="340" t="str">
        <f t="shared" si="41"/>
        <v/>
      </c>
      <c r="I437" s="57"/>
    </row>
    <row r="438" spans="2:9" ht="20.100000000000001" customHeight="1" x14ac:dyDescent="0.3">
      <c r="B438" s="344">
        <v>430</v>
      </c>
      <c r="C438" s="342" t="str">
        <f t="shared" si="38"/>
        <v/>
      </c>
      <c r="D438" s="341" t="str">
        <f t="shared" si="36"/>
        <v/>
      </c>
      <c r="E438" s="328" t="str">
        <f t="shared" si="39"/>
        <v/>
      </c>
      <c r="F438" s="339" t="str">
        <f t="shared" si="37"/>
        <v/>
      </c>
      <c r="G438" s="328" t="str">
        <f t="shared" si="40"/>
        <v/>
      </c>
      <c r="H438" s="340" t="str">
        <f t="shared" si="41"/>
        <v/>
      </c>
      <c r="I438" s="57"/>
    </row>
    <row r="439" spans="2:9" ht="20.100000000000001" customHeight="1" x14ac:dyDescent="0.3">
      <c r="B439" s="344">
        <v>431</v>
      </c>
      <c r="C439" s="342" t="str">
        <f t="shared" si="38"/>
        <v/>
      </c>
      <c r="D439" s="341" t="str">
        <f t="shared" si="36"/>
        <v/>
      </c>
      <c r="E439" s="328" t="str">
        <f t="shared" si="39"/>
        <v/>
      </c>
      <c r="F439" s="339" t="str">
        <f t="shared" si="37"/>
        <v/>
      </c>
      <c r="G439" s="328" t="str">
        <f t="shared" si="40"/>
        <v/>
      </c>
      <c r="H439" s="340" t="str">
        <f t="shared" si="41"/>
        <v/>
      </c>
      <c r="I439" s="57"/>
    </row>
    <row r="440" spans="2:9" ht="20.100000000000001" customHeight="1" x14ac:dyDescent="0.3">
      <c r="B440" s="344">
        <v>432</v>
      </c>
      <c r="C440" s="342" t="str">
        <f t="shared" si="38"/>
        <v/>
      </c>
      <c r="D440" s="341" t="str">
        <f t="shared" si="36"/>
        <v/>
      </c>
      <c r="E440" s="328" t="str">
        <f t="shared" si="39"/>
        <v/>
      </c>
      <c r="F440" s="339" t="str">
        <f t="shared" si="37"/>
        <v/>
      </c>
      <c r="G440" s="328" t="str">
        <f t="shared" si="40"/>
        <v/>
      </c>
      <c r="H440" s="340" t="str">
        <f t="shared" si="41"/>
        <v/>
      </c>
      <c r="I440" s="57"/>
    </row>
    <row r="441" spans="2:9" ht="20.100000000000001" customHeight="1" x14ac:dyDescent="0.3">
      <c r="B441" s="344">
        <v>433</v>
      </c>
      <c r="C441" s="342" t="str">
        <f t="shared" si="38"/>
        <v/>
      </c>
      <c r="D441" s="341" t="str">
        <f t="shared" si="36"/>
        <v/>
      </c>
      <c r="E441" s="328" t="str">
        <f t="shared" si="39"/>
        <v/>
      </c>
      <c r="F441" s="339" t="str">
        <f t="shared" si="37"/>
        <v/>
      </c>
      <c r="G441" s="328" t="str">
        <f t="shared" si="40"/>
        <v/>
      </c>
      <c r="H441" s="340" t="str">
        <f t="shared" si="41"/>
        <v/>
      </c>
      <c r="I441" s="57"/>
    </row>
    <row r="442" spans="2:9" ht="20.100000000000001" customHeight="1" x14ac:dyDescent="0.3">
      <c r="B442" s="344">
        <v>434</v>
      </c>
      <c r="C442" s="342" t="str">
        <f t="shared" si="38"/>
        <v/>
      </c>
      <c r="D442" s="341" t="str">
        <f t="shared" si="36"/>
        <v/>
      </c>
      <c r="E442" s="328" t="str">
        <f t="shared" si="39"/>
        <v/>
      </c>
      <c r="F442" s="339" t="str">
        <f t="shared" si="37"/>
        <v/>
      </c>
      <c r="G442" s="328" t="str">
        <f t="shared" si="40"/>
        <v/>
      </c>
      <c r="H442" s="340" t="str">
        <f t="shared" si="41"/>
        <v/>
      </c>
      <c r="I442" s="57"/>
    </row>
    <row r="443" spans="2:9" ht="20.100000000000001" customHeight="1" x14ac:dyDescent="0.3">
      <c r="B443" s="344">
        <v>435</v>
      </c>
      <c r="C443" s="342" t="str">
        <f t="shared" si="38"/>
        <v/>
      </c>
      <c r="D443" s="341" t="str">
        <f t="shared" si="36"/>
        <v/>
      </c>
      <c r="E443" s="328" t="str">
        <f t="shared" si="39"/>
        <v/>
      </c>
      <c r="F443" s="339" t="str">
        <f t="shared" si="37"/>
        <v/>
      </c>
      <c r="G443" s="328" t="str">
        <f t="shared" si="40"/>
        <v/>
      </c>
      <c r="H443" s="340" t="str">
        <f t="shared" si="41"/>
        <v/>
      </c>
      <c r="I443" s="57"/>
    </row>
    <row r="444" spans="2:9" ht="20.100000000000001" customHeight="1" x14ac:dyDescent="0.3">
      <c r="B444" s="344">
        <v>436</v>
      </c>
      <c r="C444" s="342" t="str">
        <f t="shared" si="38"/>
        <v/>
      </c>
      <c r="D444" s="341" t="str">
        <f t="shared" si="36"/>
        <v/>
      </c>
      <c r="E444" s="328" t="str">
        <f t="shared" si="39"/>
        <v/>
      </c>
      <c r="F444" s="339" t="str">
        <f t="shared" si="37"/>
        <v/>
      </c>
      <c r="G444" s="328" t="str">
        <f t="shared" si="40"/>
        <v/>
      </c>
      <c r="H444" s="340" t="str">
        <f t="shared" si="41"/>
        <v/>
      </c>
      <c r="I444" s="57"/>
    </row>
    <row r="445" spans="2:9" ht="20.100000000000001" customHeight="1" x14ac:dyDescent="0.3">
      <c r="B445" s="344">
        <v>437</v>
      </c>
      <c r="C445" s="342" t="str">
        <f t="shared" si="38"/>
        <v/>
      </c>
      <c r="D445" s="341" t="str">
        <f t="shared" si="36"/>
        <v/>
      </c>
      <c r="E445" s="328" t="str">
        <f t="shared" si="39"/>
        <v/>
      </c>
      <c r="F445" s="339" t="str">
        <f t="shared" si="37"/>
        <v/>
      </c>
      <c r="G445" s="328" t="str">
        <f t="shared" si="40"/>
        <v/>
      </c>
      <c r="H445" s="340" t="str">
        <f t="shared" si="41"/>
        <v/>
      </c>
      <c r="I445" s="57"/>
    </row>
    <row r="446" spans="2:9" ht="20.100000000000001" customHeight="1" x14ac:dyDescent="0.3">
      <c r="B446" s="344">
        <v>438</v>
      </c>
      <c r="C446" s="342" t="str">
        <f t="shared" si="38"/>
        <v/>
      </c>
      <c r="D446" s="341" t="str">
        <f t="shared" si="36"/>
        <v/>
      </c>
      <c r="E446" s="328" t="str">
        <f t="shared" si="39"/>
        <v/>
      </c>
      <c r="F446" s="339" t="str">
        <f t="shared" si="37"/>
        <v/>
      </c>
      <c r="G446" s="328" t="str">
        <f t="shared" si="40"/>
        <v/>
      </c>
      <c r="H446" s="340" t="str">
        <f t="shared" si="41"/>
        <v/>
      </c>
      <c r="I446" s="57"/>
    </row>
    <row r="447" spans="2:9" ht="20.100000000000001" customHeight="1" x14ac:dyDescent="0.3">
      <c r="B447" s="344">
        <v>439</v>
      </c>
      <c r="C447" s="342" t="str">
        <f t="shared" si="38"/>
        <v/>
      </c>
      <c r="D447" s="341" t="str">
        <f t="shared" si="36"/>
        <v/>
      </c>
      <c r="E447" s="328" t="str">
        <f t="shared" si="39"/>
        <v/>
      </c>
      <c r="F447" s="339" t="str">
        <f t="shared" si="37"/>
        <v/>
      </c>
      <c r="G447" s="328" t="str">
        <f t="shared" si="40"/>
        <v/>
      </c>
      <c r="H447" s="340" t="str">
        <f t="shared" si="41"/>
        <v/>
      </c>
      <c r="I447" s="57"/>
    </row>
    <row r="448" spans="2:9" ht="20.100000000000001" customHeight="1" x14ac:dyDescent="0.3">
      <c r="B448" s="344">
        <v>440</v>
      </c>
      <c r="C448" s="342" t="str">
        <f t="shared" si="38"/>
        <v/>
      </c>
      <c r="D448" s="341" t="str">
        <f t="shared" si="36"/>
        <v/>
      </c>
      <c r="E448" s="328" t="str">
        <f t="shared" si="39"/>
        <v/>
      </c>
      <c r="F448" s="339" t="str">
        <f t="shared" si="37"/>
        <v/>
      </c>
      <c r="G448" s="328" t="str">
        <f t="shared" si="40"/>
        <v/>
      </c>
      <c r="H448" s="340" t="str">
        <f t="shared" si="41"/>
        <v/>
      </c>
      <c r="I448" s="57"/>
    </row>
    <row r="449" spans="2:9" ht="20.100000000000001" customHeight="1" x14ac:dyDescent="0.3">
      <c r="B449" s="344">
        <v>441</v>
      </c>
      <c r="C449" s="342" t="str">
        <f t="shared" si="38"/>
        <v/>
      </c>
      <c r="D449" s="341" t="str">
        <f t="shared" si="36"/>
        <v/>
      </c>
      <c r="E449" s="328" t="str">
        <f t="shared" si="39"/>
        <v/>
      </c>
      <c r="F449" s="339" t="str">
        <f t="shared" si="37"/>
        <v/>
      </c>
      <c r="G449" s="328" t="str">
        <f t="shared" si="40"/>
        <v/>
      </c>
      <c r="H449" s="340" t="str">
        <f t="shared" si="41"/>
        <v/>
      </c>
      <c r="I449" s="57"/>
    </row>
    <row r="450" spans="2:9" ht="20.100000000000001" customHeight="1" x14ac:dyDescent="0.3">
      <c r="B450" s="344">
        <v>442</v>
      </c>
      <c r="C450" s="342" t="str">
        <f t="shared" si="38"/>
        <v/>
      </c>
      <c r="D450" s="341" t="str">
        <f t="shared" si="36"/>
        <v/>
      </c>
      <c r="E450" s="328" t="str">
        <f t="shared" si="39"/>
        <v/>
      </c>
      <c r="F450" s="339" t="str">
        <f t="shared" si="37"/>
        <v/>
      </c>
      <c r="G450" s="328" t="str">
        <f t="shared" si="40"/>
        <v/>
      </c>
      <c r="H450" s="340" t="str">
        <f t="shared" si="41"/>
        <v/>
      </c>
      <c r="I450" s="57"/>
    </row>
    <row r="451" spans="2:9" ht="20.100000000000001" customHeight="1" x14ac:dyDescent="0.3">
      <c r="B451" s="344">
        <v>443</v>
      </c>
      <c r="C451" s="342" t="str">
        <f t="shared" si="38"/>
        <v/>
      </c>
      <c r="D451" s="341" t="str">
        <f t="shared" si="36"/>
        <v/>
      </c>
      <c r="E451" s="328" t="str">
        <f t="shared" si="39"/>
        <v/>
      </c>
      <c r="F451" s="339" t="str">
        <f t="shared" si="37"/>
        <v/>
      </c>
      <c r="G451" s="328" t="str">
        <f t="shared" si="40"/>
        <v/>
      </c>
      <c r="H451" s="340" t="str">
        <f t="shared" si="41"/>
        <v/>
      </c>
      <c r="I451" s="57"/>
    </row>
    <row r="452" spans="2:9" ht="20.100000000000001" customHeight="1" x14ac:dyDescent="0.3">
      <c r="B452" s="344">
        <v>444</v>
      </c>
      <c r="C452" s="342" t="str">
        <f t="shared" si="38"/>
        <v/>
      </c>
      <c r="D452" s="341" t="str">
        <f t="shared" si="36"/>
        <v/>
      </c>
      <c r="E452" s="328" t="str">
        <f t="shared" si="39"/>
        <v/>
      </c>
      <c r="F452" s="339" t="str">
        <f t="shared" si="37"/>
        <v/>
      </c>
      <c r="G452" s="328" t="str">
        <f t="shared" si="40"/>
        <v/>
      </c>
      <c r="H452" s="340" t="str">
        <f t="shared" si="41"/>
        <v/>
      </c>
      <c r="I452" s="57"/>
    </row>
    <row r="453" spans="2:9" ht="20.100000000000001" customHeight="1" x14ac:dyDescent="0.3">
      <c r="B453" s="344">
        <v>445</v>
      </c>
      <c r="C453" s="342" t="str">
        <f t="shared" si="38"/>
        <v/>
      </c>
      <c r="D453" s="341" t="str">
        <f t="shared" si="36"/>
        <v/>
      </c>
      <c r="E453" s="328" t="str">
        <f t="shared" si="39"/>
        <v/>
      </c>
      <c r="F453" s="339" t="str">
        <f t="shared" si="37"/>
        <v/>
      </c>
      <c r="G453" s="328" t="str">
        <f t="shared" si="40"/>
        <v/>
      </c>
      <c r="H453" s="340" t="str">
        <f t="shared" si="41"/>
        <v/>
      </c>
      <c r="I453" s="57"/>
    </row>
    <row r="454" spans="2:9" ht="20.100000000000001" customHeight="1" x14ac:dyDescent="0.3">
      <c r="B454" s="344">
        <v>446</v>
      </c>
      <c r="C454" s="342" t="str">
        <f t="shared" si="38"/>
        <v/>
      </c>
      <c r="D454" s="341" t="str">
        <f t="shared" si="36"/>
        <v/>
      </c>
      <c r="E454" s="328" t="str">
        <f t="shared" si="39"/>
        <v/>
      </c>
      <c r="F454" s="339" t="str">
        <f t="shared" si="37"/>
        <v/>
      </c>
      <c r="G454" s="328" t="str">
        <f t="shared" si="40"/>
        <v/>
      </c>
      <c r="H454" s="340" t="str">
        <f t="shared" si="41"/>
        <v/>
      </c>
      <c r="I454" s="57"/>
    </row>
    <row r="455" spans="2:9" ht="20.100000000000001" customHeight="1" x14ac:dyDescent="0.3">
      <c r="B455" s="344">
        <v>447</v>
      </c>
      <c r="C455" s="342" t="str">
        <f t="shared" si="38"/>
        <v/>
      </c>
      <c r="D455" s="341" t="str">
        <f t="shared" si="36"/>
        <v/>
      </c>
      <c r="E455" s="328" t="str">
        <f t="shared" si="39"/>
        <v/>
      </c>
      <c r="F455" s="339" t="str">
        <f t="shared" si="37"/>
        <v/>
      </c>
      <c r="G455" s="328" t="str">
        <f t="shared" si="40"/>
        <v/>
      </c>
      <c r="H455" s="340" t="str">
        <f t="shared" si="41"/>
        <v/>
      </c>
      <c r="I455" s="57"/>
    </row>
    <row r="456" spans="2:9" ht="20.100000000000001" customHeight="1" x14ac:dyDescent="0.3">
      <c r="B456" s="344">
        <v>448</v>
      </c>
      <c r="C456" s="342" t="str">
        <f t="shared" si="38"/>
        <v/>
      </c>
      <c r="D456" s="341" t="str">
        <f t="shared" si="36"/>
        <v/>
      </c>
      <c r="E456" s="328" t="str">
        <f t="shared" si="39"/>
        <v/>
      </c>
      <c r="F456" s="339" t="str">
        <f t="shared" si="37"/>
        <v/>
      </c>
      <c r="G456" s="328" t="str">
        <f t="shared" si="40"/>
        <v/>
      </c>
      <c r="H456" s="340" t="str">
        <f t="shared" si="41"/>
        <v/>
      </c>
      <c r="I456" s="57"/>
    </row>
    <row r="457" spans="2:9" ht="20.100000000000001" customHeight="1" x14ac:dyDescent="0.3">
      <c r="B457" s="344">
        <v>449</v>
      </c>
      <c r="C457" s="342" t="str">
        <f t="shared" si="38"/>
        <v/>
      </c>
      <c r="D457" s="341" t="str">
        <f t="shared" si="36"/>
        <v/>
      </c>
      <c r="E457" s="328" t="str">
        <f t="shared" si="39"/>
        <v/>
      </c>
      <c r="F457" s="339" t="str">
        <f t="shared" si="37"/>
        <v/>
      </c>
      <c r="G457" s="328" t="str">
        <f t="shared" si="40"/>
        <v/>
      </c>
      <c r="H457" s="340" t="str">
        <f t="shared" si="41"/>
        <v/>
      </c>
      <c r="I457" s="57"/>
    </row>
    <row r="458" spans="2:9" ht="20.100000000000001" customHeight="1" x14ac:dyDescent="0.3">
      <c r="B458" s="344">
        <v>450</v>
      </c>
      <c r="C458" s="342" t="str">
        <f t="shared" si="38"/>
        <v/>
      </c>
      <c r="D458" s="341" t="str">
        <f t="shared" ref="D458:D521" si="42">IF($H$4="","",IF($F$4="원리금균등상환",IFERROR(IF(B458&lt;=$D$6,0,-PPMT($E$4/12,B458-$D$6,($B$6-$D$6),$D$4)),""),IF($F$4="원금균등상환",IF(B458&lt;($D$6+1),0,IF(B458&gt;$B$6,0,$D$4/($B$6-$D$6))),"")))</f>
        <v/>
      </c>
      <c r="E458" s="328" t="str">
        <f t="shared" si="39"/>
        <v/>
      </c>
      <c r="F458" s="339" t="str">
        <f t="shared" ref="F458:F521" si="43">IF($H$4="","",IF($F$4="원리금균등상환",IFERROR(D458+E458,""),IF($F$4="원금균등상환",D458+E458,"")))</f>
        <v/>
      </c>
      <c r="G458" s="328" t="str">
        <f t="shared" si="40"/>
        <v/>
      </c>
      <c r="H458" s="340" t="str">
        <f t="shared" si="41"/>
        <v/>
      </c>
      <c r="I458" s="57"/>
    </row>
    <row r="459" spans="2:9" ht="20.100000000000001" customHeight="1" x14ac:dyDescent="0.3">
      <c r="B459" s="344">
        <v>451</v>
      </c>
      <c r="C459" s="342" t="str">
        <f t="shared" ref="C459:C522" si="44">IF($H$4="","",IF(B459&gt;($B$6),"",IF(B459&lt;=($B$6),DATE(YEAR($G$4),MONTH($G$4)+B458,DAY($G$4)),"")))</f>
        <v/>
      </c>
      <c r="D459" s="341" t="str">
        <f t="shared" si="42"/>
        <v/>
      </c>
      <c r="E459" s="328" t="str">
        <f t="shared" ref="E459:E522" si="45">IF($H$4="","",IF($F$4="원리금균등상환",IFERROR(IF(B459&lt;=$D$6,$H458*($E$4/12),-IPMT($E$4/12,B459-$D$6,($B$6-$D$6),$D$4)),""),IF($F$4="원금균등상환",(H458-D459)*$E$4/12,"")))</f>
        <v/>
      </c>
      <c r="F459" s="339" t="str">
        <f t="shared" si="43"/>
        <v/>
      </c>
      <c r="G459" s="328" t="str">
        <f t="shared" ref="G459:G522" si="46">IFERROR(IF(B459&gt;(($D$6+$B$6)*12),"",IF(B459=1,D459,D459+G458)),"")</f>
        <v/>
      </c>
      <c r="H459" s="340" t="str">
        <f t="shared" ref="H459:H522" si="47">IFERROR(IF($H$4="","",H458-D459),"")</f>
        <v/>
      </c>
      <c r="I459" s="57"/>
    </row>
    <row r="460" spans="2:9" ht="20.100000000000001" customHeight="1" x14ac:dyDescent="0.3">
      <c r="B460" s="344">
        <v>452</v>
      </c>
      <c r="C460" s="342" t="str">
        <f t="shared" si="44"/>
        <v/>
      </c>
      <c r="D460" s="341" t="str">
        <f t="shared" si="42"/>
        <v/>
      </c>
      <c r="E460" s="328" t="str">
        <f t="shared" si="45"/>
        <v/>
      </c>
      <c r="F460" s="339" t="str">
        <f t="shared" si="43"/>
        <v/>
      </c>
      <c r="G460" s="328" t="str">
        <f t="shared" si="46"/>
        <v/>
      </c>
      <c r="H460" s="340" t="str">
        <f t="shared" si="47"/>
        <v/>
      </c>
      <c r="I460" s="57"/>
    </row>
    <row r="461" spans="2:9" ht="20.100000000000001" customHeight="1" x14ac:dyDescent="0.3">
      <c r="B461" s="344">
        <v>453</v>
      </c>
      <c r="C461" s="342" t="str">
        <f t="shared" si="44"/>
        <v/>
      </c>
      <c r="D461" s="341" t="str">
        <f t="shared" si="42"/>
        <v/>
      </c>
      <c r="E461" s="328" t="str">
        <f t="shared" si="45"/>
        <v/>
      </c>
      <c r="F461" s="339" t="str">
        <f t="shared" si="43"/>
        <v/>
      </c>
      <c r="G461" s="328" t="str">
        <f t="shared" si="46"/>
        <v/>
      </c>
      <c r="H461" s="340" t="str">
        <f t="shared" si="47"/>
        <v/>
      </c>
      <c r="I461" s="57"/>
    </row>
    <row r="462" spans="2:9" ht="20.100000000000001" customHeight="1" x14ac:dyDescent="0.3">
      <c r="B462" s="344">
        <v>454</v>
      </c>
      <c r="C462" s="342" t="str">
        <f t="shared" si="44"/>
        <v/>
      </c>
      <c r="D462" s="341" t="str">
        <f t="shared" si="42"/>
        <v/>
      </c>
      <c r="E462" s="328" t="str">
        <f t="shared" si="45"/>
        <v/>
      </c>
      <c r="F462" s="339" t="str">
        <f t="shared" si="43"/>
        <v/>
      </c>
      <c r="G462" s="328" t="str">
        <f t="shared" si="46"/>
        <v/>
      </c>
      <c r="H462" s="340" t="str">
        <f t="shared" si="47"/>
        <v/>
      </c>
      <c r="I462" s="57"/>
    </row>
    <row r="463" spans="2:9" ht="20.100000000000001" customHeight="1" x14ac:dyDescent="0.3">
      <c r="B463" s="344">
        <v>455</v>
      </c>
      <c r="C463" s="342" t="str">
        <f t="shared" si="44"/>
        <v/>
      </c>
      <c r="D463" s="341" t="str">
        <f t="shared" si="42"/>
        <v/>
      </c>
      <c r="E463" s="328" t="str">
        <f t="shared" si="45"/>
        <v/>
      </c>
      <c r="F463" s="339" t="str">
        <f t="shared" si="43"/>
        <v/>
      </c>
      <c r="G463" s="328" t="str">
        <f t="shared" si="46"/>
        <v/>
      </c>
      <c r="H463" s="340" t="str">
        <f t="shared" si="47"/>
        <v/>
      </c>
      <c r="I463" s="57"/>
    </row>
    <row r="464" spans="2:9" ht="20.100000000000001" customHeight="1" x14ac:dyDescent="0.3">
      <c r="B464" s="344">
        <v>456</v>
      </c>
      <c r="C464" s="342" t="str">
        <f t="shared" si="44"/>
        <v/>
      </c>
      <c r="D464" s="341" t="str">
        <f t="shared" si="42"/>
        <v/>
      </c>
      <c r="E464" s="328" t="str">
        <f t="shared" si="45"/>
        <v/>
      </c>
      <c r="F464" s="339" t="str">
        <f t="shared" si="43"/>
        <v/>
      </c>
      <c r="G464" s="328" t="str">
        <f t="shared" si="46"/>
        <v/>
      </c>
      <c r="H464" s="340" t="str">
        <f t="shared" si="47"/>
        <v/>
      </c>
      <c r="I464" s="57"/>
    </row>
    <row r="465" spans="2:9" ht="20.100000000000001" customHeight="1" x14ac:dyDescent="0.3">
      <c r="B465" s="344">
        <v>457</v>
      </c>
      <c r="C465" s="342" t="str">
        <f t="shared" si="44"/>
        <v/>
      </c>
      <c r="D465" s="341" t="str">
        <f t="shared" si="42"/>
        <v/>
      </c>
      <c r="E465" s="328" t="str">
        <f t="shared" si="45"/>
        <v/>
      </c>
      <c r="F465" s="339" t="str">
        <f t="shared" si="43"/>
        <v/>
      </c>
      <c r="G465" s="328" t="str">
        <f t="shared" si="46"/>
        <v/>
      </c>
      <c r="H465" s="340" t="str">
        <f t="shared" si="47"/>
        <v/>
      </c>
      <c r="I465" s="57"/>
    </row>
    <row r="466" spans="2:9" ht="20.100000000000001" customHeight="1" x14ac:dyDescent="0.3">
      <c r="B466" s="344">
        <v>458</v>
      </c>
      <c r="C466" s="342" t="str">
        <f t="shared" si="44"/>
        <v/>
      </c>
      <c r="D466" s="341" t="str">
        <f t="shared" si="42"/>
        <v/>
      </c>
      <c r="E466" s="328" t="str">
        <f t="shared" si="45"/>
        <v/>
      </c>
      <c r="F466" s="339" t="str">
        <f t="shared" si="43"/>
        <v/>
      </c>
      <c r="G466" s="328" t="str">
        <f t="shared" si="46"/>
        <v/>
      </c>
      <c r="H466" s="340" t="str">
        <f t="shared" si="47"/>
        <v/>
      </c>
      <c r="I466" s="57"/>
    </row>
    <row r="467" spans="2:9" ht="20.100000000000001" customHeight="1" x14ac:dyDescent="0.3">
      <c r="B467" s="344">
        <v>459</v>
      </c>
      <c r="C467" s="342" t="str">
        <f t="shared" si="44"/>
        <v/>
      </c>
      <c r="D467" s="341" t="str">
        <f t="shared" si="42"/>
        <v/>
      </c>
      <c r="E467" s="328" t="str">
        <f t="shared" si="45"/>
        <v/>
      </c>
      <c r="F467" s="339" t="str">
        <f t="shared" si="43"/>
        <v/>
      </c>
      <c r="G467" s="328" t="str">
        <f t="shared" si="46"/>
        <v/>
      </c>
      <c r="H467" s="340" t="str">
        <f t="shared" si="47"/>
        <v/>
      </c>
      <c r="I467" s="57"/>
    </row>
    <row r="468" spans="2:9" ht="20.100000000000001" customHeight="1" x14ac:dyDescent="0.3">
      <c r="B468" s="344">
        <v>460</v>
      </c>
      <c r="C468" s="342" t="str">
        <f t="shared" si="44"/>
        <v/>
      </c>
      <c r="D468" s="341" t="str">
        <f t="shared" si="42"/>
        <v/>
      </c>
      <c r="E468" s="328" t="str">
        <f t="shared" si="45"/>
        <v/>
      </c>
      <c r="F468" s="339" t="str">
        <f t="shared" si="43"/>
        <v/>
      </c>
      <c r="G468" s="328" t="str">
        <f t="shared" si="46"/>
        <v/>
      </c>
      <c r="H468" s="340" t="str">
        <f t="shared" si="47"/>
        <v/>
      </c>
      <c r="I468" s="57"/>
    </row>
    <row r="469" spans="2:9" ht="20.100000000000001" customHeight="1" x14ac:dyDescent="0.3">
      <c r="B469" s="344">
        <v>461</v>
      </c>
      <c r="C469" s="342" t="str">
        <f t="shared" si="44"/>
        <v/>
      </c>
      <c r="D469" s="341" t="str">
        <f t="shared" si="42"/>
        <v/>
      </c>
      <c r="E469" s="328" t="str">
        <f t="shared" si="45"/>
        <v/>
      </c>
      <c r="F469" s="339" t="str">
        <f t="shared" si="43"/>
        <v/>
      </c>
      <c r="G469" s="328" t="str">
        <f t="shared" si="46"/>
        <v/>
      </c>
      <c r="H469" s="340" t="str">
        <f t="shared" si="47"/>
        <v/>
      </c>
      <c r="I469" s="57"/>
    </row>
    <row r="470" spans="2:9" ht="20.100000000000001" customHeight="1" x14ac:dyDescent="0.3">
      <c r="B470" s="344">
        <v>462</v>
      </c>
      <c r="C470" s="342" t="str">
        <f t="shared" si="44"/>
        <v/>
      </c>
      <c r="D470" s="341" t="str">
        <f t="shared" si="42"/>
        <v/>
      </c>
      <c r="E470" s="328" t="str">
        <f t="shared" si="45"/>
        <v/>
      </c>
      <c r="F470" s="339" t="str">
        <f t="shared" si="43"/>
        <v/>
      </c>
      <c r="G470" s="328" t="str">
        <f t="shared" si="46"/>
        <v/>
      </c>
      <c r="H470" s="340" t="str">
        <f t="shared" si="47"/>
        <v/>
      </c>
      <c r="I470" s="57"/>
    </row>
    <row r="471" spans="2:9" ht="20.100000000000001" customHeight="1" x14ac:dyDescent="0.3">
      <c r="B471" s="344">
        <v>463</v>
      </c>
      <c r="C471" s="342" t="str">
        <f t="shared" si="44"/>
        <v/>
      </c>
      <c r="D471" s="341" t="str">
        <f t="shared" si="42"/>
        <v/>
      </c>
      <c r="E471" s="328" t="str">
        <f t="shared" si="45"/>
        <v/>
      </c>
      <c r="F471" s="339" t="str">
        <f t="shared" si="43"/>
        <v/>
      </c>
      <c r="G471" s="328" t="str">
        <f t="shared" si="46"/>
        <v/>
      </c>
      <c r="H471" s="340" t="str">
        <f t="shared" si="47"/>
        <v/>
      </c>
      <c r="I471" s="57"/>
    </row>
    <row r="472" spans="2:9" ht="20.100000000000001" customHeight="1" x14ac:dyDescent="0.3">
      <c r="B472" s="344">
        <v>464</v>
      </c>
      <c r="C472" s="342" t="str">
        <f t="shared" si="44"/>
        <v/>
      </c>
      <c r="D472" s="341" t="str">
        <f t="shared" si="42"/>
        <v/>
      </c>
      <c r="E472" s="328" t="str">
        <f t="shared" si="45"/>
        <v/>
      </c>
      <c r="F472" s="339" t="str">
        <f t="shared" si="43"/>
        <v/>
      </c>
      <c r="G472" s="328" t="str">
        <f t="shared" si="46"/>
        <v/>
      </c>
      <c r="H472" s="340" t="str">
        <f t="shared" si="47"/>
        <v/>
      </c>
      <c r="I472" s="57"/>
    </row>
    <row r="473" spans="2:9" ht="20.100000000000001" customHeight="1" x14ac:dyDescent="0.3">
      <c r="B473" s="344">
        <v>465</v>
      </c>
      <c r="C473" s="342" t="str">
        <f t="shared" si="44"/>
        <v/>
      </c>
      <c r="D473" s="341" t="str">
        <f t="shared" si="42"/>
        <v/>
      </c>
      <c r="E473" s="328" t="str">
        <f t="shared" si="45"/>
        <v/>
      </c>
      <c r="F473" s="339" t="str">
        <f t="shared" si="43"/>
        <v/>
      </c>
      <c r="G473" s="328" t="str">
        <f t="shared" si="46"/>
        <v/>
      </c>
      <c r="H473" s="340" t="str">
        <f t="shared" si="47"/>
        <v/>
      </c>
      <c r="I473" s="57"/>
    </row>
    <row r="474" spans="2:9" ht="20.100000000000001" customHeight="1" x14ac:dyDescent="0.3">
      <c r="B474" s="344">
        <v>466</v>
      </c>
      <c r="C474" s="342" t="str">
        <f t="shared" si="44"/>
        <v/>
      </c>
      <c r="D474" s="341" t="str">
        <f t="shared" si="42"/>
        <v/>
      </c>
      <c r="E474" s="328" t="str">
        <f t="shared" si="45"/>
        <v/>
      </c>
      <c r="F474" s="339" t="str">
        <f t="shared" si="43"/>
        <v/>
      </c>
      <c r="G474" s="328" t="str">
        <f t="shared" si="46"/>
        <v/>
      </c>
      <c r="H474" s="340" t="str">
        <f t="shared" si="47"/>
        <v/>
      </c>
      <c r="I474" s="57"/>
    </row>
    <row r="475" spans="2:9" ht="20.100000000000001" customHeight="1" x14ac:dyDescent="0.3">
      <c r="B475" s="344">
        <v>467</v>
      </c>
      <c r="C475" s="342" t="str">
        <f t="shared" si="44"/>
        <v/>
      </c>
      <c r="D475" s="341" t="str">
        <f t="shared" si="42"/>
        <v/>
      </c>
      <c r="E475" s="328" t="str">
        <f t="shared" si="45"/>
        <v/>
      </c>
      <c r="F475" s="339" t="str">
        <f t="shared" si="43"/>
        <v/>
      </c>
      <c r="G475" s="328" t="str">
        <f t="shared" si="46"/>
        <v/>
      </c>
      <c r="H475" s="340" t="str">
        <f t="shared" si="47"/>
        <v/>
      </c>
      <c r="I475" s="57"/>
    </row>
    <row r="476" spans="2:9" ht="20.100000000000001" customHeight="1" x14ac:dyDescent="0.3">
      <c r="B476" s="344">
        <v>468</v>
      </c>
      <c r="C476" s="342" t="str">
        <f t="shared" si="44"/>
        <v/>
      </c>
      <c r="D476" s="341" t="str">
        <f t="shared" si="42"/>
        <v/>
      </c>
      <c r="E476" s="328" t="str">
        <f t="shared" si="45"/>
        <v/>
      </c>
      <c r="F476" s="339" t="str">
        <f t="shared" si="43"/>
        <v/>
      </c>
      <c r="G476" s="328" t="str">
        <f t="shared" si="46"/>
        <v/>
      </c>
      <c r="H476" s="340" t="str">
        <f t="shared" si="47"/>
        <v/>
      </c>
      <c r="I476" s="57"/>
    </row>
    <row r="477" spans="2:9" ht="20.100000000000001" customHeight="1" x14ac:dyDescent="0.3">
      <c r="B477" s="344">
        <v>469</v>
      </c>
      <c r="C477" s="342" t="str">
        <f t="shared" si="44"/>
        <v/>
      </c>
      <c r="D477" s="341" t="str">
        <f t="shared" si="42"/>
        <v/>
      </c>
      <c r="E477" s="328" t="str">
        <f t="shared" si="45"/>
        <v/>
      </c>
      <c r="F477" s="339" t="str">
        <f t="shared" si="43"/>
        <v/>
      </c>
      <c r="G477" s="328" t="str">
        <f t="shared" si="46"/>
        <v/>
      </c>
      <c r="H477" s="340" t="str">
        <f t="shared" si="47"/>
        <v/>
      </c>
      <c r="I477" s="57"/>
    </row>
    <row r="478" spans="2:9" ht="20.100000000000001" customHeight="1" x14ac:dyDescent="0.3">
      <c r="B478" s="344">
        <v>470</v>
      </c>
      <c r="C478" s="342" t="str">
        <f t="shared" si="44"/>
        <v/>
      </c>
      <c r="D478" s="341" t="str">
        <f t="shared" si="42"/>
        <v/>
      </c>
      <c r="E478" s="328" t="str">
        <f t="shared" si="45"/>
        <v/>
      </c>
      <c r="F478" s="339" t="str">
        <f t="shared" si="43"/>
        <v/>
      </c>
      <c r="G478" s="328" t="str">
        <f t="shared" si="46"/>
        <v/>
      </c>
      <c r="H478" s="340" t="str">
        <f t="shared" si="47"/>
        <v/>
      </c>
      <c r="I478" s="57"/>
    </row>
    <row r="479" spans="2:9" ht="20.100000000000001" customHeight="1" x14ac:dyDescent="0.3">
      <c r="B479" s="344">
        <v>471</v>
      </c>
      <c r="C479" s="342" t="str">
        <f t="shared" si="44"/>
        <v/>
      </c>
      <c r="D479" s="341" t="str">
        <f t="shared" si="42"/>
        <v/>
      </c>
      <c r="E479" s="328" t="str">
        <f t="shared" si="45"/>
        <v/>
      </c>
      <c r="F479" s="339" t="str">
        <f t="shared" si="43"/>
        <v/>
      </c>
      <c r="G479" s="328" t="str">
        <f t="shared" si="46"/>
        <v/>
      </c>
      <c r="H479" s="340" t="str">
        <f t="shared" si="47"/>
        <v/>
      </c>
      <c r="I479" s="57"/>
    </row>
    <row r="480" spans="2:9" ht="20.100000000000001" customHeight="1" x14ac:dyDescent="0.3">
      <c r="B480" s="344">
        <v>472</v>
      </c>
      <c r="C480" s="342" t="str">
        <f t="shared" si="44"/>
        <v/>
      </c>
      <c r="D480" s="341" t="str">
        <f t="shared" si="42"/>
        <v/>
      </c>
      <c r="E480" s="328" t="str">
        <f t="shared" si="45"/>
        <v/>
      </c>
      <c r="F480" s="339" t="str">
        <f t="shared" si="43"/>
        <v/>
      </c>
      <c r="G480" s="328" t="str">
        <f t="shared" si="46"/>
        <v/>
      </c>
      <c r="H480" s="340" t="str">
        <f t="shared" si="47"/>
        <v/>
      </c>
      <c r="I480" s="57"/>
    </row>
    <row r="481" spans="2:9" ht="20.100000000000001" customHeight="1" x14ac:dyDescent="0.3">
      <c r="B481" s="344">
        <v>473</v>
      </c>
      <c r="C481" s="342" t="str">
        <f t="shared" si="44"/>
        <v/>
      </c>
      <c r="D481" s="341" t="str">
        <f t="shared" si="42"/>
        <v/>
      </c>
      <c r="E481" s="328" t="str">
        <f t="shared" si="45"/>
        <v/>
      </c>
      <c r="F481" s="339" t="str">
        <f t="shared" si="43"/>
        <v/>
      </c>
      <c r="G481" s="328" t="str">
        <f t="shared" si="46"/>
        <v/>
      </c>
      <c r="H481" s="340" t="str">
        <f t="shared" si="47"/>
        <v/>
      </c>
      <c r="I481" s="57"/>
    </row>
    <row r="482" spans="2:9" ht="20.100000000000001" customHeight="1" x14ac:dyDescent="0.3">
      <c r="B482" s="344">
        <v>474</v>
      </c>
      <c r="C482" s="342" t="str">
        <f t="shared" si="44"/>
        <v/>
      </c>
      <c r="D482" s="341" t="str">
        <f t="shared" si="42"/>
        <v/>
      </c>
      <c r="E482" s="328" t="str">
        <f t="shared" si="45"/>
        <v/>
      </c>
      <c r="F482" s="339" t="str">
        <f t="shared" si="43"/>
        <v/>
      </c>
      <c r="G482" s="328" t="str">
        <f t="shared" si="46"/>
        <v/>
      </c>
      <c r="H482" s="340" t="str">
        <f t="shared" si="47"/>
        <v/>
      </c>
      <c r="I482" s="57"/>
    </row>
    <row r="483" spans="2:9" ht="20.100000000000001" customHeight="1" x14ac:dyDescent="0.3">
      <c r="B483" s="344">
        <v>475</v>
      </c>
      <c r="C483" s="342" t="str">
        <f t="shared" si="44"/>
        <v/>
      </c>
      <c r="D483" s="341" t="str">
        <f t="shared" si="42"/>
        <v/>
      </c>
      <c r="E483" s="328" t="str">
        <f t="shared" si="45"/>
        <v/>
      </c>
      <c r="F483" s="339" t="str">
        <f t="shared" si="43"/>
        <v/>
      </c>
      <c r="G483" s="328" t="str">
        <f t="shared" si="46"/>
        <v/>
      </c>
      <c r="H483" s="340" t="str">
        <f t="shared" si="47"/>
        <v/>
      </c>
      <c r="I483" s="57"/>
    </row>
    <row r="484" spans="2:9" ht="20.100000000000001" customHeight="1" x14ac:dyDescent="0.3">
      <c r="B484" s="344">
        <v>476</v>
      </c>
      <c r="C484" s="342" t="str">
        <f t="shared" si="44"/>
        <v/>
      </c>
      <c r="D484" s="341" t="str">
        <f t="shared" si="42"/>
        <v/>
      </c>
      <c r="E484" s="328" t="str">
        <f t="shared" si="45"/>
        <v/>
      </c>
      <c r="F484" s="339" t="str">
        <f t="shared" si="43"/>
        <v/>
      </c>
      <c r="G484" s="328" t="str">
        <f t="shared" si="46"/>
        <v/>
      </c>
      <c r="H484" s="340" t="str">
        <f t="shared" si="47"/>
        <v/>
      </c>
      <c r="I484" s="57"/>
    </row>
    <row r="485" spans="2:9" ht="20.100000000000001" customHeight="1" x14ac:dyDescent="0.3">
      <c r="B485" s="344">
        <v>477</v>
      </c>
      <c r="C485" s="342" t="str">
        <f t="shared" si="44"/>
        <v/>
      </c>
      <c r="D485" s="341" t="str">
        <f t="shared" si="42"/>
        <v/>
      </c>
      <c r="E485" s="328" t="str">
        <f t="shared" si="45"/>
        <v/>
      </c>
      <c r="F485" s="339" t="str">
        <f t="shared" si="43"/>
        <v/>
      </c>
      <c r="G485" s="328" t="str">
        <f t="shared" si="46"/>
        <v/>
      </c>
      <c r="H485" s="340" t="str">
        <f t="shared" si="47"/>
        <v/>
      </c>
      <c r="I485" s="57"/>
    </row>
    <row r="486" spans="2:9" ht="20.100000000000001" customHeight="1" x14ac:dyDescent="0.3">
      <c r="B486" s="344">
        <v>478</v>
      </c>
      <c r="C486" s="342" t="str">
        <f t="shared" si="44"/>
        <v/>
      </c>
      <c r="D486" s="341" t="str">
        <f t="shared" si="42"/>
        <v/>
      </c>
      <c r="E486" s="328" t="str">
        <f t="shared" si="45"/>
        <v/>
      </c>
      <c r="F486" s="339" t="str">
        <f t="shared" si="43"/>
        <v/>
      </c>
      <c r="G486" s="328" t="str">
        <f t="shared" si="46"/>
        <v/>
      </c>
      <c r="H486" s="340" t="str">
        <f t="shared" si="47"/>
        <v/>
      </c>
      <c r="I486" s="57"/>
    </row>
    <row r="487" spans="2:9" ht="20.100000000000001" customHeight="1" x14ac:dyDescent="0.3">
      <c r="B487" s="344">
        <v>479</v>
      </c>
      <c r="C487" s="342" t="str">
        <f t="shared" si="44"/>
        <v/>
      </c>
      <c r="D487" s="341" t="str">
        <f t="shared" si="42"/>
        <v/>
      </c>
      <c r="E487" s="328" t="str">
        <f t="shared" si="45"/>
        <v/>
      </c>
      <c r="F487" s="339" t="str">
        <f t="shared" si="43"/>
        <v/>
      </c>
      <c r="G487" s="328" t="str">
        <f t="shared" si="46"/>
        <v/>
      </c>
      <c r="H487" s="340" t="str">
        <f t="shared" si="47"/>
        <v/>
      </c>
      <c r="I487" s="57"/>
    </row>
    <row r="488" spans="2:9" ht="20.100000000000001" customHeight="1" x14ac:dyDescent="0.3">
      <c r="B488" s="344">
        <v>480</v>
      </c>
      <c r="C488" s="342" t="str">
        <f t="shared" si="44"/>
        <v/>
      </c>
      <c r="D488" s="341" t="str">
        <f t="shared" si="42"/>
        <v/>
      </c>
      <c r="E488" s="328" t="str">
        <f t="shared" si="45"/>
        <v/>
      </c>
      <c r="F488" s="339" t="str">
        <f t="shared" si="43"/>
        <v/>
      </c>
      <c r="G488" s="328" t="str">
        <f t="shared" si="46"/>
        <v/>
      </c>
      <c r="H488" s="340" t="str">
        <f t="shared" si="47"/>
        <v/>
      </c>
      <c r="I488" s="57"/>
    </row>
    <row r="489" spans="2:9" ht="20.100000000000001" customHeight="1" x14ac:dyDescent="0.3">
      <c r="B489" s="344">
        <v>481</v>
      </c>
      <c r="C489" s="342" t="str">
        <f t="shared" si="44"/>
        <v/>
      </c>
      <c r="D489" s="341" t="str">
        <f t="shared" si="42"/>
        <v/>
      </c>
      <c r="E489" s="328" t="str">
        <f t="shared" si="45"/>
        <v/>
      </c>
      <c r="F489" s="339" t="str">
        <f t="shared" si="43"/>
        <v/>
      </c>
      <c r="G489" s="328" t="str">
        <f t="shared" si="46"/>
        <v/>
      </c>
      <c r="H489" s="340" t="str">
        <f t="shared" si="47"/>
        <v/>
      </c>
      <c r="I489" s="57"/>
    </row>
    <row r="490" spans="2:9" ht="20.100000000000001" customHeight="1" x14ac:dyDescent="0.3">
      <c r="B490" s="344">
        <v>482</v>
      </c>
      <c r="C490" s="342" t="str">
        <f t="shared" si="44"/>
        <v/>
      </c>
      <c r="D490" s="341" t="str">
        <f t="shared" si="42"/>
        <v/>
      </c>
      <c r="E490" s="328" t="str">
        <f t="shared" si="45"/>
        <v/>
      </c>
      <c r="F490" s="339" t="str">
        <f t="shared" si="43"/>
        <v/>
      </c>
      <c r="G490" s="328" t="str">
        <f t="shared" si="46"/>
        <v/>
      </c>
      <c r="H490" s="340" t="str">
        <f t="shared" si="47"/>
        <v/>
      </c>
      <c r="I490" s="57"/>
    </row>
    <row r="491" spans="2:9" ht="20.100000000000001" customHeight="1" x14ac:dyDescent="0.3">
      <c r="B491" s="344">
        <v>483</v>
      </c>
      <c r="C491" s="342" t="str">
        <f t="shared" si="44"/>
        <v/>
      </c>
      <c r="D491" s="341" t="str">
        <f t="shared" si="42"/>
        <v/>
      </c>
      <c r="E491" s="328" t="str">
        <f t="shared" si="45"/>
        <v/>
      </c>
      <c r="F491" s="339" t="str">
        <f t="shared" si="43"/>
        <v/>
      </c>
      <c r="G491" s="328" t="str">
        <f t="shared" si="46"/>
        <v/>
      </c>
      <c r="H491" s="340" t="str">
        <f t="shared" si="47"/>
        <v/>
      </c>
      <c r="I491" s="57"/>
    </row>
    <row r="492" spans="2:9" ht="20.100000000000001" customHeight="1" x14ac:dyDescent="0.3">
      <c r="B492" s="344">
        <v>484</v>
      </c>
      <c r="C492" s="342" t="str">
        <f t="shared" si="44"/>
        <v/>
      </c>
      <c r="D492" s="341" t="str">
        <f t="shared" si="42"/>
        <v/>
      </c>
      <c r="E492" s="328" t="str">
        <f t="shared" si="45"/>
        <v/>
      </c>
      <c r="F492" s="339" t="str">
        <f t="shared" si="43"/>
        <v/>
      </c>
      <c r="G492" s="328" t="str">
        <f t="shared" si="46"/>
        <v/>
      </c>
      <c r="H492" s="340" t="str">
        <f t="shared" si="47"/>
        <v/>
      </c>
      <c r="I492" s="57"/>
    </row>
    <row r="493" spans="2:9" ht="20.100000000000001" customHeight="1" x14ac:dyDescent="0.3">
      <c r="B493" s="344">
        <v>485</v>
      </c>
      <c r="C493" s="342" t="str">
        <f t="shared" si="44"/>
        <v/>
      </c>
      <c r="D493" s="341" t="str">
        <f t="shared" si="42"/>
        <v/>
      </c>
      <c r="E493" s="328" t="str">
        <f t="shared" si="45"/>
        <v/>
      </c>
      <c r="F493" s="339" t="str">
        <f t="shared" si="43"/>
        <v/>
      </c>
      <c r="G493" s="328" t="str">
        <f t="shared" si="46"/>
        <v/>
      </c>
      <c r="H493" s="340" t="str">
        <f t="shared" si="47"/>
        <v/>
      </c>
      <c r="I493" s="57"/>
    </row>
    <row r="494" spans="2:9" ht="20.100000000000001" customHeight="1" x14ac:dyDescent="0.3">
      <c r="B494" s="344">
        <v>486</v>
      </c>
      <c r="C494" s="342" t="str">
        <f t="shared" si="44"/>
        <v/>
      </c>
      <c r="D494" s="341" t="str">
        <f t="shared" si="42"/>
        <v/>
      </c>
      <c r="E494" s="328" t="str">
        <f t="shared" si="45"/>
        <v/>
      </c>
      <c r="F494" s="339" t="str">
        <f t="shared" si="43"/>
        <v/>
      </c>
      <c r="G494" s="328" t="str">
        <f t="shared" si="46"/>
        <v/>
      </c>
      <c r="H494" s="340" t="str">
        <f t="shared" si="47"/>
        <v/>
      </c>
      <c r="I494" s="57"/>
    </row>
    <row r="495" spans="2:9" ht="20.100000000000001" customHeight="1" x14ac:dyDescent="0.3">
      <c r="B495" s="344">
        <v>487</v>
      </c>
      <c r="C495" s="342" t="str">
        <f t="shared" si="44"/>
        <v/>
      </c>
      <c r="D495" s="341" t="str">
        <f t="shared" si="42"/>
        <v/>
      </c>
      <c r="E495" s="328" t="str">
        <f t="shared" si="45"/>
        <v/>
      </c>
      <c r="F495" s="339" t="str">
        <f t="shared" si="43"/>
        <v/>
      </c>
      <c r="G495" s="328" t="str">
        <f t="shared" si="46"/>
        <v/>
      </c>
      <c r="H495" s="340" t="str">
        <f t="shared" si="47"/>
        <v/>
      </c>
      <c r="I495" s="57"/>
    </row>
    <row r="496" spans="2:9" ht="20.100000000000001" customHeight="1" x14ac:dyDescent="0.3">
      <c r="B496" s="344">
        <v>488</v>
      </c>
      <c r="C496" s="342" t="str">
        <f t="shared" si="44"/>
        <v/>
      </c>
      <c r="D496" s="341" t="str">
        <f t="shared" si="42"/>
        <v/>
      </c>
      <c r="E496" s="328" t="str">
        <f t="shared" si="45"/>
        <v/>
      </c>
      <c r="F496" s="339" t="str">
        <f t="shared" si="43"/>
        <v/>
      </c>
      <c r="G496" s="328" t="str">
        <f t="shared" si="46"/>
        <v/>
      </c>
      <c r="H496" s="340" t="str">
        <f t="shared" si="47"/>
        <v/>
      </c>
      <c r="I496" s="57"/>
    </row>
    <row r="497" spans="2:9" ht="20.100000000000001" customHeight="1" x14ac:dyDescent="0.3">
      <c r="B497" s="344">
        <v>489</v>
      </c>
      <c r="C497" s="342" t="str">
        <f t="shared" si="44"/>
        <v/>
      </c>
      <c r="D497" s="341" t="str">
        <f t="shared" si="42"/>
        <v/>
      </c>
      <c r="E497" s="328" t="str">
        <f t="shared" si="45"/>
        <v/>
      </c>
      <c r="F497" s="339" t="str">
        <f t="shared" si="43"/>
        <v/>
      </c>
      <c r="G497" s="328" t="str">
        <f t="shared" si="46"/>
        <v/>
      </c>
      <c r="H497" s="340" t="str">
        <f t="shared" si="47"/>
        <v/>
      </c>
      <c r="I497" s="57"/>
    </row>
    <row r="498" spans="2:9" ht="20.100000000000001" customHeight="1" x14ac:dyDescent="0.3">
      <c r="B498" s="344">
        <v>490</v>
      </c>
      <c r="C498" s="342" t="str">
        <f t="shared" si="44"/>
        <v/>
      </c>
      <c r="D498" s="341" t="str">
        <f t="shared" si="42"/>
        <v/>
      </c>
      <c r="E498" s="328" t="str">
        <f t="shared" si="45"/>
        <v/>
      </c>
      <c r="F498" s="339" t="str">
        <f t="shared" si="43"/>
        <v/>
      </c>
      <c r="G498" s="328" t="str">
        <f t="shared" si="46"/>
        <v/>
      </c>
      <c r="H498" s="340" t="str">
        <f t="shared" si="47"/>
        <v/>
      </c>
      <c r="I498" s="57"/>
    </row>
    <row r="499" spans="2:9" ht="20.100000000000001" customHeight="1" x14ac:dyDescent="0.3">
      <c r="B499" s="344">
        <v>491</v>
      </c>
      <c r="C499" s="342" t="str">
        <f t="shared" si="44"/>
        <v/>
      </c>
      <c r="D499" s="341" t="str">
        <f t="shared" si="42"/>
        <v/>
      </c>
      <c r="E499" s="328" t="str">
        <f t="shared" si="45"/>
        <v/>
      </c>
      <c r="F499" s="339" t="str">
        <f t="shared" si="43"/>
        <v/>
      </c>
      <c r="G499" s="328" t="str">
        <f t="shared" si="46"/>
        <v/>
      </c>
      <c r="H499" s="340" t="str">
        <f t="shared" si="47"/>
        <v/>
      </c>
      <c r="I499" s="57"/>
    </row>
    <row r="500" spans="2:9" ht="20.100000000000001" customHeight="1" x14ac:dyDescent="0.3">
      <c r="B500" s="344">
        <v>492</v>
      </c>
      <c r="C500" s="342" t="str">
        <f t="shared" si="44"/>
        <v/>
      </c>
      <c r="D500" s="341" t="str">
        <f t="shared" si="42"/>
        <v/>
      </c>
      <c r="E500" s="328" t="str">
        <f t="shared" si="45"/>
        <v/>
      </c>
      <c r="F500" s="339" t="str">
        <f t="shared" si="43"/>
        <v/>
      </c>
      <c r="G500" s="328" t="str">
        <f t="shared" si="46"/>
        <v/>
      </c>
      <c r="H500" s="340" t="str">
        <f t="shared" si="47"/>
        <v/>
      </c>
      <c r="I500" s="57"/>
    </row>
    <row r="501" spans="2:9" ht="20.100000000000001" customHeight="1" x14ac:dyDescent="0.3">
      <c r="B501" s="344">
        <v>493</v>
      </c>
      <c r="C501" s="342" t="str">
        <f t="shared" si="44"/>
        <v/>
      </c>
      <c r="D501" s="341" t="str">
        <f t="shared" si="42"/>
        <v/>
      </c>
      <c r="E501" s="328" t="str">
        <f t="shared" si="45"/>
        <v/>
      </c>
      <c r="F501" s="339" t="str">
        <f t="shared" si="43"/>
        <v/>
      </c>
      <c r="G501" s="328" t="str">
        <f t="shared" si="46"/>
        <v/>
      </c>
      <c r="H501" s="340" t="str">
        <f t="shared" si="47"/>
        <v/>
      </c>
      <c r="I501" s="57"/>
    </row>
    <row r="502" spans="2:9" ht="20.100000000000001" customHeight="1" x14ac:dyDescent="0.3">
      <c r="B502" s="344">
        <v>494</v>
      </c>
      <c r="C502" s="342" t="str">
        <f t="shared" si="44"/>
        <v/>
      </c>
      <c r="D502" s="341" t="str">
        <f t="shared" si="42"/>
        <v/>
      </c>
      <c r="E502" s="328" t="str">
        <f t="shared" si="45"/>
        <v/>
      </c>
      <c r="F502" s="339" t="str">
        <f t="shared" si="43"/>
        <v/>
      </c>
      <c r="G502" s="328" t="str">
        <f t="shared" si="46"/>
        <v/>
      </c>
      <c r="H502" s="340" t="str">
        <f t="shared" si="47"/>
        <v/>
      </c>
      <c r="I502" s="57"/>
    </row>
    <row r="503" spans="2:9" ht="20.100000000000001" customHeight="1" x14ac:dyDescent="0.3">
      <c r="B503" s="344">
        <v>495</v>
      </c>
      <c r="C503" s="342" t="str">
        <f t="shared" si="44"/>
        <v/>
      </c>
      <c r="D503" s="341" t="str">
        <f t="shared" si="42"/>
        <v/>
      </c>
      <c r="E503" s="328" t="str">
        <f t="shared" si="45"/>
        <v/>
      </c>
      <c r="F503" s="339" t="str">
        <f t="shared" si="43"/>
        <v/>
      </c>
      <c r="G503" s="328" t="str">
        <f t="shared" si="46"/>
        <v/>
      </c>
      <c r="H503" s="340" t="str">
        <f t="shared" si="47"/>
        <v/>
      </c>
      <c r="I503" s="57"/>
    </row>
    <row r="504" spans="2:9" ht="20.100000000000001" customHeight="1" x14ac:dyDescent="0.3">
      <c r="B504" s="344">
        <v>496</v>
      </c>
      <c r="C504" s="342" t="str">
        <f t="shared" si="44"/>
        <v/>
      </c>
      <c r="D504" s="341" t="str">
        <f t="shared" si="42"/>
        <v/>
      </c>
      <c r="E504" s="328" t="str">
        <f t="shared" si="45"/>
        <v/>
      </c>
      <c r="F504" s="339" t="str">
        <f t="shared" si="43"/>
        <v/>
      </c>
      <c r="G504" s="328" t="str">
        <f t="shared" si="46"/>
        <v/>
      </c>
      <c r="H504" s="340" t="str">
        <f t="shared" si="47"/>
        <v/>
      </c>
      <c r="I504" s="57"/>
    </row>
    <row r="505" spans="2:9" ht="20.100000000000001" customHeight="1" x14ac:dyDescent="0.3">
      <c r="B505" s="344">
        <v>497</v>
      </c>
      <c r="C505" s="342" t="str">
        <f t="shared" si="44"/>
        <v/>
      </c>
      <c r="D505" s="341" t="str">
        <f t="shared" si="42"/>
        <v/>
      </c>
      <c r="E505" s="328" t="str">
        <f t="shared" si="45"/>
        <v/>
      </c>
      <c r="F505" s="339" t="str">
        <f t="shared" si="43"/>
        <v/>
      </c>
      <c r="G505" s="328" t="str">
        <f t="shared" si="46"/>
        <v/>
      </c>
      <c r="H505" s="340" t="str">
        <f t="shared" si="47"/>
        <v/>
      </c>
      <c r="I505" s="57"/>
    </row>
    <row r="506" spans="2:9" ht="20.100000000000001" customHeight="1" x14ac:dyDescent="0.3">
      <c r="B506" s="344">
        <v>498</v>
      </c>
      <c r="C506" s="342" t="str">
        <f t="shared" si="44"/>
        <v/>
      </c>
      <c r="D506" s="341" t="str">
        <f t="shared" si="42"/>
        <v/>
      </c>
      <c r="E506" s="328" t="str">
        <f t="shared" si="45"/>
        <v/>
      </c>
      <c r="F506" s="339" t="str">
        <f t="shared" si="43"/>
        <v/>
      </c>
      <c r="G506" s="328" t="str">
        <f t="shared" si="46"/>
        <v/>
      </c>
      <c r="H506" s="340" t="str">
        <f t="shared" si="47"/>
        <v/>
      </c>
      <c r="I506" s="57"/>
    </row>
    <row r="507" spans="2:9" ht="20.100000000000001" customHeight="1" x14ac:dyDescent="0.3">
      <c r="B507" s="344">
        <v>499</v>
      </c>
      <c r="C507" s="342" t="str">
        <f t="shared" si="44"/>
        <v/>
      </c>
      <c r="D507" s="341" t="str">
        <f t="shared" si="42"/>
        <v/>
      </c>
      <c r="E507" s="328" t="str">
        <f t="shared" si="45"/>
        <v/>
      </c>
      <c r="F507" s="339" t="str">
        <f t="shared" si="43"/>
        <v/>
      </c>
      <c r="G507" s="328" t="str">
        <f t="shared" si="46"/>
        <v/>
      </c>
      <c r="H507" s="340" t="str">
        <f t="shared" si="47"/>
        <v/>
      </c>
      <c r="I507" s="57"/>
    </row>
    <row r="508" spans="2:9" ht="20.100000000000001" customHeight="1" x14ac:dyDescent="0.3">
      <c r="B508" s="344">
        <v>500</v>
      </c>
      <c r="C508" s="342" t="str">
        <f t="shared" si="44"/>
        <v/>
      </c>
      <c r="D508" s="341" t="str">
        <f t="shared" si="42"/>
        <v/>
      </c>
      <c r="E508" s="328" t="str">
        <f t="shared" si="45"/>
        <v/>
      </c>
      <c r="F508" s="339" t="str">
        <f t="shared" si="43"/>
        <v/>
      </c>
      <c r="G508" s="328" t="str">
        <f t="shared" si="46"/>
        <v/>
      </c>
      <c r="H508" s="340" t="str">
        <f t="shared" si="47"/>
        <v/>
      </c>
      <c r="I508" s="57"/>
    </row>
    <row r="509" spans="2:9" ht="20.100000000000001" customHeight="1" x14ac:dyDescent="0.3">
      <c r="B509" s="344">
        <v>501</v>
      </c>
      <c r="C509" s="342" t="str">
        <f t="shared" si="44"/>
        <v/>
      </c>
      <c r="D509" s="341" t="str">
        <f t="shared" si="42"/>
        <v/>
      </c>
      <c r="E509" s="328" t="str">
        <f t="shared" si="45"/>
        <v/>
      </c>
      <c r="F509" s="339" t="str">
        <f t="shared" si="43"/>
        <v/>
      </c>
      <c r="G509" s="328" t="str">
        <f t="shared" si="46"/>
        <v/>
      </c>
      <c r="H509" s="340" t="str">
        <f t="shared" si="47"/>
        <v/>
      </c>
      <c r="I509" s="57"/>
    </row>
    <row r="510" spans="2:9" ht="20.100000000000001" customHeight="1" x14ac:dyDescent="0.3">
      <c r="B510" s="344">
        <v>502</v>
      </c>
      <c r="C510" s="342" t="str">
        <f t="shared" si="44"/>
        <v/>
      </c>
      <c r="D510" s="341" t="str">
        <f t="shared" si="42"/>
        <v/>
      </c>
      <c r="E510" s="328" t="str">
        <f t="shared" si="45"/>
        <v/>
      </c>
      <c r="F510" s="339" t="str">
        <f t="shared" si="43"/>
        <v/>
      </c>
      <c r="G510" s="328" t="str">
        <f t="shared" si="46"/>
        <v/>
      </c>
      <c r="H510" s="340" t="str">
        <f t="shared" si="47"/>
        <v/>
      </c>
      <c r="I510" s="57"/>
    </row>
    <row r="511" spans="2:9" ht="20.100000000000001" customHeight="1" x14ac:dyDescent="0.3">
      <c r="B511" s="344">
        <v>503</v>
      </c>
      <c r="C511" s="342" t="str">
        <f t="shared" si="44"/>
        <v/>
      </c>
      <c r="D511" s="341" t="str">
        <f t="shared" si="42"/>
        <v/>
      </c>
      <c r="E511" s="328" t="str">
        <f t="shared" si="45"/>
        <v/>
      </c>
      <c r="F511" s="339" t="str">
        <f t="shared" si="43"/>
        <v/>
      </c>
      <c r="G511" s="328" t="str">
        <f t="shared" si="46"/>
        <v/>
      </c>
      <c r="H511" s="340" t="str">
        <f t="shared" si="47"/>
        <v/>
      </c>
      <c r="I511" s="57"/>
    </row>
    <row r="512" spans="2:9" ht="20.100000000000001" customHeight="1" x14ac:dyDescent="0.3">
      <c r="B512" s="344">
        <v>504</v>
      </c>
      <c r="C512" s="342" t="str">
        <f t="shared" si="44"/>
        <v/>
      </c>
      <c r="D512" s="341" t="str">
        <f t="shared" si="42"/>
        <v/>
      </c>
      <c r="E512" s="328" t="str">
        <f t="shared" si="45"/>
        <v/>
      </c>
      <c r="F512" s="339" t="str">
        <f t="shared" si="43"/>
        <v/>
      </c>
      <c r="G512" s="328" t="str">
        <f t="shared" si="46"/>
        <v/>
      </c>
      <c r="H512" s="340" t="str">
        <f t="shared" si="47"/>
        <v/>
      </c>
      <c r="I512" s="57"/>
    </row>
    <row r="513" spans="2:9" ht="20.100000000000001" customHeight="1" x14ac:dyDescent="0.3">
      <c r="B513" s="344">
        <v>505</v>
      </c>
      <c r="C513" s="342" t="str">
        <f t="shared" si="44"/>
        <v/>
      </c>
      <c r="D513" s="341" t="str">
        <f t="shared" si="42"/>
        <v/>
      </c>
      <c r="E513" s="328" t="str">
        <f t="shared" si="45"/>
        <v/>
      </c>
      <c r="F513" s="339" t="str">
        <f t="shared" si="43"/>
        <v/>
      </c>
      <c r="G513" s="328" t="str">
        <f t="shared" si="46"/>
        <v/>
      </c>
      <c r="H513" s="340" t="str">
        <f t="shared" si="47"/>
        <v/>
      </c>
      <c r="I513" s="57"/>
    </row>
    <row r="514" spans="2:9" ht="20.100000000000001" customHeight="1" x14ac:dyDescent="0.3">
      <c r="B514" s="344">
        <v>506</v>
      </c>
      <c r="C514" s="342" t="str">
        <f t="shared" si="44"/>
        <v/>
      </c>
      <c r="D514" s="341" t="str">
        <f t="shared" si="42"/>
        <v/>
      </c>
      <c r="E514" s="328" t="str">
        <f t="shared" si="45"/>
        <v/>
      </c>
      <c r="F514" s="339" t="str">
        <f t="shared" si="43"/>
        <v/>
      </c>
      <c r="G514" s="328" t="str">
        <f t="shared" si="46"/>
        <v/>
      </c>
      <c r="H514" s="340" t="str">
        <f t="shared" si="47"/>
        <v/>
      </c>
      <c r="I514" s="57"/>
    </row>
    <row r="515" spans="2:9" ht="20.100000000000001" customHeight="1" x14ac:dyDescent="0.3">
      <c r="B515" s="344">
        <v>507</v>
      </c>
      <c r="C515" s="342" t="str">
        <f t="shared" si="44"/>
        <v/>
      </c>
      <c r="D515" s="341" t="str">
        <f t="shared" si="42"/>
        <v/>
      </c>
      <c r="E515" s="328" t="str">
        <f t="shared" si="45"/>
        <v/>
      </c>
      <c r="F515" s="339" t="str">
        <f t="shared" si="43"/>
        <v/>
      </c>
      <c r="G515" s="328" t="str">
        <f t="shared" si="46"/>
        <v/>
      </c>
      <c r="H515" s="340" t="str">
        <f t="shared" si="47"/>
        <v/>
      </c>
      <c r="I515" s="57"/>
    </row>
    <row r="516" spans="2:9" ht="20.100000000000001" customHeight="1" x14ac:dyDescent="0.3">
      <c r="B516" s="344">
        <v>508</v>
      </c>
      <c r="C516" s="342" t="str">
        <f t="shared" si="44"/>
        <v/>
      </c>
      <c r="D516" s="341" t="str">
        <f t="shared" si="42"/>
        <v/>
      </c>
      <c r="E516" s="328" t="str">
        <f t="shared" si="45"/>
        <v/>
      </c>
      <c r="F516" s="339" t="str">
        <f t="shared" si="43"/>
        <v/>
      </c>
      <c r="G516" s="328" t="str">
        <f t="shared" si="46"/>
        <v/>
      </c>
      <c r="H516" s="340" t="str">
        <f t="shared" si="47"/>
        <v/>
      </c>
      <c r="I516" s="57"/>
    </row>
    <row r="517" spans="2:9" ht="20.100000000000001" customHeight="1" x14ac:dyDescent="0.3">
      <c r="B517" s="344">
        <v>509</v>
      </c>
      <c r="C517" s="342" t="str">
        <f t="shared" si="44"/>
        <v/>
      </c>
      <c r="D517" s="341" t="str">
        <f t="shared" si="42"/>
        <v/>
      </c>
      <c r="E517" s="328" t="str">
        <f t="shared" si="45"/>
        <v/>
      </c>
      <c r="F517" s="339" t="str">
        <f t="shared" si="43"/>
        <v/>
      </c>
      <c r="G517" s="328" t="str">
        <f t="shared" si="46"/>
        <v/>
      </c>
      <c r="H517" s="340" t="str">
        <f t="shared" si="47"/>
        <v/>
      </c>
      <c r="I517" s="57"/>
    </row>
    <row r="518" spans="2:9" ht="20.100000000000001" customHeight="1" x14ac:dyDescent="0.3">
      <c r="B518" s="344">
        <v>510</v>
      </c>
      <c r="C518" s="342" t="str">
        <f t="shared" si="44"/>
        <v/>
      </c>
      <c r="D518" s="341" t="str">
        <f t="shared" si="42"/>
        <v/>
      </c>
      <c r="E518" s="328" t="str">
        <f t="shared" si="45"/>
        <v/>
      </c>
      <c r="F518" s="339" t="str">
        <f t="shared" si="43"/>
        <v/>
      </c>
      <c r="G518" s="328" t="str">
        <f t="shared" si="46"/>
        <v/>
      </c>
      <c r="H518" s="340" t="str">
        <f t="shared" si="47"/>
        <v/>
      </c>
      <c r="I518" s="57"/>
    </row>
    <row r="519" spans="2:9" ht="20.100000000000001" customHeight="1" x14ac:dyDescent="0.3">
      <c r="B519" s="344">
        <v>511</v>
      </c>
      <c r="C519" s="342" t="str">
        <f t="shared" si="44"/>
        <v/>
      </c>
      <c r="D519" s="341" t="str">
        <f t="shared" si="42"/>
        <v/>
      </c>
      <c r="E519" s="328" t="str">
        <f t="shared" si="45"/>
        <v/>
      </c>
      <c r="F519" s="339" t="str">
        <f t="shared" si="43"/>
        <v/>
      </c>
      <c r="G519" s="328" t="str">
        <f t="shared" si="46"/>
        <v/>
      </c>
      <c r="H519" s="340" t="str">
        <f t="shared" si="47"/>
        <v/>
      </c>
      <c r="I519" s="57"/>
    </row>
    <row r="520" spans="2:9" ht="20.100000000000001" customHeight="1" x14ac:dyDescent="0.3">
      <c r="B520" s="344">
        <v>512</v>
      </c>
      <c r="C520" s="342" t="str">
        <f t="shared" si="44"/>
        <v/>
      </c>
      <c r="D520" s="341" t="str">
        <f t="shared" si="42"/>
        <v/>
      </c>
      <c r="E520" s="328" t="str">
        <f t="shared" si="45"/>
        <v/>
      </c>
      <c r="F520" s="339" t="str">
        <f t="shared" si="43"/>
        <v/>
      </c>
      <c r="G520" s="328" t="str">
        <f t="shared" si="46"/>
        <v/>
      </c>
      <c r="H520" s="340" t="str">
        <f t="shared" si="47"/>
        <v/>
      </c>
      <c r="I520" s="57"/>
    </row>
    <row r="521" spans="2:9" ht="20.100000000000001" customHeight="1" x14ac:dyDescent="0.3">
      <c r="B521" s="344">
        <v>513</v>
      </c>
      <c r="C521" s="342" t="str">
        <f t="shared" si="44"/>
        <v/>
      </c>
      <c r="D521" s="341" t="str">
        <f t="shared" si="42"/>
        <v/>
      </c>
      <c r="E521" s="328" t="str">
        <f t="shared" si="45"/>
        <v/>
      </c>
      <c r="F521" s="339" t="str">
        <f t="shared" si="43"/>
        <v/>
      </c>
      <c r="G521" s="328" t="str">
        <f t="shared" si="46"/>
        <v/>
      </c>
      <c r="H521" s="340" t="str">
        <f t="shared" si="47"/>
        <v/>
      </c>
      <c r="I521" s="57"/>
    </row>
    <row r="522" spans="2:9" ht="20.100000000000001" customHeight="1" x14ac:dyDescent="0.3">
      <c r="B522" s="344">
        <v>514</v>
      </c>
      <c r="C522" s="342" t="str">
        <f t="shared" si="44"/>
        <v/>
      </c>
      <c r="D522" s="341" t="str">
        <f t="shared" ref="D522:D585" si="48">IF($H$4="","",IF($F$4="원리금균등상환",IFERROR(IF(B522&lt;=$D$6,0,-PPMT($E$4/12,B522-$D$6,($B$6-$D$6),$D$4)),""),IF($F$4="원금균등상환",IF(B522&lt;($D$6+1),0,IF(B522&gt;$B$6,0,$D$4/($B$6-$D$6))),"")))</f>
        <v/>
      </c>
      <c r="E522" s="328" t="str">
        <f t="shared" si="45"/>
        <v/>
      </c>
      <c r="F522" s="339" t="str">
        <f t="shared" ref="F522:F585" si="49">IF($H$4="","",IF($F$4="원리금균등상환",IFERROR(D522+E522,""),IF($F$4="원금균등상환",D522+E522,"")))</f>
        <v/>
      </c>
      <c r="G522" s="328" t="str">
        <f t="shared" si="46"/>
        <v/>
      </c>
      <c r="H522" s="340" t="str">
        <f t="shared" si="47"/>
        <v/>
      </c>
      <c r="I522" s="57"/>
    </row>
    <row r="523" spans="2:9" ht="20.100000000000001" customHeight="1" x14ac:dyDescent="0.3">
      <c r="B523" s="344">
        <v>515</v>
      </c>
      <c r="C523" s="342" t="str">
        <f t="shared" ref="C523:C586" si="50">IF($H$4="","",IF(B523&gt;($B$6),"",IF(B523&lt;=($B$6),DATE(YEAR($G$4),MONTH($G$4)+B522,DAY($G$4)),"")))</f>
        <v/>
      </c>
      <c r="D523" s="341" t="str">
        <f t="shared" si="48"/>
        <v/>
      </c>
      <c r="E523" s="328" t="str">
        <f t="shared" ref="E523:E586" si="51">IF($H$4="","",IF($F$4="원리금균등상환",IFERROR(IF(B523&lt;=$D$6,$H522*($E$4/12),-IPMT($E$4/12,B523-$D$6,($B$6-$D$6),$D$4)),""),IF($F$4="원금균등상환",(H522-D523)*$E$4/12,"")))</f>
        <v/>
      </c>
      <c r="F523" s="339" t="str">
        <f t="shared" si="49"/>
        <v/>
      </c>
      <c r="G523" s="328" t="str">
        <f t="shared" ref="G523:G586" si="52">IFERROR(IF(B523&gt;(($D$6+$B$6)*12),"",IF(B523=1,D523,D523+G522)),"")</f>
        <v/>
      </c>
      <c r="H523" s="340" t="str">
        <f t="shared" ref="H523:H586" si="53">IFERROR(IF($H$4="","",H522-D523),"")</f>
        <v/>
      </c>
      <c r="I523" s="57"/>
    </row>
    <row r="524" spans="2:9" ht="20.100000000000001" customHeight="1" x14ac:dyDescent="0.3">
      <c r="B524" s="344">
        <v>516</v>
      </c>
      <c r="C524" s="342" t="str">
        <f t="shared" si="50"/>
        <v/>
      </c>
      <c r="D524" s="341" t="str">
        <f t="shared" si="48"/>
        <v/>
      </c>
      <c r="E524" s="328" t="str">
        <f t="shared" si="51"/>
        <v/>
      </c>
      <c r="F524" s="339" t="str">
        <f t="shared" si="49"/>
        <v/>
      </c>
      <c r="G524" s="328" t="str">
        <f t="shared" si="52"/>
        <v/>
      </c>
      <c r="H524" s="340" t="str">
        <f t="shared" si="53"/>
        <v/>
      </c>
      <c r="I524" s="57"/>
    </row>
    <row r="525" spans="2:9" ht="20.100000000000001" customHeight="1" x14ac:dyDescent="0.3">
      <c r="B525" s="344">
        <v>517</v>
      </c>
      <c r="C525" s="342" t="str">
        <f t="shared" si="50"/>
        <v/>
      </c>
      <c r="D525" s="341" t="str">
        <f t="shared" si="48"/>
        <v/>
      </c>
      <c r="E525" s="328" t="str">
        <f t="shared" si="51"/>
        <v/>
      </c>
      <c r="F525" s="339" t="str">
        <f t="shared" si="49"/>
        <v/>
      </c>
      <c r="G525" s="328" t="str">
        <f t="shared" si="52"/>
        <v/>
      </c>
      <c r="H525" s="340" t="str">
        <f t="shared" si="53"/>
        <v/>
      </c>
      <c r="I525" s="57"/>
    </row>
    <row r="526" spans="2:9" ht="20.100000000000001" customHeight="1" x14ac:dyDescent="0.3">
      <c r="B526" s="344">
        <v>518</v>
      </c>
      <c r="C526" s="342" t="str">
        <f t="shared" si="50"/>
        <v/>
      </c>
      <c r="D526" s="341" t="str">
        <f t="shared" si="48"/>
        <v/>
      </c>
      <c r="E526" s="328" t="str">
        <f t="shared" si="51"/>
        <v/>
      </c>
      <c r="F526" s="339" t="str">
        <f t="shared" si="49"/>
        <v/>
      </c>
      <c r="G526" s="328" t="str">
        <f t="shared" si="52"/>
        <v/>
      </c>
      <c r="H526" s="340" t="str">
        <f t="shared" si="53"/>
        <v/>
      </c>
      <c r="I526" s="57"/>
    </row>
    <row r="527" spans="2:9" ht="20.100000000000001" customHeight="1" x14ac:dyDescent="0.3">
      <c r="B527" s="344">
        <v>519</v>
      </c>
      <c r="C527" s="342" t="str">
        <f t="shared" si="50"/>
        <v/>
      </c>
      <c r="D527" s="341" t="str">
        <f t="shared" si="48"/>
        <v/>
      </c>
      <c r="E527" s="328" t="str">
        <f t="shared" si="51"/>
        <v/>
      </c>
      <c r="F527" s="339" t="str">
        <f t="shared" si="49"/>
        <v/>
      </c>
      <c r="G527" s="328" t="str">
        <f t="shared" si="52"/>
        <v/>
      </c>
      <c r="H527" s="340" t="str">
        <f t="shared" si="53"/>
        <v/>
      </c>
      <c r="I527" s="57"/>
    </row>
    <row r="528" spans="2:9" ht="20.100000000000001" customHeight="1" x14ac:dyDescent="0.3">
      <c r="B528" s="344">
        <v>520</v>
      </c>
      <c r="C528" s="342" t="str">
        <f t="shared" si="50"/>
        <v/>
      </c>
      <c r="D528" s="341" t="str">
        <f t="shared" si="48"/>
        <v/>
      </c>
      <c r="E528" s="328" t="str">
        <f t="shared" si="51"/>
        <v/>
      </c>
      <c r="F528" s="339" t="str">
        <f t="shared" si="49"/>
        <v/>
      </c>
      <c r="G528" s="328" t="str">
        <f t="shared" si="52"/>
        <v/>
      </c>
      <c r="H528" s="340" t="str">
        <f t="shared" si="53"/>
        <v/>
      </c>
      <c r="I528" s="57"/>
    </row>
    <row r="529" spans="2:9" ht="20.100000000000001" customHeight="1" x14ac:dyDescent="0.3">
      <c r="B529" s="344">
        <v>521</v>
      </c>
      <c r="C529" s="342" t="str">
        <f t="shared" si="50"/>
        <v/>
      </c>
      <c r="D529" s="341" t="str">
        <f t="shared" si="48"/>
        <v/>
      </c>
      <c r="E529" s="328" t="str">
        <f t="shared" si="51"/>
        <v/>
      </c>
      <c r="F529" s="339" t="str">
        <f t="shared" si="49"/>
        <v/>
      </c>
      <c r="G529" s="328" t="str">
        <f t="shared" si="52"/>
        <v/>
      </c>
      <c r="H529" s="340" t="str">
        <f t="shared" si="53"/>
        <v/>
      </c>
      <c r="I529" s="57"/>
    </row>
    <row r="530" spans="2:9" ht="20.100000000000001" customHeight="1" x14ac:dyDescent="0.3">
      <c r="B530" s="344">
        <v>522</v>
      </c>
      <c r="C530" s="342" t="str">
        <f t="shared" si="50"/>
        <v/>
      </c>
      <c r="D530" s="341" t="str">
        <f t="shared" si="48"/>
        <v/>
      </c>
      <c r="E530" s="328" t="str">
        <f t="shared" si="51"/>
        <v/>
      </c>
      <c r="F530" s="339" t="str">
        <f t="shared" si="49"/>
        <v/>
      </c>
      <c r="G530" s="328" t="str">
        <f t="shared" si="52"/>
        <v/>
      </c>
      <c r="H530" s="340" t="str">
        <f t="shared" si="53"/>
        <v/>
      </c>
      <c r="I530" s="57"/>
    </row>
    <row r="531" spans="2:9" ht="20.100000000000001" customHeight="1" x14ac:dyDescent="0.3">
      <c r="B531" s="344">
        <v>523</v>
      </c>
      <c r="C531" s="342" t="str">
        <f t="shared" si="50"/>
        <v/>
      </c>
      <c r="D531" s="341" t="str">
        <f t="shared" si="48"/>
        <v/>
      </c>
      <c r="E531" s="328" t="str">
        <f t="shared" si="51"/>
        <v/>
      </c>
      <c r="F531" s="339" t="str">
        <f t="shared" si="49"/>
        <v/>
      </c>
      <c r="G531" s="328" t="str">
        <f t="shared" si="52"/>
        <v/>
      </c>
      <c r="H531" s="340" t="str">
        <f t="shared" si="53"/>
        <v/>
      </c>
      <c r="I531" s="57"/>
    </row>
    <row r="532" spans="2:9" ht="20.100000000000001" customHeight="1" x14ac:dyDescent="0.3">
      <c r="B532" s="344">
        <v>524</v>
      </c>
      <c r="C532" s="342" t="str">
        <f t="shared" si="50"/>
        <v/>
      </c>
      <c r="D532" s="341" t="str">
        <f t="shared" si="48"/>
        <v/>
      </c>
      <c r="E532" s="328" t="str">
        <f t="shared" si="51"/>
        <v/>
      </c>
      <c r="F532" s="339" t="str">
        <f t="shared" si="49"/>
        <v/>
      </c>
      <c r="G532" s="328" t="str">
        <f t="shared" si="52"/>
        <v/>
      </c>
      <c r="H532" s="340" t="str">
        <f t="shared" si="53"/>
        <v/>
      </c>
      <c r="I532" s="57"/>
    </row>
    <row r="533" spans="2:9" ht="20.100000000000001" customHeight="1" x14ac:dyDescent="0.3">
      <c r="B533" s="344">
        <v>525</v>
      </c>
      <c r="C533" s="342" t="str">
        <f t="shared" si="50"/>
        <v/>
      </c>
      <c r="D533" s="341" t="str">
        <f t="shared" si="48"/>
        <v/>
      </c>
      <c r="E533" s="328" t="str">
        <f t="shared" si="51"/>
        <v/>
      </c>
      <c r="F533" s="339" t="str">
        <f t="shared" si="49"/>
        <v/>
      </c>
      <c r="G533" s="328" t="str">
        <f t="shared" si="52"/>
        <v/>
      </c>
      <c r="H533" s="340" t="str">
        <f t="shared" si="53"/>
        <v/>
      </c>
      <c r="I533" s="57"/>
    </row>
    <row r="534" spans="2:9" ht="20.100000000000001" customHeight="1" x14ac:dyDescent="0.3">
      <c r="B534" s="344">
        <v>526</v>
      </c>
      <c r="C534" s="342" t="str">
        <f t="shared" si="50"/>
        <v/>
      </c>
      <c r="D534" s="341" t="str">
        <f t="shared" si="48"/>
        <v/>
      </c>
      <c r="E534" s="328" t="str">
        <f t="shared" si="51"/>
        <v/>
      </c>
      <c r="F534" s="339" t="str">
        <f t="shared" si="49"/>
        <v/>
      </c>
      <c r="G534" s="328" t="str">
        <f t="shared" si="52"/>
        <v/>
      </c>
      <c r="H534" s="340" t="str">
        <f t="shared" si="53"/>
        <v/>
      </c>
      <c r="I534" s="57"/>
    </row>
    <row r="535" spans="2:9" ht="20.100000000000001" customHeight="1" x14ac:dyDescent="0.3">
      <c r="B535" s="344">
        <v>527</v>
      </c>
      <c r="C535" s="342" t="str">
        <f t="shared" si="50"/>
        <v/>
      </c>
      <c r="D535" s="341" t="str">
        <f t="shared" si="48"/>
        <v/>
      </c>
      <c r="E535" s="328" t="str">
        <f t="shared" si="51"/>
        <v/>
      </c>
      <c r="F535" s="339" t="str">
        <f t="shared" si="49"/>
        <v/>
      </c>
      <c r="G535" s="328" t="str">
        <f t="shared" si="52"/>
        <v/>
      </c>
      <c r="H535" s="340" t="str">
        <f t="shared" si="53"/>
        <v/>
      </c>
      <c r="I535" s="57"/>
    </row>
    <row r="536" spans="2:9" ht="20.100000000000001" customHeight="1" x14ac:dyDescent="0.3">
      <c r="B536" s="344">
        <v>528</v>
      </c>
      <c r="C536" s="342" t="str">
        <f t="shared" si="50"/>
        <v/>
      </c>
      <c r="D536" s="341" t="str">
        <f t="shared" si="48"/>
        <v/>
      </c>
      <c r="E536" s="328" t="str">
        <f t="shared" si="51"/>
        <v/>
      </c>
      <c r="F536" s="339" t="str">
        <f t="shared" si="49"/>
        <v/>
      </c>
      <c r="G536" s="328" t="str">
        <f t="shared" si="52"/>
        <v/>
      </c>
      <c r="H536" s="340" t="str">
        <f t="shared" si="53"/>
        <v/>
      </c>
      <c r="I536" s="57"/>
    </row>
    <row r="537" spans="2:9" ht="20.100000000000001" customHeight="1" x14ac:dyDescent="0.3">
      <c r="B537" s="344">
        <v>529</v>
      </c>
      <c r="C537" s="342" t="str">
        <f t="shared" si="50"/>
        <v/>
      </c>
      <c r="D537" s="341" t="str">
        <f t="shared" si="48"/>
        <v/>
      </c>
      <c r="E537" s="328" t="str">
        <f t="shared" si="51"/>
        <v/>
      </c>
      <c r="F537" s="339" t="str">
        <f t="shared" si="49"/>
        <v/>
      </c>
      <c r="G537" s="328" t="str">
        <f t="shared" si="52"/>
        <v/>
      </c>
      <c r="H537" s="340" t="str">
        <f t="shared" si="53"/>
        <v/>
      </c>
      <c r="I537" s="57"/>
    </row>
    <row r="538" spans="2:9" ht="20.100000000000001" customHeight="1" x14ac:dyDescent="0.3">
      <c r="B538" s="344">
        <v>530</v>
      </c>
      <c r="C538" s="342" t="str">
        <f t="shared" si="50"/>
        <v/>
      </c>
      <c r="D538" s="341" t="str">
        <f t="shared" si="48"/>
        <v/>
      </c>
      <c r="E538" s="328" t="str">
        <f t="shared" si="51"/>
        <v/>
      </c>
      <c r="F538" s="339" t="str">
        <f t="shared" si="49"/>
        <v/>
      </c>
      <c r="G538" s="328" t="str">
        <f t="shared" si="52"/>
        <v/>
      </c>
      <c r="H538" s="340" t="str">
        <f t="shared" si="53"/>
        <v/>
      </c>
      <c r="I538" s="57"/>
    </row>
    <row r="539" spans="2:9" ht="20.100000000000001" customHeight="1" x14ac:dyDescent="0.3">
      <c r="B539" s="344">
        <v>531</v>
      </c>
      <c r="C539" s="342" t="str">
        <f t="shared" si="50"/>
        <v/>
      </c>
      <c r="D539" s="341" t="str">
        <f t="shared" si="48"/>
        <v/>
      </c>
      <c r="E539" s="328" t="str">
        <f t="shared" si="51"/>
        <v/>
      </c>
      <c r="F539" s="339" t="str">
        <f t="shared" si="49"/>
        <v/>
      </c>
      <c r="G539" s="328" t="str">
        <f t="shared" si="52"/>
        <v/>
      </c>
      <c r="H539" s="340" t="str">
        <f t="shared" si="53"/>
        <v/>
      </c>
      <c r="I539" s="57"/>
    </row>
    <row r="540" spans="2:9" ht="20.100000000000001" customHeight="1" x14ac:dyDescent="0.3">
      <c r="B540" s="344">
        <v>532</v>
      </c>
      <c r="C540" s="342" t="str">
        <f t="shared" si="50"/>
        <v/>
      </c>
      <c r="D540" s="341" t="str">
        <f t="shared" si="48"/>
        <v/>
      </c>
      <c r="E540" s="328" t="str">
        <f t="shared" si="51"/>
        <v/>
      </c>
      <c r="F540" s="339" t="str">
        <f t="shared" si="49"/>
        <v/>
      </c>
      <c r="G540" s="328" t="str">
        <f t="shared" si="52"/>
        <v/>
      </c>
      <c r="H540" s="340" t="str">
        <f t="shared" si="53"/>
        <v/>
      </c>
      <c r="I540" s="57"/>
    </row>
    <row r="541" spans="2:9" ht="20.100000000000001" customHeight="1" x14ac:dyDescent="0.3">
      <c r="B541" s="344">
        <v>533</v>
      </c>
      <c r="C541" s="342" t="str">
        <f t="shared" si="50"/>
        <v/>
      </c>
      <c r="D541" s="341" t="str">
        <f t="shared" si="48"/>
        <v/>
      </c>
      <c r="E541" s="328" t="str">
        <f t="shared" si="51"/>
        <v/>
      </c>
      <c r="F541" s="339" t="str">
        <f t="shared" si="49"/>
        <v/>
      </c>
      <c r="G541" s="328" t="str">
        <f t="shared" si="52"/>
        <v/>
      </c>
      <c r="H541" s="340" t="str">
        <f t="shared" si="53"/>
        <v/>
      </c>
      <c r="I541" s="57"/>
    </row>
    <row r="542" spans="2:9" ht="20.100000000000001" customHeight="1" x14ac:dyDescent="0.3">
      <c r="B542" s="344">
        <v>534</v>
      </c>
      <c r="C542" s="342" t="str">
        <f t="shared" si="50"/>
        <v/>
      </c>
      <c r="D542" s="341" t="str">
        <f t="shared" si="48"/>
        <v/>
      </c>
      <c r="E542" s="328" t="str">
        <f t="shared" si="51"/>
        <v/>
      </c>
      <c r="F542" s="339" t="str">
        <f t="shared" si="49"/>
        <v/>
      </c>
      <c r="G542" s="328" t="str">
        <f t="shared" si="52"/>
        <v/>
      </c>
      <c r="H542" s="340" t="str">
        <f t="shared" si="53"/>
        <v/>
      </c>
      <c r="I542" s="57"/>
    </row>
    <row r="543" spans="2:9" ht="20.100000000000001" customHeight="1" x14ac:dyDescent="0.3">
      <c r="B543" s="344">
        <v>535</v>
      </c>
      <c r="C543" s="342" t="str">
        <f t="shared" si="50"/>
        <v/>
      </c>
      <c r="D543" s="341" t="str">
        <f t="shared" si="48"/>
        <v/>
      </c>
      <c r="E543" s="328" t="str">
        <f t="shared" si="51"/>
        <v/>
      </c>
      <c r="F543" s="339" t="str">
        <f t="shared" si="49"/>
        <v/>
      </c>
      <c r="G543" s="328" t="str">
        <f t="shared" si="52"/>
        <v/>
      </c>
      <c r="H543" s="340" t="str">
        <f t="shared" si="53"/>
        <v/>
      </c>
      <c r="I543" s="57"/>
    </row>
    <row r="544" spans="2:9" ht="20.100000000000001" customHeight="1" x14ac:dyDescent="0.3">
      <c r="B544" s="344">
        <v>536</v>
      </c>
      <c r="C544" s="342" t="str">
        <f t="shared" si="50"/>
        <v/>
      </c>
      <c r="D544" s="341" t="str">
        <f t="shared" si="48"/>
        <v/>
      </c>
      <c r="E544" s="328" t="str">
        <f t="shared" si="51"/>
        <v/>
      </c>
      <c r="F544" s="339" t="str">
        <f t="shared" si="49"/>
        <v/>
      </c>
      <c r="G544" s="328" t="str">
        <f t="shared" si="52"/>
        <v/>
      </c>
      <c r="H544" s="340" t="str">
        <f t="shared" si="53"/>
        <v/>
      </c>
      <c r="I544" s="57"/>
    </row>
    <row r="545" spans="2:9" ht="20.100000000000001" customHeight="1" x14ac:dyDescent="0.3">
      <c r="B545" s="344">
        <v>537</v>
      </c>
      <c r="C545" s="342" t="str">
        <f t="shared" si="50"/>
        <v/>
      </c>
      <c r="D545" s="341" t="str">
        <f t="shared" si="48"/>
        <v/>
      </c>
      <c r="E545" s="328" t="str">
        <f t="shared" si="51"/>
        <v/>
      </c>
      <c r="F545" s="339" t="str">
        <f t="shared" si="49"/>
        <v/>
      </c>
      <c r="G545" s="328" t="str">
        <f t="shared" si="52"/>
        <v/>
      </c>
      <c r="H545" s="340" t="str">
        <f t="shared" si="53"/>
        <v/>
      </c>
      <c r="I545" s="57"/>
    </row>
    <row r="546" spans="2:9" ht="20.100000000000001" customHeight="1" x14ac:dyDescent="0.3">
      <c r="B546" s="344">
        <v>538</v>
      </c>
      <c r="C546" s="342" t="str">
        <f t="shared" si="50"/>
        <v/>
      </c>
      <c r="D546" s="341" t="str">
        <f t="shared" si="48"/>
        <v/>
      </c>
      <c r="E546" s="328" t="str">
        <f t="shared" si="51"/>
        <v/>
      </c>
      <c r="F546" s="339" t="str">
        <f t="shared" si="49"/>
        <v/>
      </c>
      <c r="G546" s="328" t="str">
        <f t="shared" si="52"/>
        <v/>
      </c>
      <c r="H546" s="340" t="str">
        <f t="shared" si="53"/>
        <v/>
      </c>
      <c r="I546" s="57"/>
    </row>
    <row r="547" spans="2:9" ht="20.100000000000001" customHeight="1" x14ac:dyDescent="0.3">
      <c r="B547" s="344">
        <v>539</v>
      </c>
      <c r="C547" s="342" t="str">
        <f t="shared" si="50"/>
        <v/>
      </c>
      <c r="D547" s="341" t="str">
        <f t="shared" si="48"/>
        <v/>
      </c>
      <c r="E547" s="328" t="str">
        <f t="shared" si="51"/>
        <v/>
      </c>
      <c r="F547" s="339" t="str">
        <f t="shared" si="49"/>
        <v/>
      </c>
      <c r="G547" s="328" t="str">
        <f t="shared" si="52"/>
        <v/>
      </c>
      <c r="H547" s="340" t="str">
        <f t="shared" si="53"/>
        <v/>
      </c>
      <c r="I547" s="57"/>
    </row>
    <row r="548" spans="2:9" ht="20.100000000000001" customHeight="1" x14ac:dyDescent="0.3">
      <c r="B548" s="344">
        <v>540</v>
      </c>
      <c r="C548" s="342" t="str">
        <f t="shared" si="50"/>
        <v/>
      </c>
      <c r="D548" s="341" t="str">
        <f t="shared" si="48"/>
        <v/>
      </c>
      <c r="E548" s="328" t="str">
        <f t="shared" si="51"/>
        <v/>
      </c>
      <c r="F548" s="339" t="str">
        <f t="shared" si="49"/>
        <v/>
      </c>
      <c r="G548" s="328" t="str">
        <f t="shared" si="52"/>
        <v/>
      </c>
      <c r="H548" s="340" t="str">
        <f t="shared" si="53"/>
        <v/>
      </c>
      <c r="I548" s="57"/>
    </row>
    <row r="549" spans="2:9" ht="20.100000000000001" customHeight="1" x14ac:dyDescent="0.3">
      <c r="B549" s="344">
        <v>541</v>
      </c>
      <c r="C549" s="342" t="str">
        <f t="shared" si="50"/>
        <v/>
      </c>
      <c r="D549" s="341" t="str">
        <f t="shared" si="48"/>
        <v/>
      </c>
      <c r="E549" s="328" t="str">
        <f t="shared" si="51"/>
        <v/>
      </c>
      <c r="F549" s="339" t="str">
        <f t="shared" si="49"/>
        <v/>
      </c>
      <c r="G549" s="328" t="str">
        <f t="shared" si="52"/>
        <v/>
      </c>
      <c r="H549" s="340" t="str">
        <f t="shared" si="53"/>
        <v/>
      </c>
      <c r="I549" s="57"/>
    </row>
    <row r="550" spans="2:9" ht="20.100000000000001" customHeight="1" x14ac:dyDescent="0.3">
      <c r="B550" s="344">
        <v>542</v>
      </c>
      <c r="C550" s="342" t="str">
        <f t="shared" si="50"/>
        <v/>
      </c>
      <c r="D550" s="341" t="str">
        <f t="shared" si="48"/>
        <v/>
      </c>
      <c r="E550" s="328" t="str">
        <f t="shared" si="51"/>
        <v/>
      </c>
      <c r="F550" s="339" t="str">
        <f t="shared" si="49"/>
        <v/>
      </c>
      <c r="G550" s="328" t="str">
        <f t="shared" si="52"/>
        <v/>
      </c>
      <c r="H550" s="340" t="str">
        <f t="shared" si="53"/>
        <v/>
      </c>
      <c r="I550" s="57"/>
    </row>
    <row r="551" spans="2:9" ht="20.100000000000001" customHeight="1" x14ac:dyDescent="0.3">
      <c r="B551" s="344">
        <v>543</v>
      </c>
      <c r="C551" s="342" t="str">
        <f t="shared" si="50"/>
        <v/>
      </c>
      <c r="D551" s="341" t="str">
        <f t="shared" si="48"/>
        <v/>
      </c>
      <c r="E551" s="328" t="str">
        <f t="shared" si="51"/>
        <v/>
      </c>
      <c r="F551" s="339" t="str">
        <f t="shared" si="49"/>
        <v/>
      </c>
      <c r="G551" s="328" t="str">
        <f t="shared" si="52"/>
        <v/>
      </c>
      <c r="H551" s="340" t="str">
        <f t="shared" si="53"/>
        <v/>
      </c>
      <c r="I551" s="57"/>
    </row>
    <row r="552" spans="2:9" ht="20.100000000000001" customHeight="1" x14ac:dyDescent="0.3">
      <c r="B552" s="344">
        <v>544</v>
      </c>
      <c r="C552" s="342" t="str">
        <f t="shared" si="50"/>
        <v/>
      </c>
      <c r="D552" s="341" t="str">
        <f t="shared" si="48"/>
        <v/>
      </c>
      <c r="E552" s="328" t="str">
        <f t="shared" si="51"/>
        <v/>
      </c>
      <c r="F552" s="339" t="str">
        <f t="shared" si="49"/>
        <v/>
      </c>
      <c r="G552" s="328" t="str">
        <f t="shared" si="52"/>
        <v/>
      </c>
      <c r="H552" s="340" t="str">
        <f t="shared" si="53"/>
        <v/>
      </c>
      <c r="I552" s="57"/>
    </row>
    <row r="553" spans="2:9" ht="20.100000000000001" customHeight="1" x14ac:dyDescent="0.3">
      <c r="B553" s="344">
        <v>545</v>
      </c>
      <c r="C553" s="342" t="str">
        <f t="shared" si="50"/>
        <v/>
      </c>
      <c r="D553" s="341" t="str">
        <f t="shared" si="48"/>
        <v/>
      </c>
      <c r="E553" s="328" t="str">
        <f t="shared" si="51"/>
        <v/>
      </c>
      <c r="F553" s="339" t="str">
        <f t="shared" si="49"/>
        <v/>
      </c>
      <c r="G553" s="328" t="str">
        <f t="shared" si="52"/>
        <v/>
      </c>
      <c r="H553" s="340" t="str">
        <f t="shared" si="53"/>
        <v/>
      </c>
      <c r="I553" s="57"/>
    </row>
    <row r="554" spans="2:9" ht="20.100000000000001" customHeight="1" x14ac:dyDescent="0.3">
      <c r="B554" s="344">
        <v>546</v>
      </c>
      <c r="C554" s="342" t="str">
        <f t="shared" si="50"/>
        <v/>
      </c>
      <c r="D554" s="341" t="str">
        <f t="shared" si="48"/>
        <v/>
      </c>
      <c r="E554" s="328" t="str">
        <f t="shared" si="51"/>
        <v/>
      </c>
      <c r="F554" s="339" t="str">
        <f t="shared" si="49"/>
        <v/>
      </c>
      <c r="G554" s="328" t="str">
        <f t="shared" si="52"/>
        <v/>
      </c>
      <c r="H554" s="340" t="str">
        <f t="shared" si="53"/>
        <v/>
      </c>
      <c r="I554" s="57"/>
    </row>
    <row r="555" spans="2:9" ht="20.100000000000001" customHeight="1" x14ac:dyDescent="0.3">
      <c r="B555" s="344">
        <v>547</v>
      </c>
      <c r="C555" s="342" t="str">
        <f t="shared" si="50"/>
        <v/>
      </c>
      <c r="D555" s="341" t="str">
        <f t="shared" si="48"/>
        <v/>
      </c>
      <c r="E555" s="328" t="str">
        <f t="shared" si="51"/>
        <v/>
      </c>
      <c r="F555" s="339" t="str">
        <f t="shared" si="49"/>
        <v/>
      </c>
      <c r="G555" s="328" t="str">
        <f t="shared" si="52"/>
        <v/>
      </c>
      <c r="H555" s="340" t="str">
        <f t="shared" si="53"/>
        <v/>
      </c>
      <c r="I555" s="57"/>
    </row>
    <row r="556" spans="2:9" ht="20.100000000000001" customHeight="1" x14ac:dyDescent="0.3">
      <c r="B556" s="344">
        <v>548</v>
      </c>
      <c r="C556" s="342" t="str">
        <f t="shared" si="50"/>
        <v/>
      </c>
      <c r="D556" s="341" t="str">
        <f t="shared" si="48"/>
        <v/>
      </c>
      <c r="E556" s="328" t="str">
        <f t="shared" si="51"/>
        <v/>
      </c>
      <c r="F556" s="339" t="str">
        <f t="shared" si="49"/>
        <v/>
      </c>
      <c r="G556" s="328" t="str">
        <f t="shared" si="52"/>
        <v/>
      </c>
      <c r="H556" s="340" t="str">
        <f t="shared" si="53"/>
        <v/>
      </c>
      <c r="I556" s="57"/>
    </row>
    <row r="557" spans="2:9" ht="20.100000000000001" customHeight="1" x14ac:dyDescent="0.3">
      <c r="B557" s="344">
        <v>549</v>
      </c>
      <c r="C557" s="342" t="str">
        <f t="shared" si="50"/>
        <v/>
      </c>
      <c r="D557" s="341" t="str">
        <f t="shared" si="48"/>
        <v/>
      </c>
      <c r="E557" s="328" t="str">
        <f t="shared" si="51"/>
        <v/>
      </c>
      <c r="F557" s="339" t="str">
        <f t="shared" si="49"/>
        <v/>
      </c>
      <c r="G557" s="328" t="str">
        <f t="shared" si="52"/>
        <v/>
      </c>
      <c r="H557" s="340" t="str">
        <f t="shared" si="53"/>
        <v/>
      </c>
      <c r="I557" s="57"/>
    </row>
    <row r="558" spans="2:9" ht="20.100000000000001" customHeight="1" x14ac:dyDescent="0.3">
      <c r="B558" s="344">
        <v>550</v>
      </c>
      <c r="C558" s="342" t="str">
        <f t="shared" si="50"/>
        <v/>
      </c>
      <c r="D558" s="341" t="str">
        <f t="shared" si="48"/>
        <v/>
      </c>
      <c r="E558" s="328" t="str">
        <f t="shared" si="51"/>
        <v/>
      </c>
      <c r="F558" s="339" t="str">
        <f t="shared" si="49"/>
        <v/>
      </c>
      <c r="G558" s="328" t="str">
        <f t="shared" si="52"/>
        <v/>
      </c>
      <c r="H558" s="340" t="str">
        <f t="shared" si="53"/>
        <v/>
      </c>
      <c r="I558" s="57"/>
    </row>
    <row r="559" spans="2:9" ht="20.100000000000001" customHeight="1" x14ac:dyDescent="0.3">
      <c r="B559" s="344">
        <v>551</v>
      </c>
      <c r="C559" s="342" t="str">
        <f t="shared" si="50"/>
        <v/>
      </c>
      <c r="D559" s="341" t="str">
        <f t="shared" si="48"/>
        <v/>
      </c>
      <c r="E559" s="328" t="str">
        <f t="shared" si="51"/>
        <v/>
      </c>
      <c r="F559" s="339" t="str">
        <f t="shared" si="49"/>
        <v/>
      </c>
      <c r="G559" s="328" t="str">
        <f t="shared" si="52"/>
        <v/>
      </c>
      <c r="H559" s="340" t="str">
        <f t="shared" si="53"/>
        <v/>
      </c>
      <c r="I559" s="57"/>
    </row>
    <row r="560" spans="2:9" ht="20.100000000000001" customHeight="1" x14ac:dyDescent="0.3">
      <c r="B560" s="344">
        <v>552</v>
      </c>
      <c r="C560" s="342" t="str">
        <f t="shared" si="50"/>
        <v/>
      </c>
      <c r="D560" s="341" t="str">
        <f t="shared" si="48"/>
        <v/>
      </c>
      <c r="E560" s="328" t="str">
        <f t="shared" si="51"/>
        <v/>
      </c>
      <c r="F560" s="339" t="str">
        <f t="shared" si="49"/>
        <v/>
      </c>
      <c r="G560" s="328" t="str">
        <f t="shared" si="52"/>
        <v/>
      </c>
      <c r="H560" s="340" t="str">
        <f t="shared" si="53"/>
        <v/>
      </c>
      <c r="I560" s="57"/>
    </row>
    <row r="561" spans="2:9" ht="20.100000000000001" customHeight="1" x14ac:dyDescent="0.3">
      <c r="B561" s="344">
        <v>553</v>
      </c>
      <c r="C561" s="342" t="str">
        <f t="shared" si="50"/>
        <v/>
      </c>
      <c r="D561" s="341" t="str">
        <f t="shared" si="48"/>
        <v/>
      </c>
      <c r="E561" s="328" t="str">
        <f t="shared" si="51"/>
        <v/>
      </c>
      <c r="F561" s="339" t="str">
        <f t="shared" si="49"/>
        <v/>
      </c>
      <c r="G561" s="328" t="str">
        <f t="shared" si="52"/>
        <v/>
      </c>
      <c r="H561" s="340" t="str">
        <f t="shared" si="53"/>
        <v/>
      </c>
      <c r="I561" s="57"/>
    </row>
    <row r="562" spans="2:9" ht="20.100000000000001" customHeight="1" x14ac:dyDescent="0.3">
      <c r="B562" s="344">
        <v>554</v>
      </c>
      <c r="C562" s="342" t="str">
        <f t="shared" si="50"/>
        <v/>
      </c>
      <c r="D562" s="341" t="str">
        <f t="shared" si="48"/>
        <v/>
      </c>
      <c r="E562" s="328" t="str">
        <f t="shared" si="51"/>
        <v/>
      </c>
      <c r="F562" s="339" t="str">
        <f t="shared" si="49"/>
        <v/>
      </c>
      <c r="G562" s="328" t="str">
        <f t="shared" si="52"/>
        <v/>
      </c>
      <c r="H562" s="340" t="str">
        <f t="shared" si="53"/>
        <v/>
      </c>
      <c r="I562" s="57"/>
    </row>
    <row r="563" spans="2:9" ht="20.100000000000001" customHeight="1" x14ac:dyDescent="0.3">
      <c r="B563" s="344">
        <v>555</v>
      </c>
      <c r="C563" s="342" t="str">
        <f t="shared" si="50"/>
        <v/>
      </c>
      <c r="D563" s="341" t="str">
        <f t="shared" si="48"/>
        <v/>
      </c>
      <c r="E563" s="328" t="str">
        <f t="shared" si="51"/>
        <v/>
      </c>
      <c r="F563" s="339" t="str">
        <f t="shared" si="49"/>
        <v/>
      </c>
      <c r="G563" s="328" t="str">
        <f t="shared" si="52"/>
        <v/>
      </c>
      <c r="H563" s="340" t="str">
        <f t="shared" si="53"/>
        <v/>
      </c>
      <c r="I563" s="57"/>
    </row>
    <row r="564" spans="2:9" ht="20.100000000000001" customHeight="1" x14ac:dyDescent="0.3">
      <c r="B564" s="344">
        <v>556</v>
      </c>
      <c r="C564" s="342" t="str">
        <f t="shared" si="50"/>
        <v/>
      </c>
      <c r="D564" s="341" t="str">
        <f t="shared" si="48"/>
        <v/>
      </c>
      <c r="E564" s="328" t="str">
        <f t="shared" si="51"/>
        <v/>
      </c>
      <c r="F564" s="339" t="str">
        <f t="shared" si="49"/>
        <v/>
      </c>
      <c r="G564" s="328" t="str">
        <f t="shared" si="52"/>
        <v/>
      </c>
      <c r="H564" s="340" t="str">
        <f t="shared" si="53"/>
        <v/>
      </c>
      <c r="I564" s="57"/>
    </row>
    <row r="565" spans="2:9" ht="20.100000000000001" customHeight="1" x14ac:dyDescent="0.3">
      <c r="B565" s="344">
        <v>557</v>
      </c>
      <c r="C565" s="342" t="str">
        <f t="shared" si="50"/>
        <v/>
      </c>
      <c r="D565" s="341" t="str">
        <f t="shared" si="48"/>
        <v/>
      </c>
      <c r="E565" s="328" t="str">
        <f t="shared" si="51"/>
        <v/>
      </c>
      <c r="F565" s="339" t="str">
        <f t="shared" si="49"/>
        <v/>
      </c>
      <c r="G565" s="328" t="str">
        <f t="shared" si="52"/>
        <v/>
      </c>
      <c r="H565" s="340" t="str">
        <f t="shared" si="53"/>
        <v/>
      </c>
      <c r="I565" s="57"/>
    </row>
    <row r="566" spans="2:9" ht="20.100000000000001" customHeight="1" x14ac:dyDescent="0.3">
      <c r="B566" s="344">
        <v>558</v>
      </c>
      <c r="C566" s="342" t="str">
        <f t="shared" si="50"/>
        <v/>
      </c>
      <c r="D566" s="341" t="str">
        <f t="shared" si="48"/>
        <v/>
      </c>
      <c r="E566" s="328" t="str">
        <f t="shared" si="51"/>
        <v/>
      </c>
      <c r="F566" s="339" t="str">
        <f t="shared" si="49"/>
        <v/>
      </c>
      <c r="G566" s="328" t="str">
        <f t="shared" si="52"/>
        <v/>
      </c>
      <c r="H566" s="340" t="str">
        <f t="shared" si="53"/>
        <v/>
      </c>
      <c r="I566" s="57"/>
    </row>
    <row r="567" spans="2:9" ht="20.100000000000001" customHeight="1" x14ac:dyDescent="0.3">
      <c r="B567" s="344">
        <v>559</v>
      </c>
      <c r="C567" s="342" t="str">
        <f t="shared" si="50"/>
        <v/>
      </c>
      <c r="D567" s="341" t="str">
        <f t="shared" si="48"/>
        <v/>
      </c>
      <c r="E567" s="328" t="str">
        <f t="shared" si="51"/>
        <v/>
      </c>
      <c r="F567" s="339" t="str">
        <f t="shared" si="49"/>
        <v/>
      </c>
      <c r="G567" s="328" t="str">
        <f t="shared" si="52"/>
        <v/>
      </c>
      <c r="H567" s="340" t="str">
        <f t="shared" si="53"/>
        <v/>
      </c>
      <c r="I567" s="57"/>
    </row>
    <row r="568" spans="2:9" ht="20.100000000000001" customHeight="1" x14ac:dyDescent="0.3">
      <c r="B568" s="344">
        <v>560</v>
      </c>
      <c r="C568" s="342" t="str">
        <f t="shared" si="50"/>
        <v/>
      </c>
      <c r="D568" s="341" t="str">
        <f t="shared" si="48"/>
        <v/>
      </c>
      <c r="E568" s="328" t="str">
        <f t="shared" si="51"/>
        <v/>
      </c>
      <c r="F568" s="339" t="str">
        <f t="shared" si="49"/>
        <v/>
      </c>
      <c r="G568" s="328" t="str">
        <f t="shared" si="52"/>
        <v/>
      </c>
      <c r="H568" s="340" t="str">
        <f t="shared" si="53"/>
        <v/>
      </c>
      <c r="I568" s="57"/>
    </row>
    <row r="569" spans="2:9" ht="20.100000000000001" customHeight="1" x14ac:dyDescent="0.3">
      <c r="B569" s="344">
        <v>561</v>
      </c>
      <c r="C569" s="342" t="str">
        <f t="shared" si="50"/>
        <v/>
      </c>
      <c r="D569" s="341" t="str">
        <f t="shared" si="48"/>
        <v/>
      </c>
      <c r="E569" s="328" t="str">
        <f t="shared" si="51"/>
        <v/>
      </c>
      <c r="F569" s="339" t="str">
        <f t="shared" si="49"/>
        <v/>
      </c>
      <c r="G569" s="328" t="str">
        <f t="shared" si="52"/>
        <v/>
      </c>
      <c r="H569" s="340" t="str">
        <f t="shared" si="53"/>
        <v/>
      </c>
      <c r="I569" s="57"/>
    </row>
    <row r="570" spans="2:9" ht="20.100000000000001" customHeight="1" x14ac:dyDescent="0.3">
      <c r="B570" s="344">
        <v>562</v>
      </c>
      <c r="C570" s="342" t="str">
        <f t="shared" si="50"/>
        <v/>
      </c>
      <c r="D570" s="341" t="str">
        <f t="shared" si="48"/>
        <v/>
      </c>
      <c r="E570" s="328" t="str">
        <f t="shared" si="51"/>
        <v/>
      </c>
      <c r="F570" s="339" t="str">
        <f t="shared" si="49"/>
        <v/>
      </c>
      <c r="G570" s="328" t="str">
        <f t="shared" si="52"/>
        <v/>
      </c>
      <c r="H570" s="340" t="str">
        <f t="shared" si="53"/>
        <v/>
      </c>
      <c r="I570" s="57"/>
    </row>
    <row r="571" spans="2:9" ht="20.100000000000001" customHeight="1" x14ac:dyDescent="0.3">
      <c r="B571" s="344">
        <v>563</v>
      </c>
      <c r="C571" s="342" t="str">
        <f t="shared" si="50"/>
        <v/>
      </c>
      <c r="D571" s="341" t="str">
        <f t="shared" si="48"/>
        <v/>
      </c>
      <c r="E571" s="328" t="str">
        <f t="shared" si="51"/>
        <v/>
      </c>
      <c r="F571" s="339" t="str">
        <f t="shared" si="49"/>
        <v/>
      </c>
      <c r="G571" s="328" t="str">
        <f t="shared" si="52"/>
        <v/>
      </c>
      <c r="H571" s="340" t="str">
        <f t="shared" si="53"/>
        <v/>
      </c>
      <c r="I571" s="57"/>
    </row>
    <row r="572" spans="2:9" ht="20.100000000000001" customHeight="1" x14ac:dyDescent="0.3">
      <c r="B572" s="344">
        <v>564</v>
      </c>
      <c r="C572" s="342" t="str">
        <f t="shared" si="50"/>
        <v/>
      </c>
      <c r="D572" s="341" t="str">
        <f t="shared" si="48"/>
        <v/>
      </c>
      <c r="E572" s="328" t="str">
        <f t="shared" si="51"/>
        <v/>
      </c>
      <c r="F572" s="339" t="str">
        <f t="shared" si="49"/>
        <v/>
      </c>
      <c r="G572" s="328" t="str">
        <f t="shared" si="52"/>
        <v/>
      </c>
      <c r="H572" s="340" t="str">
        <f t="shared" si="53"/>
        <v/>
      </c>
      <c r="I572" s="57"/>
    </row>
    <row r="573" spans="2:9" ht="20.100000000000001" customHeight="1" x14ac:dyDescent="0.3">
      <c r="B573" s="344">
        <v>565</v>
      </c>
      <c r="C573" s="342" t="str">
        <f t="shared" si="50"/>
        <v/>
      </c>
      <c r="D573" s="341" t="str">
        <f t="shared" si="48"/>
        <v/>
      </c>
      <c r="E573" s="328" t="str">
        <f t="shared" si="51"/>
        <v/>
      </c>
      <c r="F573" s="339" t="str">
        <f t="shared" si="49"/>
        <v/>
      </c>
      <c r="G573" s="328" t="str">
        <f t="shared" si="52"/>
        <v/>
      </c>
      <c r="H573" s="340" t="str">
        <f t="shared" si="53"/>
        <v/>
      </c>
      <c r="I573" s="57"/>
    </row>
    <row r="574" spans="2:9" ht="20.100000000000001" customHeight="1" x14ac:dyDescent="0.3">
      <c r="B574" s="344">
        <v>566</v>
      </c>
      <c r="C574" s="342" t="str">
        <f t="shared" si="50"/>
        <v/>
      </c>
      <c r="D574" s="341" t="str">
        <f t="shared" si="48"/>
        <v/>
      </c>
      <c r="E574" s="328" t="str">
        <f t="shared" si="51"/>
        <v/>
      </c>
      <c r="F574" s="339" t="str">
        <f t="shared" si="49"/>
        <v/>
      </c>
      <c r="G574" s="328" t="str">
        <f t="shared" si="52"/>
        <v/>
      </c>
      <c r="H574" s="340" t="str">
        <f t="shared" si="53"/>
        <v/>
      </c>
      <c r="I574" s="57"/>
    </row>
    <row r="575" spans="2:9" ht="20.100000000000001" customHeight="1" x14ac:dyDescent="0.3">
      <c r="B575" s="344">
        <v>567</v>
      </c>
      <c r="C575" s="342" t="str">
        <f t="shared" si="50"/>
        <v/>
      </c>
      <c r="D575" s="341" t="str">
        <f t="shared" si="48"/>
        <v/>
      </c>
      <c r="E575" s="328" t="str">
        <f t="shared" si="51"/>
        <v/>
      </c>
      <c r="F575" s="339" t="str">
        <f t="shared" si="49"/>
        <v/>
      </c>
      <c r="G575" s="328" t="str">
        <f t="shared" si="52"/>
        <v/>
      </c>
      <c r="H575" s="340" t="str">
        <f t="shared" si="53"/>
        <v/>
      </c>
      <c r="I575" s="57"/>
    </row>
    <row r="576" spans="2:9" ht="20.100000000000001" customHeight="1" x14ac:dyDescent="0.3">
      <c r="B576" s="344">
        <v>568</v>
      </c>
      <c r="C576" s="342" t="str">
        <f t="shared" si="50"/>
        <v/>
      </c>
      <c r="D576" s="341" t="str">
        <f t="shared" si="48"/>
        <v/>
      </c>
      <c r="E576" s="328" t="str">
        <f t="shared" si="51"/>
        <v/>
      </c>
      <c r="F576" s="339" t="str">
        <f t="shared" si="49"/>
        <v/>
      </c>
      <c r="G576" s="328" t="str">
        <f t="shared" si="52"/>
        <v/>
      </c>
      <c r="H576" s="340" t="str">
        <f t="shared" si="53"/>
        <v/>
      </c>
      <c r="I576" s="57"/>
    </row>
    <row r="577" spans="2:9" ht="20.100000000000001" customHeight="1" x14ac:dyDescent="0.3">
      <c r="B577" s="344">
        <v>569</v>
      </c>
      <c r="C577" s="342" t="str">
        <f t="shared" si="50"/>
        <v/>
      </c>
      <c r="D577" s="341" t="str">
        <f t="shared" si="48"/>
        <v/>
      </c>
      <c r="E577" s="328" t="str">
        <f t="shared" si="51"/>
        <v/>
      </c>
      <c r="F577" s="339" t="str">
        <f t="shared" si="49"/>
        <v/>
      </c>
      <c r="G577" s="328" t="str">
        <f t="shared" si="52"/>
        <v/>
      </c>
      <c r="H577" s="340" t="str">
        <f t="shared" si="53"/>
        <v/>
      </c>
      <c r="I577" s="57"/>
    </row>
    <row r="578" spans="2:9" ht="20.100000000000001" customHeight="1" x14ac:dyDescent="0.3">
      <c r="B578" s="344">
        <v>570</v>
      </c>
      <c r="C578" s="342" t="str">
        <f t="shared" si="50"/>
        <v/>
      </c>
      <c r="D578" s="341" t="str">
        <f t="shared" si="48"/>
        <v/>
      </c>
      <c r="E578" s="328" t="str">
        <f t="shared" si="51"/>
        <v/>
      </c>
      <c r="F578" s="339" t="str">
        <f t="shared" si="49"/>
        <v/>
      </c>
      <c r="G578" s="328" t="str">
        <f t="shared" si="52"/>
        <v/>
      </c>
      <c r="H578" s="340" t="str">
        <f t="shared" si="53"/>
        <v/>
      </c>
      <c r="I578" s="57"/>
    </row>
    <row r="579" spans="2:9" ht="20.100000000000001" customHeight="1" x14ac:dyDescent="0.3">
      <c r="B579" s="344">
        <v>571</v>
      </c>
      <c r="C579" s="342" t="str">
        <f t="shared" si="50"/>
        <v/>
      </c>
      <c r="D579" s="341" t="str">
        <f t="shared" si="48"/>
        <v/>
      </c>
      <c r="E579" s="328" t="str">
        <f t="shared" si="51"/>
        <v/>
      </c>
      <c r="F579" s="339" t="str">
        <f t="shared" si="49"/>
        <v/>
      </c>
      <c r="G579" s="328" t="str">
        <f t="shared" si="52"/>
        <v/>
      </c>
      <c r="H579" s="340" t="str">
        <f t="shared" si="53"/>
        <v/>
      </c>
      <c r="I579" s="57"/>
    </row>
    <row r="580" spans="2:9" ht="20.100000000000001" customHeight="1" x14ac:dyDescent="0.3">
      <c r="B580" s="344">
        <v>572</v>
      </c>
      <c r="C580" s="342" t="str">
        <f t="shared" si="50"/>
        <v/>
      </c>
      <c r="D580" s="341" t="str">
        <f t="shared" si="48"/>
        <v/>
      </c>
      <c r="E580" s="328" t="str">
        <f t="shared" si="51"/>
        <v/>
      </c>
      <c r="F580" s="339" t="str">
        <f t="shared" si="49"/>
        <v/>
      </c>
      <c r="G580" s="328" t="str">
        <f t="shared" si="52"/>
        <v/>
      </c>
      <c r="H580" s="340" t="str">
        <f t="shared" si="53"/>
        <v/>
      </c>
      <c r="I580" s="57"/>
    </row>
    <row r="581" spans="2:9" ht="20.100000000000001" customHeight="1" x14ac:dyDescent="0.3">
      <c r="B581" s="344">
        <v>573</v>
      </c>
      <c r="C581" s="342" t="str">
        <f t="shared" si="50"/>
        <v/>
      </c>
      <c r="D581" s="341" t="str">
        <f t="shared" si="48"/>
        <v/>
      </c>
      <c r="E581" s="328" t="str">
        <f t="shared" si="51"/>
        <v/>
      </c>
      <c r="F581" s="339" t="str">
        <f t="shared" si="49"/>
        <v/>
      </c>
      <c r="G581" s="328" t="str">
        <f t="shared" si="52"/>
        <v/>
      </c>
      <c r="H581" s="340" t="str">
        <f t="shared" si="53"/>
        <v/>
      </c>
      <c r="I581" s="57"/>
    </row>
    <row r="582" spans="2:9" ht="20.100000000000001" customHeight="1" x14ac:dyDescent="0.3">
      <c r="B582" s="344">
        <v>574</v>
      </c>
      <c r="C582" s="342" t="str">
        <f t="shared" si="50"/>
        <v/>
      </c>
      <c r="D582" s="341" t="str">
        <f t="shared" si="48"/>
        <v/>
      </c>
      <c r="E582" s="328" t="str">
        <f t="shared" si="51"/>
        <v/>
      </c>
      <c r="F582" s="339" t="str">
        <f t="shared" si="49"/>
        <v/>
      </c>
      <c r="G582" s="328" t="str">
        <f t="shared" si="52"/>
        <v/>
      </c>
      <c r="H582" s="340" t="str">
        <f t="shared" si="53"/>
        <v/>
      </c>
      <c r="I582" s="57"/>
    </row>
    <row r="583" spans="2:9" ht="20.100000000000001" customHeight="1" x14ac:dyDescent="0.3">
      <c r="B583" s="344">
        <v>575</v>
      </c>
      <c r="C583" s="342" t="str">
        <f t="shared" si="50"/>
        <v/>
      </c>
      <c r="D583" s="341" t="str">
        <f t="shared" si="48"/>
        <v/>
      </c>
      <c r="E583" s="328" t="str">
        <f t="shared" si="51"/>
        <v/>
      </c>
      <c r="F583" s="339" t="str">
        <f t="shared" si="49"/>
        <v/>
      </c>
      <c r="G583" s="328" t="str">
        <f t="shared" si="52"/>
        <v/>
      </c>
      <c r="H583" s="340" t="str">
        <f t="shared" si="53"/>
        <v/>
      </c>
      <c r="I583" s="57"/>
    </row>
    <row r="584" spans="2:9" ht="20.100000000000001" customHeight="1" x14ac:dyDescent="0.3">
      <c r="B584" s="344">
        <v>576</v>
      </c>
      <c r="C584" s="342" t="str">
        <f t="shared" si="50"/>
        <v/>
      </c>
      <c r="D584" s="341" t="str">
        <f t="shared" si="48"/>
        <v/>
      </c>
      <c r="E584" s="328" t="str">
        <f t="shared" si="51"/>
        <v/>
      </c>
      <c r="F584" s="339" t="str">
        <f t="shared" si="49"/>
        <v/>
      </c>
      <c r="G584" s="328" t="str">
        <f t="shared" si="52"/>
        <v/>
      </c>
      <c r="H584" s="340" t="str">
        <f t="shared" si="53"/>
        <v/>
      </c>
      <c r="I584" s="57"/>
    </row>
    <row r="585" spans="2:9" ht="20.100000000000001" customHeight="1" x14ac:dyDescent="0.3">
      <c r="B585" s="344">
        <v>577</v>
      </c>
      <c r="C585" s="342" t="str">
        <f t="shared" si="50"/>
        <v/>
      </c>
      <c r="D585" s="341" t="str">
        <f t="shared" si="48"/>
        <v/>
      </c>
      <c r="E585" s="328" t="str">
        <f t="shared" si="51"/>
        <v/>
      </c>
      <c r="F585" s="339" t="str">
        <f t="shared" si="49"/>
        <v/>
      </c>
      <c r="G585" s="328" t="str">
        <f t="shared" si="52"/>
        <v/>
      </c>
      <c r="H585" s="340" t="str">
        <f t="shared" si="53"/>
        <v/>
      </c>
      <c r="I585" s="57"/>
    </row>
    <row r="586" spans="2:9" ht="20.100000000000001" customHeight="1" x14ac:dyDescent="0.3">
      <c r="B586" s="344">
        <v>578</v>
      </c>
      <c r="C586" s="342" t="str">
        <f t="shared" si="50"/>
        <v/>
      </c>
      <c r="D586" s="341" t="str">
        <f t="shared" ref="D586:D608" si="54">IF($H$4="","",IF($F$4="원리금균등상환",IFERROR(IF(B586&lt;=$D$6,0,-PPMT($E$4/12,B586-$D$6,($B$6-$D$6),$D$4)),""),IF($F$4="원금균등상환",IF(B586&lt;($D$6+1),0,IF(B586&gt;$B$6,0,$D$4/($B$6-$D$6))),"")))</f>
        <v/>
      </c>
      <c r="E586" s="328" t="str">
        <f t="shared" si="51"/>
        <v/>
      </c>
      <c r="F586" s="339" t="str">
        <f t="shared" ref="F586:F608" si="55">IF($H$4="","",IF($F$4="원리금균등상환",IFERROR(D586+E586,""),IF($F$4="원금균등상환",D586+E586,"")))</f>
        <v/>
      </c>
      <c r="G586" s="328" t="str">
        <f t="shared" si="52"/>
        <v/>
      </c>
      <c r="H586" s="340" t="str">
        <f t="shared" si="53"/>
        <v/>
      </c>
      <c r="I586" s="57"/>
    </row>
    <row r="587" spans="2:9" ht="20.100000000000001" customHeight="1" x14ac:dyDescent="0.3">
      <c r="B587" s="344">
        <v>579</v>
      </c>
      <c r="C587" s="342" t="str">
        <f t="shared" ref="C587:C608" si="56">IF($H$4="","",IF(B587&gt;($B$6),"",IF(B587&lt;=($B$6),DATE(YEAR($G$4),MONTH($G$4)+B586,DAY($G$4)),"")))</f>
        <v/>
      </c>
      <c r="D587" s="341" t="str">
        <f t="shared" si="54"/>
        <v/>
      </c>
      <c r="E587" s="328" t="str">
        <f t="shared" ref="E587:E608" si="57">IF($H$4="","",IF($F$4="원리금균등상환",IFERROR(IF(B587&lt;=$D$6,$H586*($E$4/12),-IPMT($E$4/12,B587-$D$6,($B$6-$D$6),$D$4)),""),IF($F$4="원금균등상환",(H586-D587)*$E$4/12,"")))</f>
        <v/>
      </c>
      <c r="F587" s="339" t="str">
        <f t="shared" si="55"/>
        <v/>
      </c>
      <c r="G587" s="328" t="str">
        <f t="shared" ref="G587:G608" si="58">IFERROR(IF(B587&gt;(($D$6+$B$6)*12),"",IF(B587=1,D587,D587+G586)),"")</f>
        <v/>
      </c>
      <c r="H587" s="340" t="str">
        <f t="shared" ref="H587:H608" si="59">IFERROR(IF($H$4="","",H586-D587),"")</f>
        <v/>
      </c>
      <c r="I587" s="57"/>
    </row>
    <row r="588" spans="2:9" ht="20.100000000000001" customHeight="1" x14ac:dyDescent="0.3">
      <c r="B588" s="344">
        <v>580</v>
      </c>
      <c r="C588" s="342" t="str">
        <f t="shared" si="56"/>
        <v/>
      </c>
      <c r="D588" s="341" t="str">
        <f t="shared" si="54"/>
        <v/>
      </c>
      <c r="E588" s="328" t="str">
        <f t="shared" si="57"/>
        <v/>
      </c>
      <c r="F588" s="339" t="str">
        <f t="shared" si="55"/>
        <v/>
      </c>
      <c r="G588" s="328" t="str">
        <f t="shared" si="58"/>
        <v/>
      </c>
      <c r="H588" s="340" t="str">
        <f t="shared" si="59"/>
        <v/>
      </c>
      <c r="I588" s="57"/>
    </row>
    <row r="589" spans="2:9" ht="20.100000000000001" customHeight="1" x14ac:dyDescent="0.3">
      <c r="B589" s="344">
        <v>581</v>
      </c>
      <c r="C589" s="342" t="str">
        <f t="shared" si="56"/>
        <v/>
      </c>
      <c r="D589" s="341" t="str">
        <f t="shared" si="54"/>
        <v/>
      </c>
      <c r="E589" s="328" t="str">
        <f t="shared" si="57"/>
        <v/>
      </c>
      <c r="F589" s="339" t="str">
        <f t="shared" si="55"/>
        <v/>
      </c>
      <c r="G589" s="328" t="str">
        <f t="shared" si="58"/>
        <v/>
      </c>
      <c r="H589" s="340" t="str">
        <f t="shared" si="59"/>
        <v/>
      </c>
      <c r="I589" s="57"/>
    </row>
    <row r="590" spans="2:9" ht="20.100000000000001" customHeight="1" x14ac:dyDescent="0.3">
      <c r="B590" s="344">
        <v>582</v>
      </c>
      <c r="C590" s="342" t="str">
        <f t="shared" si="56"/>
        <v/>
      </c>
      <c r="D590" s="341" t="str">
        <f t="shared" si="54"/>
        <v/>
      </c>
      <c r="E590" s="328" t="str">
        <f t="shared" si="57"/>
        <v/>
      </c>
      <c r="F590" s="339" t="str">
        <f t="shared" si="55"/>
        <v/>
      </c>
      <c r="G590" s="328" t="str">
        <f t="shared" si="58"/>
        <v/>
      </c>
      <c r="H590" s="340" t="str">
        <f t="shared" si="59"/>
        <v/>
      </c>
      <c r="I590" s="57"/>
    </row>
    <row r="591" spans="2:9" ht="20.100000000000001" customHeight="1" x14ac:dyDescent="0.3">
      <c r="B591" s="344">
        <v>583</v>
      </c>
      <c r="C591" s="342" t="str">
        <f t="shared" si="56"/>
        <v/>
      </c>
      <c r="D591" s="341" t="str">
        <f t="shared" si="54"/>
        <v/>
      </c>
      <c r="E591" s="328" t="str">
        <f t="shared" si="57"/>
        <v/>
      </c>
      <c r="F591" s="339" t="str">
        <f t="shared" si="55"/>
        <v/>
      </c>
      <c r="G591" s="328" t="str">
        <f t="shared" si="58"/>
        <v/>
      </c>
      <c r="H591" s="340" t="str">
        <f t="shared" si="59"/>
        <v/>
      </c>
      <c r="I591" s="57"/>
    </row>
    <row r="592" spans="2:9" ht="20.100000000000001" customHeight="1" x14ac:dyDescent="0.3">
      <c r="B592" s="344">
        <v>584</v>
      </c>
      <c r="C592" s="342" t="str">
        <f t="shared" si="56"/>
        <v/>
      </c>
      <c r="D592" s="341" t="str">
        <f t="shared" si="54"/>
        <v/>
      </c>
      <c r="E592" s="328" t="str">
        <f t="shared" si="57"/>
        <v/>
      </c>
      <c r="F592" s="339" t="str">
        <f t="shared" si="55"/>
        <v/>
      </c>
      <c r="G592" s="328" t="str">
        <f t="shared" si="58"/>
        <v/>
      </c>
      <c r="H592" s="340" t="str">
        <f t="shared" si="59"/>
        <v/>
      </c>
      <c r="I592" s="57"/>
    </row>
    <row r="593" spans="2:9" ht="20.100000000000001" customHeight="1" x14ac:dyDescent="0.3">
      <c r="B593" s="344">
        <v>585</v>
      </c>
      <c r="C593" s="342" t="str">
        <f t="shared" si="56"/>
        <v/>
      </c>
      <c r="D593" s="341" t="str">
        <f t="shared" si="54"/>
        <v/>
      </c>
      <c r="E593" s="328" t="str">
        <f t="shared" si="57"/>
        <v/>
      </c>
      <c r="F593" s="339" t="str">
        <f t="shared" si="55"/>
        <v/>
      </c>
      <c r="G593" s="328" t="str">
        <f t="shared" si="58"/>
        <v/>
      </c>
      <c r="H593" s="340" t="str">
        <f t="shared" si="59"/>
        <v/>
      </c>
      <c r="I593" s="57"/>
    </row>
    <row r="594" spans="2:9" ht="20.100000000000001" customHeight="1" x14ac:dyDescent="0.3">
      <c r="B594" s="344">
        <v>586</v>
      </c>
      <c r="C594" s="342" t="str">
        <f t="shared" si="56"/>
        <v/>
      </c>
      <c r="D594" s="341" t="str">
        <f t="shared" si="54"/>
        <v/>
      </c>
      <c r="E594" s="328" t="str">
        <f t="shared" si="57"/>
        <v/>
      </c>
      <c r="F594" s="339" t="str">
        <f t="shared" si="55"/>
        <v/>
      </c>
      <c r="G594" s="328" t="str">
        <f t="shared" si="58"/>
        <v/>
      </c>
      <c r="H594" s="340" t="str">
        <f t="shared" si="59"/>
        <v/>
      </c>
      <c r="I594" s="57"/>
    </row>
    <row r="595" spans="2:9" ht="20.100000000000001" customHeight="1" x14ac:dyDescent="0.3">
      <c r="B595" s="344">
        <v>587</v>
      </c>
      <c r="C595" s="342" t="str">
        <f t="shared" si="56"/>
        <v/>
      </c>
      <c r="D595" s="341" t="str">
        <f t="shared" si="54"/>
        <v/>
      </c>
      <c r="E595" s="328" t="str">
        <f t="shared" si="57"/>
        <v/>
      </c>
      <c r="F595" s="339" t="str">
        <f t="shared" si="55"/>
        <v/>
      </c>
      <c r="G595" s="328" t="str">
        <f t="shared" si="58"/>
        <v/>
      </c>
      <c r="H595" s="340" t="str">
        <f t="shared" si="59"/>
        <v/>
      </c>
      <c r="I595" s="57"/>
    </row>
    <row r="596" spans="2:9" ht="20.100000000000001" customHeight="1" x14ac:dyDescent="0.3">
      <c r="B596" s="344">
        <v>588</v>
      </c>
      <c r="C596" s="342" t="str">
        <f t="shared" si="56"/>
        <v/>
      </c>
      <c r="D596" s="341" t="str">
        <f t="shared" si="54"/>
        <v/>
      </c>
      <c r="E596" s="328" t="str">
        <f t="shared" si="57"/>
        <v/>
      </c>
      <c r="F596" s="339" t="str">
        <f t="shared" si="55"/>
        <v/>
      </c>
      <c r="G596" s="328" t="str">
        <f t="shared" si="58"/>
        <v/>
      </c>
      <c r="H596" s="340" t="str">
        <f t="shared" si="59"/>
        <v/>
      </c>
      <c r="I596" s="57"/>
    </row>
    <row r="597" spans="2:9" ht="20.100000000000001" customHeight="1" x14ac:dyDescent="0.3">
      <c r="B597" s="344">
        <v>589</v>
      </c>
      <c r="C597" s="342" t="str">
        <f t="shared" si="56"/>
        <v/>
      </c>
      <c r="D597" s="341" t="str">
        <f t="shared" si="54"/>
        <v/>
      </c>
      <c r="E597" s="328" t="str">
        <f t="shared" si="57"/>
        <v/>
      </c>
      <c r="F597" s="339" t="str">
        <f t="shared" si="55"/>
        <v/>
      </c>
      <c r="G597" s="328" t="str">
        <f t="shared" si="58"/>
        <v/>
      </c>
      <c r="H597" s="340" t="str">
        <f t="shared" si="59"/>
        <v/>
      </c>
      <c r="I597" s="57"/>
    </row>
    <row r="598" spans="2:9" ht="20.100000000000001" customHeight="1" x14ac:dyDescent="0.3">
      <c r="B598" s="344">
        <v>590</v>
      </c>
      <c r="C598" s="342" t="str">
        <f t="shared" si="56"/>
        <v/>
      </c>
      <c r="D598" s="341" t="str">
        <f t="shared" si="54"/>
        <v/>
      </c>
      <c r="E598" s="328" t="str">
        <f t="shared" si="57"/>
        <v/>
      </c>
      <c r="F598" s="339" t="str">
        <f t="shared" si="55"/>
        <v/>
      </c>
      <c r="G598" s="328" t="str">
        <f t="shared" si="58"/>
        <v/>
      </c>
      <c r="H598" s="340" t="str">
        <f t="shared" si="59"/>
        <v/>
      </c>
      <c r="I598" s="57"/>
    </row>
    <row r="599" spans="2:9" ht="20.100000000000001" customHeight="1" x14ac:dyDescent="0.3">
      <c r="B599" s="344">
        <v>591</v>
      </c>
      <c r="C599" s="342" t="str">
        <f t="shared" si="56"/>
        <v/>
      </c>
      <c r="D599" s="341" t="str">
        <f t="shared" si="54"/>
        <v/>
      </c>
      <c r="E599" s="328" t="str">
        <f t="shared" si="57"/>
        <v/>
      </c>
      <c r="F599" s="339" t="str">
        <f t="shared" si="55"/>
        <v/>
      </c>
      <c r="G599" s="328" t="str">
        <f t="shared" si="58"/>
        <v/>
      </c>
      <c r="H599" s="340" t="str">
        <f t="shared" si="59"/>
        <v/>
      </c>
      <c r="I599" s="57"/>
    </row>
    <row r="600" spans="2:9" ht="20.100000000000001" customHeight="1" x14ac:dyDescent="0.3">
      <c r="B600" s="344">
        <v>592</v>
      </c>
      <c r="C600" s="342" t="str">
        <f t="shared" si="56"/>
        <v/>
      </c>
      <c r="D600" s="341" t="str">
        <f t="shared" si="54"/>
        <v/>
      </c>
      <c r="E600" s="328" t="str">
        <f t="shared" si="57"/>
        <v/>
      </c>
      <c r="F600" s="339" t="str">
        <f t="shared" si="55"/>
        <v/>
      </c>
      <c r="G600" s="328" t="str">
        <f t="shared" si="58"/>
        <v/>
      </c>
      <c r="H600" s="340" t="str">
        <f t="shared" si="59"/>
        <v/>
      </c>
      <c r="I600" s="57"/>
    </row>
    <row r="601" spans="2:9" ht="20.100000000000001" customHeight="1" x14ac:dyDescent="0.3">
      <c r="B601" s="344">
        <v>593</v>
      </c>
      <c r="C601" s="342" t="str">
        <f t="shared" si="56"/>
        <v/>
      </c>
      <c r="D601" s="341" t="str">
        <f t="shared" si="54"/>
        <v/>
      </c>
      <c r="E601" s="328" t="str">
        <f t="shared" si="57"/>
        <v/>
      </c>
      <c r="F601" s="339" t="str">
        <f t="shared" si="55"/>
        <v/>
      </c>
      <c r="G601" s="328" t="str">
        <f t="shared" si="58"/>
        <v/>
      </c>
      <c r="H601" s="340" t="str">
        <f t="shared" si="59"/>
        <v/>
      </c>
      <c r="I601" s="57"/>
    </row>
    <row r="602" spans="2:9" ht="20.100000000000001" customHeight="1" x14ac:dyDescent="0.3">
      <c r="B602" s="344">
        <v>594</v>
      </c>
      <c r="C602" s="342" t="str">
        <f t="shared" si="56"/>
        <v/>
      </c>
      <c r="D602" s="341" t="str">
        <f t="shared" si="54"/>
        <v/>
      </c>
      <c r="E602" s="328" t="str">
        <f t="shared" si="57"/>
        <v/>
      </c>
      <c r="F602" s="339" t="str">
        <f t="shared" si="55"/>
        <v/>
      </c>
      <c r="G602" s="328" t="str">
        <f t="shared" si="58"/>
        <v/>
      </c>
      <c r="H602" s="340" t="str">
        <f t="shared" si="59"/>
        <v/>
      </c>
      <c r="I602" s="57"/>
    </row>
    <row r="603" spans="2:9" ht="20.100000000000001" customHeight="1" x14ac:dyDescent="0.3">
      <c r="B603" s="344">
        <v>595</v>
      </c>
      <c r="C603" s="342" t="str">
        <f t="shared" si="56"/>
        <v/>
      </c>
      <c r="D603" s="341" t="str">
        <f t="shared" si="54"/>
        <v/>
      </c>
      <c r="E603" s="328" t="str">
        <f t="shared" si="57"/>
        <v/>
      </c>
      <c r="F603" s="339" t="str">
        <f t="shared" si="55"/>
        <v/>
      </c>
      <c r="G603" s="328" t="str">
        <f t="shared" si="58"/>
        <v/>
      </c>
      <c r="H603" s="340" t="str">
        <f t="shared" si="59"/>
        <v/>
      </c>
      <c r="I603" s="57"/>
    </row>
    <row r="604" spans="2:9" ht="20.100000000000001" customHeight="1" x14ac:dyDescent="0.3">
      <c r="B604" s="344">
        <v>596</v>
      </c>
      <c r="C604" s="342" t="str">
        <f t="shared" si="56"/>
        <v/>
      </c>
      <c r="D604" s="341" t="str">
        <f t="shared" si="54"/>
        <v/>
      </c>
      <c r="E604" s="328" t="str">
        <f t="shared" si="57"/>
        <v/>
      </c>
      <c r="F604" s="339" t="str">
        <f t="shared" si="55"/>
        <v/>
      </c>
      <c r="G604" s="328" t="str">
        <f t="shared" si="58"/>
        <v/>
      </c>
      <c r="H604" s="340" t="str">
        <f t="shared" si="59"/>
        <v/>
      </c>
      <c r="I604" s="57"/>
    </row>
    <row r="605" spans="2:9" ht="20.100000000000001" customHeight="1" x14ac:dyDescent="0.3">
      <c r="B605" s="344">
        <v>597</v>
      </c>
      <c r="C605" s="342" t="str">
        <f t="shared" si="56"/>
        <v/>
      </c>
      <c r="D605" s="341" t="str">
        <f t="shared" si="54"/>
        <v/>
      </c>
      <c r="E605" s="328" t="str">
        <f t="shared" si="57"/>
        <v/>
      </c>
      <c r="F605" s="339" t="str">
        <f t="shared" si="55"/>
        <v/>
      </c>
      <c r="G605" s="328" t="str">
        <f t="shared" si="58"/>
        <v/>
      </c>
      <c r="H605" s="340" t="str">
        <f t="shared" si="59"/>
        <v/>
      </c>
      <c r="I605" s="57"/>
    </row>
    <row r="606" spans="2:9" ht="20.100000000000001" customHeight="1" x14ac:dyDescent="0.3">
      <c r="B606" s="344">
        <v>598</v>
      </c>
      <c r="C606" s="342" t="str">
        <f t="shared" si="56"/>
        <v/>
      </c>
      <c r="D606" s="341" t="str">
        <f t="shared" si="54"/>
        <v/>
      </c>
      <c r="E606" s="328" t="str">
        <f t="shared" si="57"/>
        <v/>
      </c>
      <c r="F606" s="339" t="str">
        <f t="shared" si="55"/>
        <v/>
      </c>
      <c r="G606" s="328" t="str">
        <f t="shared" si="58"/>
        <v/>
      </c>
      <c r="H606" s="340" t="str">
        <f t="shared" si="59"/>
        <v/>
      </c>
      <c r="I606" s="57"/>
    </row>
    <row r="607" spans="2:9" ht="20.100000000000001" customHeight="1" x14ac:dyDescent="0.3">
      <c r="B607" s="344">
        <v>599</v>
      </c>
      <c r="C607" s="342" t="str">
        <f t="shared" si="56"/>
        <v/>
      </c>
      <c r="D607" s="341" t="str">
        <f t="shared" si="54"/>
        <v/>
      </c>
      <c r="E607" s="328" t="str">
        <f t="shared" si="57"/>
        <v/>
      </c>
      <c r="F607" s="339" t="str">
        <f t="shared" si="55"/>
        <v/>
      </c>
      <c r="G607" s="328" t="str">
        <f t="shared" si="58"/>
        <v/>
      </c>
      <c r="H607" s="340" t="str">
        <f t="shared" si="59"/>
        <v/>
      </c>
      <c r="I607" s="57"/>
    </row>
    <row r="608" spans="2:9" ht="20.100000000000001" customHeight="1" x14ac:dyDescent="0.3">
      <c r="B608" s="344">
        <v>600</v>
      </c>
      <c r="C608" s="342" t="str">
        <f t="shared" si="56"/>
        <v/>
      </c>
      <c r="D608" s="341" t="str">
        <f t="shared" si="54"/>
        <v/>
      </c>
      <c r="E608" s="328" t="str">
        <f t="shared" si="57"/>
        <v/>
      </c>
      <c r="F608" s="339" t="str">
        <f t="shared" si="55"/>
        <v/>
      </c>
      <c r="G608" s="328" t="str">
        <f t="shared" si="58"/>
        <v/>
      </c>
      <c r="H608" s="340" t="str">
        <f t="shared" si="59"/>
        <v/>
      </c>
      <c r="I608" s="57"/>
    </row>
    <row r="609" spans="2:8" x14ac:dyDescent="0.3">
      <c r="B609" s="83"/>
      <c r="C609" s="83"/>
      <c r="D609" s="80"/>
      <c r="E609" s="296"/>
      <c r="F609" s="296"/>
      <c r="G609" s="296"/>
      <c r="H609" s="297"/>
    </row>
    <row r="610" spans="2:8" x14ac:dyDescent="0.3">
      <c r="B610" s="53"/>
      <c r="C610" s="53"/>
      <c r="D610" s="50"/>
      <c r="E610" s="168"/>
      <c r="F610" s="168"/>
      <c r="G610" s="168"/>
      <c r="H610" s="298"/>
    </row>
    <row r="611" spans="2:8" x14ac:dyDescent="0.3">
      <c r="B611" s="53"/>
      <c r="C611" s="53"/>
      <c r="D611" s="50"/>
      <c r="E611" s="168"/>
      <c r="F611" s="168"/>
      <c r="G611" s="168"/>
      <c r="H611" s="298"/>
    </row>
    <row r="612" spans="2:8" x14ac:dyDescent="0.3">
      <c r="B612" s="53"/>
      <c r="C612" s="53"/>
      <c r="D612" s="50"/>
      <c r="E612" s="168"/>
      <c r="F612" s="168"/>
      <c r="G612" s="168"/>
      <c r="H612" s="298"/>
    </row>
    <row r="613" spans="2:8" x14ac:dyDescent="0.3">
      <c r="B613" s="53"/>
      <c r="C613" s="53"/>
      <c r="D613" s="50"/>
      <c r="E613" s="168"/>
      <c r="F613" s="168"/>
      <c r="G613" s="168"/>
      <c r="H613" s="298"/>
    </row>
    <row r="614" spans="2:8" x14ac:dyDescent="0.3">
      <c r="B614" s="53"/>
      <c r="C614" s="53"/>
      <c r="D614" s="50"/>
      <c r="E614" s="168"/>
      <c r="F614" s="168"/>
      <c r="G614" s="168"/>
      <c r="H614" s="298"/>
    </row>
    <row r="615" spans="2:8" x14ac:dyDescent="0.3">
      <c r="B615" s="53"/>
      <c r="C615" s="53"/>
      <c r="D615" s="50"/>
      <c r="E615" s="168"/>
      <c r="F615" s="168"/>
      <c r="G615" s="168"/>
      <c r="H615" s="298"/>
    </row>
    <row r="616" spans="2:8" x14ac:dyDescent="0.3">
      <c r="B616" s="53"/>
      <c r="C616" s="53"/>
      <c r="D616" s="50"/>
      <c r="E616" s="168"/>
      <c r="F616" s="168"/>
      <c r="G616" s="168"/>
      <c r="H616" s="298"/>
    </row>
    <row r="617" spans="2:8" x14ac:dyDescent="0.3">
      <c r="B617" s="53"/>
      <c r="C617" s="53"/>
      <c r="D617" s="50"/>
      <c r="E617" s="168"/>
      <c r="F617" s="168"/>
      <c r="G617" s="168"/>
      <c r="H617" s="298"/>
    </row>
    <row r="618" spans="2:8" x14ac:dyDescent="0.3">
      <c r="B618" s="53"/>
      <c r="C618" s="53"/>
      <c r="D618" s="50"/>
      <c r="E618" s="168"/>
      <c r="F618" s="168"/>
      <c r="G618" s="168"/>
      <c r="H618" s="298"/>
    </row>
    <row r="619" spans="2:8" x14ac:dyDescent="0.3">
      <c r="B619" s="53"/>
      <c r="C619" s="53"/>
      <c r="D619" s="50"/>
      <c r="E619" s="168"/>
      <c r="F619" s="168"/>
      <c r="G619" s="168"/>
      <c r="H619" s="298"/>
    </row>
    <row r="620" spans="2:8" x14ac:dyDescent="0.3">
      <c r="B620" s="53"/>
      <c r="C620" s="53"/>
      <c r="D620" s="50"/>
      <c r="E620" s="168"/>
      <c r="F620" s="168"/>
      <c r="G620" s="168"/>
      <c r="H620" s="298"/>
    </row>
    <row r="621" spans="2:8" x14ac:dyDescent="0.3">
      <c r="B621" s="53"/>
      <c r="C621" s="53"/>
      <c r="D621" s="50"/>
      <c r="E621" s="168"/>
      <c r="F621" s="168"/>
      <c r="G621" s="168"/>
      <c r="H621" s="298"/>
    </row>
    <row r="622" spans="2:8" x14ac:dyDescent="0.3">
      <c r="B622" s="53"/>
      <c r="C622" s="53"/>
      <c r="D622" s="50"/>
      <c r="E622" s="168"/>
      <c r="F622" s="168"/>
      <c r="G622" s="168"/>
      <c r="H622" s="298"/>
    </row>
    <row r="623" spans="2:8" x14ac:dyDescent="0.3">
      <c r="B623" s="53"/>
      <c r="C623" s="53"/>
      <c r="D623" s="50"/>
      <c r="E623" s="168"/>
      <c r="F623" s="168"/>
      <c r="G623" s="168"/>
      <c r="H623" s="298"/>
    </row>
    <row r="624" spans="2:8" x14ac:dyDescent="0.3">
      <c r="B624" s="53"/>
      <c r="C624" s="53"/>
      <c r="D624" s="50"/>
      <c r="E624" s="168"/>
      <c r="F624" s="168"/>
      <c r="G624" s="168"/>
      <c r="H624" s="298"/>
    </row>
    <row r="625" spans="2:8" x14ac:dyDescent="0.3">
      <c r="B625" s="53"/>
      <c r="C625" s="53"/>
      <c r="D625" s="50"/>
      <c r="E625" s="168"/>
      <c r="F625" s="168"/>
      <c r="G625" s="168"/>
      <c r="H625" s="298"/>
    </row>
    <row r="626" spans="2:8" x14ac:dyDescent="0.3">
      <c r="B626" s="53"/>
      <c r="C626" s="53"/>
      <c r="D626" s="50"/>
      <c r="E626" s="168"/>
      <c r="F626" s="168"/>
      <c r="G626" s="168"/>
      <c r="H626" s="298"/>
    </row>
    <row r="627" spans="2:8" x14ac:dyDescent="0.3">
      <c r="B627" s="53"/>
      <c r="C627" s="53"/>
      <c r="D627" s="50"/>
      <c r="E627" s="168"/>
      <c r="F627" s="168"/>
      <c r="G627" s="168"/>
      <c r="H627" s="298"/>
    </row>
    <row r="628" spans="2:8" x14ac:dyDescent="0.3">
      <c r="B628" s="53"/>
      <c r="C628" s="53"/>
      <c r="D628" s="50"/>
      <c r="E628" s="168"/>
      <c r="F628" s="168"/>
      <c r="G628" s="168"/>
      <c r="H628" s="298"/>
    </row>
    <row r="629" spans="2:8" x14ac:dyDescent="0.3">
      <c r="B629" s="53"/>
      <c r="C629" s="53"/>
      <c r="D629" s="50"/>
      <c r="E629" s="168"/>
      <c r="F629" s="168"/>
      <c r="G629" s="168"/>
      <c r="H629" s="298"/>
    </row>
    <row r="630" spans="2:8" x14ac:dyDescent="0.3">
      <c r="B630" s="53"/>
      <c r="C630" s="53"/>
      <c r="D630" s="50"/>
      <c r="E630" s="168"/>
      <c r="F630" s="168"/>
      <c r="G630" s="168"/>
      <c r="H630" s="298"/>
    </row>
    <row r="631" spans="2:8" x14ac:dyDescent="0.3">
      <c r="B631" s="53"/>
      <c r="C631" s="53"/>
      <c r="D631" s="50"/>
      <c r="E631" s="168"/>
      <c r="F631" s="168"/>
      <c r="G631" s="168"/>
      <c r="H631" s="298"/>
    </row>
  </sheetData>
  <mergeCells count="7">
    <mergeCell ref="W63:X63"/>
    <mergeCell ref="Z63:AA63"/>
    <mergeCell ref="B1:H1"/>
    <mergeCell ref="K63:L63"/>
    <mergeCell ref="N63:O63"/>
    <mergeCell ref="Q63:R63"/>
    <mergeCell ref="T63:U63"/>
  </mergeCells>
  <phoneticPr fontId="3" type="noConversion"/>
  <dataValidations count="2">
    <dataValidation type="list" allowBlank="1" showInputMessage="1" showErrorMessage="1" sqref="F4" xr:uid="{6DD67738-D332-4DAE-949A-8146656132E7}">
      <formula1>"원리금균등상환, 원금균등상환"</formula1>
    </dataValidation>
    <dataValidation allowBlank="1" showInputMessage="1" showErrorMessage="1" prompt="년-월-일 형식으로 입력" sqref="G4:H4" xr:uid="{023B803C-D957-4A71-9525-56FFAEE4C1AF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6" orientation="portrait" r:id="rId1"/>
  <rowBreaks count="16" manualBreakCount="16">
    <brk id="32" max="8" man="1"/>
    <brk id="68" max="8" man="1"/>
    <brk id="104" max="8" man="1"/>
    <brk id="140" max="8" man="1"/>
    <brk id="176" max="8" man="1"/>
    <brk id="212" max="8" man="1"/>
    <brk id="248" max="8" man="1"/>
    <brk id="284" max="8" man="1"/>
    <brk id="320" max="8" man="1"/>
    <brk id="356" max="8" man="1"/>
    <brk id="392" max="8" man="1"/>
    <brk id="428" max="8" man="1"/>
    <brk id="464" max="8" man="1"/>
    <brk id="500" max="8" man="1"/>
    <brk id="536" max="8" man="1"/>
    <brk id="572" max="8" man="1"/>
  </rowBreaks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D83F-F1EF-482C-8503-32B876C2C18C}">
  <sheetPr codeName="Sheet27">
    <tabColor rgb="FF7030A0"/>
    <pageSetUpPr autoPageBreaks="0"/>
  </sheetPr>
  <dimension ref="A1:AB631"/>
  <sheetViews>
    <sheetView showGridLines="0" zoomScaleNormal="100" zoomScaleSheetLayoutView="100" workbookViewId="0">
      <pane ySplit="8" topLeftCell="A9" activePane="bottomLeft" state="frozen"/>
      <selection pane="bottomLeft" activeCell="D6" sqref="D6"/>
    </sheetView>
  </sheetViews>
  <sheetFormatPr defaultRowHeight="16.5" x14ac:dyDescent="0.3"/>
  <cols>
    <col min="1" max="1" width="4.625" customWidth="1"/>
    <col min="2" max="7" width="10.625" style="29" customWidth="1"/>
    <col min="8" max="8" width="10.625" customWidth="1"/>
    <col min="9" max="9" width="4.625" customWidth="1"/>
    <col min="10" max="28" width="9.5" customWidth="1"/>
    <col min="29" max="29" width="4.75" customWidth="1"/>
  </cols>
  <sheetData>
    <row r="1" spans="1:17" ht="40.5" customHeight="1" x14ac:dyDescent="0.3">
      <c r="A1" s="14"/>
      <c r="B1" s="590" t="s">
        <v>271</v>
      </c>
      <c r="C1" s="590"/>
      <c r="D1" s="590"/>
      <c r="E1" s="590"/>
      <c r="F1" s="590"/>
      <c r="G1" s="590"/>
      <c r="H1" s="590"/>
      <c r="I1" s="14"/>
    </row>
    <row r="2" spans="1:17" ht="16.5" customHeight="1" thickBot="1" x14ac:dyDescent="0.35"/>
    <row r="3" spans="1:17" ht="24.95" customHeight="1" thickBot="1" x14ac:dyDescent="0.35">
      <c r="B3" s="34" t="s">
        <v>302</v>
      </c>
      <c r="C3" s="35" t="s">
        <v>224</v>
      </c>
      <c r="D3" s="35" t="s">
        <v>225</v>
      </c>
      <c r="E3" s="35" t="s">
        <v>232</v>
      </c>
      <c r="F3" s="35" t="s">
        <v>227</v>
      </c>
      <c r="G3" s="35" t="s">
        <v>226</v>
      </c>
      <c r="H3" s="36" t="s">
        <v>231</v>
      </c>
    </row>
    <row r="4" spans="1:17" ht="24.95" customHeight="1" thickBot="1" x14ac:dyDescent="0.35">
      <c r="B4" s="274"/>
      <c r="C4" s="275"/>
      <c r="D4" s="300"/>
      <c r="E4" s="565"/>
      <c r="F4" s="338" t="s">
        <v>228</v>
      </c>
      <c r="G4" s="276"/>
      <c r="H4" s="302"/>
    </row>
    <row r="5" spans="1:17" ht="24.95" customHeight="1" thickBot="1" x14ac:dyDescent="0.35">
      <c r="B5" s="34" t="s">
        <v>321</v>
      </c>
      <c r="C5" s="35" t="s">
        <v>322</v>
      </c>
      <c r="D5" s="35" t="s">
        <v>361</v>
      </c>
      <c r="E5" s="35" t="s">
        <v>233</v>
      </c>
      <c r="F5" s="35" t="s">
        <v>229</v>
      </c>
      <c r="G5" s="35" t="s">
        <v>238</v>
      </c>
      <c r="H5" s="36" t="s">
        <v>239</v>
      </c>
    </row>
    <row r="6" spans="1:17" ht="24.95" customHeight="1" x14ac:dyDescent="0.3">
      <c r="B6" s="543" t="str">
        <f>IF(H4="","",DATEDIF(G4,H4,"M")+D6)</f>
        <v/>
      </c>
      <c r="C6" s="544" t="str">
        <f ca="1">IF(H4="","",IF(H4&lt;TODAY(),0,DATEDIF(TODAY(),H4,"M")))</f>
        <v/>
      </c>
      <c r="D6" s="566"/>
      <c r="E6" s="328">
        <f>SUM($E$9:$E$697)</f>
        <v>0</v>
      </c>
      <c r="F6" s="328">
        <f>SUM($F$9:$F$697)</f>
        <v>0</v>
      </c>
      <c r="G6" s="328" t="str">
        <f ca="1">IF($H$4="","",VLOOKUP(TODAY(),$C$8:$H$697,5,TRUE))</f>
        <v/>
      </c>
      <c r="H6" s="339" t="str">
        <f ca="1">IF($H$4="","",VLOOKUP(TODAY(),$C$8:$H$697,6,TRUE))</f>
        <v/>
      </c>
    </row>
    <row r="7" spans="1:17" ht="16.5" customHeight="1" thickBot="1" x14ac:dyDescent="0.35">
      <c r="B7" s="31"/>
      <c r="C7" s="31"/>
      <c r="D7" s="31"/>
      <c r="E7" s="31"/>
      <c r="F7" s="31"/>
      <c r="G7" s="31"/>
      <c r="H7" s="32"/>
      <c r="Q7" s="49"/>
    </row>
    <row r="8" spans="1:17" ht="30" customHeight="1" thickBot="1" x14ac:dyDescent="0.35">
      <c r="B8" s="34" t="s">
        <v>77</v>
      </c>
      <c r="C8" s="34" t="s">
        <v>230</v>
      </c>
      <c r="D8" s="35" t="s">
        <v>234</v>
      </c>
      <c r="E8" s="35" t="s">
        <v>146</v>
      </c>
      <c r="F8" s="36" t="s">
        <v>235</v>
      </c>
      <c r="G8" s="35" t="s">
        <v>237</v>
      </c>
      <c r="H8" s="36" t="s">
        <v>236</v>
      </c>
      <c r="I8" s="57"/>
    </row>
    <row r="9" spans="1:17" ht="20.100000000000001" customHeight="1" x14ac:dyDescent="0.3">
      <c r="B9" s="343">
        <v>1</v>
      </c>
      <c r="C9" s="342" t="str">
        <f>IF($H$4="","",IF(B9&gt;($B$6),"",IF(B9&lt;=($B$6),DATE(YEAR($G$4),MONTH($G$4),DAY($G$4)),"")))</f>
        <v/>
      </c>
      <c r="D9" s="341" t="str">
        <f>IF($H$4="","",IF($F$4="원리금균등상환",IFERROR(IF(B9&lt;=$D$6,0,-PPMT($E$4/12,B9-$D$6,($B$6-$D$6),$D$4)),""),IF($F$4="원금균등상환",IF(B9&lt;($D$6+1),0,IF(B9&gt;$B$6,0,$D$4/($B$6-$D$6))),"")))</f>
        <v/>
      </c>
      <c r="E9" s="328" t="str">
        <f>IF($H$4="","",IF($F$4="원리금균등상환",IFERROR(IF(B9&lt;=$D$6,$D4*($E$4/12),-IPMT($E$4/12,B9-$D$6,($B$6-$D$6),$D$4)),""),IF($F$4="원금균등상환",(D4-D9)*$E$4/12,"")))</f>
        <v/>
      </c>
      <c r="F9" s="339" t="str">
        <f>IF($H$4="","",IF($F$4="원리금균등상환",IFERROR(D9+E9,""),IF($F$4="원금균등상환",D9+E9,"")))</f>
        <v/>
      </c>
      <c r="G9" s="328" t="str">
        <f>IFERROR(IF(B9&gt;(($D$6+$B$6)*12),"",IF(B9=1,D9,D9+G8)),"")</f>
        <v/>
      </c>
      <c r="H9" s="340" t="str">
        <f>IFERROR(IF($H$4="","",D4-D9),"")</f>
        <v/>
      </c>
      <c r="I9" s="57"/>
    </row>
    <row r="10" spans="1:17" ht="20.100000000000001" customHeight="1" x14ac:dyDescent="0.3">
      <c r="B10" s="344">
        <v>2</v>
      </c>
      <c r="C10" s="342" t="str">
        <f>IF($H$4="","",IF(B10&gt;($B$6),"",IF(B10&lt;=($B$6),DATE(YEAR($G$4),MONTH($G$4)+B9,DAY($G$4)),"")))</f>
        <v/>
      </c>
      <c r="D10" s="341" t="str">
        <f t="shared" ref="D10:D73" si="0">IF($H$4="","",IF($F$4="원리금균등상환",IFERROR(IF(B10&lt;=$D$6,0,-PPMT($E$4/12,B10-$D$6,($B$6-$D$6),$D$4)),""),IF($F$4="원금균등상환",IF(B10&lt;($D$6+1),0,IF(B10&gt;$B$6,0,$D$4/($B$6-$D$6))),"")))</f>
        <v/>
      </c>
      <c r="E10" s="328" t="str">
        <f>IF($H$4="","",IF($F$4="원리금균등상환",IFERROR(IF(B10&lt;=$D$6,$H9*($E$4/12),-IPMT($E$4/12,B10-$D$6,($B$6-$D$6),$D$4)),""),IF($F$4="원금균등상환",(H9-D10)*$E$4/12,"")))</f>
        <v/>
      </c>
      <c r="F10" s="339" t="str">
        <f t="shared" ref="F10:F73" si="1">IF($H$4="","",IF($F$4="원리금균등상환",IFERROR(D10+E10,""),IF($F$4="원금균등상환",D10+E10,"")))</f>
        <v/>
      </c>
      <c r="G10" s="328" t="str">
        <f>IFERROR(IF(B10&gt;(($D$6+$B$6)*12),"",IF(B10=1,D10,D10+G9)),"")</f>
        <v/>
      </c>
      <c r="H10" s="340" t="str">
        <f>IFERROR(IF($H$4="","",H9-D10),"")</f>
        <v/>
      </c>
      <c r="I10" s="57"/>
    </row>
    <row r="11" spans="1:17" ht="20.100000000000001" customHeight="1" x14ac:dyDescent="0.3">
      <c r="B11" s="344">
        <v>3</v>
      </c>
      <c r="C11" s="342" t="str">
        <f t="shared" ref="C11:C74" si="2">IF($H$4="","",IF(B11&gt;($B$6),"",IF(B11&lt;=($B$6),DATE(YEAR($G$4),MONTH($G$4)+B10,DAY($G$4)),"")))</f>
        <v/>
      </c>
      <c r="D11" s="341" t="str">
        <f t="shared" si="0"/>
        <v/>
      </c>
      <c r="E11" s="328" t="str">
        <f t="shared" ref="E11:E74" si="3">IF($H$4="","",IF($F$4="원리금균등상환",IFERROR(IF(B11&lt;=$D$6,$H10*($E$4/12),-IPMT($E$4/12,B11-$D$6,($B$6-$D$6),$D$4)),""),IF($F$4="원금균등상환",(H10-D11)*$E$4/12,"")))</f>
        <v/>
      </c>
      <c r="F11" s="339" t="str">
        <f t="shared" si="1"/>
        <v/>
      </c>
      <c r="G11" s="328" t="str">
        <f t="shared" ref="G11:G74" si="4">IFERROR(IF(B11&gt;(($D$6+$B$6)*12),"",IF(B11=1,D11,D11+G10)),"")</f>
        <v/>
      </c>
      <c r="H11" s="340" t="str">
        <f t="shared" ref="H11:H74" si="5">IFERROR(IF($H$4="","",H10-D11),"")</f>
        <v/>
      </c>
      <c r="I11" s="57"/>
    </row>
    <row r="12" spans="1:17" ht="20.100000000000001" customHeight="1" x14ac:dyDescent="0.3">
      <c r="B12" s="344">
        <v>4</v>
      </c>
      <c r="C12" s="342" t="str">
        <f t="shared" si="2"/>
        <v/>
      </c>
      <c r="D12" s="341" t="str">
        <f t="shared" si="0"/>
        <v/>
      </c>
      <c r="E12" s="328" t="str">
        <f t="shared" si="3"/>
        <v/>
      </c>
      <c r="F12" s="339" t="str">
        <f t="shared" si="1"/>
        <v/>
      </c>
      <c r="G12" s="328" t="str">
        <f t="shared" si="4"/>
        <v/>
      </c>
      <c r="H12" s="340" t="str">
        <f t="shared" si="5"/>
        <v/>
      </c>
      <c r="I12" s="57"/>
    </row>
    <row r="13" spans="1:17" ht="20.100000000000001" customHeight="1" x14ac:dyDescent="0.3">
      <c r="B13" s="344">
        <v>5</v>
      </c>
      <c r="C13" s="342" t="str">
        <f t="shared" si="2"/>
        <v/>
      </c>
      <c r="D13" s="341" t="str">
        <f t="shared" si="0"/>
        <v/>
      </c>
      <c r="E13" s="328" t="str">
        <f t="shared" si="3"/>
        <v/>
      </c>
      <c r="F13" s="339" t="str">
        <f t="shared" si="1"/>
        <v/>
      </c>
      <c r="G13" s="328" t="str">
        <f t="shared" si="4"/>
        <v/>
      </c>
      <c r="H13" s="340" t="str">
        <f t="shared" si="5"/>
        <v/>
      </c>
      <c r="I13" s="57"/>
    </row>
    <row r="14" spans="1:17" ht="20.100000000000001" customHeight="1" x14ac:dyDescent="0.3">
      <c r="B14" s="344">
        <v>6</v>
      </c>
      <c r="C14" s="342" t="str">
        <f t="shared" si="2"/>
        <v/>
      </c>
      <c r="D14" s="341" t="str">
        <f t="shared" si="0"/>
        <v/>
      </c>
      <c r="E14" s="328" t="str">
        <f t="shared" si="3"/>
        <v/>
      </c>
      <c r="F14" s="339" t="str">
        <f t="shared" si="1"/>
        <v/>
      </c>
      <c r="G14" s="328" t="str">
        <f t="shared" si="4"/>
        <v/>
      </c>
      <c r="H14" s="340" t="str">
        <f t="shared" si="5"/>
        <v/>
      </c>
      <c r="I14" s="57"/>
    </row>
    <row r="15" spans="1:17" ht="20.100000000000001" customHeight="1" x14ac:dyDescent="0.3">
      <c r="B15" s="344">
        <v>7</v>
      </c>
      <c r="C15" s="342" t="str">
        <f t="shared" si="2"/>
        <v/>
      </c>
      <c r="D15" s="341" t="str">
        <f t="shared" si="0"/>
        <v/>
      </c>
      <c r="E15" s="328" t="str">
        <f t="shared" si="3"/>
        <v/>
      </c>
      <c r="F15" s="339" t="str">
        <f t="shared" si="1"/>
        <v/>
      </c>
      <c r="G15" s="328" t="str">
        <f t="shared" si="4"/>
        <v/>
      </c>
      <c r="H15" s="340" t="str">
        <f t="shared" si="5"/>
        <v/>
      </c>
      <c r="I15" s="57"/>
    </row>
    <row r="16" spans="1:17" ht="20.100000000000001" customHeight="1" x14ac:dyDescent="0.3">
      <c r="B16" s="344">
        <v>8</v>
      </c>
      <c r="C16" s="342" t="str">
        <f t="shared" si="2"/>
        <v/>
      </c>
      <c r="D16" s="341" t="str">
        <f t="shared" si="0"/>
        <v/>
      </c>
      <c r="E16" s="328" t="str">
        <f t="shared" si="3"/>
        <v/>
      </c>
      <c r="F16" s="339" t="str">
        <f t="shared" si="1"/>
        <v/>
      </c>
      <c r="G16" s="328" t="str">
        <f t="shared" si="4"/>
        <v/>
      </c>
      <c r="H16" s="340" t="str">
        <f t="shared" si="5"/>
        <v/>
      </c>
      <c r="I16" s="57"/>
    </row>
    <row r="17" spans="2:9" ht="20.100000000000001" customHeight="1" x14ac:dyDescent="0.3">
      <c r="B17" s="344">
        <v>9</v>
      </c>
      <c r="C17" s="342" t="str">
        <f t="shared" si="2"/>
        <v/>
      </c>
      <c r="D17" s="341" t="str">
        <f t="shared" si="0"/>
        <v/>
      </c>
      <c r="E17" s="328" t="str">
        <f t="shared" si="3"/>
        <v/>
      </c>
      <c r="F17" s="339" t="str">
        <f t="shared" si="1"/>
        <v/>
      </c>
      <c r="G17" s="328" t="str">
        <f t="shared" si="4"/>
        <v/>
      </c>
      <c r="H17" s="340" t="str">
        <f t="shared" si="5"/>
        <v/>
      </c>
      <c r="I17" s="57"/>
    </row>
    <row r="18" spans="2:9" ht="20.100000000000001" customHeight="1" x14ac:dyDescent="0.3">
      <c r="B18" s="344">
        <v>10</v>
      </c>
      <c r="C18" s="342" t="str">
        <f t="shared" si="2"/>
        <v/>
      </c>
      <c r="D18" s="341" t="str">
        <f t="shared" si="0"/>
        <v/>
      </c>
      <c r="E18" s="328" t="str">
        <f t="shared" si="3"/>
        <v/>
      </c>
      <c r="F18" s="339" t="str">
        <f t="shared" si="1"/>
        <v/>
      </c>
      <c r="G18" s="328" t="str">
        <f t="shared" si="4"/>
        <v/>
      </c>
      <c r="H18" s="340" t="str">
        <f t="shared" si="5"/>
        <v/>
      </c>
      <c r="I18" s="57"/>
    </row>
    <row r="19" spans="2:9" ht="20.100000000000001" customHeight="1" x14ac:dyDescent="0.3">
      <c r="B19" s="344">
        <v>11</v>
      </c>
      <c r="C19" s="342" t="str">
        <f t="shared" si="2"/>
        <v/>
      </c>
      <c r="D19" s="341" t="str">
        <f t="shared" si="0"/>
        <v/>
      </c>
      <c r="E19" s="328" t="str">
        <f t="shared" si="3"/>
        <v/>
      </c>
      <c r="F19" s="339" t="str">
        <f t="shared" si="1"/>
        <v/>
      </c>
      <c r="G19" s="328" t="str">
        <f t="shared" si="4"/>
        <v/>
      </c>
      <c r="H19" s="340" t="str">
        <f t="shared" si="5"/>
        <v/>
      </c>
      <c r="I19" s="57"/>
    </row>
    <row r="20" spans="2:9" ht="20.100000000000001" customHeight="1" x14ac:dyDescent="0.3">
      <c r="B20" s="344">
        <v>12</v>
      </c>
      <c r="C20" s="342" t="str">
        <f t="shared" si="2"/>
        <v/>
      </c>
      <c r="D20" s="341" t="str">
        <f t="shared" si="0"/>
        <v/>
      </c>
      <c r="E20" s="328" t="str">
        <f t="shared" si="3"/>
        <v/>
      </c>
      <c r="F20" s="339" t="str">
        <f t="shared" si="1"/>
        <v/>
      </c>
      <c r="G20" s="328" t="str">
        <f t="shared" si="4"/>
        <v/>
      </c>
      <c r="H20" s="340" t="str">
        <f t="shared" si="5"/>
        <v/>
      </c>
      <c r="I20" s="57"/>
    </row>
    <row r="21" spans="2:9" ht="20.100000000000001" customHeight="1" x14ac:dyDescent="0.3">
      <c r="B21" s="343">
        <v>13</v>
      </c>
      <c r="C21" s="342" t="str">
        <f t="shared" si="2"/>
        <v/>
      </c>
      <c r="D21" s="341" t="str">
        <f t="shared" si="0"/>
        <v/>
      </c>
      <c r="E21" s="328" t="str">
        <f t="shared" si="3"/>
        <v/>
      </c>
      <c r="F21" s="339" t="str">
        <f t="shared" si="1"/>
        <v/>
      </c>
      <c r="G21" s="328" t="str">
        <f t="shared" si="4"/>
        <v/>
      </c>
      <c r="H21" s="340" t="str">
        <f t="shared" si="5"/>
        <v/>
      </c>
      <c r="I21" s="57"/>
    </row>
    <row r="22" spans="2:9" ht="20.100000000000001" customHeight="1" x14ac:dyDescent="0.3">
      <c r="B22" s="344">
        <v>14</v>
      </c>
      <c r="C22" s="342" t="str">
        <f t="shared" si="2"/>
        <v/>
      </c>
      <c r="D22" s="341" t="str">
        <f t="shared" si="0"/>
        <v/>
      </c>
      <c r="E22" s="328" t="str">
        <f t="shared" si="3"/>
        <v/>
      </c>
      <c r="F22" s="339" t="str">
        <f t="shared" si="1"/>
        <v/>
      </c>
      <c r="G22" s="328" t="str">
        <f t="shared" si="4"/>
        <v/>
      </c>
      <c r="H22" s="340" t="str">
        <f t="shared" si="5"/>
        <v/>
      </c>
      <c r="I22" s="57"/>
    </row>
    <row r="23" spans="2:9" ht="20.100000000000001" customHeight="1" x14ac:dyDescent="0.3">
      <c r="B23" s="344">
        <v>15</v>
      </c>
      <c r="C23" s="342" t="str">
        <f t="shared" si="2"/>
        <v/>
      </c>
      <c r="D23" s="341" t="str">
        <f t="shared" si="0"/>
        <v/>
      </c>
      <c r="E23" s="328" t="str">
        <f t="shared" si="3"/>
        <v/>
      </c>
      <c r="F23" s="339" t="str">
        <f t="shared" si="1"/>
        <v/>
      </c>
      <c r="G23" s="328" t="str">
        <f t="shared" si="4"/>
        <v/>
      </c>
      <c r="H23" s="340" t="str">
        <f t="shared" si="5"/>
        <v/>
      </c>
      <c r="I23" s="57"/>
    </row>
    <row r="24" spans="2:9" ht="20.100000000000001" customHeight="1" x14ac:dyDescent="0.3">
      <c r="B24" s="344">
        <v>16</v>
      </c>
      <c r="C24" s="342" t="str">
        <f t="shared" si="2"/>
        <v/>
      </c>
      <c r="D24" s="341" t="str">
        <f t="shared" si="0"/>
        <v/>
      </c>
      <c r="E24" s="328" t="str">
        <f t="shared" si="3"/>
        <v/>
      </c>
      <c r="F24" s="339" t="str">
        <f t="shared" si="1"/>
        <v/>
      </c>
      <c r="G24" s="328" t="str">
        <f t="shared" si="4"/>
        <v/>
      </c>
      <c r="H24" s="340" t="str">
        <f t="shared" si="5"/>
        <v/>
      </c>
      <c r="I24" s="57"/>
    </row>
    <row r="25" spans="2:9" ht="20.100000000000001" customHeight="1" x14ac:dyDescent="0.3">
      <c r="B25" s="344">
        <v>17</v>
      </c>
      <c r="C25" s="342" t="str">
        <f t="shared" si="2"/>
        <v/>
      </c>
      <c r="D25" s="341" t="str">
        <f t="shared" si="0"/>
        <v/>
      </c>
      <c r="E25" s="328" t="str">
        <f t="shared" si="3"/>
        <v/>
      </c>
      <c r="F25" s="339" t="str">
        <f t="shared" si="1"/>
        <v/>
      </c>
      <c r="G25" s="328" t="str">
        <f t="shared" si="4"/>
        <v/>
      </c>
      <c r="H25" s="340" t="str">
        <f t="shared" si="5"/>
        <v/>
      </c>
      <c r="I25" s="57"/>
    </row>
    <row r="26" spans="2:9" ht="20.100000000000001" customHeight="1" x14ac:dyDescent="0.3">
      <c r="B26" s="344">
        <v>18</v>
      </c>
      <c r="C26" s="342" t="str">
        <f t="shared" si="2"/>
        <v/>
      </c>
      <c r="D26" s="341" t="str">
        <f t="shared" si="0"/>
        <v/>
      </c>
      <c r="E26" s="328" t="str">
        <f t="shared" si="3"/>
        <v/>
      </c>
      <c r="F26" s="339" t="str">
        <f t="shared" si="1"/>
        <v/>
      </c>
      <c r="G26" s="328" t="str">
        <f t="shared" si="4"/>
        <v/>
      </c>
      <c r="H26" s="340" t="str">
        <f t="shared" si="5"/>
        <v/>
      </c>
      <c r="I26" s="57"/>
    </row>
    <row r="27" spans="2:9" ht="20.100000000000001" customHeight="1" x14ac:dyDescent="0.3">
      <c r="B27" s="344">
        <v>19</v>
      </c>
      <c r="C27" s="342" t="str">
        <f t="shared" si="2"/>
        <v/>
      </c>
      <c r="D27" s="341" t="str">
        <f t="shared" si="0"/>
        <v/>
      </c>
      <c r="E27" s="328" t="str">
        <f t="shared" si="3"/>
        <v/>
      </c>
      <c r="F27" s="339" t="str">
        <f t="shared" si="1"/>
        <v/>
      </c>
      <c r="G27" s="328" t="str">
        <f t="shared" si="4"/>
        <v/>
      </c>
      <c r="H27" s="340" t="str">
        <f t="shared" si="5"/>
        <v/>
      </c>
      <c r="I27" s="57"/>
    </row>
    <row r="28" spans="2:9" ht="20.100000000000001" customHeight="1" x14ac:dyDescent="0.3">
      <c r="B28" s="344">
        <v>20</v>
      </c>
      <c r="C28" s="342" t="str">
        <f t="shared" si="2"/>
        <v/>
      </c>
      <c r="D28" s="341" t="str">
        <f t="shared" si="0"/>
        <v/>
      </c>
      <c r="E28" s="328" t="str">
        <f t="shared" si="3"/>
        <v/>
      </c>
      <c r="F28" s="339" t="str">
        <f t="shared" si="1"/>
        <v/>
      </c>
      <c r="G28" s="328" t="str">
        <f t="shared" si="4"/>
        <v/>
      </c>
      <c r="H28" s="340" t="str">
        <f t="shared" si="5"/>
        <v/>
      </c>
      <c r="I28" s="57"/>
    </row>
    <row r="29" spans="2:9" ht="20.100000000000001" customHeight="1" x14ac:dyDescent="0.3">
      <c r="B29" s="344">
        <v>21</v>
      </c>
      <c r="C29" s="342" t="str">
        <f t="shared" si="2"/>
        <v/>
      </c>
      <c r="D29" s="341" t="str">
        <f t="shared" si="0"/>
        <v/>
      </c>
      <c r="E29" s="328" t="str">
        <f t="shared" si="3"/>
        <v/>
      </c>
      <c r="F29" s="339" t="str">
        <f t="shared" si="1"/>
        <v/>
      </c>
      <c r="G29" s="328" t="str">
        <f t="shared" si="4"/>
        <v/>
      </c>
      <c r="H29" s="340" t="str">
        <f t="shared" si="5"/>
        <v/>
      </c>
      <c r="I29" s="57"/>
    </row>
    <row r="30" spans="2:9" ht="20.100000000000001" customHeight="1" x14ac:dyDescent="0.3">
      <c r="B30" s="344">
        <v>22</v>
      </c>
      <c r="C30" s="342" t="str">
        <f t="shared" si="2"/>
        <v/>
      </c>
      <c r="D30" s="341" t="str">
        <f t="shared" si="0"/>
        <v/>
      </c>
      <c r="E30" s="328" t="str">
        <f t="shared" si="3"/>
        <v/>
      </c>
      <c r="F30" s="339" t="str">
        <f t="shared" si="1"/>
        <v/>
      </c>
      <c r="G30" s="328" t="str">
        <f t="shared" si="4"/>
        <v/>
      </c>
      <c r="H30" s="340" t="str">
        <f t="shared" si="5"/>
        <v/>
      </c>
      <c r="I30" s="57"/>
    </row>
    <row r="31" spans="2:9" ht="20.100000000000001" customHeight="1" x14ac:dyDescent="0.3">
      <c r="B31" s="344">
        <v>23</v>
      </c>
      <c r="C31" s="342" t="str">
        <f t="shared" si="2"/>
        <v/>
      </c>
      <c r="D31" s="341" t="str">
        <f t="shared" si="0"/>
        <v/>
      </c>
      <c r="E31" s="328" t="str">
        <f t="shared" si="3"/>
        <v/>
      </c>
      <c r="F31" s="339" t="str">
        <f t="shared" si="1"/>
        <v/>
      </c>
      <c r="G31" s="328" t="str">
        <f t="shared" si="4"/>
        <v/>
      </c>
      <c r="H31" s="340" t="str">
        <f t="shared" si="5"/>
        <v/>
      </c>
      <c r="I31" s="57"/>
    </row>
    <row r="32" spans="2:9" ht="20.100000000000001" customHeight="1" x14ac:dyDescent="0.3">
      <c r="B32" s="344">
        <v>24</v>
      </c>
      <c r="C32" s="342" t="str">
        <f t="shared" si="2"/>
        <v/>
      </c>
      <c r="D32" s="341" t="str">
        <f t="shared" si="0"/>
        <v/>
      </c>
      <c r="E32" s="328" t="str">
        <f t="shared" si="3"/>
        <v/>
      </c>
      <c r="F32" s="339" t="str">
        <f t="shared" si="1"/>
        <v/>
      </c>
      <c r="G32" s="328" t="str">
        <f t="shared" si="4"/>
        <v/>
      </c>
      <c r="H32" s="340" t="str">
        <f t="shared" si="5"/>
        <v/>
      </c>
      <c r="I32" s="57"/>
    </row>
    <row r="33" spans="2:9" ht="20.100000000000001" customHeight="1" x14ac:dyDescent="0.3">
      <c r="B33" s="343">
        <v>25</v>
      </c>
      <c r="C33" s="342" t="str">
        <f t="shared" si="2"/>
        <v/>
      </c>
      <c r="D33" s="341" t="str">
        <f t="shared" si="0"/>
        <v/>
      </c>
      <c r="E33" s="328" t="str">
        <f t="shared" si="3"/>
        <v/>
      </c>
      <c r="F33" s="339" t="str">
        <f t="shared" si="1"/>
        <v/>
      </c>
      <c r="G33" s="328" t="str">
        <f t="shared" si="4"/>
        <v/>
      </c>
      <c r="H33" s="340" t="str">
        <f t="shared" si="5"/>
        <v/>
      </c>
      <c r="I33" s="57"/>
    </row>
    <row r="34" spans="2:9" ht="20.100000000000001" customHeight="1" x14ac:dyDescent="0.3">
      <c r="B34" s="344">
        <v>26</v>
      </c>
      <c r="C34" s="342" t="str">
        <f t="shared" si="2"/>
        <v/>
      </c>
      <c r="D34" s="341" t="str">
        <f t="shared" si="0"/>
        <v/>
      </c>
      <c r="E34" s="328" t="str">
        <f t="shared" si="3"/>
        <v/>
      </c>
      <c r="F34" s="339" t="str">
        <f t="shared" si="1"/>
        <v/>
      </c>
      <c r="G34" s="328" t="str">
        <f t="shared" si="4"/>
        <v/>
      </c>
      <c r="H34" s="340" t="str">
        <f t="shared" si="5"/>
        <v/>
      </c>
      <c r="I34" s="57"/>
    </row>
    <row r="35" spans="2:9" ht="20.100000000000001" customHeight="1" x14ac:dyDescent="0.3">
      <c r="B35" s="344">
        <v>27</v>
      </c>
      <c r="C35" s="342" t="str">
        <f t="shared" si="2"/>
        <v/>
      </c>
      <c r="D35" s="341" t="str">
        <f t="shared" si="0"/>
        <v/>
      </c>
      <c r="E35" s="328" t="str">
        <f t="shared" si="3"/>
        <v/>
      </c>
      <c r="F35" s="339" t="str">
        <f t="shared" si="1"/>
        <v/>
      </c>
      <c r="G35" s="328" t="str">
        <f t="shared" si="4"/>
        <v/>
      </c>
      <c r="H35" s="340" t="str">
        <f t="shared" si="5"/>
        <v/>
      </c>
      <c r="I35" s="57"/>
    </row>
    <row r="36" spans="2:9" ht="20.100000000000001" customHeight="1" x14ac:dyDescent="0.3">
      <c r="B36" s="344">
        <v>28</v>
      </c>
      <c r="C36" s="342" t="str">
        <f t="shared" si="2"/>
        <v/>
      </c>
      <c r="D36" s="341" t="str">
        <f t="shared" si="0"/>
        <v/>
      </c>
      <c r="E36" s="328" t="str">
        <f t="shared" si="3"/>
        <v/>
      </c>
      <c r="F36" s="339" t="str">
        <f t="shared" si="1"/>
        <v/>
      </c>
      <c r="G36" s="328" t="str">
        <f t="shared" si="4"/>
        <v/>
      </c>
      <c r="H36" s="340" t="str">
        <f t="shared" si="5"/>
        <v/>
      </c>
      <c r="I36" s="57"/>
    </row>
    <row r="37" spans="2:9" ht="20.100000000000001" customHeight="1" x14ac:dyDescent="0.3">
      <c r="B37" s="344">
        <v>29</v>
      </c>
      <c r="C37" s="342" t="str">
        <f t="shared" si="2"/>
        <v/>
      </c>
      <c r="D37" s="341" t="str">
        <f t="shared" si="0"/>
        <v/>
      </c>
      <c r="E37" s="328" t="str">
        <f t="shared" si="3"/>
        <v/>
      </c>
      <c r="F37" s="339" t="str">
        <f t="shared" si="1"/>
        <v/>
      </c>
      <c r="G37" s="328" t="str">
        <f t="shared" si="4"/>
        <v/>
      </c>
      <c r="H37" s="340" t="str">
        <f t="shared" si="5"/>
        <v/>
      </c>
      <c r="I37" s="57"/>
    </row>
    <row r="38" spans="2:9" ht="20.100000000000001" customHeight="1" x14ac:dyDescent="0.3">
      <c r="B38" s="344">
        <v>30</v>
      </c>
      <c r="C38" s="342" t="str">
        <f t="shared" si="2"/>
        <v/>
      </c>
      <c r="D38" s="341" t="str">
        <f t="shared" si="0"/>
        <v/>
      </c>
      <c r="E38" s="328" t="str">
        <f t="shared" si="3"/>
        <v/>
      </c>
      <c r="F38" s="339" t="str">
        <f t="shared" si="1"/>
        <v/>
      </c>
      <c r="G38" s="328" t="str">
        <f t="shared" si="4"/>
        <v/>
      </c>
      <c r="H38" s="340" t="str">
        <f t="shared" si="5"/>
        <v/>
      </c>
      <c r="I38" s="57"/>
    </row>
    <row r="39" spans="2:9" ht="20.100000000000001" customHeight="1" x14ac:dyDescent="0.3">
      <c r="B39" s="344">
        <v>31</v>
      </c>
      <c r="C39" s="342" t="str">
        <f t="shared" si="2"/>
        <v/>
      </c>
      <c r="D39" s="341" t="str">
        <f t="shared" si="0"/>
        <v/>
      </c>
      <c r="E39" s="328" t="str">
        <f t="shared" si="3"/>
        <v/>
      </c>
      <c r="F39" s="339" t="str">
        <f t="shared" si="1"/>
        <v/>
      </c>
      <c r="G39" s="328" t="str">
        <f t="shared" si="4"/>
        <v/>
      </c>
      <c r="H39" s="340" t="str">
        <f t="shared" si="5"/>
        <v/>
      </c>
      <c r="I39" s="57"/>
    </row>
    <row r="40" spans="2:9" ht="20.100000000000001" customHeight="1" x14ac:dyDescent="0.3">
      <c r="B40" s="344">
        <v>32</v>
      </c>
      <c r="C40" s="342" t="str">
        <f t="shared" si="2"/>
        <v/>
      </c>
      <c r="D40" s="341" t="str">
        <f t="shared" si="0"/>
        <v/>
      </c>
      <c r="E40" s="328" t="str">
        <f t="shared" si="3"/>
        <v/>
      </c>
      <c r="F40" s="339" t="str">
        <f t="shared" si="1"/>
        <v/>
      </c>
      <c r="G40" s="328" t="str">
        <f t="shared" si="4"/>
        <v/>
      </c>
      <c r="H40" s="340" t="str">
        <f t="shared" si="5"/>
        <v/>
      </c>
      <c r="I40" s="57"/>
    </row>
    <row r="41" spans="2:9" ht="20.100000000000001" customHeight="1" x14ac:dyDescent="0.3">
      <c r="B41" s="344">
        <v>33</v>
      </c>
      <c r="C41" s="342" t="str">
        <f t="shared" si="2"/>
        <v/>
      </c>
      <c r="D41" s="341" t="str">
        <f t="shared" si="0"/>
        <v/>
      </c>
      <c r="E41" s="328" t="str">
        <f t="shared" si="3"/>
        <v/>
      </c>
      <c r="F41" s="339" t="str">
        <f t="shared" si="1"/>
        <v/>
      </c>
      <c r="G41" s="328" t="str">
        <f t="shared" si="4"/>
        <v/>
      </c>
      <c r="H41" s="340" t="str">
        <f t="shared" si="5"/>
        <v/>
      </c>
      <c r="I41" s="57"/>
    </row>
    <row r="42" spans="2:9" ht="20.100000000000001" customHeight="1" x14ac:dyDescent="0.3">
      <c r="B42" s="344">
        <v>34</v>
      </c>
      <c r="C42" s="342" t="str">
        <f t="shared" si="2"/>
        <v/>
      </c>
      <c r="D42" s="341" t="str">
        <f t="shared" si="0"/>
        <v/>
      </c>
      <c r="E42" s="328" t="str">
        <f t="shared" si="3"/>
        <v/>
      </c>
      <c r="F42" s="339" t="str">
        <f t="shared" si="1"/>
        <v/>
      </c>
      <c r="G42" s="328" t="str">
        <f t="shared" si="4"/>
        <v/>
      </c>
      <c r="H42" s="340" t="str">
        <f t="shared" si="5"/>
        <v/>
      </c>
      <c r="I42" s="57"/>
    </row>
    <row r="43" spans="2:9" ht="20.100000000000001" customHeight="1" x14ac:dyDescent="0.3">
      <c r="B43" s="344">
        <v>35</v>
      </c>
      <c r="C43" s="342" t="str">
        <f t="shared" si="2"/>
        <v/>
      </c>
      <c r="D43" s="341" t="str">
        <f t="shared" si="0"/>
        <v/>
      </c>
      <c r="E43" s="328" t="str">
        <f t="shared" si="3"/>
        <v/>
      </c>
      <c r="F43" s="339" t="str">
        <f t="shared" si="1"/>
        <v/>
      </c>
      <c r="G43" s="328" t="str">
        <f t="shared" si="4"/>
        <v/>
      </c>
      <c r="H43" s="340" t="str">
        <f t="shared" si="5"/>
        <v/>
      </c>
      <c r="I43" s="57"/>
    </row>
    <row r="44" spans="2:9" ht="20.100000000000001" customHeight="1" x14ac:dyDescent="0.3">
      <c r="B44" s="344">
        <v>36</v>
      </c>
      <c r="C44" s="342" t="str">
        <f t="shared" si="2"/>
        <v/>
      </c>
      <c r="D44" s="341" t="str">
        <f t="shared" si="0"/>
        <v/>
      </c>
      <c r="E44" s="328" t="str">
        <f t="shared" si="3"/>
        <v/>
      </c>
      <c r="F44" s="339" t="str">
        <f t="shared" si="1"/>
        <v/>
      </c>
      <c r="G44" s="328" t="str">
        <f t="shared" si="4"/>
        <v/>
      </c>
      <c r="H44" s="340" t="str">
        <f t="shared" si="5"/>
        <v/>
      </c>
      <c r="I44" s="57"/>
    </row>
    <row r="45" spans="2:9" ht="20.100000000000001" customHeight="1" x14ac:dyDescent="0.3">
      <c r="B45" s="344">
        <v>37</v>
      </c>
      <c r="C45" s="342" t="str">
        <f t="shared" si="2"/>
        <v/>
      </c>
      <c r="D45" s="341" t="str">
        <f t="shared" si="0"/>
        <v/>
      </c>
      <c r="E45" s="328" t="str">
        <f t="shared" si="3"/>
        <v/>
      </c>
      <c r="F45" s="339" t="str">
        <f t="shared" si="1"/>
        <v/>
      </c>
      <c r="G45" s="328" t="str">
        <f t="shared" si="4"/>
        <v/>
      </c>
      <c r="H45" s="340" t="str">
        <f t="shared" si="5"/>
        <v/>
      </c>
      <c r="I45" s="57"/>
    </row>
    <row r="46" spans="2:9" ht="20.100000000000001" customHeight="1" x14ac:dyDescent="0.3">
      <c r="B46" s="344">
        <v>38</v>
      </c>
      <c r="C46" s="342" t="str">
        <f t="shared" si="2"/>
        <v/>
      </c>
      <c r="D46" s="341" t="str">
        <f t="shared" si="0"/>
        <v/>
      </c>
      <c r="E46" s="328" t="str">
        <f t="shared" si="3"/>
        <v/>
      </c>
      <c r="F46" s="339" t="str">
        <f t="shared" si="1"/>
        <v/>
      </c>
      <c r="G46" s="328" t="str">
        <f t="shared" si="4"/>
        <v/>
      </c>
      <c r="H46" s="340" t="str">
        <f t="shared" si="5"/>
        <v/>
      </c>
      <c r="I46" s="57"/>
    </row>
    <row r="47" spans="2:9" ht="20.100000000000001" customHeight="1" x14ac:dyDescent="0.3">
      <c r="B47" s="344">
        <v>39</v>
      </c>
      <c r="C47" s="342" t="str">
        <f t="shared" si="2"/>
        <v/>
      </c>
      <c r="D47" s="341" t="str">
        <f t="shared" si="0"/>
        <v/>
      </c>
      <c r="E47" s="328" t="str">
        <f t="shared" si="3"/>
        <v/>
      </c>
      <c r="F47" s="339" t="str">
        <f t="shared" si="1"/>
        <v/>
      </c>
      <c r="G47" s="328" t="str">
        <f t="shared" si="4"/>
        <v/>
      </c>
      <c r="H47" s="340" t="str">
        <f t="shared" si="5"/>
        <v/>
      </c>
      <c r="I47" s="57"/>
    </row>
    <row r="48" spans="2:9" ht="20.100000000000001" customHeight="1" x14ac:dyDescent="0.3">
      <c r="B48" s="344">
        <v>40</v>
      </c>
      <c r="C48" s="342" t="str">
        <f t="shared" si="2"/>
        <v/>
      </c>
      <c r="D48" s="341" t="str">
        <f t="shared" si="0"/>
        <v/>
      </c>
      <c r="E48" s="328" t="str">
        <f t="shared" si="3"/>
        <v/>
      </c>
      <c r="F48" s="339" t="str">
        <f t="shared" si="1"/>
        <v/>
      </c>
      <c r="G48" s="328" t="str">
        <f t="shared" si="4"/>
        <v/>
      </c>
      <c r="H48" s="340" t="str">
        <f t="shared" si="5"/>
        <v/>
      </c>
      <c r="I48" s="57"/>
    </row>
    <row r="49" spans="2:28" ht="20.100000000000001" customHeight="1" x14ac:dyDescent="0.3">
      <c r="B49" s="344">
        <v>41</v>
      </c>
      <c r="C49" s="342" t="str">
        <f t="shared" si="2"/>
        <v/>
      </c>
      <c r="D49" s="341" t="str">
        <f t="shared" si="0"/>
        <v/>
      </c>
      <c r="E49" s="328" t="str">
        <f t="shared" si="3"/>
        <v/>
      </c>
      <c r="F49" s="339" t="str">
        <f t="shared" si="1"/>
        <v/>
      </c>
      <c r="G49" s="328" t="str">
        <f t="shared" si="4"/>
        <v/>
      </c>
      <c r="H49" s="340" t="str">
        <f t="shared" si="5"/>
        <v/>
      </c>
      <c r="I49" s="57"/>
    </row>
    <row r="50" spans="2:28" ht="20.100000000000001" customHeight="1" x14ac:dyDescent="0.3">
      <c r="B50" s="344">
        <v>42</v>
      </c>
      <c r="C50" s="342" t="str">
        <f t="shared" si="2"/>
        <v/>
      </c>
      <c r="D50" s="341" t="str">
        <f t="shared" si="0"/>
        <v/>
      </c>
      <c r="E50" s="328" t="str">
        <f t="shared" si="3"/>
        <v/>
      </c>
      <c r="F50" s="339" t="str">
        <f t="shared" si="1"/>
        <v/>
      </c>
      <c r="G50" s="328" t="str">
        <f t="shared" si="4"/>
        <v/>
      </c>
      <c r="H50" s="340" t="str">
        <f t="shared" si="5"/>
        <v/>
      </c>
      <c r="I50" s="57"/>
    </row>
    <row r="51" spans="2:28" ht="20.100000000000001" customHeight="1" x14ac:dyDescent="0.3">
      <c r="B51" s="344">
        <v>43</v>
      </c>
      <c r="C51" s="342" t="str">
        <f t="shared" si="2"/>
        <v/>
      </c>
      <c r="D51" s="341" t="str">
        <f t="shared" si="0"/>
        <v/>
      </c>
      <c r="E51" s="328" t="str">
        <f t="shared" si="3"/>
        <v/>
      </c>
      <c r="F51" s="339" t="str">
        <f t="shared" si="1"/>
        <v/>
      </c>
      <c r="G51" s="328" t="str">
        <f t="shared" si="4"/>
        <v/>
      </c>
      <c r="H51" s="340" t="str">
        <f t="shared" si="5"/>
        <v/>
      </c>
      <c r="I51" s="57"/>
    </row>
    <row r="52" spans="2:28" ht="20.100000000000001" customHeight="1" x14ac:dyDescent="0.3">
      <c r="B52" s="344">
        <v>44</v>
      </c>
      <c r="C52" s="342" t="str">
        <f t="shared" si="2"/>
        <v/>
      </c>
      <c r="D52" s="341" t="str">
        <f t="shared" si="0"/>
        <v/>
      </c>
      <c r="E52" s="328" t="str">
        <f t="shared" si="3"/>
        <v/>
      </c>
      <c r="F52" s="339" t="str">
        <f t="shared" si="1"/>
        <v/>
      </c>
      <c r="G52" s="328" t="str">
        <f t="shared" si="4"/>
        <v/>
      </c>
      <c r="H52" s="340" t="str">
        <f t="shared" si="5"/>
        <v/>
      </c>
      <c r="I52" s="57"/>
    </row>
    <row r="53" spans="2:28" ht="20.100000000000001" customHeight="1" x14ac:dyDescent="0.3">
      <c r="B53" s="344">
        <v>45</v>
      </c>
      <c r="C53" s="342" t="str">
        <f t="shared" si="2"/>
        <v/>
      </c>
      <c r="D53" s="341" t="str">
        <f t="shared" si="0"/>
        <v/>
      </c>
      <c r="E53" s="328" t="str">
        <f t="shared" si="3"/>
        <v/>
      </c>
      <c r="F53" s="339" t="str">
        <f t="shared" si="1"/>
        <v/>
      </c>
      <c r="G53" s="328" t="str">
        <f t="shared" si="4"/>
        <v/>
      </c>
      <c r="H53" s="340" t="str">
        <f t="shared" si="5"/>
        <v/>
      </c>
      <c r="I53" s="57"/>
    </row>
    <row r="54" spans="2:28" ht="20.100000000000001" customHeight="1" x14ac:dyDescent="0.3">
      <c r="B54" s="344">
        <v>46</v>
      </c>
      <c r="C54" s="342" t="str">
        <f t="shared" si="2"/>
        <v/>
      </c>
      <c r="D54" s="341" t="str">
        <f t="shared" si="0"/>
        <v/>
      </c>
      <c r="E54" s="328" t="str">
        <f t="shared" si="3"/>
        <v/>
      </c>
      <c r="F54" s="339" t="str">
        <f t="shared" si="1"/>
        <v/>
      </c>
      <c r="G54" s="328" t="str">
        <f t="shared" si="4"/>
        <v/>
      </c>
      <c r="H54" s="340" t="str">
        <f t="shared" si="5"/>
        <v/>
      </c>
      <c r="I54" s="57"/>
    </row>
    <row r="55" spans="2:28" ht="20.100000000000001" customHeight="1" x14ac:dyDescent="0.3">
      <c r="B55" s="344">
        <v>47</v>
      </c>
      <c r="C55" s="342" t="str">
        <f t="shared" si="2"/>
        <v/>
      </c>
      <c r="D55" s="341" t="str">
        <f t="shared" si="0"/>
        <v/>
      </c>
      <c r="E55" s="328" t="str">
        <f t="shared" si="3"/>
        <v/>
      </c>
      <c r="F55" s="339" t="str">
        <f t="shared" si="1"/>
        <v/>
      </c>
      <c r="G55" s="328" t="str">
        <f t="shared" si="4"/>
        <v/>
      </c>
      <c r="H55" s="340" t="str">
        <f t="shared" si="5"/>
        <v/>
      </c>
      <c r="I55" s="57"/>
    </row>
    <row r="56" spans="2:28" ht="20.100000000000001" customHeight="1" x14ac:dyDescent="0.3">
      <c r="B56" s="344">
        <v>48</v>
      </c>
      <c r="C56" s="342" t="str">
        <f t="shared" si="2"/>
        <v/>
      </c>
      <c r="D56" s="341" t="str">
        <f t="shared" si="0"/>
        <v/>
      </c>
      <c r="E56" s="328" t="str">
        <f t="shared" si="3"/>
        <v/>
      </c>
      <c r="F56" s="339" t="str">
        <f t="shared" si="1"/>
        <v/>
      </c>
      <c r="G56" s="328" t="str">
        <f t="shared" si="4"/>
        <v/>
      </c>
      <c r="H56" s="340" t="str">
        <f t="shared" si="5"/>
        <v/>
      </c>
      <c r="I56" s="57"/>
    </row>
    <row r="57" spans="2:28" ht="20.100000000000001" customHeight="1" x14ac:dyDescent="0.3">
      <c r="B57" s="344">
        <v>49</v>
      </c>
      <c r="C57" s="342" t="str">
        <f t="shared" si="2"/>
        <v/>
      </c>
      <c r="D57" s="341" t="str">
        <f t="shared" si="0"/>
        <v/>
      </c>
      <c r="E57" s="328" t="str">
        <f t="shared" si="3"/>
        <v/>
      </c>
      <c r="F57" s="339" t="str">
        <f t="shared" si="1"/>
        <v/>
      </c>
      <c r="G57" s="328" t="str">
        <f t="shared" si="4"/>
        <v/>
      </c>
      <c r="H57" s="340" t="str">
        <f t="shared" si="5"/>
        <v/>
      </c>
      <c r="I57" s="57"/>
    </row>
    <row r="58" spans="2:28" ht="20.100000000000001" customHeight="1" x14ac:dyDescent="0.3">
      <c r="B58" s="344">
        <v>50</v>
      </c>
      <c r="C58" s="342" t="str">
        <f t="shared" si="2"/>
        <v/>
      </c>
      <c r="D58" s="341" t="str">
        <f t="shared" si="0"/>
        <v/>
      </c>
      <c r="E58" s="328" t="str">
        <f t="shared" si="3"/>
        <v/>
      </c>
      <c r="F58" s="339" t="str">
        <f t="shared" si="1"/>
        <v/>
      </c>
      <c r="G58" s="328" t="str">
        <f t="shared" si="4"/>
        <v/>
      </c>
      <c r="H58" s="340" t="str">
        <f t="shared" si="5"/>
        <v/>
      </c>
      <c r="I58" s="57"/>
    </row>
    <row r="59" spans="2:28" ht="20.100000000000001" customHeight="1" x14ac:dyDescent="0.3">
      <c r="B59" s="344">
        <v>51</v>
      </c>
      <c r="C59" s="342" t="str">
        <f t="shared" si="2"/>
        <v/>
      </c>
      <c r="D59" s="341" t="str">
        <f t="shared" si="0"/>
        <v/>
      </c>
      <c r="E59" s="328" t="str">
        <f t="shared" si="3"/>
        <v/>
      </c>
      <c r="F59" s="339" t="str">
        <f t="shared" si="1"/>
        <v/>
      </c>
      <c r="G59" s="328" t="str">
        <f t="shared" si="4"/>
        <v/>
      </c>
      <c r="H59" s="340" t="str">
        <f t="shared" si="5"/>
        <v/>
      </c>
      <c r="I59" s="57"/>
    </row>
    <row r="60" spans="2:28" ht="20.100000000000001" customHeight="1" x14ac:dyDescent="0.3">
      <c r="B60" s="344">
        <v>52</v>
      </c>
      <c r="C60" s="342" t="str">
        <f t="shared" si="2"/>
        <v/>
      </c>
      <c r="D60" s="341" t="str">
        <f t="shared" si="0"/>
        <v/>
      </c>
      <c r="E60" s="328" t="str">
        <f t="shared" si="3"/>
        <v/>
      </c>
      <c r="F60" s="339" t="str">
        <f t="shared" si="1"/>
        <v/>
      </c>
      <c r="G60" s="328" t="str">
        <f t="shared" si="4"/>
        <v/>
      </c>
      <c r="H60" s="340" t="str">
        <f t="shared" si="5"/>
        <v/>
      </c>
      <c r="I60" s="57"/>
    </row>
    <row r="61" spans="2:28" ht="20.100000000000001" customHeight="1" x14ac:dyDescent="0.3">
      <c r="B61" s="344">
        <v>53</v>
      </c>
      <c r="C61" s="342" t="str">
        <f t="shared" si="2"/>
        <v/>
      </c>
      <c r="D61" s="341" t="str">
        <f t="shared" si="0"/>
        <v/>
      </c>
      <c r="E61" s="328" t="str">
        <f t="shared" si="3"/>
        <v/>
      </c>
      <c r="F61" s="339" t="str">
        <f t="shared" si="1"/>
        <v/>
      </c>
      <c r="G61" s="328" t="str">
        <f t="shared" si="4"/>
        <v/>
      </c>
      <c r="H61" s="340" t="str">
        <f t="shared" si="5"/>
        <v/>
      </c>
      <c r="I61" s="57"/>
      <c r="K61" s="1"/>
      <c r="L61" s="1"/>
      <c r="M61" s="1"/>
      <c r="T61" s="51"/>
      <c r="U61" s="1"/>
      <c r="V61" s="1"/>
      <c r="Z61" s="1"/>
      <c r="AA61" s="1"/>
      <c r="AB61" s="1"/>
    </row>
    <row r="62" spans="2:28" ht="20.100000000000001" customHeight="1" x14ac:dyDescent="0.3">
      <c r="B62" s="344">
        <v>54</v>
      </c>
      <c r="C62" s="342" t="str">
        <f t="shared" si="2"/>
        <v/>
      </c>
      <c r="D62" s="341" t="str">
        <f t="shared" si="0"/>
        <v/>
      </c>
      <c r="E62" s="328" t="str">
        <f t="shared" si="3"/>
        <v/>
      </c>
      <c r="F62" s="339" t="str">
        <f t="shared" si="1"/>
        <v/>
      </c>
      <c r="G62" s="328" t="str">
        <f t="shared" si="4"/>
        <v/>
      </c>
      <c r="H62" s="340" t="str">
        <f t="shared" si="5"/>
        <v/>
      </c>
      <c r="I62" s="50"/>
      <c r="K62" s="50"/>
      <c r="N62" s="50"/>
      <c r="Q62" s="50"/>
      <c r="T62" s="50"/>
      <c r="W62" s="50"/>
      <c r="Z62" s="50"/>
    </row>
    <row r="63" spans="2:28" ht="20.100000000000001" customHeight="1" x14ac:dyDescent="0.3">
      <c r="B63" s="344">
        <v>55</v>
      </c>
      <c r="C63" s="342" t="str">
        <f t="shared" si="2"/>
        <v/>
      </c>
      <c r="D63" s="341" t="str">
        <f t="shared" si="0"/>
        <v/>
      </c>
      <c r="E63" s="328" t="str">
        <f t="shared" si="3"/>
        <v/>
      </c>
      <c r="F63" s="339" t="str">
        <f t="shared" si="1"/>
        <v/>
      </c>
      <c r="G63" s="328" t="str">
        <f t="shared" si="4"/>
        <v/>
      </c>
      <c r="H63" s="340" t="str">
        <f t="shared" si="5"/>
        <v/>
      </c>
      <c r="I63" s="564"/>
      <c r="K63" s="625"/>
      <c r="L63" s="625"/>
      <c r="M63" s="52"/>
      <c r="N63" s="625"/>
      <c r="O63" s="625"/>
      <c r="P63" s="52"/>
      <c r="Q63" s="625"/>
      <c r="R63" s="625"/>
      <c r="S63" s="52"/>
      <c r="T63" s="625"/>
      <c r="U63" s="625"/>
      <c r="V63" s="52"/>
      <c r="W63" s="625"/>
      <c r="X63" s="625"/>
      <c r="Y63" s="52"/>
      <c r="Z63" s="625"/>
      <c r="AA63" s="625"/>
      <c r="AB63" s="52"/>
    </row>
    <row r="64" spans="2:28" ht="20.100000000000001" customHeight="1" x14ac:dyDescent="0.3">
      <c r="B64" s="344">
        <v>56</v>
      </c>
      <c r="C64" s="342" t="str">
        <f t="shared" si="2"/>
        <v/>
      </c>
      <c r="D64" s="341" t="str">
        <f t="shared" si="0"/>
        <v/>
      </c>
      <c r="E64" s="328" t="str">
        <f t="shared" si="3"/>
        <v/>
      </c>
      <c r="F64" s="339" t="str">
        <f t="shared" si="1"/>
        <v/>
      </c>
      <c r="G64" s="328" t="str">
        <f t="shared" si="4"/>
        <v/>
      </c>
      <c r="H64" s="340" t="str">
        <f t="shared" si="5"/>
        <v/>
      </c>
      <c r="I64" s="57"/>
    </row>
    <row r="65" spans="2:9" ht="20.100000000000001" customHeight="1" x14ac:dyDescent="0.3">
      <c r="B65" s="344">
        <v>57</v>
      </c>
      <c r="C65" s="342" t="str">
        <f t="shared" si="2"/>
        <v/>
      </c>
      <c r="D65" s="341" t="str">
        <f t="shared" si="0"/>
        <v/>
      </c>
      <c r="E65" s="328" t="str">
        <f t="shared" si="3"/>
        <v/>
      </c>
      <c r="F65" s="339" t="str">
        <f t="shared" si="1"/>
        <v/>
      </c>
      <c r="G65" s="328" t="str">
        <f t="shared" si="4"/>
        <v/>
      </c>
      <c r="H65" s="340" t="str">
        <f t="shared" si="5"/>
        <v/>
      </c>
      <c r="I65" s="57"/>
    </row>
    <row r="66" spans="2:9" ht="20.100000000000001" customHeight="1" x14ac:dyDescent="0.3">
      <c r="B66" s="344">
        <v>58</v>
      </c>
      <c r="C66" s="342" t="str">
        <f t="shared" si="2"/>
        <v/>
      </c>
      <c r="D66" s="341" t="str">
        <f t="shared" si="0"/>
        <v/>
      </c>
      <c r="E66" s="328" t="str">
        <f t="shared" si="3"/>
        <v/>
      </c>
      <c r="F66" s="339" t="str">
        <f t="shared" si="1"/>
        <v/>
      </c>
      <c r="G66" s="328" t="str">
        <f t="shared" si="4"/>
        <v/>
      </c>
      <c r="H66" s="340" t="str">
        <f t="shared" si="5"/>
        <v/>
      </c>
      <c r="I66" s="57"/>
    </row>
    <row r="67" spans="2:9" ht="20.100000000000001" customHeight="1" x14ac:dyDescent="0.3">
      <c r="B67" s="344">
        <v>59</v>
      </c>
      <c r="C67" s="342" t="str">
        <f t="shared" si="2"/>
        <v/>
      </c>
      <c r="D67" s="341" t="str">
        <f t="shared" si="0"/>
        <v/>
      </c>
      <c r="E67" s="328" t="str">
        <f t="shared" si="3"/>
        <v/>
      </c>
      <c r="F67" s="339" t="str">
        <f t="shared" si="1"/>
        <v/>
      </c>
      <c r="G67" s="328" t="str">
        <f t="shared" si="4"/>
        <v/>
      </c>
      <c r="H67" s="340" t="str">
        <f t="shared" si="5"/>
        <v/>
      </c>
      <c r="I67" s="57"/>
    </row>
    <row r="68" spans="2:9" ht="20.100000000000001" customHeight="1" x14ac:dyDescent="0.3">
      <c r="B68" s="344">
        <v>60</v>
      </c>
      <c r="C68" s="342" t="str">
        <f t="shared" si="2"/>
        <v/>
      </c>
      <c r="D68" s="341" t="str">
        <f t="shared" si="0"/>
        <v/>
      </c>
      <c r="E68" s="328" t="str">
        <f t="shared" si="3"/>
        <v/>
      </c>
      <c r="F68" s="339" t="str">
        <f t="shared" si="1"/>
        <v/>
      </c>
      <c r="G68" s="328" t="str">
        <f t="shared" si="4"/>
        <v/>
      </c>
      <c r="H68" s="340" t="str">
        <f t="shared" si="5"/>
        <v/>
      </c>
      <c r="I68" s="57"/>
    </row>
    <row r="69" spans="2:9" ht="20.100000000000001" customHeight="1" x14ac:dyDescent="0.3">
      <c r="B69" s="344">
        <v>61</v>
      </c>
      <c r="C69" s="342" t="str">
        <f t="shared" si="2"/>
        <v/>
      </c>
      <c r="D69" s="341" t="str">
        <f t="shared" si="0"/>
        <v/>
      </c>
      <c r="E69" s="328" t="str">
        <f t="shared" si="3"/>
        <v/>
      </c>
      <c r="F69" s="339" t="str">
        <f t="shared" si="1"/>
        <v/>
      </c>
      <c r="G69" s="328" t="str">
        <f t="shared" si="4"/>
        <v/>
      </c>
      <c r="H69" s="340" t="str">
        <f t="shared" si="5"/>
        <v/>
      </c>
      <c r="I69" s="57"/>
    </row>
    <row r="70" spans="2:9" ht="20.100000000000001" customHeight="1" x14ac:dyDescent="0.3">
      <c r="B70" s="344">
        <v>62</v>
      </c>
      <c r="C70" s="342" t="str">
        <f t="shared" si="2"/>
        <v/>
      </c>
      <c r="D70" s="341" t="str">
        <f t="shared" si="0"/>
        <v/>
      </c>
      <c r="E70" s="328" t="str">
        <f t="shared" si="3"/>
        <v/>
      </c>
      <c r="F70" s="339" t="str">
        <f t="shared" si="1"/>
        <v/>
      </c>
      <c r="G70" s="328" t="str">
        <f t="shared" si="4"/>
        <v/>
      </c>
      <c r="H70" s="340" t="str">
        <f t="shared" si="5"/>
        <v/>
      </c>
      <c r="I70" s="57"/>
    </row>
    <row r="71" spans="2:9" ht="20.100000000000001" customHeight="1" x14ac:dyDescent="0.3">
      <c r="B71" s="344">
        <v>63</v>
      </c>
      <c r="C71" s="342" t="str">
        <f t="shared" si="2"/>
        <v/>
      </c>
      <c r="D71" s="341" t="str">
        <f t="shared" si="0"/>
        <v/>
      </c>
      <c r="E71" s="328" t="str">
        <f t="shared" si="3"/>
        <v/>
      </c>
      <c r="F71" s="339" t="str">
        <f t="shared" si="1"/>
        <v/>
      </c>
      <c r="G71" s="328" t="str">
        <f t="shared" si="4"/>
        <v/>
      </c>
      <c r="H71" s="340" t="str">
        <f t="shared" si="5"/>
        <v/>
      </c>
      <c r="I71" s="57"/>
    </row>
    <row r="72" spans="2:9" ht="20.100000000000001" customHeight="1" x14ac:dyDescent="0.3">
      <c r="B72" s="344">
        <v>64</v>
      </c>
      <c r="C72" s="342" t="str">
        <f t="shared" si="2"/>
        <v/>
      </c>
      <c r="D72" s="341" t="str">
        <f t="shared" si="0"/>
        <v/>
      </c>
      <c r="E72" s="328" t="str">
        <f t="shared" si="3"/>
        <v/>
      </c>
      <c r="F72" s="339" t="str">
        <f t="shared" si="1"/>
        <v/>
      </c>
      <c r="G72" s="328" t="str">
        <f t="shared" si="4"/>
        <v/>
      </c>
      <c r="H72" s="340" t="str">
        <f t="shared" si="5"/>
        <v/>
      </c>
      <c r="I72" s="57"/>
    </row>
    <row r="73" spans="2:9" ht="20.100000000000001" customHeight="1" x14ac:dyDescent="0.3">
      <c r="B73" s="344">
        <v>65</v>
      </c>
      <c r="C73" s="342" t="str">
        <f t="shared" si="2"/>
        <v/>
      </c>
      <c r="D73" s="341" t="str">
        <f t="shared" si="0"/>
        <v/>
      </c>
      <c r="E73" s="328" t="str">
        <f t="shared" si="3"/>
        <v/>
      </c>
      <c r="F73" s="339" t="str">
        <f t="shared" si="1"/>
        <v/>
      </c>
      <c r="G73" s="328" t="str">
        <f t="shared" si="4"/>
        <v/>
      </c>
      <c r="H73" s="340" t="str">
        <f t="shared" si="5"/>
        <v/>
      </c>
      <c r="I73" s="57"/>
    </row>
    <row r="74" spans="2:9" ht="20.100000000000001" customHeight="1" x14ac:dyDescent="0.3">
      <c r="B74" s="344">
        <v>66</v>
      </c>
      <c r="C74" s="342" t="str">
        <f t="shared" si="2"/>
        <v/>
      </c>
      <c r="D74" s="341" t="str">
        <f t="shared" ref="D74:D137" si="6">IF($H$4="","",IF($F$4="원리금균등상환",IFERROR(IF(B74&lt;=$D$6,0,-PPMT($E$4/12,B74-$D$6,($B$6-$D$6),$D$4)),""),IF($F$4="원금균등상환",IF(B74&lt;($D$6+1),0,IF(B74&gt;$B$6,0,$D$4/($B$6-$D$6))),"")))</f>
        <v/>
      </c>
      <c r="E74" s="328" t="str">
        <f t="shared" si="3"/>
        <v/>
      </c>
      <c r="F74" s="339" t="str">
        <f t="shared" ref="F74:F137" si="7">IF($H$4="","",IF($F$4="원리금균등상환",IFERROR(D74+E74,""),IF($F$4="원금균등상환",D74+E74,"")))</f>
        <v/>
      </c>
      <c r="G74" s="328" t="str">
        <f t="shared" si="4"/>
        <v/>
      </c>
      <c r="H74" s="340" t="str">
        <f t="shared" si="5"/>
        <v/>
      </c>
      <c r="I74" s="57"/>
    </row>
    <row r="75" spans="2:9" ht="20.100000000000001" customHeight="1" x14ac:dyDescent="0.3">
      <c r="B75" s="344">
        <v>67</v>
      </c>
      <c r="C75" s="342" t="str">
        <f t="shared" ref="C75:C138" si="8">IF($H$4="","",IF(B75&gt;($B$6),"",IF(B75&lt;=($B$6),DATE(YEAR($G$4),MONTH($G$4)+B74,DAY($G$4)),"")))</f>
        <v/>
      </c>
      <c r="D75" s="341" t="str">
        <f t="shared" si="6"/>
        <v/>
      </c>
      <c r="E75" s="328" t="str">
        <f t="shared" ref="E75:E138" si="9">IF($H$4="","",IF($F$4="원리금균등상환",IFERROR(IF(B75&lt;=$D$6,$H74*($E$4/12),-IPMT($E$4/12,B75-$D$6,($B$6-$D$6),$D$4)),""),IF($F$4="원금균등상환",(H74-D75)*$E$4/12,"")))</f>
        <v/>
      </c>
      <c r="F75" s="339" t="str">
        <f t="shared" si="7"/>
        <v/>
      </c>
      <c r="G75" s="328" t="str">
        <f t="shared" ref="G75:G138" si="10">IFERROR(IF(B75&gt;(($D$6+$B$6)*12),"",IF(B75=1,D75,D75+G74)),"")</f>
        <v/>
      </c>
      <c r="H75" s="340" t="str">
        <f t="shared" ref="H75:H138" si="11">IFERROR(IF($H$4="","",H74-D75),"")</f>
        <v/>
      </c>
      <c r="I75" s="57"/>
    </row>
    <row r="76" spans="2:9" ht="20.100000000000001" customHeight="1" x14ac:dyDescent="0.3">
      <c r="B76" s="344">
        <v>68</v>
      </c>
      <c r="C76" s="342" t="str">
        <f t="shared" si="8"/>
        <v/>
      </c>
      <c r="D76" s="341" t="str">
        <f t="shared" si="6"/>
        <v/>
      </c>
      <c r="E76" s="328" t="str">
        <f t="shared" si="9"/>
        <v/>
      </c>
      <c r="F76" s="339" t="str">
        <f t="shared" si="7"/>
        <v/>
      </c>
      <c r="G76" s="328" t="str">
        <f t="shared" si="10"/>
        <v/>
      </c>
      <c r="H76" s="340" t="str">
        <f t="shared" si="11"/>
        <v/>
      </c>
      <c r="I76" s="57"/>
    </row>
    <row r="77" spans="2:9" ht="20.100000000000001" customHeight="1" x14ac:dyDescent="0.3">
      <c r="B77" s="344">
        <v>69</v>
      </c>
      <c r="C77" s="342" t="str">
        <f t="shared" si="8"/>
        <v/>
      </c>
      <c r="D77" s="341" t="str">
        <f t="shared" si="6"/>
        <v/>
      </c>
      <c r="E77" s="328" t="str">
        <f t="shared" si="9"/>
        <v/>
      </c>
      <c r="F77" s="339" t="str">
        <f t="shared" si="7"/>
        <v/>
      </c>
      <c r="G77" s="328" t="str">
        <f t="shared" si="10"/>
        <v/>
      </c>
      <c r="H77" s="340" t="str">
        <f t="shared" si="11"/>
        <v/>
      </c>
      <c r="I77" s="57"/>
    </row>
    <row r="78" spans="2:9" ht="20.100000000000001" customHeight="1" x14ac:dyDescent="0.3">
      <c r="B78" s="344">
        <v>70</v>
      </c>
      <c r="C78" s="342" t="str">
        <f t="shared" si="8"/>
        <v/>
      </c>
      <c r="D78" s="341" t="str">
        <f t="shared" si="6"/>
        <v/>
      </c>
      <c r="E78" s="328" t="str">
        <f t="shared" si="9"/>
        <v/>
      </c>
      <c r="F78" s="339" t="str">
        <f t="shared" si="7"/>
        <v/>
      </c>
      <c r="G78" s="328" t="str">
        <f t="shared" si="10"/>
        <v/>
      </c>
      <c r="H78" s="340" t="str">
        <f t="shared" si="11"/>
        <v/>
      </c>
      <c r="I78" s="57"/>
    </row>
    <row r="79" spans="2:9" ht="20.100000000000001" customHeight="1" x14ac:dyDescent="0.3">
      <c r="B79" s="344">
        <v>71</v>
      </c>
      <c r="C79" s="342" t="str">
        <f t="shared" si="8"/>
        <v/>
      </c>
      <c r="D79" s="341" t="str">
        <f t="shared" si="6"/>
        <v/>
      </c>
      <c r="E79" s="328" t="str">
        <f t="shared" si="9"/>
        <v/>
      </c>
      <c r="F79" s="339" t="str">
        <f t="shared" si="7"/>
        <v/>
      </c>
      <c r="G79" s="328" t="str">
        <f t="shared" si="10"/>
        <v/>
      </c>
      <c r="H79" s="340" t="str">
        <f t="shared" si="11"/>
        <v/>
      </c>
      <c r="I79" s="57"/>
    </row>
    <row r="80" spans="2:9" ht="20.100000000000001" customHeight="1" x14ac:dyDescent="0.3">
      <c r="B80" s="344">
        <v>72</v>
      </c>
      <c r="C80" s="342" t="str">
        <f t="shared" si="8"/>
        <v/>
      </c>
      <c r="D80" s="341" t="str">
        <f t="shared" si="6"/>
        <v/>
      </c>
      <c r="E80" s="328" t="str">
        <f t="shared" si="9"/>
        <v/>
      </c>
      <c r="F80" s="339" t="str">
        <f t="shared" si="7"/>
        <v/>
      </c>
      <c r="G80" s="328" t="str">
        <f t="shared" si="10"/>
        <v/>
      </c>
      <c r="H80" s="340" t="str">
        <f t="shared" si="11"/>
        <v/>
      </c>
      <c r="I80" s="57"/>
    </row>
    <row r="81" spans="2:9" ht="20.100000000000001" customHeight="1" x14ac:dyDescent="0.3">
      <c r="B81" s="344">
        <v>73</v>
      </c>
      <c r="C81" s="342" t="str">
        <f t="shared" si="8"/>
        <v/>
      </c>
      <c r="D81" s="341" t="str">
        <f t="shared" si="6"/>
        <v/>
      </c>
      <c r="E81" s="328" t="str">
        <f t="shared" si="9"/>
        <v/>
      </c>
      <c r="F81" s="339" t="str">
        <f t="shared" si="7"/>
        <v/>
      </c>
      <c r="G81" s="328" t="str">
        <f t="shared" si="10"/>
        <v/>
      </c>
      <c r="H81" s="340" t="str">
        <f t="shared" si="11"/>
        <v/>
      </c>
      <c r="I81" s="57"/>
    </row>
    <row r="82" spans="2:9" ht="20.100000000000001" customHeight="1" x14ac:dyDescent="0.3">
      <c r="B82" s="344">
        <v>74</v>
      </c>
      <c r="C82" s="342" t="str">
        <f t="shared" si="8"/>
        <v/>
      </c>
      <c r="D82" s="341" t="str">
        <f t="shared" si="6"/>
        <v/>
      </c>
      <c r="E82" s="328" t="str">
        <f t="shared" si="9"/>
        <v/>
      </c>
      <c r="F82" s="339" t="str">
        <f t="shared" si="7"/>
        <v/>
      </c>
      <c r="G82" s="328" t="str">
        <f t="shared" si="10"/>
        <v/>
      </c>
      <c r="H82" s="340" t="str">
        <f t="shared" si="11"/>
        <v/>
      </c>
      <c r="I82" s="57"/>
    </row>
    <row r="83" spans="2:9" ht="20.100000000000001" customHeight="1" x14ac:dyDescent="0.3">
      <c r="B83" s="344">
        <v>75</v>
      </c>
      <c r="C83" s="342" t="str">
        <f t="shared" si="8"/>
        <v/>
      </c>
      <c r="D83" s="341" t="str">
        <f t="shared" si="6"/>
        <v/>
      </c>
      <c r="E83" s="328" t="str">
        <f t="shared" si="9"/>
        <v/>
      </c>
      <c r="F83" s="339" t="str">
        <f t="shared" si="7"/>
        <v/>
      </c>
      <c r="G83" s="328" t="str">
        <f t="shared" si="10"/>
        <v/>
      </c>
      <c r="H83" s="340" t="str">
        <f t="shared" si="11"/>
        <v/>
      </c>
      <c r="I83" s="57"/>
    </row>
    <row r="84" spans="2:9" ht="20.100000000000001" customHeight="1" x14ac:dyDescent="0.3">
      <c r="B84" s="344">
        <v>76</v>
      </c>
      <c r="C84" s="342" t="str">
        <f t="shared" si="8"/>
        <v/>
      </c>
      <c r="D84" s="341" t="str">
        <f t="shared" si="6"/>
        <v/>
      </c>
      <c r="E84" s="328" t="str">
        <f t="shared" si="9"/>
        <v/>
      </c>
      <c r="F84" s="339" t="str">
        <f t="shared" si="7"/>
        <v/>
      </c>
      <c r="G84" s="328" t="str">
        <f t="shared" si="10"/>
        <v/>
      </c>
      <c r="H84" s="340" t="str">
        <f t="shared" si="11"/>
        <v/>
      </c>
      <c r="I84" s="57"/>
    </row>
    <row r="85" spans="2:9" ht="20.100000000000001" customHeight="1" x14ac:dyDescent="0.3">
      <c r="B85" s="344">
        <v>77</v>
      </c>
      <c r="C85" s="342" t="str">
        <f t="shared" si="8"/>
        <v/>
      </c>
      <c r="D85" s="341" t="str">
        <f t="shared" si="6"/>
        <v/>
      </c>
      <c r="E85" s="328" t="str">
        <f t="shared" si="9"/>
        <v/>
      </c>
      <c r="F85" s="339" t="str">
        <f t="shared" si="7"/>
        <v/>
      </c>
      <c r="G85" s="328" t="str">
        <f t="shared" si="10"/>
        <v/>
      </c>
      <c r="H85" s="340" t="str">
        <f t="shared" si="11"/>
        <v/>
      </c>
      <c r="I85" s="57"/>
    </row>
    <row r="86" spans="2:9" ht="20.100000000000001" customHeight="1" x14ac:dyDescent="0.3">
      <c r="B86" s="344">
        <v>78</v>
      </c>
      <c r="C86" s="342" t="str">
        <f t="shared" si="8"/>
        <v/>
      </c>
      <c r="D86" s="341" t="str">
        <f t="shared" si="6"/>
        <v/>
      </c>
      <c r="E86" s="328" t="str">
        <f t="shared" si="9"/>
        <v/>
      </c>
      <c r="F86" s="339" t="str">
        <f t="shared" si="7"/>
        <v/>
      </c>
      <c r="G86" s="328" t="str">
        <f t="shared" si="10"/>
        <v/>
      </c>
      <c r="H86" s="340" t="str">
        <f t="shared" si="11"/>
        <v/>
      </c>
      <c r="I86" s="57"/>
    </row>
    <row r="87" spans="2:9" ht="20.100000000000001" customHeight="1" x14ac:dyDescent="0.3">
      <c r="B87" s="344">
        <v>79</v>
      </c>
      <c r="C87" s="342" t="str">
        <f t="shared" si="8"/>
        <v/>
      </c>
      <c r="D87" s="341" t="str">
        <f t="shared" si="6"/>
        <v/>
      </c>
      <c r="E87" s="328" t="str">
        <f t="shared" si="9"/>
        <v/>
      </c>
      <c r="F87" s="339" t="str">
        <f t="shared" si="7"/>
        <v/>
      </c>
      <c r="G87" s="328" t="str">
        <f t="shared" si="10"/>
        <v/>
      </c>
      <c r="H87" s="340" t="str">
        <f t="shared" si="11"/>
        <v/>
      </c>
      <c r="I87" s="57"/>
    </row>
    <row r="88" spans="2:9" ht="20.100000000000001" customHeight="1" x14ac:dyDescent="0.3">
      <c r="B88" s="344">
        <v>80</v>
      </c>
      <c r="C88" s="342" t="str">
        <f t="shared" si="8"/>
        <v/>
      </c>
      <c r="D88" s="341" t="str">
        <f t="shared" si="6"/>
        <v/>
      </c>
      <c r="E88" s="328" t="str">
        <f t="shared" si="9"/>
        <v/>
      </c>
      <c r="F88" s="339" t="str">
        <f t="shared" si="7"/>
        <v/>
      </c>
      <c r="G88" s="328" t="str">
        <f t="shared" si="10"/>
        <v/>
      </c>
      <c r="H88" s="340" t="str">
        <f t="shared" si="11"/>
        <v/>
      </c>
      <c r="I88" s="57"/>
    </row>
    <row r="89" spans="2:9" ht="20.100000000000001" customHeight="1" x14ac:dyDescent="0.3">
      <c r="B89" s="344">
        <v>81</v>
      </c>
      <c r="C89" s="342" t="str">
        <f t="shared" si="8"/>
        <v/>
      </c>
      <c r="D89" s="341" t="str">
        <f t="shared" si="6"/>
        <v/>
      </c>
      <c r="E89" s="328" t="str">
        <f t="shared" si="9"/>
        <v/>
      </c>
      <c r="F89" s="339" t="str">
        <f t="shared" si="7"/>
        <v/>
      </c>
      <c r="G89" s="328" t="str">
        <f t="shared" si="10"/>
        <v/>
      </c>
      <c r="H89" s="340" t="str">
        <f t="shared" si="11"/>
        <v/>
      </c>
      <c r="I89" s="57"/>
    </row>
    <row r="90" spans="2:9" ht="20.100000000000001" customHeight="1" x14ac:dyDescent="0.3">
      <c r="B90" s="344">
        <v>82</v>
      </c>
      <c r="C90" s="342" t="str">
        <f t="shared" si="8"/>
        <v/>
      </c>
      <c r="D90" s="341" t="str">
        <f t="shared" si="6"/>
        <v/>
      </c>
      <c r="E90" s="328" t="str">
        <f t="shared" si="9"/>
        <v/>
      </c>
      <c r="F90" s="339" t="str">
        <f t="shared" si="7"/>
        <v/>
      </c>
      <c r="G90" s="328" t="str">
        <f t="shared" si="10"/>
        <v/>
      </c>
      <c r="H90" s="340" t="str">
        <f t="shared" si="11"/>
        <v/>
      </c>
      <c r="I90" s="57"/>
    </row>
    <row r="91" spans="2:9" ht="20.100000000000001" customHeight="1" x14ac:dyDescent="0.3">
      <c r="B91" s="344">
        <v>83</v>
      </c>
      <c r="C91" s="342" t="str">
        <f t="shared" si="8"/>
        <v/>
      </c>
      <c r="D91" s="341" t="str">
        <f t="shared" si="6"/>
        <v/>
      </c>
      <c r="E91" s="328" t="str">
        <f t="shared" si="9"/>
        <v/>
      </c>
      <c r="F91" s="339" t="str">
        <f t="shared" si="7"/>
        <v/>
      </c>
      <c r="G91" s="328" t="str">
        <f t="shared" si="10"/>
        <v/>
      </c>
      <c r="H91" s="340" t="str">
        <f t="shared" si="11"/>
        <v/>
      </c>
      <c r="I91" s="57"/>
    </row>
    <row r="92" spans="2:9" ht="20.100000000000001" customHeight="1" x14ac:dyDescent="0.3">
      <c r="B92" s="344">
        <v>84</v>
      </c>
      <c r="C92" s="342" t="str">
        <f t="shared" si="8"/>
        <v/>
      </c>
      <c r="D92" s="341" t="str">
        <f t="shared" si="6"/>
        <v/>
      </c>
      <c r="E92" s="328" t="str">
        <f t="shared" si="9"/>
        <v/>
      </c>
      <c r="F92" s="339" t="str">
        <f t="shared" si="7"/>
        <v/>
      </c>
      <c r="G92" s="328" t="str">
        <f t="shared" si="10"/>
        <v/>
      </c>
      <c r="H92" s="340" t="str">
        <f t="shared" si="11"/>
        <v/>
      </c>
      <c r="I92" s="57"/>
    </row>
    <row r="93" spans="2:9" ht="20.100000000000001" customHeight="1" x14ac:dyDescent="0.3">
      <c r="B93" s="344">
        <v>85</v>
      </c>
      <c r="C93" s="342" t="str">
        <f t="shared" si="8"/>
        <v/>
      </c>
      <c r="D93" s="341" t="str">
        <f t="shared" si="6"/>
        <v/>
      </c>
      <c r="E93" s="328" t="str">
        <f t="shared" si="9"/>
        <v/>
      </c>
      <c r="F93" s="339" t="str">
        <f t="shared" si="7"/>
        <v/>
      </c>
      <c r="G93" s="328" t="str">
        <f t="shared" si="10"/>
        <v/>
      </c>
      <c r="H93" s="340" t="str">
        <f t="shared" si="11"/>
        <v/>
      </c>
      <c r="I93" s="57"/>
    </row>
    <row r="94" spans="2:9" ht="20.100000000000001" customHeight="1" x14ac:dyDescent="0.3">
      <c r="B94" s="344">
        <v>86</v>
      </c>
      <c r="C94" s="342" t="str">
        <f t="shared" si="8"/>
        <v/>
      </c>
      <c r="D94" s="341" t="str">
        <f t="shared" si="6"/>
        <v/>
      </c>
      <c r="E94" s="328" t="str">
        <f t="shared" si="9"/>
        <v/>
      </c>
      <c r="F94" s="339" t="str">
        <f t="shared" si="7"/>
        <v/>
      </c>
      <c r="G94" s="328" t="str">
        <f t="shared" si="10"/>
        <v/>
      </c>
      <c r="H94" s="340" t="str">
        <f t="shared" si="11"/>
        <v/>
      </c>
      <c r="I94" s="57"/>
    </row>
    <row r="95" spans="2:9" ht="20.100000000000001" customHeight="1" x14ac:dyDescent="0.3">
      <c r="B95" s="344">
        <v>87</v>
      </c>
      <c r="C95" s="342" t="str">
        <f t="shared" si="8"/>
        <v/>
      </c>
      <c r="D95" s="341" t="str">
        <f t="shared" si="6"/>
        <v/>
      </c>
      <c r="E95" s="328" t="str">
        <f t="shared" si="9"/>
        <v/>
      </c>
      <c r="F95" s="339" t="str">
        <f t="shared" si="7"/>
        <v/>
      </c>
      <c r="G95" s="328" t="str">
        <f t="shared" si="10"/>
        <v/>
      </c>
      <c r="H95" s="340" t="str">
        <f t="shared" si="11"/>
        <v/>
      </c>
      <c r="I95" s="57"/>
    </row>
    <row r="96" spans="2:9" ht="20.100000000000001" customHeight="1" x14ac:dyDescent="0.3">
      <c r="B96" s="344">
        <v>88</v>
      </c>
      <c r="C96" s="342" t="str">
        <f t="shared" si="8"/>
        <v/>
      </c>
      <c r="D96" s="341" t="str">
        <f t="shared" si="6"/>
        <v/>
      </c>
      <c r="E96" s="328" t="str">
        <f t="shared" si="9"/>
        <v/>
      </c>
      <c r="F96" s="339" t="str">
        <f t="shared" si="7"/>
        <v/>
      </c>
      <c r="G96" s="328" t="str">
        <f t="shared" si="10"/>
        <v/>
      </c>
      <c r="H96" s="340" t="str">
        <f t="shared" si="11"/>
        <v/>
      </c>
      <c r="I96" s="57"/>
    </row>
    <row r="97" spans="2:9" ht="20.100000000000001" customHeight="1" x14ac:dyDescent="0.3">
      <c r="B97" s="344">
        <v>89</v>
      </c>
      <c r="C97" s="342" t="str">
        <f t="shared" si="8"/>
        <v/>
      </c>
      <c r="D97" s="341" t="str">
        <f t="shared" si="6"/>
        <v/>
      </c>
      <c r="E97" s="328" t="str">
        <f t="shared" si="9"/>
        <v/>
      </c>
      <c r="F97" s="339" t="str">
        <f t="shared" si="7"/>
        <v/>
      </c>
      <c r="G97" s="328" t="str">
        <f t="shared" si="10"/>
        <v/>
      </c>
      <c r="H97" s="340" t="str">
        <f t="shared" si="11"/>
        <v/>
      </c>
      <c r="I97" s="57"/>
    </row>
    <row r="98" spans="2:9" ht="20.100000000000001" customHeight="1" x14ac:dyDescent="0.3">
      <c r="B98" s="344">
        <v>90</v>
      </c>
      <c r="C98" s="342" t="str">
        <f t="shared" si="8"/>
        <v/>
      </c>
      <c r="D98" s="341" t="str">
        <f t="shared" si="6"/>
        <v/>
      </c>
      <c r="E98" s="328" t="str">
        <f t="shared" si="9"/>
        <v/>
      </c>
      <c r="F98" s="339" t="str">
        <f t="shared" si="7"/>
        <v/>
      </c>
      <c r="G98" s="328" t="str">
        <f t="shared" si="10"/>
        <v/>
      </c>
      <c r="H98" s="340" t="str">
        <f t="shared" si="11"/>
        <v/>
      </c>
      <c r="I98" s="57"/>
    </row>
    <row r="99" spans="2:9" ht="20.100000000000001" customHeight="1" x14ac:dyDescent="0.3">
      <c r="B99" s="344">
        <v>91</v>
      </c>
      <c r="C99" s="342" t="str">
        <f t="shared" si="8"/>
        <v/>
      </c>
      <c r="D99" s="341" t="str">
        <f t="shared" si="6"/>
        <v/>
      </c>
      <c r="E99" s="328" t="str">
        <f t="shared" si="9"/>
        <v/>
      </c>
      <c r="F99" s="339" t="str">
        <f t="shared" si="7"/>
        <v/>
      </c>
      <c r="G99" s="328" t="str">
        <f t="shared" si="10"/>
        <v/>
      </c>
      <c r="H99" s="340" t="str">
        <f t="shared" si="11"/>
        <v/>
      </c>
      <c r="I99" s="57"/>
    </row>
    <row r="100" spans="2:9" ht="20.100000000000001" customHeight="1" x14ac:dyDescent="0.3">
      <c r="B100" s="344">
        <v>92</v>
      </c>
      <c r="C100" s="342" t="str">
        <f t="shared" si="8"/>
        <v/>
      </c>
      <c r="D100" s="341" t="str">
        <f t="shared" si="6"/>
        <v/>
      </c>
      <c r="E100" s="328" t="str">
        <f t="shared" si="9"/>
        <v/>
      </c>
      <c r="F100" s="339" t="str">
        <f t="shared" si="7"/>
        <v/>
      </c>
      <c r="G100" s="328" t="str">
        <f t="shared" si="10"/>
        <v/>
      </c>
      <c r="H100" s="340" t="str">
        <f t="shared" si="11"/>
        <v/>
      </c>
      <c r="I100" s="57"/>
    </row>
    <row r="101" spans="2:9" ht="20.100000000000001" customHeight="1" x14ac:dyDescent="0.3">
      <c r="B101" s="344">
        <v>93</v>
      </c>
      <c r="C101" s="342" t="str">
        <f t="shared" si="8"/>
        <v/>
      </c>
      <c r="D101" s="341" t="str">
        <f t="shared" si="6"/>
        <v/>
      </c>
      <c r="E101" s="328" t="str">
        <f t="shared" si="9"/>
        <v/>
      </c>
      <c r="F101" s="339" t="str">
        <f t="shared" si="7"/>
        <v/>
      </c>
      <c r="G101" s="328" t="str">
        <f t="shared" si="10"/>
        <v/>
      </c>
      <c r="H101" s="340" t="str">
        <f t="shared" si="11"/>
        <v/>
      </c>
      <c r="I101" s="57"/>
    </row>
    <row r="102" spans="2:9" ht="20.100000000000001" customHeight="1" x14ac:dyDescent="0.3">
      <c r="B102" s="344">
        <v>94</v>
      </c>
      <c r="C102" s="342" t="str">
        <f t="shared" si="8"/>
        <v/>
      </c>
      <c r="D102" s="341" t="str">
        <f t="shared" si="6"/>
        <v/>
      </c>
      <c r="E102" s="328" t="str">
        <f t="shared" si="9"/>
        <v/>
      </c>
      <c r="F102" s="339" t="str">
        <f t="shared" si="7"/>
        <v/>
      </c>
      <c r="G102" s="328" t="str">
        <f t="shared" si="10"/>
        <v/>
      </c>
      <c r="H102" s="340" t="str">
        <f t="shared" si="11"/>
        <v/>
      </c>
      <c r="I102" s="57"/>
    </row>
    <row r="103" spans="2:9" ht="20.100000000000001" customHeight="1" x14ac:dyDescent="0.3">
      <c r="B103" s="344">
        <v>95</v>
      </c>
      <c r="C103" s="342" t="str">
        <f t="shared" si="8"/>
        <v/>
      </c>
      <c r="D103" s="341" t="str">
        <f t="shared" si="6"/>
        <v/>
      </c>
      <c r="E103" s="328" t="str">
        <f t="shared" si="9"/>
        <v/>
      </c>
      <c r="F103" s="339" t="str">
        <f t="shared" si="7"/>
        <v/>
      </c>
      <c r="G103" s="328" t="str">
        <f t="shared" si="10"/>
        <v/>
      </c>
      <c r="H103" s="340" t="str">
        <f t="shared" si="11"/>
        <v/>
      </c>
      <c r="I103" s="57"/>
    </row>
    <row r="104" spans="2:9" ht="20.100000000000001" customHeight="1" x14ac:dyDescent="0.3">
      <c r="B104" s="344">
        <v>96</v>
      </c>
      <c r="C104" s="342" t="str">
        <f t="shared" si="8"/>
        <v/>
      </c>
      <c r="D104" s="341" t="str">
        <f t="shared" si="6"/>
        <v/>
      </c>
      <c r="E104" s="328" t="str">
        <f t="shared" si="9"/>
        <v/>
      </c>
      <c r="F104" s="339" t="str">
        <f t="shared" si="7"/>
        <v/>
      </c>
      <c r="G104" s="328" t="str">
        <f t="shared" si="10"/>
        <v/>
      </c>
      <c r="H104" s="340" t="str">
        <f t="shared" si="11"/>
        <v/>
      </c>
      <c r="I104" s="57"/>
    </row>
    <row r="105" spans="2:9" ht="20.100000000000001" customHeight="1" x14ac:dyDescent="0.3">
      <c r="B105" s="344">
        <v>97</v>
      </c>
      <c r="C105" s="342" t="str">
        <f t="shared" si="8"/>
        <v/>
      </c>
      <c r="D105" s="341" t="str">
        <f t="shared" si="6"/>
        <v/>
      </c>
      <c r="E105" s="328" t="str">
        <f t="shared" si="9"/>
        <v/>
      </c>
      <c r="F105" s="339" t="str">
        <f t="shared" si="7"/>
        <v/>
      </c>
      <c r="G105" s="328" t="str">
        <f t="shared" si="10"/>
        <v/>
      </c>
      <c r="H105" s="340" t="str">
        <f t="shared" si="11"/>
        <v/>
      </c>
      <c r="I105" s="57"/>
    </row>
    <row r="106" spans="2:9" ht="20.100000000000001" customHeight="1" x14ac:dyDescent="0.3">
      <c r="B106" s="344">
        <v>98</v>
      </c>
      <c r="C106" s="342" t="str">
        <f t="shared" si="8"/>
        <v/>
      </c>
      <c r="D106" s="341" t="str">
        <f t="shared" si="6"/>
        <v/>
      </c>
      <c r="E106" s="328" t="str">
        <f t="shared" si="9"/>
        <v/>
      </c>
      <c r="F106" s="339" t="str">
        <f t="shared" si="7"/>
        <v/>
      </c>
      <c r="G106" s="328" t="str">
        <f t="shared" si="10"/>
        <v/>
      </c>
      <c r="H106" s="340" t="str">
        <f t="shared" si="11"/>
        <v/>
      </c>
      <c r="I106" s="57"/>
    </row>
    <row r="107" spans="2:9" ht="20.100000000000001" customHeight="1" x14ac:dyDescent="0.3">
      <c r="B107" s="344">
        <v>99</v>
      </c>
      <c r="C107" s="342" t="str">
        <f t="shared" si="8"/>
        <v/>
      </c>
      <c r="D107" s="341" t="str">
        <f t="shared" si="6"/>
        <v/>
      </c>
      <c r="E107" s="328" t="str">
        <f t="shared" si="9"/>
        <v/>
      </c>
      <c r="F107" s="339" t="str">
        <f t="shared" si="7"/>
        <v/>
      </c>
      <c r="G107" s="328" t="str">
        <f t="shared" si="10"/>
        <v/>
      </c>
      <c r="H107" s="340" t="str">
        <f t="shared" si="11"/>
        <v/>
      </c>
      <c r="I107" s="57"/>
    </row>
    <row r="108" spans="2:9" ht="20.100000000000001" customHeight="1" x14ac:dyDescent="0.3">
      <c r="B108" s="344">
        <v>100</v>
      </c>
      <c r="C108" s="342" t="str">
        <f t="shared" si="8"/>
        <v/>
      </c>
      <c r="D108" s="341" t="str">
        <f t="shared" si="6"/>
        <v/>
      </c>
      <c r="E108" s="328" t="str">
        <f t="shared" si="9"/>
        <v/>
      </c>
      <c r="F108" s="339" t="str">
        <f t="shared" si="7"/>
        <v/>
      </c>
      <c r="G108" s="328" t="str">
        <f t="shared" si="10"/>
        <v/>
      </c>
      <c r="H108" s="340" t="str">
        <f t="shared" si="11"/>
        <v/>
      </c>
      <c r="I108" s="57"/>
    </row>
    <row r="109" spans="2:9" ht="20.100000000000001" customHeight="1" x14ac:dyDescent="0.3">
      <c r="B109" s="344">
        <v>101</v>
      </c>
      <c r="C109" s="342" t="str">
        <f t="shared" si="8"/>
        <v/>
      </c>
      <c r="D109" s="341" t="str">
        <f t="shared" si="6"/>
        <v/>
      </c>
      <c r="E109" s="328" t="str">
        <f t="shared" si="9"/>
        <v/>
      </c>
      <c r="F109" s="339" t="str">
        <f t="shared" si="7"/>
        <v/>
      </c>
      <c r="G109" s="328" t="str">
        <f t="shared" si="10"/>
        <v/>
      </c>
      <c r="H109" s="340" t="str">
        <f t="shared" si="11"/>
        <v/>
      </c>
      <c r="I109" s="57"/>
    </row>
    <row r="110" spans="2:9" ht="20.100000000000001" customHeight="1" x14ac:dyDescent="0.3">
      <c r="B110" s="344">
        <v>102</v>
      </c>
      <c r="C110" s="342" t="str">
        <f t="shared" si="8"/>
        <v/>
      </c>
      <c r="D110" s="341" t="str">
        <f t="shared" si="6"/>
        <v/>
      </c>
      <c r="E110" s="328" t="str">
        <f t="shared" si="9"/>
        <v/>
      </c>
      <c r="F110" s="339" t="str">
        <f t="shared" si="7"/>
        <v/>
      </c>
      <c r="G110" s="328" t="str">
        <f t="shared" si="10"/>
        <v/>
      </c>
      <c r="H110" s="340" t="str">
        <f t="shared" si="11"/>
        <v/>
      </c>
      <c r="I110" s="57"/>
    </row>
    <row r="111" spans="2:9" ht="20.100000000000001" customHeight="1" x14ac:dyDescent="0.3">
      <c r="B111" s="344">
        <v>103</v>
      </c>
      <c r="C111" s="342" t="str">
        <f t="shared" si="8"/>
        <v/>
      </c>
      <c r="D111" s="341" t="str">
        <f t="shared" si="6"/>
        <v/>
      </c>
      <c r="E111" s="328" t="str">
        <f t="shared" si="9"/>
        <v/>
      </c>
      <c r="F111" s="339" t="str">
        <f t="shared" si="7"/>
        <v/>
      </c>
      <c r="G111" s="328" t="str">
        <f t="shared" si="10"/>
        <v/>
      </c>
      <c r="H111" s="340" t="str">
        <f t="shared" si="11"/>
        <v/>
      </c>
      <c r="I111" s="57"/>
    </row>
    <row r="112" spans="2:9" ht="20.100000000000001" customHeight="1" x14ac:dyDescent="0.3">
      <c r="B112" s="344">
        <v>104</v>
      </c>
      <c r="C112" s="342" t="str">
        <f t="shared" si="8"/>
        <v/>
      </c>
      <c r="D112" s="341" t="str">
        <f t="shared" si="6"/>
        <v/>
      </c>
      <c r="E112" s="328" t="str">
        <f t="shared" si="9"/>
        <v/>
      </c>
      <c r="F112" s="339" t="str">
        <f t="shared" si="7"/>
        <v/>
      </c>
      <c r="G112" s="328" t="str">
        <f t="shared" si="10"/>
        <v/>
      </c>
      <c r="H112" s="340" t="str">
        <f t="shared" si="11"/>
        <v/>
      </c>
      <c r="I112" s="57"/>
    </row>
    <row r="113" spans="2:9" ht="20.100000000000001" customHeight="1" x14ac:dyDescent="0.3">
      <c r="B113" s="344">
        <v>105</v>
      </c>
      <c r="C113" s="342" t="str">
        <f t="shared" si="8"/>
        <v/>
      </c>
      <c r="D113" s="341" t="str">
        <f t="shared" si="6"/>
        <v/>
      </c>
      <c r="E113" s="328" t="str">
        <f t="shared" si="9"/>
        <v/>
      </c>
      <c r="F113" s="339" t="str">
        <f t="shared" si="7"/>
        <v/>
      </c>
      <c r="G113" s="328" t="str">
        <f t="shared" si="10"/>
        <v/>
      </c>
      <c r="H113" s="340" t="str">
        <f t="shared" si="11"/>
        <v/>
      </c>
      <c r="I113" s="57"/>
    </row>
    <row r="114" spans="2:9" ht="20.100000000000001" customHeight="1" x14ac:dyDescent="0.3">
      <c r="B114" s="344">
        <v>106</v>
      </c>
      <c r="C114" s="342" t="str">
        <f t="shared" si="8"/>
        <v/>
      </c>
      <c r="D114" s="341" t="str">
        <f t="shared" si="6"/>
        <v/>
      </c>
      <c r="E114" s="328" t="str">
        <f t="shared" si="9"/>
        <v/>
      </c>
      <c r="F114" s="339" t="str">
        <f t="shared" si="7"/>
        <v/>
      </c>
      <c r="G114" s="328" t="str">
        <f t="shared" si="10"/>
        <v/>
      </c>
      <c r="H114" s="340" t="str">
        <f t="shared" si="11"/>
        <v/>
      </c>
      <c r="I114" s="57"/>
    </row>
    <row r="115" spans="2:9" ht="20.100000000000001" customHeight="1" x14ac:dyDescent="0.3">
      <c r="B115" s="344">
        <v>107</v>
      </c>
      <c r="C115" s="342" t="str">
        <f t="shared" si="8"/>
        <v/>
      </c>
      <c r="D115" s="341" t="str">
        <f t="shared" si="6"/>
        <v/>
      </c>
      <c r="E115" s="328" t="str">
        <f t="shared" si="9"/>
        <v/>
      </c>
      <c r="F115" s="339" t="str">
        <f t="shared" si="7"/>
        <v/>
      </c>
      <c r="G115" s="328" t="str">
        <f t="shared" si="10"/>
        <v/>
      </c>
      <c r="H115" s="340" t="str">
        <f t="shared" si="11"/>
        <v/>
      </c>
      <c r="I115" s="57"/>
    </row>
    <row r="116" spans="2:9" ht="20.100000000000001" customHeight="1" x14ac:dyDescent="0.3">
      <c r="B116" s="344">
        <v>108</v>
      </c>
      <c r="C116" s="342" t="str">
        <f t="shared" si="8"/>
        <v/>
      </c>
      <c r="D116" s="341" t="str">
        <f t="shared" si="6"/>
        <v/>
      </c>
      <c r="E116" s="328" t="str">
        <f t="shared" si="9"/>
        <v/>
      </c>
      <c r="F116" s="339" t="str">
        <f t="shared" si="7"/>
        <v/>
      </c>
      <c r="G116" s="328" t="str">
        <f t="shared" si="10"/>
        <v/>
      </c>
      <c r="H116" s="340" t="str">
        <f t="shared" si="11"/>
        <v/>
      </c>
      <c r="I116" s="57"/>
    </row>
    <row r="117" spans="2:9" ht="20.100000000000001" customHeight="1" x14ac:dyDescent="0.3">
      <c r="B117" s="344">
        <v>109</v>
      </c>
      <c r="C117" s="342" t="str">
        <f t="shared" si="8"/>
        <v/>
      </c>
      <c r="D117" s="341" t="str">
        <f t="shared" si="6"/>
        <v/>
      </c>
      <c r="E117" s="328" t="str">
        <f t="shared" si="9"/>
        <v/>
      </c>
      <c r="F117" s="339" t="str">
        <f t="shared" si="7"/>
        <v/>
      </c>
      <c r="G117" s="328" t="str">
        <f t="shared" si="10"/>
        <v/>
      </c>
      <c r="H117" s="340" t="str">
        <f t="shared" si="11"/>
        <v/>
      </c>
      <c r="I117" s="57"/>
    </row>
    <row r="118" spans="2:9" ht="20.100000000000001" customHeight="1" x14ac:dyDescent="0.3">
      <c r="B118" s="344">
        <v>110</v>
      </c>
      <c r="C118" s="342" t="str">
        <f t="shared" si="8"/>
        <v/>
      </c>
      <c r="D118" s="341" t="str">
        <f t="shared" si="6"/>
        <v/>
      </c>
      <c r="E118" s="328" t="str">
        <f t="shared" si="9"/>
        <v/>
      </c>
      <c r="F118" s="339" t="str">
        <f t="shared" si="7"/>
        <v/>
      </c>
      <c r="G118" s="328" t="str">
        <f t="shared" si="10"/>
        <v/>
      </c>
      <c r="H118" s="340" t="str">
        <f t="shared" si="11"/>
        <v/>
      </c>
      <c r="I118" s="57"/>
    </row>
    <row r="119" spans="2:9" ht="20.100000000000001" customHeight="1" x14ac:dyDescent="0.3">
      <c r="B119" s="344">
        <v>111</v>
      </c>
      <c r="C119" s="342" t="str">
        <f t="shared" si="8"/>
        <v/>
      </c>
      <c r="D119" s="341" t="str">
        <f t="shared" si="6"/>
        <v/>
      </c>
      <c r="E119" s="328" t="str">
        <f t="shared" si="9"/>
        <v/>
      </c>
      <c r="F119" s="339" t="str">
        <f t="shared" si="7"/>
        <v/>
      </c>
      <c r="G119" s="328" t="str">
        <f t="shared" si="10"/>
        <v/>
      </c>
      <c r="H119" s="340" t="str">
        <f t="shared" si="11"/>
        <v/>
      </c>
      <c r="I119" s="57"/>
    </row>
    <row r="120" spans="2:9" ht="20.100000000000001" customHeight="1" x14ac:dyDescent="0.3">
      <c r="B120" s="344">
        <v>112</v>
      </c>
      <c r="C120" s="342" t="str">
        <f t="shared" si="8"/>
        <v/>
      </c>
      <c r="D120" s="341" t="str">
        <f t="shared" si="6"/>
        <v/>
      </c>
      <c r="E120" s="328" t="str">
        <f t="shared" si="9"/>
        <v/>
      </c>
      <c r="F120" s="339" t="str">
        <f t="shared" si="7"/>
        <v/>
      </c>
      <c r="G120" s="328" t="str">
        <f t="shared" si="10"/>
        <v/>
      </c>
      <c r="H120" s="340" t="str">
        <f t="shared" si="11"/>
        <v/>
      </c>
      <c r="I120" s="57"/>
    </row>
    <row r="121" spans="2:9" ht="20.100000000000001" customHeight="1" x14ac:dyDescent="0.3">
      <c r="B121" s="344">
        <v>113</v>
      </c>
      <c r="C121" s="342" t="str">
        <f t="shared" si="8"/>
        <v/>
      </c>
      <c r="D121" s="341" t="str">
        <f t="shared" si="6"/>
        <v/>
      </c>
      <c r="E121" s="328" t="str">
        <f t="shared" si="9"/>
        <v/>
      </c>
      <c r="F121" s="339" t="str">
        <f t="shared" si="7"/>
        <v/>
      </c>
      <c r="G121" s="328" t="str">
        <f t="shared" si="10"/>
        <v/>
      </c>
      <c r="H121" s="340" t="str">
        <f t="shared" si="11"/>
        <v/>
      </c>
      <c r="I121" s="57"/>
    </row>
    <row r="122" spans="2:9" ht="20.100000000000001" customHeight="1" x14ac:dyDescent="0.3">
      <c r="B122" s="344">
        <v>114</v>
      </c>
      <c r="C122" s="342" t="str">
        <f t="shared" si="8"/>
        <v/>
      </c>
      <c r="D122" s="341" t="str">
        <f t="shared" si="6"/>
        <v/>
      </c>
      <c r="E122" s="328" t="str">
        <f t="shared" si="9"/>
        <v/>
      </c>
      <c r="F122" s="339" t="str">
        <f t="shared" si="7"/>
        <v/>
      </c>
      <c r="G122" s="328" t="str">
        <f t="shared" si="10"/>
        <v/>
      </c>
      <c r="H122" s="340" t="str">
        <f t="shared" si="11"/>
        <v/>
      </c>
      <c r="I122" s="57"/>
    </row>
    <row r="123" spans="2:9" ht="20.100000000000001" customHeight="1" x14ac:dyDescent="0.3">
      <c r="B123" s="344">
        <v>115</v>
      </c>
      <c r="C123" s="342" t="str">
        <f t="shared" si="8"/>
        <v/>
      </c>
      <c r="D123" s="341" t="str">
        <f t="shared" si="6"/>
        <v/>
      </c>
      <c r="E123" s="328" t="str">
        <f t="shared" si="9"/>
        <v/>
      </c>
      <c r="F123" s="339" t="str">
        <f t="shared" si="7"/>
        <v/>
      </c>
      <c r="G123" s="328" t="str">
        <f t="shared" si="10"/>
        <v/>
      </c>
      <c r="H123" s="340" t="str">
        <f t="shared" si="11"/>
        <v/>
      </c>
      <c r="I123" s="57"/>
    </row>
    <row r="124" spans="2:9" ht="20.100000000000001" customHeight="1" x14ac:dyDescent="0.3">
      <c r="B124" s="344">
        <v>116</v>
      </c>
      <c r="C124" s="342" t="str">
        <f t="shared" si="8"/>
        <v/>
      </c>
      <c r="D124" s="341" t="str">
        <f t="shared" si="6"/>
        <v/>
      </c>
      <c r="E124" s="328" t="str">
        <f t="shared" si="9"/>
        <v/>
      </c>
      <c r="F124" s="339" t="str">
        <f t="shared" si="7"/>
        <v/>
      </c>
      <c r="G124" s="328" t="str">
        <f t="shared" si="10"/>
        <v/>
      </c>
      <c r="H124" s="340" t="str">
        <f t="shared" si="11"/>
        <v/>
      </c>
      <c r="I124" s="57"/>
    </row>
    <row r="125" spans="2:9" ht="20.100000000000001" customHeight="1" x14ac:dyDescent="0.3">
      <c r="B125" s="344">
        <v>117</v>
      </c>
      <c r="C125" s="342" t="str">
        <f t="shared" si="8"/>
        <v/>
      </c>
      <c r="D125" s="341" t="str">
        <f t="shared" si="6"/>
        <v/>
      </c>
      <c r="E125" s="328" t="str">
        <f t="shared" si="9"/>
        <v/>
      </c>
      <c r="F125" s="339" t="str">
        <f t="shared" si="7"/>
        <v/>
      </c>
      <c r="G125" s="328" t="str">
        <f t="shared" si="10"/>
        <v/>
      </c>
      <c r="H125" s="340" t="str">
        <f t="shared" si="11"/>
        <v/>
      </c>
      <c r="I125" s="57"/>
    </row>
    <row r="126" spans="2:9" ht="20.100000000000001" customHeight="1" x14ac:dyDescent="0.3">
      <c r="B126" s="344">
        <v>118</v>
      </c>
      <c r="C126" s="342" t="str">
        <f t="shared" si="8"/>
        <v/>
      </c>
      <c r="D126" s="341" t="str">
        <f t="shared" si="6"/>
        <v/>
      </c>
      <c r="E126" s="328" t="str">
        <f t="shared" si="9"/>
        <v/>
      </c>
      <c r="F126" s="339" t="str">
        <f t="shared" si="7"/>
        <v/>
      </c>
      <c r="G126" s="328" t="str">
        <f t="shared" si="10"/>
        <v/>
      </c>
      <c r="H126" s="340" t="str">
        <f t="shared" si="11"/>
        <v/>
      </c>
      <c r="I126" s="57"/>
    </row>
    <row r="127" spans="2:9" ht="20.100000000000001" customHeight="1" x14ac:dyDescent="0.3">
      <c r="B127" s="344">
        <v>119</v>
      </c>
      <c r="C127" s="342" t="str">
        <f t="shared" si="8"/>
        <v/>
      </c>
      <c r="D127" s="341" t="str">
        <f t="shared" si="6"/>
        <v/>
      </c>
      <c r="E127" s="328" t="str">
        <f t="shared" si="9"/>
        <v/>
      </c>
      <c r="F127" s="339" t="str">
        <f t="shared" si="7"/>
        <v/>
      </c>
      <c r="G127" s="328" t="str">
        <f t="shared" si="10"/>
        <v/>
      </c>
      <c r="H127" s="340" t="str">
        <f t="shared" si="11"/>
        <v/>
      </c>
      <c r="I127" s="57"/>
    </row>
    <row r="128" spans="2:9" ht="20.100000000000001" customHeight="1" x14ac:dyDescent="0.3">
      <c r="B128" s="344">
        <v>120</v>
      </c>
      <c r="C128" s="342" t="str">
        <f t="shared" si="8"/>
        <v/>
      </c>
      <c r="D128" s="341" t="str">
        <f t="shared" si="6"/>
        <v/>
      </c>
      <c r="E128" s="328" t="str">
        <f t="shared" si="9"/>
        <v/>
      </c>
      <c r="F128" s="339" t="str">
        <f t="shared" si="7"/>
        <v/>
      </c>
      <c r="G128" s="328" t="str">
        <f t="shared" si="10"/>
        <v/>
      </c>
      <c r="H128" s="340" t="str">
        <f t="shared" si="11"/>
        <v/>
      </c>
      <c r="I128" s="57"/>
    </row>
    <row r="129" spans="2:9" ht="20.100000000000001" customHeight="1" x14ac:dyDescent="0.3">
      <c r="B129" s="344">
        <v>121</v>
      </c>
      <c r="C129" s="342" t="str">
        <f t="shared" si="8"/>
        <v/>
      </c>
      <c r="D129" s="341" t="str">
        <f t="shared" si="6"/>
        <v/>
      </c>
      <c r="E129" s="328" t="str">
        <f t="shared" si="9"/>
        <v/>
      </c>
      <c r="F129" s="339" t="str">
        <f t="shared" si="7"/>
        <v/>
      </c>
      <c r="G129" s="328" t="str">
        <f t="shared" si="10"/>
        <v/>
      </c>
      <c r="H129" s="340" t="str">
        <f t="shared" si="11"/>
        <v/>
      </c>
      <c r="I129" s="57"/>
    </row>
    <row r="130" spans="2:9" ht="20.100000000000001" customHeight="1" x14ac:dyDescent="0.3">
      <c r="B130" s="344">
        <v>122</v>
      </c>
      <c r="C130" s="342" t="str">
        <f t="shared" si="8"/>
        <v/>
      </c>
      <c r="D130" s="341" t="str">
        <f t="shared" si="6"/>
        <v/>
      </c>
      <c r="E130" s="328" t="str">
        <f t="shared" si="9"/>
        <v/>
      </c>
      <c r="F130" s="339" t="str">
        <f t="shared" si="7"/>
        <v/>
      </c>
      <c r="G130" s="328" t="str">
        <f t="shared" si="10"/>
        <v/>
      </c>
      <c r="H130" s="340" t="str">
        <f t="shared" si="11"/>
        <v/>
      </c>
      <c r="I130" s="57"/>
    </row>
    <row r="131" spans="2:9" ht="20.100000000000001" customHeight="1" x14ac:dyDescent="0.3">
      <c r="B131" s="344">
        <v>123</v>
      </c>
      <c r="C131" s="342" t="str">
        <f t="shared" si="8"/>
        <v/>
      </c>
      <c r="D131" s="341" t="str">
        <f t="shared" si="6"/>
        <v/>
      </c>
      <c r="E131" s="328" t="str">
        <f t="shared" si="9"/>
        <v/>
      </c>
      <c r="F131" s="339" t="str">
        <f t="shared" si="7"/>
        <v/>
      </c>
      <c r="G131" s="328" t="str">
        <f t="shared" si="10"/>
        <v/>
      </c>
      <c r="H131" s="340" t="str">
        <f t="shared" si="11"/>
        <v/>
      </c>
      <c r="I131" s="57"/>
    </row>
    <row r="132" spans="2:9" ht="20.100000000000001" customHeight="1" x14ac:dyDescent="0.3">
      <c r="B132" s="344">
        <v>124</v>
      </c>
      <c r="C132" s="342" t="str">
        <f t="shared" si="8"/>
        <v/>
      </c>
      <c r="D132" s="341" t="str">
        <f t="shared" si="6"/>
        <v/>
      </c>
      <c r="E132" s="328" t="str">
        <f t="shared" si="9"/>
        <v/>
      </c>
      <c r="F132" s="339" t="str">
        <f t="shared" si="7"/>
        <v/>
      </c>
      <c r="G132" s="328" t="str">
        <f t="shared" si="10"/>
        <v/>
      </c>
      <c r="H132" s="340" t="str">
        <f t="shared" si="11"/>
        <v/>
      </c>
      <c r="I132" s="57"/>
    </row>
    <row r="133" spans="2:9" ht="20.100000000000001" customHeight="1" x14ac:dyDescent="0.3">
      <c r="B133" s="344">
        <v>125</v>
      </c>
      <c r="C133" s="342" t="str">
        <f t="shared" si="8"/>
        <v/>
      </c>
      <c r="D133" s="341" t="str">
        <f t="shared" si="6"/>
        <v/>
      </c>
      <c r="E133" s="328" t="str">
        <f t="shared" si="9"/>
        <v/>
      </c>
      <c r="F133" s="339" t="str">
        <f t="shared" si="7"/>
        <v/>
      </c>
      <c r="G133" s="328" t="str">
        <f t="shared" si="10"/>
        <v/>
      </c>
      <c r="H133" s="340" t="str">
        <f t="shared" si="11"/>
        <v/>
      </c>
      <c r="I133" s="57"/>
    </row>
    <row r="134" spans="2:9" ht="20.100000000000001" customHeight="1" x14ac:dyDescent="0.3">
      <c r="B134" s="344">
        <v>126</v>
      </c>
      <c r="C134" s="342" t="str">
        <f t="shared" si="8"/>
        <v/>
      </c>
      <c r="D134" s="341" t="str">
        <f t="shared" si="6"/>
        <v/>
      </c>
      <c r="E134" s="328" t="str">
        <f t="shared" si="9"/>
        <v/>
      </c>
      <c r="F134" s="339" t="str">
        <f t="shared" si="7"/>
        <v/>
      </c>
      <c r="G134" s="328" t="str">
        <f t="shared" si="10"/>
        <v/>
      </c>
      <c r="H134" s="340" t="str">
        <f t="shared" si="11"/>
        <v/>
      </c>
      <c r="I134" s="57"/>
    </row>
    <row r="135" spans="2:9" ht="20.100000000000001" customHeight="1" x14ac:dyDescent="0.3">
      <c r="B135" s="344">
        <v>127</v>
      </c>
      <c r="C135" s="342" t="str">
        <f t="shared" si="8"/>
        <v/>
      </c>
      <c r="D135" s="341" t="str">
        <f t="shared" si="6"/>
        <v/>
      </c>
      <c r="E135" s="328" t="str">
        <f t="shared" si="9"/>
        <v/>
      </c>
      <c r="F135" s="339" t="str">
        <f t="shared" si="7"/>
        <v/>
      </c>
      <c r="G135" s="328" t="str">
        <f t="shared" si="10"/>
        <v/>
      </c>
      <c r="H135" s="340" t="str">
        <f t="shared" si="11"/>
        <v/>
      </c>
      <c r="I135" s="57"/>
    </row>
    <row r="136" spans="2:9" ht="20.100000000000001" customHeight="1" x14ac:dyDescent="0.3">
      <c r="B136" s="344">
        <v>128</v>
      </c>
      <c r="C136" s="342" t="str">
        <f t="shared" si="8"/>
        <v/>
      </c>
      <c r="D136" s="341" t="str">
        <f t="shared" si="6"/>
        <v/>
      </c>
      <c r="E136" s="328" t="str">
        <f t="shared" si="9"/>
        <v/>
      </c>
      <c r="F136" s="339" t="str">
        <f t="shared" si="7"/>
        <v/>
      </c>
      <c r="G136" s="328" t="str">
        <f t="shared" si="10"/>
        <v/>
      </c>
      <c r="H136" s="340" t="str">
        <f t="shared" si="11"/>
        <v/>
      </c>
      <c r="I136" s="57"/>
    </row>
    <row r="137" spans="2:9" ht="20.100000000000001" customHeight="1" x14ac:dyDescent="0.3">
      <c r="B137" s="344">
        <v>129</v>
      </c>
      <c r="C137" s="342" t="str">
        <f t="shared" si="8"/>
        <v/>
      </c>
      <c r="D137" s="341" t="str">
        <f t="shared" si="6"/>
        <v/>
      </c>
      <c r="E137" s="328" t="str">
        <f t="shared" si="9"/>
        <v/>
      </c>
      <c r="F137" s="339" t="str">
        <f t="shared" si="7"/>
        <v/>
      </c>
      <c r="G137" s="328" t="str">
        <f t="shared" si="10"/>
        <v/>
      </c>
      <c r="H137" s="340" t="str">
        <f t="shared" si="11"/>
        <v/>
      </c>
      <c r="I137" s="57"/>
    </row>
    <row r="138" spans="2:9" ht="20.100000000000001" customHeight="1" x14ac:dyDescent="0.3">
      <c r="B138" s="344">
        <v>130</v>
      </c>
      <c r="C138" s="342" t="str">
        <f t="shared" si="8"/>
        <v/>
      </c>
      <c r="D138" s="341" t="str">
        <f t="shared" ref="D138:D201" si="12">IF($H$4="","",IF($F$4="원리금균등상환",IFERROR(IF(B138&lt;=$D$6,0,-PPMT($E$4/12,B138-$D$6,($B$6-$D$6),$D$4)),""),IF($F$4="원금균등상환",IF(B138&lt;($D$6+1),0,IF(B138&gt;$B$6,0,$D$4/($B$6-$D$6))),"")))</f>
        <v/>
      </c>
      <c r="E138" s="328" t="str">
        <f t="shared" si="9"/>
        <v/>
      </c>
      <c r="F138" s="339" t="str">
        <f t="shared" ref="F138:F201" si="13">IF($H$4="","",IF($F$4="원리금균등상환",IFERROR(D138+E138,""),IF($F$4="원금균등상환",D138+E138,"")))</f>
        <v/>
      </c>
      <c r="G138" s="328" t="str">
        <f t="shared" si="10"/>
        <v/>
      </c>
      <c r="H138" s="340" t="str">
        <f t="shared" si="11"/>
        <v/>
      </c>
      <c r="I138" s="57"/>
    </row>
    <row r="139" spans="2:9" ht="20.100000000000001" customHeight="1" x14ac:dyDescent="0.3">
      <c r="B139" s="344">
        <v>131</v>
      </c>
      <c r="C139" s="342" t="str">
        <f t="shared" ref="C139:C202" si="14">IF($H$4="","",IF(B139&gt;($B$6),"",IF(B139&lt;=($B$6),DATE(YEAR($G$4),MONTH($G$4)+B138,DAY($G$4)),"")))</f>
        <v/>
      </c>
      <c r="D139" s="341" t="str">
        <f t="shared" si="12"/>
        <v/>
      </c>
      <c r="E139" s="328" t="str">
        <f t="shared" ref="E139:E202" si="15">IF($H$4="","",IF($F$4="원리금균등상환",IFERROR(IF(B139&lt;=$D$6,$H138*($E$4/12),-IPMT($E$4/12,B139-$D$6,($B$6-$D$6),$D$4)),""),IF($F$4="원금균등상환",(H138-D139)*$E$4/12,"")))</f>
        <v/>
      </c>
      <c r="F139" s="339" t="str">
        <f t="shared" si="13"/>
        <v/>
      </c>
      <c r="G139" s="328" t="str">
        <f t="shared" ref="G139:G202" si="16">IFERROR(IF(B139&gt;(($D$6+$B$6)*12),"",IF(B139=1,D139,D139+G138)),"")</f>
        <v/>
      </c>
      <c r="H139" s="340" t="str">
        <f t="shared" ref="H139:H202" si="17">IFERROR(IF($H$4="","",H138-D139),"")</f>
        <v/>
      </c>
      <c r="I139" s="57"/>
    </row>
    <row r="140" spans="2:9" ht="20.100000000000001" customHeight="1" x14ac:dyDescent="0.3">
      <c r="B140" s="344">
        <v>132</v>
      </c>
      <c r="C140" s="342" t="str">
        <f t="shared" si="14"/>
        <v/>
      </c>
      <c r="D140" s="341" t="str">
        <f t="shared" si="12"/>
        <v/>
      </c>
      <c r="E140" s="328" t="str">
        <f t="shared" si="15"/>
        <v/>
      </c>
      <c r="F140" s="339" t="str">
        <f t="shared" si="13"/>
        <v/>
      </c>
      <c r="G140" s="328" t="str">
        <f t="shared" si="16"/>
        <v/>
      </c>
      <c r="H140" s="340" t="str">
        <f t="shared" si="17"/>
        <v/>
      </c>
      <c r="I140" s="57"/>
    </row>
    <row r="141" spans="2:9" ht="20.100000000000001" customHeight="1" x14ac:dyDescent="0.3">
      <c r="B141" s="344">
        <v>133</v>
      </c>
      <c r="C141" s="342" t="str">
        <f t="shared" si="14"/>
        <v/>
      </c>
      <c r="D141" s="341" t="str">
        <f t="shared" si="12"/>
        <v/>
      </c>
      <c r="E141" s="328" t="str">
        <f t="shared" si="15"/>
        <v/>
      </c>
      <c r="F141" s="339" t="str">
        <f t="shared" si="13"/>
        <v/>
      </c>
      <c r="G141" s="328" t="str">
        <f t="shared" si="16"/>
        <v/>
      </c>
      <c r="H141" s="340" t="str">
        <f t="shared" si="17"/>
        <v/>
      </c>
      <c r="I141" s="57"/>
    </row>
    <row r="142" spans="2:9" ht="20.100000000000001" customHeight="1" x14ac:dyDescent="0.3">
      <c r="B142" s="344">
        <v>134</v>
      </c>
      <c r="C142" s="342" t="str">
        <f t="shared" si="14"/>
        <v/>
      </c>
      <c r="D142" s="341" t="str">
        <f t="shared" si="12"/>
        <v/>
      </c>
      <c r="E142" s="328" t="str">
        <f t="shared" si="15"/>
        <v/>
      </c>
      <c r="F142" s="339" t="str">
        <f t="shared" si="13"/>
        <v/>
      </c>
      <c r="G142" s="328" t="str">
        <f t="shared" si="16"/>
        <v/>
      </c>
      <c r="H142" s="340" t="str">
        <f t="shared" si="17"/>
        <v/>
      </c>
      <c r="I142" s="57"/>
    </row>
    <row r="143" spans="2:9" ht="20.100000000000001" customHeight="1" x14ac:dyDescent="0.3">
      <c r="B143" s="344">
        <v>135</v>
      </c>
      <c r="C143" s="342" t="str">
        <f t="shared" si="14"/>
        <v/>
      </c>
      <c r="D143" s="341" t="str">
        <f t="shared" si="12"/>
        <v/>
      </c>
      <c r="E143" s="328" t="str">
        <f t="shared" si="15"/>
        <v/>
      </c>
      <c r="F143" s="339" t="str">
        <f t="shared" si="13"/>
        <v/>
      </c>
      <c r="G143" s="328" t="str">
        <f t="shared" si="16"/>
        <v/>
      </c>
      <c r="H143" s="340" t="str">
        <f t="shared" si="17"/>
        <v/>
      </c>
      <c r="I143" s="57"/>
    </row>
    <row r="144" spans="2:9" ht="20.100000000000001" customHeight="1" x14ac:dyDescent="0.3">
      <c r="B144" s="344">
        <v>136</v>
      </c>
      <c r="C144" s="342" t="str">
        <f t="shared" si="14"/>
        <v/>
      </c>
      <c r="D144" s="341" t="str">
        <f t="shared" si="12"/>
        <v/>
      </c>
      <c r="E144" s="328" t="str">
        <f t="shared" si="15"/>
        <v/>
      </c>
      <c r="F144" s="339" t="str">
        <f t="shared" si="13"/>
        <v/>
      </c>
      <c r="G144" s="328" t="str">
        <f t="shared" si="16"/>
        <v/>
      </c>
      <c r="H144" s="340" t="str">
        <f t="shared" si="17"/>
        <v/>
      </c>
      <c r="I144" s="57"/>
    </row>
    <row r="145" spans="2:9" ht="20.100000000000001" customHeight="1" x14ac:dyDescent="0.3">
      <c r="B145" s="344">
        <v>137</v>
      </c>
      <c r="C145" s="342" t="str">
        <f t="shared" si="14"/>
        <v/>
      </c>
      <c r="D145" s="341" t="str">
        <f t="shared" si="12"/>
        <v/>
      </c>
      <c r="E145" s="328" t="str">
        <f t="shared" si="15"/>
        <v/>
      </c>
      <c r="F145" s="339" t="str">
        <f t="shared" si="13"/>
        <v/>
      </c>
      <c r="G145" s="328" t="str">
        <f t="shared" si="16"/>
        <v/>
      </c>
      <c r="H145" s="340" t="str">
        <f t="shared" si="17"/>
        <v/>
      </c>
      <c r="I145" s="57"/>
    </row>
    <row r="146" spans="2:9" ht="20.100000000000001" customHeight="1" x14ac:dyDescent="0.3">
      <c r="B146" s="344">
        <v>138</v>
      </c>
      <c r="C146" s="342" t="str">
        <f t="shared" si="14"/>
        <v/>
      </c>
      <c r="D146" s="341" t="str">
        <f t="shared" si="12"/>
        <v/>
      </c>
      <c r="E146" s="328" t="str">
        <f t="shared" si="15"/>
        <v/>
      </c>
      <c r="F146" s="339" t="str">
        <f t="shared" si="13"/>
        <v/>
      </c>
      <c r="G146" s="328" t="str">
        <f t="shared" si="16"/>
        <v/>
      </c>
      <c r="H146" s="340" t="str">
        <f t="shared" si="17"/>
        <v/>
      </c>
      <c r="I146" s="57"/>
    </row>
    <row r="147" spans="2:9" ht="20.100000000000001" customHeight="1" x14ac:dyDescent="0.3">
      <c r="B147" s="344">
        <v>139</v>
      </c>
      <c r="C147" s="342" t="str">
        <f t="shared" si="14"/>
        <v/>
      </c>
      <c r="D147" s="341" t="str">
        <f t="shared" si="12"/>
        <v/>
      </c>
      <c r="E147" s="328" t="str">
        <f t="shared" si="15"/>
        <v/>
      </c>
      <c r="F147" s="339" t="str">
        <f t="shared" si="13"/>
        <v/>
      </c>
      <c r="G147" s="328" t="str">
        <f t="shared" si="16"/>
        <v/>
      </c>
      <c r="H147" s="340" t="str">
        <f t="shared" si="17"/>
        <v/>
      </c>
      <c r="I147" s="57"/>
    </row>
    <row r="148" spans="2:9" ht="20.100000000000001" customHeight="1" x14ac:dyDescent="0.3">
      <c r="B148" s="344">
        <v>140</v>
      </c>
      <c r="C148" s="342" t="str">
        <f t="shared" si="14"/>
        <v/>
      </c>
      <c r="D148" s="341" t="str">
        <f t="shared" si="12"/>
        <v/>
      </c>
      <c r="E148" s="328" t="str">
        <f t="shared" si="15"/>
        <v/>
      </c>
      <c r="F148" s="339" t="str">
        <f t="shared" si="13"/>
        <v/>
      </c>
      <c r="G148" s="328" t="str">
        <f t="shared" si="16"/>
        <v/>
      </c>
      <c r="H148" s="340" t="str">
        <f t="shared" si="17"/>
        <v/>
      </c>
      <c r="I148" s="57"/>
    </row>
    <row r="149" spans="2:9" ht="20.100000000000001" customHeight="1" x14ac:dyDescent="0.3">
      <c r="B149" s="344">
        <v>141</v>
      </c>
      <c r="C149" s="342" t="str">
        <f t="shared" si="14"/>
        <v/>
      </c>
      <c r="D149" s="341" t="str">
        <f t="shared" si="12"/>
        <v/>
      </c>
      <c r="E149" s="328" t="str">
        <f t="shared" si="15"/>
        <v/>
      </c>
      <c r="F149" s="339" t="str">
        <f t="shared" si="13"/>
        <v/>
      </c>
      <c r="G149" s="328" t="str">
        <f t="shared" si="16"/>
        <v/>
      </c>
      <c r="H149" s="340" t="str">
        <f t="shared" si="17"/>
        <v/>
      </c>
      <c r="I149" s="57"/>
    </row>
    <row r="150" spans="2:9" ht="20.100000000000001" customHeight="1" x14ac:dyDescent="0.3">
      <c r="B150" s="344">
        <v>142</v>
      </c>
      <c r="C150" s="342" t="str">
        <f t="shared" si="14"/>
        <v/>
      </c>
      <c r="D150" s="341" t="str">
        <f t="shared" si="12"/>
        <v/>
      </c>
      <c r="E150" s="328" t="str">
        <f t="shared" si="15"/>
        <v/>
      </c>
      <c r="F150" s="339" t="str">
        <f t="shared" si="13"/>
        <v/>
      </c>
      <c r="G150" s="328" t="str">
        <f t="shared" si="16"/>
        <v/>
      </c>
      <c r="H150" s="340" t="str">
        <f t="shared" si="17"/>
        <v/>
      </c>
      <c r="I150" s="57"/>
    </row>
    <row r="151" spans="2:9" ht="20.100000000000001" customHeight="1" x14ac:dyDescent="0.3">
      <c r="B151" s="344">
        <v>143</v>
      </c>
      <c r="C151" s="342" t="str">
        <f t="shared" si="14"/>
        <v/>
      </c>
      <c r="D151" s="341" t="str">
        <f t="shared" si="12"/>
        <v/>
      </c>
      <c r="E151" s="328" t="str">
        <f t="shared" si="15"/>
        <v/>
      </c>
      <c r="F151" s="339" t="str">
        <f t="shared" si="13"/>
        <v/>
      </c>
      <c r="G151" s="328" t="str">
        <f t="shared" si="16"/>
        <v/>
      </c>
      <c r="H151" s="340" t="str">
        <f t="shared" si="17"/>
        <v/>
      </c>
      <c r="I151" s="57"/>
    </row>
    <row r="152" spans="2:9" ht="20.100000000000001" customHeight="1" x14ac:dyDescent="0.3">
      <c r="B152" s="344">
        <v>144</v>
      </c>
      <c r="C152" s="342" t="str">
        <f t="shared" si="14"/>
        <v/>
      </c>
      <c r="D152" s="341" t="str">
        <f t="shared" si="12"/>
        <v/>
      </c>
      <c r="E152" s="328" t="str">
        <f t="shared" si="15"/>
        <v/>
      </c>
      <c r="F152" s="339" t="str">
        <f t="shared" si="13"/>
        <v/>
      </c>
      <c r="G152" s="328" t="str">
        <f t="shared" si="16"/>
        <v/>
      </c>
      <c r="H152" s="340" t="str">
        <f t="shared" si="17"/>
        <v/>
      </c>
      <c r="I152" s="57"/>
    </row>
    <row r="153" spans="2:9" ht="20.100000000000001" customHeight="1" x14ac:dyDescent="0.3">
      <c r="B153" s="344">
        <v>145</v>
      </c>
      <c r="C153" s="342" t="str">
        <f t="shared" si="14"/>
        <v/>
      </c>
      <c r="D153" s="341" t="str">
        <f t="shared" si="12"/>
        <v/>
      </c>
      <c r="E153" s="328" t="str">
        <f t="shared" si="15"/>
        <v/>
      </c>
      <c r="F153" s="339" t="str">
        <f t="shared" si="13"/>
        <v/>
      </c>
      <c r="G153" s="328" t="str">
        <f t="shared" si="16"/>
        <v/>
      </c>
      <c r="H153" s="340" t="str">
        <f t="shared" si="17"/>
        <v/>
      </c>
      <c r="I153" s="57"/>
    </row>
    <row r="154" spans="2:9" ht="20.100000000000001" customHeight="1" x14ac:dyDescent="0.3">
      <c r="B154" s="344">
        <v>146</v>
      </c>
      <c r="C154" s="342" t="str">
        <f t="shared" si="14"/>
        <v/>
      </c>
      <c r="D154" s="341" t="str">
        <f t="shared" si="12"/>
        <v/>
      </c>
      <c r="E154" s="328" t="str">
        <f t="shared" si="15"/>
        <v/>
      </c>
      <c r="F154" s="339" t="str">
        <f t="shared" si="13"/>
        <v/>
      </c>
      <c r="G154" s="328" t="str">
        <f t="shared" si="16"/>
        <v/>
      </c>
      <c r="H154" s="340" t="str">
        <f t="shared" si="17"/>
        <v/>
      </c>
      <c r="I154" s="57"/>
    </row>
    <row r="155" spans="2:9" ht="20.100000000000001" customHeight="1" x14ac:dyDescent="0.3">
      <c r="B155" s="344">
        <v>147</v>
      </c>
      <c r="C155" s="342" t="str">
        <f t="shared" si="14"/>
        <v/>
      </c>
      <c r="D155" s="341" t="str">
        <f t="shared" si="12"/>
        <v/>
      </c>
      <c r="E155" s="328" t="str">
        <f t="shared" si="15"/>
        <v/>
      </c>
      <c r="F155" s="339" t="str">
        <f t="shared" si="13"/>
        <v/>
      </c>
      <c r="G155" s="328" t="str">
        <f t="shared" si="16"/>
        <v/>
      </c>
      <c r="H155" s="340" t="str">
        <f t="shared" si="17"/>
        <v/>
      </c>
      <c r="I155" s="57"/>
    </row>
    <row r="156" spans="2:9" ht="20.100000000000001" customHeight="1" x14ac:dyDescent="0.3">
      <c r="B156" s="344">
        <v>148</v>
      </c>
      <c r="C156" s="342" t="str">
        <f t="shared" si="14"/>
        <v/>
      </c>
      <c r="D156" s="341" t="str">
        <f t="shared" si="12"/>
        <v/>
      </c>
      <c r="E156" s="328" t="str">
        <f t="shared" si="15"/>
        <v/>
      </c>
      <c r="F156" s="339" t="str">
        <f t="shared" si="13"/>
        <v/>
      </c>
      <c r="G156" s="328" t="str">
        <f t="shared" si="16"/>
        <v/>
      </c>
      <c r="H156" s="340" t="str">
        <f t="shared" si="17"/>
        <v/>
      </c>
      <c r="I156" s="57"/>
    </row>
    <row r="157" spans="2:9" ht="20.100000000000001" customHeight="1" x14ac:dyDescent="0.3">
      <c r="B157" s="344">
        <v>149</v>
      </c>
      <c r="C157" s="342" t="str">
        <f t="shared" si="14"/>
        <v/>
      </c>
      <c r="D157" s="341" t="str">
        <f t="shared" si="12"/>
        <v/>
      </c>
      <c r="E157" s="328" t="str">
        <f t="shared" si="15"/>
        <v/>
      </c>
      <c r="F157" s="339" t="str">
        <f t="shared" si="13"/>
        <v/>
      </c>
      <c r="G157" s="328" t="str">
        <f t="shared" si="16"/>
        <v/>
      </c>
      <c r="H157" s="340" t="str">
        <f t="shared" si="17"/>
        <v/>
      </c>
      <c r="I157" s="57"/>
    </row>
    <row r="158" spans="2:9" ht="20.100000000000001" customHeight="1" x14ac:dyDescent="0.3">
      <c r="B158" s="344">
        <v>150</v>
      </c>
      <c r="C158" s="342" t="str">
        <f t="shared" si="14"/>
        <v/>
      </c>
      <c r="D158" s="341" t="str">
        <f t="shared" si="12"/>
        <v/>
      </c>
      <c r="E158" s="328" t="str">
        <f t="shared" si="15"/>
        <v/>
      </c>
      <c r="F158" s="339" t="str">
        <f t="shared" si="13"/>
        <v/>
      </c>
      <c r="G158" s="328" t="str">
        <f t="shared" si="16"/>
        <v/>
      </c>
      <c r="H158" s="340" t="str">
        <f t="shared" si="17"/>
        <v/>
      </c>
      <c r="I158" s="57"/>
    </row>
    <row r="159" spans="2:9" ht="20.100000000000001" customHeight="1" x14ac:dyDescent="0.3">
      <c r="B159" s="344">
        <v>151</v>
      </c>
      <c r="C159" s="342" t="str">
        <f t="shared" si="14"/>
        <v/>
      </c>
      <c r="D159" s="341" t="str">
        <f t="shared" si="12"/>
        <v/>
      </c>
      <c r="E159" s="328" t="str">
        <f t="shared" si="15"/>
        <v/>
      </c>
      <c r="F159" s="339" t="str">
        <f t="shared" si="13"/>
        <v/>
      </c>
      <c r="G159" s="328" t="str">
        <f t="shared" si="16"/>
        <v/>
      </c>
      <c r="H159" s="340" t="str">
        <f t="shared" si="17"/>
        <v/>
      </c>
      <c r="I159" s="57"/>
    </row>
    <row r="160" spans="2:9" ht="20.100000000000001" customHeight="1" x14ac:dyDescent="0.3">
      <c r="B160" s="344">
        <v>152</v>
      </c>
      <c r="C160" s="342" t="str">
        <f t="shared" si="14"/>
        <v/>
      </c>
      <c r="D160" s="341" t="str">
        <f t="shared" si="12"/>
        <v/>
      </c>
      <c r="E160" s="328" t="str">
        <f t="shared" si="15"/>
        <v/>
      </c>
      <c r="F160" s="339" t="str">
        <f t="shared" si="13"/>
        <v/>
      </c>
      <c r="G160" s="328" t="str">
        <f t="shared" si="16"/>
        <v/>
      </c>
      <c r="H160" s="340" t="str">
        <f t="shared" si="17"/>
        <v/>
      </c>
      <c r="I160" s="57"/>
    </row>
    <row r="161" spans="2:9" ht="20.100000000000001" customHeight="1" x14ac:dyDescent="0.3">
      <c r="B161" s="344">
        <v>153</v>
      </c>
      <c r="C161" s="342" t="str">
        <f t="shared" si="14"/>
        <v/>
      </c>
      <c r="D161" s="341" t="str">
        <f t="shared" si="12"/>
        <v/>
      </c>
      <c r="E161" s="328" t="str">
        <f t="shared" si="15"/>
        <v/>
      </c>
      <c r="F161" s="339" t="str">
        <f t="shared" si="13"/>
        <v/>
      </c>
      <c r="G161" s="328" t="str">
        <f t="shared" si="16"/>
        <v/>
      </c>
      <c r="H161" s="340" t="str">
        <f t="shared" si="17"/>
        <v/>
      </c>
      <c r="I161" s="57"/>
    </row>
    <row r="162" spans="2:9" ht="20.100000000000001" customHeight="1" x14ac:dyDescent="0.3">
      <c r="B162" s="344">
        <v>154</v>
      </c>
      <c r="C162" s="342" t="str">
        <f t="shared" si="14"/>
        <v/>
      </c>
      <c r="D162" s="341" t="str">
        <f t="shared" si="12"/>
        <v/>
      </c>
      <c r="E162" s="328" t="str">
        <f t="shared" si="15"/>
        <v/>
      </c>
      <c r="F162" s="339" t="str">
        <f t="shared" si="13"/>
        <v/>
      </c>
      <c r="G162" s="328" t="str">
        <f t="shared" si="16"/>
        <v/>
      </c>
      <c r="H162" s="340" t="str">
        <f t="shared" si="17"/>
        <v/>
      </c>
      <c r="I162" s="57"/>
    </row>
    <row r="163" spans="2:9" ht="20.100000000000001" customHeight="1" x14ac:dyDescent="0.3">
      <c r="B163" s="344">
        <v>155</v>
      </c>
      <c r="C163" s="342" t="str">
        <f t="shared" si="14"/>
        <v/>
      </c>
      <c r="D163" s="341" t="str">
        <f t="shared" si="12"/>
        <v/>
      </c>
      <c r="E163" s="328" t="str">
        <f t="shared" si="15"/>
        <v/>
      </c>
      <c r="F163" s="339" t="str">
        <f t="shared" si="13"/>
        <v/>
      </c>
      <c r="G163" s="328" t="str">
        <f t="shared" si="16"/>
        <v/>
      </c>
      <c r="H163" s="340" t="str">
        <f t="shared" si="17"/>
        <v/>
      </c>
      <c r="I163" s="57"/>
    </row>
    <row r="164" spans="2:9" ht="20.100000000000001" customHeight="1" x14ac:dyDescent="0.3">
      <c r="B164" s="344">
        <v>156</v>
      </c>
      <c r="C164" s="342" t="str">
        <f t="shared" si="14"/>
        <v/>
      </c>
      <c r="D164" s="341" t="str">
        <f t="shared" si="12"/>
        <v/>
      </c>
      <c r="E164" s="328" t="str">
        <f t="shared" si="15"/>
        <v/>
      </c>
      <c r="F164" s="339" t="str">
        <f t="shared" si="13"/>
        <v/>
      </c>
      <c r="G164" s="328" t="str">
        <f t="shared" si="16"/>
        <v/>
      </c>
      <c r="H164" s="340" t="str">
        <f t="shared" si="17"/>
        <v/>
      </c>
      <c r="I164" s="57"/>
    </row>
    <row r="165" spans="2:9" ht="20.100000000000001" customHeight="1" x14ac:dyDescent="0.3">
      <c r="B165" s="344">
        <v>157</v>
      </c>
      <c r="C165" s="342" t="str">
        <f t="shared" si="14"/>
        <v/>
      </c>
      <c r="D165" s="341" t="str">
        <f t="shared" si="12"/>
        <v/>
      </c>
      <c r="E165" s="328" t="str">
        <f t="shared" si="15"/>
        <v/>
      </c>
      <c r="F165" s="339" t="str">
        <f t="shared" si="13"/>
        <v/>
      </c>
      <c r="G165" s="328" t="str">
        <f t="shared" si="16"/>
        <v/>
      </c>
      <c r="H165" s="340" t="str">
        <f t="shared" si="17"/>
        <v/>
      </c>
      <c r="I165" s="57"/>
    </row>
    <row r="166" spans="2:9" ht="20.100000000000001" customHeight="1" x14ac:dyDescent="0.3">
      <c r="B166" s="344">
        <v>158</v>
      </c>
      <c r="C166" s="342" t="str">
        <f t="shared" si="14"/>
        <v/>
      </c>
      <c r="D166" s="341" t="str">
        <f t="shared" si="12"/>
        <v/>
      </c>
      <c r="E166" s="328" t="str">
        <f t="shared" si="15"/>
        <v/>
      </c>
      <c r="F166" s="339" t="str">
        <f t="shared" si="13"/>
        <v/>
      </c>
      <c r="G166" s="328" t="str">
        <f t="shared" si="16"/>
        <v/>
      </c>
      <c r="H166" s="340" t="str">
        <f t="shared" si="17"/>
        <v/>
      </c>
      <c r="I166" s="57"/>
    </row>
    <row r="167" spans="2:9" ht="20.100000000000001" customHeight="1" x14ac:dyDescent="0.3">
      <c r="B167" s="344">
        <v>159</v>
      </c>
      <c r="C167" s="342" t="str">
        <f t="shared" si="14"/>
        <v/>
      </c>
      <c r="D167" s="341" t="str">
        <f t="shared" si="12"/>
        <v/>
      </c>
      <c r="E167" s="328" t="str">
        <f t="shared" si="15"/>
        <v/>
      </c>
      <c r="F167" s="339" t="str">
        <f t="shared" si="13"/>
        <v/>
      </c>
      <c r="G167" s="328" t="str">
        <f t="shared" si="16"/>
        <v/>
      </c>
      <c r="H167" s="340" t="str">
        <f t="shared" si="17"/>
        <v/>
      </c>
      <c r="I167" s="57"/>
    </row>
    <row r="168" spans="2:9" ht="20.100000000000001" customHeight="1" x14ac:dyDescent="0.3">
      <c r="B168" s="344">
        <v>160</v>
      </c>
      <c r="C168" s="342" t="str">
        <f t="shared" si="14"/>
        <v/>
      </c>
      <c r="D168" s="341" t="str">
        <f t="shared" si="12"/>
        <v/>
      </c>
      <c r="E168" s="328" t="str">
        <f t="shared" si="15"/>
        <v/>
      </c>
      <c r="F168" s="339" t="str">
        <f t="shared" si="13"/>
        <v/>
      </c>
      <c r="G168" s="328" t="str">
        <f t="shared" si="16"/>
        <v/>
      </c>
      <c r="H168" s="340" t="str">
        <f t="shared" si="17"/>
        <v/>
      </c>
      <c r="I168" s="57"/>
    </row>
    <row r="169" spans="2:9" ht="20.100000000000001" customHeight="1" x14ac:dyDescent="0.3">
      <c r="B169" s="344">
        <v>161</v>
      </c>
      <c r="C169" s="342" t="str">
        <f t="shared" si="14"/>
        <v/>
      </c>
      <c r="D169" s="341" t="str">
        <f t="shared" si="12"/>
        <v/>
      </c>
      <c r="E169" s="328" t="str">
        <f t="shared" si="15"/>
        <v/>
      </c>
      <c r="F169" s="339" t="str">
        <f t="shared" si="13"/>
        <v/>
      </c>
      <c r="G169" s="328" t="str">
        <f t="shared" si="16"/>
        <v/>
      </c>
      <c r="H169" s="340" t="str">
        <f t="shared" si="17"/>
        <v/>
      </c>
      <c r="I169" s="57"/>
    </row>
    <row r="170" spans="2:9" ht="20.100000000000001" customHeight="1" x14ac:dyDescent="0.3">
      <c r="B170" s="344">
        <v>162</v>
      </c>
      <c r="C170" s="342" t="str">
        <f t="shared" si="14"/>
        <v/>
      </c>
      <c r="D170" s="341" t="str">
        <f t="shared" si="12"/>
        <v/>
      </c>
      <c r="E170" s="328" t="str">
        <f t="shared" si="15"/>
        <v/>
      </c>
      <c r="F170" s="339" t="str">
        <f t="shared" si="13"/>
        <v/>
      </c>
      <c r="G170" s="328" t="str">
        <f t="shared" si="16"/>
        <v/>
      </c>
      <c r="H170" s="340" t="str">
        <f t="shared" si="17"/>
        <v/>
      </c>
      <c r="I170" s="57"/>
    </row>
    <row r="171" spans="2:9" ht="20.100000000000001" customHeight="1" x14ac:dyDescent="0.3">
      <c r="B171" s="344">
        <v>163</v>
      </c>
      <c r="C171" s="342" t="str">
        <f t="shared" si="14"/>
        <v/>
      </c>
      <c r="D171" s="341" t="str">
        <f t="shared" si="12"/>
        <v/>
      </c>
      <c r="E171" s="328" t="str">
        <f t="shared" si="15"/>
        <v/>
      </c>
      <c r="F171" s="339" t="str">
        <f t="shared" si="13"/>
        <v/>
      </c>
      <c r="G171" s="328" t="str">
        <f t="shared" si="16"/>
        <v/>
      </c>
      <c r="H171" s="340" t="str">
        <f t="shared" si="17"/>
        <v/>
      </c>
      <c r="I171" s="57"/>
    </row>
    <row r="172" spans="2:9" ht="20.100000000000001" customHeight="1" x14ac:dyDescent="0.3">
      <c r="B172" s="344">
        <v>164</v>
      </c>
      <c r="C172" s="342" t="str">
        <f t="shared" si="14"/>
        <v/>
      </c>
      <c r="D172" s="341" t="str">
        <f t="shared" si="12"/>
        <v/>
      </c>
      <c r="E172" s="328" t="str">
        <f t="shared" si="15"/>
        <v/>
      </c>
      <c r="F172" s="339" t="str">
        <f t="shared" si="13"/>
        <v/>
      </c>
      <c r="G172" s="328" t="str">
        <f t="shared" si="16"/>
        <v/>
      </c>
      <c r="H172" s="340" t="str">
        <f t="shared" si="17"/>
        <v/>
      </c>
      <c r="I172" s="57"/>
    </row>
    <row r="173" spans="2:9" ht="20.100000000000001" customHeight="1" x14ac:dyDescent="0.3">
      <c r="B173" s="344">
        <v>165</v>
      </c>
      <c r="C173" s="342" t="str">
        <f t="shared" si="14"/>
        <v/>
      </c>
      <c r="D173" s="341" t="str">
        <f t="shared" si="12"/>
        <v/>
      </c>
      <c r="E173" s="328" t="str">
        <f t="shared" si="15"/>
        <v/>
      </c>
      <c r="F173" s="339" t="str">
        <f t="shared" si="13"/>
        <v/>
      </c>
      <c r="G173" s="328" t="str">
        <f t="shared" si="16"/>
        <v/>
      </c>
      <c r="H173" s="340" t="str">
        <f t="shared" si="17"/>
        <v/>
      </c>
      <c r="I173" s="57"/>
    </row>
    <row r="174" spans="2:9" ht="20.100000000000001" customHeight="1" x14ac:dyDescent="0.3">
      <c r="B174" s="344">
        <v>166</v>
      </c>
      <c r="C174" s="342" t="str">
        <f t="shared" si="14"/>
        <v/>
      </c>
      <c r="D174" s="341" t="str">
        <f t="shared" si="12"/>
        <v/>
      </c>
      <c r="E174" s="328" t="str">
        <f t="shared" si="15"/>
        <v/>
      </c>
      <c r="F174" s="339" t="str">
        <f t="shared" si="13"/>
        <v/>
      </c>
      <c r="G174" s="328" t="str">
        <f t="shared" si="16"/>
        <v/>
      </c>
      <c r="H174" s="340" t="str">
        <f t="shared" si="17"/>
        <v/>
      </c>
      <c r="I174" s="57"/>
    </row>
    <row r="175" spans="2:9" ht="20.100000000000001" customHeight="1" x14ac:dyDescent="0.3">
      <c r="B175" s="344">
        <v>167</v>
      </c>
      <c r="C175" s="342" t="str">
        <f t="shared" si="14"/>
        <v/>
      </c>
      <c r="D175" s="341" t="str">
        <f t="shared" si="12"/>
        <v/>
      </c>
      <c r="E175" s="328" t="str">
        <f t="shared" si="15"/>
        <v/>
      </c>
      <c r="F175" s="339" t="str">
        <f t="shared" si="13"/>
        <v/>
      </c>
      <c r="G175" s="328" t="str">
        <f t="shared" si="16"/>
        <v/>
      </c>
      <c r="H175" s="340" t="str">
        <f t="shared" si="17"/>
        <v/>
      </c>
      <c r="I175" s="57"/>
    </row>
    <row r="176" spans="2:9" ht="20.100000000000001" customHeight="1" x14ac:dyDescent="0.3">
      <c r="B176" s="344">
        <v>168</v>
      </c>
      <c r="C176" s="342" t="str">
        <f t="shared" si="14"/>
        <v/>
      </c>
      <c r="D176" s="341" t="str">
        <f t="shared" si="12"/>
        <v/>
      </c>
      <c r="E176" s="328" t="str">
        <f t="shared" si="15"/>
        <v/>
      </c>
      <c r="F176" s="339" t="str">
        <f t="shared" si="13"/>
        <v/>
      </c>
      <c r="G176" s="328" t="str">
        <f t="shared" si="16"/>
        <v/>
      </c>
      <c r="H176" s="340" t="str">
        <f t="shared" si="17"/>
        <v/>
      </c>
      <c r="I176" s="57"/>
    </row>
    <row r="177" spans="2:9" ht="20.100000000000001" customHeight="1" x14ac:dyDescent="0.3">
      <c r="B177" s="344">
        <v>169</v>
      </c>
      <c r="C177" s="342" t="str">
        <f t="shared" si="14"/>
        <v/>
      </c>
      <c r="D177" s="341" t="str">
        <f t="shared" si="12"/>
        <v/>
      </c>
      <c r="E177" s="328" t="str">
        <f t="shared" si="15"/>
        <v/>
      </c>
      <c r="F177" s="339" t="str">
        <f t="shared" si="13"/>
        <v/>
      </c>
      <c r="G177" s="328" t="str">
        <f t="shared" si="16"/>
        <v/>
      </c>
      <c r="H177" s="340" t="str">
        <f t="shared" si="17"/>
        <v/>
      </c>
      <c r="I177" s="57"/>
    </row>
    <row r="178" spans="2:9" ht="20.100000000000001" customHeight="1" x14ac:dyDescent="0.3">
      <c r="B178" s="344">
        <v>170</v>
      </c>
      <c r="C178" s="342" t="str">
        <f t="shared" si="14"/>
        <v/>
      </c>
      <c r="D178" s="341" t="str">
        <f t="shared" si="12"/>
        <v/>
      </c>
      <c r="E178" s="328" t="str">
        <f t="shared" si="15"/>
        <v/>
      </c>
      <c r="F178" s="339" t="str">
        <f t="shared" si="13"/>
        <v/>
      </c>
      <c r="G178" s="328" t="str">
        <f t="shared" si="16"/>
        <v/>
      </c>
      <c r="H178" s="340" t="str">
        <f t="shared" si="17"/>
        <v/>
      </c>
      <c r="I178" s="57"/>
    </row>
    <row r="179" spans="2:9" ht="20.100000000000001" customHeight="1" x14ac:dyDescent="0.3">
      <c r="B179" s="344">
        <v>171</v>
      </c>
      <c r="C179" s="342" t="str">
        <f t="shared" si="14"/>
        <v/>
      </c>
      <c r="D179" s="341" t="str">
        <f t="shared" si="12"/>
        <v/>
      </c>
      <c r="E179" s="328" t="str">
        <f t="shared" si="15"/>
        <v/>
      </c>
      <c r="F179" s="339" t="str">
        <f t="shared" si="13"/>
        <v/>
      </c>
      <c r="G179" s="328" t="str">
        <f t="shared" si="16"/>
        <v/>
      </c>
      <c r="H179" s="340" t="str">
        <f t="shared" si="17"/>
        <v/>
      </c>
      <c r="I179" s="57"/>
    </row>
    <row r="180" spans="2:9" ht="20.100000000000001" customHeight="1" x14ac:dyDescent="0.3">
      <c r="B180" s="344">
        <v>172</v>
      </c>
      <c r="C180" s="342" t="str">
        <f t="shared" si="14"/>
        <v/>
      </c>
      <c r="D180" s="341" t="str">
        <f t="shared" si="12"/>
        <v/>
      </c>
      <c r="E180" s="328" t="str">
        <f t="shared" si="15"/>
        <v/>
      </c>
      <c r="F180" s="339" t="str">
        <f t="shared" si="13"/>
        <v/>
      </c>
      <c r="G180" s="328" t="str">
        <f t="shared" si="16"/>
        <v/>
      </c>
      <c r="H180" s="340" t="str">
        <f t="shared" si="17"/>
        <v/>
      </c>
      <c r="I180" s="57"/>
    </row>
    <row r="181" spans="2:9" ht="20.100000000000001" customHeight="1" x14ac:dyDescent="0.3">
      <c r="B181" s="344">
        <v>173</v>
      </c>
      <c r="C181" s="342" t="str">
        <f t="shared" si="14"/>
        <v/>
      </c>
      <c r="D181" s="341" t="str">
        <f t="shared" si="12"/>
        <v/>
      </c>
      <c r="E181" s="328" t="str">
        <f t="shared" si="15"/>
        <v/>
      </c>
      <c r="F181" s="339" t="str">
        <f t="shared" si="13"/>
        <v/>
      </c>
      <c r="G181" s="328" t="str">
        <f t="shared" si="16"/>
        <v/>
      </c>
      <c r="H181" s="340" t="str">
        <f t="shared" si="17"/>
        <v/>
      </c>
      <c r="I181" s="57"/>
    </row>
    <row r="182" spans="2:9" ht="20.100000000000001" customHeight="1" x14ac:dyDescent="0.3">
      <c r="B182" s="344">
        <v>174</v>
      </c>
      <c r="C182" s="342" t="str">
        <f t="shared" si="14"/>
        <v/>
      </c>
      <c r="D182" s="341" t="str">
        <f t="shared" si="12"/>
        <v/>
      </c>
      <c r="E182" s="328" t="str">
        <f t="shared" si="15"/>
        <v/>
      </c>
      <c r="F182" s="339" t="str">
        <f t="shared" si="13"/>
        <v/>
      </c>
      <c r="G182" s="328" t="str">
        <f t="shared" si="16"/>
        <v/>
      </c>
      <c r="H182" s="340" t="str">
        <f t="shared" si="17"/>
        <v/>
      </c>
      <c r="I182" s="57"/>
    </row>
    <row r="183" spans="2:9" ht="20.100000000000001" customHeight="1" x14ac:dyDescent="0.3">
      <c r="B183" s="344">
        <v>175</v>
      </c>
      <c r="C183" s="342" t="str">
        <f t="shared" si="14"/>
        <v/>
      </c>
      <c r="D183" s="341" t="str">
        <f t="shared" si="12"/>
        <v/>
      </c>
      <c r="E183" s="328" t="str">
        <f t="shared" si="15"/>
        <v/>
      </c>
      <c r="F183" s="339" t="str">
        <f t="shared" si="13"/>
        <v/>
      </c>
      <c r="G183" s="328" t="str">
        <f t="shared" si="16"/>
        <v/>
      </c>
      <c r="H183" s="340" t="str">
        <f t="shared" si="17"/>
        <v/>
      </c>
      <c r="I183" s="57"/>
    </row>
    <row r="184" spans="2:9" ht="20.100000000000001" customHeight="1" x14ac:dyDescent="0.3">
      <c r="B184" s="344">
        <v>176</v>
      </c>
      <c r="C184" s="342" t="str">
        <f t="shared" si="14"/>
        <v/>
      </c>
      <c r="D184" s="341" t="str">
        <f t="shared" si="12"/>
        <v/>
      </c>
      <c r="E184" s="328" t="str">
        <f t="shared" si="15"/>
        <v/>
      </c>
      <c r="F184" s="339" t="str">
        <f t="shared" si="13"/>
        <v/>
      </c>
      <c r="G184" s="328" t="str">
        <f t="shared" si="16"/>
        <v/>
      </c>
      <c r="H184" s="340" t="str">
        <f t="shared" si="17"/>
        <v/>
      </c>
      <c r="I184" s="57"/>
    </row>
    <row r="185" spans="2:9" ht="20.100000000000001" customHeight="1" x14ac:dyDescent="0.3">
      <c r="B185" s="344">
        <v>177</v>
      </c>
      <c r="C185" s="342" t="str">
        <f t="shared" si="14"/>
        <v/>
      </c>
      <c r="D185" s="341" t="str">
        <f t="shared" si="12"/>
        <v/>
      </c>
      <c r="E185" s="328" t="str">
        <f t="shared" si="15"/>
        <v/>
      </c>
      <c r="F185" s="339" t="str">
        <f t="shared" si="13"/>
        <v/>
      </c>
      <c r="G185" s="328" t="str">
        <f t="shared" si="16"/>
        <v/>
      </c>
      <c r="H185" s="340" t="str">
        <f t="shared" si="17"/>
        <v/>
      </c>
      <c r="I185" s="57"/>
    </row>
    <row r="186" spans="2:9" ht="20.100000000000001" customHeight="1" x14ac:dyDescent="0.3">
      <c r="B186" s="344">
        <v>178</v>
      </c>
      <c r="C186" s="342" t="str">
        <f t="shared" si="14"/>
        <v/>
      </c>
      <c r="D186" s="341" t="str">
        <f t="shared" si="12"/>
        <v/>
      </c>
      <c r="E186" s="328" t="str">
        <f t="shared" si="15"/>
        <v/>
      </c>
      <c r="F186" s="339" t="str">
        <f t="shared" si="13"/>
        <v/>
      </c>
      <c r="G186" s="328" t="str">
        <f t="shared" si="16"/>
        <v/>
      </c>
      <c r="H186" s="340" t="str">
        <f t="shared" si="17"/>
        <v/>
      </c>
      <c r="I186" s="57"/>
    </row>
    <row r="187" spans="2:9" ht="20.100000000000001" customHeight="1" x14ac:dyDescent="0.3">
      <c r="B187" s="344">
        <v>179</v>
      </c>
      <c r="C187" s="342" t="str">
        <f t="shared" si="14"/>
        <v/>
      </c>
      <c r="D187" s="341" t="str">
        <f t="shared" si="12"/>
        <v/>
      </c>
      <c r="E187" s="328" t="str">
        <f t="shared" si="15"/>
        <v/>
      </c>
      <c r="F187" s="339" t="str">
        <f t="shared" si="13"/>
        <v/>
      </c>
      <c r="G187" s="328" t="str">
        <f t="shared" si="16"/>
        <v/>
      </c>
      <c r="H187" s="340" t="str">
        <f t="shared" si="17"/>
        <v/>
      </c>
      <c r="I187" s="57"/>
    </row>
    <row r="188" spans="2:9" ht="20.100000000000001" customHeight="1" x14ac:dyDescent="0.3">
      <c r="B188" s="344">
        <v>180</v>
      </c>
      <c r="C188" s="342" t="str">
        <f t="shared" si="14"/>
        <v/>
      </c>
      <c r="D188" s="341" t="str">
        <f t="shared" si="12"/>
        <v/>
      </c>
      <c r="E188" s="328" t="str">
        <f t="shared" si="15"/>
        <v/>
      </c>
      <c r="F188" s="339" t="str">
        <f t="shared" si="13"/>
        <v/>
      </c>
      <c r="G188" s="328" t="str">
        <f t="shared" si="16"/>
        <v/>
      </c>
      <c r="H188" s="340" t="str">
        <f t="shared" si="17"/>
        <v/>
      </c>
      <c r="I188" s="57"/>
    </row>
    <row r="189" spans="2:9" ht="20.100000000000001" customHeight="1" x14ac:dyDescent="0.3">
      <c r="B189" s="344">
        <v>181</v>
      </c>
      <c r="C189" s="342" t="str">
        <f t="shared" si="14"/>
        <v/>
      </c>
      <c r="D189" s="341" t="str">
        <f t="shared" si="12"/>
        <v/>
      </c>
      <c r="E189" s="328" t="str">
        <f t="shared" si="15"/>
        <v/>
      </c>
      <c r="F189" s="339" t="str">
        <f t="shared" si="13"/>
        <v/>
      </c>
      <c r="G189" s="328" t="str">
        <f t="shared" si="16"/>
        <v/>
      </c>
      <c r="H189" s="340" t="str">
        <f t="shared" si="17"/>
        <v/>
      </c>
      <c r="I189" s="57"/>
    </row>
    <row r="190" spans="2:9" ht="20.100000000000001" customHeight="1" x14ac:dyDescent="0.3">
      <c r="B190" s="344">
        <v>182</v>
      </c>
      <c r="C190" s="342" t="str">
        <f t="shared" si="14"/>
        <v/>
      </c>
      <c r="D190" s="341" t="str">
        <f t="shared" si="12"/>
        <v/>
      </c>
      <c r="E190" s="328" t="str">
        <f t="shared" si="15"/>
        <v/>
      </c>
      <c r="F190" s="339" t="str">
        <f t="shared" si="13"/>
        <v/>
      </c>
      <c r="G190" s="328" t="str">
        <f t="shared" si="16"/>
        <v/>
      </c>
      <c r="H190" s="340" t="str">
        <f t="shared" si="17"/>
        <v/>
      </c>
      <c r="I190" s="57"/>
    </row>
    <row r="191" spans="2:9" ht="20.100000000000001" customHeight="1" x14ac:dyDescent="0.3">
      <c r="B191" s="344">
        <v>183</v>
      </c>
      <c r="C191" s="342" t="str">
        <f t="shared" si="14"/>
        <v/>
      </c>
      <c r="D191" s="341" t="str">
        <f t="shared" si="12"/>
        <v/>
      </c>
      <c r="E191" s="328" t="str">
        <f t="shared" si="15"/>
        <v/>
      </c>
      <c r="F191" s="339" t="str">
        <f t="shared" si="13"/>
        <v/>
      </c>
      <c r="G191" s="328" t="str">
        <f t="shared" si="16"/>
        <v/>
      </c>
      <c r="H191" s="340" t="str">
        <f t="shared" si="17"/>
        <v/>
      </c>
      <c r="I191" s="57"/>
    </row>
    <row r="192" spans="2:9" ht="20.100000000000001" customHeight="1" x14ac:dyDescent="0.3">
      <c r="B192" s="344">
        <v>184</v>
      </c>
      <c r="C192" s="342" t="str">
        <f t="shared" si="14"/>
        <v/>
      </c>
      <c r="D192" s="341" t="str">
        <f t="shared" si="12"/>
        <v/>
      </c>
      <c r="E192" s="328" t="str">
        <f t="shared" si="15"/>
        <v/>
      </c>
      <c r="F192" s="339" t="str">
        <f t="shared" si="13"/>
        <v/>
      </c>
      <c r="G192" s="328" t="str">
        <f t="shared" si="16"/>
        <v/>
      </c>
      <c r="H192" s="340" t="str">
        <f t="shared" si="17"/>
        <v/>
      </c>
      <c r="I192" s="57"/>
    </row>
    <row r="193" spans="2:9" ht="20.100000000000001" customHeight="1" x14ac:dyDescent="0.3">
      <c r="B193" s="344">
        <v>185</v>
      </c>
      <c r="C193" s="342" t="str">
        <f t="shared" si="14"/>
        <v/>
      </c>
      <c r="D193" s="341" t="str">
        <f t="shared" si="12"/>
        <v/>
      </c>
      <c r="E193" s="328" t="str">
        <f t="shared" si="15"/>
        <v/>
      </c>
      <c r="F193" s="339" t="str">
        <f t="shared" si="13"/>
        <v/>
      </c>
      <c r="G193" s="328" t="str">
        <f t="shared" si="16"/>
        <v/>
      </c>
      <c r="H193" s="340" t="str">
        <f t="shared" si="17"/>
        <v/>
      </c>
      <c r="I193" s="57"/>
    </row>
    <row r="194" spans="2:9" ht="20.100000000000001" customHeight="1" x14ac:dyDescent="0.3">
      <c r="B194" s="344">
        <v>186</v>
      </c>
      <c r="C194" s="342" t="str">
        <f t="shared" si="14"/>
        <v/>
      </c>
      <c r="D194" s="341" t="str">
        <f t="shared" si="12"/>
        <v/>
      </c>
      <c r="E194" s="328" t="str">
        <f t="shared" si="15"/>
        <v/>
      </c>
      <c r="F194" s="339" t="str">
        <f t="shared" si="13"/>
        <v/>
      </c>
      <c r="G194" s="328" t="str">
        <f t="shared" si="16"/>
        <v/>
      </c>
      <c r="H194" s="340" t="str">
        <f t="shared" si="17"/>
        <v/>
      </c>
      <c r="I194" s="57"/>
    </row>
    <row r="195" spans="2:9" ht="20.100000000000001" customHeight="1" x14ac:dyDescent="0.3">
      <c r="B195" s="344">
        <v>187</v>
      </c>
      <c r="C195" s="342" t="str">
        <f t="shared" si="14"/>
        <v/>
      </c>
      <c r="D195" s="341" t="str">
        <f t="shared" si="12"/>
        <v/>
      </c>
      <c r="E195" s="328" t="str">
        <f t="shared" si="15"/>
        <v/>
      </c>
      <c r="F195" s="339" t="str">
        <f t="shared" si="13"/>
        <v/>
      </c>
      <c r="G195" s="328" t="str">
        <f t="shared" si="16"/>
        <v/>
      </c>
      <c r="H195" s="340" t="str">
        <f t="shared" si="17"/>
        <v/>
      </c>
      <c r="I195" s="57"/>
    </row>
    <row r="196" spans="2:9" ht="20.100000000000001" customHeight="1" x14ac:dyDescent="0.3">
      <c r="B196" s="344">
        <v>188</v>
      </c>
      <c r="C196" s="342" t="str">
        <f t="shared" si="14"/>
        <v/>
      </c>
      <c r="D196" s="341" t="str">
        <f t="shared" si="12"/>
        <v/>
      </c>
      <c r="E196" s="328" t="str">
        <f t="shared" si="15"/>
        <v/>
      </c>
      <c r="F196" s="339" t="str">
        <f t="shared" si="13"/>
        <v/>
      </c>
      <c r="G196" s="328" t="str">
        <f t="shared" si="16"/>
        <v/>
      </c>
      <c r="H196" s="340" t="str">
        <f t="shared" si="17"/>
        <v/>
      </c>
      <c r="I196" s="57"/>
    </row>
    <row r="197" spans="2:9" ht="20.100000000000001" customHeight="1" x14ac:dyDescent="0.3">
      <c r="B197" s="344">
        <v>189</v>
      </c>
      <c r="C197" s="342" t="str">
        <f t="shared" si="14"/>
        <v/>
      </c>
      <c r="D197" s="341" t="str">
        <f t="shared" si="12"/>
        <v/>
      </c>
      <c r="E197" s="328" t="str">
        <f t="shared" si="15"/>
        <v/>
      </c>
      <c r="F197" s="339" t="str">
        <f t="shared" si="13"/>
        <v/>
      </c>
      <c r="G197" s="328" t="str">
        <f t="shared" si="16"/>
        <v/>
      </c>
      <c r="H197" s="340" t="str">
        <f t="shared" si="17"/>
        <v/>
      </c>
      <c r="I197" s="57"/>
    </row>
    <row r="198" spans="2:9" ht="20.100000000000001" customHeight="1" x14ac:dyDescent="0.3">
      <c r="B198" s="344">
        <v>190</v>
      </c>
      <c r="C198" s="342" t="str">
        <f t="shared" si="14"/>
        <v/>
      </c>
      <c r="D198" s="341" t="str">
        <f t="shared" si="12"/>
        <v/>
      </c>
      <c r="E198" s="328" t="str">
        <f t="shared" si="15"/>
        <v/>
      </c>
      <c r="F198" s="339" t="str">
        <f t="shared" si="13"/>
        <v/>
      </c>
      <c r="G198" s="328" t="str">
        <f t="shared" si="16"/>
        <v/>
      </c>
      <c r="H198" s="340" t="str">
        <f t="shared" si="17"/>
        <v/>
      </c>
      <c r="I198" s="57"/>
    </row>
    <row r="199" spans="2:9" ht="20.100000000000001" customHeight="1" x14ac:dyDescent="0.3">
      <c r="B199" s="344">
        <v>191</v>
      </c>
      <c r="C199" s="342" t="str">
        <f t="shared" si="14"/>
        <v/>
      </c>
      <c r="D199" s="341" t="str">
        <f t="shared" si="12"/>
        <v/>
      </c>
      <c r="E199" s="328" t="str">
        <f t="shared" si="15"/>
        <v/>
      </c>
      <c r="F199" s="339" t="str">
        <f t="shared" si="13"/>
        <v/>
      </c>
      <c r="G199" s="328" t="str">
        <f t="shared" si="16"/>
        <v/>
      </c>
      <c r="H199" s="340" t="str">
        <f t="shared" si="17"/>
        <v/>
      </c>
      <c r="I199" s="57"/>
    </row>
    <row r="200" spans="2:9" ht="20.100000000000001" customHeight="1" x14ac:dyDescent="0.3">
      <c r="B200" s="344">
        <v>192</v>
      </c>
      <c r="C200" s="342" t="str">
        <f t="shared" si="14"/>
        <v/>
      </c>
      <c r="D200" s="341" t="str">
        <f t="shared" si="12"/>
        <v/>
      </c>
      <c r="E200" s="328" t="str">
        <f t="shared" si="15"/>
        <v/>
      </c>
      <c r="F200" s="339" t="str">
        <f t="shared" si="13"/>
        <v/>
      </c>
      <c r="G200" s="328" t="str">
        <f t="shared" si="16"/>
        <v/>
      </c>
      <c r="H200" s="340" t="str">
        <f t="shared" si="17"/>
        <v/>
      </c>
      <c r="I200" s="57"/>
    </row>
    <row r="201" spans="2:9" ht="20.100000000000001" customHeight="1" x14ac:dyDescent="0.3">
      <c r="B201" s="344">
        <v>193</v>
      </c>
      <c r="C201" s="342" t="str">
        <f t="shared" si="14"/>
        <v/>
      </c>
      <c r="D201" s="341" t="str">
        <f t="shared" si="12"/>
        <v/>
      </c>
      <c r="E201" s="328" t="str">
        <f t="shared" si="15"/>
        <v/>
      </c>
      <c r="F201" s="339" t="str">
        <f t="shared" si="13"/>
        <v/>
      </c>
      <c r="G201" s="328" t="str">
        <f t="shared" si="16"/>
        <v/>
      </c>
      <c r="H201" s="340" t="str">
        <f t="shared" si="17"/>
        <v/>
      </c>
      <c r="I201" s="57"/>
    </row>
    <row r="202" spans="2:9" ht="20.100000000000001" customHeight="1" x14ac:dyDescent="0.3">
      <c r="B202" s="344">
        <v>194</v>
      </c>
      <c r="C202" s="342" t="str">
        <f t="shared" si="14"/>
        <v/>
      </c>
      <c r="D202" s="341" t="str">
        <f t="shared" ref="D202:D265" si="18">IF($H$4="","",IF($F$4="원리금균등상환",IFERROR(IF(B202&lt;=$D$6,0,-PPMT($E$4/12,B202-$D$6,($B$6-$D$6),$D$4)),""),IF($F$4="원금균등상환",IF(B202&lt;($D$6+1),0,IF(B202&gt;$B$6,0,$D$4/($B$6-$D$6))),"")))</f>
        <v/>
      </c>
      <c r="E202" s="328" t="str">
        <f t="shared" si="15"/>
        <v/>
      </c>
      <c r="F202" s="339" t="str">
        <f t="shared" ref="F202:F265" si="19">IF($H$4="","",IF($F$4="원리금균등상환",IFERROR(D202+E202,""),IF($F$4="원금균등상환",D202+E202,"")))</f>
        <v/>
      </c>
      <c r="G202" s="328" t="str">
        <f t="shared" si="16"/>
        <v/>
      </c>
      <c r="H202" s="340" t="str">
        <f t="shared" si="17"/>
        <v/>
      </c>
      <c r="I202" s="57"/>
    </row>
    <row r="203" spans="2:9" ht="20.100000000000001" customHeight="1" x14ac:dyDescent="0.3">
      <c r="B203" s="344">
        <v>195</v>
      </c>
      <c r="C203" s="342" t="str">
        <f t="shared" ref="C203:C266" si="20">IF($H$4="","",IF(B203&gt;($B$6),"",IF(B203&lt;=($B$6),DATE(YEAR($G$4),MONTH($G$4)+B202,DAY($G$4)),"")))</f>
        <v/>
      </c>
      <c r="D203" s="341" t="str">
        <f t="shared" si="18"/>
        <v/>
      </c>
      <c r="E203" s="328" t="str">
        <f t="shared" ref="E203:E266" si="21">IF($H$4="","",IF($F$4="원리금균등상환",IFERROR(IF(B203&lt;=$D$6,$H202*($E$4/12),-IPMT($E$4/12,B203-$D$6,($B$6-$D$6),$D$4)),""),IF($F$4="원금균등상환",(H202-D203)*$E$4/12,"")))</f>
        <v/>
      </c>
      <c r="F203" s="339" t="str">
        <f t="shared" si="19"/>
        <v/>
      </c>
      <c r="G203" s="328" t="str">
        <f t="shared" ref="G203:G266" si="22">IFERROR(IF(B203&gt;(($D$6+$B$6)*12),"",IF(B203=1,D203,D203+G202)),"")</f>
        <v/>
      </c>
      <c r="H203" s="340" t="str">
        <f t="shared" ref="H203:H266" si="23">IFERROR(IF($H$4="","",H202-D203),"")</f>
        <v/>
      </c>
      <c r="I203" s="57"/>
    </row>
    <row r="204" spans="2:9" ht="20.100000000000001" customHeight="1" x14ac:dyDescent="0.3">
      <c r="B204" s="344">
        <v>196</v>
      </c>
      <c r="C204" s="342" t="str">
        <f t="shared" si="20"/>
        <v/>
      </c>
      <c r="D204" s="341" t="str">
        <f t="shared" si="18"/>
        <v/>
      </c>
      <c r="E204" s="328" t="str">
        <f t="shared" si="21"/>
        <v/>
      </c>
      <c r="F204" s="339" t="str">
        <f t="shared" si="19"/>
        <v/>
      </c>
      <c r="G204" s="328" t="str">
        <f t="shared" si="22"/>
        <v/>
      </c>
      <c r="H204" s="340" t="str">
        <f t="shared" si="23"/>
        <v/>
      </c>
      <c r="I204" s="57"/>
    </row>
    <row r="205" spans="2:9" ht="20.100000000000001" customHeight="1" x14ac:dyDescent="0.3">
      <c r="B205" s="344">
        <v>197</v>
      </c>
      <c r="C205" s="342" t="str">
        <f t="shared" si="20"/>
        <v/>
      </c>
      <c r="D205" s="341" t="str">
        <f t="shared" si="18"/>
        <v/>
      </c>
      <c r="E205" s="328" t="str">
        <f t="shared" si="21"/>
        <v/>
      </c>
      <c r="F205" s="339" t="str">
        <f t="shared" si="19"/>
        <v/>
      </c>
      <c r="G205" s="328" t="str">
        <f t="shared" si="22"/>
        <v/>
      </c>
      <c r="H205" s="340" t="str">
        <f t="shared" si="23"/>
        <v/>
      </c>
      <c r="I205" s="57"/>
    </row>
    <row r="206" spans="2:9" ht="20.100000000000001" customHeight="1" x14ac:dyDescent="0.3">
      <c r="B206" s="344">
        <v>198</v>
      </c>
      <c r="C206" s="342" t="str">
        <f t="shared" si="20"/>
        <v/>
      </c>
      <c r="D206" s="341" t="str">
        <f t="shared" si="18"/>
        <v/>
      </c>
      <c r="E206" s="328" t="str">
        <f t="shared" si="21"/>
        <v/>
      </c>
      <c r="F206" s="339" t="str">
        <f t="shared" si="19"/>
        <v/>
      </c>
      <c r="G206" s="328" t="str">
        <f t="shared" si="22"/>
        <v/>
      </c>
      <c r="H206" s="340" t="str">
        <f t="shared" si="23"/>
        <v/>
      </c>
      <c r="I206" s="57"/>
    </row>
    <row r="207" spans="2:9" ht="20.100000000000001" customHeight="1" x14ac:dyDescent="0.3">
      <c r="B207" s="344">
        <v>199</v>
      </c>
      <c r="C207" s="342" t="str">
        <f t="shared" si="20"/>
        <v/>
      </c>
      <c r="D207" s="341" t="str">
        <f t="shared" si="18"/>
        <v/>
      </c>
      <c r="E207" s="328" t="str">
        <f t="shared" si="21"/>
        <v/>
      </c>
      <c r="F207" s="339" t="str">
        <f t="shared" si="19"/>
        <v/>
      </c>
      <c r="G207" s="328" t="str">
        <f t="shared" si="22"/>
        <v/>
      </c>
      <c r="H207" s="340" t="str">
        <f t="shared" si="23"/>
        <v/>
      </c>
      <c r="I207" s="57"/>
    </row>
    <row r="208" spans="2:9" ht="20.100000000000001" customHeight="1" x14ac:dyDescent="0.3">
      <c r="B208" s="344">
        <v>200</v>
      </c>
      <c r="C208" s="342" t="str">
        <f t="shared" si="20"/>
        <v/>
      </c>
      <c r="D208" s="341" t="str">
        <f t="shared" si="18"/>
        <v/>
      </c>
      <c r="E208" s="328" t="str">
        <f t="shared" si="21"/>
        <v/>
      </c>
      <c r="F208" s="339" t="str">
        <f t="shared" si="19"/>
        <v/>
      </c>
      <c r="G208" s="328" t="str">
        <f t="shared" si="22"/>
        <v/>
      </c>
      <c r="H208" s="340" t="str">
        <f t="shared" si="23"/>
        <v/>
      </c>
      <c r="I208" s="57"/>
    </row>
    <row r="209" spans="2:9" ht="20.100000000000001" customHeight="1" x14ac:dyDescent="0.3">
      <c r="B209" s="344">
        <v>201</v>
      </c>
      <c r="C209" s="342" t="str">
        <f t="shared" si="20"/>
        <v/>
      </c>
      <c r="D209" s="341" t="str">
        <f t="shared" si="18"/>
        <v/>
      </c>
      <c r="E209" s="328" t="str">
        <f t="shared" si="21"/>
        <v/>
      </c>
      <c r="F209" s="339" t="str">
        <f t="shared" si="19"/>
        <v/>
      </c>
      <c r="G209" s="328" t="str">
        <f t="shared" si="22"/>
        <v/>
      </c>
      <c r="H209" s="340" t="str">
        <f t="shared" si="23"/>
        <v/>
      </c>
      <c r="I209" s="57"/>
    </row>
    <row r="210" spans="2:9" ht="20.100000000000001" customHeight="1" x14ac:dyDescent="0.3">
      <c r="B210" s="344">
        <v>202</v>
      </c>
      <c r="C210" s="342" t="str">
        <f t="shared" si="20"/>
        <v/>
      </c>
      <c r="D210" s="341" t="str">
        <f t="shared" si="18"/>
        <v/>
      </c>
      <c r="E210" s="328" t="str">
        <f t="shared" si="21"/>
        <v/>
      </c>
      <c r="F210" s="339" t="str">
        <f t="shared" si="19"/>
        <v/>
      </c>
      <c r="G210" s="328" t="str">
        <f t="shared" si="22"/>
        <v/>
      </c>
      <c r="H210" s="340" t="str">
        <f t="shared" si="23"/>
        <v/>
      </c>
      <c r="I210" s="57"/>
    </row>
    <row r="211" spans="2:9" ht="20.100000000000001" customHeight="1" x14ac:dyDescent="0.3">
      <c r="B211" s="344">
        <v>203</v>
      </c>
      <c r="C211" s="342" t="str">
        <f t="shared" si="20"/>
        <v/>
      </c>
      <c r="D211" s="341" t="str">
        <f t="shared" si="18"/>
        <v/>
      </c>
      <c r="E211" s="328" t="str">
        <f t="shared" si="21"/>
        <v/>
      </c>
      <c r="F211" s="339" t="str">
        <f t="shared" si="19"/>
        <v/>
      </c>
      <c r="G211" s="328" t="str">
        <f t="shared" si="22"/>
        <v/>
      </c>
      <c r="H211" s="340" t="str">
        <f t="shared" si="23"/>
        <v/>
      </c>
      <c r="I211" s="57"/>
    </row>
    <row r="212" spans="2:9" ht="20.100000000000001" customHeight="1" x14ac:dyDescent="0.3">
      <c r="B212" s="344">
        <v>204</v>
      </c>
      <c r="C212" s="342" t="str">
        <f t="shared" si="20"/>
        <v/>
      </c>
      <c r="D212" s="341" t="str">
        <f t="shared" si="18"/>
        <v/>
      </c>
      <c r="E212" s="328" t="str">
        <f t="shared" si="21"/>
        <v/>
      </c>
      <c r="F212" s="339" t="str">
        <f t="shared" si="19"/>
        <v/>
      </c>
      <c r="G212" s="328" t="str">
        <f t="shared" si="22"/>
        <v/>
      </c>
      <c r="H212" s="340" t="str">
        <f t="shared" si="23"/>
        <v/>
      </c>
      <c r="I212" s="57"/>
    </row>
    <row r="213" spans="2:9" ht="20.100000000000001" customHeight="1" x14ac:dyDescent="0.3">
      <c r="B213" s="344">
        <v>205</v>
      </c>
      <c r="C213" s="342" t="str">
        <f t="shared" si="20"/>
        <v/>
      </c>
      <c r="D213" s="341" t="str">
        <f t="shared" si="18"/>
        <v/>
      </c>
      <c r="E213" s="328" t="str">
        <f t="shared" si="21"/>
        <v/>
      </c>
      <c r="F213" s="339" t="str">
        <f t="shared" si="19"/>
        <v/>
      </c>
      <c r="G213" s="328" t="str">
        <f t="shared" si="22"/>
        <v/>
      </c>
      <c r="H213" s="340" t="str">
        <f t="shared" si="23"/>
        <v/>
      </c>
      <c r="I213" s="57"/>
    </row>
    <row r="214" spans="2:9" ht="20.100000000000001" customHeight="1" x14ac:dyDescent="0.3">
      <c r="B214" s="344">
        <v>206</v>
      </c>
      <c r="C214" s="342" t="str">
        <f t="shared" si="20"/>
        <v/>
      </c>
      <c r="D214" s="341" t="str">
        <f t="shared" si="18"/>
        <v/>
      </c>
      <c r="E214" s="328" t="str">
        <f t="shared" si="21"/>
        <v/>
      </c>
      <c r="F214" s="339" t="str">
        <f t="shared" si="19"/>
        <v/>
      </c>
      <c r="G214" s="328" t="str">
        <f t="shared" si="22"/>
        <v/>
      </c>
      <c r="H214" s="340" t="str">
        <f t="shared" si="23"/>
        <v/>
      </c>
      <c r="I214" s="57"/>
    </row>
    <row r="215" spans="2:9" ht="20.100000000000001" customHeight="1" x14ac:dyDescent="0.3">
      <c r="B215" s="344">
        <v>207</v>
      </c>
      <c r="C215" s="342" t="str">
        <f t="shared" si="20"/>
        <v/>
      </c>
      <c r="D215" s="341" t="str">
        <f t="shared" si="18"/>
        <v/>
      </c>
      <c r="E215" s="328" t="str">
        <f t="shared" si="21"/>
        <v/>
      </c>
      <c r="F215" s="339" t="str">
        <f t="shared" si="19"/>
        <v/>
      </c>
      <c r="G215" s="328" t="str">
        <f t="shared" si="22"/>
        <v/>
      </c>
      <c r="H215" s="340" t="str">
        <f t="shared" si="23"/>
        <v/>
      </c>
      <c r="I215" s="57"/>
    </row>
    <row r="216" spans="2:9" ht="20.100000000000001" customHeight="1" x14ac:dyDescent="0.3">
      <c r="B216" s="344">
        <v>208</v>
      </c>
      <c r="C216" s="342" t="str">
        <f t="shared" si="20"/>
        <v/>
      </c>
      <c r="D216" s="341" t="str">
        <f t="shared" si="18"/>
        <v/>
      </c>
      <c r="E216" s="328" t="str">
        <f t="shared" si="21"/>
        <v/>
      </c>
      <c r="F216" s="339" t="str">
        <f t="shared" si="19"/>
        <v/>
      </c>
      <c r="G216" s="328" t="str">
        <f t="shared" si="22"/>
        <v/>
      </c>
      <c r="H216" s="340" t="str">
        <f t="shared" si="23"/>
        <v/>
      </c>
      <c r="I216" s="57"/>
    </row>
    <row r="217" spans="2:9" ht="20.100000000000001" customHeight="1" x14ac:dyDescent="0.3">
      <c r="B217" s="344">
        <v>209</v>
      </c>
      <c r="C217" s="342" t="str">
        <f t="shared" si="20"/>
        <v/>
      </c>
      <c r="D217" s="341" t="str">
        <f t="shared" si="18"/>
        <v/>
      </c>
      <c r="E217" s="328" t="str">
        <f t="shared" si="21"/>
        <v/>
      </c>
      <c r="F217" s="339" t="str">
        <f t="shared" si="19"/>
        <v/>
      </c>
      <c r="G217" s="328" t="str">
        <f t="shared" si="22"/>
        <v/>
      </c>
      <c r="H217" s="340" t="str">
        <f t="shared" si="23"/>
        <v/>
      </c>
      <c r="I217" s="57"/>
    </row>
    <row r="218" spans="2:9" ht="20.100000000000001" customHeight="1" x14ac:dyDescent="0.3">
      <c r="B218" s="344">
        <v>210</v>
      </c>
      <c r="C218" s="342" t="str">
        <f t="shared" si="20"/>
        <v/>
      </c>
      <c r="D218" s="341" t="str">
        <f t="shared" si="18"/>
        <v/>
      </c>
      <c r="E218" s="328" t="str">
        <f t="shared" si="21"/>
        <v/>
      </c>
      <c r="F218" s="339" t="str">
        <f t="shared" si="19"/>
        <v/>
      </c>
      <c r="G218" s="328" t="str">
        <f t="shared" si="22"/>
        <v/>
      </c>
      <c r="H218" s="340" t="str">
        <f t="shared" si="23"/>
        <v/>
      </c>
      <c r="I218" s="57"/>
    </row>
    <row r="219" spans="2:9" ht="20.100000000000001" customHeight="1" x14ac:dyDescent="0.3">
      <c r="B219" s="344">
        <v>211</v>
      </c>
      <c r="C219" s="342" t="str">
        <f t="shared" si="20"/>
        <v/>
      </c>
      <c r="D219" s="341" t="str">
        <f t="shared" si="18"/>
        <v/>
      </c>
      <c r="E219" s="328" t="str">
        <f t="shared" si="21"/>
        <v/>
      </c>
      <c r="F219" s="339" t="str">
        <f t="shared" si="19"/>
        <v/>
      </c>
      <c r="G219" s="328" t="str">
        <f t="shared" si="22"/>
        <v/>
      </c>
      <c r="H219" s="340" t="str">
        <f t="shared" si="23"/>
        <v/>
      </c>
      <c r="I219" s="57"/>
    </row>
    <row r="220" spans="2:9" ht="20.100000000000001" customHeight="1" x14ac:dyDescent="0.3">
      <c r="B220" s="344">
        <v>212</v>
      </c>
      <c r="C220" s="342" t="str">
        <f t="shared" si="20"/>
        <v/>
      </c>
      <c r="D220" s="341" t="str">
        <f t="shared" si="18"/>
        <v/>
      </c>
      <c r="E220" s="328" t="str">
        <f t="shared" si="21"/>
        <v/>
      </c>
      <c r="F220" s="339" t="str">
        <f t="shared" si="19"/>
        <v/>
      </c>
      <c r="G220" s="328" t="str">
        <f t="shared" si="22"/>
        <v/>
      </c>
      <c r="H220" s="340" t="str">
        <f t="shared" si="23"/>
        <v/>
      </c>
      <c r="I220" s="57"/>
    </row>
    <row r="221" spans="2:9" ht="20.100000000000001" customHeight="1" x14ac:dyDescent="0.3">
      <c r="B221" s="344">
        <v>213</v>
      </c>
      <c r="C221" s="342" t="str">
        <f t="shared" si="20"/>
        <v/>
      </c>
      <c r="D221" s="341" t="str">
        <f t="shared" si="18"/>
        <v/>
      </c>
      <c r="E221" s="328" t="str">
        <f t="shared" si="21"/>
        <v/>
      </c>
      <c r="F221" s="339" t="str">
        <f t="shared" si="19"/>
        <v/>
      </c>
      <c r="G221" s="328" t="str">
        <f t="shared" si="22"/>
        <v/>
      </c>
      <c r="H221" s="340" t="str">
        <f t="shared" si="23"/>
        <v/>
      </c>
      <c r="I221" s="57"/>
    </row>
    <row r="222" spans="2:9" ht="20.100000000000001" customHeight="1" x14ac:dyDescent="0.3">
      <c r="B222" s="344">
        <v>214</v>
      </c>
      <c r="C222" s="342" t="str">
        <f t="shared" si="20"/>
        <v/>
      </c>
      <c r="D222" s="341" t="str">
        <f t="shared" si="18"/>
        <v/>
      </c>
      <c r="E222" s="328" t="str">
        <f t="shared" si="21"/>
        <v/>
      </c>
      <c r="F222" s="339" t="str">
        <f t="shared" si="19"/>
        <v/>
      </c>
      <c r="G222" s="328" t="str">
        <f t="shared" si="22"/>
        <v/>
      </c>
      <c r="H222" s="340" t="str">
        <f t="shared" si="23"/>
        <v/>
      </c>
      <c r="I222" s="57"/>
    </row>
    <row r="223" spans="2:9" ht="20.100000000000001" customHeight="1" x14ac:dyDescent="0.3">
      <c r="B223" s="344">
        <v>215</v>
      </c>
      <c r="C223" s="342" t="str">
        <f t="shared" si="20"/>
        <v/>
      </c>
      <c r="D223" s="341" t="str">
        <f t="shared" si="18"/>
        <v/>
      </c>
      <c r="E223" s="328" t="str">
        <f t="shared" si="21"/>
        <v/>
      </c>
      <c r="F223" s="339" t="str">
        <f t="shared" si="19"/>
        <v/>
      </c>
      <c r="G223" s="328" t="str">
        <f t="shared" si="22"/>
        <v/>
      </c>
      <c r="H223" s="340" t="str">
        <f t="shared" si="23"/>
        <v/>
      </c>
      <c r="I223" s="57"/>
    </row>
    <row r="224" spans="2:9" ht="20.100000000000001" customHeight="1" x14ac:dyDescent="0.3">
      <c r="B224" s="344">
        <v>216</v>
      </c>
      <c r="C224" s="342" t="str">
        <f t="shared" si="20"/>
        <v/>
      </c>
      <c r="D224" s="341" t="str">
        <f t="shared" si="18"/>
        <v/>
      </c>
      <c r="E224" s="328" t="str">
        <f t="shared" si="21"/>
        <v/>
      </c>
      <c r="F224" s="339" t="str">
        <f t="shared" si="19"/>
        <v/>
      </c>
      <c r="G224" s="328" t="str">
        <f t="shared" si="22"/>
        <v/>
      </c>
      <c r="H224" s="340" t="str">
        <f t="shared" si="23"/>
        <v/>
      </c>
      <c r="I224" s="57"/>
    </row>
    <row r="225" spans="2:9" ht="20.100000000000001" customHeight="1" x14ac:dyDescent="0.3">
      <c r="B225" s="344">
        <v>217</v>
      </c>
      <c r="C225" s="342" t="str">
        <f t="shared" si="20"/>
        <v/>
      </c>
      <c r="D225" s="341" t="str">
        <f t="shared" si="18"/>
        <v/>
      </c>
      <c r="E225" s="328" t="str">
        <f t="shared" si="21"/>
        <v/>
      </c>
      <c r="F225" s="339" t="str">
        <f t="shared" si="19"/>
        <v/>
      </c>
      <c r="G225" s="328" t="str">
        <f t="shared" si="22"/>
        <v/>
      </c>
      <c r="H225" s="340" t="str">
        <f t="shared" si="23"/>
        <v/>
      </c>
      <c r="I225" s="57"/>
    </row>
    <row r="226" spans="2:9" ht="20.100000000000001" customHeight="1" x14ac:dyDescent="0.3">
      <c r="B226" s="344">
        <v>218</v>
      </c>
      <c r="C226" s="342" t="str">
        <f t="shared" si="20"/>
        <v/>
      </c>
      <c r="D226" s="341" t="str">
        <f t="shared" si="18"/>
        <v/>
      </c>
      <c r="E226" s="328" t="str">
        <f t="shared" si="21"/>
        <v/>
      </c>
      <c r="F226" s="339" t="str">
        <f t="shared" si="19"/>
        <v/>
      </c>
      <c r="G226" s="328" t="str">
        <f t="shared" si="22"/>
        <v/>
      </c>
      <c r="H226" s="340" t="str">
        <f t="shared" si="23"/>
        <v/>
      </c>
      <c r="I226" s="57"/>
    </row>
    <row r="227" spans="2:9" ht="20.100000000000001" customHeight="1" x14ac:dyDescent="0.3">
      <c r="B227" s="344">
        <v>219</v>
      </c>
      <c r="C227" s="342" t="str">
        <f t="shared" si="20"/>
        <v/>
      </c>
      <c r="D227" s="341" t="str">
        <f t="shared" si="18"/>
        <v/>
      </c>
      <c r="E227" s="328" t="str">
        <f t="shared" si="21"/>
        <v/>
      </c>
      <c r="F227" s="339" t="str">
        <f t="shared" si="19"/>
        <v/>
      </c>
      <c r="G227" s="328" t="str">
        <f t="shared" si="22"/>
        <v/>
      </c>
      <c r="H227" s="340" t="str">
        <f t="shared" si="23"/>
        <v/>
      </c>
      <c r="I227" s="57"/>
    </row>
    <row r="228" spans="2:9" ht="20.100000000000001" customHeight="1" x14ac:dyDescent="0.3">
      <c r="B228" s="344">
        <v>220</v>
      </c>
      <c r="C228" s="342" t="str">
        <f t="shared" si="20"/>
        <v/>
      </c>
      <c r="D228" s="341" t="str">
        <f t="shared" si="18"/>
        <v/>
      </c>
      <c r="E228" s="328" t="str">
        <f t="shared" si="21"/>
        <v/>
      </c>
      <c r="F228" s="339" t="str">
        <f t="shared" si="19"/>
        <v/>
      </c>
      <c r="G228" s="328" t="str">
        <f t="shared" si="22"/>
        <v/>
      </c>
      <c r="H228" s="340" t="str">
        <f t="shared" si="23"/>
        <v/>
      </c>
      <c r="I228" s="57"/>
    </row>
    <row r="229" spans="2:9" ht="20.100000000000001" customHeight="1" x14ac:dyDescent="0.3">
      <c r="B229" s="344">
        <v>221</v>
      </c>
      <c r="C229" s="342" t="str">
        <f t="shared" si="20"/>
        <v/>
      </c>
      <c r="D229" s="341" t="str">
        <f t="shared" si="18"/>
        <v/>
      </c>
      <c r="E229" s="328" t="str">
        <f t="shared" si="21"/>
        <v/>
      </c>
      <c r="F229" s="339" t="str">
        <f t="shared" si="19"/>
        <v/>
      </c>
      <c r="G229" s="328" t="str">
        <f t="shared" si="22"/>
        <v/>
      </c>
      <c r="H229" s="340" t="str">
        <f t="shared" si="23"/>
        <v/>
      </c>
      <c r="I229" s="57"/>
    </row>
    <row r="230" spans="2:9" ht="20.100000000000001" customHeight="1" x14ac:dyDescent="0.3">
      <c r="B230" s="344">
        <v>222</v>
      </c>
      <c r="C230" s="342" t="str">
        <f t="shared" si="20"/>
        <v/>
      </c>
      <c r="D230" s="341" t="str">
        <f t="shared" si="18"/>
        <v/>
      </c>
      <c r="E230" s="328" t="str">
        <f t="shared" si="21"/>
        <v/>
      </c>
      <c r="F230" s="339" t="str">
        <f t="shared" si="19"/>
        <v/>
      </c>
      <c r="G230" s="328" t="str">
        <f t="shared" si="22"/>
        <v/>
      </c>
      <c r="H230" s="340" t="str">
        <f t="shared" si="23"/>
        <v/>
      </c>
      <c r="I230" s="57"/>
    </row>
    <row r="231" spans="2:9" ht="20.100000000000001" customHeight="1" x14ac:dyDescent="0.3">
      <c r="B231" s="344">
        <v>223</v>
      </c>
      <c r="C231" s="342" t="str">
        <f t="shared" si="20"/>
        <v/>
      </c>
      <c r="D231" s="341" t="str">
        <f t="shared" si="18"/>
        <v/>
      </c>
      <c r="E231" s="328" t="str">
        <f t="shared" si="21"/>
        <v/>
      </c>
      <c r="F231" s="339" t="str">
        <f t="shared" si="19"/>
        <v/>
      </c>
      <c r="G231" s="328" t="str">
        <f t="shared" si="22"/>
        <v/>
      </c>
      <c r="H231" s="340" t="str">
        <f t="shared" si="23"/>
        <v/>
      </c>
      <c r="I231" s="57"/>
    </row>
    <row r="232" spans="2:9" ht="20.100000000000001" customHeight="1" x14ac:dyDescent="0.3">
      <c r="B232" s="344">
        <v>224</v>
      </c>
      <c r="C232" s="342" t="str">
        <f t="shared" si="20"/>
        <v/>
      </c>
      <c r="D232" s="341" t="str">
        <f t="shared" si="18"/>
        <v/>
      </c>
      <c r="E232" s="328" t="str">
        <f t="shared" si="21"/>
        <v/>
      </c>
      <c r="F232" s="339" t="str">
        <f t="shared" si="19"/>
        <v/>
      </c>
      <c r="G232" s="328" t="str">
        <f t="shared" si="22"/>
        <v/>
      </c>
      <c r="H232" s="340" t="str">
        <f t="shared" si="23"/>
        <v/>
      </c>
      <c r="I232" s="57"/>
    </row>
    <row r="233" spans="2:9" ht="20.100000000000001" customHeight="1" x14ac:dyDescent="0.3">
      <c r="B233" s="344">
        <v>225</v>
      </c>
      <c r="C233" s="342" t="str">
        <f t="shared" si="20"/>
        <v/>
      </c>
      <c r="D233" s="341" t="str">
        <f t="shared" si="18"/>
        <v/>
      </c>
      <c r="E233" s="328" t="str">
        <f t="shared" si="21"/>
        <v/>
      </c>
      <c r="F233" s="339" t="str">
        <f t="shared" si="19"/>
        <v/>
      </c>
      <c r="G233" s="328" t="str">
        <f t="shared" si="22"/>
        <v/>
      </c>
      <c r="H233" s="340" t="str">
        <f t="shared" si="23"/>
        <v/>
      </c>
      <c r="I233" s="57"/>
    </row>
    <row r="234" spans="2:9" ht="20.100000000000001" customHeight="1" x14ac:dyDescent="0.3">
      <c r="B234" s="344">
        <v>226</v>
      </c>
      <c r="C234" s="342" t="str">
        <f t="shared" si="20"/>
        <v/>
      </c>
      <c r="D234" s="341" t="str">
        <f t="shared" si="18"/>
        <v/>
      </c>
      <c r="E234" s="328" t="str">
        <f t="shared" si="21"/>
        <v/>
      </c>
      <c r="F234" s="339" t="str">
        <f t="shared" si="19"/>
        <v/>
      </c>
      <c r="G234" s="328" t="str">
        <f t="shared" si="22"/>
        <v/>
      </c>
      <c r="H234" s="340" t="str">
        <f t="shared" si="23"/>
        <v/>
      </c>
      <c r="I234" s="57"/>
    </row>
    <row r="235" spans="2:9" ht="20.100000000000001" customHeight="1" x14ac:dyDescent="0.3">
      <c r="B235" s="344">
        <v>227</v>
      </c>
      <c r="C235" s="342" t="str">
        <f t="shared" si="20"/>
        <v/>
      </c>
      <c r="D235" s="341" t="str">
        <f t="shared" si="18"/>
        <v/>
      </c>
      <c r="E235" s="328" t="str">
        <f t="shared" si="21"/>
        <v/>
      </c>
      <c r="F235" s="339" t="str">
        <f t="shared" si="19"/>
        <v/>
      </c>
      <c r="G235" s="328" t="str">
        <f t="shared" si="22"/>
        <v/>
      </c>
      <c r="H235" s="340" t="str">
        <f t="shared" si="23"/>
        <v/>
      </c>
      <c r="I235" s="57"/>
    </row>
    <row r="236" spans="2:9" ht="20.100000000000001" customHeight="1" x14ac:dyDescent="0.3">
      <c r="B236" s="344">
        <v>228</v>
      </c>
      <c r="C236" s="342" t="str">
        <f t="shared" si="20"/>
        <v/>
      </c>
      <c r="D236" s="341" t="str">
        <f t="shared" si="18"/>
        <v/>
      </c>
      <c r="E236" s="328" t="str">
        <f t="shared" si="21"/>
        <v/>
      </c>
      <c r="F236" s="339" t="str">
        <f t="shared" si="19"/>
        <v/>
      </c>
      <c r="G236" s="328" t="str">
        <f t="shared" si="22"/>
        <v/>
      </c>
      <c r="H236" s="340" t="str">
        <f t="shared" si="23"/>
        <v/>
      </c>
      <c r="I236" s="57"/>
    </row>
    <row r="237" spans="2:9" ht="20.100000000000001" customHeight="1" x14ac:dyDescent="0.3">
      <c r="B237" s="344">
        <v>229</v>
      </c>
      <c r="C237" s="342" t="str">
        <f t="shared" si="20"/>
        <v/>
      </c>
      <c r="D237" s="341" t="str">
        <f t="shared" si="18"/>
        <v/>
      </c>
      <c r="E237" s="328" t="str">
        <f t="shared" si="21"/>
        <v/>
      </c>
      <c r="F237" s="339" t="str">
        <f t="shared" si="19"/>
        <v/>
      </c>
      <c r="G237" s="328" t="str">
        <f t="shared" si="22"/>
        <v/>
      </c>
      <c r="H237" s="340" t="str">
        <f t="shared" si="23"/>
        <v/>
      </c>
      <c r="I237" s="57"/>
    </row>
    <row r="238" spans="2:9" ht="20.100000000000001" customHeight="1" x14ac:dyDescent="0.3">
      <c r="B238" s="344">
        <v>230</v>
      </c>
      <c r="C238" s="342" t="str">
        <f t="shared" si="20"/>
        <v/>
      </c>
      <c r="D238" s="341" t="str">
        <f t="shared" si="18"/>
        <v/>
      </c>
      <c r="E238" s="328" t="str">
        <f t="shared" si="21"/>
        <v/>
      </c>
      <c r="F238" s="339" t="str">
        <f t="shared" si="19"/>
        <v/>
      </c>
      <c r="G238" s="328" t="str">
        <f t="shared" si="22"/>
        <v/>
      </c>
      <c r="H238" s="340" t="str">
        <f t="shared" si="23"/>
        <v/>
      </c>
      <c r="I238" s="57"/>
    </row>
    <row r="239" spans="2:9" ht="20.100000000000001" customHeight="1" x14ac:dyDescent="0.3">
      <c r="B239" s="344">
        <v>231</v>
      </c>
      <c r="C239" s="342" t="str">
        <f t="shared" si="20"/>
        <v/>
      </c>
      <c r="D239" s="341" t="str">
        <f t="shared" si="18"/>
        <v/>
      </c>
      <c r="E239" s="328" t="str">
        <f t="shared" si="21"/>
        <v/>
      </c>
      <c r="F239" s="339" t="str">
        <f t="shared" si="19"/>
        <v/>
      </c>
      <c r="G239" s="328" t="str">
        <f t="shared" si="22"/>
        <v/>
      </c>
      <c r="H239" s="340" t="str">
        <f t="shared" si="23"/>
        <v/>
      </c>
      <c r="I239" s="57"/>
    </row>
    <row r="240" spans="2:9" ht="20.100000000000001" customHeight="1" x14ac:dyDescent="0.3">
      <c r="B240" s="344">
        <v>232</v>
      </c>
      <c r="C240" s="342" t="str">
        <f t="shared" si="20"/>
        <v/>
      </c>
      <c r="D240" s="341" t="str">
        <f t="shared" si="18"/>
        <v/>
      </c>
      <c r="E240" s="328" t="str">
        <f t="shared" si="21"/>
        <v/>
      </c>
      <c r="F240" s="339" t="str">
        <f t="shared" si="19"/>
        <v/>
      </c>
      <c r="G240" s="328" t="str">
        <f t="shared" si="22"/>
        <v/>
      </c>
      <c r="H240" s="340" t="str">
        <f t="shared" si="23"/>
        <v/>
      </c>
      <c r="I240" s="57"/>
    </row>
    <row r="241" spans="2:9" ht="20.100000000000001" customHeight="1" x14ac:dyDescent="0.3">
      <c r="B241" s="344">
        <v>233</v>
      </c>
      <c r="C241" s="342" t="str">
        <f t="shared" si="20"/>
        <v/>
      </c>
      <c r="D241" s="341" t="str">
        <f t="shared" si="18"/>
        <v/>
      </c>
      <c r="E241" s="328" t="str">
        <f t="shared" si="21"/>
        <v/>
      </c>
      <c r="F241" s="339" t="str">
        <f t="shared" si="19"/>
        <v/>
      </c>
      <c r="G241" s="328" t="str">
        <f t="shared" si="22"/>
        <v/>
      </c>
      <c r="H241" s="340" t="str">
        <f t="shared" si="23"/>
        <v/>
      </c>
      <c r="I241" s="57"/>
    </row>
    <row r="242" spans="2:9" ht="20.100000000000001" customHeight="1" x14ac:dyDescent="0.3">
      <c r="B242" s="344">
        <v>234</v>
      </c>
      <c r="C242" s="342" t="str">
        <f t="shared" si="20"/>
        <v/>
      </c>
      <c r="D242" s="341" t="str">
        <f t="shared" si="18"/>
        <v/>
      </c>
      <c r="E242" s="328" t="str">
        <f t="shared" si="21"/>
        <v/>
      </c>
      <c r="F242" s="339" t="str">
        <f t="shared" si="19"/>
        <v/>
      </c>
      <c r="G242" s="328" t="str">
        <f t="shared" si="22"/>
        <v/>
      </c>
      <c r="H242" s="340" t="str">
        <f t="shared" si="23"/>
        <v/>
      </c>
      <c r="I242" s="57"/>
    </row>
    <row r="243" spans="2:9" ht="20.100000000000001" customHeight="1" x14ac:dyDescent="0.3">
      <c r="B243" s="344">
        <v>235</v>
      </c>
      <c r="C243" s="342" t="str">
        <f t="shared" si="20"/>
        <v/>
      </c>
      <c r="D243" s="341" t="str">
        <f t="shared" si="18"/>
        <v/>
      </c>
      <c r="E243" s="328" t="str">
        <f t="shared" si="21"/>
        <v/>
      </c>
      <c r="F243" s="339" t="str">
        <f t="shared" si="19"/>
        <v/>
      </c>
      <c r="G243" s="328" t="str">
        <f t="shared" si="22"/>
        <v/>
      </c>
      <c r="H243" s="340" t="str">
        <f t="shared" si="23"/>
        <v/>
      </c>
      <c r="I243" s="57"/>
    </row>
    <row r="244" spans="2:9" ht="20.100000000000001" customHeight="1" x14ac:dyDescent="0.3">
      <c r="B244" s="344">
        <v>236</v>
      </c>
      <c r="C244" s="342" t="str">
        <f t="shared" si="20"/>
        <v/>
      </c>
      <c r="D244" s="341" t="str">
        <f t="shared" si="18"/>
        <v/>
      </c>
      <c r="E244" s="328" t="str">
        <f t="shared" si="21"/>
        <v/>
      </c>
      <c r="F244" s="339" t="str">
        <f t="shared" si="19"/>
        <v/>
      </c>
      <c r="G244" s="328" t="str">
        <f t="shared" si="22"/>
        <v/>
      </c>
      <c r="H244" s="340" t="str">
        <f t="shared" si="23"/>
        <v/>
      </c>
      <c r="I244" s="57"/>
    </row>
    <row r="245" spans="2:9" ht="20.100000000000001" customHeight="1" x14ac:dyDescent="0.3">
      <c r="B245" s="344">
        <v>237</v>
      </c>
      <c r="C245" s="342" t="str">
        <f t="shared" si="20"/>
        <v/>
      </c>
      <c r="D245" s="341" t="str">
        <f t="shared" si="18"/>
        <v/>
      </c>
      <c r="E245" s="328" t="str">
        <f t="shared" si="21"/>
        <v/>
      </c>
      <c r="F245" s="339" t="str">
        <f t="shared" si="19"/>
        <v/>
      </c>
      <c r="G245" s="328" t="str">
        <f t="shared" si="22"/>
        <v/>
      </c>
      <c r="H245" s="340" t="str">
        <f t="shared" si="23"/>
        <v/>
      </c>
      <c r="I245" s="57"/>
    </row>
    <row r="246" spans="2:9" ht="20.100000000000001" customHeight="1" x14ac:dyDescent="0.3">
      <c r="B246" s="344">
        <v>238</v>
      </c>
      <c r="C246" s="342" t="str">
        <f t="shared" si="20"/>
        <v/>
      </c>
      <c r="D246" s="341" t="str">
        <f t="shared" si="18"/>
        <v/>
      </c>
      <c r="E246" s="328" t="str">
        <f t="shared" si="21"/>
        <v/>
      </c>
      <c r="F246" s="339" t="str">
        <f t="shared" si="19"/>
        <v/>
      </c>
      <c r="G246" s="328" t="str">
        <f t="shared" si="22"/>
        <v/>
      </c>
      <c r="H246" s="340" t="str">
        <f t="shared" si="23"/>
        <v/>
      </c>
      <c r="I246" s="57"/>
    </row>
    <row r="247" spans="2:9" ht="20.100000000000001" customHeight="1" x14ac:dyDescent="0.3">
      <c r="B247" s="344">
        <v>239</v>
      </c>
      <c r="C247" s="342" t="str">
        <f t="shared" si="20"/>
        <v/>
      </c>
      <c r="D247" s="341" t="str">
        <f t="shared" si="18"/>
        <v/>
      </c>
      <c r="E247" s="328" t="str">
        <f t="shared" si="21"/>
        <v/>
      </c>
      <c r="F247" s="339" t="str">
        <f t="shared" si="19"/>
        <v/>
      </c>
      <c r="G247" s="328" t="str">
        <f t="shared" si="22"/>
        <v/>
      </c>
      <c r="H247" s="340" t="str">
        <f t="shared" si="23"/>
        <v/>
      </c>
      <c r="I247" s="57"/>
    </row>
    <row r="248" spans="2:9" ht="20.100000000000001" customHeight="1" x14ac:dyDescent="0.3">
      <c r="B248" s="344">
        <v>240</v>
      </c>
      <c r="C248" s="342" t="str">
        <f t="shared" si="20"/>
        <v/>
      </c>
      <c r="D248" s="341" t="str">
        <f t="shared" si="18"/>
        <v/>
      </c>
      <c r="E248" s="328" t="str">
        <f t="shared" si="21"/>
        <v/>
      </c>
      <c r="F248" s="339" t="str">
        <f t="shared" si="19"/>
        <v/>
      </c>
      <c r="G248" s="328" t="str">
        <f t="shared" si="22"/>
        <v/>
      </c>
      <c r="H248" s="340" t="str">
        <f t="shared" si="23"/>
        <v/>
      </c>
      <c r="I248" s="57"/>
    </row>
    <row r="249" spans="2:9" ht="20.100000000000001" customHeight="1" x14ac:dyDescent="0.3">
      <c r="B249" s="344">
        <v>241</v>
      </c>
      <c r="C249" s="342" t="str">
        <f t="shared" si="20"/>
        <v/>
      </c>
      <c r="D249" s="341" t="str">
        <f t="shared" si="18"/>
        <v/>
      </c>
      <c r="E249" s="328" t="str">
        <f t="shared" si="21"/>
        <v/>
      </c>
      <c r="F249" s="339" t="str">
        <f t="shared" si="19"/>
        <v/>
      </c>
      <c r="G249" s="328" t="str">
        <f t="shared" si="22"/>
        <v/>
      </c>
      <c r="H249" s="340" t="str">
        <f t="shared" si="23"/>
        <v/>
      </c>
      <c r="I249" s="57"/>
    </row>
    <row r="250" spans="2:9" ht="20.100000000000001" customHeight="1" x14ac:dyDescent="0.3">
      <c r="B250" s="344">
        <v>242</v>
      </c>
      <c r="C250" s="342" t="str">
        <f t="shared" si="20"/>
        <v/>
      </c>
      <c r="D250" s="341" t="str">
        <f t="shared" si="18"/>
        <v/>
      </c>
      <c r="E250" s="328" t="str">
        <f t="shared" si="21"/>
        <v/>
      </c>
      <c r="F250" s="339" t="str">
        <f t="shared" si="19"/>
        <v/>
      </c>
      <c r="G250" s="328" t="str">
        <f t="shared" si="22"/>
        <v/>
      </c>
      <c r="H250" s="340" t="str">
        <f t="shared" si="23"/>
        <v/>
      </c>
      <c r="I250" s="57"/>
    </row>
    <row r="251" spans="2:9" ht="20.100000000000001" customHeight="1" x14ac:dyDescent="0.3">
      <c r="B251" s="344">
        <v>243</v>
      </c>
      <c r="C251" s="342" t="str">
        <f t="shared" si="20"/>
        <v/>
      </c>
      <c r="D251" s="341" t="str">
        <f t="shared" si="18"/>
        <v/>
      </c>
      <c r="E251" s="328" t="str">
        <f t="shared" si="21"/>
        <v/>
      </c>
      <c r="F251" s="339" t="str">
        <f t="shared" si="19"/>
        <v/>
      </c>
      <c r="G251" s="328" t="str">
        <f t="shared" si="22"/>
        <v/>
      </c>
      <c r="H251" s="340" t="str">
        <f t="shared" si="23"/>
        <v/>
      </c>
      <c r="I251" s="57"/>
    </row>
    <row r="252" spans="2:9" ht="20.100000000000001" customHeight="1" x14ac:dyDescent="0.3">
      <c r="B252" s="344">
        <v>244</v>
      </c>
      <c r="C252" s="342" t="str">
        <f t="shared" si="20"/>
        <v/>
      </c>
      <c r="D252" s="341" t="str">
        <f t="shared" si="18"/>
        <v/>
      </c>
      <c r="E252" s="328" t="str">
        <f t="shared" si="21"/>
        <v/>
      </c>
      <c r="F252" s="339" t="str">
        <f t="shared" si="19"/>
        <v/>
      </c>
      <c r="G252" s="328" t="str">
        <f t="shared" si="22"/>
        <v/>
      </c>
      <c r="H252" s="340" t="str">
        <f t="shared" si="23"/>
        <v/>
      </c>
      <c r="I252" s="57"/>
    </row>
    <row r="253" spans="2:9" ht="20.100000000000001" customHeight="1" x14ac:dyDescent="0.3">
      <c r="B253" s="344">
        <v>245</v>
      </c>
      <c r="C253" s="342" t="str">
        <f t="shared" si="20"/>
        <v/>
      </c>
      <c r="D253" s="341" t="str">
        <f t="shared" si="18"/>
        <v/>
      </c>
      <c r="E253" s="328" t="str">
        <f t="shared" si="21"/>
        <v/>
      </c>
      <c r="F253" s="339" t="str">
        <f t="shared" si="19"/>
        <v/>
      </c>
      <c r="G253" s="328" t="str">
        <f t="shared" si="22"/>
        <v/>
      </c>
      <c r="H253" s="340" t="str">
        <f t="shared" si="23"/>
        <v/>
      </c>
      <c r="I253" s="57"/>
    </row>
    <row r="254" spans="2:9" ht="20.100000000000001" customHeight="1" x14ac:dyDescent="0.3">
      <c r="B254" s="344">
        <v>246</v>
      </c>
      <c r="C254" s="342" t="str">
        <f t="shared" si="20"/>
        <v/>
      </c>
      <c r="D254" s="341" t="str">
        <f t="shared" si="18"/>
        <v/>
      </c>
      <c r="E254" s="328" t="str">
        <f t="shared" si="21"/>
        <v/>
      </c>
      <c r="F254" s="339" t="str">
        <f t="shared" si="19"/>
        <v/>
      </c>
      <c r="G254" s="328" t="str">
        <f t="shared" si="22"/>
        <v/>
      </c>
      <c r="H254" s="340" t="str">
        <f t="shared" si="23"/>
        <v/>
      </c>
      <c r="I254" s="57"/>
    </row>
    <row r="255" spans="2:9" ht="20.100000000000001" customHeight="1" x14ac:dyDescent="0.3">
      <c r="B255" s="344">
        <v>247</v>
      </c>
      <c r="C255" s="342" t="str">
        <f t="shared" si="20"/>
        <v/>
      </c>
      <c r="D255" s="341" t="str">
        <f t="shared" si="18"/>
        <v/>
      </c>
      <c r="E255" s="328" t="str">
        <f t="shared" si="21"/>
        <v/>
      </c>
      <c r="F255" s="339" t="str">
        <f t="shared" si="19"/>
        <v/>
      </c>
      <c r="G255" s="328" t="str">
        <f t="shared" si="22"/>
        <v/>
      </c>
      <c r="H255" s="340" t="str">
        <f t="shared" si="23"/>
        <v/>
      </c>
      <c r="I255" s="57"/>
    </row>
    <row r="256" spans="2:9" ht="20.100000000000001" customHeight="1" x14ac:dyDescent="0.3">
      <c r="B256" s="344">
        <v>248</v>
      </c>
      <c r="C256" s="342" t="str">
        <f t="shared" si="20"/>
        <v/>
      </c>
      <c r="D256" s="341" t="str">
        <f t="shared" si="18"/>
        <v/>
      </c>
      <c r="E256" s="328" t="str">
        <f t="shared" si="21"/>
        <v/>
      </c>
      <c r="F256" s="339" t="str">
        <f t="shared" si="19"/>
        <v/>
      </c>
      <c r="G256" s="328" t="str">
        <f t="shared" si="22"/>
        <v/>
      </c>
      <c r="H256" s="340" t="str">
        <f t="shared" si="23"/>
        <v/>
      </c>
      <c r="I256" s="57"/>
    </row>
    <row r="257" spans="2:9" ht="20.100000000000001" customHeight="1" x14ac:dyDescent="0.3">
      <c r="B257" s="344">
        <v>249</v>
      </c>
      <c r="C257" s="342" t="str">
        <f t="shared" si="20"/>
        <v/>
      </c>
      <c r="D257" s="341" t="str">
        <f t="shared" si="18"/>
        <v/>
      </c>
      <c r="E257" s="328" t="str">
        <f t="shared" si="21"/>
        <v/>
      </c>
      <c r="F257" s="339" t="str">
        <f t="shared" si="19"/>
        <v/>
      </c>
      <c r="G257" s="328" t="str">
        <f t="shared" si="22"/>
        <v/>
      </c>
      <c r="H257" s="340" t="str">
        <f t="shared" si="23"/>
        <v/>
      </c>
      <c r="I257" s="57"/>
    </row>
    <row r="258" spans="2:9" ht="20.100000000000001" customHeight="1" x14ac:dyDescent="0.3">
      <c r="B258" s="344">
        <v>250</v>
      </c>
      <c r="C258" s="342" t="str">
        <f t="shared" si="20"/>
        <v/>
      </c>
      <c r="D258" s="341" t="str">
        <f t="shared" si="18"/>
        <v/>
      </c>
      <c r="E258" s="328" t="str">
        <f t="shared" si="21"/>
        <v/>
      </c>
      <c r="F258" s="339" t="str">
        <f t="shared" si="19"/>
        <v/>
      </c>
      <c r="G258" s="328" t="str">
        <f t="shared" si="22"/>
        <v/>
      </c>
      <c r="H258" s="340" t="str">
        <f t="shared" si="23"/>
        <v/>
      </c>
      <c r="I258" s="57"/>
    </row>
    <row r="259" spans="2:9" ht="20.100000000000001" customHeight="1" x14ac:dyDescent="0.3">
      <c r="B259" s="344">
        <v>251</v>
      </c>
      <c r="C259" s="342" t="str">
        <f t="shared" si="20"/>
        <v/>
      </c>
      <c r="D259" s="341" t="str">
        <f t="shared" si="18"/>
        <v/>
      </c>
      <c r="E259" s="328" t="str">
        <f t="shared" si="21"/>
        <v/>
      </c>
      <c r="F259" s="339" t="str">
        <f t="shared" si="19"/>
        <v/>
      </c>
      <c r="G259" s="328" t="str">
        <f t="shared" si="22"/>
        <v/>
      </c>
      <c r="H259" s="340" t="str">
        <f t="shared" si="23"/>
        <v/>
      </c>
      <c r="I259" s="57"/>
    </row>
    <row r="260" spans="2:9" ht="20.100000000000001" customHeight="1" x14ac:dyDescent="0.3">
      <c r="B260" s="344">
        <v>252</v>
      </c>
      <c r="C260" s="342" t="str">
        <f t="shared" si="20"/>
        <v/>
      </c>
      <c r="D260" s="341" t="str">
        <f t="shared" si="18"/>
        <v/>
      </c>
      <c r="E260" s="328" t="str">
        <f t="shared" si="21"/>
        <v/>
      </c>
      <c r="F260" s="339" t="str">
        <f t="shared" si="19"/>
        <v/>
      </c>
      <c r="G260" s="328" t="str">
        <f t="shared" si="22"/>
        <v/>
      </c>
      <c r="H260" s="340" t="str">
        <f t="shared" si="23"/>
        <v/>
      </c>
      <c r="I260" s="57"/>
    </row>
    <row r="261" spans="2:9" ht="20.100000000000001" customHeight="1" x14ac:dyDescent="0.3">
      <c r="B261" s="344">
        <v>253</v>
      </c>
      <c r="C261" s="342" t="str">
        <f t="shared" si="20"/>
        <v/>
      </c>
      <c r="D261" s="341" t="str">
        <f t="shared" si="18"/>
        <v/>
      </c>
      <c r="E261" s="328" t="str">
        <f t="shared" si="21"/>
        <v/>
      </c>
      <c r="F261" s="339" t="str">
        <f t="shared" si="19"/>
        <v/>
      </c>
      <c r="G261" s="328" t="str">
        <f t="shared" si="22"/>
        <v/>
      </c>
      <c r="H261" s="340" t="str">
        <f t="shared" si="23"/>
        <v/>
      </c>
      <c r="I261" s="57"/>
    </row>
    <row r="262" spans="2:9" ht="20.100000000000001" customHeight="1" x14ac:dyDescent="0.3">
      <c r="B262" s="344">
        <v>254</v>
      </c>
      <c r="C262" s="342" t="str">
        <f t="shared" si="20"/>
        <v/>
      </c>
      <c r="D262" s="341" t="str">
        <f t="shared" si="18"/>
        <v/>
      </c>
      <c r="E262" s="328" t="str">
        <f t="shared" si="21"/>
        <v/>
      </c>
      <c r="F262" s="339" t="str">
        <f t="shared" si="19"/>
        <v/>
      </c>
      <c r="G262" s="328" t="str">
        <f t="shared" si="22"/>
        <v/>
      </c>
      <c r="H262" s="340" t="str">
        <f t="shared" si="23"/>
        <v/>
      </c>
      <c r="I262" s="57"/>
    </row>
    <row r="263" spans="2:9" ht="20.100000000000001" customHeight="1" x14ac:dyDescent="0.3">
      <c r="B263" s="344">
        <v>255</v>
      </c>
      <c r="C263" s="342" t="str">
        <f t="shared" si="20"/>
        <v/>
      </c>
      <c r="D263" s="341" t="str">
        <f t="shared" si="18"/>
        <v/>
      </c>
      <c r="E263" s="328" t="str">
        <f t="shared" si="21"/>
        <v/>
      </c>
      <c r="F263" s="339" t="str">
        <f t="shared" si="19"/>
        <v/>
      </c>
      <c r="G263" s="328" t="str">
        <f t="shared" si="22"/>
        <v/>
      </c>
      <c r="H263" s="340" t="str">
        <f t="shared" si="23"/>
        <v/>
      </c>
      <c r="I263" s="57"/>
    </row>
    <row r="264" spans="2:9" ht="20.100000000000001" customHeight="1" x14ac:dyDescent="0.3">
      <c r="B264" s="344">
        <v>256</v>
      </c>
      <c r="C264" s="342" t="str">
        <f t="shared" si="20"/>
        <v/>
      </c>
      <c r="D264" s="341" t="str">
        <f t="shared" si="18"/>
        <v/>
      </c>
      <c r="E264" s="328" t="str">
        <f t="shared" si="21"/>
        <v/>
      </c>
      <c r="F264" s="339" t="str">
        <f t="shared" si="19"/>
        <v/>
      </c>
      <c r="G264" s="328" t="str">
        <f t="shared" si="22"/>
        <v/>
      </c>
      <c r="H264" s="340" t="str">
        <f t="shared" si="23"/>
        <v/>
      </c>
      <c r="I264" s="57"/>
    </row>
    <row r="265" spans="2:9" ht="20.100000000000001" customHeight="1" x14ac:dyDescent="0.3">
      <c r="B265" s="344">
        <v>257</v>
      </c>
      <c r="C265" s="342" t="str">
        <f t="shared" si="20"/>
        <v/>
      </c>
      <c r="D265" s="341" t="str">
        <f t="shared" si="18"/>
        <v/>
      </c>
      <c r="E265" s="328" t="str">
        <f t="shared" si="21"/>
        <v/>
      </c>
      <c r="F265" s="339" t="str">
        <f t="shared" si="19"/>
        <v/>
      </c>
      <c r="G265" s="328" t="str">
        <f t="shared" si="22"/>
        <v/>
      </c>
      <c r="H265" s="340" t="str">
        <f t="shared" si="23"/>
        <v/>
      </c>
      <c r="I265" s="57"/>
    </row>
    <row r="266" spans="2:9" ht="20.100000000000001" customHeight="1" x14ac:dyDescent="0.3">
      <c r="B266" s="344">
        <v>258</v>
      </c>
      <c r="C266" s="342" t="str">
        <f t="shared" si="20"/>
        <v/>
      </c>
      <c r="D266" s="341" t="str">
        <f t="shared" ref="D266:D329" si="24">IF($H$4="","",IF($F$4="원리금균등상환",IFERROR(IF(B266&lt;=$D$6,0,-PPMT($E$4/12,B266-$D$6,($B$6-$D$6),$D$4)),""),IF($F$4="원금균등상환",IF(B266&lt;($D$6+1),0,IF(B266&gt;$B$6,0,$D$4/($B$6-$D$6))),"")))</f>
        <v/>
      </c>
      <c r="E266" s="328" t="str">
        <f t="shared" si="21"/>
        <v/>
      </c>
      <c r="F266" s="339" t="str">
        <f t="shared" ref="F266:F329" si="25">IF($H$4="","",IF($F$4="원리금균등상환",IFERROR(D266+E266,""),IF($F$4="원금균등상환",D266+E266,"")))</f>
        <v/>
      </c>
      <c r="G266" s="328" t="str">
        <f t="shared" si="22"/>
        <v/>
      </c>
      <c r="H266" s="340" t="str">
        <f t="shared" si="23"/>
        <v/>
      </c>
      <c r="I266" s="57"/>
    </row>
    <row r="267" spans="2:9" ht="20.100000000000001" customHeight="1" x14ac:dyDescent="0.3">
      <c r="B267" s="344">
        <v>259</v>
      </c>
      <c r="C267" s="342" t="str">
        <f t="shared" ref="C267:C330" si="26">IF($H$4="","",IF(B267&gt;($B$6),"",IF(B267&lt;=($B$6),DATE(YEAR($G$4),MONTH($G$4)+B266,DAY($G$4)),"")))</f>
        <v/>
      </c>
      <c r="D267" s="341" t="str">
        <f t="shared" si="24"/>
        <v/>
      </c>
      <c r="E267" s="328" t="str">
        <f t="shared" ref="E267:E330" si="27">IF($H$4="","",IF($F$4="원리금균등상환",IFERROR(IF(B267&lt;=$D$6,$H266*($E$4/12),-IPMT($E$4/12,B267-$D$6,($B$6-$D$6),$D$4)),""),IF($F$4="원금균등상환",(H266-D267)*$E$4/12,"")))</f>
        <v/>
      </c>
      <c r="F267" s="339" t="str">
        <f t="shared" si="25"/>
        <v/>
      </c>
      <c r="G267" s="328" t="str">
        <f t="shared" ref="G267:G330" si="28">IFERROR(IF(B267&gt;(($D$6+$B$6)*12),"",IF(B267=1,D267,D267+G266)),"")</f>
        <v/>
      </c>
      <c r="H267" s="340" t="str">
        <f t="shared" ref="H267:H330" si="29">IFERROR(IF($H$4="","",H266-D267),"")</f>
        <v/>
      </c>
      <c r="I267" s="57"/>
    </row>
    <row r="268" spans="2:9" ht="20.100000000000001" customHeight="1" x14ac:dyDescent="0.3">
      <c r="B268" s="344">
        <v>260</v>
      </c>
      <c r="C268" s="342" t="str">
        <f t="shared" si="26"/>
        <v/>
      </c>
      <c r="D268" s="341" t="str">
        <f t="shared" si="24"/>
        <v/>
      </c>
      <c r="E268" s="328" t="str">
        <f t="shared" si="27"/>
        <v/>
      </c>
      <c r="F268" s="339" t="str">
        <f t="shared" si="25"/>
        <v/>
      </c>
      <c r="G268" s="328" t="str">
        <f t="shared" si="28"/>
        <v/>
      </c>
      <c r="H268" s="340" t="str">
        <f t="shared" si="29"/>
        <v/>
      </c>
      <c r="I268" s="57"/>
    </row>
    <row r="269" spans="2:9" ht="20.100000000000001" customHeight="1" x14ac:dyDescent="0.3">
      <c r="B269" s="344">
        <v>261</v>
      </c>
      <c r="C269" s="342" t="str">
        <f t="shared" si="26"/>
        <v/>
      </c>
      <c r="D269" s="341" t="str">
        <f t="shared" si="24"/>
        <v/>
      </c>
      <c r="E269" s="328" t="str">
        <f t="shared" si="27"/>
        <v/>
      </c>
      <c r="F269" s="339" t="str">
        <f t="shared" si="25"/>
        <v/>
      </c>
      <c r="G269" s="328" t="str">
        <f t="shared" si="28"/>
        <v/>
      </c>
      <c r="H269" s="340" t="str">
        <f t="shared" si="29"/>
        <v/>
      </c>
      <c r="I269" s="57"/>
    </row>
    <row r="270" spans="2:9" ht="20.100000000000001" customHeight="1" x14ac:dyDescent="0.3">
      <c r="B270" s="344">
        <v>262</v>
      </c>
      <c r="C270" s="342" t="str">
        <f t="shared" si="26"/>
        <v/>
      </c>
      <c r="D270" s="341" t="str">
        <f t="shared" si="24"/>
        <v/>
      </c>
      <c r="E270" s="328" t="str">
        <f t="shared" si="27"/>
        <v/>
      </c>
      <c r="F270" s="339" t="str">
        <f t="shared" si="25"/>
        <v/>
      </c>
      <c r="G270" s="328" t="str">
        <f t="shared" si="28"/>
        <v/>
      </c>
      <c r="H270" s="340" t="str">
        <f t="shared" si="29"/>
        <v/>
      </c>
      <c r="I270" s="57"/>
    </row>
    <row r="271" spans="2:9" ht="20.100000000000001" customHeight="1" x14ac:dyDescent="0.3">
      <c r="B271" s="344">
        <v>263</v>
      </c>
      <c r="C271" s="342" t="str">
        <f t="shared" si="26"/>
        <v/>
      </c>
      <c r="D271" s="341" t="str">
        <f t="shared" si="24"/>
        <v/>
      </c>
      <c r="E271" s="328" t="str">
        <f t="shared" si="27"/>
        <v/>
      </c>
      <c r="F271" s="339" t="str">
        <f t="shared" si="25"/>
        <v/>
      </c>
      <c r="G271" s="328" t="str">
        <f t="shared" si="28"/>
        <v/>
      </c>
      <c r="H271" s="340" t="str">
        <f t="shared" si="29"/>
        <v/>
      </c>
      <c r="I271" s="57"/>
    </row>
    <row r="272" spans="2:9" ht="20.100000000000001" customHeight="1" x14ac:dyDescent="0.3">
      <c r="B272" s="344">
        <v>264</v>
      </c>
      <c r="C272" s="342" t="str">
        <f t="shared" si="26"/>
        <v/>
      </c>
      <c r="D272" s="341" t="str">
        <f t="shared" si="24"/>
        <v/>
      </c>
      <c r="E272" s="328" t="str">
        <f t="shared" si="27"/>
        <v/>
      </c>
      <c r="F272" s="339" t="str">
        <f t="shared" si="25"/>
        <v/>
      </c>
      <c r="G272" s="328" t="str">
        <f t="shared" si="28"/>
        <v/>
      </c>
      <c r="H272" s="340" t="str">
        <f t="shared" si="29"/>
        <v/>
      </c>
      <c r="I272" s="57"/>
    </row>
    <row r="273" spans="2:9" ht="20.100000000000001" customHeight="1" x14ac:dyDescent="0.3">
      <c r="B273" s="344">
        <v>265</v>
      </c>
      <c r="C273" s="342" t="str">
        <f t="shared" si="26"/>
        <v/>
      </c>
      <c r="D273" s="341" t="str">
        <f t="shared" si="24"/>
        <v/>
      </c>
      <c r="E273" s="328" t="str">
        <f t="shared" si="27"/>
        <v/>
      </c>
      <c r="F273" s="339" t="str">
        <f t="shared" si="25"/>
        <v/>
      </c>
      <c r="G273" s="328" t="str">
        <f t="shared" si="28"/>
        <v/>
      </c>
      <c r="H273" s="340" t="str">
        <f t="shared" si="29"/>
        <v/>
      </c>
      <c r="I273" s="57"/>
    </row>
    <row r="274" spans="2:9" ht="20.100000000000001" customHeight="1" x14ac:dyDescent="0.3">
      <c r="B274" s="344">
        <v>266</v>
      </c>
      <c r="C274" s="342" t="str">
        <f t="shared" si="26"/>
        <v/>
      </c>
      <c r="D274" s="341" t="str">
        <f t="shared" si="24"/>
        <v/>
      </c>
      <c r="E274" s="328" t="str">
        <f t="shared" si="27"/>
        <v/>
      </c>
      <c r="F274" s="339" t="str">
        <f t="shared" si="25"/>
        <v/>
      </c>
      <c r="G274" s="328" t="str">
        <f t="shared" si="28"/>
        <v/>
      </c>
      <c r="H274" s="340" t="str">
        <f t="shared" si="29"/>
        <v/>
      </c>
      <c r="I274" s="57"/>
    </row>
    <row r="275" spans="2:9" ht="20.100000000000001" customHeight="1" x14ac:dyDescent="0.3">
      <c r="B275" s="344">
        <v>267</v>
      </c>
      <c r="C275" s="342" t="str">
        <f t="shared" si="26"/>
        <v/>
      </c>
      <c r="D275" s="341" t="str">
        <f t="shared" si="24"/>
        <v/>
      </c>
      <c r="E275" s="328" t="str">
        <f t="shared" si="27"/>
        <v/>
      </c>
      <c r="F275" s="339" t="str">
        <f t="shared" si="25"/>
        <v/>
      </c>
      <c r="G275" s="328" t="str">
        <f t="shared" si="28"/>
        <v/>
      </c>
      <c r="H275" s="340" t="str">
        <f t="shared" si="29"/>
        <v/>
      </c>
      <c r="I275" s="57"/>
    </row>
    <row r="276" spans="2:9" ht="20.100000000000001" customHeight="1" x14ac:dyDescent="0.3">
      <c r="B276" s="344">
        <v>268</v>
      </c>
      <c r="C276" s="342" t="str">
        <f t="shared" si="26"/>
        <v/>
      </c>
      <c r="D276" s="341" t="str">
        <f t="shared" si="24"/>
        <v/>
      </c>
      <c r="E276" s="328" t="str">
        <f t="shared" si="27"/>
        <v/>
      </c>
      <c r="F276" s="339" t="str">
        <f t="shared" si="25"/>
        <v/>
      </c>
      <c r="G276" s="328" t="str">
        <f t="shared" si="28"/>
        <v/>
      </c>
      <c r="H276" s="340" t="str">
        <f t="shared" si="29"/>
        <v/>
      </c>
      <c r="I276" s="57"/>
    </row>
    <row r="277" spans="2:9" ht="20.100000000000001" customHeight="1" x14ac:dyDescent="0.3">
      <c r="B277" s="344">
        <v>269</v>
      </c>
      <c r="C277" s="342" t="str">
        <f t="shared" si="26"/>
        <v/>
      </c>
      <c r="D277" s="341" t="str">
        <f t="shared" si="24"/>
        <v/>
      </c>
      <c r="E277" s="328" t="str">
        <f t="shared" si="27"/>
        <v/>
      </c>
      <c r="F277" s="339" t="str">
        <f t="shared" si="25"/>
        <v/>
      </c>
      <c r="G277" s="328" t="str">
        <f t="shared" si="28"/>
        <v/>
      </c>
      <c r="H277" s="340" t="str">
        <f t="shared" si="29"/>
        <v/>
      </c>
      <c r="I277" s="57"/>
    </row>
    <row r="278" spans="2:9" ht="20.100000000000001" customHeight="1" x14ac:dyDescent="0.3">
      <c r="B278" s="344">
        <v>270</v>
      </c>
      <c r="C278" s="342" t="str">
        <f t="shared" si="26"/>
        <v/>
      </c>
      <c r="D278" s="341" t="str">
        <f t="shared" si="24"/>
        <v/>
      </c>
      <c r="E278" s="328" t="str">
        <f t="shared" si="27"/>
        <v/>
      </c>
      <c r="F278" s="339" t="str">
        <f t="shared" si="25"/>
        <v/>
      </c>
      <c r="G278" s="328" t="str">
        <f t="shared" si="28"/>
        <v/>
      </c>
      <c r="H278" s="340" t="str">
        <f t="shared" si="29"/>
        <v/>
      </c>
      <c r="I278" s="57"/>
    </row>
    <row r="279" spans="2:9" ht="20.100000000000001" customHeight="1" x14ac:dyDescent="0.3">
      <c r="B279" s="344">
        <v>271</v>
      </c>
      <c r="C279" s="342" t="str">
        <f t="shared" si="26"/>
        <v/>
      </c>
      <c r="D279" s="341" t="str">
        <f t="shared" si="24"/>
        <v/>
      </c>
      <c r="E279" s="328" t="str">
        <f t="shared" si="27"/>
        <v/>
      </c>
      <c r="F279" s="339" t="str">
        <f t="shared" si="25"/>
        <v/>
      </c>
      <c r="G279" s="328" t="str">
        <f t="shared" si="28"/>
        <v/>
      </c>
      <c r="H279" s="340" t="str">
        <f t="shared" si="29"/>
        <v/>
      </c>
      <c r="I279" s="57"/>
    </row>
    <row r="280" spans="2:9" ht="20.100000000000001" customHeight="1" x14ac:dyDescent="0.3">
      <c r="B280" s="344">
        <v>272</v>
      </c>
      <c r="C280" s="342" t="str">
        <f t="shared" si="26"/>
        <v/>
      </c>
      <c r="D280" s="341" t="str">
        <f t="shared" si="24"/>
        <v/>
      </c>
      <c r="E280" s="328" t="str">
        <f t="shared" si="27"/>
        <v/>
      </c>
      <c r="F280" s="339" t="str">
        <f t="shared" si="25"/>
        <v/>
      </c>
      <c r="G280" s="328" t="str">
        <f t="shared" si="28"/>
        <v/>
      </c>
      <c r="H280" s="340" t="str">
        <f t="shared" si="29"/>
        <v/>
      </c>
      <c r="I280" s="57"/>
    </row>
    <row r="281" spans="2:9" ht="20.100000000000001" customHeight="1" x14ac:dyDescent="0.3">
      <c r="B281" s="344">
        <v>273</v>
      </c>
      <c r="C281" s="342" t="str">
        <f t="shared" si="26"/>
        <v/>
      </c>
      <c r="D281" s="341" t="str">
        <f t="shared" si="24"/>
        <v/>
      </c>
      <c r="E281" s="328" t="str">
        <f t="shared" si="27"/>
        <v/>
      </c>
      <c r="F281" s="339" t="str">
        <f t="shared" si="25"/>
        <v/>
      </c>
      <c r="G281" s="328" t="str">
        <f t="shared" si="28"/>
        <v/>
      </c>
      <c r="H281" s="340" t="str">
        <f t="shared" si="29"/>
        <v/>
      </c>
      <c r="I281" s="57"/>
    </row>
    <row r="282" spans="2:9" ht="20.100000000000001" customHeight="1" x14ac:dyDescent="0.3">
      <c r="B282" s="344">
        <v>274</v>
      </c>
      <c r="C282" s="342" t="str">
        <f t="shared" si="26"/>
        <v/>
      </c>
      <c r="D282" s="341" t="str">
        <f t="shared" si="24"/>
        <v/>
      </c>
      <c r="E282" s="328" t="str">
        <f t="shared" si="27"/>
        <v/>
      </c>
      <c r="F282" s="339" t="str">
        <f t="shared" si="25"/>
        <v/>
      </c>
      <c r="G282" s="328" t="str">
        <f t="shared" si="28"/>
        <v/>
      </c>
      <c r="H282" s="340" t="str">
        <f t="shared" si="29"/>
        <v/>
      </c>
      <c r="I282" s="57"/>
    </row>
    <row r="283" spans="2:9" ht="20.100000000000001" customHeight="1" x14ac:dyDescent="0.3">
      <c r="B283" s="344">
        <v>275</v>
      </c>
      <c r="C283" s="342" t="str">
        <f t="shared" si="26"/>
        <v/>
      </c>
      <c r="D283" s="341" t="str">
        <f t="shared" si="24"/>
        <v/>
      </c>
      <c r="E283" s="328" t="str">
        <f t="shared" si="27"/>
        <v/>
      </c>
      <c r="F283" s="339" t="str">
        <f t="shared" si="25"/>
        <v/>
      </c>
      <c r="G283" s="328" t="str">
        <f t="shared" si="28"/>
        <v/>
      </c>
      <c r="H283" s="340" t="str">
        <f t="shared" si="29"/>
        <v/>
      </c>
      <c r="I283" s="57"/>
    </row>
    <row r="284" spans="2:9" ht="20.100000000000001" customHeight="1" x14ac:dyDescent="0.3">
      <c r="B284" s="344">
        <v>276</v>
      </c>
      <c r="C284" s="342" t="str">
        <f t="shared" si="26"/>
        <v/>
      </c>
      <c r="D284" s="341" t="str">
        <f t="shared" si="24"/>
        <v/>
      </c>
      <c r="E284" s="328" t="str">
        <f t="shared" si="27"/>
        <v/>
      </c>
      <c r="F284" s="339" t="str">
        <f t="shared" si="25"/>
        <v/>
      </c>
      <c r="G284" s="328" t="str">
        <f t="shared" si="28"/>
        <v/>
      </c>
      <c r="H284" s="340" t="str">
        <f t="shared" si="29"/>
        <v/>
      </c>
      <c r="I284" s="57"/>
    </row>
    <row r="285" spans="2:9" ht="20.100000000000001" customHeight="1" x14ac:dyDescent="0.3">
      <c r="B285" s="344">
        <v>277</v>
      </c>
      <c r="C285" s="342" t="str">
        <f t="shared" si="26"/>
        <v/>
      </c>
      <c r="D285" s="341" t="str">
        <f t="shared" si="24"/>
        <v/>
      </c>
      <c r="E285" s="328" t="str">
        <f t="shared" si="27"/>
        <v/>
      </c>
      <c r="F285" s="339" t="str">
        <f t="shared" si="25"/>
        <v/>
      </c>
      <c r="G285" s="328" t="str">
        <f t="shared" si="28"/>
        <v/>
      </c>
      <c r="H285" s="340" t="str">
        <f t="shared" si="29"/>
        <v/>
      </c>
      <c r="I285" s="57"/>
    </row>
    <row r="286" spans="2:9" ht="20.100000000000001" customHeight="1" x14ac:dyDescent="0.3">
      <c r="B286" s="344">
        <v>278</v>
      </c>
      <c r="C286" s="342" t="str">
        <f t="shared" si="26"/>
        <v/>
      </c>
      <c r="D286" s="341" t="str">
        <f t="shared" si="24"/>
        <v/>
      </c>
      <c r="E286" s="328" t="str">
        <f t="shared" si="27"/>
        <v/>
      </c>
      <c r="F286" s="339" t="str">
        <f t="shared" si="25"/>
        <v/>
      </c>
      <c r="G286" s="328" t="str">
        <f t="shared" si="28"/>
        <v/>
      </c>
      <c r="H286" s="340" t="str">
        <f t="shared" si="29"/>
        <v/>
      </c>
      <c r="I286" s="57"/>
    </row>
    <row r="287" spans="2:9" ht="20.100000000000001" customHeight="1" x14ac:dyDescent="0.3">
      <c r="B287" s="344">
        <v>279</v>
      </c>
      <c r="C287" s="342" t="str">
        <f t="shared" si="26"/>
        <v/>
      </c>
      <c r="D287" s="341" t="str">
        <f t="shared" si="24"/>
        <v/>
      </c>
      <c r="E287" s="328" t="str">
        <f t="shared" si="27"/>
        <v/>
      </c>
      <c r="F287" s="339" t="str">
        <f t="shared" si="25"/>
        <v/>
      </c>
      <c r="G287" s="328" t="str">
        <f t="shared" si="28"/>
        <v/>
      </c>
      <c r="H287" s="340" t="str">
        <f t="shared" si="29"/>
        <v/>
      </c>
      <c r="I287" s="57"/>
    </row>
    <row r="288" spans="2:9" ht="20.100000000000001" customHeight="1" x14ac:dyDescent="0.3">
      <c r="B288" s="344">
        <v>280</v>
      </c>
      <c r="C288" s="342" t="str">
        <f t="shared" si="26"/>
        <v/>
      </c>
      <c r="D288" s="341" t="str">
        <f t="shared" si="24"/>
        <v/>
      </c>
      <c r="E288" s="328" t="str">
        <f t="shared" si="27"/>
        <v/>
      </c>
      <c r="F288" s="339" t="str">
        <f t="shared" si="25"/>
        <v/>
      </c>
      <c r="G288" s="328" t="str">
        <f t="shared" si="28"/>
        <v/>
      </c>
      <c r="H288" s="340" t="str">
        <f t="shared" si="29"/>
        <v/>
      </c>
      <c r="I288" s="57"/>
    </row>
    <row r="289" spans="2:9" ht="20.100000000000001" customHeight="1" x14ac:dyDescent="0.3">
      <c r="B289" s="344">
        <v>281</v>
      </c>
      <c r="C289" s="342" t="str">
        <f t="shared" si="26"/>
        <v/>
      </c>
      <c r="D289" s="341" t="str">
        <f t="shared" si="24"/>
        <v/>
      </c>
      <c r="E289" s="328" t="str">
        <f t="shared" si="27"/>
        <v/>
      </c>
      <c r="F289" s="339" t="str">
        <f t="shared" si="25"/>
        <v/>
      </c>
      <c r="G289" s="328" t="str">
        <f t="shared" si="28"/>
        <v/>
      </c>
      <c r="H289" s="340" t="str">
        <f t="shared" si="29"/>
        <v/>
      </c>
      <c r="I289" s="57"/>
    </row>
    <row r="290" spans="2:9" ht="20.100000000000001" customHeight="1" x14ac:dyDescent="0.3">
      <c r="B290" s="344">
        <v>282</v>
      </c>
      <c r="C290" s="342" t="str">
        <f t="shared" si="26"/>
        <v/>
      </c>
      <c r="D290" s="341" t="str">
        <f t="shared" si="24"/>
        <v/>
      </c>
      <c r="E290" s="328" t="str">
        <f t="shared" si="27"/>
        <v/>
      </c>
      <c r="F290" s="339" t="str">
        <f t="shared" si="25"/>
        <v/>
      </c>
      <c r="G290" s="328" t="str">
        <f t="shared" si="28"/>
        <v/>
      </c>
      <c r="H290" s="340" t="str">
        <f t="shared" si="29"/>
        <v/>
      </c>
      <c r="I290" s="57"/>
    </row>
    <row r="291" spans="2:9" ht="20.100000000000001" customHeight="1" x14ac:dyDescent="0.3">
      <c r="B291" s="344">
        <v>283</v>
      </c>
      <c r="C291" s="342" t="str">
        <f t="shared" si="26"/>
        <v/>
      </c>
      <c r="D291" s="341" t="str">
        <f t="shared" si="24"/>
        <v/>
      </c>
      <c r="E291" s="328" t="str">
        <f t="shared" si="27"/>
        <v/>
      </c>
      <c r="F291" s="339" t="str">
        <f t="shared" si="25"/>
        <v/>
      </c>
      <c r="G291" s="328" t="str">
        <f t="shared" si="28"/>
        <v/>
      </c>
      <c r="H291" s="340" t="str">
        <f t="shared" si="29"/>
        <v/>
      </c>
      <c r="I291" s="57"/>
    </row>
    <row r="292" spans="2:9" ht="20.100000000000001" customHeight="1" x14ac:dyDescent="0.3">
      <c r="B292" s="344">
        <v>284</v>
      </c>
      <c r="C292" s="342" t="str">
        <f t="shared" si="26"/>
        <v/>
      </c>
      <c r="D292" s="341" t="str">
        <f t="shared" si="24"/>
        <v/>
      </c>
      <c r="E292" s="328" t="str">
        <f t="shared" si="27"/>
        <v/>
      </c>
      <c r="F292" s="339" t="str">
        <f t="shared" si="25"/>
        <v/>
      </c>
      <c r="G292" s="328" t="str">
        <f t="shared" si="28"/>
        <v/>
      </c>
      <c r="H292" s="340" t="str">
        <f t="shared" si="29"/>
        <v/>
      </c>
      <c r="I292" s="57"/>
    </row>
    <row r="293" spans="2:9" ht="20.100000000000001" customHeight="1" x14ac:dyDescent="0.3">
      <c r="B293" s="344">
        <v>285</v>
      </c>
      <c r="C293" s="342" t="str">
        <f t="shared" si="26"/>
        <v/>
      </c>
      <c r="D293" s="341" t="str">
        <f t="shared" si="24"/>
        <v/>
      </c>
      <c r="E293" s="328" t="str">
        <f t="shared" si="27"/>
        <v/>
      </c>
      <c r="F293" s="339" t="str">
        <f t="shared" si="25"/>
        <v/>
      </c>
      <c r="G293" s="328" t="str">
        <f t="shared" si="28"/>
        <v/>
      </c>
      <c r="H293" s="340" t="str">
        <f t="shared" si="29"/>
        <v/>
      </c>
      <c r="I293" s="57"/>
    </row>
    <row r="294" spans="2:9" ht="20.100000000000001" customHeight="1" x14ac:dyDescent="0.3">
      <c r="B294" s="344">
        <v>286</v>
      </c>
      <c r="C294" s="342" t="str">
        <f t="shared" si="26"/>
        <v/>
      </c>
      <c r="D294" s="341" t="str">
        <f t="shared" si="24"/>
        <v/>
      </c>
      <c r="E294" s="328" t="str">
        <f t="shared" si="27"/>
        <v/>
      </c>
      <c r="F294" s="339" t="str">
        <f t="shared" si="25"/>
        <v/>
      </c>
      <c r="G294" s="328" t="str">
        <f t="shared" si="28"/>
        <v/>
      </c>
      <c r="H294" s="340" t="str">
        <f t="shared" si="29"/>
        <v/>
      </c>
      <c r="I294" s="57"/>
    </row>
    <row r="295" spans="2:9" ht="20.100000000000001" customHeight="1" x14ac:dyDescent="0.3">
      <c r="B295" s="344">
        <v>287</v>
      </c>
      <c r="C295" s="342" t="str">
        <f t="shared" si="26"/>
        <v/>
      </c>
      <c r="D295" s="341" t="str">
        <f t="shared" si="24"/>
        <v/>
      </c>
      <c r="E295" s="328" t="str">
        <f t="shared" si="27"/>
        <v/>
      </c>
      <c r="F295" s="339" t="str">
        <f t="shared" si="25"/>
        <v/>
      </c>
      <c r="G295" s="328" t="str">
        <f t="shared" si="28"/>
        <v/>
      </c>
      <c r="H295" s="340" t="str">
        <f t="shared" si="29"/>
        <v/>
      </c>
      <c r="I295" s="57"/>
    </row>
    <row r="296" spans="2:9" ht="20.100000000000001" customHeight="1" x14ac:dyDescent="0.3">
      <c r="B296" s="344">
        <v>288</v>
      </c>
      <c r="C296" s="342" t="str">
        <f t="shared" si="26"/>
        <v/>
      </c>
      <c r="D296" s="341" t="str">
        <f t="shared" si="24"/>
        <v/>
      </c>
      <c r="E296" s="328" t="str">
        <f t="shared" si="27"/>
        <v/>
      </c>
      <c r="F296" s="339" t="str">
        <f t="shared" si="25"/>
        <v/>
      </c>
      <c r="G296" s="328" t="str">
        <f t="shared" si="28"/>
        <v/>
      </c>
      <c r="H296" s="340" t="str">
        <f t="shared" si="29"/>
        <v/>
      </c>
      <c r="I296" s="57"/>
    </row>
    <row r="297" spans="2:9" ht="20.100000000000001" customHeight="1" x14ac:dyDescent="0.3">
      <c r="B297" s="344">
        <v>289</v>
      </c>
      <c r="C297" s="342" t="str">
        <f t="shared" si="26"/>
        <v/>
      </c>
      <c r="D297" s="341" t="str">
        <f t="shared" si="24"/>
        <v/>
      </c>
      <c r="E297" s="328" t="str">
        <f t="shared" si="27"/>
        <v/>
      </c>
      <c r="F297" s="339" t="str">
        <f t="shared" si="25"/>
        <v/>
      </c>
      <c r="G297" s="328" t="str">
        <f t="shared" si="28"/>
        <v/>
      </c>
      <c r="H297" s="340" t="str">
        <f t="shared" si="29"/>
        <v/>
      </c>
      <c r="I297" s="57"/>
    </row>
    <row r="298" spans="2:9" ht="20.100000000000001" customHeight="1" x14ac:dyDescent="0.3">
      <c r="B298" s="344">
        <v>290</v>
      </c>
      <c r="C298" s="342" t="str">
        <f t="shared" si="26"/>
        <v/>
      </c>
      <c r="D298" s="341" t="str">
        <f t="shared" si="24"/>
        <v/>
      </c>
      <c r="E298" s="328" t="str">
        <f t="shared" si="27"/>
        <v/>
      </c>
      <c r="F298" s="339" t="str">
        <f t="shared" si="25"/>
        <v/>
      </c>
      <c r="G298" s="328" t="str">
        <f t="shared" si="28"/>
        <v/>
      </c>
      <c r="H298" s="340" t="str">
        <f t="shared" si="29"/>
        <v/>
      </c>
      <c r="I298" s="57"/>
    </row>
    <row r="299" spans="2:9" ht="20.100000000000001" customHeight="1" x14ac:dyDescent="0.3">
      <c r="B299" s="344">
        <v>291</v>
      </c>
      <c r="C299" s="342" t="str">
        <f t="shared" si="26"/>
        <v/>
      </c>
      <c r="D299" s="341" t="str">
        <f t="shared" si="24"/>
        <v/>
      </c>
      <c r="E299" s="328" t="str">
        <f t="shared" si="27"/>
        <v/>
      </c>
      <c r="F299" s="339" t="str">
        <f t="shared" si="25"/>
        <v/>
      </c>
      <c r="G299" s="328" t="str">
        <f t="shared" si="28"/>
        <v/>
      </c>
      <c r="H299" s="340" t="str">
        <f t="shared" si="29"/>
        <v/>
      </c>
      <c r="I299" s="57"/>
    </row>
    <row r="300" spans="2:9" ht="20.100000000000001" customHeight="1" x14ac:dyDescent="0.3">
      <c r="B300" s="344">
        <v>292</v>
      </c>
      <c r="C300" s="342" t="str">
        <f t="shared" si="26"/>
        <v/>
      </c>
      <c r="D300" s="341" t="str">
        <f t="shared" si="24"/>
        <v/>
      </c>
      <c r="E300" s="328" t="str">
        <f t="shared" si="27"/>
        <v/>
      </c>
      <c r="F300" s="339" t="str">
        <f t="shared" si="25"/>
        <v/>
      </c>
      <c r="G300" s="328" t="str">
        <f t="shared" si="28"/>
        <v/>
      </c>
      <c r="H300" s="340" t="str">
        <f t="shared" si="29"/>
        <v/>
      </c>
      <c r="I300" s="57"/>
    </row>
    <row r="301" spans="2:9" ht="20.100000000000001" customHeight="1" x14ac:dyDescent="0.3">
      <c r="B301" s="344">
        <v>293</v>
      </c>
      <c r="C301" s="342" t="str">
        <f t="shared" si="26"/>
        <v/>
      </c>
      <c r="D301" s="341" t="str">
        <f t="shared" si="24"/>
        <v/>
      </c>
      <c r="E301" s="328" t="str">
        <f t="shared" si="27"/>
        <v/>
      </c>
      <c r="F301" s="339" t="str">
        <f t="shared" si="25"/>
        <v/>
      </c>
      <c r="G301" s="328" t="str">
        <f t="shared" si="28"/>
        <v/>
      </c>
      <c r="H301" s="340" t="str">
        <f t="shared" si="29"/>
        <v/>
      </c>
      <c r="I301" s="57"/>
    </row>
    <row r="302" spans="2:9" ht="20.100000000000001" customHeight="1" x14ac:dyDescent="0.3">
      <c r="B302" s="344">
        <v>294</v>
      </c>
      <c r="C302" s="342" t="str">
        <f t="shared" si="26"/>
        <v/>
      </c>
      <c r="D302" s="341" t="str">
        <f t="shared" si="24"/>
        <v/>
      </c>
      <c r="E302" s="328" t="str">
        <f t="shared" si="27"/>
        <v/>
      </c>
      <c r="F302" s="339" t="str">
        <f t="shared" si="25"/>
        <v/>
      </c>
      <c r="G302" s="328" t="str">
        <f t="shared" si="28"/>
        <v/>
      </c>
      <c r="H302" s="340" t="str">
        <f t="shared" si="29"/>
        <v/>
      </c>
      <c r="I302" s="57"/>
    </row>
    <row r="303" spans="2:9" ht="20.100000000000001" customHeight="1" x14ac:dyDescent="0.3">
      <c r="B303" s="344">
        <v>295</v>
      </c>
      <c r="C303" s="342" t="str">
        <f t="shared" si="26"/>
        <v/>
      </c>
      <c r="D303" s="341" t="str">
        <f t="shared" si="24"/>
        <v/>
      </c>
      <c r="E303" s="328" t="str">
        <f t="shared" si="27"/>
        <v/>
      </c>
      <c r="F303" s="339" t="str">
        <f t="shared" si="25"/>
        <v/>
      </c>
      <c r="G303" s="328" t="str">
        <f t="shared" si="28"/>
        <v/>
      </c>
      <c r="H303" s="340" t="str">
        <f t="shared" si="29"/>
        <v/>
      </c>
      <c r="I303" s="57"/>
    </row>
    <row r="304" spans="2:9" ht="20.100000000000001" customHeight="1" x14ac:dyDescent="0.3">
      <c r="B304" s="344">
        <v>296</v>
      </c>
      <c r="C304" s="342" t="str">
        <f t="shared" si="26"/>
        <v/>
      </c>
      <c r="D304" s="341" t="str">
        <f t="shared" si="24"/>
        <v/>
      </c>
      <c r="E304" s="328" t="str">
        <f t="shared" si="27"/>
        <v/>
      </c>
      <c r="F304" s="339" t="str">
        <f t="shared" si="25"/>
        <v/>
      </c>
      <c r="G304" s="328" t="str">
        <f t="shared" si="28"/>
        <v/>
      </c>
      <c r="H304" s="340" t="str">
        <f t="shared" si="29"/>
        <v/>
      </c>
      <c r="I304" s="57"/>
    </row>
    <row r="305" spans="2:9" ht="20.100000000000001" customHeight="1" x14ac:dyDescent="0.3">
      <c r="B305" s="344">
        <v>297</v>
      </c>
      <c r="C305" s="342" t="str">
        <f t="shared" si="26"/>
        <v/>
      </c>
      <c r="D305" s="341" t="str">
        <f t="shared" si="24"/>
        <v/>
      </c>
      <c r="E305" s="328" t="str">
        <f t="shared" si="27"/>
        <v/>
      </c>
      <c r="F305" s="339" t="str">
        <f t="shared" si="25"/>
        <v/>
      </c>
      <c r="G305" s="328" t="str">
        <f t="shared" si="28"/>
        <v/>
      </c>
      <c r="H305" s="340" t="str">
        <f t="shared" si="29"/>
        <v/>
      </c>
      <c r="I305" s="57"/>
    </row>
    <row r="306" spans="2:9" ht="20.100000000000001" customHeight="1" x14ac:dyDescent="0.3">
      <c r="B306" s="344">
        <v>298</v>
      </c>
      <c r="C306" s="342" t="str">
        <f t="shared" si="26"/>
        <v/>
      </c>
      <c r="D306" s="341" t="str">
        <f t="shared" si="24"/>
        <v/>
      </c>
      <c r="E306" s="328" t="str">
        <f t="shared" si="27"/>
        <v/>
      </c>
      <c r="F306" s="339" t="str">
        <f t="shared" si="25"/>
        <v/>
      </c>
      <c r="G306" s="328" t="str">
        <f t="shared" si="28"/>
        <v/>
      </c>
      <c r="H306" s="340" t="str">
        <f t="shared" si="29"/>
        <v/>
      </c>
      <c r="I306" s="57"/>
    </row>
    <row r="307" spans="2:9" ht="20.100000000000001" customHeight="1" x14ac:dyDescent="0.3">
      <c r="B307" s="344">
        <v>299</v>
      </c>
      <c r="C307" s="342" t="str">
        <f t="shared" si="26"/>
        <v/>
      </c>
      <c r="D307" s="341" t="str">
        <f t="shared" si="24"/>
        <v/>
      </c>
      <c r="E307" s="328" t="str">
        <f t="shared" si="27"/>
        <v/>
      </c>
      <c r="F307" s="339" t="str">
        <f t="shared" si="25"/>
        <v/>
      </c>
      <c r="G307" s="328" t="str">
        <f t="shared" si="28"/>
        <v/>
      </c>
      <c r="H307" s="340" t="str">
        <f t="shared" si="29"/>
        <v/>
      </c>
      <c r="I307" s="57"/>
    </row>
    <row r="308" spans="2:9" ht="20.100000000000001" customHeight="1" x14ac:dyDescent="0.3">
      <c r="B308" s="344">
        <v>300</v>
      </c>
      <c r="C308" s="342" t="str">
        <f t="shared" si="26"/>
        <v/>
      </c>
      <c r="D308" s="341" t="str">
        <f t="shared" si="24"/>
        <v/>
      </c>
      <c r="E308" s="328" t="str">
        <f t="shared" si="27"/>
        <v/>
      </c>
      <c r="F308" s="339" t="str">
        <f t="shared" si="25"/>
        <v/>
      </c>
      <c r="G308" s="328" t="str">
        <f t="shared" si="28"/>
        <v/>
      </c>
      <c r="H308" s="340" t="str">
        <f t="shared" si="29"/>
        <v/>
      </c>
      <c r="I308" s="57"/>
    </row>
    <row r="309" spans="2:9" ht="20.100000000000001" customHeight="1" x14ac:dyDescent="0.3">
      <c r="B309" s="344">
        <v>301</v>
      </c>
      <c r="C309" s="342" t="str">
        <f t="shared" si="26"/>
        <v/>
      </c>
      <c r="D309" s="341" t="str">
        <f t="shared" si="24"/>
        <v/>
      </c>
      <c r="E309" s="328" t="str">
        <f t="shared" si="27"/>
        <v/>
      </c>
      <c r="F309" s="339" t="str">
        <f t="shared" si="25"/>
        <v/>
      </c>
      <c r="G309" s="328" t="str">
        <f t="shared" si="28"/>
        <v/>
      </c>
      <c r="H309" s="340" t="str">
        <f t="shared" si="29"/>
        <v/>
      </c>
      <c r="I309" s="57"/>
    </row>
    <row r="310" spans="2:9" ht="20.100000000000001" customHeight="1" x14ac:dyDescent="0.3">
      <c r="B310" s="344">
        <v>302</v>
      </c>
      <c r="C310" s="342" t="str">
        <f t="shared" si="26"/>
        <v/>
      </c>
      <c r="D310" s="341" t="str">
        <f t="shared" si="24"/>
        <v/>
      </c>
      <c r="E310" s="328" t="str">
        <f t="shared" si="27"/>
        <v/>
      </c>
      <c r="F310" s="339" t="str">
        <f t="shared" si="25"/>
        <v/>
      </c>
      <c r="G310" s="328" t="str">
        <f t="shared" si="28"/>
        <v/>
      </c>
      <c r="H310" s="340" t="str">
        <f t="shared" si="29"/>
        <v/>
      </c>
      <c r="I310" s="57"/>
    </row>
    <row r="311" spans="2:9" ht="20.100000000000001" customHeight="1" x14ac:dyDescent="0.3">
      <c r="B311" s="344">
        <v>303</v>
      </c>
      <c r="C311" s="342" t="str">
        <f t="shared" si="26"/>
        <v/>
      </c>
      <c r="D311" s="341" t="str">
        <f t="shared" si="24"/>
        <v/>
      </c>
      <c r="E311" s="328" t="str">
        <f t="shared" si="27"/>
        <v/>
      </c>
      <c r="F311" s="339" t="str">
        <f t="shared" si="25"/>
        <v/>
      </c>
      <c r="G311" s="328" t="str">
        <f t="shared" si="28"/>
        <v/>
      </c>
      <c r="H311" s="340" t="str">
        <f t="shared" si="29"/>
        <v/>
      </c>
      <c r="I311" s="57"/>
    </row>
    <row r="312" spans="2:9" ht="20.100000000000001" customHeight="1" x14ac:dyDescent="0.3">
      <c r="B312" s="344">
        <v>304</v>
      </c>
      <c r="C312" s="342" t="str">
        <f t="shared" si="26"/>
        <v/>
      </c>
      <c r="D312" s="341" t="str">
        <f t="shared" si="24"/>
        <v/>
      </c>
      <c r="E312" s="328" t="str">
        <f t="shared" si="27"/>
        <v/>
      </c>
      <c r="F312" s="339" t="str">
        <f t="shared" si="25"/>
        <v/>
      </c>
      <c r="G312" s="328" t="str">
        <f t="shared" si="28"/>
        <v/>
      </c>
      <c r="H312" s="340" t="str">
        <f t="shared" si="29"/>
        <v/>
      </c>
      <c r="I312" s="57"/>
    </row>
    <row r="313" spans="2:9" ht="20.100000000000001" customHeight="1" x14ac:dyDescent="0.3">
      <c r="B313" s="344">
        <v>305</v>
      </c>
      <c r="C313" s="342" t="str">
        <f t="shared" si="26"/>
        <v/>
      </c>
      <c r="D313" s="341" t="str">
        <f t="shared" si="24"/>
        <v/>
      </c>
      <c r="E313" s="328" t="str">
        <f t="shared" si="27"/>
        <v/>
      </c>
      <c r="F313" s="339" t="str">
        <f t="shared" si="25"/>
        <v/>
      </c>
      <c r="G313" s="328" t="str">
        <f t="shared" si="28"/>
        <v/>
      </c>
      <c r="H313" s="340" t="str">
        <f t="shared" si="29"/>
        <v/>
      </c>
      <c r="I313" s="57"/>
    </row>
    <row r="314" spans="2:9" ht="20.100000000000001" customHeight="1" x14ac:dyDescent="0.3">
      <c r="B314" s="344">
        <v>306</v>
      </c>
      <c r="C314" s="342" t="str">
        <f t="shared" si="26"/>
        <v/>
      </c>
      <c r="D314" s="341" t="str">
        <f t="shared" si="24"/>
        <v/>
      </c>
      <c r="E314" s="328" t="str">
        <f t="shared" si="27"/>
        <v/>
      </c>
      <c r="F314" s="339" t="str">
        <f t="shared" si="25"/>
        <v/>
      </c>
      <c r="G314" s="328" t="str">
        <f t="shared" si="28"/>
        <v/>
      </c>
      <c r="H314" s="340" t="str">
        <f t="shared" si="29"/>
        <v/>
      </c>
      <c r="I314" s="57"/>
    </row>
    <row r="315" spans="2:9" ht="20.100000000000001" customHeight="1" x14ac:dyDescent="0.3">
      <c r="B315" s="344">
        <v>307</v>
      </c>
      <c r="C315" s="342" t="str">
        <f t="shared" si="26"/>
        <v/>
      </c>
      <c r="D315" s="341" t="str">
        <f t="shared" si="24"/>
        <v/>
      </c>
      <c r="E315" s="328" t="str">
        <f t="shared" si="27"/>
        <v/>
      </c>
      <c r="F315" s="339" t="str">
        <f t="shared" si="25"/>
        <v/>
      </c>
      <c r="G315" s="328" t="str">
        <f t="shared" si="28"/>
        <v/>
      </c>
      <c r="H315" s="340" t="str">
        <f t="shared" si="29"/>
        <v/>
      </c>
      <c r="I315" s="57"/>
    </row>
    <row r="316" spans="2:9" ht="20.100000000000001" customHeight="1" x14ac:dyDescent="0.3">
      <c r="B316" s="344">
        <v>308</v>
      </c>
      <c r="C316" s="342" t="str">
        <f t="shared" si="26"/>
        <v/>
      </c>
      <c r="D316" s="341" t="str">
        <f t="shared" si="24"/>
        <v/>
      </c>
      <c r="E316" s="328" t="str">
        <f t="shared" si="27"/>
        <v/>
      </c>
      <c r="F316" s="339" t="str">
        <f t="shared" si="25"/>
        <v/>
      </c>
      <c r="G316" s="328" t="str">
        <f t="shared" si="28"/>
        <v/>
      </c>
      <c r="H316" s="340" t="str">
        <f t="shared" si="29"/>
        <v/>
      </c>
      <c r="I316" s="57"/>
    </row>
    <row r="317" spans="2:9" ht="20.100000000000001" customHeight="1" x14ac:dyDescent="0.3">
      <c r="B317" s="344">
        <v>309</v>
      </c>
      <c r="C317" s="342" t="str">
        <f t="shared" si="26"/>
        <v/>
      </c>
      <c r="D317" s="341" t="str">
        <f t="shared" si="24"/>
        <v/>
      </c>
      <c r="E317" s="328" t="str">
        <f t="shared" si="27"/>
        <v/>
      </c>
      <c r="F317" s="339" t="str">
        <f t="shared" si="25"/>
        <v/>
      </c>
      <c r="G317" s="328" t="str">
        <f t="shared" si="28"/>
        <v/>
      </c>
      <c r="H317" s="340" t="str">
        <f t="shared" si="29"/>
        <v/>
      </c>
      <c r="I317" s="57"/>
    </row>
    <row r="318" spans="2:9" ht="20.100000000000001" customHeight="1" x14ac:dyDescent="0.3">
      <c r="B318" s="344">
        <v>310</v>
      </c>
      <c r="C318" s="342" t="str">
        <f t="shared" si="26"/>
        <v/>
      </c>
      <c r="D318" s="341" t="str">
        <f t="shared" si="24"/>
        <v/>
      </c>
      <c r="E318" s="328" t="str">
        <f t="shared" si="27"/>
        <v/>
      </c>
      <c r="F318" s="339" t="str">
        <f t="shared" si="25"/>
        <v/>
      </c>
      <c r="G318" s="328" t="str">
        <f t="shared" si="28"/>
        <v/>
      </c>
      <c r="H318" s="340" t="str">
        <f t="shared" si="29"/>
        <v/>
      </c>
      <c r="I318" s="57"/>
    </row>
    <row r="319" spans="2:9" ht="20.100000000000001" customHeight="1" x14ac:dyDescent="0.3">
      <c r="B319" s="344">
        <v>311</v>
      </c>
      <c r="C319" s="342" t="str">
        <f t="shared" si="26"/>
        <v/>
      </c>
      <c r="D319" s="341" t="str">
        <f t="shared" si="24"/>
        <v/>
      </c>
      <c r="E319" s="328" t="str">
        <f t="shared" si="27"/>
        <v/>
      </c>
      <c r="F319" s="339" t="str">
        <f t="shared" si="25"/>
        <v/>
      </c>
      <c r="G319" s="328" t="str">
        <f t="shared" si="28"/>
        <v/>
      </c>
      <c r="H319" s="340" t="str">
        <f t="shared" si="29"/>
        <v/>
      </c>
      <c r="I319" s="57"/>
    </row>
    <row r="320" spans="2:9" ht="20.100000000000001" customHeight="1" x14ac:dyDescent="0.3">
      <c r="B320" s="344">
        <v>312</v>
      </c>
      <c r="C320" s="342" t="str">
        <f t="shared" si="26"/>
        <v/>
      </c>
      <c r="D320" s="341" t="str">
        <f t="shared" si="24"/>
        <v/>
      </c>
      <c r="E320" s="328" t="str">
        <f t="shared" si="27"/>
        <v/>
      </c>
      <c r="F320" s="339" t="str">
        <f t="shared" si="25"/>
        <v/>
      </c>
      <c r="G320" s="328" t="str">
        <f t="shared" si="28"/>
        <v/>
      </c>
      <c r="H320" s="340" t="str">
        <f t="shared" si="29"/>
        <v/>
      </c>
      <c r="I320" s="57"/>
    </row>
    <row r="321" spans="2:9" ht="20.100000000000001" customHeight="1" x14ac:dyDescent="0.3">
      <c r="B321" s="344">
        <v>313</v>
      </c>
      <c r="C321" s="342" t="str">
        <f t="shared" si="26"/>
        <v/>
      </c>
      <c r="D321" s="341" t="str">
        <f t="shared" si="24"/>
        <v/>
      </c>
      <c r="E321" s="328" t="str">
        <f t="shared" si="27"/>
        <v/>
      </c>
      <c r="F321" s="339" t="str">
        <f t="shared" si="25"/>
        <v/>
      </c>
      <c r="G321" s="328" t="str">
        <f t="shared" si="28"/>
        <v/>
      </c>
      <c r="H321" s="340" t="str">
        <f t="shared" si="29"/>
        <v/>
      </c>
      <c r="I321" s="57"/>
    </row>
    <row r="322" spans="2:9" ht="20.100000000000001" customHeight="1" x14ac:dyDescent="0.3">
      <c r="B322" s="344">
        <v>314</v>
      </c>
      <c r="C322" s="342" t="str">
        <f t="shared" si="26"/>
        <v/>
      </c>
      <c r="D322" s="341" t="str">
        <f t="shared" si="24"/>
        <v/>
      </c>
      <c r="E322" s="328" t="str">
        <f t="shared" si="27"/>
        <v/>
      </c>
      <c r="F322" s="339" t="str">
        <f t="shared" si="25"/>
        <v/>
      </c>
      <c r="G322" s="328" t="str">
        <f t="shared" si="28"/>
        <v/>
      </c>
      <c r="H322" s="340" t="str">
        <f t="shared" si="29"/>
        <v/>
      </c>
      <c r="I322" s="57"/>
    </row>
    <row r="323" spans="2:9" ht="20.100000000000001" customHeight="1" x14ac:dyDescent="0.3">
      <c r="B323" s="344">
        <v>315</v>
      </c>
      <c r="C323" s="342" t="str">
        <f t="shared" si="26"/>
        <v/>
      </c>
      <c r="D323" s="341" t="str">
        <f t="shared" si="24"/>
        <v/>
      </c>
      <c r="E323" s="328" t="str">
        <f t="shared" si="27"/>
        <v/>
      </c>
      <c r="F323" s="339" t="str">
        <f t="shared" si="25"/>
        <v/>
      </c>
      <c r="G323" s="328" t="str">
        <f t="shared" si="28"/>
        <v/>
      </c>
      <c r="H323" s="340" t="str">
        <f t="shared" si="29"/>
        <v/>
      </c>
      <c r="I323" s="57"/>
    </row>
    <row r="324" spans="2:9" ht="20.100000000000001" customHeight="1" x14ac:dyDescent="0.3">
      <c r="B324" s="344">
        <v>316</v>
      </c>
      <c r="C324" s="342" t="str">
        <f t="shared" si="26"/>
        <v/>
      </c>
      <c r="D324" s="341" t="str">
        <f t="shared" si="24"/>
        <v/>
      </c>
      <c r="E324" s="328" t="str">
        <f t="shared" si="27"/>
        <v/>
      </c>
      <c r="F324" s="339" t="str">
        <f t="shared" si="25"/>
        <v/>
      </c>
      <c r="G324" s="328" t="str">
        <f t="shared" si="28"/>
        <v/>
      </c>
      <c r="H324" s="340" t="str">
        <f t="shared" si="29"/>
        <v/>
      </c>
      <c r="I324" s="57"/>
    </row>
    <row r="325" spans="2:9" ht="20.100000000000001" customHeight="1" x14ac:dyDescent="0.3">
      <c r="B325" s="344">
        <v>317</v>
      </c>
      <c r="C325" s="342" t="str">
        <f t="shared" si="26"/>
        <v/>
      </c>
      <c r="D325" s="341" t="str">
        <f t="shared" si="24"/>
        <v/>
      </c>
      <c r="E325" s="328" t="str">
        <f t="shared" si="27"/>
        <v/>
      </c>
      <c r="F325" s="339" t="str">
        <f t="shared" si="25"/>
        <v/>
      </c>
      <c r="G325" s="328" t="str">
        <f t="shared" si="28"/>
        <v/>
      </c>
      <c r="H325" s="340" t="str">
        <f t="shared" si="29"/>
        <v/>
      </c>
      <c r="I325" s="57"/>
    </row>
    <row r="326" spans="2:9" ht="20.100000000000001" customHeight="1" x14ac:dyDescent="0.3">
      <c r="B326" s="344">
        <v>318</v>
      </c>
      <c r="C326" s="342" t="str">
        <f t="shared" si="26"/>
        <v/>
      </c>
      <c r="D326" s="341" t="str">
        <f t="shared" si="24"/>
        <v/>
      </c>
      <c r="E326" s="328" t="str">
        <f t="shared" si="27"/>
        <v/>
      </c>
      <c r="F326" s="339" t="str">
        <f t="shared" si="25"/>
        <v/>
      </c>
      <c r="G326" s="328" t="str">
        <f t="shared" si="28"/>
        <v/>
      </c>
      <c r="H326" s="340" t="str">
        <f t="shared" si="29"/>
        <v/>
      </c>
      <c r="I326" s="57"/>
    </row>
    <row r="327" spans="2:9" ht="20.100000000000001" customHeight="1" x14ac:dyDescent="0.3">
      <c r="B327" s="344">
        <v>319</v>
      </c>
      <c r="C327" s="342" t="str">
        <f t="shared" si="26"/>
        <v/>
      </c>
      <c r="D327" s="341" t="str">
        <f t="shared" si="24"/>
        <v/>
      </c>
      <c r="E327" s="328" t="str">
        <f t="shared" si="27"/>
        <v/>
      </c>
      <c r="F327" s="339" t="str">
        <f t="shared" si="25"/>
        <v/>
      </c>
      <c r="G327" s="328" t="str">
        <f t="shared" si="28"/>
        <v/>
      </c>
      <c r="H327" s="340" t="str">
        <f t="shared" si="29"/>
        <v/>
      </c>
      <c r="I327" s="57"/>
    </row>
    <row r="328" spans="2:9" ht="20.100000000000001" customHeight="1" x14ac:dyDescent="0.3">
      <c r="B328" s="344">
        <v>320</v>
      </c>
      <c r="C328" s="342" t="str">
        <f t="shared" si="26"/>
        <v/>
      </c>
      <c r="D328" s="341" t="str">
        <f t="shared" si="24"/>
        <v/>
      </c>
      <c r="E328" s="328" t="str">
        <f t="shared" si="27"/>
        <v/>
      </c>
      <c r="F328" s="339" t="str">
        <f t="shared" si="25"/>
        <v/>
      </c>
      <c r="G328" s="328" t="str">
        <f t="shared" si="28"/>
        <v/>
      </c>
      <c r="H328" s="340" t="str">
        <f t="shared" si="29"/>
        <v/>
      </c>
      <c r="I328" s="57"/>
    </row>
    <row r="329" spans="2:9" ht="20.100000000000001" customHeight="1" x14ac:dyDescent="0.3">
      <c r="B329" s="344">
        <v>321</v>
      </c>
      <c r="C329" s="342" t="str">
        <f t="shared" si="26"/>
        <v/>
      </c>
      <c r="D329" s="341" t="str">
        <f t="shared" si="24"/>
        <v/>
      </c>
      <c r="E329" s="328" t="str">
        <f t="shared" si="27"/>
        <v/>
      </c>
      <c r="F329" s="339" t="str">
        <f t="shared" si="25"/>
        <v/>
      </c>
      <c r="G329" s="328" t="str">
        <f t="shared" si="28"/>
        <v/>
      </c>
      <c r="H329" s="340" t="str">
        <f t="shared" si="29"/>
        <v/>
      </c>
      <c r="I329" s="57"/>
    </row>
    <row r="330" spans="2:9" ht="20.100000000000001" customHeight="1" x14ac:dyDescent="0.3">
      <c r="B330" s="344">
        <v>322</v>
      </c>
      <c r="C330" s="342" t="str">
        <f t="shared" si="26"/>
        <v/>
      </c>
      <c r="D330" s="341" t="str">
        <f t="shared" ref="D330:D393" si="30">IF($H$4="","",IF($F$4="원리금균등상환",IFERROR(IF(B330&lt;=$D$6,0,-PPMT($E$4/12,B330-$D$6,($B$6-$D$6),$D$4)),""),IF($F$4="원금균등상환",IF(B330&lt;($D$6+1),0,IF(B330&gt;$B$6,0,$D$4/($B$6-$D$6))),"")))</f>
        <v/>
      </c>
      <c r="E330" s="328" t="str">
        <f t="shared" si="27"/>
        <v/>
      </c>
      <c r="F330" s="339" t="str">
        <f t="shared" ref="F330:F393" si="31">IF($H$4="","",IF($F$4="원리금균등상환",IFERROR(D330+E330,""),IF($F$4="원금균등상환",D330+E330,"")))</f>
        <v/>
      </c>
      <c r="G330" s="328" t="str">
        <f t="shared" si="28"/>
        <v/>
      </c>
      <c r="H330" s="340" t="str">
        <f t="shared" si="29"/>
        <v/>
      </c>
      <c r="I330" s="57"/>
    </row>
    <row r="331" spans="2:9" ht="20.100000000000001" customHeight="1" x14ac:dyDescent="0.3">
      <c r="B331" s="344">
        <v>323</v>
      </c>
      <c r="C331" s="342" t="str">
        <f t="shared" ref="C331:C394" si="32">IF($H$4="","",IF(B331&gt;($B$6),"",IF(B331&lt;=($B$6),DATE(YEAR($G$4),MONTH($G$4)+B330,DAY($G$4)),"")))</f>
        <v/>
      </c>
      <c r="D331" s="341" t="str">
        <f t="shared" si="30"/>
        <v/>
      </c>
      <c r="E331" s="328" t="str">
        <f t="shared" ref="E331:E394" si="33">IF($H$4="","",IF($F$4="원리금균등상환",IFERROR(IF(B331&lt;=$D$6,$H330*($E$4/12),-IPMT($E$4/12,B331-$D$6,($B$6-$D$6),$D$4)),""),IF($F$4="원금균등상환",(H330-D331)*$E$4/12,"")))</f>
        <v/>
      </c>
      <c r="F331" s="339" t="str">
        <f t="shared" si="31"/>
        <v/>
      </c>
      <c r="G331" s="328" t="str">
        <f t="shared" ref="G331:G394" si="34">IFERROR(IF(B331&gt;(($D$6+$B$6)*12),"",IF(B331=1,D331,D331+G330)),"")</f>
        <v/>
      </c>
      <c r="H331" s="340" t="str">
        <f t="shared" ref="H331:H394" si="35">IFERROR(IF($H$4="","",H330-D331),"")</f>
        <v/>
      </c>
      <c r="I331" s="57"/>
    </row>
    <row r="332" spans="2:9" ht="20.100000000000001" customHeight="1" x14ac:dyDescent="0.3">
      <c r="B332" s="344">
        <v>324</v>
      </c>
      <c r="C332" s="342" t="str">
        <f t="shared" si="32"/>
        <v/>
      </c>
      <c r="D332" s="341" t="str">
        <f t="shared" si="30"/>
        <v/>
      </c>
      <c r="E332" s="328" t="str">
        <f t="shared" si="33"/>
        <v/>
      </c>
      <c r="F332" s="339" t="str">
        <f t="shared" si="31"/>
        <v/>
      </c>
      <c r="G332" s="328" t="str">
        <f t="shared" si="34"/>
        <v/>
      </c>
      <c r="H332" s="340" t="str">
        <f t="shared" si="35"/>
        <v/>
      </c>
      <c r="I332" s="57"/>
    </row>
    <row r="333" spans="2:9" ht="20.100000000000001" customHeight="1" x14ac:dyDescent="0.3">
      <c r="B333" s="344">
        <v>325</v>
      </c>
      <c r="C333" s="342" t="str">
        <f t="shared" si="32"/>
        <v/>
      </c>
      <c r="D333" s="341" t="str">
        <f t="shared" si="30"/>
        <v/>
      </c>
      <c r="E333" s="328" t="str">
        <f t="shared" si="33"/>
        <v/>
      </c>
      <c r="F333" s="339" t="str">
        <f t="shared" si="31"/>
        <v/>
      </c>
      <c r="G333" s="328" t="str">
        <f t="shared" si="34"/>
        <v/>
      </c>
      <c r="H333" s="340" t="str">
        <f t="shared" si="35"/>
        <v/>
      </c>
      <c r="I333" s="57"/>
    </row>
    <row r="334" spans="2:9" ht="20.100000000000001" customHeight="1" x14ac:dyDescent="0.3">
      <c r="B334" s="344">
        <v>326</v>
      </c>
      <c r="C334" s="342" t="str">
        <f t="shared" si="32"/>
        <v/>
      </c>
      <c r="D334" s="341" t="str">
        <f t="shared" si="30"/>
        <v/>
      </c>
      <c r="E334" s="328" t="str">
        <f t="shared" si="33"/>
        <v/>
      </c>
      <c r="F334" s="339" t="str">
        <f t="shared" si="31"/>
        <v/>
      </c>
      <c r="G334" s="328" t="str">
        <f t="shared" si="34"/>
        <v/>
      </c>
      <c r="H334" s="340" t="str">
        <f t="shared" si="35"/>
        <v/>
      </c>
      <c r="I334" s="57"/>
    </row>
    <row r="335" spans="2:9" ht="20.100000000000001" customHeight="1" x14ac:dyDescent="0.3">
      <c r="B335" s="344">
        <v>327</v>
      </c>
      <c r="C335" s="342" t="str">
        <f t="shared" si="32"/>
        <v/>
      </c>
      <c r="D335" s="341" t="str">
        <f t="shared" si="30"/>
        <v/>
      </c>
      <c r="E335" s="328" t="str">
        <f t="shared" si="33"/>
        <v/>
      </c>
      <c r="F335" s="339" t="str">
        <f t="shared" si="31"/>
        <v/>
      </c>
      <c r="G335" s="328" t="str">
        <f t="shared" si="34"/>
        <v/>
      </c>
      <c r="H335" s="340" t="str">
        <f t="shared" si="35"/>
        <v/>
      </c>
      <c r="I335" s="57"/>
    </row>
    <row r="336" spans="2:9" ht="20.100000000000001" customHeight="1" x14ac:dyDescent="0.3">
      <c r="B336" s="344">
        <v>328</v>
      </c>
      <c r="C336" s="342" t="str">
        <f t="shared" si="32"/>
        <v/>
      </c>
      <c r="D336" s="341" t="str">
        <f t="shared" si="30"/>
        <v/>
      </c>
      <c r="E336" s="328" t="str">
        <f t="shared" si="33"/>
        <v/>
      </c>
      <c r="F336" s="339" t="str">
        <f t="shared" si="31"/>
        <v/>
      </c>
      <c r="G336" s="328" t="str">
        <f t="shared" si="34"/>
        <v/>
      </c>
      <c r="H336" s="340" t="str">
        <f t="shared" si="35"/>
        <v/>
      </c>
      <c r="I336" s="57"/>
    </row>
    <row r="337" spans="2:9" ht="20.100000000000001" customHeight="1" x14ac:dyDescent="0.3">
      <c r="B337" s="344">
        <v>329</v>
      </c>
      <c r="C337" s="342" t="str">
        <f t="shared" si="32"/>
        <v/>
      </c>
      <c r="D337" s="341" t="str">
        <f t="shared" si="30"/>
        <v/>
      </c>
      <c r="E337" s="328" t="str">
        <f t="shared" si="33"/>
        <v/>
      </c>
      <c r="F337" s="339" t="str">
        <f t="shared" si="31"/>
        <v/>
      </c>
      <c r="G337" s="328" t="str">
        <f t="shared" si="34"/>
        <v/>
      </c>
      <c r="H337" s="340" t="str">
        <f t="shared" si="35"/>
        <v/>
      </c>
      <c r="I337" s="57"/>
    </row>
    <row r="338" spans="2:9" ht="20.100000000000001" customHeight="1" x14ac:dyDescent="0.3">
      <c r="B338" s="344">
        <v>330</v>
      </c>
      <c r="C338" s="342" t="str">
        <f t="shared" si="32"/>
        <v/>
      </c>
      <c r="D338" s="341" t="str">
        <f t="shared" si="30"/>
        <v/>
      </c>
      <c r="E338" s="328" t="str">
        <f t="shared" si="33"/>
        <v/>
      </c>
      <c r="F338" s="339" t="str">
        <f t="shared" si="31"/>
        <v/>
      </c>
      <c r="G338" s="328" t="str">
        <f t="shared" si="34"/>
        <v/>
      </c>
      <c r="H338" s="340" t="str">
        <f t="shared" si="35"/>
        <v/>
      </c>
      <c r="I338" s="57"/>
    </row>
    <row r="339" spans="2:9" ht="20.100000000000001" customHeight="1" x14ac:dyDescent="0.3">
      <c r="B339" s="344">
        <v>331</v>
      </c>
      <c r="C339" s="342" t="str">
        <f t="shared" si="32"/>
        <v/>
      </c>
      <c r="D339" s="341" t="str">
        <f t="shared" si="30"/>
        <v/>
      </c>
      <c r="E339" s="328" t="str">
        <f t="shared" si="33"/>
        <v/>
      </c>
      <c r="F339" s="339" t="str">
        <f t="shared" si="31"/>
        <v/>
      </c>
      <c r="G339" s="328" t="str">
        <f t="shared" si="34"/>
        <v/>
      </c>
      <c r="H339" s="340" t="str">
        <f t="shared" si="35"/>
        <v/>
      </c>
      <c r="I339" s="57"/>
    </row>
    <row r="340" spans="2:9" ht="20.100000000000001" customHeight="1" x14ac:dyDescent="0.3">
      <c r="B340" s="344">
        <v>332</v>
      </c>
      <c r="C340" s="342" t="str">
        <f t="shared" si="32"/>
        <v/>
      </c>
      <c r="D340" s="341" t="str">
        <f t="shared" si="30"/>
        <v/>
      </c>
      <c r="E340" s="328" t="str">
        <f t="shared" si="33"/>
        <v/>
      </c>
      <c r="F340" s="339" t="str">
        <f t="shared" si="31"/>
        <v/>
      </c>
      <c r="G340" s="328" t="str">
        <f t="shared" si="34"/>
        <v/>
      </c>
      <c r="H340" s="340" t="str">
        <f t="shared" si="35"/>
        <v/>
      </c>
      <c r="I340" s="57"/>
    </row>
    <row r="341" spans="2:9" ht="20.100000000000001" customHeight="1" x14ac:dyDescent="0.3">
      <c r="B341" s="344">
        <v>333</v>
      </c>
      <c r="C341" s="342" t="str">
        <f t="shared" si="32"/>
        <v/>
      </c>
      <c r="D341" s="341" t="str">
        <f t="shared" si="30"/>
        <v/>
      </c>
      <c r="E341" s="328" t="str">
        <f t="shared" si="33"/>
        <v/>
      </c>
      <c r="F341" s="339" t="str">
        <f t="shared" si="31"/>
        <v/>
      </c>
      <c r="G341" s="328" t="str">
        <f t="shared" si="34"/>
        <v/>
      </c>
      <c r="H341" s="340" t="str">
        <f t="shared" si="35"/>
        <v/>
      </c>
      <c r="I341" s="57"/>
    </row>
    <row r="342" spans="2:9" ht="20.100000000000001" customHeight="1" x14ac:dyDescent="0.3">
      <c r="B342" s="344">
        <v>334</v>
      </c>
      <c r="C342" s="342" t="str">
        <f t="shared" si="32"/>
        <v/>
      </c>
      <c r="D342" s="341" t="str">
        <f t="shared" si="30"/>
        <v/>
      </c>
      <c r="E342" s="328" t="str">
        <f t="shared" si="33"/>
        <v/>
      </c>
      <c r="F342" s="339" t="str">
        <f t="shared" si="31"/>
        <v/>
      </c>
      <c r="G342" s="328" t="str">
        <f t="shared" si="34"/>
        <v/>
      </c>
      <c r="H342" s="340" t="str">
        <f t="shared" si="35"/>
        <v/>
      </c>
      <c r="I342" s="57"/>
    </row>
    <row r="343" spans="2:9" ht="20.100000000000001" customHeight="1" x14ac:dyDescent="0.3">
      <c r="B343" s="344">
        <v>335</v>
      </c>
      <c r="C343" s="342" t="str">
        <f t="shared" si="32"/>
        <v/>
      </c>
      <c r="D343" s="341" t="str">
        <f t="shared" si="30"/>
        <v/>
      </c>
      <c r="E343" s="328" t="str">
        <f t="shared" si="33"/>
        <v/>
      </c>
      <c r="F343" s="339" t="str">
        <f t="shared" si="31"/>
        <v/>
      </c>
      <c r="G343" s="328" t="str">
        <f t="shared" si="34"/>
        <v/>
      </c>
      <c r="H343" s="340" t="str">
        <f t="shared" si="35"/>
        <v/>
      </c>
      <c r="I343" s="57"/>
    </row>
    <row r="344" spans="2:9" ht="20.100000000000001" customHeight="1" x14ac:dyDescent="0.3">
      <c r="B344" s="344">
        <v>336</v>
      </c>
      <c r="C344" s="342" t="str">
        <f t="shared" si="32"/>
        <v/>
      </c>
      <c r="D344" s="341" t="str">
        <f t="shared" si="30"/>
        <v/>
      </c>
      <c r="E344" s="328" t="str">
        <f t="shared" si="33"/>
        <v/>
      </c>
      <c r="F344" s="339" t="str">
        <f t="shared" si="31"/>
        <v/>
      </c>
      <c r="G344" s="328" t="str">
        <f t="shared" si="34"/>
        <v/>
      </c>
      <c r="H344" s="340" t="str">
        <f t="shared" si="35"/>
        <v/>
      </c>
      <c r="I344" s="57"/>
    </row>
    <row r="345" spans="2:9" ht="20.100000000000001" customHeight="1" x14ac:dyDescent="0.3">
      <c r="B345" s="344">
        <v>337</v>
      </c>
      <c r="C345" s="342" t="str">
        <f t="shared" si="32"/>
        <v/>
      </c>
      <c r="D345" s="341" t="str">
        <f t="shared" si="30"/>
        <v/>
      </c>
      <c r="E345" s="328" t="str">
        <f t="shared" si="33"/>
        <v/>
      </c>
      <c r="F345" s="339" t="str">
        <f t="shared" si="31"/>
        <v/>
      </c>
      <c r="G345" s="328" t="str">
        <f t="shared" si="34"/>
        <v/>
      </c>
      <c r="H345" s="340" t="str">
        <f t="shared" si="35"/>
        <v/>
      </c>
      <c r="I345" s="57"/>
    </row>
    <row r="346" spans="2:9" ht="20.100000000000001" customHeight="1" x14ac:dyDescent="0.3">
      <c r="B346" s="344">
        <v>338</v>
      </c>
      <c r="C346" s="342" t="str">
        <f t="shared" si="32"/>
        <v/>
      </c>
      <c r="D346" s="341" t="str">
        <f t="shared" si="30"/>
        <v/>
      </c>
      <c r="E346" s="328" t="str">
        <f t="shared" si="33"/>
        <v/>
      </c>
      <c r="F346" s="339" t="str">
        <f t="shared" si="31"/>
        <v/>
      </c>
      <c r="G346" s="328" t="str">
        <f t="shared" si="34"/>
        <v/>
      </c>
      <c r="H346" s="340" t="str">
        <f t="shared" si="35"/>
        <v/>
      </c>
      <c r="I346" s="57"/>
    </row>
    <row r="347" spans="2:9" ht="20.100000000000001" customHeight="1" x14ac:dyDescent="0.3">
      <c r="B347" s="344">
        <v>339</v>
      </c>
      <c r="C347" s="342" t="str">
        <f t="shared" si="32"/>
        <v/>
      </c>
      <c r="D347" s="341" t="str">
        <f t="shared" si="30"/>
        <v/>
      </c>
      <c r="E347" s="328" t="str">
        <f t="shared" si="33"/>
        <v/>
      </c>
      <c r="F347" s="339" t="str">
        <f t="shared" si="31"/>
        <v/>
      </c>
      <c r="G347" s="328" t="str">
        <f t="shared" si="34"/>
        <v/>
      </c>
      <c r="H347" s="340" t="str">
        <f t="shared" si="35"/>
        <v/>
      </c>
      <c r="I347" s="57"/>
    </row>
    <row r="348" spans="2:9" ht="20.100000000000001" customHeight="1" x14ac:dyDescent="0.3">
      <c r="B348" s="344">
        <v>340</v>
      </c>
      <c r="C348" s="342" t="str">
        <f t="shared" si="32"/>
        <v/>
      </c>
      <c r="D348" s="341" t="str">
        <f t="shared" si="30"/>
        <v/>
      </c>
      <c r="E348" s="328" t="str">
        <f t="shared" si="33"/>
        <v/>
      </c>
      <c r="F348" s="339" t="str">
        <f t="shared" si="31"/>
        <v/>
      </c>
      <c r="G348" s="328" t="str">
        <f t="shared" si="34"/>
        <v/>
      </c>
      <c r="H348" s="340" t="str">
        <f t="shared" si="35"/>
        <v/>
      </c>
      <c r="I348" s="57"/>
    </row>
    <row r="349" spans="2:9" ht="20.100000000000001" customHeight="1" x14ac:dyDescent="0.3">
      <c r="B349" s="344">
        <v>341</v>
      </c>
      <c r="C349" s="342" t="str">
        <f t="shared" si="32"/>
        <v/>
      </c>
      <c r="D349" s="341" t="str">
        <f t="shared" si="30"/>
        <v/>
      </c>
      <c r="E349" s="328" t="str">
        <f t="shared" si="33"/>
        <v/>
      </c>
      <c r="F349" s="339" t="str">
        <f t="shared" si="31"/>
        <v/>
      </c>
      <c r="G349" s="328" t="str">
        <f t="shared" si="34"/>
        <v/>
      </c>
      <c r="H349" s="340" t="str">
        <f t="shared" si="35"/>
        <v/>
      </c>
      <c r="I349" s="57"/>
    </row>
    <row r="350" spans="2:9" ht="20.100000000000001" customHeight="1" x14ac:dyDescent="0.3">
      <c r="B350" s="344">
        <v>342</v>
      </c>
      <c r="C350" s="342" t="str">
        <f t="shared" si="32"/>
        <v/>
      </c>
      <c r="D350" s="341" t="str">
        <f t="shared" si="30"/>
        <v/>
      </c>
      <c r="E350" s="328" t="str">
        <f t="shared" si="33"/>
        <v/>
      </c>
      <c r="F350" s="339" t="str">
        <f t="shared" si="31"/>
        <v/>
      </c>
      <c r="G350" s="328" t="str">
        <f t="shared" si="34"/>
        <v/>
      </c>
      <c r="H350" s="340" t="str">
        <f t="shared" si="35"/>
        <v/>
      </c>
      <c r="I350" s="57"/>
    </row>
    <row r="351" spans="2:9" ht="20.100000000000001" customHeight="1" x14ac:dyDescent="0.3">
      <c r="B351" s="344">
        <v>343</v>
      </c>
      <c r="C351" s="342" t="str">
        <f t="shared" si="32"/>
        <v/>
      </c>
      <c r="D351" s="341" t="str">
        <f t="shared" si="30"/>
        <v/>
      </c>
      <c r="E351" s="328" t="str">
        <f t="shared" si="33"/>
        <v/>
      </c>
      <c r="F351" s="339" t="str">
        <f t="shared" si="31"/>
        <v/>
      </c>
      <c r="G351" s="328" t="str">
        <f t="shared" si="34"/>
        <v/>
      </c>
      <c r="H351" s="340" t="str">
        <f t="shared" si="35"/>
        <v/>
      </c>
      <c r="I351" s="57"/>
    </row>
    <row r="352" spans="2:9" ht="20.100000000000001" customHeight="1" x14ac:dyDescent="0.3">
      <c r="B352" s="344">
        <v>344</v>
      </c>
      <c r="C352" s="342" t="str">
        <f t="shared" si="32"/>
        <v/>
      </c>
      <c r="D352" s="341" t="str">
        <f t="shared" si="30"/>
        <v/>
      </c>
      <c r="E352" s="328" t="str">
        <f t="shared" si="33"/>
        <v/>
      </c>
      <c r="F352" s="339" t="str">
        <f t="shared" si="31"/>
        <v/>
      </c>
      <c r="G352" s="328" t="str">
        <f t="shared" si="34"/>
        <v/>
      </c>
      <c r="H352" s="340" t="str">
        <f t="shared" si="35"/>
        <v/>
      </c>
      <c r="I352" s="57"/>
    </row>
    <row r="353" spans="2:9" ht="20.100000000000001" customHeight="1" x14ac:dyDescent="0.3">
      <c r="B353" s="344">
        <v>345</v>
      </c>
      <c r="C353" s="342" t="str">
        <f t="shared" si="32"/>
        <v/>
      </c>
      <c r="D353" s="341" t="str">
        <f t="shared" si="30"/>
        <v/>
      </c>
      <c r="E353" s="328" t="str">
        <f t="shared" si="33"/>
        <v/>
      </c>
      <c r="F353" s="339" t="str">
        <f t="shared" si="31"/>
        <v/>
      </c>
      <c r="G353" s="328" t="str">
        <f t="shared" si="34"/>
        <v/>
      </c>
      <c r="H353" s="340" t="str">
        <f t="shared" si="35"/>
        <v/>
      </c>
      <c r="I353" s="57"/>
    </row>
    <row r="354" spans="2:9" ht="20.100000000000001" customHeight="1" x14ac:dyDescent="0.3">
      <c r="B354" s="344">
        <v>346</v>
      </c>
      <c r="C354" s="342" t="str">
        <f t="shared" si="32"/>
        <v/>
      </c>
      <c r="D354" s="341" t="str">
        <f t="shared" si="30"/>
        <v/>
      </c>
      <c r="E354" s="328" t="str">
        <f t="shared" si="33"/>
        <v/>
      </c>
      <c r="F354" s="339" t="str">
        <f t="shared" si="31"/>
        <v/>
      </c>
      <c r="G354" s="328" t="str">
        <f t="shared" si="34"/>
        <v/>
      </c>
      <c r="H354" s="340" t="str">
        <f t="shared" si="35"/>
        <v/>
      </c>
      <c r="I354" s="57"/>
    </row>
    <row r="355" spans="2:9" ht="20.100000000000001" customHeight="1" x14ac:dyDescent="0.3">
      <c r="B355" s="344">
        <v>347</v>
      </c>
      <c r="C355" s="342" t="str">
        <f t="shared" si="32"/>
        <v/>
      </c>
      <c r="D355" s="341" t="str">
        <f t="shared" si="30"/>
        <v/>
      </c>
      <c r="E355" s="328" t="str">
        <f t="shared" si="33"/>
        <v/>
      </c>
      <c r="F355" s="339" t="str">
        <f t="shared" si="31"/>
        <v/>
      </c>
      <c r="G355" s="328" t="str">
        <f t="shared" si="34"/>
        <v/>
      </c>
      <c r="H355" s="340" t="str">
        <f t="shared" si="35"/>
        <v/>
      </c>
      <c r="I355" s="57"/>
    </row>
    <row r="356" spans="2:9" ht="20.100000000000001" customHeight="1" x14ac:dyDescent="0.3">
      <c r="B356" s="344">
        <v>348</v>
      </c>
      <c r="C356" s="342" t="str">
        <f t="shared" si="32"/>
        <v/>
      </c>
      <c r="D356" s="341" t="str">
        <f t="shared" si="30"/>
        <v/>
      </c>
      <c r="E356" s="328" t="str">
        <f t="shared" si="33"/>
        <v/>
      </c>
      <c r="F356" s="339" t="str">
        <f t="shared" si="31"/>
        <v/>
      </c>
      <c r="G356" s="328" t="str">
        <f t="shared" si="34"/>
        <v/>
      </c>
      <c r="H356" s="340" t="str">
        <f t="shared" si="35"/>
        <v/>
      </c>
      <c r="I356" s="57"/>
    </row>
    <row r="357" spans="2:9" ht="20.100000000000001" customHeight="1" x14ac:dyDescent="0.3">
      <c r="B357" s="344">
        <v>349</v>
      </c>
      <c r="C357" s="342" t="str">
        <f t="shared" si="32"/>
        <v/>
      </c>
      <c r="D357" s="341" t="str">
        <f t="shared" si="30"/>
        <v/>
      </c>
      <c r="E357" s="328" t="str">
        <f t="shared" si="33"/>
        <v/>
      </c>
      <c r="F357" s="339" t="str">
        <f t="shared" si="31"/>
        <v/>
      </c>
      <c r="G357" s="328" t="str">
        <f t="shared" si="34"/>
        <v/>
      </c>
      <c r="H357" s="340" t="str">
        <f t="shared" si="35"/>
        <v/>
      </c>
      <c r="I357" s="57"/>
    </row>
    <row r="358" spans="2:9" ht="20.100000000000001" customHeight="1" x14ac:dyDescent="0.3">
      <c r="B358" s="344">
        <v>350</v>
      </c>
      <c r="C358" s="342" t="str">
        <f t="shared" si="32"/>
        <v/>
      </c>
      <c r="D358" s="341" t="str">
        <f t="shared" si="30"/>
        <v/>
      </c>
      <c r="E358" s="328" t="str">
        <f t="shared" si="33"/>
        <v/>
      </c>
      <c r="F358" s="339" t="str">
        <f t="shared" si="31"/>
        <v/>
      </c>
      <c r="G358" s="328" t="str">
        <f t="shared" si="34"/>
        <v/>
      </c>
      <c r="H358" s="340" t="str">
        <f t="shared" si="35"/>
        <v/>
      </c>
      <c r="I358" s="57"/>
    </row>
    <row r="359" spans="2:9" ht="20.100000000000001" customHeight="1" x14ac:dyDescent="0.3">
      <c r="B359" s="344">
        <v>351</v>
      </c>
      <c r="C359" s="342" t="str">
        <f t="shared" si="32"/>
        <v/>
      </c>
      <c r="D359" s="341" t="str">
        <f t="shared" si="30"/>
        <v/>
      </c>
      <c r="E359" s="328" t="str">
        <f t="shared" si="33"/>
        <v/>
      </c>
      <c r="F359" s="339" t="str">
        <f t="shared" si="31"/>
        <v/>
      </c>
      <c r="G359" s="328" t="str">
        <f t="shared" si="34"/>
        <v/>
      </c>
      <c r="H359" s="340" t="str">
        <f t="shared" si="35"/>
        <v/>
      </c>
      <c r="I359" s="57"/>
    </row>
    <row r="360" spans="2:9" ht="20.100000000000001" customHeight="1" x14ac:dyDescent="0.3">
      <c r="B360" s="344">
        <v>352</v>
      </c>
      <c r="C360" s="342" t="str">
        <f t="shared" si="32"/>
        <v/>
      </c>
      <c r="D360" s="341" t="str">
        <f t="shared" si="30"/>
        <v/>
      </c>
      <c r="E360" s="328" t="str">
        <f t="shared" si="33"/>
        <v/>
      </c>
      <c r="F360" s="339" t="str">
        <f t="shared" si="31"/>
        <v/>
      </c>
      <c r="G360" s="328" t="str">
        <f t="shared" si="34"/>
        <v/>
      </c>
      <c r="H360" s="340" t="str">
        <f t="shared" si="35"/>
        <v/>
      </c>
      <c r="I360" s="57"/>
    </row>
    <row r="361" spans="2:9" ht="20.100000000000001" customHeight="1" x14ac:dyDescent="0.3">
      <c r="B361" s="344">
        <v>353</v>
      </c>
      <c r="C361" s="342" t="str">
        <f t="shared" si="32"/>
        <v/>
      </c>
      <c r="D361" s="341" t="str">
        <f t="shared" si="30"/>
        <v/>
      </c>
      <c r="E361" s="328" t="str">
        <f t="shared" si="33"/>
        <v/>
      </c>
      <c r="F361" s="339" t="str">
        <f t="shared" si="31"/>
        <v/>
      </c>
      <c r="G361" s="328" t="str">
        <f t="shared" si="34"/>
        <v/>
      </c>
      <c r="H361" s="340" t="str">
        <f t="shared" si="35"/>
        <v/>
      </c>
      <c r="I361" s="57"/>
    </row>
    <row r="362" spans="2:9" ht="20.100000000000001" customHeight="1" x14ac:dyDescent="0.3">
      <c r="B362" s="344">
        <v>354</v>
      </c>
      <c r="C362" s="342" t="str">
        <f t="shared" si="32"/>
        <v/>
      </c>
      <c r="D362" s="341" t="str">
        <f t="shared" si="30"/>
        <v/>
      </c>
      <c r="E362" s="328" t="str">
        <f t="shared" si="33"/>
        <v/>
      </c>
      <c r="F362" s="339" t="str">
        <f t="shared" si="31"/>
        <v/>
      </c>
      <c r="G362" s="328" t="str">
        <f t="shared" si="34"/>
        <v/>
      </c>
      <c r="H362" s="340" t="str">
        <f t="shared" si="35"/>
        <v/>
      </c>
      <c r="I362" s="57"/>
    </row>
    <row r="363" spans="2:9" ht="20.100000000000001" customHeight="1" x14ac:dyDescent="0.3">
      <c r="B363" s="344">
        <v>355</v>
      </c>
      <c r="C363" s="342" t="str">
        <f t="shared" si="32"/>
        <v/>
      </c>
      <c r="D363" s="341" t="str">
        <f t="shared" si="30"/>
        <v/>
      </c>
      <c r="E363" s="328" t="str">
        <f t="shared" si="33"/>
        <v/>
      </c>
      <c r="F363" s="339" t="str">
        <f t="shared" si="31"/>
        <v/>
      </c>
      <c r="G363" s="328" t="str">
        <f t="shared" si="34"/>
        <v/>
      </c>
      <c r="H363" s="340" t="str">
        <f t="shared" si="35"/>
        <v/>
      </c>
      <c r="I363" s="57"/>
    </row>
    <row r="364" spans="2:9" ht="20.100000000000001" customHeight="1" x14ac:dyDescent="0.3">
      <c r="B364" s="344">
        <v>356</v>
      </c>
      <c r="C364" s="342" t="str">
        <f t="shared" si="32"/>
        <v/>
      </c>
      <c r="D364" s="341" t="str">
        <f t="shared" si="30"/>
        <v/>
      </c>
      <c r="E364" s="328" t="str">
        <f t="shared" si="33"/>
        <v/>
      </c>
      <c r="F364" s="339" t="str">
        <f t="shared" si="31"/>
        <v/>
      </c>
      <c r="G364" s="328" t="str">
        <f t="shared" si="34"/>
        <v/>
      </c>
      <c r="H364" s="340" t="str">
        <f t="shared" si="35"/>
        <v/>
      </c>
      <c r="I364" s="57"/>
    </row>
    <row r="365" spans="2:9" ht="20.100000000000001" customHeight="1" x14ac:dyDescent="0.3">
      <c r="B365" s="344">
        <v>357</v>
      </c>
      <c r="C365" s="342" t="str">
        <f t="shared" si="32"/>
        <v/>
      </c>
      <c r="D365" s="341" t="str">
        <f t="shared" si="30"/>
        <v/>
      </c>
      <c r="E365" s="328" t="str">
        <f t="shared" si="33"/>
        <v/>
      </c>
      <c r="F365" s="339" t="str">
        <f t="shared" si="31"/>
        <v/>
      </c>
      <c r="G365" s="328" t="str">
        <f t="shared" si="34"/>
        <v/>
      </c>
      <c r="H365" s="340" t="str">
        <f t="shared" si="35"/>
        <v/>
      </c>
      <c r="I365" s="57"/>
    </row>
    <row r="366" spans="2:9" ht="20.100000000000001" customHeight="1" x14ac:dyDescent="0.3">
      <c r="B366" s="344">
        <v>358</v>
      </c>
      <c r="C366" s="342" t="str">
        <f t="shared" si="32"/>
        <v/>
      </c>
      <c r="D366" s="341" t="str">
        <f t="shared" si="30"/>
        <v/>
      </c>
      <c r="E366" s="328" t="str">
        <f t="shared" si="33"/>
        <v/>
      </c>
      <c r="F366" s="339" t="str">
        <f t="shared" si="31"/>
        <v/>
      </c>
      <c r="G366" s="328" t="str">
        <f t="shared" si="34"/>
        <v/>
      </c>
      <c r="H366" s="340" t="str">
        <f t="shared" si="35"/>
        <v/>
      </c>
      <c r="I366" s="57"/>
    </row>
    <row r="367" spans="2:9" ht="20.100000000000001" customHeight="1" x14ac:dyDescent="0.3">
      <c r="B367" s="344">
        <v>359</v>
      </c>
      <c r="C367" s="342" t="str">
        <f t="shared" si="32"/>
        <v/>
      </c>
      <c r="D367" s="341" t="str">
        <f t="shared" si="30"/>
        <v/>
      </c>
      <c r="E367" s="328" t="str">
        <f t="shared" si="33"/>
        <v/>
      </c>
      <c r="F367" s="339" t="str">
        <f t="shared" si="31"/>
        <v/>
      </c>
      <c r="G367" s="328" t="str">
        <f t="shared" si="34"/>
        <v/>
      </c>
      <c r="H367" s="340" t="str">
        <f t="shared" si="35"/>
        <v/>
      </c>
      <c r="I367" s="57"/>
    </row>
    <row r="368" spans="2:9" ht="20.100000000000001" customHeight="1" x14ac:dyDescent="0.3">
      <c r="B368" s="344">
        <v>360</v>
      </c>
      <c r="C368" s="342" t="str">
        <f t="shared" si="32"/>
        <v/>
      </c>
      <c r="D368" s="341" t="str">
        <f t="shared" si="30"/>
        <v/>
      </c>
      <c r="E368" s="328" t="str">
        <f t="shared" si="33"/>
        <v/>
      </c>
      <c r="F368" s="339" t="str">
        <f t="shared" si="31"/>
        <v/>
      </c>
      <c r="G368" s="328" t="str">
        <f t="shared" si="34"/>
        <v/>
      </c>
      <c r="H368" s="340" t="str">
        <f t="shared" si="35"/>
        <v/>
      </c>
      <c r="I368" s="57"/>
    </row>
    <row r="369" spans="2:9" ht="20.100000000000001" customHeight="1" x14ac:dyDescent="0.3">
      <c r="B369" s="344">
        <v>361</v>
      </c>
      <c r="C369" s="342" t="str">
        <f t="shared" si="32"/>
        <v/>
      </c>
      <c r="D369" s="341" t="str">
        <f t="shared" si="30"/>
        <v/>
      </c>
      <c r="E369" s="328" t="str">
        <f t="shared" si="33"/>
        <v/>
      </c>
      <c r="F369" s="339" t="str">
        <f t="shared" si="31"/>
        <v/>
      </c>
      <c r="G369" s="328" t="str">
        <f t="shared" si="34"/>
        <v/>
      </c>
      <c r="H369" s="340" t="str">
        <f t="shared" si="35"/>
        <v/>
      </c>
      <c r="I369" s="57"/>
    </row>
    <row r="370" spans="2:9" ht="20.100000000000001" customHeight="1" x14ac:dyDescent="0.3">
      <c r="B370" s="344">
        <v>362</v>
      </c>
      <c r="C370" s="342" t="str">
        <f t="shared" si="32"/>
        <v/>
      </c>
      <c r="D370" s="341" t="str">
        <f t="shared" si="30"/>
        <v/>
      </c>
      <c r="E370" s="328" t="str">
        <f t="shared" si="33"/>
        <v/>
      </c>
      <c r="F370" s="339" t="str">
        <f t="shared" si="31"/>
        <v/>
      </c>
      <c r="G370" s="328" t="str">
        <f t="shared" si="34"/>
        <v/>
      </c>
      <c r="H370" s="340" t="str">
        <f t="shared" si="35"/>
        <v/>
      </c>
      <c r="I370" s="57"/>
    </row>
    <row r="371" spans="2:9" ht="20.100000000000001" customHeight="1" x14ac:dyDescent="0.3">
      <c r="B371" s="344">
        <v>363</v>
      </c>
      <c r="C371" s="342" t="str">
        <f t="shared" si="32"/>
        <v/>
      </c>
      <c r="D371" s="341" t="str">
        <f t="shared" si="30"/>
        <v/>
      </c>
      <c r="E371" s="328" t="str">
        <f t="shared" si="33"/>
        <v/>
      </c>
      <c r="F371" s="339" t="str">
        <f t="shared" si="31"/>
        <v/>
      </c>
      <c r="G371" s="328" t="str">
        <f t="shared" si="34"/>
        <v/>
      </c>
      <c r="H371" s="340" t="str">
        <f t="shared" si="35"/>
        <v/>
      </c>
      <c r="I371" s="57"/>
    </row>
    <row r="372" spans="2:9" ht="20.100000000000001" customHeight="1" x14ac:dyDescent="0.3">
      <c r="B372" s="344">
        <v>364</v>
      </c>
      <c r="C372" s="342" t="str">
        <f t="shared" si="32"/>
        <v/>
      </c>
      <c r="D372" s="341" t="str">
        <f t="shared" si="30"/>
        <v/>
      </c>
      <c r="E372" s="328" t="str">
        <f t="shared" si="33"/>
        <v/>
      </c>
      <c r="F372" s="339" t="str">
        <f t="shared" si="31"/>
        <v/>
      </c>
      <c r="G372" s="328" t="str">
        <f t="shared" si="34"/>
        <v/>
      </c>
      <c r="H372" s="340" t="str">
        <f t="shared" si="35"/>
        <v/>
      </c>
      <c r="I372" s="57"/>
    </row>
    <row r="373" spans="2:9" ht="20.100000000000001" customHeight="1" x14ac:dyDescent="0.3">
      <c r="B373" s="344">
        <v>365</v>
      </c>
      <c r="C373" s="342" t="str">
        <f t="shared" si="32"/>
        <v/>
      </c>
      <c r="D373" s="341" t="str">
        <f t="shared" si="30"/>
        <v/>
      </c>
      <c r="E373" s="328" t="str">
        <f t="shared" si="33"/>
        <v/>
      </c>
      <c r="F373" s="339" t="str">
        <f t="shared" si="31"/>
        <v/>
      </c>
      <c r="G373" s="328" t="str">
        <f t="shared" si="34"/>
        <v/>
      </c>
      <c r="H373" s="340" t="str">
        <f t="shared" si="35"/>
        <v/>
      </c>
      <c r="I373" s="57"/>
    </row>
    <row r="374" spans="2:9" ht="20.100000000000001" customHeight="1" x14ac:dyDescent="0.3">
      <c r="B374" s="344">
        <v>366</v>
      </c>
      <c r="C374" s="342" t="str">
        <f t="shared" si="32"/>
        <v/>
      </c>
      <c r="D374" s="341" t="str">
        <f t="shared" si="30"/>
        <v/>
      </c>
      <c r="E374" s="328" t="str">
        <f t="shared" si="33"/>
        <v/>
      </c>
      <c r="F374" s="339" t="str">
        <f t="shared" si="31"/>
        <v/>
      </c>
      <c r="G374" s="328" t="str">
        <f t="shared" si="34"/>
        <v/>
      </c>
      <c r="H374" s="340" t="str">
        <f t="shared" si="35"/>
        <v/>
      </c>
      <c r="I374" s="57"/>
    </row>
    <row r="375" spans="2:9" ht="20.100000000000001" customHeight="1" x14ac:dyDescent="0.3">
      <c r="B375" s="344">
        <v>367</v>
      </c>
      <c r="C375" s="342" t="str">
        <f t="shared" si="32"/>
        <v/>
      </c>
      <c r="D375" s="341" t="str">
        <f t="shared" si="30"/>
        <v/>
      </c>
      <c r="E375" s="328" t="str">
        <f t="shared" si="33"/>
        <v/>
      </c>
      <c r="F375" s="339" t="str">
        <f t="shared" si="31"/>
        <v/>
      </c>
      <c r="G375" s="328" t="str">
        <f t="shared" si="34"/>
        <v/>
      </c>
      <c r="H375" s="340" t="str">
        <f t="shared" si="35"/>
        <v/>
      </c>
      <c r="I375" s="57"/>
    </row>
    <row r="376" spans="2:9" ht="20.100000000000001" customHeight="1" x14ac:dyDescent="0.3">
      <c r="B376" s="344">
        <v>368</v>
      </c>
      <c r="C376" s="342" t="str">
        <f t="shared" si="32"/>
        <v/>
      </c>
      <c r="D376" s="341" t="str">
        <f t="shared" si="30"/>
        <v/>
      </c>
      <c r="E376" s="328" t="str">
        <f t="shared" si="33"/>
        <v/>
      </c>
      <c r="F376" s="339" t="str">
        <f t="shared" si="31"/>
        <v/>
      </c>
      <c r="G376" s="328" t="str">
        <f t="shared" si="34"/>
        <v/>
      </c>
      <c r="H376" s="340" t="str">
        <f t="shared" si="35"/>
        <v/>
      </c>
      <c r="I376" s="57"/>
    </row>
    <row r="377" spans="2:9" ht="20.100000000000001" customHeight="1" x14ac:dyDescent="0.3">
      <c r="B377" s="344">
        <v>369</v>
      </c>
      <c r="C377" s="342" t="str">
        <f t="shared" si="32"/>
        <v/>
      </c>
      <c r="D377" s="341" t="str">
        <f t="shared" si="30"/>
        <v/>
      </c>
      <c r="E377" s="328" t="str">
        <f t="shared" si="33"/>
        <v/>
      </c>
      <c r="F377" s="339" t="str">
        <f t="shared" si="31"/>
        <v/>
      </c>
      <c r="G377" s="328" t="str">
        <f t="shared" si="34"/>
        <v/>
      </c>
      <c r="H377" s="340" t="str">
        <f t="shared" si="35"/>
        <v/>
      </c>
      <c r="I377" s="57"/>
    </row>
    <row r="378" spans="2:9" ht="20.100000000000001" customHeight="1" x14ac:dyDescent="0.3">
      <c r="B378" s="344">
        <v>370</v>
      </c>
      <c r="C378" s="342" t="str">
        <f t="shared" si="32"/>
        <v/>
      </c>
      <c r="D378" s="341" t="str">
        <f t="shared" si="30"/>
        <v/>
      </c>
      <c r="E378" s="328" t="str">
        <f t="shared" si="33"/>
        <v/>
      </c>
      <c r="F378" s="339" t="str">
        <f t="shared" si="31"/>
        <v/>
      </c>
      <c r="G378" s="328" t="str">
        <f t="shared" si="34"/>
        <v/>
      </c>
      <c r="H378" s="340" t="str">
        <f t="shared" si="35"/>
        <v/>
      </c>
      <c r="I378" s="57"/>
    </row>
    <row r="379" spans="2:9" ht="20.100000000000001" customHeight="1" x14ac:dyDescent="0.3">
      <c r="B379" s="344">
        <v>371</v>
      </c>
      <c r="C379" s="342" t="str">
        <f t="shared" si="32"/>
        <v/>
      </c>
      <c r="D379" s="341" t="str">
        <f t="shared" si="30"/>
        <v/>
      </c>
      <c r="E379" s="328" t="str">
        <f t="shared" si="33"/>
        <v/>
      </c>
      <c r="F379" s="339" t="str">
        <f t="shared" si="31"/>
        <v/>
      </c>
      <c r="G379" s="328" t="str">
        <f t="shared" si="34"/>
        <v/>
      </c>
      <c r="H379" s="340" t="str">
        <f t="shared" si="35"/>
        <v/>
      </c>
      <c r="I379" s="57"/>
    </row>
    <row r="380" spans="2:9" ht="20.100000000000001" customHeight="1" x14ac:dyDescent="0.3">
      <c r="B380" s="344">
        <v>372</v>
      </c>
      <c r="C380" s="342" t="str">
        <f t="shared" si="32"/>
        <v/>
      </c>
      <c r="D380" s="341" t="str">
        <f t="shared" si="30"/>
        <v/>
      </c>
      <c r="E380" s="328" t="str">
        <f t="shared" si="33"/>
        <v/>
      </c>
      <c r="F380" s="339" t="str">
        <f t="shared" si="31"/>
        <v/>
      </c>
      <c r="G380" s="328" t="str">
        <f t="shared" si="34"/>
        <v/>
      </c>
      <c r="H380" s="340" t="str">
        <f t="shared" si="35"/>
        <v/>
      </c>
      <c r="I380" s="57"/>
    </row>
    <row r="381" spans="2:9" ht="20.100000000000001" customHeight="1" x14ac:dyDescent="0.3">
      <c r="B381" s="344">
        <v>373</v>
      </c>
      <c r="C381" s="342" t="str">
        <f t="shared" si="32"/>
        <v/>
      </c>
      <c r="D381" s="341" t="str">
        <f t="shared" si="30"/>
        <v/>
      </c>
      <c r="E381" s="328" t="str">
        <f t="shared" si="33"/>
        <v/>
      </c>
      <c r="F381" s="339" t="str">
        <f t="shared" si="31"/>
        <v/>
      </c>
      <c r="G381" s="328" t="str">
        <f t="shared" si="34"/>
        <v/>
      </c>
      <c r="H381" s="340" t="str">
        <f t="shared" si="35"/>
        <v/>
      </c>
      <c r="I381" s="57"/>
    </row>
    <row r="382" spans="2:9" ht="20.100000000000001" customHeight="1" x14ac:dyDescent="0.3">
      <c r="B382" s="344">
        <v>374</v>
      </c>
      <c r="C382" s="342" t="str">
        <f t="shared" si="32"/>
        <v/>
      </c>
      <c r="D382" s="341" t="str">
        <f t="shared" si="30"/>
        <v/>
      </c>
      <c r="E382" s="328" t="str">
        <f t="shared" si="33"/>
        <v/>
      </c>
      <c r="F382" s="339" t="str">
        <f t="shared" si="31"/>
        <v/>
      </c>
      <c r="G382" s="328" t="str">
        <f t="shared" si="34"/>
        <v/>
      </c>
      <c r="H382" s="340" t="str">
        <f t="shared" si="35"/>
        <v/>
      </c>
      <c r="I382" s="57"/>
    </row>
    <row r="383" spans="2:9" ht="20.100000000000001" customHeight="1" x14ac:dyDescent="0.3">
      <c r="B383" s="344">
        <v>375</v>
      </c>
      <c r="C383" s="342" t="str">
        <f t="shared" si="32"/>
        <v/>
      </c>
      <c r="D383" s="341" t="str">
        <f t="shared" si="30"/>
        <v/>
      </c>
      <c r="E383" s="328" t="str">
        <f t="shared" si="33"/>
        <v/>
      </c>
      <c r="F383" s="339" t="str">
        <f t="shared" si="31"/>
        <v/>
      </c>
      <c r="G383" s="328" t="str">
        <f t="shared" si="34"/>
        <v/>
      </c>
      <c r="H383" s="340" t="str">
        <f t="shared" si="35"/>
        <v/>
      </c>
      <c r="I383" s="57"/>
    </row>
    <row r="384" spans="2:9" ht="20.100000000000001" customHeight="1" x14ac:dyDescent="0.3">
      <c r="B384" s="344">
        <v>376</v>
      </c>
      <c r="C384" s="342" t="str">
        <f t="shared" si="32"/>
        <v/>
      </c>
      <c r="D384" s="341" t="str">
        <f t="shared" si="30"/>
        <v/>
      </c>
      <c r="E384" s="328" t="str">
        <f t="shared" si="33"/>
        <v/>
      </c>
      <c r="F384" s="339" t="str">
        <f t="shared" si="31"/>
        <v/>
      </c>
      <c r="G384" s="328" t="str">
        <f t="shared" si="34"/>
        <v/>
      </c>
      <c r="H384" s="340" t="str">
        <f t="shared" si="35"/>
        <v/>
      </c>
      <c r="I384" s="57"/>
    </row>
    <row r="385" spans="2:9" ht="20.100000000000001" customHeight="1" x14ac:dyDescent="0.3">
      <c r="B385" s="344">
        <v>377</v>
      </c>
      <c r="C385" s="342" t="str">
        <f t="shared" si="32"/>
        <v/>
      </c>
      <c r="D385" s="341" t="str">
        <f t="shared" si="30"/>
        <v/>
      </c>
      <c r="E385" s="328" t="str">
        <f t="shared" si="33"/>
        <v/>
      </c>
      <c r="F385" s="339" t="str">
        <f t="shared" si="31"/>
        <v/>
      </c>
      <c r="G385" s="328" t="str">
        <f t="shared" si="34"/>
        <v/>
      </c>
      <c r="H385" s="340" t="str">
        <f t="shared" si="35"/>
        <v/>
      </c>
      <c r="I385" s="57"/>
    </row>
    <row r="386" spans="2:9" ht="20.100000000000001" customHeight="1" x14ac:dyDescent="0.3">
      <c r="B386" s="344">
        <v>378</v>
      </c>
      <c r="C386" s="342" t="str">
        <f t="shared" si="32"/>
        <v/>
      </c>
      <c r="D386" s="341" t="str">
        <f t="shared" si="30"/>
        <v/>
      </c>
      <c r="E386" s="328" t="str">
        <f t="shared" si="33"/>
        <v/>
      </c>
      <c r="F386" s="339" t="str">
        <f t="shared" si="31"/>
        <v/>
      </c>
      <c r="G386" s="328" t="str">
        <f t="shared" si="34"/>
        <v/>
      </c>
      <c r="H386" s="340" t="str">
        <f t="shared" si="35"/>
        <v/>
      </c>
      <c r="I386" s="57"/>
    </row>
    <row r="387" spans="2:9" ht="20.100000000000001" customHeight="1" x14ac:dyDescent="0.3">
      <c r="B387" s="344">
        <v>379</v>
      </c>
      <c r="C387" s="342" t="str">
        <f t="shared" si="32"/>
        <v/>
      </c>
      <c r="D387" s="341" t="str">
        <f t="shared" si="30"/>
        <v/>
      </c>
      <c r="E387" s="328" t="str">
        <f t="shared" si="33"/>
        <v/>
      </c>
      <c r="F387" s="339" t="str">
        <f t="shared" si="31"/>
        <v/>
      </c>
      <c r="G387" s="328" t="str">
        <f t="shared" si="34"/>
        <v/>
      </c>
      <c r="H387" s="340" t="str">
        <f t="shared" si="35"/>
        <v/>
      </c>
      <c r="I387" s="57"/>
    </row>
    <row r="388" spans="2:9" ht="20.100000000000001" customHeight="1" x14ac:dyDescent="0.3">
      <c r="B388" s="344">
        <v>380</v>
      </c>
      <c r="C388" s="342" t="str">
        <f t="shared" si="32"/>
        <v/>
      </c>
      <c r="D388" s="341" t="str">
        <f t="shared" si="30"/>
        <v/>
      </c>
      <c r="E388" s="328" t="str">
        <f t="shared" si="33"/>
        <v/>
      </c>
      <c r="F388" s="339" t="str">
        <f t="shared" si="31"/>
        <v/>
      </c>
      <c r="G388" s="328" t="str">
        <f t="shared" si="34"/>
        <v/>
      </c>
      <c r="H388" s="340" t="str">
        <f t="shared" si="35"/>
        <v/>
      </c>
      <c r="I388" s="57"/>
    </row>
    <row r="389" spans="2:9" ht="20.100000000000001" customHeight="1" x14ac:dyDescent="0.3">
      <c r="B389" s="344">
        <v>381</v>
      </c>
      <c r="C389" s="342" t="str">
        <f t="shared" si="32"/>
        <v/>
      </c>
      <c r="D389" s="341" t="str">
        <f t="shared" si="30"/>
        <v/>
      </c>
      <c r="E389" s="328" t="str">
        <f t="shared" si="33"/>
        <v/>
      </c>
      <c r="F389" s="339" t="str">
        <f t="shared" si="31"/>
        <v/>
      </c>
      <c r="G389" s="328" t="str">
        <f t="shared" si="34"/>
        <v/>
      </c>
      <c r="H389" s="340" t="str">
        <f t="shared" si="35"/>
        <v/>
      </c>
      <c r="I389" s="57"/>
    </row>
    <row r="390" spans="2:9" ht="20.100000000000001" customHeight="1" x14ac:dyDescent="0.3">
      <c r="B390" s="344">
        <v>382</v>
      </c>
      <c r="C390" s="342" t="str">
        <f t="shared" si="32"/>
        <v/>
      </c>
      <c r="D390" s="341" t="str">
        <f t="shared" si="30"/>
        <v/>
      </c>
      <c r="E390" s="328" t="str">
        <f t="shared" si="33"/>
        <v/>
      </c>
      <c r="F390" s="339" t="str">
        <f t="shared" si="31"/>
        <v/>
      </c>
      <c r="G390" s="328" t="str">
        <f t="shared" si="34"/>
        <v/>
      </c>
      <c r="H390" s="340" t="str">
        <f t="shared" si="35"/>
        <v/>
      </c>
      <c r="I390" s="57"/>
    </row>
    <row r="391" spans="2:9" ht="20.100000000000001" customHeight="1" x14ac:dyDescent="0.3">
      <c r="B391" s="344">
        <v>383</v>
      </c>
      <c r="C391" s="342" t="str">
        <f t="shared" si="32"/>
        <v/>
      </c>
      <c r="D391" s="341" t="str">
        <f t="shared" si="30"/>
        <v/>
      </c>
      <c r="E391" s="328" t="str">
        <f t="shared" si="33"/>
        <v/>
      </c>
      <c r="F391" s="339" t="str">
        <f t="shared" si="31"/>
        <v/>
      </c>
      <c r="G391" s="328" t="str">
        <f t="shared" si="34"/>
        <v/>
      </c>
      <c r="H391" s="340" t="str">
        <f t="shared" si="35"/>
        <v/>
      </c>
      <c r="I391" s="57"/>
    </row>
    <row r="392" spans="2:9" ht="20.100000000000001" customHeight="1" x14ac:dyDescent="0.3">
      <c r="B392" s="344">
        <v>384</v>
      </c>
      <c r="C392" s="342" t="str">
        <f t="shared" si="32"/>
        <v/>
      </c>
      <c r="D392" s="341" t="str">
        <f t="shared" si="30"/>
        <v/>
      </c>
      <c r="E392" s="328" t="str">
        <f t="shared" si="33"/>
        <v/>
      </c>
      <c r="F392" s="339" t="str">
        <f t="shared" si="31"/>
        <v/>
      </c>
      <c r="G392" s="328" t="str">
        <f t="shared" si="34"/>
        <v/>
      </c>
      <c r="H392" s="340" t="str">
        <f t="shared" si="35"/>
        <v/>
      </c>
      <c r="I392" s="57"/>
    </row>
    <row r="393" spans="2:9" ht="20.100000000000001" customHeight="1" x14ac:dyDescent="0.3">
      <c r="B393" s="344">
        <v>385</v>
      </c>
      <c r="C393" s="342" t="str">
        <f t="shared" si="32"/>
        <v/>
      </c>
      <c r="D393" s="341" t="str">
        <f t="shared" si="30"/>
        <v/>
      </c>
      <c r="E393" s="328" t="str">
        <f t="shared" si="33"/>
        <v/>
      </c>
      <c r="F393" s="339" t="str">
        <f t="shared" si="31"/>
        <v/>
      </c>
      <c r="G393" s="328" t="str">
        <f t="shared" si="34"/>
        <v/>
      </c>
      <c r="H393" s="340" t="str">
        <f t="shared" si="35"/>
        <v/>
      </c>
      <c r="I393" s="57"/>
    </row>
    <row r="394" spans="2:9" ht="20.100000000000001" customHeight="1" x14ac:dyDescent="0.3">
      <c r="B394" s="344">
        <v>386</v>
      </c>
      <c r="C394" s="342" t="str">
        <f t="shared" si="32"/>
        <v/>
      </c>
      <c r="D394" s="341" t="str">
        <f t="shared" ref="D394:D457" si="36">IF($H$4="","",IF($F$4="원리금균등상환",IFERROR(IF(B394&lt;=$D$6,0,-PPMT($E$4/12,B394-$D$6,($B$6-$D$6),$D$4)),""),IF($F$4="원금균등상환",IF(B394&lt;($D$6+1),0,IF(B394&gt;$B$6,0,$D$4/($B$6-$D$6))),"")))</f>
        <v/>
      </c>
      <c r="E394" s="328" t="str">
        <f t="shared" si="33"/>
        <v/>
      </c>
      <c r="F394" s="339" t="str">
        <f t="shared" ref="F394:F457" si="37">IF($H$4="","",IF($F$4="원리금균등상환",IFERROR(D394+E394,""),IF($F$4="원금균등상환",D394+E394,"")))</f>
        <v/>
      </c>
      <c r="G394" s="328" t="str">
        <f t="shared" si="34"/>
        <v/>
      </c>
      <c r="H394" s="340" t="str">
        <f t="shared" si="35"/>
        <v/>
      </c>
      <c r="I394" s="57"/>
    </row>
    <row r="395" spans="2:9" ht="20.100000000000001" customHeight="1" x14ac:dyDescent="0.3">
      <c r="B395" s="344">
        <v>387</v>
      </c>
      <c r="C395" s="342" t="str">
        <f t="shared" ref="C395:C458" si="38">IF($H$4="","",IF(B395&gt;($B$6),"",IF(B395&lt;=($B$6),DATE(YEAR($G$4),MONTH($G$4)+B394,DAY($G$4)),"")))</f>
        <v/>
      </c>
      <c r="D395" s="341" t="str">
        <f t="shared" si="36"/>
        <v/>
      </c>
      <c r="E395" s="328" t="str">
        <f t="shared" ref="E395:E458" si="39">IF($H$4="","",IF($F$4="원리금균등상환",IFERROR(IF(B395&lt;=$D$6,$H394*($E$4/12),-IPMT($E$4/12,B395-$D$6,($B$6-$D$6),$D$4)),""),IF($F$4="원금균등상환",(H394-D395)*$E$4/12,"")))</f>
        <v/>
      </c>
      <c r="F395" s="339" t="str">
        <f t="shared" si="37"/>
        <v/>
      </c>
      <c r="G395" s="328" t="str">
        <f t="shared" ref="G395:G458" si="40">IFERROR(IF(B395&gt;(($D$6+$B$6)*12),"",IF(B395=1,D395,D395+G394)),"")</f>
        <v/>
      </c>
      <c r="H395" s="340" t="str">
        <f t="shared" ref="H395:H458" si="41">IFERROR(IF($H$4="","",H394-D395),"")</f>
        <v/>
      </c>
      <c r="I395" s="57"/>
    </row>
    <row r="396" spans="2:9" ht="20.100000000000001" customHeight="1" x14ac:dyDescent="0.3">
      <c r="B396" s="344">
        <v>388</v>
      </c>
      <c r="C396" s="342" t="str">
        <f t="shared" si="38"/>
        <v/>
      </c>
      <c r="D396" s="341" t="str">
        <f t="shared" si="36"/>
        <v/>
      </c>
      <c r="E396" s="328" t="str">
        <f t="shared" si="39"/>
        <v/>
      </c>
      <c r="F396" s="339" t="str">
        <f t="shared" si="37"/>
        <v/>
      </c>
      <c r="G396" s="328" t="str">
        <f t="shared" si="40"/>
        <v/>
      </c>
      <c r="H396" s="340" t="str">
        <f t="shared" si="41"/>
        <v/>
      </c>
      <c r="I396" s="57"/>
    </row>
    <row r="397" spans="2:9" ht="20.100000000000001" customHeight="1" x14ac:dyDescent="0.3">
      <c r="B397" s="344">
        <v>389</v>
      </c>
      <c r="C397" s="342" t="str">
        <f t="shared" si="38"/>
        <v/>
      </c>
      <c r="D397" s="341" t="str">
        <f t="shared" si="36"/>
        <v/>
      </c>
      <c r="E397" s="328" t="str">
        <f t="shared" si="39"/>
        <v/>
      </c>
      <c r="F397" s="339" t="str">
        <f t="shared" si="37"/>
        <v/>
      </c>
      <c r="G397" s="328" t="str">
        <f t="shared" si="40"/>
        <v/>
      </c>
      <c r="H397" s="340" t="str">
        <f t="shared" si="41"/>
        <v/>
      </c>
      <c r="I397" s="57"/>
    </row>
    <row r="398" spans="2:9" ht="20.100000000000001" customHeight="1" x14ac:dyDescent="0.3">
      <c r="B398" s="344">
        <v>390</v>
      </c>
      <c r="C398" s="342" t="str">
        <f t="shared" si="38"/>
        <v/>
      </c>
      <c r="D398" s="341" t="str">
        <f t="shared" si="36"/>
        <v/>
      </c>
      <c r="E398" s="328" t="str">
        <f t="shared" si="39"/>
        <v/>
      </c>
      <c r="F398" s="339" t="str">
        <f t="shared" si="37"/>
        <v/>
      </c>
      <c r="G398" s="328" t="str">
        <f t="shared" si="40"/>
        <v/>
      </c>
      <c r="H398" s="340" t="str">
        <f t="shared" si="41"/>
        <v/>
      </c>
      <c r="I398" s="57"/>
    </row>
    <row r="399" spans="2:9" ht="20.100000000000001" customHeight="1" x14ac:dyDescent="0.3">
      <c r="B399" s="344">
        <v>391</v>
      </c>
      <c r="C399" s="342" t="str">
        <f t="shared" si="38"/>
        <v/>
      </c>
      <c r="D399" s="341" t="str">
        <f t="shared" si="36"/>
        <v/>
      </c>
      <c r="E399" s="328" t="str">
        <f t="shared" si="39"/>
        <v/>
      </c>
      <c r="F399" s="339" t="str">
        <f t="shared" si="37"/>
        <v/>
      </c>
      <c r="G399" s="328" t="str">
        <f t="shared" si="40"/>
        <v/>
      </c>
      <c r="H399" s="340" t="str">
        <f t="shared" si="41"/>
        <v/>
      </c>
      <c r="I399" s="57"/>
    </row>
    <row r="400" spans="2:9" ht="20.100000000000001" customHeight="1" x14ac:dyDescent="0.3">
      <c r="B400" s="344">
        <v>392</v>
      </c>
      <c r="C400" s="342" t="str">
        <f t="shared" si="38"/>
        <v/>
      </c>
      <c r="D400" s="341" t="str">
        <f t="shared" si="36"/>
        <v/>
      </c>
      <c r="E400" s="328" t="str">
        <f t="shared" si="39"/>
        <v/>
      </c>
      <c r="F400" s="339" t="str">
        <f t="shared" si="37"/>
        <v/>
      </c>
      <c r="G400" s="328" t="str">
        <f t="shared" si="40"/>
        <v/>
      </c>
      <c r="H400" s="340" t="str">
        <f t="shared" si="41"/>
        <v/>
      </c>
      <c r="I400" s="57"/>
    </row>
    <row r="401" spans="2:9" ht="20.100000000000001" customHeight="1" x14ac:dyDescent="0.3">
      <c r="B401" s="344">
        <v>393</v>
      </c>
      <c r="C401" s="342" t="str">
        <f t="shared" si="38"/>
        <v/>
      </c>
      <c r="D401" s="341" t="str">
        <f t="shared" si="36"/>
        <v/>
      </c>
      <c r="E401" s="328" t="str">
        <f t="shared" si="39"/>
        <v/>
      </c>
      <c r="F401" s="339" t="str">
        <f t="shared" si="37"/>
        <v/>
      </c>
      <c r="G401" s="328" t="str">
        <f t="shared" si="40"/>
        <v/>
      </c>
      <c r="H401" s="340" t="str">
        <f t="shared" si="41"/>
        <v/>
      </c>
      <c r="I401" s="57"/>
    </row>
    <row r="402" spans="2:9" ht="20.100000000000001" customHeight="1" x14ac:dyDescent="0.3">
      <c r="B402" s="344">
        <v>394</v>
      </c>
      <c r="C402" s="342" t="str">
        <f t="shared" si="38"/>
        <v/>
      </c>
      <c r="D402" s="341" t="str">
        <f t="shared" si="36"/>
        <v/>
      </c>
      <c r="E402" s="328" t="str">
        <f t="shared" si="39"/>
        <v/>
      </c>
      <c r="F402" s="339" t="str">
        <f t="shared" si="37"/>
        <v/>
      </c>
      <c r="G402" s="328" t="str">
        <f t="shared" si="40"/>
        <v/>
      </c>
      <c r="H402" s="340" t="str">
        <f t="shared" si="41"/>
        <v/>
      </c>
      <c r="I402" s="57"/>
    </row>
    <row r="403" spans="2:9" ht="20.100000000000001" customHeight="1" x14ac:dyDescent="0.3">
      <c r="B403" s="344">
        <v>395</v>
      </c>
      <c r="C403" s="342" t="str">
        <f t="shared" si="38"/>
        <v/>
      </c>
      <c r="D403" s="341" t="str">
        <f t="shared" si="36"/>
        <v/>
      </c>
      <c r="E403" s="328" t="str">
        <f t="shared" si="39"/>
        <v/>
      </c>
      <c r="F403" s="339" t="str">
        <f t="shared" si="37"/>
        <v/>
      </c>
      <c r="G403" s="328" t="str">
        <f t="shared" si="40"/>
        <v/>
      </c>
      <c r="H403" s="340" t="str">
        <f t="shared" si="41"/>
        <v/>
      </c>
      <c r="I403" s="57"/>
    </row>
    <row r="404" spans="2:9" ht="20.100000000000001" customHeight="1" x14ac:dyDescent="0.3">
      <c r="B404" s="344">
        <v>396</v>
      </c>
      <c r="C404" s="342" t="str">
        <f t="shared" si="38"/>
        <v/>
      </c>
      <c r="D404" s="341" t="str">
        <f t="shared" si="36"/>
        <v/>
      </c>
      <c r="E404" s="328" t="str">
        <f t="shared" si="39"/>
        <v/>
      </c>
      <c r="F404" s="339" t="str">
        <f t="shared" si="37"/>
        <v/>
      </c>
      <c r="G404" s="328" t="str">
        <f t="shared" si="40"/>
        <v/>
      </c>
      <c r="H404" s="340" t="str">
        <f t="shared" si="41"/>
        <v/>
      </c>
      <c r="I404" s="57"/>
    </row>
    <row r="405" spans="2:9" ht="20.100000000000001" customHeight="1" x14ac:dyDescent="0.3">
      <c r="B405" s="344">
        <v>397</v>
      </c>
      <c r="C405" s="342" t="str">
        <f t="shared" si="38"/>
        <v/>
      </c>
      <c r="D405" s="341" t="str">
        <f t="shared" si="36"/>
        <v/>
      </c>
      <c r="E405" s="328" t="str">
        <f t="shared" si="39"/>
        <v/>
      </c>
      <c r="F405" s="339" t="str">
        <f t="shared" si="37"/>
        <v/>
      </c>
      <c r="G405" s="328" t="str">
        <f t="shared" si="40"/>
        <v/>
      </c>
      <c r="H405" s="340" t="str">
        <f t="shared" si="41"/>
        <v/>
      </c>
      <c r="I405" s="57"/>
    </row>
    <row r="406" spans="2:9" ht="20.100000000000001" customHeight="1" x14ac:dyDescent="0.3">
      <c r="B406" s="344">
        <v>398</v>
      </c>
      <c r="C406" s="342" t="str">
        <f t="shared" si="38"/>
        <v/>
      </c>
      <c r="D406" s="341" t="str">
        <f t="shared" si="36"/>
        <v/>
      </c>
      <c r="E406" s="328" t="str">
        <f t="shared" si="39"/>
        <v/>
      </c>
      <c r="F406" s="339" t="str">
        <f t="shared" si="37"/>
        <v/>
      </c>
      <c r="G406" s="328" t="str">
        <f t="shared" si="40"/>
        <v/>
      </c>
      <c r="H406" s="340" t="str">
        <f t="shared" si="41"/>
        <v/>
      </c>
      <c r="I406" s="57"/>
    </row>
    <row r="407" spans="2:9" ht="20.100000000000001" customHeight="1" x14ac:dyDescent="0.3">
      <c r="B407" s="344">
        <v>399</v>
      </c>
      <c r="C407" s="342" t="str">
        <f t="shared" si="38"/>
        <v/>
      </c>
      <c r="D407" s="341" t="str">
        <f t="shared" si="36"/>
        <v/>
      </c>
      <c r="E407" s="328" t="str">
        <f t="shared" si="39"/>
        <v/>
      </c>
      <c r="F407" s="339" t="str">
        <f t="shared" si="37"/>
        <v/>
      </c>
      <c r="G407" s="328" t="str">
        <f t="shared" si="40"/>
        <v/>
      </c>
      <c r="H407" s="340" t="str">
        <f t="shared" si="41"/>
        <v/>
      </c>
      <c r="I407" s="57"/>
    </row>
    <row r="408" spans="2:9" ht="20.100000000000001" customHeight="1" x14ac:dyDescent="0.3">
      <c r="B408" s="344">
        <v>400</v>
      </c>
      <c r="C408" s="342" t="str">
        <f t="shared" si="38"/>
        <v/>
      </c>
      <c r="D408" s="341" t="str">
        <f t="shared" si="36"/>
        <v/>
      </c>
      <c r="E408" s="328" t="str">
        <f t="shared" si="39"/>
        <v/>
      </c>
      <c r="F408" s="339" t="str">
        <f t="shared" si="37"/>
        <v/>
      </c>
      <c r="G408" s="328" t="str">
        <f t="shared" si="40"/>
        <v/>
      </c>
      <c r="H408" s="340" t="str">
        <f t="shared" si="41"/>
        <v/>
      </c>
      <c r="I408" s="57"/>
    </row>
    <row r="409" spans="2:9" ht="20.100000000000001" customHeight="1" x14ac:dyDescent="0.3">
      <c r="B409" s="344">
        <v>401</v>
      </c>
      <c r="C409" s="342" t="str">
        <f t="shared" si="38"/>
        <v/>
      </c>
      <c r="D409" s="341" t="str">
        <f t="shared" si="36"/>
        <v/>
      </c>
      <c r="E409" s="328" t="str">
        <f t="shared" si="39"/>
        <v/>
      </c>
      <c r="F409" s="339" t="str">
        <f t="shared" si="37"/>
        <v/>
      </c>
      <c r="G409" s="328" t="str">
        <f t="shared" si="40"/>
        <v/>
      </c>
      <c r="H409" s="340" t="str">
        <f t="shared" si="41"/>
        <v/>
      </c>
      <c r="I409" s="57"/>
    </row>
    <row r="410" spans="2:9" ht="20.100000000000001" customHeight="1" x14ac:dyDescent="0.3">
      <c r="B410" s="344">
        <v>402</v>
      </c>
      <c r="C410" s="342" t="str">
        <f t="shared" si="38"/>
        <v/>
      </c>
      <c r="D410" s="341" t="str">
        <f t="shared" si="36"/>
        <v/>
      </c>
      <c r="E410" s="328" t="str">
        <f t="shared" si="39"/>
        <v/>
      </c>
      <c r="F410" s="339" t="str">
        <f t="shared" si="37"/>
        <v/>
      </c>
      <c r="G410" s="328" t="str">
        <f t="shared" si="40"/>
        <v/>
      </c>
      <c r="H410" s="340" t="str">
        <f t="shared" si="41"/>
        <v/>
      </c>
      <c r="I410" s="57"/>
    </row>
    <row r="411" spans="2:9" ht="20.100000000000001" customHeight="1" x14ac:dyDescent="0.3">
      <c r="B411" s="344">
        <v>403</v>
      </c>
      <c r="C411" s="342" t="str">
        <f t="shared" si="38"/>
        <v/>
      </c>
      <c r="D411" s="341" t="str">
        <f t="shared" si="36"/>
        <v/>
      </c>
      <c r="E411" s="328" t="str">
        <f t="shared" si="39"/>
        <v/>
      </c>
      <c r="F411" s="339" t="str">
        <f t="shared" si="37"/>
        <v/>
      </c>
      <c r="G411" s="328" t="str">
        <f t="shared" si="40"/>
        <v/>
      </c>
      <c r="H411" s="340" t="str">
        <f t="shared" si="41"/>
        <v/>
      </c>
      <c r="I411" s="57"/>
    </row>
    <row r="412" spans="2:9" ht="20.100000000000001" customHeight="1" x14ac:dyDescent="0.3">
      <c r="B412" s="344">
        <v>404</v>
      </c>
      <c r="C412" s="342" t="str">
        <f t="shared" si="38"/>
        <v/>
      </c>
      <c r="D412" s="341" t="str">
        <f t="shared" si="36"/>
        <v/>
      </c>
      <c r="E412" s="328" t="str">
        <f t="shared" si="39"/>
        <v/>
      </c>
      <c r="F412" s="339" t="str">
        <f t="shared" si="37"/>
        <v/>
      </c>
      <c r="G412" s="328" t="str">
        <f t="shared" si="40"/>
        <v/>
      </c>
      <c r="H412" s="340" t="str">
        <f t="shared" si="41"/>
        <v/>
      </c>
      <c r="I412" s="57"/>
    </row>
    <row r="413" spans="2:9" ht="20.100000000000001" customHeight="1" x14ac:dyDescent="0.3">
      <c r="B413" s="344">
        <v>405</v>
      </c>
      <c r="C413" s="342" t="str">
        <f t="shared" si="38"/>
        <v/>
      </c>
      <c r="D413" s="341" t="str">
        <f t="shared" si="36"/>
        <v/>
      </c>
      <c r="E413" s="328" t="str">
        <f t="shared" si="39"/>
        <v/>
      </c>
      <c r="F413" s="339" t="str">
        <f t="shared" si="37"/>
        <v/>
      </c>
      <c r="G413" s="328" t="str">
        <f t="shared" si="40"/>
        <v/>
      </c>
      <c r="H413" s="340" t="str">
        <f t="shared" si="41"/>
        <v/>
      </c>
      <c r="I413" s="57"/>
    </row>
    <row r="414" spans="2:9" ht="20.100000000000001" customHeight="1" x14ac:dyDescent="0.3">
      <c r="B414" s="344">
        <v>406</v>
      </c>
      <c r="C414" s="342" t="str">
        <f t="shared" si="38"/>
        <v/>
      </c>
      <c r="D414" s="341" t="str">
        <f t="shared" si="36"/>
        <v/>
      </c>
      <c r="E414" s="328" t="str">
        <f t="shared" si="39"/>
        <v/>
      </c>
      <c r="F414" s="339" t="str">
        <f t="shared" si="37"/>
        <v/>
      </c>
      <c r="G414" s="328" t="str">
        <f t="shared" si="40"/>
        <v/>
      </c>
      <c r="H414" s="340" t="str">
        <f t="shared" si="41"/>
        <v/>
      </c>
      <c r="I414" s="57"/>
    </row>
    <row r="415" spans="2:9" ht="20.100000000000001" customHeight="1" x14ac:dyDescent="0.3">
      <c r="B415" s="344">
        <v>407</v>
      </c>
      <c r="C415" s="342" t="str">
        <f t="shared" si="38"/>
        <v/>
      </c>
      <c r="D415" s="341" t="str">
        <f t="shared" si="36"/>
        <v/>
      </c>
      <c r="E415" s="328" t="str">
        <f t="shared" si="39"/>
        <v/>
      </c>
      <c r="F415" s="339" t="str">
        <f t="shared" si="37"/>
        <v/>
      </c>
      <c r="G415" s="328" t="str">
        <f t="shared" si="40"/>
        <v/>
      </c>
      <c r="H415" s="340" t="str">
        <f t="shared" si="41"/>
        <v/>
      </c>
      <c r="I415" s="57"/>
    </row>
    <row r="416" spans="2:9" ht="20.100000000000001" customHeight="1" x14ac:dyDescent="0.3">
      <c r="B416" s="344">
        <v>408</v>
      </c>
      <c r="C416" s="342" t="str">
        <f t="shared" si="38"/>
        <v/>
      </c>
      <c r="D416" s="341" t="str">
        <f t="shared" si="36"/>
        <v/>
      </c>
      <c r="E416" s="328" t="str">
        <f t="shared" si="39"/>
        <v/>
      </c>
      <c r="F416" s="339" t="str">
        <f t="shared" si="37"/>
        <v/>
      </c>
      <c r="G416" s="328" t="str">
        <f t="shared" si="40"/>
        <v/>
      </c>
      <c r="H416" s="340" t="str">
        <f t="shared" si="41"/>
        <v/>
      </c>
      <c r="I416" s="57"/>
    </row>
    <row r="417" spans="2:9" ht="20.100000000000001" customHeight="1" x14ac:dyDescent="0.3">
      <c r="B417" s="344">
        <v>409</v>
      </c>
      <c r="C417" s="342" t="str">
        <f t="shared" si="38"/>
        <v/>
      </c>
      <c r="D417" s="341" t="str">
        <f t="shared" si="36"/>
        <v/>
      </c>
      <c r="E417" s="328" t="str">
        <f t="shared" si="39"/>
        <v/>
      </c>
      <c r="F417" s="339" t="str">
        <f t="shared" si="37"/>
        <v/>
      </c>
      <c r="G417" s="328" t="str">
        <f t="shared" si="40"/>
        <v/>
      </c>
      <c r="H417" s="340" t="str">
        <f t="shared" si="41"/>
        <v/>
      </c>
      <c r="I417" s="57"/>
    </row>
    <row r="418" spans="2:9" ht="20.100000000000001" customHeight="1" x14ac:dyDescent="0.3">
      <c r="B418" s="344">
        <v>410</v>
      </c>
      <c r="C418" s="342" t="str">
        <f t="shared" si="38"/>
        <v/>
      </c>
      <c r="D418" s="341" t="str">
        <f t="shared" si="36"/>
        <v/>
      </c>
      <c r="E418" s="328" t="str">
        <f t="shared" si="39"/>
        <v/>
      </c>
      <c r="F418" s="339" t="str">
        <f t="shared" si="37"/>
        <v/>
      </c>
      <c r="G418" s="328" t="str">
        <f t="shared" si="40"/>
        <v/>
      </c>
      <c r="H418" s="340" t="str">
        <f t="shared" si="41"/>
        <v/>
      </c>
      <c r="I418" s="57"/>
    </row>
    <row r="419" spans="2:9" ht="20.100000000000001" customHeight="1" x14ac:dyDescent="0.3">
      <c r="B419" s="344">
        <v>411</v>
      </c>
      <c r="C419" s="342" t="str">
        <f t="shared" si="38"/>
        <v/>
      </c>
      <c r="D419" s="341" t="str">
        <f t="shared" si="36"/>
        <v/>
      </c>
      <c r="E419" s="328" t="str">
        <f t="shared" si="39"/>
        <v/>
      </c>
      <c r="F419" s="339" t="str">
        <f t="shared" si="37"/>
        <v/>
      </c>
      <c r="G419" s="328" t="str">
        <f t="shared" si="40"/>
        <v/>
      </c>
      <c r="H419" s="340" t="str">
        <f t="shared" si="41"/>
        <v/>
      </c>
      <c r="I419" s="57"/>
    </row>
    <row r="420" spans="2:9" ht="20.100000000000001" customHeight="1" x14ac:dyDescent="0.3">
      <c r="B420" s="344">
        <v>412</v>
      </c>
      <c r="C420" s="342" t="str">
        <f t="shared" si="38"/>
        <v/>
      </c>
      <c r="D420" s="341" t="str">
        <f t="shared" si="36"/>
        <v/>
      </c>
      <c r="E420" s="328" t="str">
        <f t="shared" si="39"/>
        <v/>
      </c>
      <c r="F420" s="339" t="str">
        <f t="shared" si="37"/>
        <v/>
      </c>
      <c r="G420" s="328" t="str">
        <f t="shared" si="40"/>
        <v/>
      </c>
      <c r="H420" s="340" t="str">
        <f t="shared" si="41"/>
        <v/>
      </c>
      <c r="I420" s="57"/>
    </row>
    <row r="421" spans="2:9" ht="20.100000000000001" customHeight="1" x14ac:dyDescent="0.3">
      <c r="B421" s="344">
        <v>413</v>
      </c>
      <c r="C421" s="342" t="str">
        <f t="shared" si="38"/>
        <v/>
      </c>
      <c r="D421" s="341" t="str">
        <f t="shared" si="36"/>
        <v/>
      </c>
      <c r="E421" s="328" t="str">
        <f t="shared" si="39"/>
        <v/>
      </c>
      <c r="F421" s="339" t="str">
        <f t="shared" si="37"/>
        <v/>
      </c>
      <c r="G421" s="328" t="str">
        <f t="shared" si="40"/>
        <v/>
      </c>
      <c r="H421" s="340" t="str">
        <f t="shared" si="41"/>
        <v/>
      </c>
      <c r="I421" s="57"/>
    </row>
    <row r="422" spans="2:9" ht="20.100000000000001" customHeight="1" x14ac:dyDescent="0.3">
      <c r="B422" s="344">
        <v>414</v>
      </c>
      <c r="C422" s="342" t="str">
        <f t="shared" si="38"/>
        <v/>
      </c>
      <c r="D422" s="341" t="str">
        <f t="shared" si="36"/>
        <v/>
      </c>
      <c r="E422" s="328" t="str">
        <f t="shared" si="39"/>
        <v/>
      </c>
      <c r="F422" s="339" t="str">
        <f t="shared" si="37"/>
        <v/>
      </c>
      <c r="G422" s="328" t="str">
        <f t="shared" si="40"/>
        <v/>
      </c>
      <c r="H422" s="340" t="str">
        <f t="shared" si="41"/>
        <v/>
      </c>
      <c r="I422" s="57"/>
    </row>
    <row r="423" spans="2:9" ht="20.100000000000001" customHeight="1" x14ac:dyDescent="0.3">
      <c r="B423" s="344">
        <v>415</v>
      </c>
      <c r="C423" s="342" t="str">
        <f t="shared" si="38"/>
        <v/>
      </c>
      <c r="D423" s="341" t="str">
        <f t="shared" si="36"/>
        <v/>
      </c>
      <c r="E423" s="328" t="str">
        <f t="shared" si="39"/>
        <v/>
      </c>
      <c r="F423" s="339" t="str">
        <f t="shared" si="37"/>
        <v/>
      </c>
      <c r="G423" s="328" t="str">
        <f t="shared" si="40"/>
        <v/>
      </c>
      <c r="H423" s="340" t="str">
        <f t="shared" si="41"/>
        <v/>
      </c>
      <c r="I423" s="57"/>
    </row>
    <row r="424" spans="2:9" ht="20.100000000000001" customHeight="1" x14ac:dyDescent="0.3">
      <c r="B424" s="344">
        <v>416</v>
      </c>
      <c r="C424" s="342" t="str">
        <f t="shared" si="38"/>
        <v/>
      </c>
      <c r="D424" s="341" t="str">
        <f t="shared" si="36"/>
        <v/>
      </c>
      <c r="E424" s="328" t="str">
        <f t="shared" si="39"/>
        <v/>
      </c>
      <c r="F424" s="339" t="str">
        <f t="shared" si="37"/>
        <v/>
      </c>
      <c r="G424" s="328" t="str">
        <f t="shared" si="40"/>
        <v/>
      </c>
      <c r="H424" s="340" t="str">
        <f t="shared" si="41"/>
        <v/>
      </c>
      <c r="I424" s="57"/>
    </row>
    <row r="425" spans="2:9" ht="20.100000000000001" customHeight="1" x14ac:dyDescent="0.3">
      <c r="B425" s="344">
        <v>417</v>
      </c>
      <c r="C425" s="342" t="str">
        <f t="shared" si="38"/>
        <v/>
      </c>
      <c r="D425" s="341" t="str">
        <f t="shared" si="36"/>
        <v/>
      </c>
      <c r="E425" s="328" t="str">
        <f t="shared" si="39"/>
        <v/>
      </c>
      <c r="F425" s="339" t="str">
        <f t="shared" si="37"/>
        <v/>
      </c>
      <c r="G425" s="328" t="str">
        <f t="shared" si="40"/>
        <v/>
      </c>
      <c r="H425" s="340" t="str">
        <f t="shared" si="41"/>
        <v/>
      </c>
      <c r="I425" s="57"/>
    </row>
    <row r="426" spans="2:9" ht="20.100000000000001" customHeight="1" x14ac:dyDescent="0.3">
      <c r="B426" s="344">
        <v>418</v>
      </c>
      <c r="C426" s="342" t="str">
        <f t="shared" si="38"/>
        <v/>
      </c>
      <c r="D426" s="341" t="str">
        <f t="shared" si="36"/>
        <v/>
      </c>
      <c r="E426" s="328" t="str">
        <f t="shared" si="39"/>
        <v/>
      </c>
      <c r="F426" s="339" t="str">
        <f t="shared" si="37"/>
        <v/>
      </c>
      <c r="G426" s="328" t="str">
        <f t="shared" si="40"/>
        <v/>
      </c>
      <c r="H426" s="340" t="str">
        <f t="shared" si="41"/>
        <v/>
      </c>
      <c r="I426" s="57"/>
    </row>
    <row r="427" spans="2:9" ht="20.100000000000001" customHeight="1" x14ac:dyDescent="0.3">
      <c r="B427" s="344">
        <v>419</v>
      </c>
      <c r="C427" s="342" t="str">
        <f t="shared" si="38"/>
        <v/>
      </c>
      <c r="D427" s="341" t="str">
        <f t="shared" si="36"/>
        <v/>
      </c>
      <c r="E427" s="328" t="str">
        <f t="shared" si="39"/>
        <v/>
      </c>
      <c r="F427" s="339" t="str">
        <f t="shared" si="37"/>
        <v/>
      </c>
      <c r="G427" s="328" t="str">
        <f t="shared" si="40"/>
        <v/>
      </c>
      <c r="H427" s="340" t="str">
        <f t="shared" si="41"/>
        <v/>
      </c>
      <c r="I427" s="57"/>
    </row>
    <row r="428" spans="2:9" ht="20.100000000000001" customHeight="1" x14ac:dyDescent="0.3">
      <c r="B428" s="344">
        <v>420</v>
      </c>
      <c r="C428" s="342" t="str">
        <f t="shared" si="38"/>
        <v/>
      </c>
      <c r="D428" s="341" t="str">
        <f t="shared" si="36"/>
        <v/>
      </c>
      <c r="E428" s="328" t="str">
        <f t="shared" si="39"/>
        <v/>
      </c>
      <c r="F428" s="339" t="str">
        <f t="shared" si="37"/>
        <v/>
      </c>
      <c r="G428" s="328" t="str">
        <f t="shared" si="40"/>
        <v/>
      </c>
      <c r="H428" s="340" t="str">
        <f t="shared" si="41"/>
        <v/>
      </c>
      <c r="I428" s="57"/>
    </row>
    <row r="429" spans="2:9" ht="20.100000000000001" customHeight="1" x14ac:dyDescent="0.3">
      <c r="B429" s="344">
        <v>421</v>
      </c>
      <c r="C429" s="342" t="str">
        <f t="shared" si="38"/>
        <v/>
      </c>
      <c r="D429" s="341" t="str">
        <f t="shared" si="36"/>
        <v/>
      </c>
      <c r="E429" s="328" t="str">
        <f t="shared" si="39"/>
        <v/>
      </c>
      <c r="F429" s="339" t="str">
        <f t="shared" si="37"/>
        <v/>
      </c>
      <c r="G429" s="328" t="str">
        <f t="shared" si="40"/>
        <v/>
      </c>
      <c r="H429" s="340" t="str">
        <f t="shared" si="41"/>
        <v/>
      </c>
      <c r="I429" s="57"/>
    </row>
    <row r="430" spans="2:9" ht="20.100000000000001" customHeight="1" x14ac:dyDescent="0.3">
      <c r="B430" s="344">
        <v>422</v>
      </c>
      <c r="C430" s="342" t="str">
        <f t="shared" si="38"/>
        <v/>
      </c>
      <c r="D430" s="341" t="str">
        <f t="shared" si="36"/>
        <v/>
      </c>
      <c r="E430" s="328" t="str">
        <f t="shared" si="39"/>
        <v/>
      </c>
      <c r="F430" s="339" t="str">
        <f t="shared" si="37"/>
        <v/>
      </c>
      <c r="G430" s="328" t="str">
        <f t="shared" si="40"/>
        <v/>
      </c>
      <c r="H430" s="340" t="str">
        <f t="shared" si="41"/>
        <v/>
      </c>
      <c r="I430" s="57"/>
    </row>
    <row r="431" spans="2:9" ht="20.100000000000001" customHeight="1" x14ac:dyDescent="0.3">
      <c r="B431" s="344">
        <v>423</v>
      </c>
      <c r="C431" s="342" t="str">
        <f t="shared" si="38"/>
        <v/>
      </c>
      <c r="D431" s="341" t="str">
        <f t="shared" si="36"/>
        <v/>
      </c>
      <c r="E431" s="328" t="str">
        <f t="shared" si="39"/>
        <v/>
      </c>
      <c r="F431" s="339" t="str">
        <f t="shared" si="37"/>
        <v/>
      </c>
      <c r="G431" s="328" t="str">
        <f t="shared" si="40"/>
        <v/>
      </c>
      <c r="H431" s="340" t="str">
        <f t="shared" si="41"/>
        <v/>
      </c>
      <c r="I431" s="57"/>
    </row>
    <row r="432" spans="2:9" ht="20.100000000000001" customHeight="1" x14ac:dyDescent="0.3">
      <c r="B432" s="344">
        <v>424</v>
      </c>
      <c r="C432" s="342" t="str">
        <f t="shared" si="38"/>
        <v/>
      </c>
      <c r="D432" s="341" t="str">
        <f t="shared" si="36"/>
        <v/>
      </c>
      <c r="E432" s="328" t="str">
        <f t="shared" si="39"/>
        <v/>
      </c>
      <c r="F432" s="339" t="str">
        <f t="shared" si="37"/>
        <v/>
      </c>
      <c r="G432" s="328" t="str">
        <f t="shared" si="40"/>
        <v/>
      </c>
      <c r="H432" s="340" t="str">
        <f t="shared" si="41"/>
        <v/>
      </c>
      <c r="I432" s="57"/>
    </row>
    <row r="433" spans="2:9" ht="20.100000000000001" customHeight="1" x14ac:dyDescent="0.3">
      <c r="B433" s="344">
        <v>425</v>
      </c>
      <c r="C433" s="342" t="str">
        <f t="shared" si="38"/>
        <v/>
      </c>
      <c r="D433" s="341" t="str">
        <f t="shared" si="36"/>
        <v/>
      </c>
      <c r="E433" s="328" t="str">
        <f t="shared" si="39"/>
        <v/>
      </c>
      <c r="F433" s="339" t="str">
        <f t="shared" si="37"/>
        <v/>
      </c>
      <c r="G433" s="328" t="str">
        <f t="shared" si="40"/>
        <v/>
      </c>
      <c r="H433" s="340" t="str">
        <f t="shared" si="41"/>
        <v/>
      </c>
      <c r="I433" s="57"/>
    </row>
    <row r="434" spans="2:9" ht="20.100000000000001" customHeight="1" x14ac:dyDescent="0.3">
      <c r="B434" s="344">
        <v>426</v>
      </c>
      <c r="C434" s="342" t="str">
        <f t="shared" si="38"/>
        <v/>
      </c>
      <c r="D434" s="341" t="str">
        <f t="shared" si="36"/>
        <v/>
      </c>
      <c r="E434" s="328" t="str">
        <f t="shared" si="39"/>
        <v/>
      </c>
      <c r="F434" s="339" t="str">
        <f t="shared" si="37"/>
        <v/>
      </c>
      <c r="G434" s="328" t="str">
        <f t="shared" si="40"/>
        <v/>
      </c>
      <c r="H434" s="340" t="str">
        <f t="shared" si="41"/>
        <v/>
      </c>
      <c r="I434" s="57"/>
    </row>
    <row r="435" spans="2:9" ht="20.100000000000001" customHeight="1" x14ac:dyDescent="0.3">
      <c r="B435" s="344">
        <v>427</v>
      </c>
      <c r="C435" s="342" t="str">
        <f t="shared" si="38"/>
        <v/>
      </c>
      <c r="D435" s="341" t="str">
        <f t="shared" si="36"/>
        <v/>
      </c>
      <c r="E435" s="328" t="str">
        <f t="shared" si="39"/>
        <v/>
      </c>
      <c r="F435" s="339" t="str">
        <f t="shared" si="37"/>
        <v/>
      </c>
      <c r="G435" s="328" t="str">
        <f t="shared" si="40"/>
        <v/>
      </c>
      <c r="H435" s="340" t="str">
        <f t="shared" si="41"/>
        <v/>
      </c>
      <c r="I435" s="57"/>
    </row>
    <row r="436" spans="2:9" ht="20.100000000000001" customHeight="1" x14ac:dyDescent="0.3">
      <c r="B436" s="344">
        <v>428</v>
      </c>
      <c r="C436" s="342" t="str">
        <f t="shared" si="38"/>
        <v/>
      </c>
      <c r="D436" s="341" t="str">
        <f t="shared" si="36"/>
        <v/>
      </c>
      <c r="E436" s="328" t="str">
        <f t="shared" si="39"/>
        <v/>
      </c>
      <c r="F436" s="339" t="str">
        <f t="shared" si="37"/>
        <v/>
      </c>
      <c r="G436" s="328" t="str">
        <f t="shared" si="40"/>
        <v/>
      </c>
      <c r="H436" s="340" t="str">
        <f t="shared" si="41"/>
        <v/>
      </c>
      <c r="I436" s="57"/>
    </row>
    <row r="437" spans="2:9" ht="20.100000000000001" customHeight="1" x14ac:dyDescent="0.3">
      <c r="B437" s="344">
        <v>429</v>
      </c>
      <c r="C437" s="342" t="str">
        <f t="shared" si="38"/>
        <v/>
      </c>
      <c r="D437" s="341" t="str">
        <f t="shared" si="36"/>
        <v/>
      </c>
      <c r="E437" s="328" t="str">
        <f t="shared" si="39"/>
        <v/>
      </c>
      <c r="F437" s="339" t="str">
        <f t="shared" si="37"/>
        <v/>
      </c>
      <c r="G437" s="328" t="str">
        <f t="shared" si="40"/>
        <v/>
      </c>
      <c r="H437" s="340" t="str">
        <f t="shared" si="41"/>
        <v/>
      </c>
      <c r="I437" s="57"/>
    </row>
    <row r="438" spans="2:9" ht="20.100000000000001" customHeight="1" x14ac:dyDescent="0.3">
      <c r="B438" s="344">
        <v>430</v>
      </c>
      <c r="C438" s="342" t="str">
        <f t="shared" si="38"/>
        <v/>
      </c>
      <c r="D438" s="341" t="str">
        <f t="shared" si="36"/>
        <v/>
      </c>
      <c r="E438" s="328" t="str">
        <f t="shared" si="39"/>
        <v/>
      </c>
      <c r="F438" s="339" t="str">
        <f t="shared" si="37"/>
        <v/>
      </c>
      <c r="G438" s="328" t="str">
        <f t="shared" si="40"/>
        <v/>
      </c>
      <c r="H438" s="340" t="str">
        <f t="shared" si="41"/>
        <v/>
      </c>
      <c r="I438" s="57"/>
    </row>
    <row r="439" spans="2:9" ht="20.100000000000001" customHeight="1" x14ac:dyDescent="0.3">
      <c r="B439" s="344">
        <v>431</v>
      </c>
      <c r="C439" s="342" t="str">
        <f t="shared" si="38"/>
        <v/>
      </c>
      <c r="D439" s="341" t="str">
        <f t="shared" si="36"/>
        <v/>
      </c>
      <c r="E439" s="328" t="str">
        <f t="shared" si="39"/>
        <v/>
      </c>
      <c r="F439" s="339" t="str">
        <f t="shared" si="37"/>
        <v/>
      </c>
      <c r="G439" s="328" t="str">
        <f t="shared" si="40"/>
        <v/>
      </c>
      <c r="H439" s="340" t="str">
        <f t="shared" si="41"/>
        <v/>
      </c>
      <c r="I439" s="57"/>
    </row>
    <row r="440" spans="2:9" ht="20.100000000000001" customHeight="1" x14ac:dyDescent="0.3">
      <c r="B440" s="344">
        <v>432</v>
      </c>
      <c r="C440" s="342" t="str">
        <f t="shared" si="38"/>
        <v/>
      </c>
      <c r="D440" s="341" t="str">
        <f t="shared" si="36"/>
        <v/>
      </c>
      <c r="E440" s="328" t="str">
        <f t="shared" si="39"/>
        <v/>
      </c>
      <c r="F440" s="339" t="str">
        <f t="shared" si="37"/>
        <v/>
      </c>
      <c r="G440" s="328" t="str">
        <f t="shared" si="40"/>
        <v/>
      </c>
      <c r="H440" s="340" t="str">
        <f t="shared" si="41"/>
        <v/>
      </c>
      <c r="I440" s="57"/>
    </row>
    <row r="441" spans="2:9" ht="20.100000000000001" customHeight="1" x14ac:dyDescent="0.3">
      <c r="B441" s="344">
        <v>433</v>
      </c>
      <c r="C441" s="342" t="str">
        <f t="shared" si="38"/>
        <v/>
      </c>
      <c r="D441" s="341" t="str">
        <f t="shared" si="36"/>
        <v/>
      </c>
      <c r="E441" s="328" t="str">
        <f t="shared" si="39"/>
        <v/>
      </c>
      <c r="F441" s="339" t="str">
        <f t="shared" si="37"/>
        <v/>
      </c>
      <c r="G441" s="328" t="str">
        <f t="shared" si="40"/>
        <v/>
      </c>
      <c r="H441" s="340" t="str">
        <f t="shared" si="41"/>
        <v/>
      </c>
      <c r="I441" s="57"/>
    </row>
    <row r="442" spans="2:9" ht="20.100000000000001" customHeight="1" x14ac:dyDescent="0.3">
      <c r="B442" s="344">
        <v>434</v>
      </c>
      <c r="C442" s="342" t="str">
        <f t="shared" si="38"/>
        <v/>
      </c>
      <c r="D442" s="341" t="str">
        <f t="shared" si="36"/>
        <v/>
      </c>
      <c r="E442" s="328" t="str">
        <f t="shared" si="39"/>
        <v/>
      </c>
      <c r="F442" s="339" t="str">
        <f t="shared" si="37"/>
        <v/>
      </c>
      <c r="G442" s="328" t="str">
        <f t="shared" si="40"/>
        <v/>
      </c>
      <c r="H442" s="340" t="str">
        <f t="shared" si="41"/>
        <v/>
      </c>
      <c r="I442" s="57"/>
    </row>
    <row r="443" spans="2:9" ht="20.100000000000001" customHeight="1" x14ac:dyDescent="0.3">
      <c r="B443" s="344">
        <v>435</v>
      </c>
      <c r="C443" s="342" t="str">
        <f t="shared" si="38"/>
        <v/>
      </c>
      <c r="D443" s="341" t="str">
        <f t="shared" si="36"/>
        <v/>
      </c>
      <c r="E443" s="328" t="str">
        <f t="shared" si="39"/>
        <v/>
      </c>
      <c r="F443" s="339" t="str">
        <f t="shared" si="37"/>
        <v/>
      </c>
      <c r="G443" s="328" t="str">
        <f t="shared" si="40"/>
        <v/>
      </c>
      <c r="H443" s="340" t="str">
        <f t="shared" si="41"/>
        <v/>
      </c>
      <c r="I443" s="57"/>
    </row>
    <row r="444" spans="2:9" ht="20.100000000000001" customHeight="1" x14ac:dyDescent="0.3">
      <c r="B444" s="344">
        <v>436</v>
      </c>
      <c r="C444" s="342" t="str">
        <f t="shared" si="38"/>
        <v/>
      </c>
      <c r="D444" s="341" t="str">
        <f t="shared" si="36"/>
        <v/>
      </c>
      <c r="E444" s="328" t="str">
        <f t="shared" si="39"/>
        <v/>
      </c>
      <c r="F444" s="339" t="str">
        <f t="shared" si="37"/>
        <v/>
      </c>
      <c r="G444" s="328" t="str">
        <f t="shared" si="40"/>
        <v/>
      </c>
      <c r="H444" s="340" t="str">
        <f t="shared" si="41"/>
        <v/>
      </c>
      <c r="I444" s="57"/>
    </row>
    <row r="445" spans="2:9" ht="20.100000000000001" customHeight="1" x14ac:dyDescent="0.3">
      <c r="B445" s="344">
        <v>437</v>
      </c>
      <c r="C445" s="342" t="str">
        <f t="shared" si="38"/>
        <v/>
      </c>
      <c r="D445" s="341" t="str">
        <f t="shared" si="36"/>
        <v/>
      </c>
      <c r="E445" s="328" t="str">
        <f t="shared" si="39"/>
        <v/>
      </c>
      <c r="F445" s="339" t="str">
        <f t="shared" si="37"/>
        <v/>
      </c>
      <c r="G445" s="328" t="str">
        <f t="shared" si="40"/>
        <v/>
      </c>
      <c r="H445" s="340" t="str">
        <f t="shared" si="41"/>
        <v/>
      </c>
      <c r="I445" s="57"/>
    </row>
    <row r="446" spans="2:9" ht="20.100000000000001" customHeight="1" x14ac:dyDescent="0.3">
      <c r="B446" s="344">
        <v>438</v>
      </c>
      <c r="C446" s="342" t="str">
        <f t="shared" si="38"/>
        <v/>
      </c>
      <c r="D446" s="341" t="str">
        <f t="shared" si="36"/>
        <v/>
      </c>
      <c r="E446" s="328" t="str">
        <f t="shared" si="39"/>
        <v/>
      </c>
      <c r="F446" s="339" t="str">
        <f t="shared" si="37"/>
        <v/>
      </c>
      <c r="G446" s="328" t="str">
        <f t="shared" si="40"/>
        <v/>
      </c>
      <c r="H446" s="340" t="str">
        <f t="shared" si="41"/>
        <v/>
      </c>
      <c r="I446" s="57"/>
    </row>
    <row r="447" spans="2:9" ht="20.100000000000001" customHeight="1" x14ac:dyDescent="0.3">
      <c r="B447" s="344">
        <v>439</v>
      </c>
      <c r="C447" s="342" t="str">
        <f t="shared" si="38"/>
        <v/>
      </c>
      <c r="D447" s="341" t="str">
        <f t="shared" si="36"/>
        <v/>
      </c>
      <c r="E447" s="328" t="str">
        <f t="shared" si="39"/>
        <v/>
      </c>
      <c r="F447" s="339" t="str">
        <f t="shared" si="37"/>
        <v/>
      </c>
      <c r="G447" s="328" t="str">
        <f t="shared" si="40"/>
        <v/>
      </c>
      <c r="H447" s="340" t="str">
        <f t="shared" si="41"/>
        <v/>
      </c>
      <c r="I447" s="57"/>
    </row>
    <row r="448" spans="2:9" ht="20.100000000000001" customHeight="1" x14ac:dyDescent="0.3">
      <c r="B448" s="344">
        <v>440</v>
      </c>
      <c r="C448" s="342" t="str">
        <f t="shared" si="38"/>
        <v/>
      </c>
      <c r="D448" s="341" t="str">
        <f t="shared" si="36"/>
        <v/>
      </c>
      <c r="E448" s="328" t="str">
        <f t="shared" si="39"/>
        <v/>
      </c>
      <c r="F448" s="339" t="str">
        <f t="shared" si="37"/>
        <v/>
      </c>
      <c r="G448" s="328" t="str">
        <f t="shared" si="40"/>
        <v/>
      </c>
      <c r="H448" s="340" t="str">
        <f t="shared" si="41"/>
        <v/>
      </c>
      <c r="I448" s="57"/>
    </row>
    <row r="449" spans="2:9" ht="20.100000000000001" customHeight="1" x14ac:dyDescent="0.3">
      <c r="B449" s="344">
        <v>441</v>
      </c>
      <c r="C449" s="342" t="str">
        <f t="shared" si="38"/>
        <v/>
      </c>
      <c r="D449" s="341" t="str">
        <f t="shared" si="36"/>
        <v/>
      </c>
      <c r="E449" s="328" t="str">
        <f t="shared" si="39"/>
        <v/>
      </c>
      <c r="F449" s="339" t="str">
        <f t="shared" si="37"/>
        <v/>
      </c>
      <c r="G449" s="328" t="str">
        <f t="shared" si="40"/>
        <v/>
      </c>
      <c r="H449" s="340" t="str">
        <f t="shared" si="41"/>
        <v/>
      </c>
      <c r="I449" s="57"/>
    </row>
    <row r="450" spans="2:9" ht="20.100000000000001" customHeight="1" x14ac:dyDescent="0.3">
      <c r="B450" s="344">
        <v>442</v>
      </c>
      <c r="C450" s="342" t="str">
        <f t="shared" si="38"/>
        <v/>
      </c>
      <c r="D450" s="341" t="str">
        <f t="shared" si="36"/>
        <v/>
      </c>
      <c r="E450" s="328" t="str">
        <f t="shared" si="39"/>
        <v/>
      </c>
      <c r="F450" s="339" t="str">
        <f t="shared" si="37"/>
        <v/>
      </c>
      <c r="G450" s="328" t="str">
        <f t="shared" si="40"/>
        <v/>
      </c>
      <c r="H450" s="340" t="str">
        <f t="shared" si="41"/>
        <v/>
      </c>
      <c r="I450" s="57"/>
    </row>
    <row r="451" spans="2:9" ht="20.100000000000001" customHeight="1" x14ac:dyDescent="0.3">
      <c r="B451" s="344">
        <v>443</v>
      </c>
      <c r="C451" s="342" t="str">
        <f t="shared" si="38"/>
        <v/>
      </c>
      <c r="D451" s="341" t="str">
        <f t="shared" si="36"/>
        <v/>
      </c>
      <c r="E451" s="328" t="str">
        <f t="shared" si="39"/>
        <v/>
      </c>
      <c r="F451" s="339" t="str">
        <f t="shared" si="37"/>
        <v/>
      </c>
      <c r="G451" s="328" t="str">
        <f t="shared" si="40"/>
        <v/>
      </c>
      <c r="H451" s="340" t="str">
        <f t="shared" si="41"/>
        <v/>
      </c>
      <c r="I451" s="57"/>
    </row>
    <row r="452" spans="2:9" ht="20.100000000000001" customHeight="1" x14ac:dyDescent="0.3">
      <c r="B452" s="344">
        <v>444</v>
      </c>
      <c r="C452" s="342" t="str">
        <f t="shared" si="38"/>
        <v/>
      </c>
      <c r="D452" s="341" t="str">
        <f t="shared" si="36"/>
        <v/>
      </c>
      <c r="E452" s="328" t="str">
        <f t="shared" si="39"/>
        <v/>
      </c>
      <c r="F452" s="339" t="str">
        <f t="shared" si="37"/>
        <v/>
      </c>
      <c r="G452" s="328" t="str">
        <f t="shared" si="40"/>
        <v/>
      </c>
      <c r="H452" s="340" t="str">
        <f t="shared" si="41"/>
        <v/>
      </c>
      <c r="I452" s="57"/>
    </row>
    <row r="453" spans="2:9" ht="20.100000000000001" customHeight="1" x14ac:dyDescent="0.3">
      <c r="B453" s="344">
        <v>445</v>
      </c>
      <c r="C453" s="342" t="str">
        <f t="shared" si="38"/>
        <v/>
      </c>
      <c r="D453" s="341" t="str">
        <f t="shared" si="36"/>
        <v/>
      </c>
      <c r="E453" s="328" t="str">
        <f t="shared" si="39"/>
        <v/>
      </c>
      <c r="F453" s="339" t="str">
        <f t="shared" si="37"/>
        <v/>
      </c>
      <c r="G453" s="328" t="str">
        <f t="shared" si="40"/>
        <v/>
      </c>
      <c r="H453" s="340" t="str">
        <f t="shared" si="41"/>
        <v/>
      </c>
      <c r="I453" s="57"/>
    </row>
    <row r="454" spans="2:9" ht="20.100000000000001" customHeight="1" x14ac:dyDescent="0.3">
      <c r="B454" s="344">
        <v>446</v>
      </c>
      <c r="C454" s="342" t="str">
        <f t="shared" si="38"/>
        <v/>
      </c>
      <c r="D454" s="341" t="str">
        <f t="shared" si="36"/>
        <v/>
      </c>
      <c r="E454" s="328" t="str">
        <f t="shared" si="39"/>
        <v/>
      </c>
      <c r="F454" s="339" t="str">
        <f t="shared" si="37"/>
        <v/>
      </c>
      <c r="G454" s="328" t="str">
        <f t="shared" si="40"/>
        <v/>
      </c>
      <c r="H454" s="340" t="str">
        <f t="shared" si="41"/>
        <v/>
      </c>
      <c r="I454" s="57"/>
    </row>
    <row r="455" spans="2:9" ht="20.100000000000001" customHeight="1" x14ac:dyDescent="0.3">
      <c r="B455" s="344">
        <v>447</v>
      </c>
      <c r="C455" s="342" t="str">
        <f t="shared" si="38"/>
        <v/>
      </c>
      <c r="D455" s="341" t="str">
        <f t="shared" si="36"/>
        <v/>
      </c>
      <c r="E455" s="328" t="str">
        <f t="shared" si="39"/>
        <v/>
      </c>
      <c r="F455" s="339" t="str">
        <f t="shared" si="37"/>
        <v/>
      </c>
      <c r="G455" s="328" t="str">
        <f t="shared" si="40"/>
        <v/>
      </c>
      <c r="H455" s="340" t="str">
        <f t="shared" si="41"/>
        <v/>
      </c>
      <c r="I455" s="57"/>
    </row>
    <row r="456" spans="2:9" ht="20.100000000000001" customHeight="1" x14ac:dyDescent="0.3">
      <c r="B456" s="344">
        <v>448</v>
      </c>
      <c r="C456" s="342" t="str">
        <f t="shared" si="38"/>
        <v/>
      </c>
      <c r="D456" s="341" t="str">
        <f t="shared" si="36"/>
        <v/>
      </c>
      <c r="E456" s="328" t="str">
        <f t="shared" si="39"/>
        <v/>
      </c>
      <c r="F456" s="339" t="str">
        <f t="shared" si="37"/>
        <v/>
      </c>
      <c r="G456" s="328" t="str">
        <f t="shared" si="40"/>
        <v/>
      </c>
      <c r="H456" s="340" t="str">
        <f t="shared" si="41"/>
        <v/>
      </c>
      <c r="I456" s="57"/>
    </row>
    <row r="457" spans="2:9" ht="20.100000000000001" customHeight="1" x14ac:dyDescent="0.3">
      <c r="B457" s="344">
        <v>449</v>
      </c>
      <c r="C457" s="342" t="str">
        <f t="shared" si="38"/>
        <v/>
      </c>
      <c r="D457" s="341" t="str">
        <f t="shared" si="36"/>
        <v/>
      </c>
      <c r="E457" s="328" t="str">
        <f t="shared" si="39"/>
        <v/>
      </c>
      <c r="F457" s="339" t="str">
        <f t="shared" si="37"/>
        <v/>
      </c>
      <c r="G457" s="328" t="str">
        <f t="shared" si="40"/>
        <v/>
      </c>
      <c r="H457" s="340" t="str">
        <f t="shared" si="41"/>
        <v/>
      </c>
      <c r="I457" s="57"/>
    </row>
    <row r="458" spans="2:9" ht="20.100000000000001" customHeight="1" x14ac:dyDescent="0.3">
      <c r="B458" s="344">
        <v>450</v>
      </c>
      <c r="C458" s="342" t="str">
        <f t="shared" si="38"/>
        <v/>
      </c>
      <c r="D458" s="341" t="str">
        <f t="shared" ref="D458:D521" si="42">IF($H$4="","",IF($F$4="원리금균등상환",IFERROR(IF(B458&lt;=$D$6,0,-PPMT($E$4/12,B458-$D$6,($B$6-$D$6),$D$4)),""),IF($F$4="원금균등상환",IF(B458&lt;($D$6+1),0,IF(B458&gt;$B$6,0,$D$4/($B$6-$D$6))),"")))</f>
        <v/>
      </c>
      <c r="E458" s="328" t="str">
        <f t="shared" si="39"/>
        <v/>
      </c>
      <c r="F458" s="339" t="str">
        <f t="shared" ref="F458:F521" si="43">IF($H$4="","",IF($F$4="원리금균등상환",IFERROR(D458+E458,""),IF($F$4="원금균등상환",D458+E458,"")))</f>
        <v/>
      </c>
      <c r="G458" s="328" t="str">
        <f t="shared" si="40"/>
        <v/>
      </c>
      <c r="H458" s="340" t="str">
        <f t="shared" si="41"/>
        <v/>
      </c>
      <c r="I458" s="57"/>
    </row>
    <row r="459" spans="2:9" ht="20.100000000000001" customHeight="1" x14ac:dyDescent="0.3">
      <c r="B459" s="344">
        <v>451</v>
      </c>
      <c r="C459" s="342" t="str">
        <f t="shared" ref="C459:C522" si="44">IF($H$4="","",IF(B459&gt;($B$6),"",IF(B459&lt;=($B$6),DATE(YEAR($G$4),MONTH($G$4)+B458,DAY($G$4)),"")))</f>
        <v/>
      </c>
      <c r="D459" s="341" t="str">
        <f t="shared" si="42"/>
        <v/>
      </c>
      <c r="E459" s="328" t="str">
        <f t="shared" ref="E459:E522" si="45">IF($H$4="","",IF($F$4="원리금균등상환",IFERROR(IF(B459&lt;=$D$6,$H458*($E$4/12),-IPMT($E$4/12,B459-$D$6,($B$6-$D$6),$D$4)),""),IF($F$4="원금균등상환",(H458-D459)*$E$4/12,"")))</f>
        <v/>
      </c>
      <c r="F459" s="339" t="str">
        <f t="shared" si="43"/>
        <v/>
      </c>
      <c r="G459" s="328" t="str">
        <f t="shared" ref="G459:G522" si="46">IFERROR(IF(B459&gt;(($D$6+$B$6)*12),"",IF(B459=1,D459,D459+G458)),"")</f>
        <v/>
      </c>
      <c r="H459" s="340" t="str">
        <f t="shared" ref="H459:H522" si="47">IFERROR(IF($H$4="","",H458-D459),"")</f>
        <v/>
      </c>
      <c r="I459" s="57"/>
    </row>
    <row r="460" spans="2:9" ht="20.100000000000001" customHeight="1" x14ac:dyDescent="0.3">
      <c r="B460" s="344">
        <v>452</v>
      </c>
      <c r="C460" s="342" t="str">
        <f t="shared" si="44"/>
        <v/>
      </c>
      <c r="D460" s="341" t="str">
        <f t="shared" si="42"/>
        <v/>
      </c>
      <c r="E460" s="328" t="str">
        <f t="shared" si="45"/>
        <v/>
      </c>
      <c r="F460" s="339" t="str">
        <f t="shared" si="43"/>
        <v/>
      </c>
      <c r="G460" s="328" t="str">
        <f t="shared" si="46"/>
        <v/>
      </c>
      <c r="H460" s="340" t="str">
        <f t="shared" si="47"/>
        <v/>
      </c>
      <c r="I460" s="57"/>
    </row>
    <row r="461" spans="2:9" ht="20.100000000000001" customHeight="1" x14ac:dyDescent="0.3">
      <c r="B461" s="344">
        <v>453</v>
      </c>
      <c r="C461" s="342" t="str">
        <f t="shared" si="44"/>
        <v/>
      </c>
      <c r="D461" s="341" t="str">
        <f t="shared" si="42"/>
        <v/>
      </c>
      <c r="E461" s="328" t="str">
        <f t="shared" si="45"/>
        <v/>
      </c>
      <c r="F461" s="339" t="str">
        <f t="shared" si="43"/>
        <v/>
      </c>
      <c r="G461" s="328" t="str">
        <f t="shared" si="46"/>
        <v/>
      </c>
      <c r="H461" s="340" t="str">
        <f t="shared" si="47"/>
        <v/>
      </c>
      <c r="I461" s="57"/>
    </row>
    <row r="462" spans="2:9" ht="20.100000000000001" customHeight="1" x14ac:dyDescent="0.3">
      <c r="B462" s="344">
        <v>454</v>
      </c>
      <c r="C462" s="342" t="str">
        <f t="shared" si="44"/>
        <v/>
      </c>
      <c r="D462" s="341" t="str">
        <f t="shared" si="42"/>
        <v/>
      </c>
      <c r="E462" s="328" t="str">
        <f t="shared" si="45"/>
        <v/>
      </c>
      <c r="F462" s="339" t="str">
        <f t="shared" si="43"/>
        <v/>
      </c>
      <c r="G462" s="328" t="str">
        <f t="shared" si="46"/>
        <v/>
      </c>
      <c r="H462" s="340" t="str">
        <f t="shared" si="47"/>
        <v/>
      </c>
      <c r="I462" s="57"/>
    </row>
    <row r="463" spans="2:9" ht="20.100000000000001" customHeight="1" x14ac:dyDescent="0.3">
      <c r="B463" s="344">
        <v>455</v>
      </c>
      <c r="C463" s="342" t="str">
        <f t="shared" si="44"/>
        <v/>
      </c>
      <c r="D463" s="341" t="str">
        <f t="shared" si="42"/>
        <v/>
      </c>
      <c r="E463" s="328" t="str">
        <f t="shared" si="45"/>
        <v/>
      </c>
      <c r="F463" s="339" t="str">
        <f t="shared" si="43"/>
        <v/>
      </c>
      <c r="G463" s="328" t="str">
        <f t="shared" si="46"/>
        <v/>
      </c>
      <c r="H463" s="340" t="str">
        <f t="shared" si="47"/>
        <v/>
      </c>
      <c r="I463" s="57"/>
    </row>
    <row r="464" spans="2:9" ht="20.100000000000001" customHeight="1" x14ac:dyDescent="0.3">
      <c r="B464" s="344">
        <v>456</v>
      </c>
      <c r="C464" s="342" t="str">
        <f t="shared" si="44"/>
        <v/>
      </c>
      <c r="D464" s="341" t="str">
        <f t="shared" si="42"/>
        <v/>
      </c>
      <c r="E464" s="328" t="str">
        <f t="shared" si="45"/>
        <v/>
      </c>
      <c r="F464" s="339" t="str">
        <f t="shared" si="43"/>
        <v/>
      </c>
      <c r="G464" s="328" t="str">
        <f t="shared" si="46"/>
        <v/>
      </c>
      <c r="H464" s="340" t="str">
        <f t="shared" si="47"/>
        <v/>
      </c>
      <c r="I464" s="57"/>
    </row>
    <row r="465" spans="2:9" ht="20.100000000000001" customHeight="1" x14ac:dyDescent="0.3">
      <c r="B465" s="344">
        <v>457</v>
      </c>
      <c r="C465" s="342" t="str">
        <f t="shared" si="44"/>
        <v/>
      </c>
      <c r="D465" s="341" t="str">
        <f t="shared" si="42"/>
        <v/>
      </c>
      <c r="E465" s="328" t="str">
        <f t="shared" si="45"/>
        <v/>
      </c>
      <c r="F465" s="339" t="str">
        <f t="shared" si="43"/>
        <v/>
      </c>
      <c r="G465" s="328" t="str">
        <f t="shared" si="46"/>
        <v/>
      </c>
      <c r="H465" s="340" t="str">
        <f t="shared" si="47"/>
        <v/>
      </c>
      <c r="I465" s="57"/>
    </row>
    <row r="466" spans="2:9" ht="20.100000000000001" customHeight="1" x14ac:dyDescent="0.3">
      <c r="B466" s="344">
        <v>458</v>
      </c>
      <c r="C466" s="342" t="str">
        <f t="shared" si="44"/>
        <v/>
      </c>
      <c r="D466" s="341" t="str">
        <f t="shared" si="42"/>
        <v/>
      </c>
      <c r="E466" s="328" t="str">
        <f t="shared" si="45"/>
        <v/>
      </c>
      <c r="F466" s="339" t="str">
        <f t="shared" si="43"/>
        <v/>
      </c>
      <c r="G466" s="328" t="str">
        <f t="shared" si="46"/>
        <v/>
      </c>
      <c r="H466" s="340" t="str">
        <f t="shared" si="47"/>
        <v/>
      </c>
      <c r="I466" s="57"/>
    </row>
    <row r="467" spans="2:9" ht="20.100000000000001" customHeight="1" x14ac:dyDescent="0.3">
      <c r="B467" s="344">
        <v>459</v>
      </c>
      <c r="C467" s="342" t="str">
        <f t="shared" si="44"/>
        <v/>
      </c>
      <c r="D467" s="341" t="str">
        <f t="shared" si="42"/>
        <v/>
      </c>
      <c r="E467" s="328" t="str">
        <f t="shared" si="45"/>
        <v/>
      </c>
      <c r="F467" s="339" t="str">
        <f t="shared" si="43"/>
        <v/>
      </c>
      <c r="G467" s="328" t="str">
        <f t="shared" si="46"/>
        <v/>
      </c>
      <c r="H467" s="340" t="str">
        <f t="shared" si="47"/>
        <v/>
      </c>
      <c r="I467" s="57"/>
    </row>
    <row r="468" spans="2:9" ht="20.100000000000001" customHeight="1" x14ac:dyDescent="0.3">
      <c r="B468" s="344">
        <v>460</v>
      </c>
      <c r="C468" s="342" t="str">
        <f t="shared" si="44"/>
        <v/>
      </c>
      <c r="D468" s="341" t="str">
        <f t="shared" si="42"/>
        <v/>
      </c>
      <c r="E468" s="328" t="str">
        <f t="shared" si="45"/>
        <v/>
      </c>
      <c r="F468" s="339" t="str">
        <f t="shared" si="43"/>
        <v/>
      </c>
      <c r="G468" s="328" t="str">
        <f t="shared" si="46"/>
        <v/>
      </c>
      <c r="H468" s="340" t="str">
        <f t="shared" si="47"/>
        <v/>
      </c>
      <c r="I468" s="57"/>
    </row>
    <row r="469" spans="2:9" ht="20.100000000000001" customHeight="1" x14ac:dyDescent="0.3">
      <c r="B469" s="344">
        <v>461</v>
      </c>
      <c r="C469" s="342" t="str">
        <f t="shared" si="44"/>
        <v/>
      </c>
      <c r="D469" s="341" t="str">
        <f t="shared" si="42"/>
        <v/>
      </c>
      <c r="E469" s="328" t="str">
        <f t="shared" si="45"/>
        <v/>
      </c>
      <c r="F469" s="339" t="str">
        <f t="shared" si="43"/>
        <v/>
      </c>
      <c r="G469" s="328" t="str">
        <f t="shared" si="46"/>
        <v/>
      </c>
      <c r="H469" s="340" t="str">
        <f t="shared" si="47"/>
        <v/>
      </c>
      <c r="I469" s="57"/>
    </row>
    <row r="470" spans="2:9" ht="20.100000000000001" customHeight="1" x14ac:dyDescent="0.3">
      <c r="B470" s="344">
        <v>462</v>
      </c>
      <c r="C470" s="342" t="str">
        <f t="shared" si="44"/>
        <v/>
      </c>
      <c r="D470" s="341" t="str">
        <f t="shared" si="42"/>
        <v/>
      </c>
      <c r="E470" s="328" t="str">
        <f t="shared" si="45"/>
        <v/>
      </c>
      <c r="F470" s="339" t="str">
        <f t="shared" si="43"/>
        <v/>
      </c>
      <c r="G470" s="328" t="str">
        <f t="shared" si="46"/>
        <v/>
      </c>
      <c r="H470" s="340" t="str">
        <f t="shared" si="47"/>
        <v/>
      </c>
      <c r="I470" s="57"/>
    </row>
    <row r="471" spans="2:9" ht="20.100000000000001" customHeight="1" x14ac:dyDescent="0.3">
      <c r="B471" s="344">
        <v>463</v>
      </c>
      <c r="C471" s="342" t="str">
        <f t="shared" si="44"/>
        <v/>
      </c>
      <c r="D471" s="341" t="str">
        <f t="shared" si="42"/>
        <v/>
      </c>
      <c r="E471" s="328" t="str">
        <f t="shared" si="45"/>
        <v/>
      </c>
      <c r="F471" s="339" t="str">
        <f t="shared" si="43"/>
        <v/>
      </c>
      <c r="G471" s="328" t="str">
        <f t="shared" si="46"/>
        <v/>
      </c>
      <c r="H471" s="340" t="str">
        <f t="shared" si="47"/>
        <v/>
      </c>
      <c r="I471" s="57"/>
    </row>
    <row r="472" spans="2:9" ht="20.100000000000001" customHeight="1" x14ac:dyDescent="0.3">
      <c r="B472" s="344">
        <v>464</v>
      </c>
      <c r="C472" s="342" t="str">
        <f t="shared" si="44"/>
        <v/>
      </c>
      <c r="D472" s="341" t="str">
        <f t="shared" si="42"/>
        <v/>
      </c>
      <c r="E472" s="328" t="str">
        <f t="shared" si="45"/>
        <v/>
      </c>
      <c r="F472" s="339" t="str">
        <f t="shared" si="43"/>
        <v/>
      </c>
      <c r="G472" s="328" t="str">
        <f t="shared" si="46"/>
        <v/>
      </c>
      <c r="H472" s="340" t="str">
        <f t="shared" si="47"/>
        <v/>
      </c>
      <c r="I472" s="57"/>
    </row>
    <row r="473" spans="2:9" ht="20.100000000000001" customHeight="1" x14ac:dyDescent="0.3">
      <c r="B473" s="344">
        <v>465</v>
      </c>
      <c r="C473" s="342" t="str">
        <f t="shared" si="44"/>
        <v/>
      </c>
      <c r="D473" s="341" t="str">
        <f t="shared" si="42"/>
        <v/>
      </c>
      <c r="E473" s="328" t="str">
        <f t="shared" si="45"/>
        <v/>
      </c>
      <c r="F473" s="339" t="str">
        <f t="shared" si="43"/>
        <v/>
      </c>
      <c r="G473" s="328" t="str">
        <f t="shared" si="46"/>
        <v/>
      </c>
      <c r="H473" s="340" t="str">
        <f t="shared" si="47"/>
        <v/>
      </c>
      <c r="I473" s="57"/>
    </row>
    <row r="474" spans="2:9" ht="20.100000000000001" customHeight="1" x14ac:dyDescent="0.3">
      <c r="B474" s="344">
        <v>466</v>
      </c>
      <c r="C474" s="342" t="str">
        <f t="shared" si="44"/>
        <v/>
      </c>
      <c r="D474" s="341" t="str">
        <f t="shared" si="42"/>
        <v/>
      </c>
      <c r="E474" s="328" t="str">
        <f t="shared" si="45"/>
        <v/>
      </c>
      <c r="F474" s="339" t="str">
        <f t="shared" si="43"/>
        <v/>
      </c>
      <c r="G474" s="328" t="str">
        <f t="shared" si="46"/>
        <v/>
      </c>
      <c r="H474" s="340" t="str">
        <f t="shared" si="47"/>
        <v/>
      </c>
      <c r="I474" s="57"/>
    </row>
    <row r="475" spans="2:9" ht="20.100000000000001" customHeight="1" x14ac:dyDescent="0.3">
      <c r="B475" s="344">
        <v>467</v>
      </c>
      <c r="C475" s="342" t="str">
        <f t="shared" si="44"/>
        <v/>
      </c>
      <c r="D475" s="341" t="str">
        <f t="shared" si="42"/>
        <v/>
      </c>
      <c r="E475" s="328" t="str">
        <f t="shared" si="45"/>
        <v/>
      </c>
      <c r="F475" s="339" t="str">
        <f t="shared" si="43"/>
        <v/>
      </c>
      <c r="G475" s="328" t="str">
        <f t="shared" si="46"/>
        <v/>
      </c>
      <c r="H475" s="340" t="str">
        <f t="shared" si="47"/>
        <v/>
      </c>
      <c r="I475" s="57"/>
    </row>
    <row r="476" spans="2:9" ht="20.100000000000001" customHeight="1" x14ac:dyDescent="0.3">
      <c r="B476" s="344">
        <v>468</v>
      </c>
      <c r="C476" s="342" t="str">
        <f t="shared" si="44"/>
        <v/>
      </c>
      <c r="D476" s="341" t="str">
        <f t="shared" si="42"/>
        <v/>
      </c>
      <c r="E476" s="328" t="str">
        <f t="shared" si="45"/>
        <v/>
      </c>
      <c r="F476" s="339" t="str">
        <f t="shared" si="43"/>
        <v/>
      </c>
      <c r="G476" s="328" t="str">
        <f t="shared" si="46"/>
        <v/>
      </c>
      <c r="H476" s="340" t="str">
        <f t="shared" si="47"/>
        <v/>
      </c>
      <c r="I476" s="57"/>
    </row>
    <row r="477" spans="2:9" ht="20.100000000000001" customHeight="1" x14ac:dyDescent="0.3">
      <c r="B477" s="344">
        <v>469</v>
      </c>
      <c r="C477" s="342" t="str">
        <f t="shared" si="44"/>
        <v/>
      </c>
      <c r="D477" s="341" t="str">
        <f t="shared" si="42"/>
        <v/>
      </c>
      <c r="E477" s="328" t="str">
        <f t="shared" si="45"/>
        <v/>
      </c>
      <c r="F477" s="339" t="str">
        <f t="shared" si="43"/>
        <v/>
      </c>
      <c r="G477" s="328" t="str">
        <f t="shared" si="46"/>
        <v/>
      </c>
      <c r="H477" s="340" t="str">
        <f t="shared" si="47"/>
        <v/>
      </c>
      <c r="I477" s="57"/>
    </row>
    <row r="478" spans="2:9" ht="20.100000000000001" customHeight="1" x14ac:dyDescent="0.3">
      <c r="B478" s="344">
        <v>470</v>
      </c>
      <c r="C478" s="342" t="str">
        <f t="shared" si="44"/>
        <v/>
      </c>
      <c r="D478" s="341" t="str">
        <f t="shared" si="42"/>
        <v/>
      </c>
      <c r="E478" s="328" t="str">
        <f t="shared" si="45"/>
        <v/>
      </c>
      <c r="F478" s="339" t="str">
        <f t="shared" si="43"/>
        <v/>
      </c>
      <c r="G478" s="328" t="str">
        <f t="shared" si="46"/>
        <v/>
      </c>
      <c r="H478" s="340" t="str">
        <f t="shared" si="47"/>
        <v/>
      </c>
      <c r="I478" s="57"/>
    </row>
    <row r="479" spans="2:9" ht="20.100000000000001" customHeight="1" x14ac:dyDescent="0.3">
      <c r="B479" s="344">
        <v>471</v>
      </c>
      <c r="C479" s="342" t="str">
        <f t="shared" si="44"/>
        <v/>
      </c>
      <c r="D479" s="341" t="str">
        <f t="shared" si="42"/>
        <v/>
      </c>
      <c r="E479" s="328" t="str">
        <f t="shared" si="45"/>
        <v/>
      </c>
      <c r="F479" s="339" t="str">
        <f t="shared" si="43"/>
        <v/>
      </c>
      <c r="G479" s="328" t="str">
        <f t="shared" si="46"/>
        <v/>
      </c>
      <c r="H479" s="340" t="str">
        <f t="shared" si="47"/>
        <v/>
      </c>
      <c r="I479" s="57"/>
    </row>
    <row r="480" spans="2:9" ht="20.100000000000001" customHeight="1" x14ac:dyDescent="0.3">
      <c r="B480" s="344">
        <v>472</v>
      </c>
      <c r="C480" s="342" t="str">
        <f t="shared" si="44"/>
        <v/>
      </c>
      <c r="D480" s="341" t="str">
        <f t="shared" si="42"/>
        <v/>
      </c>
      <c r="E480" s="328" t="str">
        <f t="shared" si="45"/>
        <v/>
      </c>
      <c r="F480" s="339" t="str">
        <f t="shared" si="43"/>
        <v/>
      </c>
      <c r="G480" s="328" t="str">
        <f t="shared" si="46"/>
        <v/>
      </c>
      <c r="H480" s="340" t="str">
        <f t="shared" si="47"/>
        <v/>
      </c>
      <c r="I480" s="57"/>
    </row>
    <row r="481" spans="2:9" ht="20.100000000000001" customHeight="1" x14ac:dyDescent="0.3">
      <c r="B481" s="344">
        <v>473</v>
      </c>
      <c r="C481" s="342" t="str">
        <f t="shared" si="44"/>
        <v/>
      </c>
      <c r="D481" s="341" t="str">
        <f t="shared" si="42"/>
        <v/>
      </c>
      <c r="E481" s="328" t="str">
        <f t="shared" si="45"/>
        <v/>
      </c>
      <c r="F481" s="339" t="str">
        <f t="shared" si="43"/>
        <v/>
      </c>
      <c r="G481" s="328" t="str">
        <f t="shared" si="46"/>
        <v/>
      </c>
      <c r="H481" s="340" t="str">
        <f t="shared" si="47"/>
        <v/>
      </c>
      <c r="I481" s="57"/>
    </row>
    <row r="482" spans="2:9" ht="20.100000000000001" customHeight="1" x14ac:dyDescent="0.3">
      <c r="B482" s="344">
        <v>474</v>
      </c>
      <c r="C482" s="342" t="str">
        <f t="shared" si="44"/>
        <v/>
      </c>
      <c r="D482" s="341" t="str">
        <f t="shared" si="42"/>
        <v/>
      </c>
      <c r="E482" s="328" t="str">
        <f t="shared" si="45"/>
        <v/>
      </c>
      <c r="F482" s="339" t="str">
        <f t="shared" si="43"/>
        <v/>
      </c>
      <c r="G482" s="328" t="str">
        <f t="shared" si="46"/>
        <v/>
      </c>
      <c r="H482" s="340" t="str">
        <f t="shared" si="47"/>
        <v/>
      </c>
      <c r="I482" s="57"/>
    </row>
    <row r="483" spans="2:9" ht="20.100000000000001" customHeight="1" x14ac:dyDescent="0.3">
      <c r="B483" s="344">
        <v>475</v>
      </c>
      <c r="C483" s="342" t="str">
        <f t="shared" si="44"/>
        <v/>
      </c>
      <c r="D483" s="341" t="str">
        <f t="shared" si="42"/>
        <v/>
      </c>
      <c r="E483" s="328" t="str">
        <f t="shared" si="45"/>
        <v/>
      </c>
      <c r="F483" s="339" t="str">
        <f t="shared" si="43"/>
        <v/>
      </c>
      <c r="G483" s="328" t="str">
        <f t="shared" si="46"/>
        <v/>
      </c>
      <c r="H483" s="340" t="str">
        <f t="shared" si="47"/>
        <v/>
      </c>
      <c r="I483" s="57"/>
    </row>
    <row r="484" spans="2:9" ht="20.100000000000001" customHeight="1" x14ac:dyDescent="0.3">
      <c r="B484" s="344">
        <v>476</v>
      </c>
      <c r="C484" s="342" t="str">
        <f t="shared" si="44"/>
        <v/>
      </c>
      <c r="D484" s="341" t="str">
        <f t="shared" si="42"/>
        <v/>
      </c>
      <c r="E484" s="328" t="str">
        <f t="shared" si="45"/>
        <v/>
      </c>
      <c r="F484" s="339" t="str">
        <f t="shared" si="43"/>
        <v/>
      </c>
      <c r="G484" s="328" t="str">
        <f t="shared" si="46"/>
        <v/>
      </c>
      <c r="H484" s="340" t="str">
        <f t="shared" si="47"/>
        <v/>
      </c>
      <c r="I484" s="57"/>
    </row>
    <row r="485" spans="2:9" ht="20.100000000000001" customHeight="1" x14ac:dyDescent="0.3">
      <c r="B485" s="344">
        <v>477</v>
      </c>
      <c r="C485" s="342" t="str">
        <f t="shared" si="44"/>
        <v/>
      </c>
      <c r="D485" s="341" t="str">
        <f t="shared" si="42"/>
        <v/>
      </c>
      <c r="E485" s="328" t="str">
        <f t="shared" si="45"/>
        <v/>
      </c>
      <c r="F485" s="339" t="str">
        <f t="shared" si="43"/>
        <v/>
      </c>
      <c r="G485" s="328" t="str">
        <f t="shared" si="46"/>
        <v/>
      </c>
      <c r="H485" s="340" t="str">
        <f t="shared" si="47"/>
        <v/>
      </c>
      <c r="I485" s="57"/>
    </row>
    <row r="486" spans="2:9" ht="20.100000000000001" customHeight="1" x14ac:dyDescent="0.3">
      <c r="B486" s="344">
        <v>478</v>
      </c>
      <c r="C486" s="342" t="str">
        <f t="shared" si="44"/>
        <v/>
      </c>
      <c r="D486" s="341" t="str">
        <f t="shared" si="42"/>
        <v/>
      </c>
      <c r="E486" s="328" t="str">
        <f t="shared" si="45"/>
        <v/>
      </c>
      <c r="F486" s="339" t="str">
        <f t="shared" si="43"/>
        <v/>
      </c>
      <c r="G486" s="328" t="str">
        <f t="shared" si="46"/>
        <v/>
      </c>
      <c r="H486" s="340" t="str">
        <f t="shared" si="47"/>
        <v/>
      </c>
      <c r="I486" s="57"/>
    </row>
    <row r="487" spans="2:9" ht="20.100000000000001" customHeight="1" x14ac:dyDescent="0.3">
      <c r="B487" s="344">
        <v>479</v>
      </c>
      <c r="C487" s="342" t="str">
        <f t="shared" si="44"/>
        <v/>
      </c>
      <c r="D487" s="341" t="str">
        <f t="shared" si="42"/>
        <v/>
      </c>
      <c r="E487" s="328" t="str">
        <f t="shared" si="45"/>
        <v/>
      </c>
      <c r="F487" s="339" t="str">
        <f t="shared" si="43"/>
        <v/>
      </c>
      <c r="G487" s="328" t="str">
        <f t="shared" si="46"/>
        <v/>
      </c>
      <c r="H487" s="340" t="str">
        <f t="shared" si="47"/>
        <v/>
      </c>
      <c r="I487" s="57"/>
    </row>
    <row r="488" spans="2:9" ht="20.100000000000001" customHeight="1" x14ac:dyDescent="0.3">
      <c r="B488" s="344">
        <v>480</v>
      </c>
      <c r="C488" s="342" t="str">
        <f t="shared" si="44"/>
        <v/>
      </c>
      <c r="D488" s="341" t="str">
        <f t="shared" si="42"/>
        <v/>
      </c>
      <c r="E488" s="328" t="str">
        <f t="shared" si="45"/>
        <v/>
      </c>
      <c r="F488" s="339" t="str">
        <f t="shared" si="43"/>
        <v/>
      </c>
      <c r="G488" s="328" t="str">
        <f t="shared" si="46"/>
        <v/>
      </c>
      <c r="H488" s="340" t="str">
        <f t="shared" si="47"/>
        <v/>
      </c>
      <c r="I488" s="57"/>
    </row>
    <row r="489" spans="2:9" ht="20.100000000000001" customHeight="1" x14ac:dyDescent="0.3">
      <c r="B489" s="344">
        <v>481</v>
      </c>
      <c r="C489" s="342" t="str">
        <f t="shared" si="44"/>
        <v/>
      </c>
      <c r="D489" s="341" t="str">
        <f t="shared" si="42"/>
        <v/>
      </c>
      <c r="E489" s="328" t="str">
        <f t="shared" si="45"/>
        <v/>
      </c>
      <c r="F489" s="339" t="str">
        <f t="shared" si="43"/>
        <v/>
      </c>
      <c r="G489" s="328" t="str">
        <f t="shared" si="46"/>
        <v/>
      </c>
      <c r="H489" s="340" t="str">
        <f t="shared" si="47"/>
        <v/>
      </c>
      <c r="I489" s="57"/>
    </row>
    <row r="490" spans="2:9" ht="20.100000000000001" customHeight="1" x14ac:dyDescent="0.3">
      <c r="B490" s="344">
        <v>482</v>
      </c>
      <c r="C490" s="342" t="str">
        <f t="shared" si="44"/>
        <v/>
      </c>
      <c r="D490" s="341" t="str">
        <f t="shared" si="42"/>
        <v/>
      </c>
      <c r="E490" s="328" t="str">
        <f t="shared" si="45"/>
        <v/>
      </c>
      <c r="F490" s="339" t="str">
        <f t="shared" si="43"/>
        <v/>
      </c>
      <c r="G490" s="328" t="str">
        <f t="shared" si="46"/>
        <v/>
      </c>
      <c r="H490" s="340" t="str">
        <f t="shared" si="47"/>
        <v/>
      </c>
      <c r="I490" s="57"/>
    </row>
    <row r="491" spans="2:9" ht="20.100000000000001" customHeight="1" x14ac:dyDescent="0.3">
      <c r="B491" s="344">
        <v>483</v>
      </c>
      <c r="C491" s="342" t="str">
        <f t="shared" si="44"/>
        <v/>
      </c>
      <c r="D491" s="341" t="str">
        <f t="shared" si="42"/>
        <v/>
      </c>
      <c r="E491" s="328" t="str">
        <f t="shared" si="45"/>
        <v/>
      </c>
      <c r="F491" s="339" t="str">
        <f t="shared" si="43"/>
        <v/>
      </c>
      <c r="G491" s="328" t="str">
        <f t="shared" si="46"/>
        <v/>
      </c>
      <c r="H491" s="340" t="str">
        <f t="shared" si="47"/>
        <v/>
      </c>
      <c r="I491" s="57"/>
    </row>
    <row r="492" spans="2:9" ht="20.100000000000001" customHeight="1" x14ac:dyDescent="0.3">
      <c r="B492" s="344">
        <v>484</v>
      </c>
      <c r="C492" s="342" t="str">
        <f t="shared" si="44"/>
        <v/>
      </c>
      <c r="D492" s="341" t="str">
        <f t="shared" si="42"/>
        <v/>
      </c>
      <c r="E492" s="328" t="str">
        <f t="shared" si="45"/>
        <v/>
      </c>
      <c r="F492" s="339" t="str">
        <f t="shared" si="43"/>
        <v/>
      </c>
      <c r="G492" s="328" t="str">
        <f t="shared" si="46"/>
        <v/>
      </c>
      <c r="H492" s="340" t="str">
        <f t="shared" si="47"/>
        <v/>
      </c>
      <c r="I492" s="57"/>
    </row>
    <row r="493" spans="2:9" ht="20.100000000000001" customHeight="1" x14ac:dyDescent="0.3">
      <c r="B493" s="344">
        <v>485</v>
      </c>
      <c r="C493" s="342" t="str">
        <f t="shared" si="44"/>
        <v/>
      </c>
      <c r="D493" s="341" t="str">
        <f t="shared" si="42"/>
        <v/>
      </c>
      <c r="E493" s="328" t="str">
        <f t="shared" si="45"/>
        <v/>
      </c>
      <c r="F493" s="339" t="str">
        <f t="shared" si="43"/>
        <v/>
      </c>
      <c r="G493" s="328" t="str">
        <f t="shared" si="46"/>
        <v/>
      </c>
      <c r="H493" s="340" t="str">
        <f t="shared" si="47"/>
        <v/>
      </c>
      <c r="I493" s="57"/>
    </row>
    <row r="494" spans="2:9" ht="20.100000000000001" customHeight="1" x14ac:dyDescent="0.3">
      <c r="B494" s="344">
        <v>486</v>
      </c>
      <c r="C494" s="342" t="str">
        <f t="shared" si="44"/>
        <v/>
      </c>
      <c r="D494" s="341" t="str">
        <f t="shared" si="42"/>
        <v/>
      </c>
      <c r="E494" s="328" t="str">
        <f t="shared" si="45"/>
        <v/>
      </c>
      <c r="F494" s="339" t="str">
        <f t="shared" si="43"/>
        <v/>
      </c>
      <c r="G494" s="328" t="str">
        <f t="shared" si="46"/>
        <v/>
      </c>
      <c r="H494" s="340" t="str">
        <f t="shared" si="47"/>
        <v/>
      </c>
      <c r="I494" s="57"/>
    </row>
    <row r="495" spans="2:9" ht="20.100000000000001" customHeight="1" x14ac:dyDescent="0.3">
      <c r="B495" s="344">
        <v>487</v>
      </c>
      <c r="C495" s="342" t="str">
        <f t="shared" si="44"/>
        <v/>
      </c>
      <c r="D495" s="341" t="str">
        <f t="shared" si="42"/>
        <v/>
      </c>
      <c r="E495" s="328" t="str">
        <f t="shared" si="45"/>
        <v/>
      </c>
      <c r="F495" s="339" t="str">
        <f t="shared" si="43"/>
        <v/>
      </c>
      <c r="G495" s="328" t="str">
        <f t="shared" si="46"/>
        <v/>
      </c>
      <c r="H495" s="340" t="str">
        <f t="shared" si="47"/>
        <v/>
      </c>
      <c r="I495" s="57"/>
    </row>
    <row r="496" spans="2:9" ht="20.100000000000001" customHeight="1" x14ac:dyDescent="0.3">
      <c r="B496" s="344">
        <v>488</v>
      </c>
      <c r="C496" s="342" t="str">
        <f t="shared" si="44"/>
        <v/>
      </c>
      <c r="D496" s="341" t="str">
        <f t="shared" si="42"/>
        <v/>
      </c>
      <c r="E496" s="328" t="str">
        <f t="shared" si="45"/>
        <v/>
      </c>
      <c r="F496" s="339" t="str">
        <f t="shared" si="43"/>
        <v/>
      </c>
      <c r="G496" s="328" t="str">
        <f t="shared" si="46"/>
        <v/>
      </c>
      <c r="H496" s="340" t="str">
        <f t="shared" si="47"/>
        <v/>
      </c>
      <c r="I496" s="57"/>
    </row>
    <row r="497" spans="2:9" ht="20.100000000000001" customHeight="1" x14ac:dyDescent="0.3">
      <c r="B497" s="344">
        <v>489</v>
      </c>
      <c r="C497" s="342" t="str">
        <f t="shared" si="44"/>
        <v/>
      </c>
      <c r="D497" s="341" t="str">
        <f t="shared" si="42"/>
        <v/>
      </c>
      <c r="E497" s="328" t="str">
        <f t="shared" si="45"/>
        <v/>
      </c>
      <c r="F497" s="339" t="str">
        <f t="shared" si="43"/>
        <v/>
      </c>
      <c r="G497" s="328" t="str">
        <f t="shared" si="46"/>
        <v/>
      </c>
      <c r="H497" s="340" t="str">
        <f t="shared" si="47"/>
        <v/>
      </c>
      <c r="I497" s="57"/>
    </row>
    <row r="498" spans="2:9" ht="20.100000000000001" customHeight="1" x14ac:dyDescent="0.3">
      <c r="B498" s="344">
        <v>490</v>
      </c>
      <c r="C498" s="342" t="str">
        <f t="shared" si="44"/>
        <v/>
      </c>
      <c r="D498" s="341" t="str">
        <f t="shared" si="42"/>
        <v/>
      </c>
      <c r="E498" s="328" t="str">
        <f t="shared" si="45"/>
        <v/>
      </c>
      <c r="F498" s="339" t="str">
        <f t="shared" si="43"/>
        <v/>
      </c>
      <c r="G498" s="328" t="str">
        <f t="shared" si="46"/>
        <v/>
      </c>
      <c r="H498" s="340" t="str">
        <f t="shared" si="47"/>
        <v/>
      </c>
      <c r="I498" s="57"/>
    </row>
    <row r="499" spans="2:9" ht="20.100000000000001" customHeight="1" x14ac:dyDescent="0.3">
      <c r="B499" s="344">
        <v>491</v>
      </c>
      <c r="C499" s="342" t="str">
        <f t="shared" si="44"/>
        <v/>
      </c>
      <c r="D499" s="341" t="str">
        <f t="shared" si="42"/>
        <v/>
      </c>
      <c r="E499" s="328" t="str">
        <f t="shared" si="45"/>
        <v/>
      </c>
      <c r="F499" s="339" t="str">
        <f t="shared" si="43"/>
        <v/>
      </c>
      <c r="G499" s="328" t="str">
        <f t="shared" si="46"/>
        <v/>
      </c>
      <c r="H499" s="340" t="str">
        <f t="shared" si="47"/>
        <v/>
      </c>
      <c r="I499" s="57"/>
    </row>
    <row r="500" spans="2:9" ht="20.100000000000001" customHeight="1" x14ac:dyDescent="0.3">
      <c r="B500" s="344">
        <v>492</v>
      </c>
      <c r="C500" s="342" t="str">
        <f t="shared" si="44"/>
        <v/>
      </c>
      <c r="D500" s="341" t="str">
        <f t="shared" si="42"/>
        <v/>
      </c>
      <c r="E500" s="328" t="str">
        <f t="shared" si="45"/>
        <v/>
      </c>
      <c r="F500" s="339" t="str">
        <f t="shared" si="43"/>
        <v/>
      </c>
      <c r="G500" s="328" t="str">
        <f t="shared" si="46"/>
        <v/>
      </c>
      <c r="H500" s="340" t="str">
        <f t="shared" si="47"/>
        <v/>
      </c>
      <c r="I500" s="57"/>
    </row>
    <row r="501" spans="2:9" ht="20.100000000000001" customHeight="1" x14ac:dyDescent="0.3">
      <c r="B501" s="344">
        <v>493</v>
      </c>
      <c r="C501" s="342" t="str">
        <f t="shared" si="44"/>
        <v/>
      </c>
      <c r="D501" s="341" t="str">
        <f t="shared" si="42"/>
        <v/>
      </c>
      <c r="E501" s="328" t="str">
        <f t="shared" si="45"/>
        <v/>
      </c>
      <c r="F501" s="339" t="str">
        <f t="shared" si="43"/>
        <v/>
      </c>
      <c r="G501" s="328" t="str">
        <f t="shared" si="46"/>
        <v/>
      </c>
      <c r="H501" s="340" t="str">
        <f t="shared" si="47"/>
        <v/>
      </c>
      <c r="I501" s="57"/>
    </row>
    <row r="502" spans="2:9" ht="20.100000000000001" customHeight="1" x14ac:dyDescent="0.3">
      <c r="B502" s="344">
        <v>494</v>
      </c>
      <c r="C502" s="342" t="str">
        <f t="shared" si="44"/>
        <v/>
      </c>
      <c r="D502" s="341" t="str">
        <f t="shared" si="42"/>
        <v/>
      </c>
      <c r="E502" s="328" t="str">
        <f t="shared" si="45"/>
        <v/>
      </c>
      <c r="F502" s="339" t="str">
        <f t="shared" si="43"/>
        <v/>
      </c>
      <c r="G502" s="328" t="str">
        <f t="shared" si="46"/>
        <v/>
      </c>
      <c r="H502" s="340" t="str">
        <f t="shared" si="47"/>
        <v/>
      </c>
      <c r="I502" s="57"/>
    </row>
    <row r="503" spans="2:9" ht="20.100000000000001" customHeight="1" x14ac:dyDescent="0.3">
      <c r="B503" s="344">
        <v>495</v>
      </c>
      <c r="C503" s="342" t="str">
        <f t="shared" si="44"/>
        <v/>
      </c>
      <c r="D503" s="341" t="str">
        <f t="shared" si="42"/>
        <v/>
      </c>
      <c r="E503" s="328" t="str">
        <f t="shared" si="45"/>
        <v/>
      </c>
      <c r="F503" s="339" t="str">
        <f t="shared" si="43"/>
        <v/>
      </c>
      <c r="G503" s="328" t="str">
        <f t="shared" si="46"/>
        <v/>
      </c>
      <c r="H503" s="340" t="str">
        <f t="shared" si="47"/>
        <v/>
      </c>
      <c r="I503" s="57"/>
    </row>
    <row r="504" spans="2:9" ht="20.100000000000001" customHeight="1" x14ac:dyDescent="0.3">
      <c r="B504" s="344">
        <v>496</v>
      </c>
      <c r="C504" s="342" t="str">
        <f t="shared" si="44"/>
        <v/>
      </c>
      <c r="D504" s="341" t="str">
        <f t="shared" si="42"/>
        <v/>
      </c>
      <c r="E504" s="328" t="str">
        <f t="shared" si="45"/>
        <v/>
      </c>
      <c r="F504" s="339" t="str">
        <f t="shared" si="43"/>
        <v/>
      </c>
      <c r="G504" s="328" t="str">
        <f t="shared" si="46"/>
        <v/>
      </c>
      <c r="H504" s="340" t="str">
        <f t="shared" si="47"/>
        <v/>
      </c>
      <c r="I504" s="57"/>
    </row>
    <row r="505" spans="2:9" ht="20.100000000000001" customHeight="1" x14ac:dyDescent="0.3">
      <c r="B505" s="344">
        <v>497</v>
      </c>
      <c r="C505" s="342" t="str">
        <f t="shared" si="44"/>
        <v/>
      </c>
      <c r="D505" s="341" t="str">
        <f t="shared" si="42"/>
        <v/>
      </c>
      <c r="E505" s="328" t="str">
        <f t="shared" si="45"/>
        <v/>
      </c>
      <c r="F505" s="339" t="str">
        <f t="shared" si="43"/>
        <v/>
      </c>
      <c r="G505" s="328" t="str">
        <f t="shared" si="46"/>
        <v/>
      </c>
      <c r="H505" s="340" t="str">
        <f t="shared" si="47"/>
        <v/>
      </c>
      <c r="I505" s="57"/>
    </row>
    <row r="506" spans="2:9" ht="20.100000000000001" customHeight="1" x14ac:dyDescent="0.3">
      <c r="B506" s="344">
        <v>498</v>
      </c>
      <c r="C506" s="342" t="str">
        <f t="shared" si="44"/>
        <v/>
      </c>
      <c r="D506" s="341" t="str">
        <f t="shared" si="42"/>
        <v/>
      </c>
      <c r="E506" s="328" t="str">
        <f t="shared" si="45"/>
        <v/>
      </c>
      <c r="F506" s="339" t="str">
        <f t="shared" si="43"/>
        <v/>
      </c>
      <c r="G506" s="328" t="str">
        <f t="shared" si="46"/>
        <v/>
      </c>
      <c r="H506" s="340" t="str">
        <f t="shared" si="47"/>
        <v/>
      </c>
      <c r="I506" s="57"/>
    </row>
    <row r="507" spans="2:9" ht="20.100000000000001" customHeight="1" x14ac:dyDescent="0.3">
      <c r="B507" s="344">
        <v>499</v>
      </c>
      <c r="C507" s="342" t="str">
        <f t="shared" si="44"/>
        <v/>
      </c>
      <c r="D507" s="341" t="str">
        <f t="shared" si="42"/>
        <v/>
      </c>
      <c r="E507" s="328" t="str">
        <f t="shared" si="45"/>
        <v/>
      </c>
      <c r="F507" s="339" t="str">
        <f t="shared" si="43"/>
        <v/>
      </c>
      <c r="G507" s="328" t="str">
        <f t="shared" si="46"/>
        <v/>
      </c>
      <c r="H507" s="340" t="str">
        <f t="shared" si="47"/>
        <v/>
      </c>
      <c r="I507" s="57"/>
    </row>
    <row r="508" spans="2:9" ht="20.100000000000001" customHeight="1" x14ac:dyDescent="0.3">
      <c r="B508" s="344">
        <v>500</v>
      </c>
      <c r="C508" s="342" t="str">
        <f t="shared" si="44"/>
        <v/>
      </c>
      <c r="D508" s="341" t="str">
        <f t="shared" si="42"/>
        <v/>
      </c>
      <c r="E508" s="328" t="str">
        <f t="shared" si="45"/>
        <v/>
      </c>
      <c r="F508" s="339" t="str">
        <f t="shared" si="43"/>
        <v/>
      </c>
      <c r="G508" s="328" t="str">
        <f t="shared" si="46"/>
        <v/>
      </c>
      <c r="H508" s="340" t="str">
        <f t="shared" si="47"/>
        <v/>
      </c>
      <c r="I508" s="57"/>
    </row>
    <row r="509" spans="2:9" ht="20.100000000000001" customHeight="1" x14ac:dyDescent="0.3">
      <c r="B509" s="344">
        <v>501</v>
      </c>
      <c r="C509" s="342" t="str">
        <f t="shared" si="44"/>
        <v/>
      </c>
      <c r="D509" s="341" t="str">
        <f t="shared" si="42"/>
        <v/>
      </c>
      <c r="E509" s="328" t="str">
        <f t="shared" si="45"/>
        <v/>
      </c>
      <c r="F509" s="339" t="str">
        <f t="shared" si="43"/>
        <v/>
      </c>
      <c r="G509" s="328" t="str">
        <f t="shared" si="46"/>
        <v/>
      </c>
      <c r="H509" s="340" t="str">
        <f t="shared" si="47"/>
        <v/>
      </c>
      <c r="I509" s="57"/>
    </row>
    <row r="510" spans="2:9" ht="20.100000000000001" customHeight="1" x14ac:dyDescent="0.3">
      <c r="B510" s="344">
        <v>502</v>
      </c>
      <c r="C510" s="342" t="str">
        <f t="shared" si="44"/>
        <v/>
      </c>
      <c r="D510" s="341" t="str">
        <f t="shared" si="42"/>
        <v/>
      </c>
      <c r="E510" s="328" t="str">
        <f t="shared" si="45"/>
        <v/>
      </c>
      <c r="F510" s="339" t="str">
        <f t="shared" si="43"/>
        <v/>
      </c>
      <c r="G510" s="328" t="str">
        <f t="shared" si="46"/>
        <v/>
      </c>
      <c r="H510" s="340" t="str">
        <f t="shared" si="47"/>
        <v/>
      </c>
      <c r="I510" s="57"/>
    </row>
    <row r="511" spans="2:9" ht="20.100000000000001" customHeight="1" x14ac:dyDescent="0.3">
      <c r="B511" s="344">
        <v>503</v>
      </c>
      <c r="C511" s="342" t="str">
        <f t="shared" si="44"/>
        <v/>
      </c>
      <c r="D511" s="341" t="str">
        <f t="shared" si="42"/>
        <v/>
      </c>
      <c r="E511" s="328" t="str">
        <f t="shared" si="45"/>
        <v/>
      </c>
      <c r="F511" s="339" t="str">
        <f t="shared" si="43"/>
        <v/>
      </c>
      <c r="G511" s="328" t="str">
        <f t="shared" si="46"/>
        <v/>
      </c>
      <c r="H511" s="340" t="str">
        <f t="shared" si="47"/>
        <v/>
      </c>
      <c r="I511" s="57"/>
    </row>
    <row r="512" spans="2:9" ht="20.100000000000001" customHeight="1" x14ac:dyDescent="0.3">
      <c r="B512" s="344">
        <v>504</v>
      </c>
      <c r="C512" s="342" t="str">
        <f t="shared" si="44"/>
        <v/>
      </c>
      <c r="D512" s="341" t="str">
        <f t="shared" si="42"/>
        <v/>
      </c>
      <c r="E512" s="328" t="str">
        <f t="shared" si="45"/>
        <v/>
      </c>
      <c r="F512" s="339" t="str">
        <f t="shared" si="43"/>
        <v/>
      </c>
      <c r="G512" s="328" t="str">
        <f t="shared" si="46"/>
        <v/>
      </c>
      <c r="H512" s="340" t="str">
        <f t="shared" si="47"/>
        <v/>
      </c>
      <c r="I512" s="57"/>
    </row>
    <row r="513" spans="2:9" ht="20.100000000000001" customHeight="1" x14ac:dyDescent="0.3">
      <c r="B513" s="344">
        <v>505</v>
      </c>
      <c r="C513" s="342" t="str">
        <f t="shared" si="44"/>
        <v/>
      </c>
      <c r="D513" s="341" t="str">
        <f t="shared" si="42"/>
        <v/>
      </c>
      <c r="E513" s="328" t="str">
        <f t="shared" si="45"/>
        <v/>
      </c>
      <c r="F513" s="339" t="str">
        <f t="shared" si="43"/>
        <v/>
      </c>
      <c r="G513" s="328" t="str">
        <f t="shared" si="46"/>
        <v/>
      </c>
      <c r="H513" s="340" t="str">
        <f t="shared" si="47"/>
        <v/>
      </c>
      <c r="I513" s="57"/>
    </row>
    <row r="514" spans="2:9" ht="20.100000000000001" customHeight="1" x14ac:dyDescent="0.3">
      <c r="B514" s="344">
        <v>506</v>
      </c>
      <c r="C514" s="342" t="str">
        <f t="shared" si="44"/>
        <v/>
      </c>
      <c r="D514" s="341" t="str">
        <f t="shared" si="42"/>
        <v/>
      </c>
      <c r="E514" s="328" t="str">
        <f t="shared" si="45"/>
        <v/>
      </c>
      <c r="F514" s="339" t="str">
        <f t="shared" si="43"/>
        <v/>
      </c>
      <c r="G514" s="328" t="str">
        <f t="shared" si="46"/>
        <v/>
      </c>
      <c r="H514" s="340" t="str">
        <f t="shared" si="47"/>
        <v/>
      </c>
      <c r="I514" s="57"/>
    </row>
    <row r="515" spans="2:9" ht="20.100000000000001" customHeight="1" x14ac:dyDescent="0.3">
      <c r="B515" s="344">
        <v>507</v>
      </c>
      <c r="C515" s="342" t="str">
        <f t="shared" si="44"/>
        <v/>
      </c>
      <c r="D515" s="341" t="str">
        <f t="shared" si="42"/>
        <v/>
      </c>
      <c r="E515" s="328" t="str">
        <f t="shared" si="45"/>
        <v/>
      </c>
      <c r="F515" s="339" t="str">
        <f t="shared" si="43"/>
        <v/>
      </c>
      <c r="G515" s="328" t="str">
        <f t="shared" si="46"/>
        <v/>
      </c>
      <c r="H515" s="340" t="str">
        <f t="shared" si="47"/>
        <v/>
      </c>
      <c r="I515" s="57"/>
    </row>
    <row r="516" spans="2:9" ht="20.100000000000001" customHeight="1" x14ac:dyDescent="0.3">
      <c r="B516" s="344">
        <v>508</v>
      </c>
      <c r="C516" s="342" t="str">
        <f t="shared" si="44"/>
        <v/>
      </c>
      <c r="D516" s="341" t="str">
        <f t="shared" si="42"/>
        <v/>
      </c>
      <c r="E516" s="328" t="str">
        <f t="shared" si="45"/>
        <v/>
      </c>
      <c r="F516" s="339" t="str">
        <f t="shared" si="43"/>
        <v/>
      </c>
      <c r="G516" s="328" t="str">
        <f t="shared" si="46"/>
        <v/>
      </c>
      <c r="H516" s="340" t="str">
        <f t="shared" si="47"/>
        <v/>
      </c>
      <c r="I516" s="57"/>
    </row>
    <row r="517" spans="2:9" ht="20.100000000000001" customHeight="1" x14ac:dyDescent="0.3">
      <c r="B517" s="344">
        <v>509</v>
      </c>
      <c r="C517" s="342" t="str">
        <f t="shared" si="44"/>
        <v/>
      </c>
      <c r="D517" s="341" t="str">
        <f t="shared" si="42"/>
        <v/>
      </c>
      <c r="E517" s="328" t="str">
        <f t="shared" si="45"/>
        <v/>
      </c>
      <c r="F517" s="339" t="str">
        <f t="shared" si="43"/>
        <v/>
      </c>
      <c r="G517" s="328" t="str">
        <f t="shared" si="46"/>
        <v/>
      </c>
      <c r="H517" s="340" t="str">
        <f t="shared" si="47"/>
        <v/>
      </c>
      <c r="I517" s="57"/>
    </row>
    <row r="518" spans="2:9" ht="20.100000000000001" customHeight="1" x14ac:dyDescent="0.3">
      <c r="B518" s="344">
        <v>510</v>
      </c>
      <c r="C518" s="342" t="str">
        <f t="shared" si="44"/>
        <v/>
      </c>
      <c r="D518" s="341" t="str">
        <f t="shared" si="42"/>
        <v/>
      </c>
      <c r="E518" s="328" t="str">
        <f t="shared" si="45"/>
        <v/>
      </c>
      <c r="F518" s="339" t="str">
        <f t="shared" si="43"/>
        <v/>
      </c>
      <c r="G518" s="328" t="str">
        <f t="shared" si="46"/>
        <v/>
      </c>
      <c r="H518" s="340" t="str">
        <f t="shared" si="47"/>
        <v/>
      </c>
      <c r="I518" s="57"/>
    </row>
    <row r="519" spans="2:9" ht="20.100000000000001" customHeight="1" x14ac:dyDescent="0.3">
      <c r="B519" s="344">
        <v>511</v>
      </c>
      <c r="C519" s="342" t="str">
        <f t="shared" si="44"/>
        <v/>
      </c>
      <c r="D519" s="341" t="str">
        <f t="shared" si="42"/>
        <v/>
      </c>
      <c r="E519" s="328" t="str">
        <f t="shared" si="45"/>
        <v/>
      </c>
      <c r="F519" s="339" t="str">
        <f t="shared" si="43"/>
        <v/>
      </c>
      <c r="G519" s="328" t="str">
        <f t="shared" si="46"/>
        <v/>
      </c>
      <c r="H519" s="340" t="str">
        <f t="shared" si="47"/>
        <v/>
      </c>
      <c r="I519" s="57"/>
    </row>
    <row r="520" spans="2:9" ht="20.100000000000001" customHeight="1" x14ac:dyDescent="0.3">
      <c r="B520" s="344">
        <v>512</v>
      </c>
      <c r="C520" s="342" t="str">
        <f t="shared" si="44"/>
        <v/>
      </c>
      <c r="D520" s="341" t="str">
        <f t="shared" si="42"/>
        <v/>
      </c>
      <c r="E520" s="328" t="str">
        <f t="shared" si="45"/>
        <v/>
      </c>
      <c r="F520" s="339" t="str">
        <f t="shared" si="43"/>
        <v/>
      </c>
      <c r="G520" s="328" t="str">
        <f t="shared" si="46"/>
        <v/>
      </c>
      <c r="H520" s="340" t="str">
        <f t="shared" si="47"/>
        <v/>
      </c>
      <c r="I520" s="57"/>
    </row>
    <row r="521" spans="2:9" ht="20.100000000000001" customHeight="1" x14ac:dyDescent="0.3">
      <c r="B521" s="344">
        <v>513</v>
      </c>
      <c r="C521" s="342" t="str">
        <f t="shared" si="44"/>
        <v/>
      </c>
      <c r="D521" s="341" t="str">
        <f t="shared" si="42"/>
        <v/>
      </c>
      <c r="E521" s="328" t="str">
        <f t="shared" si="45"/>
        <v/>
      </c>
      <c r="F521" s="339" t="str">
        <f t="shared" si="43"/>
        <v/>
      </c>
      <c r="G521" s="328" t="str">
        <f t="shared" si="46"/>
        <v/>
      </c>
      <c r="H521" s="340" t="str">
        <f t="shared" si="47"/>
        <v/>
      </c>
      <c r="I521" s="57"/>
    </row>
    <row r="522" spans="2:9" ht="20.100000000000001" customHeight="1" x14ac:dyDescent="0.3">
      <c r="B522" s="344">
        <v>514</v>
      </c>
      <c r="C522" s="342" t="str">
        <f t="shared" si="44"/>
        <v/>
      </c>
      <c r="D522" s="341" t="str">
        <f t="shared" ref="D522:D585" si="48">IF($H$4="","",IF($F$4="원리금균등상환",IFERROR(IF(B522&lt;=$D$6,0,-PPMT($E$4/12,B522-$D$6,($B$6-$D$6),$D$4)),""),IF($F$4="원금균등상환",IF(B522&lt;($D$6+1),0,IF(B522&gt;$B$6,0,$D$4/($B$6-$D$6))),"")))</f>
        <v/>
      </c>
      <c r="E522" s="328" t="str">
        <f t="shared" si="45"/>
        <v/>
      </c>
      <c r="F522" s="339" t="str">
        <f t="shared" ref="F522:F585" si="49">IF($H$4="","",IF($F$4="원리금균등상환",IFERROR(D522+E522,""),IF($F$4="원금균등상환",D522+E522,"")))</f>
        <v/>
      </c>
      <c r="G522" s="328" t="str">
        <f t="shared" si="46"/>
        <v/>
      </c>
      <c r="H522" s="340" t="str">
        <f t="shared" si="47"/>
        <v/>
      </c>
      <c r="I522" s="57"/>
    </row>
    <row r="523" spans="2:9" ht="20.100000000000001" customHeight="1" x14ac:dyDescent="0.3">
      <c r="B523" s="344">
        <v>515</v>
      </c>
      <c r="C523" s="342" t="str">
        <f t="shared" ref="C523:C586" si="50">IF($H$4="","",IF(B523&gt;($B$6),"",IF(B523&lt;=($B$6),DATE(YEAR($G$4),MONTH($G$4)+B522,DAY($G$4)),"")))</f>
        <v/>
      </c>
      <c r="D523" s="341" t="str">
        <f t="shared" si="48"/>
        <v/>
      </c>
      <c r="E523" s="328" t="str">
        <f t="shared" ref="E523:E586" si="51">IF($H$4="","",IF($F$4="원리금균등상환",IFERROR(IF(B523&lt;=$D$6,$H522*($E$4/12),-IPMT($E$4/12,B523-$D$6,($B$6-$D$6),$D$4)),""),IF($F$4="원금균등상환",(H522-D523)*$E$4/12,"")))</f>
        <v/>
      </c>
      <c r="F523" s="339" t="str">
        <f t="shared" si="49"/>
        <v/>
      </c>
      <c r="G523" s="328" t="str">
        <f t="shared" ref="G523:G586" si="52">IFERROR(IF(B523&gt;(($D$6+$B$6)*12),"",IF(B523=1,D523,D523+G522)),"")</f>
        <v/>
      </c>
      <c r="H523" s="340" t="str">
        <f t="shared" ref="H523:H586" si="53">IFERROR(IF($H$4="","",H522-D523),"")</f>
        <v/>
      </c>
      <c r="I523" s="57"/>
    </row>
    <row r="524" spans="2:9" ht="20.100000000000001" customHeight="1" x14ac:dyDescent="0.3">
      <c r="B524" s="344">
        <v>516</v>
      </c>
      <c r="C524" s="342" t="str">
        <f t="shared" si="50"/>
        <v/>
      </c>
      <c r="D524" s="341" t="str">
        <f t="shared" si="48"/>
        <v/>
      </c>
      <c r="E524" s="328" t="str">
        <f t="shared" si="51"/>
        <v/>
      </c>
      <c r="F524" s="339" t="str">
        <f t="shared" si="49"/>
        <v/>
      </c>
      <c r="G524" s="328" t="str">
        <f t="shared" si="52"/>
        <v/>
      </c>
      <c r="H524" s="340" t="str">
        <f t="shared" si="53"/>
        <v/>
      </c>
      <c r="I524" s="57"/>
    </row>
    <row r="525" spans="2:9" ht="20.100000000000001" customHeight="1" x14ac:dyDescent="0.3">
      <c r="B525" s="344">
        <v>517</v>
      </c>
      <c r="C525" s="342" t="str">
        <f t="shared" si="50"/>
        <v/>
      </c>
      <c r="D525" s="341" t="str">
        <f t="shared" si="48"/>
        <v/>
      </c>
      <c r="E525" s="328" t="str">
        <f t="shared" si="51"/>
        <v/>
      </c>
      <c r="F525" s="339" t="str">
        <f t="shared" si="49"/>
        <v/>
      </c>
      <c r="G525" s="328" t="str">
        <f t="shared" si="52"/>
        <v/>
      </c>
      <c r="H525" s="340" t="str">
        <f t="shared" si="53"/>
        <v/>
      </c>
      <c r="I525" s="57"/>
    </row>
    <row r="526" spans="2:9" ht="20.100000000000001" customHeight="1" x14ac:dyDescent="0.3">
      <c r="B526" s="344">
        <v>518</v>
      </c>
      <c r="C526" s="342" t="str">
        <f t="shared" si="50"/>
        <v/>
      </c>
      <c r="D526" s="341" t="str">
        <f t="shared" si="48"/>
        <v/>
      </c>
      <c r="E526" s="328" t="str">
        <f t="shared" si="51"/>
        <v/>
      </c>
      <c r="F526" s="339" t="str">
        <f t="shared" si="49"/>
        <v/>
      </c>
      <c r="G526" s="328" t="str">
        <f t="shared" si="52"/>
        <v/>
      </c>
      <c r="H526" s="340" t="str">
        <f t="shared" si="53"/>
        <v/>
      </c>
      <c r="I526" s="57"/>
    </row>
    <row r="527" spans="2:9" ht="20.100000000000001" customHeight="1" x14ac:dyDescent="0.3">
      <c r="B527" s="344">
        <v>519</v>
      </c>
      <c r="C527" s="342" t="str">
        <f t="shared" si="50"/>
        <v/>
      </c>
      <c r="D527" s="341" t="str">
        <f t="shared" si="48"/>
        <v/>
      </c>
      <c r="E527" s="328" t="str">
        <f t="shared" si="51"/>
        <v/>
      </c>
      <c r="F527" s="339" t="str">
        <f t="shared" si="49"/>
        <v/>
      </c>
      <c r="G527" s="328" t="str">
        <f t="shared" si="52"/>
        <v/>
      </c>
      <c r="H527" s="340" t="str">
        <f t="shared" si="53"/>
        <v/>
      </c>
      <c r="I527" s="57"/>
    </row>
    <row r="528" spans="2:9" ht="20.100000000000001" customHeight="1" x14ac:dyDescent="0.3">
      <c r="B528" s="344">
        <v>520</v>
      </c>
      <c r="C528" s="342" t="str">
        <f t="shared" si="50"/>
        <v/>
      </c>
      <c r="D528" s="341" t="str">
        <f t="shared" si="48"/>
        <v/>
      </c>
      <c r="E528" s="328" t="str">
        <f t="shared" si="51"/>
        <v/>
      </c>
      <c r="F528" s="339" t="str">
        <f t="shared" si="49"/>
        <v/>
      </c>
      <c r="G528" s="328" t="str">
        <f t="shared" si="52"/>
        <v/>
      </c>
      <c r="H528" s="340" t="str">
        <f t="shared" si="53"/>
        <v/>
      </c>
      <c r="I528" s="57"/>
    </row>
    <row r="529" spans="2:9" ht="20.100000000000001" customHeight="1" x14ac:dyDescent="0.3">
      <c r="B529" s="344">
        <v>521</v>
      </c>
      <c r="C529" s="342" t="str">
        <f t="shared" si="50"/>
        <v/>
      </c>
      <c r="D529" s="341" t="str">
        <f t="shared" si="48"/>
        <v/>
      </c>
      <c r="E529" s="328" t="str">
        <f t="shared" si="51"/>
        <v/>
      </c>
      <c r="F529" s="339" t="str">
        <f t="shared" si="49"/>
        <v/>
      </c>
      <c r="G529" s="328" t="str">
        <f t="shared" si="52"/>
        <v/>
      </c>
      <c r="H529" s="340" t="str">
        <f t="shared" si="53"/>
        <v/>
      </c>
      <c r="I529" s="57"/>
    </row>
    <row r="530" spans="2:9" ht="20.100000000000001" customHeight="1" x14ac:dyDescent="0.3">
      <c r="B530" s="344">
        <v>522</v>
      </c>
      <c r="C530" s="342" t="str">
        <f t="shared" si="50"/>
        <v/>
      </c>
      <c r="D530" s="341" t="str">
        <f t="shared" si="48"/>
        <v/>
      </c>
      <c r="E530" s="328" t="str">
        <f t="shared" si="51"/>
        <v/>
      </c>
      <c r="F530" s="339" t="str">
        <f t="shared" si="49"/>
        <v/>
      </c>
      <c r="G530" s="328" t="str">
        <f t="shared" si="52"/>
        <v/>
      </c>
      <c r="H530" s="340" t="str">
        <f t="shared" si="53"/>
        <v/>
      </c>
      <c r="I530" s="57"/>
    </row>
    <row r="531" spans="2:9" ht="20.100000000000001" customHeight="1" x14ac:dyDescent="0.3">
      <c r="B531" s="344">
        <v>523</v>
      </c>
      <c r="C531" s="342" t="str">
        <f t="shared" si="50"/>
        <v/>
      </c>
      <c r="D531" s="341" t="str">
        <f t="shared" si="48"/>
        <v/>
      </c>
      <c r="E531" s="328" t="str">
        <f t="shared" si="51"/>
        <v/>
      </c>
      <c r="F531" s="339" t="str">
        <f t="shared" si="49"/>
        <v/>
      </c>
      <c r="G531" s="328" t="str">
        <f t="shared" si="52"/>
        <v/>
      </c>
      <c r="H531" s="340" t="str">
        <f t="shared" si="53"/>
        <v/>
      </c>
      <c r="I531" s="57"/>
    </row>
    <row r="532" spans="2:9" ht="20.100000000000001" customHeight="1" x14ac:dyDescent="0.3">
      <c r="B532" s="344">
        <v>524</v>
      </c>
      <c r="C532" s="342" t="str">
        <f t="shared" si="50"/>
        <v/>
      </c>
      <c r="D532" s="341" t="str">
        <f t="shared" si="48"/>
        <v/>
      </c>
      <c r="E532" s="328" t="str">
        <f t="shared" si="51"/>
        <v/>
      </c>
      <c r="F532" s="339" t="str">
        <f t="shared" si="49"/>
        <v/>
      </c>
      <c r="G532" s="328" t="str">
        <f t="shared" si="52"/>
        <v/>
      </c>
      <c r="H532" s="340" t="str">
        <f t="shared" si="53"/>
        <v/>
      </c>
      <c r="I532" s="57"/>
    </row>
    <row r="533" spans="2:9" ht="20.100000000000001" customHeight="1" x14ac:dyDescent="0.3">
      <c r="B533" s="344">
        <v>525</v>
      </c>
      <c r="C533" s="342" t="str">
        <f t="shared" si="50"/>
        <v/>
      </c>
      <c r="D533" s="341" t="str">
        <f t="shared" si="48"/>
        <v/>
      </c>
      <c r="E533" s="328" t="str">
        <f t="shared" si="51"/>
        <v/>
      </c>
      <c r="F533" s="339" t="str">
        <f t="shared" si="49"/>
        <v/>
      </c>
      <c r="G533" s="328" t="str">
        <f t="shared" si="52"/>
        <v/>
      </c>
      <c r="H533" s="340" t="str">
        <f t="shared" si="53"/>
        <v/>
      </c>
      <c r="I533" s="57"/>
    </row>
    <row r="534" spans="2:9" ht="20.100000000000001" customHeight="1" x14ac:dyDescent="0.3">
      <c r="B534" s="344">
        <v>526</v>
      </c>
      <c r="C534" s="342" t="str">
        <f t="shared" si="50"/>
        <v/>
      </c>
      <c r="D534" s="341" t="str">
        <f t="shared" si="48"/>
        <v/>
      </c>
      <c r="E534" s="328" t="str">
        <f t="shared" si="51"/>
        <v/>
      </c>
      <c r="F534" s="339" t="str">
        <f t="shared" si="49"/>
        <v/>
      </c>
      <c r="G534" s="328" t="str">
        <f t="shared" si="52"/>
        <v/>
      </c>
      <c r="H534" s="340" t="str">
        <f t="shared" si="53"/>
        <v/>
      </c>
      <c r="I534" s="57"/>
    </row>
    <row r="535" spans="2:9" ht="20.100000000000001" customHeight="1" x14ac:dyDescent="0.3">
      <c r="B535" s="344">
        <v>527</v>
      </c>
      <c r="C535" s="342" t="str">
        <f t="shared" si="50"/>
        <v/>
      </c>
      <c r="D535" s="341" t="str">
        <f t="shared" si="48"/>
        <v/>
      </c>
      <c r="E535" s="328" t="str">
        <f t="shared" si="51"/>
        <v/>
      </c>
      <c r="F535" s="339" t="str">
        <f t="shared" si="49"/>
        <v/>
      </c>
      <c r="G535" s="328" t="str">
        <f t="shared" si="52"/>
        <v/>
      </c>
      <c r="H535" s="340" t="str">
        <f t="shared" si="53"/>
        <v/>
      </c>
      <c r="I535" s="57"/>
    </row>
    <row r="536" spans="2:9" ht="20.100000000000001" customHeight="1" x14ac:dyDescent="0.3">
      <c r="B536" s="344">
        <v>528</v>
      </c>
      <c r="C536" s="342" t="str">
        <f t="shared" si="50"/>
        <v/>
      </c>
      <c r="D536" s="341" t="str">
        <f t="shared" si="48"/>
        <v/>
      </c>
      <c r="E536" s="328" t="str">
        <f t="shared" si="51"/>
        <v/>
      </c>
      <c r="F536" s="339" t="str">
        <f t="shared" si="49"/>
        <v/>
      </c>
      <c r="G536" s="328" t="str">
        <f t="shared" si="52"/>
        <v/>
      </c>
      <c r="H536" s="340" t="str">
        <f t="shared" si="53"/>
        <v/>
      </c>
      <c r="I536" s="57"/>
    </row>
    <row r="537" spans="2:9" ht="20.100000000000001" customHeight="1" x14ac:dyDescent="0.3">
      <c r="B537" s="344">
        <v>529</v>
      </c>
      <c r="C537" s="342" t="str">
        <f t="shared" si="50"/>
        <v/>
      </c>
      <c r="D537" s="341" t="str">
        <f t="shared" si="48"/>
        <v/>
      </c>
      <c r="E537" s="328" t="str">
        <f t="shared" si="51"/>
        <v/>
      </c>
      <c r="F537" s="339" t="str">
        <f t="shared" si="49"/>
        <v/>
      </c>
      <c r="G537" s="328" t="str">
        <f t="shared" si="52"/>
        <v/>
      </c>
      <c r="H537" s="340" t="str">
        <f t="shared" si="53"/>
        <v/>
      </c>
      <c r="I537" s="57"/>
    </row>
    <row r="538" spans="2:9" ht="20.100000000000001" customHeight="1" x14ac:dyDescent="0.3">
      <c r="B538" s="344">
        <v>530</v>
      </c>
      <c r="C538" s="342" t="str">
        <f t="shared" si="50"/>
        <v/>
      </c>
      <c r="D538" s="341" t="str">
        <f t="shared" si="48"/>
        <v/>
      </c>
      <c r="E538" s="328" t="str">
        <f t="shared" si="51"/>
        <v/>
      </c>
      <c r="F538" s="339" t="str">
        <f t="shared" si="49"/>
        <v/>
      </c>
      <c r="G538" s="328" t="str">
        <f t="shared" si="52"/>
        <v/>
      </c>
      <c r="H538" s="340" t="str">
        <f t="shared" si="53"/>
        <v/>
      </c>
      <c r="I538" s="57"/>
    </row>
    <row r="539" spans="2:9" ht="20.100000000000001" customHeight="1" x14ac:dyDescent="0.3">
      <c r="B539" s="344">
        <v>531</v>
      </c>
      <c r="C539" s="342" t="str">
        <f t="shared" si="50"/>
        <v/>
      </c>
      <c r="D539" s="341" t="str">
        <f t="shared" si="48"/>
        <v/>
      </c>
      <c r="E539" s="328" t="str">
        <f t="shared" si="51"/>
        <v/>
      </c>
      <c r="F539" s="339" t="str">
        <f t="shared" si="49"/>
        <v/>
      </c>
      <c r="G539" s="328" t="str">
        <f t="shared" si="52"/>
        <v/>
      </c>
      <c r="H539" s="340" t="str">
        <f t="shared" si="53"/>
        <v/>
      </c>
      <c r="I539" s="57"/>
    </row>
    <row r="540" spans="2:9" ht="20.100000000000001" customHeight="1" x14ac:dyDescent="0.3">
      <c r="B540" s="344">
        <v>532</v>
      </c>
      <c r="C540" s="342" t="str">
        <f t="shared" si="50"/>
        <v/>
      </c>
      <c r="D540" s="341" t="str">
        <f t="shared" si="48"/>
        <v/>
      </c>
      <c r="E540" s="328" t="str">
        <f t="shared" si="51"/>
        <v/>
      </c>
      <c r="F540" s="339" t="str">
        <f t="shared" si="49"/>
        <v/>
      </c>
      <c r="G540" s="328" t="str">
        <f t="shared" si="52"/>
        <v/>
      </c>
      <c r="H540" s="340" t="str">
        <f t="shared" si="53"/>
        <v/>
      </c>
      <c r="I540" s="57"/>
    </row>
    <row r="541" spans="2:9" ht="20.100000000000001" customHeight="1" x14ac:dyDescent="0.3">
      <c r="B541" s="344">
        <v>533</v>
      </c>
      <c r="C541" s="342" t="str">
        <f t="shared" si="50"/>
        <v/>
      </c>
      <c r="D541" s="341" t="str">
        <f t="shared" si="48"/>
        <v/>
      </c>
      <c r="E541" s="328" t="str">
        <f t="shared" si="51"/>
        <v/>
      </c>
      <c r="F541" s="339" t="str">
        <f t="shared" si="49"/>
        <v/>
      </c>
      <c r="G541" s="328" t="str">
        <f t="shared" si="52"/>
        <v/>
      </c>
      <c r="H541" s="340" t="str">
        <f t="shared" si="53"/>
        <v/>
      </c>
      <c r="I541" s="57"/>
    </row>
    <row r="542" spans="2:9" ht="20.100000000000001" customHeight="1" x14ac:dyDescent="0.3">
      <c r="B542" s="344">
        <v>534</v>
      </c>
      <c r="C542" s="342" t="str">
        <f t="shared" si="50"/>
        <v/>
      </c>
      <c r="D542" s="341" t="str">
        <f t="shared" si="48"/>
        <v/>
      </c>
      <c r="E542" s="328" t="str">
        <f t="shared" si="51"/>
        <v/>
      </c>
      <c r="F542" s="339" t="str">
        <f t="shared" si="49"/>
        <v/>
      </c>
      <c r="G542" s="328" t="str">
        <f t="shared" si="52"/>
        <v/>
      </c>
      <c r="H542" s="340" t="str">
        <f t="shared" si="53"/>
        <v/>
      </c>
      <c r="I542" s="57"/>
    </row>
    <row r="543" spans="2:9" ht="20.100000000000001" customHeight="1" x14ac:dyDescent="0.3">
      <c r="B543" s="344">
        <v>535</v>
      </c>
      <c r="C543" s="342" t="str">
        <f t="shared" si="50"/>
        <v/>
      </c>
      <c r="D543" s="341" t="str">
        <f t="shared" si="48"/>
        <v/>
      </c>
      <c r="E543" s="328" t="str">
        <f t="shared" si="51"/>
        <v/>
      </c>
      <c r="F543" s="339" t="str">
        <f t="shared" si="49"/>
        <v/>
      </c>
      <c r="G543" s="328" t="str">
        <f t="shared" si="52"/>
        <v/>
      </c>
      <c r="H543" s="340" t="str">
        <f t="shared" si="53"/>
        <v/>
      </c>
      <c r="I543" s="57"/>
    </row>
    <row r="544" spans="2:9" ht="20.100000000000001" customHeight="1" x14ac:dyDescent="0.3">
      <c r="B544" s="344">
        <v>536</v>
      </c>
      <c r="C544" s="342" t="str">
        <f t="shared" si="50"/>
        <v/>
      </c>
      <c r="D544" s="341" t="str">
        <f t="shared" si="48"/>
        <v/>
      </c>
      <c r="E544" s="328" t="str">
        <f t="shared" si="51"/>
        <v/>
      </c>
      <c r="F544" s="339" t="str">
        <f t="shared" si="49"/>
        <v/>
      </c>
      <c r="G544" s="328" t="str">
        <f t="shared" si="52"/>
        <v/>
      </c>
      <c r="H544" s="340" t="str">
        <f t="shared" si="53"/>
        <v/>
      </c>
      <c r="I544" s="57"/>
    </row>
    <row r="545" spans="2:9" ht="20.100000000000001" customHeight="1" x14ac:dyDescent="0.3">
      <c r="B545" s="344">
        <v>537</v>
      </c>
      <c r="C545" s="342" t="str">
        <f t="shared" si="50"/>
        <v/>
      </c>
      <c r="D545" s="341" t="str">
        <f t="shared" si="48"/>
        <v/>
      </c>
      <c r="E545" s="328" t="str">
        <f t="shared" si="51"/>
        <v/>
      </c>
      <c r="F545" s="339" t="str">
        <f t="shared" si="49"/>
        <v/>
      </c>
      <c r="G545" s="328" t="str">
        <f t="shared" si="52"/>
        <v/>
      </c>
      <c r="H545" s="340" t="str">
        <f t="shared" si="53"/>
        <v/>
      </c>
      <c r="I545" s="57"/>
    </row>
    <row r="546" spans="2:9" ht="20.100000000000001" customHeight="1" x14ac:dyDescent="0.3">
      <c r="B546" s="344">
        <v>538</v>
      </c>
      <c r="C546" s="342" t="str">
        <f t="shared" si="50"/>
        <v/>
      </c>
      <c r="D546" s="341" t="str">
        <f t="shared" si="48"/>
        <v/>
      </c>
      <c r="E546" s="328" t="str">
        <f t="shared" si="51"/>
        <v/>
      </c>
      <c r="F546" s="339" t="str">
        <f t="shared" si="49"/>
        <v/>
      </c>
      <c r="G546" s="328" t="str">
        <f t="shared" si="52"/>
        <v/>
      </c>
      <c r="H546" s="340" t="str">
        <f t="shared" si="53"/>
        <v/>
      </c>
      <c r="I546" s="57"/>
    </row>
    <row r="547" spans="2:9" ht="20.100000000000001" customHeight="1" x14ac:dyDescent="0.3">
      <c r="B547" s="344">
        <v>539</v>
      </c>
      <c r="C547" s="342" t="str">
        <f t="shared" si="50"/>
        <v/>
      </c>
      <c r="D547" s="341" t="str">
        <f t="shared" si="48"/>
        <v/>
      </c>
      <c r="E547" s="328" t="str">
        <f t="shared" si="51"/>
        <v/>
      </c>
      <c r="F547" s="339" t="str">
        <f t="shared" si="49"/>
        <v/>
      </c>
      <c r="G547" s="328" t="str">
        <f t="shared" si="52"/>
        <v/>
      </c>
      <c r="H547" s="340" t="str">
        <f t="shared" si="53"/>
        <v/>
      </c>
      <c r="I547" s="57"/>
    </row>
    <row r="548" spans="2:9" ht="20.100000000000001" customHeight="1" x14ac:dyDescent="0.3">
      <c r="B548" s="344">
        <v>540</v>
      </c>
      <c r="C548" s="342" t="str">
        <f t="shared" si="50"/>
        <v/>
      </c>
      <c r="D548" s="341" t="str">
        <f t="shared" si="48"/>
        <v/>
      </c>
      <c r="E548" s="328" t="str">
        <f t="shared" si="51"/>
        <v/>
      </c>
      <c r="F548" s="339" t="str">
        <f t="shared" si="49"/>
        <v/>
      </c>
      <c r="G548" s="328" t="str">
        <f t="shared" si="52"/>
        <v/>
      </c>
      <c r="H548" s="340" t="str">
        <f t="shared" si="53"/>
        <v/>
      </c>
      <c r="I548" s="57"/>
    </row>
    <row r="549" spans="2:9" ht="20.100000000000001" customHeight="1" x14ac:dyDescent="0.3">
      <c r="B549" s="344">
        <v>541</v>
      </c>
      <c r="C549" s="342" t="str">
        <f t="shared" si="50"/>
        <v/>
      </c>
      <c r="D549" s="341" t="str">
        <f t="shared" si="48"/>
        <v/>
      </c>
      <c r="E549" s="328" t="str">
        <f t="shared" si="51"/>
        <v/>
      </c>
      <c r="F549" s="339" t="str">
        <f t="shared" si="49"/>
        <v/>
      </c>
      <c r="G549" s="328" t="str">
        <f t="shared" si="52"/>
        <v/>
      </c>
      <c r="H549" s="340" t="str">
        <f t="shared" si="53"/>
        <v/>
      </c>
      <c r="I549" s="57"/>
    </row>
    <row r="550" spans="2:9" ht="20.100000000000001" customHeight="1" x14ac:dyDescent="0.3">
      <c r="B550" s="344">
        <v>542</v>
      </c>
      <c r="C550" s="342" t="str">
        <f t="shared" si="50"/>
        <v/>
      </c>
      <c r="D550" s="341" t="str">
        <f t="shared" si="48"/>
        <v/>
      </c>
      <c r="E550" s="328" t="str">
        <f t="shared" si="51"/>
        <v/>
      </c>
      <c r="F550" s="339" t="str">
        <f t="shared" si="49"/>
        <v/>
      </c>
      <c r="G550" s="328" t="str">
        <f t="shared" si="52"/>
        <v/>
      </c>
      <c r="H550" s="340" t="str">
        <f t="shared" si="53"/>
        <v/>
      </c>
      <c r="I550" s="57"/>
    </row>
    <row r="551" spans="2:9" ht="20.100000000000001" customHeight="1" x14ac:dyDescent="0.3">
      <c r="B551" s="344">
        <v>543</v>
      </c>
      <c r="C551" s="342" t="str">
        <f t="shared" si="50"/>
        <v/>
      </c>
      <c r="D551" s="341" t="str">
        <f t="shared" si="48"/>
        <v/>
      </c>
      <c r="E551" s="328" t="str">
        <f t="shared" si="51"/>
        <v/>
      </c>
      <c r="F551" s="339" t="str">
        <f t="shared" si="49"/>
        <v/>
      </c>
      <c r="G551" s="328" t="str">
        <f t="shared" si="52"/>
        <v/>
      </c>
      <c r="H551" s="340" t="str">
        <f t="shared" si="53"/>
        <v/>
      </c>
      <c r="I551" s="57"/>
    </row>
    <row r="552" spans="2:9" ht="20.100000000000001" customHeight="1" x14ac:dyDescent="0.3">
      <c r="B552" s="344">
        <v>544</v>
      </c>
      <c r="C552" s="342" t="str">
        <f t="shared" si="50"/>
        <v/>
      </c>
      <c r="D552" s="341" t="str">
        <f t="shared" si="48"/>
        <v/>
      </c>
      <c r="E552" s="328" t="str">
        <f t="shared" si="51"/>
        <v/>
      </c>
      <c r="F552" s="339" t="str">
        <f t="shared" si="49"/>
        <v/>
      </c>
      <c r="G552" s="328" t="str">
        <f t="shared" si="52"/>
        <v/>
      </c>
      <c r="H552" s="340" t="str">
        <f t="shared" si="53"/>
        <v/>
      </c>
      <c r="I552" s="57"/>
    </row>
    <row r="553" spans="2:9" ht="20.100000000000001" customHeight="1" x14ac:dyDescent="0.3">
      <c r="B553" s="344">
        <v>545</v>
      </c>
      <c r="C553" s="342" t="str">
        <f t="shared" si="50"/>
        <v/>
      </c>
      <c r="D553" s="341" t="str">
        <f t="shared" si="48"/>
        <v/>
      </c>
      <c r="E553" s="328" t="str">
        <f t="shared" si="51"/>
        <v/>
      </c>
      <c r="F553" s="339" t="str">
        <f t="shared" si="49"/>
        <v/>
      </c>
      <c r="G553" s="328" t="str">
        <f t="shared" si="52"/>
        <v/>
      </c>
      <c r="H553" s="340" t="str">
        <f t="shared" si="53"/>
        <v/>
      </c>
      <c r="I553" s="57"/>
    </row>
    <row r="554" spans="2:9" ht="20.100000000000001" customHeight="1" x14ac:dyDescent="0.3">
      <c r="B554" s="344">
        <v>546</v>
      </c>
      <c r="C554" s="342" t="str">
        <f t="shared" si="50"/>
        <v/>
      </c>
      <c r="D554" s="341" t="str">
        <f t="shared" si="48"/>
        <v/>
      </c>
      <c r="E554" s="328" t="str">
        <f t="shared" si="51"/>
        <v/>
      </c>
      <c r="F554" s="339" t="str">
        <f t="shared" si="49"/>
        <v/>
      </c>
      <c r="G554" s="328" t="str">
        <f t="shared" si="52"/>
        <v/>
      </c>
      <c r="H554" s="340" t="str">
        <f t="shared" si="53"/>
        <v/>
      </c>
      <c r="I554" s="57"/>
    </row>
    <row r="555" spans="2:9" ht="20.100000000000001" customHeight="1" x14ac:dyDescent="0.3">
      <c r="B555" s="344">
        <v>547</v>
      </c>
      <c r="C555" s="342" t="str">
        <f t="shared" si="50"/>
        <v/>
      </c>
      <c r="D555" s="341" t="str">
        <f t="shared" si="48"/>
        <v/>
      </c>
      <c r="E555" s="328" t="str">
        <f t="shared" si="51"/>
        <v/>
      </c>
      <c r="F555" s="339" t="str">
        <f t="shared" si="49"/>
        <v/>
      </c>
      <c r="G555" s="328" t="str">
        <f t="shared" si="52"/>
        <v/>
      </c>
      <c r="H555" s="340" t="str">
        <f t="shared" si="53"/>
        <v/>
      </c>
      <c r="I555" s="57"/>
    </row>
    <row r="556" spans="2:9" ht="20.100000000000001" customHeight="1" x14ac:dyDescent="0.3">
      <c r="B556" s="344">
        <v>548</v>
      </c>
      <c r="C556" s="342" t="str">
        <f t="shared" si="50"/>
        <v/>
      </c>
      <c r="D556" s="341" t="str">
        <f t="shared" si="48"/>
        <v/>
      </c>
      <c r="E556" s="328" t="str">
        <f t="shared" si="51"/>
        <v/>
      </c>
      <c r="F556" s="339" t="str">
        <f t="shared" si="49"/>
        <v/>
      </c>
      <c r="G556" s="328" t="str">
        <f t="shared" si="52"/>
        <v/>
      </c>
      <c r="H556" s="340" t="str">
        <f t="shared" si="53"/>
        <v/>
      </c>
      <c r="I556" s="57"/>
    </row>
    <row r="557" spans="2:9" ht="20.100000000000001" customHeight="1" x14ac:dyDescent="0.3">
      <c r="B557" s="344">
        <v>549</v>
      </c>
      <c r="C557" s="342" t="str">
        <f t="shared" si="50"/>
        <v/>
      </c>
      <c r="D557" s="341" t="str">
        <f t="shared" si="48"/>
        <v/>
      </c>
      <c r="E557" s="328" t="str">
        <f t="shared" si="51"/>
        <v/>
      </c>
      <c r="F557" s="339" t="str">
        <f t="shared" si="49"/>
        <v/>
      </c>
      <c r="G557" s="328" t="str">
        <f t="shared" si="52"/>
        <v/>
      </c>
      <c r="H557" s="340" t="str">
        <f t="shared" si="53"/>
        <v/>
      </c>
      <c r="I557" s="57"/>
    </row>
    <row r="558" spans="2:9" ht="20.100000000000001" customHeight="1" x14ac:dyDescent="0.3">
      <c r="B558" s="344">
        <v>550</v>
      </c>
      <c r="C558" s="342" t="str">
        <f t="shared" si="50"/>
        <v/>
      </c>
      <c r="D558" s="341" t="str">
        <f t="shared" si="48"/>
        <v/>
      </c>
      <c r="E558" s="328" t="str">
        <f t="shared" si="51"/>
        <v/>
      </c>
      <c r="F558" s="339" t="str">
        <f t="shared" si="49"/>
        <v/>
      </c>
      <c r="G558" s="328" t="str">
        <f t="shared" si="52"/>
        <v/>
      </c>
      <c r="H558" s="340" t="str">
        <f t="shared" si="53"/>
        <v/>
      </c>
      <c r="I558" s="57"/>
    </row>
    <row r="559" spans="2:9" ht="20.100000000000001" customHeight="1" x14ac:dyDescent="0.3">
      <c r="B559" s="344">
        <v>551</v>
      </c>
      <c r="C559" s="342" t="str">
        <f t="shared" si="50"/>
        <v/>
      </c>
      <c r="D559" s="341" t="str">
        <f t="shared" si="48"/>
        <v/>
      </c>
      <c r="E559" s="328" t="str">
        <f t="shared" si="51"/>
        <v/>
      </c>
      <c r="F559" s="339" t="str">
        <f t="shared" si="49"/>
        <v/>
      </c>
      <c r="G559" s="328" t="str">
        <f t="shared" si="52"/>
        <v/>
      </c>
      <c r="H559" s="340" t="str">
        <f t="shared" si="53"/>
        <v/>
      </c>
      <c r="I559" s="57"/>
    </row>
    <row r="560" spans="2:9" ht="20.100000000000001" customHeight="1" x14ac:dyDescent="0.3">
      <c r="B560" s="344">
        <v>552</v>
      </c>
      <c r="C560" s="342" t="str">
        <f t="shared" si="50"/>
        <v/>
      </c>
      <c r="D560" s="341" t="str">
        <f t="shared" si="48"/>
        <v/>
      </c>
      <c r="E560" s="328" t="str">
        <f t="shared" si="51"/>
        <v/>
      </c>
      <c r="F560" s="339" t="str">
        <f t="shared" si="49"/>
        <v/>
      </c>
      <c r="G560" s="328" t="str">
        <f t="shared" si="52"/>
        <v/>
      </c>
      <c r="H560" s="340" t="str">
        <f t="shared" si="53"/>
        <v/>
      </c>
      <c r="I560" s="57"/>
    </row>
    <row r="561" spans="2:9" ht="20.100000000000001" customHeight="1" x14ac:dyDescent="0.3">
      <c r="B561" s="344">
        <v>553</v>
      </c>
      <c r="C561" s="342" t="str">
        <f t="shared" si="50"/>
        <v/>
      </c>
      <c r="D561" s="341" t="str">
        <f t="shared" si="48"/>
        <v/>
      </c>
      <c r="E561" s="328" t="str">
        <f t="shared" si="51"/>
        <v/>
      </c>
      <c r="F561" s="339" t="str">
        <f t="shared" si="49"/>
        <v/>
      </c>
      <c r="G561" s="328" t="str">
        <f t="shared" si="52"/>
        <v/>
      </c>
      <c r="H561" s="340" t="str">
        <f t="shared" si="53"/>
        <v/>
      </c>
      <c r="I561" s="57"/>
    </row>
    <row r="562" spans="2:9" ht="20.100000000000001" customHeight="1" x14ac:dyDescent="0.3">
      <c r="B562" s="344">
        <v>554</v>
      </c>
      <c r="C562" s="342" t="str">
        <f t="shared" si="50"/>
        <v/>
      </c>
      <c r="D562" s="341" t="str">
        <f t="shared" si="48"/>
        <v/>
      </c>
      <c r="E562" s="328" t="str">
        <f t="shared" si="51"/>
        <v/>
      </c>
      <c r="F562" s="339" t="str">
        <f t="shared" si="49"/>
        <v/>
      </c>
      <c r="G562" s="328" t="str">
        <f t="shared" si="52"/>
        <v/>
      </c>
      <c r="H562" s="340" t="str">
        <f t="shared" si="53"/>
        <v/>
      </c>
      <c r="I562" s="57"/>
    </row>
    <row r="563" spans="2:9" ht="20.100000000000001" customHeight="1" x14ac:dyDescent="0.3">
      <c r="B563" s="344">
        <v>555</v>
      </c>
      <c r="C563" s="342" t="str">
        <f t="shared" si="50"/>
        <v/>
      </c>
      <c r="D563" s="341" t="str">
        <f t="shared" si="48"/>
        <v/>
      </c>
      <c r="E563" s="328" t="str">
        <f t="shared" si="51"/>
        <v/>
      </c>
      <c r="F563" s="339" t="str">
        <f t="shared" si="49"/>
        <v/>
      </c>
      <c r="G563" s="328" t="str">
        <f t="shared" si="52"/>
        <v/>
      </c>
      <c r="H563" s="340" t="str">
        <f t="shared" si="53"/>
        <v/>
      </c>
      <c r="I563" s="57"/>
    </row>
    <row r="564" spans="2:9" ht="20.100000000000001" customHeight="1" x14ac:dyDescent="0.3">
      <c r="B564" s="344">
        <v>556</v>
      </c>
      <c r="C564" s="342" t="str">
        <f t="shared" si="50"/>
        <v/>
      </c>
      <c r="D564" s="341" t="str">
        <f t="shared" si="48"/>
        <v/>
      </c>
      <c r="E564" s="328" t="str">
        <f t="shared" si="51"/>
        <v/>
      </c>
      <c r="F564" s="339" t="str">
        <f t="shared" si="49"/>
        <v/>
      </c>
      <c r="G564" s="328" t="str">
        <f t="shared" si="52"/>
        <v/>
      </c>
      <c r="H564" s="340" t="str">
        <f t="shared" si="53"/>
        <v/>
      </c>
      <c r="I564" s="57"/>
    </row>
    <row r="565" spans="2:9" ht="20.100000000000001" customHeight="1" x14ac:dyDescent="0.3">
      <c r="B565" s="344">
        <v>557</v>
      </c>
      <c r="C565" s="342" t="str">
        <f t="shared" si="50"/>
        <v/>
      </c>
      <c r="D565" s="341" t="str">
        <f t="shared" si="48"/>
        <v/>
      </c>
      <c r="E565" s="328" t="str">
        <f t="shared" si="51"/>
        <v/>
      </c>
      <c r="F565" s="339" t="str">
        <f t="shared" si="49"/>
        <v/>
      </c>
      <c r="G565" s="328" t="str">
        <f t="shared" si="52"/>
        <v/>
      </c>
      <c r="H565" s="340" t="str">
        <f t="shared" si="53"/>
        <v/>
      </c>
      <c r="I565" s="57"/>
    </row>
    <row r="566" spans="2:9" ht="20.100000000000001" customHeight="1" x14ac:dyDescent="0.3">
      <c r="B566" s="344">
        <v>558</v>
      </c>
      <c r="C566" s="342" t="str">
        <f t="shared" si="50"/>
        <v/>
      </c>
      <c r="D566" s="341" t="str">
        <f t="shared" si="48"/>
        <v/>
      </c>
      <c r="E566" s="328" t="str">
        <f t="shared" si="51"/>
        <v/>
      </c>
      <c r="F566" s="339" t="str">
        <f t="shared" si="49"/>
        <v/>
      </c>
      <c r="G566" s="328" t="str">
        <f t="shared" si="52"/>
        <v/>
      </c>
      <c r="H566" s="340" t="str">
        <f t="shared" si="53"/>
        <v/>
      </c>
      <c r="I566" s="57"/>
    </row>
    <row r="567" spans="2:9" ht="20.100000000000001" customHeight="1" x14ac:dyDescent="0.3">
      <c r="B567" s="344">
        <v>559</v>
      </c>
      <c r="C567" s="342" t="str">
        <f t="shared" si="50"/>
        <v/>
      </c>
      <c r="D567" s="341" t="str">
        <f t="shared" si="48"/>
        <v/>
      </c>
      <c r="E567" s="328" t="str">
        <f t="shared" si="51"/>
        <v/>
      </c>
      <c r="F567" s="339" t="str">
        <f t="shared" si="49"/>
        <v/>
      </c>
      <c r="G567" s="328" t="str">
        <f t="shared" si="52"/>
        <v/>
      </c>
      <c r="H567" s="340" t="str">
        <f t="shared" si="53"/>
        <v/>
      </c>
      <c r="I567" s="57"/>
    </row>
    <row r="568" spans="2:9" ht="20.100000000000001" customHeight="1" x14ac:dyDescent="0.3">
      <c r="B568" s="344">
        <v>560</v>
      </c>
      <c r="C568" s="342" t="str">
        <f t="shared" si="50"/>
        <v/>
      </c>
      <c r="D568" s="341" t="str">
        <f t="shared" si="48"/>
        <v/>
      </c>
      <c r="E568" s="328" t="str">
        <f t="shared" si="51"/>
        <v/>
      </c>
      <c r="F568" s="339" t="str">
        <f t="shared" si="49"/>
        <v/>
      </c>
      <c r="G568" s="328" t="str">
        <f t="shared" si="52"/>
        <v/>
      </c>
      <c r="H568" s="340" t="str">
        <f t="shared" si="53"/>
        <v/>
      </c>
      <c r="I568" s="57"/>
    </row>
    <row r="569" spans="2:9" ht="20.100000000000001" customHeight="1" x14ac:dyDescent="0.3">
      <c r="B569" s="344">
        <v>561</v>
      </c>
      <c r="C569" s="342" t="str">
        <f t="shared" si="50"/>
        <v/>
      </c>
      <c r="D569" s="341" t="str">
        <f t="shared" si="48"/>
        <v/>
      </c>
      <c r="E569" s="328" t="str">
        <f t="shared" si="51"/>
        <v/>
      </c>
      <c r="F569" s="339" t="str">
        <f t="shared" si="49"/>
        <v/>
      </c>
      <c r="G569" s="328" t="str">
        <f t="shared" si="52"/>
        <v/>
      </c>
      <c r="H569" s="340" t="str">
        <f t="shared" si="53"/>
        <v/>
      </c>
      <c r="I569" s="57"/>
    </row>
    <row r="570" spans="2:9" ht="20.100000000000001" customHeight="1" x14ac:dyDescent="0.3">
      <c r="B570" s="344">
        <v>562</v>
      </c>
      <c r="C570" s="342" t="str">
        <f t="shared" si="50"/>
        <v/>
      </c>
      <c r="D570" s="341" t="str">
        <f t="shared" si="48"/>
        <v/>
      </c>
      <c r="E570" s="328" t="str">
        <f t="shared" si="51"/>
        <v/>
      </c>
      <c r="F570" s="339" t="str">
        <f t="shared" si="49"/>
        <v/>
      </c>
      <c r="G570" s="328" t="str">
        <f t="shared" si="52"/>
        <v/>
      </c>
      <c r="H570" s="340" t="str">
        <f t="shared" si="53"/>
        <v/>
      </c>
      <c r="I570" s="57"/>
    </row>
    <row r="571" spans="2:9" ht="20.100000000000001" customHeight="1" x14ac:dyDescent="0.3">
      <c r="B571" s="344">
        <v>563</v>
      </c>
      <c r="C571" s="342" t="str">
        <f t="shared" si="50"/>
        <v/>
      </c>
      <c r="D571" s="341" t="str">
        <f t="shared" si="48"/>
        <v/>
      </c>
      <c r="E571" s="328" t="str">
        <f t="shared" si="51"/>
        <v/>
      </c>
      <c r="F571" s="339" t="str">
        <f t="shared" si="49"/>
        <v/>
      </c>
      <c r="G571" s="328" t="str">
        <f t="shared" si="52"/>
        <v/>
      </c>
      <c r="H571" s="340" t="str">
        <f t="shared" si="53"/>
        <v/>
      </c>
      <c r="I571" s="57"/>
    </row>
    <row r="572" spans="2:9" ht="20.100000000000001" customHeight="1" x14ac:dyDescent="0.3">
      <c r="B572" s="344">
        <v>564</v>
      </c>
      <c r="C572" s="342" t="str">
        <f t="shared" si="50"/>
        <v/>
      </c>
      <c r="D572" s="341" t="str">
        <f t="shared" si="48"/>
        <v/>
      </c>
      <c r="E572" s="328" t="str">
        <f t="shared" si="51"/>
        <v/>
      </c>
      <c r="F572" s="339" t="str">
        <f t="shared" si="49"/>
        <v/>
      </c>
      <c r="G572" s="328" t="str">
        <f t="shared" si="52"/>
        <v/>
      </c>
      <c r="H572" s="340" t="str">
        <f t="shared" si="53"/>
        <v/>
      </c>
      <c r="I572" s="57"/>
    </row>
    <row r="573" spans="2:9" ht="20.100000000000001" customHeight="1" x14ac:dyDescent="0.3">
      <c r="B573" s="344">
        <v>565</v>
      </c>
      <c r="C573" s="342" t="str">
        <f t="shared" si="50"/>
        <v/>
      </c>
      <c r="D573" s="341" t="str">
        <f t="shared" si="48"/>
        <v/>
      </c>
      <c r="E573" s="328" t="str">
        <f t="shared" si="51"/>
        <v/>
      </c>
      <c r="F573" s="339" t="str">
        <f t="shared" si="49"/>
        <v/>
      </c>
      <c r="G573" s="328" t="str">
        <f t="shared" si="52"/>
        <v/>
      </c>
      <c r="H573" s="340" t="str">
        <f t="shared" si="53"/>
        <v/>
      </c>
      <c r="I573" s="57"/>
    </row>
    <row r="574" spans="2:9" ht="20.100000000000001" customHeight="1" x14ac:dyDescent="0.3">
      <c r="B574" s="344">
        <v>566</v>
      </c>
      <c r="C574" s="342" t="str">
        <f t="shared" si="50"/>
        <v/>
      </c>
      <c r="D574" s="341" t="str">
        <f t="shared" si="48"/>
        <v/>
      </c>
      <c r="E574" s="328" t="str">
        <f t="shared" si="51"/>
        <v/>
      </c>
      <c r="F574" s="339" t="str">
        <f t="shared" si="49"/>
        <v/>
      </c>
      <c r="G574" s="328" t="str">
        <f t="shared" si="52"/>
        <v/>
      </c>
      <c r="H574" s="340" t="str">
        <f t="shared" si="53"/>
        <v/>
      </c>
      <c r="I574" s="57"/>
    </row>
    <row r="575" spans="2:9" ht="20.100000000000001" customHeight="1" x14ac:dyDescent="0.3">
      <c r="B575" s="344">
        <v>567</v>
      </c>
      <c r="C575" s="342" t="str">
        <f t="shared" si="50"/>
        <v/>
      </c>
      <c r="D575" s="341" t="str">
        <f t="shared" si="48"/>
        <v/>
      </c>
      <c r="E575" s="328" t="str">
        <f t="shared" si="51"/>
        <v/>
      </c>
      <c r="F575" s="339" t="str">
        <f t="shared" si="49"/>
        <v/>
      </c>
      <c r="G575" s="328" t="str">
        <f t="shared" si="52"/>
        <v/>
      </c>
      <c r="H575" s="340" t="str">
        <f t="shared" si="53"/>
        <v/>
      </c>
      <c r="I575" s="57"/>
    </row>
    <row r="576" spans="2:9" ht="20.100000000000001" customHeight="1" x14ac:dyDescent="0.3">
      <c r="B576" s="344">
        <v>568</v>
      </c>
      <c r="C576" s="342" t="str">
        <f t="shared" si="50"/>
        <v/>
      </c>
      <c r="D576" s="341" t="str">
        <f t="shared" si="48"/>
        <v/>
      </c>
      <c r="E576" s="328" t="str">
        <f t="shared" si="51"/>
        <v/>
      </c>
      <c r="F576" s="339" t="str">
        <f t="shared" si="49"/>
        <v/>
      </c>
      <c r="G576" s="328" t="str">
        <f t="shared" si="52"/>
        <v/>
      </c>
      <c r="H576" s="340" t="str">
        <f t="shared" si="53"/>
        <v/>
      </c>
      <c r="I576" s="57"/>
    </row>
    <row r="577" spans="2:9" ht="20.100000000000001" customHeight="1" x14ac:dyDescent="0.3">
      <c r="B577" s="344">
        <v>569</v>
      </c>
      <c r="C577" s="342" t="str">
        <f t="shared" si="50"/>
        <v/>
      </c>
      <c r="D577" s="341" t="str">
        <f t="shared" si="48"/>
        <v/>
      </c>
      <c r="E577" s="328" t="str">
        <f t="shared" si="51"/>
        <v/>
      </c>
      <c r="F577" s="339" t="str">
        <f t="shared" si="49"/>
        <v/>
      </c>
      <c r="G577" s="328" t="str">
        <f t="shared" si="52"/>
        <v/>
      </c>
      <c r="H577" s="340" t="str">
        <f t="shared" si="53"/>
        <v/>
      </c>
      <c r="I577" s="57"/>
    </row>
    <row r="578" spans="2:9" ht="20.100000000000001" customHeight="1" x14ac:dyDescent="0.3">
      <c r="B578" s="344">
        <v>570</v>
      </c>
      <c r="C578" s="342" t="str">
        <f t="shared" si="50"/>
        <v/>
      </c>
      <c r="D578" s="341" t="str">
        <f t="shared" si="48"/>
        <v/>
      </c>
      <c r="E578" s="328" t="str">
        <f t="shared" si="51"/>
        <v/>
      </c>
      <c r="F578" s="339" t="str">
        <f t="shared" si="49"/>
        <v/>
      </c>
      <c r="G578" s="328" t="str">
        <f t="shared" si="52"/>
        <v/>
      </c>
      <c r="H578" s="340" t="str">
        <f t="shared" si="53"/>
        <v/>
      </c>
      <c r="I578" s="57"/>
    </row>
    <row r="579" spans="2:9" ht="20.100000000000001" customHeight="1" x14ac:dyDescent="0.3">
      <c r="B579" s="344">
        <v>571</v>
      </c>
      <c r="C579" s="342" t="str">
        <f t="shared" si="50"/>
        <v/>
      </c>
      <c r="D579" s="341" t="str">
        <f t="shared" si="48"/>
        <v/>
      </c>
      <c r="E579" s="328" t="str">
        <f t="shared" si="51"/>
        <v/>
      </c>
      <c r="F579" s="339" t="str">
        <f t="shared" si="49"/>
        <v/>
      </c>
      <c r="G579" s="328" t="str">
        <f t="shared" si="52"/>
        <v/>
      </c>
      <c r="H579" s="340" t="str">
        <f t="shared" si="53"/>
        <v/>
      </c>
      <c r="I579" s="57"/>
    </row>
    <row r="580" spans="2:9" ht="20.100000000000001" customHeight="1" x14ac:dyDescent="0.3">
      <c r="B580" s="344">
        <v>572</v>
      </c>
      <c r="C580" s="342" t="str">
        <f t="shared" si="50"/>
        <v/>
      </c>
      <c r="D580" s="341" t="str">
        <f t="shared" si="48"/>
        <v/>
      </c>
      <c r="E580" s="328" t="str">
        <f t="shared" si="51"/>
        <v/>
      </c>
      <c r="F580" s="339" t="str">
        <f t="shared" si="49"/>
        <v/>
      </c>
      <c r="G580" s="328" t="str">
        <f t="shared" si="52"/>
        <v/>
      </c>
      <c r="H580" s="340" t="str">
        <f t="shared" si="53"/>
        <v/>
      </c>
      <c r="I580" s="57"/>
    </row>
    <row r="581" spans="2:9" ht="20.100000000000001" customHeight="1" x14ac:dyDescent="0.3">
      <c r="B581" s="344">
        <v>573</v>
      </c>
      <c r="C581" s="342" t="str">
        <f t="shared" si="50"/>
        <v/>
      </c>
      <c r="D581" s="341" t="str">
        <f t="shared" si="48"/>
        <v/>
      </c>
      <c r="E581" s="328" t="str">
        <f t="shared" si="51"/>
        <v/>
      </c>
      <c r="F581" s="339" t="str">
        <f t="shared" si="49"/>
        <v/>
      </c>
      <c r="G581" s="328" t="str">
        <f t="shared" si="52"/>
        <v/>
      </c>
      <c r="H581" s="340" t="str">
        <f t="shared" si="53"/>
        <v/>
      </c>
      <c r="I581" s="57"/>
    </row>
    <row r="582" spans="2:9" ht="20.100000000000001" customHeight="1" x14ac:dyDescent="0.3">
      <c r="B582" s="344">
        <v>574</v>
      </c>
      <c r="C582" s="342" t="str">
        <f t="shared" si="50"/>
        <v/>
      </c>
      <c r="D582" s="341" t="str">
        <f t="shared" si="48"/>
        <v/>
      </c>
      <c r="E582" s="328" t="str">
        <f t="shared" si="51"/>
        <v/>
      </c>
      <c r="F582" s="339" t="str">
        <f t="shared" si="49"/>
        <v/>
      </c>
      <c r="G582" s="328" t="str">
        <f t="shared" si="52"/>
        <v/>
      </c>
      <c r="H582" s="340" t="str">
        <f t="shared" si="53"/>
        <v/>
      </c>
      <c r="I582" s="57"/>
    </row>
    <row r="583" spans="2:9" ht="20.100000000000001" customHeight="1" x14ac:dyDescent="0.3">
      <c r="B583" s="344">
        <v>575</v>
      </c>
      <c r="C583" s="342" t="str">
        <f t="shared" si="50"/>
        <v/>
      </c>
      <c r="D583" s="341" t="str">
        <f t="shared" si="48"/>
        <v/>
      </c>
      <c r="E583" s="328" t="str">
        <f t="shared" si="51"/>
        <v/>
      </c>
      <c r="F583" s="339" t="str">
        <f t="shared" si="49"/>
        <v/>
      </c>
      <c r="G583" s="328" t="str">
        <f t="shared" si="52"/>
        <v/>
      </c>
      <c r="H583" s="340" t="str">
        <f t="shared" si="53"/>
        <v/>
      </c>
      <c r="I583" s="57"/>
    </row>
    <row r="584" spans="2:9" ht="20.100000000000001" customHeight="1" x14ac:dyDescent="0.3">
      <c r="B584" s="344">
        <v>576</v>
      </c>
      <c r="C584" s="342" t="str">
        <f t="shared" si="50"/>
        <v/>
      </c>
      <c r="D584" s="341" t="str">
        <f t="shared" si="48"/>
        <v/>
      </c>
      <c r="E584" s="328" t="str">
        <f t="shared" si="51"/>
        <v/>
      </c>
      <c r="F584" s="339" t="str">
        <f t="shared" si="49"/>
        <v/>
      </c>
      <c r="G584" s="328" t="str">
        <f t="shared" si="52"/>
        <v/>
      </c>
      <c r="H584" s="340" t="str">
        <f t="shared" si="53"/>
        <v/>
      </c>
      <c r="I584" s="57"/>
    </row>
    <row r="585" spans="2:9" ht="20.100000000000001" customHeight="1" x14ac:dyDescent="0.3">
      <c r="B585" s="344">
        <v>577</v>
      </c>
      <c r="C585" s="342" t="str">
        <f t="shared" si="50"/>
        <v/>
      </c>
      <c r="D585" s="341" t="str">
        <f t="shared" si="48"/>
        <v/>
      </c>
      <c r="E585" s="328" t="str">
        <f t="shared" si="51"/>
        <v/>
      </c>
      <c r="F585" s="339" t="str">
        <f t="shared" si="49"/>
        <v/>
      </c>
      <c r="G585" s="328" t="str">
        <f t="shared" si="52"/>
        <v/>
      </c>
      <c r="H585" s="340" t="str">
        <f t="shared" si="53"/>
        <v/>
      </c>
      <c r="I585" s="57"/>
    </row>
    <row r="586" spans="2:9" ht="20.100000000000001" customHeight="1" x14ac:dyDescent="0.3">
      <c r="B586" s="344">
        <v>578</v>
      </c>
      <c r="C586" s="342" t="str">
        <f t="shared" si="50"/>
        <v/>
      </c>
      <c r="D586" s="341" t="str">
        <f t="shared" ref="D586:D608" si="54">IF($H$4="","",IF($F$4="원리금균등상환",IFERROR(IF(B586&lt;=$D$6,0,-PPMT($E$4/12,B586-$D$6,($B$6-$D$6),$D$4)),""),IF($F$4="원금균등상환",IF(B586&lt;($D$6+1),0,IF(B586&gt;$B$6,0,$D$4/($B$6-$D$6))),"")))</f>
        <v/>
      </c>
      <c r="E586" s="328" t="str">
        <f t="shared" si="51"/>
        <v/>
      </c>
      <c r="F586" s="339" t="str">
        <f t="shared" ref="F586:F608" si="55">IF($H$4="","",IF($F$4="원리금균등상환",IFERROR(D586+E586,""),IF($F$4="원금균등상환",D586+E586,"")))</f>
        <v/>
      </c>
      <c r="G586" s="328" t="str">
        <f t="shared" si="52"/>
        <v/>
      </c>
      <c r="H586" s="340" t="str">
        <f t="shared" si="53"/>
        <v/>
      </c>
      <c r="I586" s="57"/>
    </row>
    <row r="587" spans="2:9" ht="20.100000000000001" customHeight="1" x14ac:dyDescent="0.3">
      <c r="B587" s="344">
        <v>579</v>
      </c>
      <c r="C587" s="342" t="str">
        <f t="shared" ref="C587:C608" si="56">IF($H$4="","",IF(B587&gt;($B$6),"",IF(B587&lt;=($B$6),DATE(YEAR($G$4),MONTH($G$4)+B586,DAY($G$4)),"")))</f>
        <v/>
      </c>
      <c r="D587" s="341" t="str">
        <f t="shared" si="54"/>
        <v/>
      </c>
      <c r="E587" s="328" t="str">
        <f t="shared" ref="E587:E608" si="57">IF($H$4="","",IF($F$4="원리금균등상환",IFERROR(IF(B587&lt;=$D$6,$H586*($E$4/12),-IPMT($E$4/12,B587-$D$6,($B$6-$D$6),$D$4)),""),IF($F$4="원금균등상환",(H586-D587)*$E$4/12,"")))</f>
        <v/>
      </c>
      <c r="F587" s="339" t="str">
        <f t="shared" si="55"/>
        <v/>
      </c>
      <c r="G587" s="328" t="str">
        <f t="shared" ref="G587:G608" si="58">IFERROR(IF(B587&gt;(($D$6+$B$6)*12),"",IF(B587=1,D587,D587+G586)),"")</f>
        <v/>
      </c>
      <c r="H587" s="340" t="str">
        <f t="shared" ref="H587:H608" si="59">IFERROR(IF($H$4="","",H586-D587),"")</f>
        <v/>
      </c>
      <c r="I587" s="57"/>
    </row>
    <row r="588" spans="2:9" ht="20.100000000000001" customHeight="1" x14ac:dyDescent="0.3">
      <c r="B588" s="344">
        <v>580</v>
      </c>
      <c r="C588" s="342" t="str">
        <f t="shared" si="56"/>
        <v/>
      </c>
      <c r="D588" s="341" t="str">
        <f t="shared" si="54"/>
        <v/>
      </c>
      <c r="E588" s="328" t="str">
        <f t="shared" si="57"/>
        <v/>
      </c>
      <c r="F588" s="339" t="str">
        <f t="shared" si="55"/>
        <v/>
      </c>
      <c r="G588" s="328" t="str">
        <f t="shared" si="58"/>
        <v/>
      </c>
      <c r="H588" s="340" t="str">
        <f t="shared" si="59"/>
        <v/>
      </c>
      <c r="I588" s="57"/>
    </row>
    <row r="589" spans="2:9" ht="20.100000000000001" customHeight="1" x14ac:dyDescent="0.3">
      <c r="B589" s="344">
        <v>581</v>
      </c>
      <c r="C589" s="342" t="str">
        <f t="shared" si="56"/>
        <v/>
      </c>
      <c r="D589" s="341" t="str">
        <f t="shared" si="54"/>
        <v/>
      </c>
      <c r="E589" s="328" t="str">
        <f t="shared" si="57"/>
        <v/>
      </c>
      <c r="F589" s="339" t="str">
        <f t="shared" si="55"/>
        <v/>
      </c>
      <c r="G589" s="328" t="str">
        <f t="shared" si="58"/>
        <v/>
      </c>
      <c r="H589" s="340" t="str">
        <f t="shared" si="59"/>
        <v/>
      </c>
      <c r="I589" s="57"/>
    </row>
    <row r="590" spans="2:9" ht="20.100000000000001" customHeight="1" x14ac:dyDescent="0.3">
      <c r="B590" s="344">
        <v>582</v>
      </c>
      <c r="C590" s="342" t="str">
        <f t="shared" si="56"/>
        <v/>
      </c>
      <c r="D590" s="341" t="str">
        <f t="shared" si="54"/>
        <v/>
      </c>
      <c r="E590" s="328" t="str">
        <f t="shared" si="57"/>
        <v/>
      </c>
      <c r="F590" s="339" t="str">
        <f t="shared" si="55"/>
        <v/>
      </c>
      <c r="G590" s="328" t="str">
        <f t="shared" si="58"/>
        <v/>
      </c>
      <c r="H590" s="340" t="str">
        <f t="shared" si="59"/>
        <v/>
      </c>
      <c r="I590" s="57"/>
    </row>
    <row r="591" spans="2:9" ht="20.100000000000001" customHeight="1" x14ac:dyDescent="0.3">
      <c r="B591" s="344">
        <v>583</v>
      </c>
      <c r="C591" s="342" t="str">
        <f t="shared" si="56"/>
        <v/>
      </c>
      <c r="D591" s="341" t="str">
        <f t="shared" si="54"/>
        <v/>
      </c>
      <c r="E591" s="328" t="str">
        <f t="shared" si="57"/>
        <v/>
      </c>
      <c r="F591" s="339" t="str">
        <f t="shared" si="55"/>
        <v/>
      </c>
      <c r="G591" s="328" t="str">
        <f t="shared" si="58"/>
        <v/>
      </c>
      <c r="H591" s="340" t="str">
        <f t="shared" si="59"/>
        <v/>
      </c>
      <c r="I591" s="57"/>
    </row>
    <row r="592" spans="2:9" ht="20.100000000000001" customHeight="1" x14ac:dyDescent="0.3">
      <c r="B592" s="344">
        <v>584</v>
      </c>
      <c r="C592" s="342" t="str">
        <f t="shared" si="56"/>
        <v/>
      </c>
      <c r="D592" s="341" t="str">
        <f t="shared" si="54"/>
        <v/>
      </c>
      <c r="E592" s="328" t="str">
        <f t="shared" si="57"/>
        <v/>
      </c>
      <c r="F592" s="339" t="str">
        <f t="shared" si="55"/>
        <v/>
      </c>
      <c r="G592" s="328" t="str">
        <f t="shared" si="58"/>
        <v/>
      </c>
      <c r="H592" s="340" t="str">
        <f t="shared" si="59"/>
        <v/>
      </c>
      <c r="I592" s="57"/>
    </row>
    <row r="593" spans="2:9" ht="20.100000000000001" customHeight="1" x14ac:dyDescent="0.3">
      <c r="B593" s="344">
        <v>585</v>
      </c>
      <c r="C593" s="342" t="str">
        <f t="shared" si="56"/>
        <v/>
      </c>
      <c r="D593" s="341" t="str">
        <f t="shared" si="54"/>
        <v/>
      </c>
      <c r="E593" s="328" t="str">
        <f t="shared" si="57"/>
        <v/>
      </c>
      <c r="F593" s="339" t="str">
        <f t="shared" si="55"/>
        <v/>
      </c>
      <c r="G593" s="328" t="str">
        <f t="shared" si="58"/>
        <v/>
      </c>
      <c r="H593" s="340" t="str">
        <f t="shared" si="59"/>
        <v/>
      </c>
      <c r="I593" s="57"/>
    </row>
    <row r="594" spans="2:9" ht="20.100000000000001" customHeight="1" x14ac:dyDescent="0.3">
      <c r="B594" s="344">
        <v>586</v>
      </c>
      <c r="C594" s="342" t="str">
        <f t="shared" si="56"/>
        <v/>
      </c>
      <c r="D594" s="341" t="str">
        <f t="shared" si="54"/>
        <v/>
      </c>
      <c r="E594" s="328" t="str">
        <f t="shared" si="57"/>
        <v/>
      </c>
      <c r="F594" s="339" t="str">
        <f t="shared" si="55"/>
        <v/>
      </c>
      <c r="G594" s="328" t="str">
        <f t="shared" si="58"/>
        <v/>
      </c>
      <c r="H594" s="340" t="str">
        <f t="shared" si="59"/>
        <v/>
      </c>
      <c r="I594" s="57"/>
    </row>
    <row r="595" spans="2:9" ht="20.100000000000001" customHeight="1" x14ac:dyDescent="0.3">
      <c r="B595" s="344">
        <v>587</v>
      </c>
      <c r="C595" s="342" t="str">
        <f t="shared" si="56"/>
        <v/>
      </c>
      <c r="D595" s="341" t="str">
        <f t="shared" si="54"/>
        <v/>
      </c>
      <c r="E595" s="328" t="str">
        <f t="shared" si="57"/>
        <v/>
      </c>
      <c r="F595" s="339" t="str">
        <f t="shared" si="55"/>
        <v/>
      </c>
      <c r="G595" s="328" t="str">
        <f t="shared" si="58"/>
        <v/>
      </c>
      <c r="H595" s="340" t="str">
        <f t="shared" si="59"/>
        <v/>
      </c>
      <c r="I595" s="57"/>
    </row>
    <row r="596" spans="2:9" ht="20.100000000000001" customHeight="1" x14ac:dyDescent="0.3">
      <c r="B596" s="344">
        <v>588</v>
      </c>
      <c r="C596" s="342" t="str">
        <f t="shared" si="56"/>
        <v/>
      </c>
      <c r="D596" s="341" t="str">
        <f t="shared" si="54"/>
        <v/>
      </c>
      <c r="E596" s="328" t="str">
        <f t="shared" si="57"/>
        <v/>
      </c>
      <c r="F596" s="339" t="str">
        <f t="shared" si="55"/>
        <v/>
      </c>
      <c r="G596" s="328" t="str">
        <f t="shared" si="58"/>
        <v/>
      </c>
      <c r="H596" s="340" t="str">
        <f t="shared" si="59"/>
        <v/>
      </c>
      <c r="I596" s="57"/>
    </row>
    <row r="597" spans="2:9" ht="20.100000000000001" customHeight="1" x14ac:dyDescent="0.3">
      <c r="B597" s="344">
        <v>589</v>
      </c>
      <c r="C597" s="342" t="str">
        <f t="shared" si="56"/>
        <v/>
      </c>
      <c r="D597" s="341" t="str">
        <f t="shared" si="54"/>
        <v/>
      </c>
      <c r="E597" s="328" t="str">
        <f t="shared" si="57"/>
        <v/>
      </c>
      <c r="F597" s="339" t="str">
        <f t="shared" si="55"/>
        <v/>
      </c>
      <c r="G597" s="328" t="str">
        <f t="shared" si="58"/>
        <v/>
      </c>
      <c r="H597" s="340" t="str">
        <f t="shared" si="59"/>
        <v/>
      </c>
      <c r="I597" s="57"/>
    </row>
    <row r="598" spans="2:9" ht="20.100000000000001" customHeight="1" x14ac:dyDescent="0.3">
      <c r="B598" s="344">
        <v>590</v>
      </c>
      <c r="C598" s="342" t="str">
        <f t="shared" si="56"/>
        <v/>
      </c>
      <c r="D598" s="341" t="str">
        <f t="shared" si="54"/>
        <v/>
      </c>
      <c r="E598" s="328" t="str">
        <f t="shared" si="57"/>
        <v/>
      </c>
      <c r="F598" s="339" t="str">
        <f t="shared" si="55"/>
        <v/>
      </c>
      <c r="G598" s="328" t="str">
        <f t="shared" si="58"/>
        <v/>
      </c>
      <c r="H598" s="340" t="str">
        <f t="shared" si="59"/>
        <v/>
      </c>
      <c r="I598" s="57"/>
    </row>
    <row r="599" spans="2:9" ht="20.100000000000001" customHeight="1" x14ac:dyDescent="0.3">
      <c r="B599" s="344">
        <v>591</v>
      </c>
      <c r="C599" s="342" t="str">
        <f t="shared" si="56"/>
        <v/>
      </c>
      <c r="D599" s="341" t="str">
        <f t="shared" si="54"/>
        <v/>
      </c>
      <c r="E599" s="328" t="str">
        <f t="shared" si="57"/>
        <v/>
      </c>
      <c r="F599" s="339" t="str">
        <f t="shared" si="55"/>
        <v/>
      </c>
      <c r="G599" s="328" t="str">
        <f t="shared" si="58"/>
        <v/>
      </c>
      <c r="H599" s="340" t="str">
        <f t="shared" si="59"/>
        <v/>
      </c>
      <c r="I599" s="57"/>
    </row>
    <row r="600" spans="2:9" ht="20.100000000000001" customHeight="1" x14ac:dyDescent="0.3">
      <c r="B600" s="344">
        <v>592</v>
      </c>
      <c r="C600" s="342" t="str">
        <f t="shared" si="56"/>
        <v/>
      </c>
      <c r="D600" s="341" t="str">
        <f t="shared" si="54"/>
        <v/>
      </c>
      <c r="E600" s="328" t="str">
        <f t="shared" si="57"/>
        <v/>
      </c>
      <c r="F600" s="339" t="str">
        <f t="shared" si="55"/>
        <v/>
      </c>
      <c r="G600" s="328" t="str">
        <f t="shared" si="58"/>
        <v/>
      </c>
      <c r="H600" s="340" t="str">
        <f t="shared" si="59"/>
        <v/>
      </c>
      <c r="I600" s="57"/>
    </row>
    <row r="601" spans="2:9" ht="20.100000000000001" customHeight="1" x14ac:dyDescent="0.3">
      <c r="B601" s="344">
        <v>593</v>
      </c>
      <c r="C601" s="342" t="str">
        <f t="shared" si="56"/>
        <v/>
      </c>
      <c r="D601" s="341" t="str">
        <f t="shared" si="54"/>
        <v/>
      </c>
      <c r="E601" s="328" t="str">
        <f t="shared" si="57"/>
        <v/>
      </c>
      <c r="F601" s="339" t="str">
        <f t="shared" si="55"/>
        <v/>
      </c>
      <c r="G601" s="328" t="str">
        <f t="shared" si="58"/>
        <v/>
      </c>
      <c r="H601" s="340" t="str">
        <f t="shared" si="59"/>
        <v/>
      </c>
      <c r="I601" s="57"/>
    </row>
    <row r="602" spans="2:9" ht="20.100000000000001" customHeight="1" x14ac:dyDescent="0.3">
      <c r="B602" s="344">
        <v>594</v>
      </c>
      <c r="C602" s="342" t="str">
        <f t="shared" si="56"/>
        <v/>
      </c>
      <c r="D602" s="341" t="str">
        <f t="shared" si="54"/>
        <v/>
      </c>
      <c r="E602" s="328" t="str">
        <f t="shared" si="57"/>
        <v/>
      </c>
      <c r="F602" s="339" t="str">
        <f t="shared" si="55"/>
        <v/>
      </c>
      <c r="G602" s="328" t="str">
        <f t="shared" si="58"/>
        <v/>
      </c>
      <c r="H602" s="340" t="str">
        <f t="shared" si="59"/>
        <v/>
      </c>
      <c r="I602" s="57"/>
    </row>
    <row r="603" spans="2:9" ht="20.100000000000001" customHeight="1" x14ac:dyDescent="0.3">
      <c r="B603" s="344">
        <v>595</v>
      </c>
      <c r="C603" s="342" t="str">
        <f t="shared" si="56"/>
        <v/>
      </c>
      <c r="D603" s="341" t="str">
        <f t="shared" si="54"/>
        <v/>
      </c>
      <c r="E603" s="328" t="str">
        <f t="shared" si="57"/>
        <v/>
      </c>
      <c r="F603" s="339" t="str">
        <f t="shared" si="55"/>
        <v/>
      </c>
      <c r="G603" s="328" t="str">
        <f t="shared" si="58"/>
        <v/>
      </c>
      <c r="H603" s="340" t="str">
        <f t="shared" si="59"/>
        <v/>
      </c>
      <c r="I603" s="57"/>
    </row>
    <row r="604" spans="2:9" ht="20.100000000000001" customHeight="1" x14ac:dyDescent="0.3">
      <c r="B604" s="344">
        <v>596</v>
      </c>
      <c r="C604" s="342" t="str">
        <f t="shared" si="56"/>
        <v/>
      </c>
      <c r="D604" s="341" t="str">
        <f t="shared" si="54"/>
        <v/>
      </c>
      <c r="E604" s="328" t="str">
        <f t="shared" si="57"/>
        <v/>
      </c>
      <c r="F604" s="339" t="str">
        <f t="shared" si="55"/>
        <v/>
      </c>
      <c r="G604" s="328" t="str">
        <f t="shared" si="58"/>
        <v/>
      </c>
      <c r="H604" s="340" t="str">
        <f t="shared" si="59"/>
        <v/>
      </c>
      <c r="I604" s="57"/>
    </row>
    <row r="605" spans="2:9" ht="20.100000000000001" customHeight="1" x14ac:dyDescent="0.3">
      <c r="B605" s="344">
        <v>597</v>
      </c>
      <c r="C605" s="342" t="str">
        <f t="shared" si="56"/>
        <v/>
      </c>
      <c r="D605" s="341" t="str">
        <f t="shared" si="54"/>
        <v/>
      </c>
      <c r="E605" s="328" t="str">
        <f t="shared" si="57"/>
        <v/>
      </c>
      <c r="F605" s="339" t="str">
        <f t="shared" si="55"/>
        <v/>
      </c>
      <c r="G605" s="328" t="str">
        <f t="shared" si="58"/>
        <v/>
      </c>
      <c r="H605" s="340" t="str">
        <f t="shared" si="59"/>
        <v/>
      </c>
      <c r="I605" s="57"/>
    </row>
    <row r="606" spans="2:9" ht="20.100000000000001" customHeight="1" x14ac:dyDescent="0.3">
      <c r="B606" s="344">
        <v>598</v>
      </c>
      <c r="C606" s="342" t="str">
        <f t="shared" si="56"/>
        <v/>
      </c>
      <c r="D606" s="341" t="str">
        <f t="shared" si="54"/>
        <v/>
      </c>
      <c r="E606" s="328" t="str">
        <f t="shared" si="57"/>
        <v/>
      </c>
      <c r="F606" s="339" t="str">
        <f t="shared" si="55"/>
        <v/>
      </c>
      <c r="G606" s="328" t="str">
        <f t="shared" si="58"/>
        <v/>
      </c>
      <c r="H606" s="340" t="str">
        <f t="shared" si="59"/>
        <v/>
      </c>
      <c r="I606" s="57"/>
    </row>
    <row r="607" spans="2:9" ht="20.100000000000001" customHeight="1" x14ac:dyDescent="0.3">
      <c r="B607" s="344">
        <v>599</v>
      </c>
      <c r="C607" s="342" t="str">
        <f t="shared" si="56"/>
        <v/>
      </c>
      <c r="D607" s="341" t="str">
        <f t="shared" si="54"/>
        <v/>
      </c>
      <c r="E607" s="328" t="str">
        <f t="shared" si="57"/>
        <v/>
      </c>
      <c r="F607" s="339" t="str">
        <f t="shared" si="55"/>
        <v/>
      </c>
      <c r="G607" s="328" t="str">
        <f t="shared" si="58"/>
        <v/>
      </c>
      <c r="H607" s="340" t="str">
        <f t="shared" si="59"/>
        <v/>
      </c>
      <c r="I607" s="57"/>
    </row>
    <row r="608" spans="2:9" ht="20.100000000000001" customHeight="1" x14ac:dyDescent="0.3">
      <c r="B608" s="344">
        <v>600</v>
      </c>
      <c r="C608" s="342" t="str">
        <f t="shared" si="56"/>
        <v/>
      </c>
      <c r="D608" s="341" t="str">
        <f t="shared" si="54"/>
        <v/>
      </c>
      <c r="E608" s="328" t="str">
        <f t="shared" si="57"/>
        <v/>
      </c>
      <c r="F608" s="339" t="str">
        <f t="shared" si="55"/>
        <v/>
      </c>
      <c r="G608" s="328" t="str">
        <f t="shared" si="58"/>
        <v/>
      </c>
      <c r="H608" s="340" t="str">
        <f t="shared" si="59"/>
        <v/>
      </c>
      <c r="I608" s="57"/>
    </row>
    <row r="609" spans="2:8" x14ac:dyDescent="0.3">
      <c r="B609" s="83"/>
      <c r="C609" s="83"/>
      <c r="D609" s="80"/>
      <c r="E609" s="296"/>
      <c r="F609" s="296"/>
      <c r="G609" s="296"/>
      <c r="H609" s="297"/>
    </row>
    <row r="610" spans="2:8" x14ac:dyDescent="0.3">
      <c r="B610" s="53"/>
      <c r="C610" s="53"/>
      <c r="D610" s="50"/>
      <c r="E610" s="168"/>
      <c r="F610" s="168"/>
      <c r="G610" s="168"/>
      <c r="H610" s="298"/>
    </row>
    <row r="611" spans="2:8" x14ac:dyDescent="0.3">
      <c r="B611" s="53"/>
      <c r="C611" s="53"/>
      <c r="D611" s="50"/>
      <c r="E611" s="168"/>
      <c r="F611" s="168"/>
      <c r="G611" s="168"/>
      <c r="H611" s="298"/>
    </row>
    <row r="612" spans="2:8" x14ac:dyDescent="0.3">
      <c r="B612" s="53"/>
      <c r="C612" s="53"/>
      <c r="D612" s="50"/>
      <c r="E612" s="168"/>
      <c r="F612" s="168"/>
      <c r="G612" s="168"/>
      <c r="H612" s="298"/>
    </row>
    <row r="613" spans="2:8" x14ac:dyDescent="0.3">
      <c r="B613" s="53"/>
      <c r="C613" s="53"/>
      <c r="D613" s="50"/>
      <c r="E613" s="168"/>
      <c r="F613" s="168"/>
      <c r="G613" s="168"/>
      <c r="H613" s="298"/>
    </row>
    <row r="614" spans="2:8" x14ac:dyDescent="0.3">
      <c r="B614" s="53"/>
      <c r="C614" s="53"/>
      <c r="D614" s="50"/>
      <c r="E614" s="168"/>
      <c r="F614" s="168"/>
      <c r="G614" s="168"/>
      <c r="H614" s="298"/>
    </row>
    <row r="615" spans="2:8" x14ac:dyDescent="0.3">
      <c r="B615" s="53"/>
      <c r="C615" s="53"/>
      <c r="D615" s="50"/>
      <c r="E615" s="168"/>
      <c r="F615" s="168"/>
      <c r="G615" s="168"/>
      <c r="H615" s="298"/>
    </row>
    <row r="616" spans="2:8" x14ac:dyDescent="0.3">
      <c r="B616" s="53"/>
      <c r="C616" s="53"/>
      <c r="D616" s="50"/>
      <c r="E616" s="168"/>
      <c r="F616" s="168"/>
      <c r="G616" s="168"/>
      <c r="H616" s="298"/>
    </row>
    <row r="617" spans="2:8" x14ac:dyDescent="0.3">
      <c r="B617" s="53"/>
      <c r="C617" s="53"/>
      <c r="D617" s="50"/>
      <c r="E617" s="168"/>
      <c r="F617" s="168"/>
      <c r="G617" s="168"/>
      <c r="H617" s="298"/>
    </row>
    <row r="618" spans="2:8" x14ac:dyDescent="0.3">
      <c r="B618" s="53"/>
      <c r="C618" s="53"/>
      <c r="D618" s="50"/>
      <c r="E618" s="168"/>
      <c r="F618" s="168"/>
      <c r="G618" s="168"/>
      <c r="H618" s="298"/>
    </row>
    <row r="619" spans="2:8" x14ac:dyDescent="0.3">
      <c r="B619" s="53"/>
      <c r="C619" s="53"/>
      <c r="D619" s="50"/>
      <c r="E619" s="168"/>
      <c r="F619" s="168"/>
      <c r="G619" s="168"/>
      <c r="H619" s="298"/>
    </row>
    <row r="620" spans="2:8" x14ac:dyDescent="0.3">
      <c r="B620" s="53"/>
      <c r="C620" s="53"/>
      <c r="D620" s="50"/>
      <c r="E620" s="168"/>
      <c r="F620" s="168"/>
      <c r="G620" s="168"/>
      <c r="H620" s="298"/>
    </row>
    <row r="621" spans="2:8" x14ac:dyDescent="0.3">
      <c r="B621" s="53"/>
      <c r="C621" s="53"/>
      <c r="D621" s="50"/>
      <c r="E621" s="168"/>
      <c r="F621" s="168"/>
      <c r="G621" s="168"/>
      <c r="H621" s="298"/>
    </row>
    <row r="622" spans="2:8" x14ac:dyDescent="0.3">
      <c r="B622" s="53"/>
      <c r="C622" s="53"/>
      <c r="D622" s="50"/>
      <c r="E622" s="168"/>
      <c r="F622" s="168"/>
      <c r="G622" s="168"/>
      <c r="H622" s="298"/>
    </row>
    <row r="623" spans="2:8" x14ac:dyDescent="0.3">
      <c r="B623" s="53"/>
      <c r="C623" s="53"/>
      <c r="D623" s="50"/>
      <c r="E623" s="168"/>
      <c r="F623" s="168"/>
      <c r="G623" s="168"/>
      <c r="H623" s="298"/>
    </row>
    <row r="624" spans="2:8" x14ac:dyDescent="0.3">
      <c r="B624" s="53"/>
      <c r="C624" s="53"/>
      <c r="D624" s="50"/>
      <c r="E624" s="168"/>
      <c r="F624" s="168"/>
      <c r="G624" s="168"/>
      <c r="H624" s="298"/>
    </row>
    <row r="625" spans="2:8" x14ac:dyDescent="0.3">
      <c r="B625" s="53"/>
      <c r="C625" s="53"/>
      <c r="D625" s="50"/>
      <c r="E625" s="168"/>
      <c r="F625" s="168"/>
      <c r="G625" s="168"/>
      <c r="H625" s="298"/>
    </row>
    <row r="626" spans="2:8" x14ac:dyDescent="0.3">
      <c r="B626" s="53"/>
      <c r="C626" s="53"/>
      <c r="D626" s="50"/>
      <c r="E626" s="168"/>
      <c r="F626" s="168"/>
      <c r="G626" s="168"/>
      <c r="H626" s="298"/>
    </row>
    <row r="627" spans="2:8" x14ac:dyDescent="0.3">
      <c r="B627" s="53"/>
      <c r="C627" s="53"/>
      <c r="D627" s="50"/>
      <c r="E627" s="168"/>
      <c r="F627" s="168"/>
      <c r="G627" s="168"/>
      <c r="H627" s="298"/>
    </row>
    <row r="628" spans="2:8" x14ac:dyDescent="0.3">
      <c r="B628" s="53"/>
      <c r="C628" s="53"/>
      <c r="D628" s="50"/>
      <c r="E628" s="168"/>
      <c r="F628" s="168"/>
      <c r="G628" s="168"/>
      <c r="H628" s="298"/>
    </row>
    <row r="629" spans="2:8" x14ac:dyDescent="0.3">
      <c r="B629" s="53"/>
      <c r="C629" s="53"/>
      <c r="D629" s="50"/>
      <c r="E629" s="168"/>
      <c r="F629" s="168"/>
      <c r="G629" s="168"/>
      <c r="H629" s="298"/>
    </row>
    <row r="630" spans="2:8" x14ac:dyDescent="0.3">
      <c r="B630" s="53"/>
      <c r="C630" s="53"/>
      <c r="D630" s="50"/>
      <c r="E630" s="168"/>
      <c r="F630" s="168"/>
      <c r="G630" s="168"/>
      <c r="H630" s="298"/>
    </row>
    <row r="631" spans="2:8" x14ac:dyDescent="0.3">
      <c r="B631" s="53"/>
      <c r="C631" s="53"/>
      <c r="D631" s="50"/>
      <c r="E631" s="168"/>
      <c r="F631" s="168"/>
      <c r="G631" s="168"/>
      <c r="H631" s="298"/>
    </row>
  </sheetData>
  <mergeCells count="7">
    <mergeCell ref="Z63:AA63"/>
    <mergeCell ref="B1:H1"/>
    <mergeCell ref="K63:L63"/>
    <mergeCell ref="N63:O63"/>
    <mergeCell ref="Q63:R63"/>
    <mergeCell ref="T63:U63"/>
    <mergeCell ref="W63:X63"/>
  </mergeCells>
  <phoneticPr fontId="3" type="noConversion"/>
  <dataValidations count="2">
    <dataValidation allowBlank="1" showInputMessage="1" showErrorMessage="1" prompt="년-월-일 형식으로 입력" sqref="G4:H4" xr:uid="{F8504F3B-B55E-4D6B-BE28-9C7313E69A69}"/>
    <dataValidation type="list" allowBlank="1" showInputMessage="1" showErrorMessage="1" sqref="F4" xr:uid="{25939787-5767-4154-BA45-47709B95B1EB}">
      <formula1>"원리금균등상환, 원금균등상환"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6" orientation="portrait" r:id="rId1"/>
  <rowBreaks count="16" manualBreakCount="16">
    <brk id="32" max="8" man="1"/>
    <brk id="68" max="8" man="1"/>
    <brk id="104" max="8" man="1"/>
    <brk id="140" max="8" man="1"/>
    <brk id="176" max="8" man="1"/>
    <brk id="212" max="8" man="1"/>
    <brk id="248" max="8" man="1"/>
    <brk id="284" max="8" man="1"/>
    <brk id="320" max="8" man="1"/>
    <brk id="356" max="8" man="1"/>
    <brk id="392" max="8" man="1"/>
    <brk id="428" max="8" man="1"/>
    <brk id="464" max="8" man="1"/>
    <brk id="500" max="8" man="1"/>
    <brk id="536" max="8" man="1"/>
    <brk id="572" max="8" man="1"/>
  </row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4FB-23B0-4F9C-A9C1-D46054F0733C}">
  <sheetPr codeName="Sheet29">
    <tabColor rgb="FF7030A0"/>
    <pageSetUpPr autoPageBreaks="0"/>
  </sheetPr>
  <dimension ref="A1:AB631"/>
  <sheetViews>
    <sheetView showGridLines="0" zoomScaleNormal="100" zoomScaleSheetLayoutView="100" workbookViewId="0">
      <pane ySplit="8" topLeftCell="A9" activePane="bottomLeft" state="frozen"/>
      <selection pane="bottomLeft" activeCell="N15" sqref="N15"/>
    </sheetView>
  </sheetViews>
  <sheetFormatPr defaultRowHeight="16.5" x14ac:dyDescent="0.3"/>
  <cols>
    <col min="1" max="1" width="4.625" customWidth="1"/>
    <col min="2" max="7" width="10.625" style="29" customWidth="1"/>
    <col min="8" max="8" width="10.625" customWidth="1"/>
    <col min="9" max="9" width="4.625" customWidth="1"/>
    <col min="10" max="28" width="9.5" customWidth="1"/>
    <col min="29" max="29" width="4.75" customWidth="1"/>
  </cols>
  <sheetData>
    <row r="1" spans="1:17" ht="40.5" customHeight="1" x14ac:dyDescent="0.3">
      <c r="A1" s="14"/>
      <c r="B1" s="590" t="s">
        <v>329</v>
      </c>
      <c r="C1" s="590"/>
      <c r="D1" s="590"/>
      <c r="E1" s="590"/>
      <c r="F1" s="590"/>
      <c r="G1" s="590"/>
      <c r="H1" s="590"/>
      <c r="I1" s="14"/>
    </row>
    <row r="2" spans="1:17" ht="16.5" customHeight="1" thickBot="1" x14ac:dyDescent="0.35"/>
    <row r="3" spans="1:17" ht="24.95" customHeight="1" thickBot="1" x14ac:dyDescent="0.35">
      <c r="B3" s="34" t="s">
        <v>302</v>
      </c>
      <c r="C3" s="35" t="s">
        <v>224</v>
      </c>
      <c r="D3" s="35" t="s">
        <v>225</v>
      </c>
      <c r="E3" s="35" t="s">
        <v>232</v>
      </c>
      <c r="F3" s="35" t="s">
        <v>227</v>
      </c>
      <c r="G3" s="35" t="s">
        <v>226</v>
      </c>
      <c r="H3" s="36" t="s">
        <v>231</v>
      </c>
    </row>
    <row r="4" spans="1:17" ht="24.95" customHeight="1" thickBot="1" x14ac:dyDescent="0.35">
      <c r="B4" s="274"/>
      <c r="C4" s="275"/>
      <c r="D4" s="300"/>
      <c r="E4" s="565"/>
      <c r="F4" s="338" t="s">
        <v>228</v>
      </c>
      <c r="G4" s="276"/>
      <c r="H4" s="302"/>
    </row>
    <row r="5" spans="1:17" ht="24.95" customHeight="1" thickBot="1" x14ac:dyDescent="0.35">
      <c r="B5" s="34" t="s">
        <v>321</v>
      </c>
      <c r="C5" s="35" t="s">
        <v>322</v>
      </c>
      <c r="D5" s="35" t="s">
        <v>361</v>
      </c>
      <c r="E5" s="35" t="s">
        <v>233</v>
      </c>
      <c r="F5" s="35" t="s">
        <v>229</v>
      </c>
      <c r="G5" s="35" t="s">
        <v>238</v>
      </c>
      <c r="H5" s="36" t="s">
        <v>239</v>
      </c>
    </row>
    <row r="6" spans="1:17" ht="24.95" customHeight="1" x14ac:dyDescent="0.3">
      <c r="B6" s="543" t="str">
        <f>IF(H4="","",DATEDIF(G4,H4,"M")+D6)</f>
        <v/>
      </c>
      <c r="C6" s="544" t="str">
        <f ca="1">IF(H4="","",IF(H4&lt;TODAY(),0,DATEDIF(TODAY(),H4,"M")))</f>
        <v/>
      </c>
      <c r="D6" s="566"/>
      <c r="E6" s="328">
        <f>SUM($E$9:$E$697)</f>
        <v>0</v>
      </c>
      <c r="F6" s="328">
        <f>SUM($F$9:$F$697)</f>
        <v>0</v>
      </c>
      <c r="G6" s="328" t="str">
        <f ca="1">IF($H$4="","",VLOOKUP(TODAY(),$C$8:$H$697,5,TRUE))</f>
        <v/>
      </c>
      <c r="H6" s="339" t="str">
        <f ca="1">IF($H$4="","",VLOOKUP(TODAY(),$C$8:$H$697,6,TRUE))</f>
        <v/>
      </c>
    </row>
    <row r="7" spans="1:17" ht="16.5" customHeight="1" thickBot="1" x14ac:dyDescent="0.35">
      <c r="B7" s="31"/>
      <c r="C7" s="31"/>
      <c r="D7" s="31"/>
      <c r="E7" s="31"/>
      <c r="F7" s="31"/>
      <c r="G7" s="31"/>
      <c r="H7" s="32"/>
      <c r="Q7" s="49"/>
    </row>
    <row r="8" spans="1:17" ht="30" customHeight="1" thickBot="1" x14ac:dyDescent="0.35">
      <c r="B8" s="34" t="s">
        <v>77</v>
      </c>
      <c r="C8" s="34" t="s">
        <v>230</v>
      </c>
      <c r="D8" s="35" t="s">
        <v>234</v>
      </c>
      <c r="E8" s="35" t="s">
        <v>146</v>
      </c>
      <c r="F8" s="36" t="s">
        <v>235</v>
      </c>
      <c r="G8" s="35" t="s">
        <v>237</v>
      </c>
      <c r="H8" s="36" t="s">
        <v>236</v>
      </c>
      <c r="I8" s="57"/>
    </row>
    <row r="9" spans="1:17" ht="20.100000000000001" customHeight="1" x14ac:dyDescent="0.3">
      <c r="B9" s="343">
        <v>1</v>
      </c>
      <c r="C9" s="342" t="str">
        <f>IF($H$4="","",IF(B9&gt;($B$6),"",IF(B9&lt;=($B$6),DATE(YEAR($G$4),MONTH($G$4),DAY($G$4)),"")))</f>
        <v/>
      </c>
      <c r="D9" s="341" t="str">
        <f>IF($H$4="","",IF($F$4="원리금균등상환",IFERROR(IF(B9&lt;=$D$6,0,-PPMT($E$4/12,B9-$D$6,($B$6-$D$6),$D$4)),""),IF($F$4="원금균등상환",IF(B9&lt;($D$6+1),0,IF(B9&gt;$B$6,0,$D$4/($B$6-$D$6))),"")))</f>
        <v/>
      </c>
      <c r="E9" s="328" t="str">
        <f>IF($H$4="","",IF($F$4="원리금균등상환",IFERROR(IF(B9&lt;=$D$6,$D4*($E$4/12),-IPMT($E$4/12,B9-$D$6,($B$6-$D$6),$D$4)),""),IF($F$4="원금균등상환",(D4-D9)*$E$4/12,"")))</f>
        <v/>
      </c>
      <c r="F9" s="339" t="str">
        <f>IF($H$4="","",IF($F$4="원리금균등상환",IFERROR(D9+E9,""),IF($F$4="원금균등상환",D9+E9,"")))</f>
        <v/>
      </c>
      <c r="G9" s="328" t="str">
        <f>IFERROR(IF(B9&gt;(($D$6+$B$6)*12),"",IF(B9=1,D9,D9+G8)),"")</f>
        <v/>
      </c>
      <c r="H9" s="340" t="str">
        <f>IFERROR(IF($H$4="","",D4-D9),"")</f>
        <v/>
      </c>
      <c r="I9" s="57"/>
    </row>
    <row r="10" spans="1:17" ht="20.100000000000001" customHeight="1" x14ac:dyDescent="0.3">
      <c r="B10" s="344">
        <v>2</v>
      </c>
      <c r="C10" s="342" t="str">
        <f>IF($H$4="","",IF(B10&gt;($B$6),"",IF(B10&lt;=($B$6),DATE(YEAR($G$4),MONTH($G$4)+B9,DAY($G$4)),"")))</f>
        <v/>
      </c>
      <c r="D10" s="341" t="str">
        <f t="shared" ref="D10:D73" si="0">IF($H$4="","",IF($F$4="원리금균등상환",IFERROR(IF(B10&lt;=$D$6,0,-PPMT($E$4/12,B10-$D$6,($B$6-$D$6),$D$4)),""),IF($F$4="원금균등상환",IF(B10&lt;($D$6+1),0,IF(B10&gt;$B$6,0,$D$4/($B$6-$D$6))),"")))</f>
        <v/>
      </c>
      <c r="E10" s="328" t="str">
        <f>IF($H$4="","",IF($F$4="원리금균등상환",IFERROR(IF(B10&lt;=$D$6,$H9*($E$4/12),-IPMT($E$4/12,B10-$D$6,($B$6-$D$6),$D$4)),""),IF($F$4="원금균등상환",(H9-D10)*$E$4/12,"")))</f>
        <v/>
      </c>
      <c r="F10" s="339" t="str">
        <f t="shared" ref="F10:F73" si="1">IF($H$4="","",IF($F$4="원리금균등상환",IFERROR(D10+E10,""),IF($F$4="원금균등상환",D10+E10,"")))</f>
        <v/>
      </c>
      <c r="G10" s="328" t="str">
        <f>IFERROR(IF(B10&gt;(($D$6+$B$6)*12),"",IF(B10=1,D10,D10+G9)),"")</f>
        <v/>
      </c>
      <c r="H10" s="340" t="str">
        <f>IFERROR(IF($H$4="","",H9-D10),"")</f>
        <v/>
      </c>
      <c r="I10" s="57"/>
    </row>
    <row r="11" spans="1:17" ht="20.100000000000001" customHeight="1" x14ac:dyDescent="0.3">
      <c r="B11" s="344">
        <v>3</v>
      </c>
      <c r="C11" s="342" t="str">
        <f t="shared" ref="C11:C74" si="2">IF($H$4="","",IF(B11&gt;($B$6),"",IF(B11&lt;=($B$6),DATE(YEAR($G$4),MONTH($G$4)+B10,DAY($G$4)),"")))</f>
        <v/>
      </c>
      <c r="D11" s="341" t="str">
        <f t="shared" si="0"/>
        <v/>
      </c>
      <c r="E11" s="328" t="str">
        <f t="shared" ref="E11:E74" si="3">IF($H$4="","",IF($F$4="원리금균등상환",IFERROR(IF(B11&lt;=$D$6,$H10*($E$4/12),-IPMT($E$4/12,B11-$D$6,($B$6-$D$6),$D$4)),""),IF($F$4="원금균등상환",(H10-D11)*$E$4/12,"")))</f>
        <v/>
      </c>
      <c r="F11" s="339" t="str">
        <f t="shared" si="1"/>
        <v/>
      </c>
      <c r="G11" s="328" t="str">
        <f t="shared" ref="G11:G74" si="4">IFERROR(IF(B11&gt;(($D$6+$B$6)*12),"",IF(B11=1,D11,D11+G10)),"")</f>
        <v/>
      </c>
      <c r="H11" s="340" t="str">
        <f t="shared" ref="H11:H74" si="5">IFERROR(IF($H$4="","",H10-D11),"")</f>
        <v/>
      </c>
      <c r="I11" s="57"/>
    </row>
    <row r="12" spans="1:17" ht="20.100000000000001" customHeight="1" x14ac:dyDescent="0.3">
      <c r="B12" s="344">
        <v>4</v>
      </c>
      <c r="C12" s="342" t="str">
        <f t="shared" si="2"/>
        <v/>
      </c>
      <c r="D12" s="341" t="str">
        <f t="shared" si="0"/>
        <v/>
      </c>
      <c r="E12" s="328" t="str">
        <f t="shared" si="3"/>
        <v/>
      </c>
      <c r="F12" s="339" t="str">
        <f t="shared" si="1"/>
        <v/>
      </c>
      <c r="G12" s="328" t="str">
        <f t="shared" si="4"/>
        <v/>
      </c>
      <c r="H12" s="340" t="str">
        <f t="shared" si="5"/>
        <v/>
      </c>
      <c r="I12" s="57"/>
    </row>
    <row r="13" spans="1:17" ht="20.100000000000001" customHeight="1" x14ac:dyDescent="0.3">
      <c r="B13" s="344">
        <v>5</v>
      </c>
      <c r="C13" s="342" t="str">
        <f t="shared" si="2"/>
        <v/>
      </c>
      <c r="D13" s="341" t="str">
        <f t="shared" si="0"/>
        <v/>
      </c>
      <c r="E13" s="328" t="str">
        <f t="shared" si="3"/>
        <v/>
      </c>
      <c r="F13" s="339" t="str">
        <f t="shared" si="1"/>
        <v/>
      </c>
      <c r="G13" s="328" t="str">
        <f t="shared" si="4"/>
        <v/>
      </c>
      <c r="H13" s="340" t="str">
        <f t="shared" si="5"/>
        <v/>
      </c>
      <c r="I13" s="57"/>
    </row>
    <row r="14" spans="1:17" ht="20.100000000000001" customHeight="1" x14ac:dyDescent="0.3">
      <c r="B14" s="344">
        <v>6</v>
      </c>
      <c r="C14" s="342" t="str">
        <f t="shared" si="2"/>
        <v/>
      </c>
      <c r="D14" s="341" t="str">
        <f t="shared" si="0"/>
        <v/>
      </c>
      <c r="E14" s="328" t="str">
        <f t="shared" si="3"/>
        <v/>
      </c>
      <c r="F14" s="339" t="str">
        <f t="shared" si="1"/>
        <v/>
      </c>
      <c r="G14" s="328" t="str">
        <f t="shared" si="4"/>
        <v/>
      </c>
      <c r="H14" s="340" t="str">
        <f t="shared" si="5"/>
        <v/>
      </c>
      <c r="I14" s="57"/>
    </row>
    <row r="15" spans="1:17" ht="20.100000000000001" customHeight="1" x14ac:dyDescent="0.3">
      <c r="B15" s="344">
        <v>7</v>
      </c>
      <c r="C15" s="342" t="str">
        <f t="shared" si="2"/>
        <v/>
      </c>
      <c r="D15" s="341" t="str">
        <f t="shared" si="0"/>
        <v/>
      </c>
      <c r="E15" s="328" t="str">
        <f t="shared" si="3"/>
        <v/>
      </c>
      <c r="F15" s="339" t="str">
        <f t="shared" si="1"/>
        <v/>
      </c>
      <c r="G15" s="328" t="str">
        <f t="shared" si="4"/>
        <v/>
      </c>
      <c r="H15" s="340" t="str">
        <f t="shared" si="5"/>
        <v/>
      </c>
      <c r="I15" s="57"/>
    </row>
    <row r="16" spans="1:17" ht="20.100000000000001" customHeight="1" x14ac:dyDescent="0.3">
      <c r="B16" s="344">
        <v>8</v>
      </c>
      <c r="C16" s="342" t="str">
        <f t="shared" si="2"/>
        <v/>
      </c>
      <c r="D16" s="341" t="str">
        <f t="shared" si="0"/>
        <v/>
      </c>
      <c r="E16" s="328" t="str">
        <f t="shared" si="3"/>
        <v/>
      </c>
      <c r="F16" s="339" t="str">
        <f t="shared" si="1"/>
        <v/>
      </c>
      <c r="G16" s="328" t="str">
        <f t="shared" si="4"/>
        <v/>
      </c>
      <c r="H16" s="340" t="str">
        <f t="shared" si="5"/>
        <v/>
      </c>
      <c r="I16" s="57"/>
    </row>
    <row r="17" spans="2:9" ht="20.100000000000001" customHeight="1" x14ac:dyDescent="0.3">
      <c r="B17" s="344">
        <v>9</v>
      </c>
      <c r="C17" s="342" t="str">
        <f t="shared" si="2"/>
        <v/>
      </c>
      <c r="D17" s="341" t="str">
        <f t="shared" si="0"/>
        <v/>
      </c>
      <c r="E17" s="328" t="str">
        <f t="shared" si="3"/>
        <v/>
      </c>
      <c r="F17" s="339" t="str">
        <f t="shared" si="1"/>
        <v/>
      </c>
      <c r="G17" s="328" t="str">
        <f t="shared" si="4"/>
        <v/>
      </c>
      <c r="H17" s="340" t="str">
        <f t="shared" si="5"/>
        <v/>
      </c>
      <c r="I17" s="57"/>
    </row>
    <row r="18" spans="2:9" ht="20.100000000000001" customHeight="1" x14ac:dyDescent="0.3">
      <c r="B18" s="344">
        <v>10</v>
      </c>
      <c r="C18" s="342" t="str">
        <f t="shared" si="2"/>
        <v/>
      </c>
      <c r="D18" s="341" t="str">
        <f t="shared" si="0"/>
        <v/>
      </c>
      <c r="E18" s="328" t="str">
        <f t="shared" si="3"/>
        <v/>
      </c>
      <c r="F18" s="339" t="str">
        <f t="shared" si="1"/>
        <v/>
      </c>
      <c r="G18" s="328" t="str">
        <f t="shared" si="4"/>
        <v/>
      </c>
      <c r="H18" s="340" t="str">
        <f t="shared" si="5"/>
        <v/>
      </c>
      <c r="I18" s="57"/>
    </row>
    <row r="19" spans="2:9" ht="20.100000000000001" customHeight="1" x14ac:dyDescent="0.3">
      <c r="B19" s="344">
        <v>11</v>
      </c>
      <c r="C19" s="342" t="str">
        <f t="shared" si="2"/>
        <v/>
      </c>
      <c r="D19" s="341" t="str">
        <f t="shared" si="0"/>
        <v/>
      </c>
      <c r="E19" s="328" t="str">
        <f t="shared" si="3"/>
        <v/>
      </c>
      <c r="F19" s="339" t="str">
        <f t="shared" si="1"/>
        <v/>
      </c>
      <c r="G19" s="328" t="str">
        <f t="shared" si="4"/>
        <v/>
      </c>
      <c r="H19" s="340" t="str">
        <f t="shared" si="5"/>
        <v/>
      </c>
      <c r="I19" s="57"/>
    </row>
    <row r="20" spans="2:9" ht="20.100000000000001" customHeight="1" x14ac:dyDescent="0.3">
      <c r="B20" s="344">
        <v>12</v>
      </c>
      <c r="C20" s="342" t="str">
        <f t="shared" si="2"/>
        <v/>
      </c>
      <c r="D20" s="341" t="str">
        <f t="shared" si="0"/>
        <v/>
      </c>
      <c r="E20" s="328" t="str">
        <f t="shared" si="3"/>
        <v/>
      </c>
      <c r="F20" s="339" t="str">
        <f t="shared" si="1"/>
        <v/>
      </c>
      <c r="G20" s="328" t="str">
        <f t="shared" si="4"/>
        <v/>
      </c>
      <c r="H20" s="340" t="str">
        <f t="shared" si="5"/>
        <v/>
      </c>
      <c r="I20" s="57"/>
    </row>
    <row r="21" spans="2:9" ht="20.100000000000001" customHeight="1" x14ac:dyDescent="0.3">
      <c r="B21" s="343">
        <v>13</v>
      </c>
      <c r="C21" s="342" t="str">
        <f t="shared" si="2"/>
        <v/>
      </c>
      <c r="D21" s="341" t="str">
        <f t="shared" si="0"/>
        <v/>
      </c>
      <c r="E21" s="328" t="str">
        <f t="shared" si="3"/>
        <v/>
      </c>
      <c r="F21" s="339" t="str">
        <f t="shared" si="1"/>
        <v/>
      </c>
      <c r="G21" s="328" t="str">
        <f t="shared" si="4"/>
        <v/>
      </c>
      <c r="H21" s="340" t="str">
        <f t="shared" si="5"/>
        <v/>
      </c>
      <c r="I21" s="57"/>
    </row>
    <row r="22" spans="2:9" ht="20.100000000000001" customHeight="1" x14ac:dyDescent="0.3">
      <c r="B22" s="344">
        <v>14</v>
      </c>
      <c r="C22" s="342" t="str">
        <f t="shared" si="2"/>
        <v/>
      </c>
      <c r="D22" s="341" t="str">
        <f t="shared" si="0"/>
        <v/>
      </c>
      <c r="E22" s="328" t="str">
        <f t="shared" si="3"/>
        <v/>
      </c>
      <c r="F22" s="339" t="str">
        <f t="shared" si="1"/>
        <v/>
      </c>
      <c r="G22" s="328" t="str">
        <f t="shared" si="4"/>
        <v/>
      </c>
      <c r="H22" s="340" t="str">
        <f t="shared" si="5"/>
        <v/>
      </c>
      <c r="I22" s="57"/>
    </row>
    <row r="23" spans="2:9" ht="20.100000000000001" customHeight="1" x14ac:dyDescent="0.3">
      <c r="B23" s="344">
        <v>15</v>
      </c>
      <c r="C23" s="342" t="str">
        <f t="shared" si="2"/>
        <v/>
      </c>
      <c r="D23" s="341" t="str">
        <f t="shared" si="0"/>
        <v/>
      </c>
      <c r="E23" s="328" t="str">
        <f t="shared" si="3"/>
        <v/>
      </c>
      <c r="F23" s="339" t="str">
        <f t="shared" si="1"/>
        <v/>
      </c>
      <c r="G23" s="328" t="str">
        <f t="shared" si="4"/>
        <v/>
      </c>
      <c r="H23" s="340" t="str">
        <f t="shared" si="5"/>
        <v/>
      </c>
      <c r="I23" s="57"/>
    </row>
    <row r="24" spans="2:9" ht="20.100000000000001" customHeight="1" x14ac:dyDescent="0.3">
      <c r="B24" s="344">
        <v>16</v>
      </c>
      <c r="C24" s="342" t="str">
        <f t="shared" si="2"/>
        <v/>
      </c>
      <c r="D24" s="341" t="str">
        <f t="shared" si="0"/>
        <v/>
      </c>
      <c r="E24" s="328" t="str">
        <f t="shared" si="3"/>
        <v/>
      </c>
      <c r="F24" s="339" t="str">
        <f t="shared" si="1"/>
        <v/>
      </c>
      <c r="G24" s="328" t="str">
        <f t="shared" si="4"/>
        <v/>
      </c>
      <c r="H24" s="340" t="str">
        <f t="shared" si="5"/>
        <v/>
      </c>
      <c r="I24" s="57"/>
    </row>
    <row r="25" spans="2:9" ht="20.100000000000001" customHeight="1" x14ac:dyDescent="0.3">
      <c r="B25" s="344">
        <v>17</v>
      </c>
      <c r="C25" s="342" t="str">
        <f t="shared" si="2"/>
        <v/>
      </c>
      <c r="D25" s="341" t="str">
        <f t="shared" si="0"/>
        <v/>
      </c>
      <c r="E25" s="328" t="str">
        <f t="shared" si="3"/>
        <v/>
      </c>
      <c r="F25" s="339" t="str">
        <f t="shared" si="1"/>
        <v/>
      </c>
      <c r="G25" s="328" t="str">
        <f t="shared" si="4"/>
        <v/>
      </c>
      <c r="H25" s="340" t="str">
        <f t="shared" si="5"/>
        <v/>
      </c>
      <c r="I25" s="57"/>
    </row>
    <row r="26" spans="2:9" ht="20.100000000000001" customHeight="1" x14ac:dyDescent="0.3">
      <c r="B26" s="344">
        <v>18</v>
      </c>
      <c r="C26" s="342" t="str">
        <f t="shared" si="2"/>
        <v/>
      </c>
      <c r="D26" s="341" t="str">
        <f t="shared" si="0"/>
        <v/>
      </c>
      <c r="E26" s="328" t="str">
        <f t="shared" si="3"/>
        <v/>
      </c>
      <c r="F26" s="339" t="str">
        <f t="shared" si="1"/>
        <v/>
      </c>
      <c r="G26" s="328" t="str">
        <f t="shared" si="4"/>
        <v/>
      </c>
      <c r="H26" s="340" t="str">
        <f t="shared" si="5"/>
        <v/>
      </c>
      <c r="I26" s="57"/>
    </row>
    <row r="27" spans="2:9" ht="20.100000000000001" customHeight="1" x14ac:dyDescent="0.3">
      <c r="B27" s="344">
        <v>19</v>
      </c>
      <c r="C27" s="342" t="str">
        <f t="shared" si="2"/>
        <v/>
      </c>
      <c r="D27" s="341" t="str">
        <f t="shared" si="0"/>
        <v/>
      </c>
      <c r="E27" s="328" t="str">
        <f t="shared" si="3"/>
        <v/>
      </c>
      <c r="F27" s="339" t="str">
        <f t="shared" si="1"/>
        <v/>
      </c>
      <c r="G27" s="328" t="str">
        <f t="shared" si="4"/>
        <v/>
      </c>
      <c r="H27" s="340" t="str">
        <f t="shared" si="5"/>
        <v/>
      </c>
      <c r="I27" s="57"/>
    </row>
    <row r="28" spans="2:9" ht="20.100000000000001" customHeight="1" x14ac:dyDescent="0.3">
      <c r="B28" s="344">
        <v>20</v>
      </c>
      <c r="C28" s="342" t="str">
        <f t="shared" si="2"/>
        <v/>
      </c>
      <c r="D28" s="341" t="str">
        <f t="shared" si="0"/>
        <v/>
      </c>
      <c r="E28" s="328" t="str">
        <f t="shared" si="3"/>
        <v/>
      </c>
      <c r="F28" s="339" t="str">
        <f t="shared" si="1"/>
        <v/>
      </c>
      <c r="G28" s="328" t="str">
        <f t="shared" si="4"/>
        <v/>
      </c>
      <c r="H28" s="340" t="str">
        <f t="shared" si="5"/>
        <v/>
      </c>
      <c r="I28" s="57"/>
    </row>
    <row r="29" spans="2:9" ht="20.100000000000001" customHeight="1" x14ac:dyDescent="0.3">
      <c r="B29" s="344">
        <v>21</v>
      </c>
      <c r="C29" s="342" t="str">
        <f t="shared" si="2"/>
        <v/>
      </c>
      <c r="D29" s="341" t="str">
        <f t="shared" si="0"/>
        <v/>
      </c>
      <c r="E29" s="328" t="str">
        <f t="shared" si="3"/>
        <v/>
      </c>
      <c r="F29" s="339" t="str">
        <f t="shared" si="1"/>
        <v/>
      </c>
      <c r="G29" s="328" t="str">
        <f t="shared" si="4"/>
        <v/>
      </c>
      <c r="H29" s="340" t="str">
        <f t="shared" si="5"/>
        <v/>
      </c>
      <c r="I29" s="57"/>
    </row>
    <row r="30" spans="2:9" ht="20.100000000000001" customHeight="1" x14ac:dyDescent="0.3">
      <c r="B30" s="344">
        <v>22</v>
      </c>
      <c r="C30" s="342" t="str">
        <f t="shared" si="2"/>
        <v/>
      </c>
      <c r="D30" s="341" t="str">
        <f t="shared" si="0"/>
        <v/>
      </c>
      <c r="E30" s="328" t="str">
        <f t="shared" si="3"/>
        <v/>
      </c>
      <c r="F30" s="339" t="str">
        <f t="shared" si="1"/>
        <v/>
      </c>
      <c r="G30" s="328" t="str">
        <f t="shared" si="4"/>
        <v/>
      </c>
      <c r="H30" s="340" t="str">
        <f t="shared" si="5"/>
        <v/>
      </c>
      <c r="I30" s="57"/>
    </row>
    <row r="31" spans="2:9" ht="20.100000000000001" customHeight="1" x14ac:dyDescent="0.3">
      <c r="B31" s="344">
        <v>23</v>
      </c>
      <c r="C31" s="342" t="str">
        <f t="shared" si="2"/>
        <v/>
      </c>
      <c r="D31" s="341" t="str">
        <f t="shared" si="0"/>
        <v/>
      </c>
      <c r="E31" s="328" t="str">
        <f t="shared" si="3"/>
        <v/>
      </c>
      <c r="F31" s="339" t="str">
        <f t="shared" si="1"/>
        <v/>
      </c>
      <c r="G31" s="328" t="str">
        <f t="shared" si="4"/>
        <v/>
      </c>
      <c r="H31" s="340" t="str">
        <f t="shared" si="5"/>
        <v/>
      </c>
      <c r="I31" s="57"/>
    </row>
    <row r="32" spans="2:9" ht="20.100000000000001" customHeight="1" x14ac:dyDescent="0.3">
      <c r="B32" s="344">
        <v>24</v>
      </c>
      <c r="C32" s="342" t="str">
        <f t="shared" si="2"/>
        <v/>
      </c>
      <c r="D32" s="341" t="str">
        <f t="shared" si="0"/>
        <v/>
      </c>
      <c r="E32" s="328" t="str">
        <f t="shared" si="3"/>
        <v/>
      </c>
      <c r="F32" s="339" t="str">
        <f t="shared" si="1"/>
        <v/>
      </c>
      <c r="G32" s="328" t="str">
        <f t="shared" si="4"/>
        <v/>
      </c>
      <c r="H32" s="340" t="str">
        <f t="shared" si="5"/>
        <v/>
      </c>
      <c r="I32" s="57"/>
    </row>
    <row r="33" spans="2:9" ht="20.100000000000001" customHeight="1" x14ac:dyDescent="0.3">
      <c r="B33" s="343">
        <v>25</v>
      </c>
      <c r="C33" s="342" t="str">
        <f t="shared" si="2"/>
        <v/>
      </c>
      <c r="D33" s="341" t="str">
        <f t="shared" si="0"/>
        <v/>
      </c>
      <c r="E33" s="328" t="str">
        <f t="shared" si="3"/>
        <v/>
      </c>
      <c r="F33" s="339" t="str">
        <f t="shared" si="1"/>
        <v/>
      </c>
      <c r="G33" s="328" t="str">
        <f t="shared" si="4"/>
        <v/>
      </c>
      <c r="H33" s="340" t="str">
        <f t="shared" si="5"/>
        <v/>
      </c>
      <c r="I33" s="57"/>
    </row>
    <row r="34" spans="2:9" ht="20.100000000000001" customHeight="1" x14ac:dyDescent="0.3">
      <c r="B34" s="344">
        <v>26</v>
      </c>
      <c r="C34" s="342" t="str">
        <f t="shared" si="2"/>
        <v/>
      </c>
      <c r="D34" s="341" t="str">
        <f t="shared" si="0"/>
        <v/>
      </c>
      <c r="E34" s="328" t="str">
        <f t="shared" si="3"/>
        <v/>
      </c>
      <c r="F34" s="339" t="str">
        <f t="shared" si="1"/>
        <v/>
      </c>
      <c r="G34" s="328" t="str">
        <f t="shared" si="4"/>
        <v/>
      </c>
      <c r="H34" s="340" t="str">
        <f t="shared" si="5"/>
        <v/>
      </c>
      <c r="I34" s="57"/>
    </row>
    <row r="35" spans="2:9" ht="20.100000000000001" customHeight="1" x14ac:dyDescent="0.3">
      <c r="B35" s="344">
        <v>27</v>
      </c>
      <c r="C35" s="342" t="str">
        <f t="shared" si="2"/>
        <v/>
      </c>
      <c r="D35" s="341" t="str">
        <f t="shared" si="0"/>
        <v/>
      </c>
      <c r="E35" s="328" t="str">
        <f t="shared" si="3"/>
        <v/>
      </c>
      <c r="F35" s="339" t="str">
        <f t="shared" si="1"/>
        <v/>
      </c>
      <c r="G35" s="328" t="str">
        <f t="shared" si="4"/>
        <v/>
      </c>
      <c r="H35" s="340" t="str">
        <f t="shared" si="5"/>
        <v/>
      </c>
      <c r="I35" s="57"/>
    </row>
    <row r="36" spans="2:9" ht="20.100000000000001" customHeight="1" x14ac:dyDescent="0.3">
      <c r="B36" s="344">
        <v>28</v>
      </c>
      <c r="C36" s="342" t="str">
        <f t="shared" si="2"/>
        <v/>
      </c>
      <c r="D36" s="341" t="str">
        <f t="shared" si="0"/>
        <v/>
      </c>
      <c r="E36" s="328" t="str">
        <f t="shared" si="3"/>
        <v/>
      </c>
      <c r="F36" s="339" t="str">
        <f t="shared" si="1"/>
        <v/>
      </c>
      <c r="G36" s="328" t="str">
        <f t="shared" si="4"/>
        <v/>
      </c>
      <c r="H36" s="340" t="str">
        <f t="shared" si="5"/>
        <v/>
      </c>
      <c r="I36" s="57"/>
    </row>
    <row r="37" spans="2:9" ht="20.100000000000001" customHeight="1" x14ac:dyDescent="0.3">
      <c r="B37" s="344">
        <v>29</v>
      </c>
      <c r="C37" s="342" t="str">
        <f t="shared" si="2"/>
        <v/>
      </c>
      <c r="D37" s="341" t="str">
        <f t="shared" si="0"/>
        <v/>
      </c>
      <c r="E37" s="328" t="str">
        <f t="shared" si="3"/>
        <v/>
      </c>
      <c r="F37" s="339" t="str">
        <f t="shared" si="1"/>
        <v/>
      </c>
      <c r="G37" s="328" t="str">
        <f t="shared" si="4"/>
        <v/>
      </c>
      <c r="H37" s="340" t="str">
        <f t="shared" si="5"/>
        <v/>
      </c>
      <c r="I37" s="57"/>
    </row>
    <row r="38" spans="2:9" ht="20.100000000000001" customHeight="1" x14ac:dyDescent="0.3">
      <c r="B38" s="344">
        <v>30</v>
      </c>
      <c r="C38" s="342" t="str">
        <f t="shared" si="2"/>
        <v/>
      </c>
      <c r="D38" s="341" t="str">
        <f t="shared" si="0"/>
        <v/>
      </c>
      <c r="E38" s="328" t="str">
        <f t="shared" si="3"/>
        <v/>
      </c>
      <c r="F38" s="339" t="str">
        <f t="shared" si="1"/>
        <v/>
      </c>
      <c r="G38" s="328" t="str">
        <f t="shared" si="4"/>
        <v/>
      </c>
      <c r="H38" s="340" t="str">
        <f t="shared" si="5"/>
        <v/>
      </c>
      <c r="I38" s="57"/>
    </row>
    <row r="39" spans="2:9" ht="20.100000000000001" customHeight="1" x14ac:dyDescent="0.3">
      <c r="B39" s="344">
        <v>31</v>
      </c>
      <c r="C39" s="342" t="str">
        <f t="shared" si="2"/>
        <v/>
      </c>
      <c r="D39" s="341" t="str">
        <f t="shared" si="0"/>
        <v/>
      </c>
      <c r="E39" s="328" t="str">
        <f t="shared" si="3"/>
        <v/>
      </c>
      <c r="F39" s="339" t="str">
        <f t="shared" si="1"/>
        <v/>
      </c>
      <c r="G39" s="328" t="str">
        <f t="shared" si="4"/>
        <v/>
      </c>
      <c r="H39" s="340" t="str">
        <f t="shared" si="5"/>
        <v/>
      </c>
      <c r="I39" s="57"/>
    </row>
    <row r="40" spans="2:9" ht="20.100000000000001" customHeight="1" x14ac:dyDescent="0.3">
      <c r="B40" s="344">
        <v>32</v>
      </c>
      <c r="C40" s="342" t="str">
        <f t="shared" si="2"/>
        <v/>
      </c>
      <c r="D40" s="341" t="str">
        <f t="shared" si="0"/>
        <v/>
      </c>
      <c r="E40" s="328" t="str">
        <f t="shared" si="3"/>
        <v/>
      </c>
      <c r="F40" s="339" t="str">
        <f t="shared" si="1"/>
        <v/>
      </c>
      <c r="G40" s="328" t="str">
        <f t="shared" si="4"/>
        <v/>
      </c>
      <c r="H40" s="340" t="str">
        <f t="shared" si="5"/>
        <v/>
      </c>
      <c r="I40" s="57"/>
    </row>
    <row r="41" spans="2:9" ht="20.100000000000001" customHeight="1" x14ac:dyDescent="0.3">
      <c r="B41" s="344">
        <v>33</v>
      </c>
      <c r="C41" s="342" t="str">
        <f t="shared" si="2"/>
        <v/>
      </c>
      <c r="D41" s="341" t="str">
        <f t="shared" si="0"/>
        <v/>
      </c>
      <c r="E41" s="328" t="str">
        <f t="shared" si="3"/>
        <v/>
      </c>
      <c r="F41" s="339" t="str">
        <f t="shared" si="1"/>
        <v/>
      </c>
      <c r="G41" s="328" t="str">
        <f t="shared" si="4"/>
        <v/>
      </c>
      <c r="H41" s="340" t="str">
        <f t="shared" si="5"/>
        <v/>
      </c>
      <c r="I41" s="57"/>
    </row>
    <row r="42" spans="2:9" ht="20.100000000000001" customHeight="1" x14ac:dyDescent="0.3">
      <c r="B42" s="344">
        <v>34</v>
      </c>
      <c r="C42" s="342" t="str">
        <f t="shared" si="2"/>
        <v/>
      </c>
      <c r="D42" s="341" t="str">
        <f t="shared" si="0"/>
        <v/>
      </c>
      <c r="E42" s="328" t="str">
        <f t="shared" si="3"/>
        <v/>
      </c>
      <c r="F42" s="339" t="str">
        <f t="shared" si="1"/>
        <v/>
      </c>
      <c r="G42" s="328" t="str">
        <f t="shared" si="4"/>
        <v/>
      </c>
      <c r="H42" s="340" t="str">
        <f t="shared" si="5"/>
        <v/>
      </c>
      <c r="I42" s="57"/>
    </row>
    <row r="43" spans="2:9" ht="20.100000000000001" customHeight="1" x14ac:dyDescent="0.3">
      <c r="B43" s="344">
        <v>35</v>
      </c>
      <c r="C43" s="342" t="str">
        <f t="shared" si="2"/>
        <v/>
      </c>
      <c r="D43" s="341" t="str">
        <f t="shared" si="0"/>
        <v/>
      </c>
      <c r="E43" s="328" t="str">
        <f t="shared" si="3"/>
        <v/>
      </c>
      <c r="F43" s="339" t="str">
        <f t="shared" si="1"/>
        <v/>
      </c>
      <c r="G43" s="328" t="str">
        <f t="shared" si="4"/>
        <v/>
      </c>
      <c r="H43" s="340" t="str">
        <f t="shared" si="5"/>
        <v/>
      </c>
      <c r="I43" s="57"/>
    </row>
    <row r="44" spans="2:9" ht="20.100000000000001" customHeight="1" x14ac:dyDescent="0.3">
      <c r="B44" s="344">
        <v>36</v>
      </c>
      <c r="C44" s="342" t="str">
        <f t="shared" si="2"/>
        <v/>
      </c>
      <c r="D44" s="341" t="str">
        <f t="shared" si="0"/>
        <v/>
      </c>
      <c r="E44" s="328" t="str">
        <f t="shared" si="3"/>
        <v/>
      </c>
      <c r="F44" s="339" t="str">
        <f t="shared" si="1"/>
        <v/>
      </c>
      <c r="G44" s="328" t="str">
        <f t="shared" si="4"/>
        <v/>
      </c>
      <c r="H44" s="340" t="str">
        <f t="shared" si="5"/>
        <v/>
      </c>
      <c r="I44" s="57"/>
    </row>
    <row r="45" spans="2:9" ht="20.100000000000001" customHeight="1" x14ac:dyDescent="0.3">
      <c r="B45" s="344">
        <v>37</v>
      </c>
      <c r="C45" s="342" t="str">
        <f t="shared" si="2"/>
        <v/>
      </c>
      <c r="D45" s="341" t="str">
        <f t="shared" si="0"/>
        <v/>
      </c>
      <c r="E45" s="328" t="str">
        <f t="shared" si="3"/>
        <v/>
      </c>
      <c r="F45" s="339" t="str">
        <f t="shared" si="1"/>
        <v/>
      </c>
      <c r="G45" s="328" t="str">
        <f t="shared" si="4"/>
        <v/>
      </c>
      <c r="H45" s="340" t="str">
        <f t="shared" si="5"/>
        <v/>
      </c>
      <c r="I45" s="57"/>
    </row>
    <row r="46" spans="2:9" ht="20.100000000000001" customHeight="1" x14ac:dyDescent="0.3">
      <c r="B46" s="344">
        <v>38</v>
      </c>
      <c r="C46" s="342" t="str">
        <f t="shared" si="2"/>
        <v/>
      </c>
      <c r="D46" s="341" t="str">
        <f t="shared" si="0"/>
        <v/>
      </c>
      <c r="E46" s="328" t="str">
        <f t="shared" si="3"/>
        <v/>
      </c>
      <c r="F46" s="339" t="str">
        <f t="shared" si="1"/>
        <v/>
      </c>
      <c r="G46" s="328" t="str">
        <f t="shared" si="4"/>
        <v/>
      </c>
      <c r="H46" s="340" t="str">
        <f t="shared" si="5"/>
        <v/>
      </c>
      <c r="I46" s="57"/>
    </row>
    <row r="47" spans="2:9" ht="20.100000000000001" customHeight="1" x14ac:dyDescent="0.3">
      <c r="B47" s="344">
        <v>39</v>
      </c>
      <c r="C47" s="342" t="str">
        <f t="shared" si="2"/>
        <v/>
      </c>
      <c r="D47" s="341" t="str">
        <f t="shared" si="0"/>
        <v/>
      </c>
      <c r="E47" s="328" t="str">
        <f t="shared" si="3"/>
        <v/>
      </c>
      <c r="F47" s="339" t="str">
        <f t="shared" si="1"/>
        <v/>
      </c>
      <c r="G47" s="328" t="str">
        <f t="shared" si="4"/>
        <v/>
      </c>
      <c r="H47" s="340" t="str">
        <f t="shared" si="5"/>
        <v/>
      </c>
      <c r="I47" s="57"/>
    </row>
    <row r="48" spans="2:9" ht="20.100000000000001" customHeight="1" x14ac:dyDescent="0.3">
      <c r="B48" s="344">
        <v>40</v>
      </c>
      <c r="C48" s="342" t="str">
        <f t="shared" si="2"/>
        <v/>
      </c>
      <c r="D48" s="341" t="str">
        <f t="shared" si="0"/>
        <v/>
      </c>
      <c r="E48" s="328" t="str">
        <f t="shared" si="3"/>
        <v/>
      </c>
      <c r="F48" s="339" t="str">
        <f t="shared" si="1"/>
        <v/>
      </c>
      <c r="G48" s="328" t="str">
        <f t="shared" si="4"/>
        <v/>
      </c>
      <c r="H48" s="340" t="str">
        <f t="shared" si="5"/>
        <v/>
      </c>
      <c r="I48" s="57"/>
    </row>
    <row r="49" spans="2:28" ht="20.100000000000001" customHeight="1" x14ac:dyDescent="0.3">
      <c r="B49" s="344">
        <v>41</v>
      </c>
      <c r="C49" s="342" t="str">
        <f t="shared" si="2"/>
        <v/>
      </c>
      <c r="D49" s="341" t="str">
        <f t="shared" si="0"/>
        <v/>
      </c>
      <c r="E49" s="328" t="str">
        <f t="shared" si="3"/>
        <v/>
      </c>
      <c r="F49" s="339" t="str">
        <f t="shared" si="1"/>
        <v/>
      </c>
      <c r="G49" s="328" t="str">
        <f t="shared" si="4"/>
        <v/>
      </c>
      <c r="H49" s="340" t="str">
        <f t="shared" si="5"/>
        <v/>
      </c>
      <c r="I49" s="57"/>
    </row>
    <row r="50" spans="2:28" ht="20.100000000000001" customHeight="1" x14ac:dyDescent="0.3">
      <c r="B50" s="344">
        <v>42</v>
      </c>
      <c r="C50" s="342" t="str">
        <f t="shared" si="2"/>
        <v/>
      </c>
      <c r="D50" s="341" t="str">
        <f t="shared" si="0"/>
        <v/>
      </c>
      <c r="E50" s="328" t="str">
        <f t="shared" si="3"/>
        <v/>
      </c>
      <c r="F50" s="339" t="str">
        <f t="shared" si="1"/>
        <v/>
      </c>
      <c r="G50" s="328" t="str">
        <f t="shared" si="4"/>
        <v/>
      </c>
      <c r="H50" s="340" t="str">
        <f t="shared" si="5"/>
        <v/>
      </c>
      <c r="I50" s="57"/>
    </row>
    <row r="51" spans="2:28" ht="20.100000000000001" customHeight="1" x14ac:dyDescent="0.3">
      <c r="B51" s="344">
        <v>43</v>
      </c>
      <c r="C51" s="342" t="str">
        <f t="shared" si="2"/>
        <v/>
      </c>
      <c r="D51" s="341" t="str">
        <f t="shared" si="0"/>
        <v/>
      </c>
      <c r="E51" s="328" t="str">
        <f t="shared" si="3"/>
        <v/>
      </c>
      <c r="F51" s="339" t="str">
        <f t="shared" si="1"/>
        <v/>
      </c>
      <c r="G51" s="328" t="str">
        <f t="shared" si="4"/>
        <v/>
      </c>
      <c r="H51" s="340" t="str">
        <f t="shared" si="5"/>
        <v/>
      </c>
      <c r="I51" s="57"/>
    </row>
    <row r="52" spans="2:28" ht="20.100000000000001" customHeight="1" x14ac:dyDescent="0.3">
      <c r="B52" s="344">
        <v>44</v>
      </c>
      <c r="C52" s="342" t="str">
        <f t="shared" si="2"/>
        <v/>
      </c>
      <c r="D52" s="341" t="str">
        <f t="shared" si="0"/>
        <v/>
      </c>
      <c r="E52" s="328" t="str">
        <f t="shared" si="3"/>
        <v/>
      </c>
      <c r="F52" s="339" t="str">
        <f t="shared" si="1"/>
        <v/>
      </c>
      <c r="G52" s="328" t="str">
        <f t="shared" si="4"/>
        <v/>
      </c>
      <c r="H52" s="340" t="str">
        <f t="shared" si="5"/>
        <v/>
      </c>
      <c r="I52" s="57"/>
    </row>
    <row r="53" spans="2:28" ht="20.100000000000001" customHeight="1" x14ac:dyDescent="0.3">
      <c r="B53" s="344">
        <v>45</v>
      </c>
      <c r="C53" s="342" t="str">
        <f t="shared" si="2"/>
        <v/>
      </c>
      <c r="D53" s="341" t="str">
        <f t="shared" si="0"/>
        <v/>
      </c>
      <c r="E53" s="328" t="str">
        <f t="shared" si="3"/>
        <v/>
      </c>
      <c r="F53" s="339" t="str">
        <f t="shared" si="1"/>
        <v/>
      </c>
      <c r="G53" s="328" t="str">
        <f t="shared" si="4"/>
        <v/>
      </c>
      <c r="H53" s="340" t="str">
        <f t="shared" si="5"/>
        <v/>
      </c>
      <c r="I53" s="57"/>
    </row>
    <row r="54" spans="2:28" ht="20.100000000000001" customHeight="1" x14ac:dyDescent="0.3">
      <c r="B54" s="344">
        <v>46</v>
      </c>
      <c r="C54" s="342" t="str">
        <f t="shared" si="2"/>
        <v/>
      </c>
      <c r="D54" s="341" t="str">
        <f t="shared" si="0"/>
        <v/>
      </c>
      <c r="E54" s="328" t="str">
        <f t="shared" si="3"/>
        <v/>
      </c>
      <c r="F54" s="339" t="str">
        <f t="shared" si="1"/>
        <v/>
      </c>
      <c r="G54" s="328" t="str">
        <f t="shared" si="4"/>
        <v/>
      </c>
      <c r="H54" s="340" t="str">
        <f t="shared" si="5"/>
        <v/>
      </c>
      <c r="I54" s="57"/>
    </row>
    <row r="55" spans="2:28" ht="20.100000000000001" customHeight="1" x14ac:dyDescent="0.3">
      <c r="B55" s="344">
        <v>47</v>
      </c>
      <c r="C55" s="342" t="str">
        <f t="shared" si="2"/>
        <v/>
      </c>
      <c r="D55" s="341" t="str">
        <f t="shared" si="0"/>
        <v/>
      </c>
      <c r="E55" s="328" t="str">
        <f t="shared" si="3"/>
        <v/>
      </c>
      <c r="F55" s="339" t="str">
        <f t="shared" si="1"/>
        <v/>
      </c>
      <c r="G55" s="328" t="str">
        <f t="shared" si="4"/>
        <v/>
      </c>
      <c r="H55" s="340" t="str">
        <f t="shared" si="5"/>
        <v/>
      </c>
      <c r="I55" s="57"/>
    </row>
    <row r="56" spans="2:28" ht="20.100000000000001" customHeight="1" x14ac:dyDescent="0.3">
      <c r="B56" s="344">
        <v>48</v>
      </c>
      <c r="C56" s="342" t="str">
        <f t="shared" si="2"/>
        <v/>
      </c>
      <c r="D56" s="341" t="str">
        <f t="shared" si="0"/>
        <v/>
      </c>
      <c r="E56" s="328" t="str">
        <f t="shared" si="3"/>
        <v/>
      </c>
      <c r="F56" s="339" t="str">
        <f t="shared" si="1"/>
        <v/>
      </c>
      <c r="G56" s="328" t="str">
        <f t="shared" si="4"/>
        <v/>
      </c>
      <c r="H56" s="340" t="str">
        <f t="shared" si="5"/>
        <v/>
      </c>
      <c r="I56" s="57"/>
    </row>
    <row r="57" spans="2:28" ht="20.100000000000001" customHeight="1" x14ac:dyDescent="0.3">
      <c r="B57" s="344">
        <v>49</v>
      </c>
      <c r="C57" s="342" t="str">
        <f t="shared" si="2"/>
        <v/>
      </c>
      <c r="D57" s="341" t="str">
        <f t="shared" si="0"/>
        <v/>
      </c>
      <c r="E57" s="328" t="str">
        <f t="shared" si="3"/>
        <v/>
      </c>
      <c r="F57" s="339" t="str">
        <f t="shared" si="1"/>
        <v/>
      </c>
      <c r="G57" s="328" t="str">
        <f t="shared" si="4"/>
        <v/>
      </c>
      <c r="H57" s="340" t="str">
        <f t="shared" si="5"/>
        <v/>
      </c>
      <c r="I57" s="57"/>
    </row>
    <row r="58" spans="2:28" ht="20.100000000000001" customHeight="1" x14ac:dyDescent="0.3">
      <c r="B58" s="344">
        <v>50</v>
      </c>
      <c r="C58" s="342" t="str">
        <f t="shared" si="2"/>
        <v/>
      </c>
      <c r="D58" s="341" t="str">
        <f t="shared" si="0"/>
        <v/>
      </c>
      <c r="E58" s="328" t="str">
        <f t="shared" si="3"/>
        <v/>
      </c>
      <c r="F58" s="339" t="str">
        <f t="shared" si="1"/>
        <v/>
      </c>
      <c r="G58" s="328" t="str">
        <f t="shared" si="4"/>
        <v/>
      </c>
      <c r="H58" s="340" t="str">
        <f t="shared" si="5"/>
        <v/>
      </c>
      <c r="I58" s="57"/>
    </row>
    <row r="59" spans="2:28" ht="20.100000000000001" customHeight="1" x14ac:dyDescent="0.3">
      <c r="B59" s="344">
        <v>51</v>
      </c>
      <c r="C59" s="342" t="str">
        <f t="shared" si="2"/>
        <v/>
      </c>
      <c r="D59" s="341" t="str">
        <f t="shared" si="0"/>
        <v/>
      </c>
      <c r="E59" s="328" t="str">
        <f t="shared" si="3"/>
        <v/>
      </c>
      <c r="F59" s="339" t="str">
        <f t="shared" si="1"/>
        <v/>
      </c>
      <c r="G59" s="328" t="str">
        <f t="shared" si="4"/>
        <v/>
      </c>
      <c r="H59" s="340" t="str">
        <f t="shared" si="5"/>
        <v/>
      </c>
      <c r="I59" s="57"/>
    </row>
    <row r="60" spans="2:28" ht="20.100000000000001" customHeight="1" x14ac:dyDescent="0.3">
      <c r="B60" s="344">
        <v>52</v>
      </c>
      <c r="C60" s="342" t="str">
        <f t="shared" si="2"/>
        <v/>
      </c>
      <c r="D60" s="341" t="str">
        <f t="shared" si="0"/>
        <v/>
      </c>
      <c r="E60" s="328" t="str">
        <f t="shared" si="3"/>
        <v/>
      </c>
      <c r="F60" s="339" t="str">
        <f t="shared" si="1"/>
        <v/>
      </c>
      <c r="G60" s="328" t="str">
        <f t="shared" si="4"/>
        <v/>
      </c>
      <c r="H60" s="340" t="str">
        <f t="shared" si="5"/>
        <v/>
      </c>
      <c r="I60" s="57"/>
    </row>
    <row r="61" spans="2:28" ht="20.100000000000001" customHeight="1" x14ac:dyDescent="0.3">
      <c r="B61" s="344">
        <v>53</v>
      </c>
      <c r="C61" s="342" t="str">
        <f t="shared" si="2"/>
        <v/>
      </c>
      <c r="D61" s="341" t="str">
        <f t="shared" si="0"/>
        <v/>
      </c>
      <c r="E61" s="328" t="str">
        <f t="shared" si="3"/>
        <v/>
      </c>
      <c r="F61" s="339" t="str">
        <f t="shared" si="1"/>
        <v/>
      </c>
      <c r="G61" s="328" t="str">
        <f t="shared" si="4"/>
        <v/>
      </c>
      <c r="H61" s="340" t="str">
        <f t="shared" si="5"/>
        <v/>
      </c>
      <c r="I61" s="57"/>
      <c r="K61" s="1"/>
      <c r="L61" s="1"/>
      <c r="M61" s="1"/>
      <c r="T61" s="51"/>
      <c r="U61" s="1"/>
      <c r="V61" s="1"/>
      <c r="Z61" s="1"/>
      <c r="AA61" s="1"/>
      <c r="AB61" s="1"/>
    </row>
    <row r="62" spans="2:28" ht="20.100000000000001" customHeight="1" x14ac:dyDescent="0.3">
      <c r="B62" s="344">
        <v>54</v>
      </c>
      <c r="C62" s="342" t="str">
        <f t="shared" si="2"/>
        <v/>
      </c>
      <c r="D62" s="341" t="str">
        <f t="shared" si="0"/>
        <v/>
      </c>
      <c r="E62" s="328" t="str">
        <f t="shared" si="3"/>
        <v/>
      </c>
      <c r="F62" s="339" t="str">
        <f t="shared" si="1"/>
        <v/>
      </c>
      <c r="G62" s="328" t="str">
        <f t="shared" si="4"/>
        <v/>
      </c>
      <c r="H62" s="340" t="str">
        <f t="shared" si="5"/>
        <v/>
      </c>
      <c r="I62" s="50"/>
      <c r="K62" s="50"/>
      <c r="N62" s="50"/>
      <c r="Q62" s="50"/>
      <c r="T62" s="50"/>
      <c r="W62" s="50"/>
      <c r="Z62" s="50"/>
    </row>
    <row r="63" spans="2:28" ht="20.100000000000001" customHeight="1" x14ac:dyDescent="0.3">
      <c r="B63" s="344">
        <v>55</v>
      </c>
      <c r="C63" s="342" t="str">
        <f t="shared" si="2"/>
        <v/>
      </c>
      <c r="D63" s="341" t="str">
        <f t="shared" si="0"/>
        <v/>
      </c>
      <c r="E63" s="328" t="str">
        <f t="shared" si="3"/>
        <v/>
      </c>
      <c r="F63" s="339" t="str">
        <f t="shared" si="1"/>
        <v/>
      </c>
      <c r="G63" s="328" t="str">
        <f t="shared" si="4"/>
        <v/>
      </c>
      <c r="H63" s="340" t="str">
        <f t="shared" si="5"/>
        <v/>
      </c>
      <c r="I63" s="564"/>
      <c r="K63" s="625"/>
      <c r="L63" s="625"/>
      <c r="M63" s="52"/>
      <c r="N63" s="625"/>
      <c r="O63" s="625"/>
      <c r="P63" s="52"/>
      <c r="Q63" s="625"/>
      <c r="R63" s="625"/>
      <c r="S63" s="52"/>
      <c r="T63" s="625"/>
      <c r="U63" s="625"/>
      <c r="V63" s="52"/>
      <c r="W63" s="625"/>
      <c r="X63" s="625"/>
      <c r="Y63" s="52"/>
      <c r="Z63" s="625"/>
      <c r="AA63" s="625"/>
      <c r="AB63" s="52"/>
    </row>
    <row r="64" spans="2:28" ht="20.100000000000001" customHeight="1" x14ac:dyDescent="0.3">
      <c r="B64" s="344">
        <v>56</v>
      </c>
      <c r="C64" s="342" t="str">
        <f t="shared" si="2"/>
        <v/>
      </c>
      <c r="D64" s="341" t="str">
        <f t="shared" si="0"/>
        <v/>
      </c>
      <c r="E64" s="328" t="str">
        <f t="shared" si="3"/>
        <v/>
      </c>
      <c r="F64" s="339" t="str">
        <f t="shared" si="1"/>
        <v/>
      </c>
      <c r="G64" s="328" t="str">
        <f t="shared" si="4"/>
        <v/>
      </c>
      <c r="H64" s="340" t="str">
        <f t="shared" si="5"/>
        <v/>
      </c>
      <c r="I64" s="57"/>
    </row>
    <row r="65" spans="2:9" ht="20.100000000000001" customHeight="1" x14ac:dyDescent="0.3">
      <c r="B65" s="344">
        <v>57</v>
      </c>
      <c r="C65" s="342" t="str">
        <f t="shared" si="2"/>
        <v/>
      </c>
      <c r="D65" s="341" t="str">
        <f t="shared" si="0"/>
        <v/>
      </c>
      <c r="E65" s="328" t="str">
        <f t="shared" si="3"/>
        <v/>
      </c>
      <c r="F65" s="339" t="str">
        <f t="shared" si="1"/>
        <v/>
      </c>
      <c r="G65" s="328" t="str">
        <f t="shared" si="4"/>
        <v/>
      </c>
      <c r="H65" s="340" t="str">
        <f t="shared" si="5"/>
        <v/>
      </c>
      <c r="I65" s="57"/>
    </row>
    <row r="66" spans="2:9" ht="20.100000000000001" customHeight="1" x14ac:dyDescent="0.3">
      <c r="B66" s="344">
        <v>58</v>
      </c>
      <c r="C66" s="342" t="str">
        <f t="shared" si="2"/>
        <v/>
      </c>
      <c r="D66" s="341" t="str">
        <f t="shared" si="0"/>
        <v/>
      </c>
      <c r="E66" s="328" t="str">
        <f t="shared" si="3"/>
        <v/>
      </c>
      <c r="F66" s="339" t="str">
        <f t="shared" si="1"/>
        <v/>
      </c>
      <c r="G66" s="328" t="str">
        <f t="shared" si="4"/>
        <v/>
      </c>
      <c r="H66" s="340" t="str">
        <f t="shared" si="5"/>
        <v/>
      </c>
      <c r="I66" s="57"/>
    </row>
    <row r="67" spans="2:9" ht="20.100000000000001" customHeight="1" x14ac:dyDescent="0.3">
      <c r="B67" s="344">
        <v>59</v>
      </c>
      <c r="C67" s="342" t="str">
        <f t="shared" si="2"/>
        <v/>
      </c>
      <c r="D67" s="341" t="str">
        <f t="shared" si="0"/>
        <v/>
      </c>
      <c r="E67" s="328" t="str">
        <f t="shared" si="3"/>
        <v/>
      </c>
      <c r="F67" s="339" t="str">
        <f t="shared" si="1"/>
        <v/>
      </c>
      <c r="G67" s="328" t="str">
        <f t="shared" si="4"/>
        <v/>
      </c>
      <c r="H67" s="340" t="str">
        <f t="shared" si="5"/>
        <v/>
      </c>
      <c r="I67" s="57"/>
    </row>
    <row r="68" spans="2:9" ht="20.100000000000001" customHeight="1" x14ac:dyDescent="0.3">
      <c r="B68" s="344">
        <v>60</v>
      </c>
      <c r="C68" s="342" t="str">
        <f t="shared" si="2"/>
        <v/>
      </c>
      <c r="D68" s="341" t="str">
        <f t="shared" si="0"/>
        <v/>
      </c>
      <c r="E68" s="328" t="str">
        <f t="shared" si="3"/>
        <v/>
      </c>
      <c r="F68" s="339" t="str">
        <f t="shared" si="1"/>
        <v/>
      </c>
      <c r="G68" s="328" t="str">
        <f t="shared" si="4"/>
        <v/>
      </c>
      <c r="H68" s="340" t="str">
        <f t="shared" si="5"/>
        <v/>
      </c>
      <c r="I68" s="57"/>
    </row>
    <row r="69" spans="2:9" ht="20.100000000000001" customHeight="1" x14ac:dyDescent="0.3">
      <c r="B69" s="344">
        <v>61</v>
      </c>
      <c r="C69" s="342" t="str">
        <f t="shared" si="2"/>
        <v/>
      </c>
      <c r="D69" s="341" t="str">
        <f t="shared" si="0"/>
        <v/>
      </c>
      <c r="E69" s="328" t="str">
        <f t="shared" si="3"/>
        <v/>
      </c>
      <c r="F69" s="339" t="str">
        <f t="shared" si="1"/>
        <v/>
      </c>
      <c r="G69" s="328" t="str">
        <f t="shared" si="4"/>
        <v/>
      </c>
      <c r="H69" s="340" t="str">
        <f t="shared" si="5"/>
        <v/>
      </c>
      <c r="I69" s="57"/>
    </row>
    <row r="70" spans="2:9" ht="20.100000000000001" customHeight="1" x14ac:dyDescent="0.3">
      <c r="B70" s="344">
        <v>62</v>
      </c>
      <c r="C70" s="342" t="str">
        <f t="shared" si="2"/>
        <v/>
      </c>
      <c r="D70" s="341" t="str">
        <f t="shared" si="0"/>
        <v/>
      </c>
      <c r="E70" s="328" t="str">
        <f t="shared" si="3"/>
        <v/>
      </c>
      <c r="F70" s="339" t="str">
        <f t="shared" si="1"/>
        <v/>
      </c>
      <c r="G70" s="328" t="str">
        <f t="shared" si="4"/>
        <v/>
      </c>
      <c r="H70" s="340" t="str">
        <f t="shared" si="5"/>
        <v/>
      </c>
      <c r="I70" s="57"/>
    </row>
    <row r="71" spans="2:9" ht="20.100000000000001" customHeight="1" x14ac:dyDescent="0.3">
      <c r="B71" s="344">
        <v>63</v>
      </c>
      <c r="C71" s="342" t="str">
        <f t="shared" si="2"/>
        <v/>
      </c>
      <c r="D71" s="341" t="str">
        <f t="shared" si="0"/>
        <v/>
      </c>
      <c r="E71" s="328" t="str">
        <f t="shared" si="3"/>
        <v/>
      </c>
      <c r="F71" s="339" t="str">
        <f t="shared" si="1"/>
        <v/>
      </c>
      <c r="G71" s="328" t="str">
        <f t="shared" si="4"/>
        <v/>
      </c>
      <c r="H71" s="340" t="str">
        <f t="shared" si="5"/>
        <v/>
      </c>
      <c r="I71" s="57"/>
    </row>
    <row r="72" spans="2:9" ht="20.100000000000001" customHeight="1" x14ac:dyDescent="0.3">
      <c r="B72" s="344">
        <v>64</v>
      </c>
      <c r="C72" s="342" t="str">
        <f t="shared" si="2"/>
        <v/>
      </c>
      <c r="D72" s="341" t="str">
        <f t="shared" si="0"/>
        <v/>
      </c>
      <c r="E72" s="328" t="str">
        <f t="shared" si="3"/>
        <v/>
      </c>
      <c r="F72" s="339" t="str">
        <f t="shared" si="1"/>
        <v/>
      </c>
      <c r="G72" s="328" t="str">
        <f t="shared" si="4"/>
        <v/>
      </c>
      <c r="H72" s="340" t="str">
        <f t="shared" si="5"/>
        <v/>
      </c>
      <c r="I72" s="57"/>
    </row>
    <row r="73" spans="2:9" ht="20.100000000000001" customHeight="1" x14ac:dyDescent="0.3">
      <c r="B73" s="344">
        <v>65</v>
      </c>
      <c r="C73" s="342" t="str">
        <f t="shared" si="2"/>
        <v/>
      </c>
      <c r="D73" s="341" t="str">
        <f t="shared" si="0"/>
        <v/>
      </c>
      <c r="E73" s="328" t="str">
        <f t="shared" si="3"/>
        <v/>
      </c>
      <c r="F73" s="339" t="str">
        <f t="shared" si="1"/>
        <v/>
      </c>
      <c r="G73" s="328" t="str">
        <f t="shared" si="4"/>
        <v/>
      </c>
      <c r="H73" s="340" t="str">
        <f t="shared" si="5"/>
        <v/>
      </c>
      <c r="I73" s="57"/>
    </row>
    <row r="74" spans="2:9" ht="20.100000000000001" customHeight="1" x14ac:dyDescent="0.3">
      <c r="B74" s="344">
        <v>66</v>
      </c>
      <c r="C74" s="342" t="str">
        <f t="shared" si="2"/>
        <v/>
      </c>
      <c r="D74" s="341" t="str">
        <f t="shared" ref="D74:D137" si="6">IF($H$4="","",IF($F$4="원리금균등상환",IFERROR(IF(B74&lt;=$D$6,0,-PPMT($E$4/12,B74-$D$6,($B$6-$D$6),$D$4)),""),IF($F$4="원금균등상환",IF(B74&lt;($D$6+1),0,IF(B74&gt;$B$6,0,$D$4/($B$6-$D$6))),"")))</f>
        <v/>
      </c>
      <c r="E74" s="328" t="str">
        <f t="shared" si="3"/>
        <v/>
      </c>
      <c r="F74" s="339" t="str">
        <f t="shared" ref="F74:F137" si="7">IF($H$4="","",IF($F$4="원리금균등상환",IFERROR(D74+E74,""),IF($F$4="원금균등상환",D74+E74,"")))</f>
        <v/>
      </c>
      <c r="G74" s="328" t="str">
        <f t="shared" si="4"/>
        <v/>
      </c>
      <c r="H74" s="340" t="str">
        <f t="shared" si="5"/>
        <v/>
      </c>
      <c r="I74" s="57"/>
    </row>
    <row r="75" spans="2:9" ht="20.100000000000001" customHeight="1" x14ac:dyDescent="0.3">
      <c r="B75" s="344">
        <v>67</v>
      </c>
      <c r="C75" s="342" t="str">
        <f t="shared" ref="C75:C138" si="8">IF($H$4="","",IF(B75&gt;($B$6),"",IF(B75&lt;=($B$6),DATE(YEAR($G$4),MONTH($G$4)+B74,DAY($G$4)),"")))</f>
        <v/>
      </c>
      <c r="D75" s="341" t="str">
        <f t="shared" si="6"/>
        <v/>
      </c>
      <c r="E75" s="328" t="str">
        <f t="shared" ref="E75:E138" si="9">IF($H$4="","",IF($F$4="원리금균등상환",IFERROR(IF(B75&lt;=$D$6,$H74*($E$4/12),-IPMT($E$4/12,B75-$D$6,($B$6-$D$6),$D$4)),""),IF($F$4="원금균등상환",(H74-D75)*$E$4/12,"")))</f>
        <v/>
      </c>
      <c r="F75" s="339" t="str">
        <f t="shared" si="7"/>
        <v/>
      </c>
      <c r="G75" s="328" t="str">
        <f t="shared" ref="G75:G138" si="10">IFERROR(IF(B75&gt;(($D$6+$B$6)*12),"",IF(B75=1,D75,D75+G74)),"")</f>
        <v/>
      </c>
      <c r="H75" s="340" t="str">
        <f t="shared" ref="H75:H138" si="11">IFERROR(IF($H$4="","",H74-D75),"")</f>
        <v/>
      </c>
      <c r="I75" s="57"/>
    </row>
    <row r="76" spans="2:9" ht="20.100000000000001" customHeight="1" x14ac:dyDescent="0.3">
      <c r="B76" s="344">
        <v>68</v>
      </c>
      <c r="C76" s="342" t="str">
        <f t="shared" si="8"/>
        <v/>
      </c>
      <c r="D76" s="341" t="str">
        <f t="shared" si="6"/>
        <v/>
      </c>
      <c r="E76" s="328" t="str">
        <f t="shared" si="9"/>
        <v/>
      </c>
      <c r="F76" s="339" t="str">
        <f t="shared" si="7"/>
        <v/>
      </c>
      <c r="G76" s="328" t="str">
        <f t="shared" si="10"/>
        <v/>
      </c>
      <c r="H76" s="340" t="str">
        <f t="shared" si="11"/>
        <v/>
      </c>
      <c r="I76" s="57"/>
    </row>
    <row r="77" spans="2:9" ht="20.100000000000001" customHeight="1" x14ac:dyDescent="0.3">
      <c r="B77" s="344">
        <v>69</v>
      </c>
      <c r="C77" s="342" t="str">
        <f t="shared" si="8"/>
        <v/>
      </c>
      <c r="D77" s="341" t="str">
        <f t="shared" si="6"/>
        <v/>
      </c>
      <c r="E77" s="328" t="str">
        <f t="shared" si="9"/>
        <v/>
      </c>
      <c r="F77" s="339" t="str">
        <f t="shared" si="7"/>
        <v/>
      </c>
      <c r="G77" s="328" t="str">
        <f t="shared" si="10"/>
        <v/>
      </c>
      <c r="H77" s="340" t="str">
        <f t="shared" si="11"/>
        <v/>
      </c>
      <c r="I77" s="57"/>
    </row>
    <row r="78" spans="2:9" ht="20.100000000000001" customHeight="1" x14ac:dyDescent="0.3">
      <c r="B78" s="344">
        <v>70</v>
      </c>
      <c r="C78" s="342" t="str">
        <f t="shared" si="8"/>
        <v/>
      </c>
      <c r="D78" s="341" t="str">
        <f t="shared" si="6"/>
        <v/>
      </c>
      <c r="E78" s="328" t="str">
        <f t="shared" si="9"/>
        <v/>
      </c>
      <c r="F78" s="339" t="str">
        <f t="shared" si="7"/>
        <v/>
      </c>
      <c r="G78" s="328" t="str">
        <f t="shared" si="10"/>
        <v/>
      </c>
      <c r="H78" s="340" t="str">
        <f t="shared" si="11"/>
        <v/>
      </c>
      <c r="I78" s="57"/>
    </row>
    <row r="79" spans="2:9" ht="20.100000000000001" customHeight="1" x14ac:dyDescent="0.3">
      <c r="B79" s="344">
        <v>71</v>
      </c>
      <c r="C79" s="342" t="str">
        <f t="shared" si="8"/>
        <v/>
      </c>
      <c r="D79" s="341" t="str">
        <f t="shared" si="6"/>
        <v/>
      </c>
      <c r="E79" s="328" t="str">
        <f t="shared" si="9"/>
        <v/>
      </c>
      <c r="F79" s="339" t="str">
        <f t="shared" si="7"/>
        <v/>
      </c>
      <c r="G79" s="328" t="str">
        <f t="shared" si="10"/>
        <v/>
      </c>
      <c r="H79" s="340" t="str">
        <f t="shared" si="11"/>
        <v/>
      </c>
      <c r="I79" s="57"/>
    </row>
    <row r="80" spans="2:9" ht="20.100000000000001" customHeight="1" x14ac:dyDescent="0.3">
      <c r="B80" s="344">
        <v>72</v>
      </c>
      <c r="C80" s="342" t="str">
        <f t="shared" si="8"/>
        <v/>
      </c>
      <c r="D80" s="341" t="str">
        <f t="shared" si="6"/>
        <v/>
      </c>
      <c r="E80" s="328" t="str">
        <f t="shared" si="9"/>
        <v/>
      </c>
      <c r="F80" s="339" t="str">
        <f t="shared" si="7"/>
        <v/>
      </c>
      <c r="G80" s="328" t="str">
        <f t="shared" si="10"/>
        <v/>
      </c>
      <c r="H80" s="340" t="str">
        <f t="shared" si="11"/>
        <v/>
      </c>
      <c r="I80" s="57"/>
    </row>
    <row r="81" spans="2:9" ht="20.100000000000001" customHeight="1" x14ac:dyDescent="0.3">
      <c r="B81" s="344">
        <v>73</v>
      </c>
      <c r="C81" s="342" t="str">
        <f t="shared" si="8"/>
        <v/>
      </c>
      <c r="D81" s="341" t="str">
        <f t="shared" si="6"/>
        <v/>
      </c>
      <c r="E81" s="328" t="str">
        <f t="shared" si="9"/>
        <v/>
      </c>
      <c r="F81" s="339" t="str">
        <f t="shared" si="7"/>
        <v/>
      </c>
      <c r="G81" s="328" t="str">
        <f t="shared" si="10"/>
        <v/>
      </c>
      <c r="H81" s="340" t="str">
        <f t="shared" si="11"/>
        <v/>
      </c>
      <c r="I81" s="57"/>
    </row>
    <row r="82" spans="2:9" ht="20.100000000000001" customHeight="1" x14ac:dyDescent="0.3">
      <c r="B82" s="344">
        <v>74</v>
      </c>
      <c r="C82" s="342" t="str">
        <f t="shared" si="8"/>
        <v/>
      </c>
      <c r="D82" s="341" t="str">
        <f t="shared" si="6"/>
        <v/>
      </c>
      <c r="E82" s="328" t="str">
        <f t="shared" si="9"/>
        <v/>
      </c>
      <c r="F82" s="339" t="str">
        <f t="shared" si="7"/>
        <v/>
      </c>
      <c r="G82" s="328" t="str">
        <f t="shared" si="10"/>
        <v/>
      </c>
      <c r="H82" s="340" t="str">
        <f t="shared" si="11"/>
        <v/>
      </c>
      <c r="I82" s="57"/>
    </row>
    <row r="83" spans="2:9" ht="20.100000000000001" customHeight="1" x14ac:dyDescent="0.3">
      <c r="B83" s="344">
        <v>75</v>
      </c>
      <c r="C83" s="342" t="str">
        <f t="shared" si="8"/>
        <v/>
      </c>
      <c r="D83" s="341" t="str">
        <f t="shared" si="6"/>
        <v/>
      </c>
      <c r="E83" s="328" t="str">
        <f t="shared" si="9"/>
        <v/>
      </c>
      <c r="F83" s="339" t="str">
        <f t="shared" si="7"/>
        <v/>
      </c>
      <c r="G83" s="328" t="str">
        <f t="shared" si="10"/>
        <v/>
      </c>
      <c r="H83" s="340" t="str">
        <f t="shared" si="11"/>
        <v/>
      </c>
      <c r="I83" s="57"/>
    </row>
    <row r="84" spans="2:9" ht="20.100000000000001" customHeight="1" x14ac:dyDescent="0.3">
      <c r="B84" s="344">
        <v>76</v>
      </c>
      <c r="C84" s="342" t="str">
        <f t="shared" si="8"/>
        <v/>
      </c>
      <c r="D84" s="341" t="str">
        <f t="shared" si="6"/>
        <v/>
      </c>
      <c r="E84" s="328" t="str">
        <f t="shared" si="9"/>
        <v/>
      </c>
      <c r="F84" s="339" t="str">
        <f t="shared" si="7"/>
        <v/>
      </c>
      <c r="G84" s="328" t="str">
        <f t="shared" si="10"/>
        <v/>
      </c>
      <c r="H84" s="340" t="str">
        <f t="shared" si="11"/>
        <v/>
      </c>
      <c r="I84" s="57"/>
    </row>
    <row r="85" spans="2:9" ht="20.100000000000001" customHeight="1" x14ac:dyDescent="0.3">
      <c r="B85" s="344">
        <v>77</v>
      </c>
      <c r="C85" s="342" t="str">
        <f t="shared" si="8"/>
        <v/>
      </c>
      <c r="D85" s="341" t="str">
        <f t="shared" si="6"/>
        <v/>
      </c>
      <c r="E85" s="328" t="str">
        <f t="shared" si="9"/>
        <v/>
      </c>
      <c r="F85" s="339" t="str">
        <f t="shared" si="7"/>
        <v/>
      </c>
      <c r="G85" s="328" t="str">
        <f t="shared" si="10"/>
        <v/>
      </c>
      <c r="H85" s="340" t="str">
        <f t="shared" si="11"/>
        <v/>
      </c>
      <c r="I85" s="57"/>
    </row>
    <row r="86" spans="2:9" ht="20.100000000000001" customHeight="1" x14ac:dyDescent="0.3">
      <c r="B86" s="344">
        <v>78</v>
      </c>
      <c r="C86" s="342" t="str">
        <f t="shared" si="8"/>
        <v/>
      </c>
      <c r="D86" s="341" t="str">
        <f t="shared" si="6"/>
        <v/>
      </c>
      <c r="E86" s="328" t="str">
        <f t="shared" si="9"/>
        <v/>
      </c>
      <c r="F86" s="339" t="str">
        <f t="shared" si="7"/>
        <v/>
      </c>
      <c r="G86" s="328" t="str">
        <f t="shared" si="10"/>
        <v/>
      </c>
      <c r="H86" s="340" t="str">
        <f t="shared" si="11"/>
        <v/>
      </c>
      <c r="I86" s="57"/>
    </row>
    <row r="87" spans="2:9" ht="20.100000000000001" customHeight="1" x14ac:dyDescent="0.3">
      <c r="B87" s="344">
        <v>79</v>
      </c>
      <c r="C87" s="342" t="str">
        <f t="shared" si="8"/>
        <v/>
      </c>
      <c r="D87" s="341" t="str">
        <f t="shared" si="6"/>
        <v/>
      </c>
      <c r="E87" s="328" t="str">
        <f t="shared" si="9"/>
        <v/>
      </c>
      <c r="F87" s="339" t="str">
        <f t="shared" si="7"/>
        <v/>
      </c>
      <c r="G87" s="328" t="str">
        <f t="shared" si="10"/>
        <v/>
      </c>
      <c r="H87" s="340" t="str">
        <f t="shared" si="11"/>
        <v/>
      </c>
      <c r="I87" s="57"/>
    </row>
    <row r="88" spans="2:9" ht="20.100000000000001" customHeight="1" x14ac:dyDescent="0.3">
      <c r="B88" s="344">
        <v>80</v>
      </c>
      <c r="C88" s="342" t="str">
        <f t="shared" si="8"/>
        <v/>
      </c>
      <c r="D88" s="341" t="str">
        <f t="shared" si="6"/>
        <v/>
      </c>
      <c r="E88" s="328" t="str">
        <f t="shared" si="9"/>
        <v/>
      </c>
      <c r="F88" s="339" t="str">
        <f t="shared" si="7"/>
        <v/>
      </c>
      <c r="G88" s="328" t="str">
        <f t="shared" si="10"/>
        <v/>
      </c>
      <c r="H88" s="340" t="str">
        <f t="shared" si="11"/>
        <v/>
      </c>
      <c r="I88" s="57"/>
    </row>
    <row r="89" spans="2:9" ht="20.100000000000001" customHeight="1" x14ac:dyDescent="0.3">
      <c r="B89" s="344">
        <v>81</v>
      </c>
      <c r="C89" s="342" t="str">
        <f t="shared" si="8"/>
        <v/>
      </c>
      <c r="D89" s="341" t="str">
        <f t="shared" si="6"/>
        <v/>
      </c>
      <c r="E89" s="328" t="str">
        <f t="shared" si="9"/>
        <v/>
      </c>
      <c r="F89" s="339" t="str">
        <f t="shared" si="7"/>
        <v/>
      </c>
      <c r="G89" s="328" t="str">
        <f t="shared" si="10"/>
        <v/>
      </c>
      <c r="H89" s="340" t="str">
        <f t="shared" si="11"/>
        <v/>
      </c>
      <c r="I89" s="57"/>
    </row>
    <row r="90" spans="2:9" ht="20.100000000000001" customHeight="1" x14ac:dyDescent="0.3">
      <c r="B90" s="344">
        <v>82</v>
      </c>
      <c r="C90" s="342" t="str">
        <f t="shared" si="8"/>
        <v/>
      </c>
      <c r="D90" s="341" t="str">
        <f t="shared" si="6"/>
        <v/>
      </c>
      <c r="E90" s="328" t="str">
        <f t="shared" si="9"/>
        <v/>
      </c>
      <c r="F90" s="339" t="str">
        <f t="shared" si="7"/>
        <v/>
      </c>
      <c r="G90" s="328" t="str">
        <f t="shared" si="10"/>
        <v/>
      </c>
      <c r="H90" s="340" t="str">
        <f t="shared" si="11"/>
        <v/>
      </c>
      <c r="I90" s="57"/>
    </row>
    <row r="91" spans="2:9" ht="20.100000000000001" customHeight="1" x14ac:dyDescent="0.3">
      <c r="B91" s="344">
        <v>83</v>
      </c>
      <c r="C91" s="342" t="str">
        <f t="shared" si="8"/>
        <v/>
      </c>
      <c r="D91" s="341" t="str">
        <f t="shared" si="6"/>
        <v/>
      </c>
      <c r="E91" s="328" t="str">
        <f t="shared" si="9"/>
        <v/>
      </c>
      <c r="F91" s="339" t="str">
        <f t="shared" si="7"/>
        <v/>
      </c>
      <c r="G91" s="328" t="str">
        <f t="shared" si="10"/>
        <v/>
      </c>
      <c r="H91" s="340" t="str">
        <f t="shared" si="11"/>
        <v/>
      </c>
      <c r="I91" s="57"/>
    </row>
    <row r="92" spans="2:9" ht="20.100000000000001" customHeight="1" x14ac:dyDescent="0.3">
      <c r="B92" s="344">
        <v>84</v>
      </c>
      <c r="C92" s="342" t="str">
        <f t="shared" si="8"/>
        <v/>
      </c>
      <c r="D92" s="341" t="str">
        <f t="shared" si="6"/>
        <v/>
      </c>
      <c r="E92" s="328" t="str">
        <f t="shared" si="9"/>
        <v/>
      </c>
      <c r="F92" s="339" t="str">
        <f t="shared" si="7"/>
        <v/>
      </c>
      <c r="G92" s="328" t="str">
        <f t="shared" si="10"/>
        <v/>
      </c>
      <c r="H92" s="340" t="str">
        <f t="shared" si="11"/>
        <v/>
      </c>
      <c r="I92" s="57"/>
    </row>
    <row r="93" spans="2:9" ht="20.100000000000001" customHeight="1" x14ac:dyDescent="0.3">
      <c r="B93" s="344">
        <v>85</v>
      </c>
      <c r="C93" s="342" t="str">
        <f t="shared" si="8"/>
        <v/>
      </c>
      <c r="D93" s="341" t="str">
        <f t="shared" si="6"/>
        <v/>
      </c>
      <c r="E93" s="328" t="str">
        <f t="shared" si="9"/>
        <v/>
      </c>
      <c r="F93" s="339" t="str">
        <f t="shared" si="7"/>
        <v/>
      </c>
      <c r="G93" s="328" t="str">
        <f t="shared" si="10"/>
        <v/>
      </c>
      <c r="H93" s="340" t="str">
        <f t="shared" si="11"/>
        <v/>
      </c>
      <c r="I93" s="57"/>
    </row>
    <row r="94" spans="2:9" ht="20.100000000000001" customHeight="1" x14ac:dyDescent="0.3">
      <c r="B94" s="344">
        <v>86</v>
      </c>
      <c r="C94" s="342" t="str">
        <f t="shared" si="8"/>
        <v/>
      </c>
      <c r="D94" s="341" t="str">
        <f t="shared" si="6"/>
        <v/>
      </c>
      <c r="E94" s="328" t="str">
        <f t="shared" si="9"/>
        <v/>
      </c>
      <c r="F94" s="339" t="str">
        <f t="shared" si="7"/>
        <v/>
      </c>
      <c r="G94" s="328" t="str">
        <f t="shared" si="10"/>
        <v/>
      </c>
      <c r="H94" s="340" t="str">
        <f t="shared" si="11"/>
        <v/>
      </c>
      <c r="I94" s="57"/>
    </row>
    <row r="95" spans="2:9" ht="20.100000000000001" customHeight="1" x14ac:dyDescent="0.3">
      <c r="B95" s="344">
        <v>87</v>
      </c>
      <c r="C95" s="342" t="str">
        <f t="shared" si="8"/>
        <v/>
      </c>
      <c r="D95" s="341" t="str">
        <f t="shared" si="6"/>
        <v/>
      </c>
      <c r="E95" s="328" t="str">
        <f t="shared" si="9"/>
        <v/>
      </c>
      <c r="F95" s="339" t="str">
        <f t="shared" si="7"/>
        <v/>
      </c>
      <c r="G95" s="328" t="str">
        <f t="shared" si="10"/>
        <v/>
      </c>
      <c r="H95" s="340" t="str">
        <f t="shared" si="11"/>
        <v/>
      </c>
      <c r="I95" s="57"/>
    </row>
    <row r="96" spans="2:9" ht="20.100000000000001" customHeight="1" x14ac:dyDescent="0.3">
      <c r="B96" s="344">
        <v>88</v>
      </c>
      <c r="C96" s="342" t="str">
        <f t="shared" si="8"/>
        <v/>
      </c>
      <c r="D96" s="341" t="str">
        <f t="shared" si="6"/>
        <v/>
      </c>
      <c r="E96" s="328" t="str">
        <f t="shared" si="9"/>
        <v/>
      </c>
      <c r="F96" s="339" t="str">
        <f t="shared" si="7"/>
        <v/>
      </c>
      <c r="G96" s="328" t="str">
        <f t="shared" si="10"/>
        <v/>
      </c>
      <c r="H96" s="340" t="str">
        <f t="shared" si="11"/>
        <v/>
      </c>
      <c r="I96" s="57"/>
    </row>
    <row r="97" spans="2:9" ht="20.100000000000001" customHeight="1" x14ac:dyDescent="0.3">
      <c r="B97" s="344">
        <v>89</v>
      </c>
      <c r="C97" s="342" t="str">
        <f t="shared" si="8"/>
        <v/>
      </c>
      <c r="D97" s="341" t="str">
        <f t="shared" si="6"/>
        <v/>
      </c>
      <c r="E97" s="328" t="str">
        <f t="shared" si="9"/>
        <v/>
      </c>
      <c r="F97" s="339" t="str">
        <f t="shared" si="7"/>
        <v/>
      </c>
      <c r="G97" s="328" t="str">
        <f t="shared" si="10"/>
        <v/>
      </c>
      <c r="H97" s="340" t="str">
        <f t="shared" si="11"/>
        <v/>
      </c>
      <c r="I97" s="57"/>
    </row>
    <row r="98" spans="2:9" ht="20.100000000000001" customHeight="1" x14ac:dyDescent="0.3">
      <c r="B98" s="344">
        <v>90</v>
      </c>
      <c r="C98" s="342" t="str">
        <f t="shared" si="8"/>
        <v/>
      </c>
      <c r="D98" s="341" t="str">
        <f t="shared" si="6"/>
        <v/>
      </c>
      <c r="E98" s="328" t="str">
        <f t="shared" si="9"/>
        <v/>
      </c>
      <c r="F98" s="339" t="str">
        <f t="shared" si="7"/>
        <v/>
      </c>
      <c r="G98" s="328" t="str">
        <f t="shared" si="10"/>
        <v/>
      </c>
      <c r="H98" s="340" t="str">
        <f t="shared" si="11"/>
        <v/>
      </c>
      <c r="I98" s="57"/>
    </row>
    <row r="99" spans="2:9" ht="20.100000000000001" customHeight="1" x14ac:dyDescent="0.3">
      <c r="B99" s="344">
        <v>91</v>
      </c>
      <c r="C99" s="342" t="str">
        <f t="shared" si="8"/>
        <v/>
      </c>
      <c r="D99" s="341" t="str">
        <f t="shared" si="6"/>
        <v/>
      </c>
      <c r="E99" s="328" t="str">
        <f t="shared" si="9"/>
        <v/>
      </c>
      <c r="F99" s="339" t="str">
        <f t="shared" si="7"/>
        <v/>
      </c>
      <c r="G99" s="328" t="str">
        <f t="shared" si="10"/>
        <v/>
      </c>
      <c r="H99" s="340" t="str">
        <f t="shared" si="11"/>
        <v/>
      </c>
      <c r="I99" s="57"/>
    </row>
    <row r="100" spans="2:9" ht="20.100000000000001" customHeight="1" x14ac:dyDescent="0.3">
      <c r="B100" s="344">
        <v>92</v>
      </c>
      <c r="C100" s="342" t="str">
        <f t="shared" si="8"/>
        <v/>
      </c>
      <c r="D100" s="341" t="str">
        <f t="shared" si="6"/>
        <v/>
      </c>
      <c r="E100" s="328" t="str">
        <f t="shared" si="9"/>
        <v/>
      </c>
      <c r="F100" s="339" t="str">
        <f t="shared" si="7"/>
        <v/>
      </c>
      <c r="G100" s="328" t="str">
        <f t="shared" si="10"/>
        <v/>
      </c>
      <c r="H100" s="340" t="str">
        <f t="shared" si="11"/>
        <v/>
      </c>
      <c r="I100" s="57"/>
    </row>
    <row r="101" spans="2:9" ht="20.100000000000001" customHeight="1" x14ac:dyDescent="0.3">
      <c r="B101" s="344">
        <v>93</v>
      </c>
      <c r="C101" s="342" t="str">
        <f t="shared" si="8"/>
        <v/>
      </c>
      <c r="D101" s="341" t="str">
        <f t="shared" si="6"/>
        <v/>
      </c>
      <c r="E101" s="328" t="str">
        <f t="shared" si="9"/>
        <v/>
      </c>
      <c r="F101" s="339" t="str">
        <f t="shared" si="7"/>
        <v/>
      </c>
      <c r="G101" s="328" t="str">
        <f t="shared" si="10"/>
        <v/>
      </c>
      <c r="H101" s="340" t="str">
        <f t="shared" si="11"/>
        <v/>
      </c>
      <c r="I101" s="57"/>
    </row>
    <row r="102" spans="2:9" ht="20.100000000000001" customHeight="1" x14ac:dyDescent="0.3">
      <c r="B102" s="344">
        <v>94</v>
      </c>
      <c r="C102" s="342" t="str">
        <f t="shared" si="8"/>
        <v/>
      </c>
      <c r="D102" s="341" t="str">
        <f t="shared" si="6"/>
        <v/>
      </c>
      <c r="E102" s="328" t="str">
        <f t="shared" si="9"/>
        <v/>
      </c>
      <c r="F102" s="339" t="str">
        <f t="shared" si="7"/>
        <v/>
      </c>
      <c r="G102" s="328" t="str">
        <f t="shared" si="10"/>
        <v/>
      </c>
      <c r="H102" s="340" t="str">
        <f t="shared" si="11"/>
        <v/>
      </c>
      <c r="I102" s="57"/>
    </row>
    <row r="103" spans="2:9" ht="20.100000000000001" customHeight="1" x14ac:dyDescent="0.3">
      <c r="B103" s="344">
        <v>95</v>
      </c>
      <c r="C103" s="342" t="str">
        <f t="shared" si="8"/>
        <v/>
      </c>
      <c r="D103" s="341" t="str">
        <f t="shared" si="6"/>
        <v/>
      </c>
      <c r="E103" s="328" t="str">
        <f t="shared" si="9"/>
        <v/>
      </c>
      <c r="F103" s="339" t="str">
        <f t="shared" si="7"/>
        <v/>
      </c>
      <c r="G103" s="328" t="str">
        <f t="shared" si="10"/>
        <v/>
      </c>
      <c r="H103" s="340" t="str">
        <f t="shared" si="11"/>
        <v/>
      </c>
      <c r="I103" s="57"/>
    </row>
    <row r="104" spans="2:9" ht="20.100000000000001" customHeight="1" x14ac:dyDescent="0.3">
      <c r="B104" s="344">
        <v>96</v>
      </c>
      <c r="C104" s="342" t="str">
        <f t="shared" si="8"/>
        <v/>
      </c>
      <c r="D104" s="341" t="str">
        <f t="shared" si="6"/>
        <v/>
      </c>
      <c r="E104" s="328" t="str">
        <f t="shared" si="9"/>
        <v/>
      </c>
      <c r="F104" s="339" t="str">
        <f t="shared" si="7"/>
        <v/>
      </c>
      <c r="G104" s="328" t="str">
        <f t="shared" si="10"/>
        <v/>
      </c>
      <c r="H104" s="340" t="str">
        <f t="shared" si="11"/>
        <v/>
      </c>
      <c r="I104" s="57"/>
    </row>
    <row r="105" spans="2:9" ht="20.100000000000001" customHeight="1" x14ac:dyDescent="0.3">
      <c r="B105" s="344">
        <v>97</v>
      </c>
      <c r="C105" s="342" t="str">
        <f t="shared" si="8"/>
        <v/>
      </c>
      <c r="D105" s="341" t="str">
        <f t="shared" si="6"/>
        <v/>
      </c>
      <c r="E105" s="328" t="str">
        <f t="shared" si="9"/>
        <v/>
      </c>
      <c r="F105" s="339" t="str">
        <f t="shared" si="7"/>
        <v/>
      </c>
      <c r="G105" s="328" t="str">
        <f t="shared" si="10"/>
        <v/>
      </c>
      <c r="H105" s="340" t="str">
        <f t="shared" si="11"/>
        <v/>
      </c>
      <c r="I105" s="57"/>
    </row>
    <row r="106" spans="2:9" ht="20.100000000000001" customHeight="1" x14ac:dyDescent="0.3">
      <c r="B106" s="344">
        <v>98</v>
      </c>
      <c r="C106" s="342" t="str">
        <f t="shared" si="8"/>
        <v/>
      </c>
      <c r="D106" s="341" t="str">
        <f t="shared" si="6"/>
        <v/>
      </c>
      <c r="E106" s="328" t="str">
        <f t="shared" si="9"/>
        <v/>
      </c>
      <c r="F106" s="339" t="str">
        <f t="shared" si="7"/>
        <v/>
      </c>
      <c r="G106" s="328" t="str">
        <f t="shared" si="10"/>
        <v/>
      </c>
      <c r="H106" s="340" t="str">
        <f t="shared" si="11"/>
        <v/>
      </c>
      <c r="I106" s="57"/>
    </row>
    <row r="107" spans="2:9" ht="20.100000000000001" customHeight="1" x14ac:dyDescent="0.3">
      <c r="B107" s="344">
        <v>99</v>
      </c>
      <c r="C107" s="342" t="str">
        <f t="shared" si="8"/>
        <v/>
      </c>
      <c r="D107" s="341" t="str">
        <f t="shared" si="6"/>
        <v/>
      </c>
      <c r="E107" s="328" t="str">
        <f t="shared" si="9"/>
        <v/>
      </c>
      <c r="F107" s="339" t="str">
        <f t="shared" si="7"/>
        <v/>
      </c>
      <c r="G107" s="328" t="str">
        <f t="shared" si="10"/>
        <v/>
      </c>
      <c r="H107" s="340" t="str">
        <f t="shared" si="11"/>
        <v/>
      </c>
      <c r="I107" s="57"/>
    </row>
    <row r="108" spans="2:9" ht="20.100000000000001" customHeight="1" x14ac:dyDescent="0.3">
      <c r="B108" s="344">
        <v>100</v>
      </c>
      <c r="C108" s="342" t="str">
        <f t="shared" si="8"/>
        <v/>
      </c>
      <c r="D108" s="341" t="str">
        <f t="shared" si="6"/>
        <v/>
      </c>
      <c r="E108" s="328" t="str">
        <f t="shared" si="9"/>
        <v/>
      </c>
      <c r="F108" s="339" t="str">
        <f t="shared" si="7"/>
        <v/>
      </c>
      <c r="G108" s="328" t="str">
        <f t="shared" si="10"/>
        <v/>
      </c>
      <c r="H108" s="340" t="str">
        <f t="shared" si="11"/>
        <v/>
      </c>
      <c r="I108" s="57"/>
    </row>
    <row r="109" spans="2:9" ht="20.100000000000001" customHeight="1" x14ac:dyDescent="0.3">
      <c r="B109" s="344">
        <v>101</v>
      </c>
      <c r="C109" s="342" t="str">
        <f t="shared" si="8"/>
        <v/>
      </c>
      <c r="D109" s="341" t="str">
        <f t="shared" si="6"/>
        <v/>
      </c>
      <c r="E109" s="328" t="str">
        <f t="shared" si="9"/>
        <v/>
      </c>
      <c r="F109" s="339" t="str">
        <f t="shared" si="7"/>
        <v/>
      </c>
      <c r="G109" s="328" t="str">
        <f t="shared" si="10"/>
        <v/>
      </c>
      <c r="H109" s="340" t="str">
        <f t="shared" si="11"/>
        <v/>
      </c>
      <c r="I109" s="57"/>
    </row>
    <row r="110" spans="2:9" ht="20.100000000000001" customHeight="1" x14ac:dyDescent="0.3">
      <c r="B110" s="344">
        <v>102</v>
      </c>
      <c r="C110" s="342" t="str">
        <f t="shared" si="8"/>
        <v/>
      </c>
      <c r="D110" s="341" t="str">
        <f t="shared" si="6"/>
        <v/>
      </c>
      <c r="E110" s="328" t="str">
        <f t="shared" si="9"/>
        <v/>
      </c>
      <c r="F110" s="339" t="str">
        <f t="shared" si="7"/>
        <v/>
      </c>
      <c r="G110" s="328" t="str">
        <f t="shared" si="10"/>
        <v/>
      </c>
      <c r="H110" s="340" t="str">
        <f t="shared" si="11"/>
        <v/>
      </c>
      <c r="I110" s="57"/>
    </row>
    <row r="111" spans="2:9" ht="20.100000000000001" customHeight="1" x14ac:dyDescent="0.3">
      <c r="B111" s="344">
        <v>103</v>
      </c>
      <c r="C111" s="342" t="str">
        <f t="shared" si="8"/>
        <v/>
      </c>
      <c r="D111" s="341" t="str">
        <f t="shared" si="6"/>
        <v/>
      </c>
      <c r="E111" s="328" t="str">
        <f t="shared" si="9"/>
        <v/>
      </c>
      <c r="F111" s="339" t="str">
        <f t="shared" si="7"/>
        <v/>
      </c>
      <c r="G111" s="328" t="str">
        <f t="shared" si="10"/>
        <v/>
      </c>
      <c r="H111" s="340" t="str">
        <f t="shared" si="11"/>
        <v/>
      </c>
      <c r="I111" s="57"/>
    </row>
    <row r="112" spans="2:9" ht="20.100000000000001" customHeight="1" x14ac:dyDescent="0.3">
      <c r="B112" s="344">
        <v>104</v>
      </c>
      <c r="C112" s="342" t="str">
        <f t="shared" si="8"/>
        <v/>
      </c>
      <c r="D112" s="341" t="str">
        <f t="shared" si="6"/>
        <v/>
      </c>
      <c r="E112" s="328" t="str">
        <f t="shared" si="9"/>
        <v/>
      </c>
      <c r="F112" s="339" t="str">
        <f t="shared" si="7"/>
        <v/>
      </c>
      <c r="G112" s="328" t="str">
        <f t="shared" si="10"/>
        <v/>
      </c>
      <c r="H112" s="340" t="str">
        <f t="shared" si="11"/>
        <v/>
      </c>
      <c r="I112" s="57"/>
    </row>
    <row r="113" spans="2:9" ht="20.100000000000001" customHeight="1" x14ac:dyDescent="0.3">
      <c r="B113" s="344">
        <v>105</v>
      </c>
      <c r="C113" s="342" t="str">
        <f t="shared" si="8"/>
        <v/>
      </c>
      <c r="D113" s="341" t="str">
        <f t="shared" si="6"/>
        <v/>
      </c>
      <c r="E113" s="328" t="str">
        <f t="shared" si="9"/>
        <v/>
      </c>
      <c r="F113" s="339" t="str">
        <f t="shared" si="7"/>
        <v/>
      </c>
      <c r="G113" s="328" t="str">
        <f t="shared" si="10"/>
        <v/>
      </c>
      <c r="H113" s="340" t="str">
        <f t="shared" si="11"/>
        <v/>
      </c>
      <c r="I113" s="57"/>
    </row>
    <row r="114" spans="2:9" ht="20.100000000000001" customHeight="1" x14ac:dyDescent="0.3">
      <c r="B114" s="344">
        <v>106</v>
      </c>
      <c r="C114" s="342" t="str">
        <f t="shared" si="8"/>
        <v/>
      </c>
      <c r="D114" s="341" t="str">
        <f t="shared" si="6"/>
        <v/>
      </c>
      <c r="E114" s="328" t="str">
        <f t="shared" si="9"/>
        <v/>
      </c>
      <c r="F114" s="339" t="str">
        <f t="shared" si="7"/>
        <v/>
      </c>
      <c r="G114" s="328" t="str">
        <f t="shared" si="10"/>
        <v/>
      </c>
      <c r="H114" s="340" t="str">
        <f t="shared" si="11"/>
        <v/>
      </c>
      <c r="I114" s="57"/>
    </row>
    <row r="115" spans="2:9" ht="20.100000000000001" customHeight="1" x14ac:dyDescent="0.3">
      <c r="B115" s="344">
        <v>107</v>
      </c>
      <c r="C115" s="342" t="str">
        <f t="shared" si="8"/>
        <v/>
      </c>
      <c r="D115" s="341" t="str">
        <f t="shared" si="6"/>
        <v/>
      </c>
      <c r="E115" s="328" t="str">
        <f t="shared" si="9"/>
        <v/>
      </c>
      <c r="F115" s="339" t="str">
        <f t="shared" si="7"/>
        <v/>
      </c>
      <c r="G115" s="328" t="str">
        <f t="shared" si="10"/>
        <v/>
      </c>
      <c r="H115" s="340" t="str">
        <f t="shared" si="11"/>
        <v/>
      </c>
      <c r="I115" s="57"/>
    </row>
    <row r="116" spans="2:9" ht="20.100000000000001" customHeight="1" x14ac:dyDescent="0.3">
      <c r="B116" s="344">
        <v>108</v>
      </c>
      <c r="C116" s="342" t="str">
        <f t="shared" si="8"/>
        <v/>
      </c>
      <c r="D116" s="341" t="str">
        <f t="shared" si="6"/>
        <v/>
      </c>
      <c r="E116" s="328" t="str">
        <f t="shared" si="9"/>
        <v/>
      </c>
      <c r="F116" s="339" t="str">
        <f t="shared" si="7"/>
        <v/>
      </c>
      <c r="G116" s="328" t="str">
        <f t="shared" si="10"/>
        <v/>
      </c>
      <c r="H116" s="340" t="str">
        <f t="shared" si="11"/>
        <v/>
      </c>
      <c r="I116" s="57"/>
    </row>
    <row r="117" spans="2:9" ht="20.100000000000001" customHeight="1" x14ac:dyDescent="0.3">
      <c r="B117" s="344">
        <v>109</v>
      </c>
      <c r="C117" s="342" t="str">
        <f t="shared" si="8"/>
        <v/>
      </c>
      <c r="D117" s="341" t="str">
        <f t="shared" si="6"/>
        <v/>
      </c>
      <c r="E117" s="328" t="str">
        <f t="shared" si="9"/>
        <v/>
      </c>
      <c r="F117" s="339" t="str">
        <f t="shared" si="7"/>
        <v/>
      </c>
      <c r="G117" s="328" t="str">
        <f t="shared" si="10"/>
        <v/>
      </c>
      <c r="H117" s="340" t="str">
        <f t="shared" si="11"/>
        <v/>
      </c>
      <c r="I117" s="57"/>
    </row>
    <row r="118" spans="2:9" ht="20.100000000000001" customHeight="1" x14ac:dyDescent="0.3">
      <c r="B118" s="344">
        <v>110</v>
      </c>
      <c r="C118" s="342" t="str">
        <f t="shared" si="8"/>
        <v/>
      </c>
      <c r="D118" s="341" t="str">
        <f t="shared" si="6"/>
        <v/>
      </c>
      <c r="E118" s="328" t="str">
        <f t="shared" si="9"/>
        <v/>
      </c>
      <c r="F118" s="339" t="str">
        <f t="shared" si="7"/>
        <v/>
      </c>
      <c r="G118" s="328" t="str">
        <f t="shared" si="10"/>
        <v/>
      </c>
      <c r="H118" s="340" t="str">
        <f t="shared" si="11"/>
        <v/>
      </c>
      <c r="I118" s="57"/>
    </row>
    <row r="119" spans="2:9" ht="20.100000000000001" customHeight="1" x14ac:dyDescent="0.3">
      <c r="B119" s="344">
        <v>111</v>
      </c>
      <c r="C119" s="342" t="str">
        <f t="shared" si="8"/>
        <v/>
      </c>
      <c r="D119" s="341" t="str">
        <f t="shared" si="6"/>
        <v/>
      </c>
      <c r="E119" s="328" t="str">
        <f t="shared" si="9"/>
        <v/>
      </c>
      <c r="F119" s="339" t="str">
        <f t="shared" si="7"/>
        <v/>
      </c>
      <c r="G119" s="328" t="str">
        <f t="shared" si="10"/>
        <v/>
      </c>
      <c r="H119" s="340" t="str">
        <f t="shared" si="11"/>
        <v/>
      </c>
      <c r="I119" s="57"/>
    </row>
    <row r="120" spans="2:9" ht="20.100000000000001" customHeight="1" x14ac:dyDescent="0.3">
      <c r="B120" s="344">
        <v>112</v>
      </c>
      <c r="C120" s="342" t="str">
        <f t="shared" si="8"/>
        <v/>
      </c>
      <c r="D120" s="341" t="str">
        <f t="shared" si="6"/>
        <v/>
      </c>
      <c r="E120" s="328" t="str">
        <f t="shared" si="9"/>
        <v/>
      </c>
      <c r="F120" s="339" t="str">
        <f t="shared" si="7"/>
        <v/>
      </c>
      <c r="G120" s="328" t="str">
        <f t="shared" si="10"/>
        <v/>
      </c>
      <c r="H120" s="340" t="str">
        <f t="shared" si="11"/>
        <v/>
      </c>
      <c r="I120" s="57"/>
    </row>
    <row r="121" spans="2:9" ht="20.100000000000001" customHeight="1" x14ac:dyDescent="0.3">
      <c r="B121" s="344">
        <v>113</v>
      </c>
      <c r="C121" s="342" t="str">
        <f t="shared" si="8"/>
        <v/>
      </c>
      <c r="D121" s="341" t="str">
        <f t="shared" si="6"/>
        <v/>
      </c>
      <c r="E121" s="328" t="str">
        <f t="shared" si="9"/>
        <v/>
      </c>
      <c r="F121" s="339" t="str">
        <f t="shared" si="7"/>
        <v/>
      </c>
      <c r="G121" s="328" t="str">
        <f t="shared" si="10"/>
        <v/>
      </c>
      <c r="H121" s="340" t="str">
        <f t="shared" si="11"/>
        <v/>
      </c>
      <c r="I121" s="57"/>
    </row>
    <row r="122" spans="2:9" ht="20.100000000000001" customHeight="1" x14ac:dyDescent="0.3">
      <c r="B122" s="344">
        <v>114</v>
      </c>
      <c r="C122" s="342" t="str">
        <f t="shared" si="8"/>
        <v/>
      </c>
      <c r="D122" s="341" t="str">
        <f t="shared" si="6"/>
        <v/>
      </c>
      <c r="E122" s="328" t="str">
        <f t="shared" si="9"/>
        <v/>
      </c>
      <c r="F122" s="339" t="str">
        <f t="shared" si="7"/>
        <v/>
      </c>
      <c r="G122" s="328" t="str">
        <f t="shared" si="10"/>
        <v/>
      </c>
      <c r="H122" s="340" t="str">
        <f t="shared" si="11"/>
        <v/>
      </c>
      <c r="I122" s="57"/>
    </row>
    <row r="123" spans="2:9" ht="20.100000000000001" customHeight="1" x14ac:dyDescent="0.3">
      <c r="B123" s="344">
        <v>115</v>
      </c>
      <c r="C123" s="342" t="str">
        <f t="shared" si="8"/>
        <v/>
      </c>
      <c r="D123" s="341" t="str">
        <f t="shared" si="6"/>
        <v/>
      </c>
      <c r="E123" s="328" t="str">
        <f t="shared" si="9"/>
        <v/>
      </c>
      <c r="F123" s="339" t="str">
        <f t="shared" si="7"/>
        <v/>
      </c>
      <c r="G123" s="328" t="str">
        <f t="shared" si="10"/>
        <v/>
      </c>
      <c r="H123" s="340" t="str">
        <f t="shared" si="11"/>
        <v/>
      </c>
      <c r="I123" s="57"/>
    </row>
    <row r="124" spans="2:9" ht="20.100000000000001" customHeight="1" x14ac:dyDescent="0.3">
      <c r="B124" s="344">
        <v>116</v>
      </c>
      <c r="C124" s="342" t="str">
        <f t="shared" si="8"/>
        <v/>
      </c>
      <c r="D124" s="341" t="str">
        <f t="shared" si="6"/>
        <v/>
      </c>
      <c r="E124" s="328" t="str">
        <f t="shared" si="9"/>
        <v/>
      </c>
      <c r="F124" s="339" t="str">
        <f t="shared" si="7"/>
        <v/>
      </c>
      <c r="G124" s="328" t="str">
        <f t="shared" si="10"/>
        <v/>
      </c>
      <c r="H124" s="340" t="str">
        <f t="shared" si="11"/>
        <v/>
      </c>
      <c r="I124" s="57"/>
    </row>
    <row r="125" spans="2:9" ht="20.100000000000001" customHeight="1" x14ac:dyDescent="0.3">
      <c r="B125" s="344">
        <v>117</v>
      </c>
      <c r="C125" s="342" t="str">
        <f t="shared" si="8"/>
        <v/>
      </c>
      <c r="D125" s="341" t="str">
        <f t="shared" si="6"/>
        <v/>
      </c>
      <c r="E125" s="328" t="str">
        <f t="shared" si="9"/>
        <v/>
      </c>
      <c r="F125" s="339" t="str">
        <f t="shared" si="7"/>
        <v/>
      </c>
      <c r="G125" s="328" t="str">
        <f t="shared" si="10"/>
        <v/>
      </c>
      <c r="H125" s="340" t="str">
        <f t="shared" si="11"/>
        <v/>
      </c>
      <c r="I125" s="57"/>
    </row>
    <row r="126" spans="2:9" ht="20.100000000000001" customHeight="1" x14ac:dyDescent="0.3">
      <c r="B126" s="344">
        <v>118</v>
      </c>
      <c r="C126" s="342" t="str">
        <f t="shared" si="8"/>
        <v/>
      </c>
      <c r="D126" s="341" t="str">
        <f t="shared" si="6"/>
        <v/>
      </c>
      <c r="E126" s="328" t="str">
        <f t="shared" si="9"/>
        <v/>
      </c>
      <c r="F126" s="339" t="str">
        <f t="shared" si="7"/>
        <v/>
      </c>
      <c r="G126" s="328" t="str">
        <f t="shared" si="10"/>
        <v/>
      </c>
      <c r="H126" s="340" t="str">
        <f t="shared" si="11"/>
        <v/>
      </c>
      <c r="I126" s="57"/>
    </row>
    <row r="127" spans="2:9" ht="20.100000000000001" customHeight="1" x14ac:dyDescent="0.3">
      <c r="B127" s="344">
        <v>119</v>
      </c>
      <c r="C127" s="342" t="str">
        <f t="shared" si="8"/>
        <v/>
      </c>
      <c r="D127" s="341" t="str">
        <f t="shared" si="6"/>
        <v/>
      </c>
      <c r="E127" s="328" t="str">
        <f t="shared" si="9"/>
        <v/>
      </c>
      <c r="F127" s="339" t="str">
        <f t="shared" si="7"/>
        <v/>
      </c>
      <c r="G127" s="328" t="str">
        <f t="shared" si="10"/>
        <v/>
      </c>
      <c r="H127" s="340" t="str">
        <f t="shared" si="11"/>
        <v/>
      </c>
      <c r="I127" s="57"/>
    </row>
    <row r="128" spans="2:9" ht="20.100000000000001" customHeight="1" x14ac:dyDescent="0.3">
      <c r="B128" s="344">
        <v>120</v>
      </c>
      <c r="C128" s="342" t="str">
        <f t="shared" si="8"/>
        <v/>
      </c>
      <c r="D128" s="341" t="str">
        <f t="shared" si="6"/>
        <v/>
      </c>
      <c r="E128" s="328" t="str">
        <f t="shared" si="9"/>
        <v/>
      </c>
      <c r="F128" s="339" t="str">
        <f t="shared" si="7"/>
        <v/>
      </c>
      <c r="G128" s="328" t="str">
        <f t="shared" si="10"/>
        <v/>
      </c>
      <c r="H128" s="340" t="str">
        <f t="shared" si="11"/>
        <v/>
      </c>
      <c r="I128" s="57"/>
    </row>
    <row r="129" spans="2:9" ht="20.100000000000001" customHeight="1" x14ac:dyDescent="0.3">
      <c r="B129" s="344">
        <v>121</v>
      </c>
      <c r="C129" s="342" t="str">
        <f t="shared" si="8"/>
        <v/>
      </c>
      <c r="D129" s="341" t="str">
        <f t="shared" si="6"/>
        <v/>
      </c>
      <c r="E129" s="328" t="str">
        <f t="shared" si="9"/>
        <v/>
      </c>
      <c r="F129" s="339" t="str">
        <f t="shared" si="7"/>
        <v/>
      </c>
      <c r="G129" s="328" t="str">
        <f t="shared" si="10"/>
        <v/>
      </c>
      <c r="H129" s="340" t="str">
        <f t="shared" si="11"/>
        <v/>
      </c>
      <c r="I129" s="57"/>
    </row>
    <row r="130" spans="2:9" ht="20.100000000000001" customHeight="1" x14ac:dyDescent="0.3">
      <c r="B130" s="344">
        <v>122</v>
      </c>
      <c r="C130" s="342" t="str">
        <f t="shared" si="8"/>
        <v/>
      </c>
      <c r="D130" s="341" t="str">
        <f t="shared" si="6"/>
        <v/>
      </c>
      <c r="E130" s="328" t="str">
        <f t="shared" si="9"/>
        <v/>
      </c>
      <c r="F130" s="339" t="str">
        <f t="shared" si="7"/>
        <v/>
      </c>
      <c r="G130" s="328" t="str">
        <f t="shared" si="10"/>
        <v/>
      </c>
      <c r="H130" s="340" t="str">
        <f t="shared" si="11"/>
        <v/>
      </c>
      <c r="I130" s="57"/>
    </row>
    <row r="131" spans="2:9" ht="20.100000000000001" customHeight="1" x14ac:dyDescent="0.3">
      <c r="B131" s="344">
        <v>123</v>
      </c>
      <c r="C131" s="342" t="str">
        <f t="shared" si="8"/>
        <v/>
      </c>
      <c r="D131" s="341" t="str">
        <f t="shared" si="6"/>
        <v/>
      </c>
      <c r="E131" s="328" t="str">
        <f t="shared" si="9"/>
        <v/>
      </c>
      <c r="F131" s="339" t="str">
        <f t="shared" si="7"/>
        <v/>
      </c>
      <c r="G131" s="328" t="str">
        <f t="shared" si="10"/>
        <v/>
      </c>
      <c r="H131" s="340" t="str">
        <f t="shared" si="11"/>
        <v/>
      </c>
      <c r="I131" s="57"/>
    </row>
    <row r="132" spans="2:9" ht="20.100000000000001" customHeight="1" x14ac:dyDescent="0.3">
      <c r="B132" s="344">
        <v>124</v>
      </c>
      <c r="C132" s="342" t="str">
        <f t="shared" si="8"/>
        <v/>
      </c>
      <c r="D132" s="341" t="str">
        <f t="shared" si="6"/>
        <v/>
      </c>
      <c r="E132" s="328" t="str">
        <f t="shared" si="9"/>
        <v/>
      </c>
      <c r="F132" s="339" t="str">
        <f t="shared" si="7"/>
        <v/>
      </c>
      <c r="G132" s="328" t="str">
        <f t="shared" si="10"/>
        <v/>
      </c>
      <c r="H132" s="340" t="str">
        <f t="shared" si="11"/>
        <v/>
      </c>
      <c r="I132" s="57"/>
    </row>
    <row r="133" spans="2:9" ht="20.100000000000001" customHeight="1" x14ac:dyDescent="0.3">
      <c r="B133" s="344">
        <v>125</v>
      </c>
      <c r="C133" s="342" t="str">
        <f t="shared" si="8"/>
        <v/>
      </c>
      <c r="D133" s="341" t="str">
        <f t="shared" si="6"/>
        <v/>
      </c>
      <c r="E133" s="328" t="str">
        <f t="shared" si="9"/>
        <v/>
      </c>
      <c r="F133" s="339" t="str">
        <f t="shared" si="7"/>
        <v/>
      </c>
      <c r="G133" s="328" t="str">
        <f t="shared" si="10"/>
        <v/>
      </c>
      <c r="H133" s="340" t="str">
        <f t="shared" si="11"/>
        <v/>
      </c>
      <c r="I133" s="57"/>
    </row>
    <row r="134" spans="2:9" ht="20.100000000000001" customHeight="1" x14ac:dyDescent="0.3">
      <c r="B134" s="344">
        <v>126</v>
      </c>
      <c r="C134" s="342" t="str">
        <f t="shared" si="8"/>
        <v/>
      </c>
      <c r="D134" s="341" t="str">
        <f t="shared" si="6"/>
        <v/>
      </c>
      <c r="E134" s="328" t="str">
        <f t="shared" si="9"/>
        <v/>
      </c>
      <c r="F134" s="339" t="str">
        <f t="shared" si="7"/>
        <v/>
      </c>
      <c r="G134" s="328" t="str">
        <f t="shared" si="10"/>
        <v/>
      </c>
      <c r="H134" s="340" t="str">
        <f t="shared" si="11"/>
        <v/>
      </c>
      <c r="I134" s="57"/>
    </row>
    <row r="135" spans="2:9" ht="20.100000000000001" customHeight="1" x14ac:dyDescent="0.3">
      <c r="B135" s="344">
        <v>127</v>
      </c>
      <c r="C135" s="342" t="str">
        <f t="shared" si="8"/>
        <v/>
      </c>
      <c r="D135" s="341" t="str">
        <f t="shared" si="6"/>
        <v/>
      </c>
      <c r="E135" s="328" t="str">
        <f t="shared" si="9"/>
        <v/>
      </c>
      <c r="F135" s="339" t="str">
        <f t="shared" si="7"/>
        <v/>
      </c>
      <c r="G135" s="328" t="str">
        <f t="shared" si="10"/>
        <v/>
      </c>
      <c r="H135" s="340" t="str">
        <f t="shared" si="11"/>
        <v/>
      </c>
      <c r="I135" s="57"/>
    </row>
    <row r="136" spans="2:9" ht="20.100000000000001" customHeight="1" x14ac:dyDescent="0.3">
      <c r="B136" s="344">
        <v>128</v>
      </c>
      <c r="C136" s="342" t="str">
        <f t="shared" si="8"/>
        <v/>
      </c>
      <c r="D136" s="341" t="str">
        <f t="shared" si="6"/>
        <v/>
      </c>
      <c r="E136" s="328" t="str">
        <f t="shared" si="9"/>
        <v/>
      </c>
      <c r="F136" s="339" t="str">
        <f t="shared" si="7"/>
        <v/>
      </c>
      <c r="G136" s="328" t="str">
        <f t="shared" si="10"/>
        <v/>
      </c>
      <c r="H136" s="340" t="str">
        <f t="shared" si="11"/>
        <v/>
      </c>
      <c r="I136" s="57"/>
    </row>
    <row r="137" spans="2:9" ht="20.100000000000001" customHeight="1" x14ac:dyDescent="0.3">
      <c r="B137" s="344">
        <v>129</v>
      </c>
      <c r="C137" s="342" t="str">
        <f t="shared" si="8"/>
        <v/>
      </c>
      <c r="D137" s="341" t="str">
        <f t="shared" si="6"/>
        <v/>
      </c>
      <c r="E137" s="328" t="str">
        <f t="shared" si="9"/>
        <v/>
      </c>
      <c r="F137" s="339" t="str">
        <f t="shared" si="7"/>
        <v/>
      </c>
      <c r="G137" s="328" t="str">
        <f t="shared" si="10"/>
        <v/>
      </c>
      <c r="H137" s="340" t="str">
        <f t="shared" si="11"/>
        <v/>
      </c>
      <c r="I137" s="57"/>
    </row>
    <row r="138" spans="2:9" ht="20.100000000000001" customHeight="1" x14ac:dyDescent="0.3">
      <c r="B138" s="344">
        <v>130</v>
      </c>
      <c r="C138" s="342" t="str">
        <f t="shared" si="8"/>
        <v/>
      </c>
      <c r="D138" s="341" t="str">
        <f t="shared" ref="D138:D201" si="12">IF($H$4="","",IF($F$4="원리금균등상환",IFERROR(IF(B138&lt;=$D$6,0,-PPMT($E$4/12,B138-$D$6,($B$6-$D$6),$D$4)),""),IF($F$4="원금균등상환",IF(B138&lt;($D$6+1),0,IF(B138&gt;$B$6,0,$D$4/($B$6-$D$6))),"")))</f>
        <v/>
      </c>
      <c r="E138" s="328" t="str">
        <f t="shared" si="9"/>
        <v/>
      </c>
      <c r="F138" s="339" t="str">
        <f t="shared" ref="F138:F201" si="13">IF($H$4="","",IF($F$4="원리금균등상환",IFERROR(D138+E138,""),IF($F$4="원금균등상환",D138+E138,"")))</f>
        <v/>
      </c>
      <c r="G138" s="328" t="str">
        <f t="shared" si="10"/>
        <v/>
      </c>
      <c r="H138" s="340" t="str">
        <f t="shared" si="11"/>
        <v/>
      </c>
      <c r="I138" s="57"/>
    </row>
    <row r="139" spans="2:9" ht="20.100000000000001" customHeight="1" x14ac:dyDescent="0.3">
      <c r="B139" s="344">
        <v>131</v>
      </c>
      <c r="C139" s="342" t="str">
        <f t="shared" ref="C139:C202" si="14">IF($H$4="","",IF(B139&gt;($B$6),"",IF(B139&lt;=($B$6),DATE(YEAR($G$4),MONTH($G$4)+B138,DAY($G$4)),"")))</f>
        <v/>
      </c>
      <c r="D139" s="341" t="str">
        <f t="shared" si="12"/>
        <v/>
      </c>
      <c r="E139" s="328" t="str">
        <f t="shared" ref="E139:E202" si="15">IF($H$4="","",IF($F$4="원리금균등상환",IFERROR(IF(B139&lt;=$D$6,$H138*($E$4/12),-IPMT($E$4/12,B139-$D$6,($B$6-$D$6),$D$4)),""),IF($F$4="원금균등상환",(H138-D139)*$E$4/12,"")))</f>
        <v/>
      </c>
      <c r="F139" s="339" t="str">
        <f t="shared" si="13"/>
        <v/>
      </c>
      <c r="G139" s="328" t="str">
        <f t="shared" ref="G139:G202" si="16">IFERROR(IF(B139&gt;(($D$6+$B$6)*12),"",IF(B139=1,D139,D139+G138)),"")</f>
        <v/>
      </c>
      <c r="H139" s="340" t="str">
        <f t="shared" ref="H139:H202" si="17">IFERROR(IF($H$4="","",H138-D139),"")</f>
        <v/>
      </c>
      <c r="I139" s="57"/>
    </row>
    <row r="140" spans="2:9" ht="20.100000000000001" customHeight="1" x14ac:dyDescent="0.3">
      <c r="B140" s="344">
        <v>132</v>
      </c>
      <c r="C140" s="342" t="str">
        <f t="shared" si="14"/>
        <v/>
      </c>
      <c r="D140" s="341" t="str">
        <f t="shared" si="12"/>
        <v/>
      </c>
      <c r="E140" s="328" t="str">
        <f t="shared" si="15"/>
        <v/>
      </c>
      <c r="F140" s="339" t="str">
        <f t="shared" si="13"/>
        <v/>
      </c>
      <c r="G140" s="328" t="str">
        <f t="shared" si="16"/>
        <v/>
      </c>
      <c r="H140" s="340" t="str">
        <f t="shared" si="17"/>
        <v/>
      </c>
      <c r="I140" s="57"/>
    </row>
    <row r="141" spans="2:9" ht="20.100000000000001" customHeight="1" x14ac:dyDescent="0.3">
      <c r="B141" s="344">
        <v>133</v>
      </c>
      <c r="C141" s="342" t="str">
        <f t="shared" si="14"/>
        <v/>
      </c>
      <c r="D141" s="341" t="str">
        <f t="shared" si="12"/>
        <v/>
      </c>
      <c r="E141" s="328" t="str">
        <f t="shared" si="15"/>
        <v/>
      </c>
      <c r="F141" s="339" t="str">
        <f t="shared" si="13"/>
        <v/>
      </c>
      <c r="G141" s="328" t="str">
        <f t="shared" si="16"/>
        <v/>
      </c>
      <c r="H141" s="340" t="str">
        <f t="shared" si="17"/>
        <v/>
      </c>
      <c r="I141" s="57"/>
    </row>
    <row r="142" spans="2:9" ht="20.100000000000001" customHeight="1" x14ac:dyDescent="0.3">
      <c r="B142" s="344">
        <v>134</v>
      </c>
      <c r="C142" s="342" t="str">
        <f t="shared" si="14"/>
        <v/>
      </c>
      <c r="D142" s="341" t="str">
        <f t="shared" si="12"/>
        <v/>
      </c>
      <c r="E142" s="328" t="str">
        <f t="shared" si="15"/>
        <v/>
      </c>
      <c r="F142" s="339" t="str">
        <f t="shared" si="13"/>
        <v/>
      </c>
      <c r="G142" s="328" t="str">
        <f t="shared" si="16"/>
        <v/>
      </c>
      <c r="H142" s="340" t="str">
        <f t="shared" si="17"/>
        <v/>
      </c>
      <c r="I142" s="57"/>
    </row>
    <row r="143" spans="2:9" ht="20.100000000000001" customHeight="1" x14ac:dyDescent="0.3">
      <c r="B143" s="344">
        <v>135</v>
      </c>
      <c r="C143" s="342" t="str">
        <f t="shared" si="14"/>
        <v/>
      </c>
      <c r="D143" s="341" t="str">
        <f t="shared" si="12"/>
        <v/>
      </c>
      <c r="E143" s="328" t="str">
        <f t="shared" si="15"/>
        <v/>
      </c>
      <c r="F143" s="339" t="str">
        <f t="shared" si="13"/>
        <v/>
      </c>
      <c r="G143" s="328" t="str">
        <f t="shared" si="16"/>
        <v/>
      </c>
      <c r="H143" s="340" t="str">
        <f t="shared" si="17"/>
        <v/>
      </c>
      <c r="I143" s="57"/>
    </row>
    <row r="144" spans="2:9" ht="20.100000000000001" customHeight="1" x14ac:dyDescent="0.3">
      <c r="B144" s="344">
        <v>136</v>
      </c>
      <c r="C144" s="342" t="str">
        <f t="shared" si="14"/>
        <v/>
      </c>
      <c r="D144" s="341" t="str">
        <f t="shared" si="12"/>
        <v/>
      </c>
      <c r="E144" s="328" t="str">
        <f t="shared" si="15"/>
        <v/>
      </c>
      <c r="F144" s="339" t="str">
        <f t="shared" si="13"/>
        <v/>
      </c>
      <c r="G144" s="328" t="str">
        <f t="shared" si="16"/>
        <v/>
      </c>
      <c r="H144" s="340" t="str">
        <f t="shared" si="17"/>
        <v/>
      </c>
      <c r="I144" s="57"/>
    </row>
    <row r="145" spans="2:9" ht="20.100000000000001" customHeight="1" x14ac:dyDescent="0.3">
      <c r="B145" s="344">
        <v>137</v>
      </c>
      <c r="C145" s="342" t="str">
        <f t="shared" si="14"/>
        <v/>
      </c>
      <c r="D145" s="341" t="str">
        <f t="shared" si="12"/>
        <v/>
      </c>
      <c r="E145" s="328" t="str">
        <f t="shared" si="15"/>
        <v/>
      </c>
      <c r="F145" s="339" t="str">
        <f t="shared" si="13"/>
        <v/>
      </c>
      <c r="G145" s="328" t="str">
        <f t="shared" si="16"/>
        <v/>
      </c>
      <c r="H145" s="340" t="str">
        <f t="shared" si="17"/>
        <v/>
      </c>
      <c r="I145" s="57"/>
    </row>
    <row r="146" spans="2:9" ht="20.100000000000001" customHeight="1" x14ac:dyDescent="0.3">
      <c r="B146" s="344">
        <v>138</v>
      </c>
      <c r="C146" s="342" t="str">
        <f t="shared" si="14"/>
        <v/>
      </c>
      <c r="D146" s="341" t="str">
        <f t="shared" si="12"/>
        <v/>
      </c>
      <c r="E146" s="328" t="str">
        <f t="shared" si="15"/>
        <v/>
      </c>
      <c r="F146" s="339" t="str">
        <f t="shared" si="13"/>
        <v/>
      </c>
      <c r="G146" s="328" t="str">
        <f t="shared" si="16"/>
        <v/>
      </c>
      <c r="H146" s="340" t="str">
        <f t="shared" si="17"/>
        <v/>
      </c>
      <c r="I146" s="57"/>
    </row>
    <row r="147" spans="2:9" ht="20.100000000000001" customHeight="1" x14ac:dyDescent="0.3">
      <c r="B147" s="344">
        <v>139</v>
      </c>
      <c r="C147" s="342" t="str">
        <f t="shared" si="14"/>
        <v/>
      </c>
      <c r="D147" s="341" t="str">
        <f t="shared" si="12"/>
        <v/>
      </c>
      <c r="E147" s="328" t="str">
        <f t="shared" si="15"/>
        <v/>
      </c>
      <c r="F147" s="339" t="str">
        <f t="shared" si="13"/>
        <v/>
      </c>
      <c r="G147" s="328" t="str">
        <f t="shared" si="16"/>
        <v/>
      </c>
      <c r="H147" s="340" t="str">
        <f t="shared" si="17"/>
        <v/>
      </c>
      <c r="I147" s="57"/>
    </row>
    <row r="148" spans="2:9" ht="20.100000000000001" customHeight="1" x14ac:dyDescent="0.3">
      <c r="B148" s="344">
        <v>140</v>
      </c>
      <c r="C148" s="342" t="str">
        <f t="shared" si="14"/>
        <v/>
      </c>
      <c r="D148" s="341" t="str">
        <f t="shared" si="12"/>
        <v/>
      </c>
      <c r="E148" s="328" t="str">
        <f t="shared" si="15"/>
        <v/>
      </c>
      <c r="F148" s="339" t="str">
        <f t="shared" si="13"/>
        <v/>
      </c>
      <c r="G148" s="328" t="str">
        <f t="shared" si="16"/>
        <v/>
      </c>
      <c r="H148" s="340" t="str">
        <f t="shared" si="17"/>
        <v/>
      </c>
      <c r="I148" s="57"/>
    </row>
    <row r="149" spans="2:9" ht="20.100000000000001" customHeight="1" x14ac:dyDescent="0.3">
      <c r="B149" s="344">
        <v>141</v>
      </c>
      <c r="C149" s="342" t="str">
        <f t="shared" si="14"/>
        <v/>
      </c>
      <c r="D149" s="341" t="str">
        <f t="shared" si="12"/>
        <v/>
      </c>
      <c r="E149" s="328" t="str">
        <f t="shared" si="15"/>
        <v/>
      </c>
      <c r="F149" s="339" t="str">
        <f t="shared" si="13"/>
        <v/>
      </c>
      <c r="G149" s="328" t="str">
        <f t="shared" si="16"/>
        <v/>
      </c>
      <c r="H149" s="340" t="str">
        <f t="shared" si="17"/>
        <v/>
      </c>
      <c r="I149" s="57"/>
    </row>
    <row r="150" spans="2:9" ht="20.100000000000001" customHeight="1" x14ac:dyDescent="0.3">
      <c r="B150" s="344">
        <v>142</v>
      </c>
      <c r="C150" s="342" t="str">
        <f t="shared" si="14"/>
        <v/>
      </c>
      <c r="D150" s="341" t="str">
        <f t="shared" si="12"/>
        <v/>
      </c>
      <c r="E150" s="328" t="str">
        <f t="shared" si="15"/>
        <v/>
      </c>
      <c r="F150" s="339" t="str">
        <f t="shared" si="13"/>
        <v/>
      </c>
      <c r="G150" s="328" t="str">
        <f t="shared" si="16"/>
        <v/>
      </c>
      <c r="H150" s="340" t="str">
        <f t="shared" si="17"/>
        <v/>
      </c>
      <c r="I150" s="57"/>
    </row>
    <row r="151" spans="2:9" ht="20.100000000000001" customHeight="1" x14ac:dyDescent="0.3">
      <c r="B151" s="344">
        <v>143</v>
      </c>
      <c r="C151" s="342" t="str">
        <f t="shared" si="14"/>
        <v/>
      </c>
      <c r="D151" s="341" t="str">
        <f t="shared" si="12"/>
        <v/>
      </c>
      <c r="E151" s="328" t="str">
        <f t="shared" si="15"/>
        <v/>
      </c>
      <c r="F151" s="339" t="str">
        <f t="shared" si="13"/>
        <v/>
      </c>
      <c r="G151" s="328" t="str">
        <f t="shared" si="16"/>
        <v/>
      </c>
      <c r="H151" s="340" t="str">
        <f t="shared" si="17"/>
        <v/>
      </c>
      <c r="I151" s="57"/>
    </row>
    <row r="152" spans="2:9" ht="20.100000000000001" customHeight="1" x14ac:dyDescent="0.3">
      <c r="B152" s="344">
        <v>144</v>
      </c>
      <c r="C152" s="342" t="str">
        <f t="shared" si="14"/>
        <v/>
      </c>
      <c r="D152" s="341" t="str">
        <f t="shared" si="12"/>
        <v/>
      </c>
      <c r="E152" s="328" t="str">
        <f t="shared" si="15"/>
        <v/>
      </c>
      <c r="F152" s="339" t="str">
        <f t="shared" si="13"/>
        <v/>
      </c>
      <c r="G152" s="328" t="str">
        <f t="shared" si="16"/>
        <v/>
      </c>
      <c r="H152" s="340" t="str">
        <f t="shared" si="17"/>
        <v/>
      </c>
      <c r="I152" s="57"/>
    </row>
    <row r="153" spans="2:9" ht="20.100000000000001" customHeight="1" x14ac:dyDescent="0.3">
      <c r="B153" s="344">
        <v>145</v>
      </c>
      <c r="C153" s="342" t="str">
        <f t="shared" si="14"/>
        <v/>
      </c>
      <c r="D153" s="341" t="str">
        <f t="shared" si="12"/>
        <v/>
      </c>
      <c r="E153" s="328" t="str">
        <f t="shared" si="15"/>
        <v/>
      </c>
      <c r="F153" s="339" t="str">
        <f t="shared" si="13"/>
        <v/>
      </c>
      <c r="G153" s="328" t="str">
        <f t="shared" si="16"/>
        <v/>
      </c>
      <c r="H153" s="340" t="str">
        <f t="shared" si="17"/>
        <v/>
      </c>
      <c r="I153" s="57"/>
    </row>
    <row r="154" spans="2:9" ht="20.100000000000001" customHeight="1" x14ac:dyDescent="0.3">
      <c r="B154" s="344">
        <v>146</v>
      </c>
      <c r="C154" s="342" t="str">
        <f t="shared" si="14"/>
        <v/>
      </c>
      <c r="D154" s="341" t="str">
        <f t="shared" si="12"/>
        <v/>
      </c>
      <c r="E154" s="328" t="str">
        <f t="shared" si="15"/>
        <v/>
      </c>
      <c r="F154" s="339" t="str">
        <f t="shared" si="13"/>
        <v/>
      </c>
      <c r="G154" s="328" t="str">
        <f t="shared" si="16"/>
        <v/>
      </c>
      <c r="H154" s="340" t="str">
        <f t="shared" si="17"/>
        <v/>
      </c>
      <c r="I154" s="57"/>
    </row>
    <row r="155" spans="2:9" ht="20.100000000000001" customHeight="1" x14ac:dyDescent="0.3">
      <c r="B155" s="344">
        <v>147</v>
      </c>
      <c r="C155" s="342" t="str">
        <f t="shared" si="14"/>
        <v/>
      </c>
      <c r="D155" s="341" t="str">
        <f t="shared" si="12"/>
        <v/>
      </c>
      <c r="E155" s="328" t="str">
        <f t="shared" si="15"/>
        <v/>
      </c>
      <c r="F155" s="339" t="str">
        <f t="shared" si="13"/>
        <v/>
      </c>
      <c r="G155" s="328" t="str">
        <f t="shared" si="16"/>
        <v/>
      </c>
      <c r="H155" s="340" t="str">
        <f t="shared" si="17"/>
        <v/>
      </c>
      <c r="I155" s="57"/>
    </row>
    <row r="156" spans="2:9" ht="20.100000000000001" customHeight="1" x14ac:dyDescent="0.3">
      <c r="B156" s="344">
        <v>148</v>
      </c>
      <c r="C156" s="342" t="str">
        <f t="shared" si="14"/>
        <v/>
      </c>
      <c r="D156" s="341" t="str">
        <f t="shared" si="12"/>
        <v/>
      </c>
      <c r="E156" s="328" t="str">
        <f t="shared" si="15"/>
        <v/>
      </c>
      <c r="F156" s="339" t="str">
        <f t="shared" si="13"/>
        <v/>
      </c>
      <c r="G156" s="328" t="str">
        <f t="shared" si="16"/>
        <v/>
      </c>
      <c r="H156" s="340" t="str">
        <f t="shared" si="17"/>
        <v/>
      </c>
      <c r="I156" s="57"/>
    </row>
    <row r="157" spans="2:9" ht="20.100000000000001" customHeight="1" x14ac:dyDescent="0.3">
      <c r="B157" s="344">
        <v>149</v>
      </c>
      <c r="C157" s="342" t="str">
        <f t="shared" si="14"/>
        <v/>
      </c>
      <c r="D157" s="341" t="str">
        <f t="shared" si="12"/>
        <v/>
      </c>
      <c r="E157" s="328" t="str">
        <f t="shared" si="15"/>
        <v/>
      </c>
      <c r="F157" s="339" t="str">
        <f t="shared" si="13"/>
        <v/>
      </c>
      <c r="G157" s="328" t="str">
        <f t="shared" si="16"/>
        <v/>
      </c>
      <c r="H157" s="340" t="str">
        <f t="shared" si="17"/>
        <v/>
      </c>
      <c r="I157" s="57"/>
    </row>
    <row r="158" spans="2:9" ht="20.100000000000001" customHeight="1" x14ac:dyDescent="0.3">
      <c r="B158" s="344">
        <v>150</v>
      </c>
      <c r="C158" s="342" t="str">
        <f t="shared" si="14"/>
        <v/>
      </c>
      <c r="D158" s="341" t="str">
        <f t="shared" si="12"/>
        <v/>
      </c>
      <c r="E158" s="328" t="str">
        <f t="shared" si="15"/>
        <v/>
      </c>
      <c r="F158" s="339" t="str">
        <f t="shared" si="13"/>
        <v/>
      </c>
      <c r="G158" s="328" t="str">
        <f t="shared" si="16"/>
        <v/>
      </c>
      <c r="H158" s="340" t="str">
        <f t="shared" si="17"/>
        <v/>
      </c>
      <c r="I158" s="57"/>
    </row>
    <row r="159" spans="2:9" ht="20.100000000000001" customHeight="1" x14ac:dyDescent="0.3">
      <c r="B159" s="344">
        <v>151</v>
      </c>
      <c r="C159" s="342" t="str">
        <f t="shared" si="14"/>
        <v/>
      </c>
      <c r="D159" s="341" t="str">
        <f t="shared" si="12"/>
        <v/>
      </c>
      <c r="E159" s="328" t="str">
        <f t="shared" si="15"/>
        <v/>
      </c>
      <c r="F159" s="339" t="str">
        <f t="shared" si="13"/>
        <v/>
      </c>
      <c r="G159" s="328" t="str">
        <f t="shared" si="16"/>
        <v/>
      </c>
      <c r="H159" s="340" t="str">
        <f t="shared" si="17"/>
        <v/>
      </c>
      <c r="I159" s="57"/>
    </row>
    <row r="160" spans="2:9" ht="20.100000000000001" customHeight="1" x14ac:dyDescent="0.3">
      <c r="B160" s="344">
        <v>152</v>
      </c>
      <c r="C160" s="342" t="str">
        <f t="shared" si="14"/>
        <v/>
      </c>
      <c r="D160" s="341" t="str">
        <f t="shared" si="12"/>
        <v/>
      </c>
      <c r="E160" s="328" t="str">
        <f t="shared" si="15"/>
        <v/>
      </c>
      <c r="F160" s="339" t="str">
        <f t="shared" si="13"/>
        <v/>
      </c>
      <c r="G160" s="328" t="str">
        <f t="shared" si="16"/>
        <v/>
      </c>
      <c r="H160" s="340" t="str">
        <f t="shared" si="17"/>
        <v/>
      </c>
      <c r="I160" s="57"/>
    </row>
    <row r="161" spans="2:9" ht="20.100000000000001" customHeight="1" x14ac:dyDescent="0.3">
      <c r="B161" s="344">
        <v>153</v>
      </c>
      <c r="C161" s="342" t="str">
        <f t="shared" si="14"/>
        <v/>
      </c>
      <c r="D161" s="341" t="str">
        <f t="shared" si="12"/>
        <v/>
      </c>
      <c r="E161" s="328" t="str">
        <f t="shared" si="15"/>
        <v/>
      </c>
      <c r="F161" s="339" t="str">
        <f t="shared" si="13"/>
        <v/>
      </c>
      <c r="G161" s="328" t="str">
        <f t="shared" si="16"/>
        <v/>
      </c>
      <c r="H161" s="340" t="str">
        <f t="shared" si="17"/>
        <v/>
      </c>
      <c r="I161" s="57"/>
    </row>
    <row r="162" spans="2:9" ht="20.100000000000001" customHeight="1" x14ac:dyDescent="0.3">
      <c r="B162" s="344">
        <v>154</v>
      </c>
      <c r="C162" s="342" t="str">
        <f t="shared" si="14"/>
        <v/>
      </c>
      <c r="D162" s="341" t="str">
        <f t="shared" si="12"/>
        <v/>
      </c>
      <c r="E162" s="328" t="str">
        <f t="shared" si="15"/>
        <v/>
      </c>
      <c r="F162" s="339" t="str">
        <f t="shared" si="13"/>
        <v/>
      </c>
      <c r="G162" s="328" t="str">
        <f t="shared" si="16"/>
        <v/>
      </c>
      <c r="H162" s="340" t="str">
        <f t="shared" si="17"/>
        <v/>
      </c>
      <c r="I162" s="57"/>
    </row>
    <row r="163" spans="2:9" ht="20.100000000000001" customHeight="1" x14ac:dyDescent="0.3">
      <c r="B163" s="344">
        <v>155</v>
      </c>
      <c r="C163" s="342" t="str">
        <f t="shared" si="14"/>
        <v/>
      </c>
      <c r="D163" s="341" t="str">
        <f t="shared" si="12"/>
        <v/>
      </c>
      <c r="E163" s="328" t="str">
        <f t="shared" si="15"/>
        <v/>
      </c>
      <c r="F163" s="339" t="str">
        <f t="shared" si="13"/>
        <v/>
      </c>
      <c r="G163" s="328" t="str">
        <f t="shared" si="16"/>
        <v/>
      </c>
      <c r="H163" s="340" t="str">
        <f t="shared" si="17"/>
        <v/>
      </c>
      <c r="I163" s="57"/>
    </row>
    <row r="164" spans="2:9" ht="20.100000000000001" customHeight="1" x14ac:dyDescent="0.3">
      <c r="B164" s="344">
        <v>156</v>
      </c>
      <c r="C164" s="342" t="str">
        <f t="shared" si="14"/>
        <v/>
      </c>
      <c r="D164" s="341" t="str">
        <f t="shared" si="12"/>
        <v/>
      </c>
      <c r="E164" s="328" t="str">
        <f t="shared" si="15"/>
        <v/>
      </c>
      <c r="F164" s="339" t="str">
        <f t="shared" si="13"/>
        <v/>
      </c>
      <c r="G164" s="328" t="str">
        <f t="shared" si="16"/>
        <v/>
      </c>
      <c r="H164" s="340" t="str">
        <f t="shared" si="17"/>
        <v/>
      </c>
      <c r="I164" s="57"/>
    </row>
    <row r="165" spans="2:9" ht="20.100000000000001" customHeight="1" x14ac:dyDescent="0.3">
      <c r="B165" s="344">
        <v>157</v>
      </c>
      <c r="C165" s="342" t="str">
        <f t="shared" si="14"/>
        <v/>
      </c>
      <c r="D165" s="341" t="str">
        <f t="shared" si="12"/>
        <v/>
      </c>
      <c r="E165" s="328" t="str">
        <f t="shared" si="15"/>
        <v/>
      </c>
      <c r="F165" s="339" t="str">
        <f t="shared" si="13"/>
        <v/>
      </c>
      <c r="G165" s="328" t="str">
        <f t="shared" si="16"/>
        <v/>
      </c>
      <c r="H165" s="340" t="str">
        <f t="shared" si="17"/>
        <v/>
      </c>
      <c r="I165" s="57"/>
    </row>
    <row r="166" spans="2:9" ht="20.100000000000001" customHeight="1" x14ac:dyDescent="0.3">
      <c r="B166" s="344">
        <v>158</v>
      </c>
      <c r="C166" s="342" t="str">
        <f t="shared" si="14"/>
        <v/>
      </c>
      <c r="D166" s="341" t="str">
        <f t="shared" si="12"/>
        <v/>
      </c>
      <c r="E166" s="328" t="str">
        <f t="shared" si="15"/>
        <v/>
      </c>
      <c r="F166" s="339" t="str">
        <f t="shared" si="13"/>
        <v/>
      </c>
      <c r="G166" s="328" t="str">
        <f t="shared" si="16"/>
        <v/>
      </c>
      <c r="H166" s="340" t="str">
        <f t="shared" si="17"/>
        <v/>
      </c>
      <c r="I166" s="57"/>
    </row>
    <row r="167" spans="2:9" ht="20.100000000000001" customHeight="1" x14ac:dyDescent="0.3">
      <c r="B167" s="344">
        <v>159</v>
      </c>
      <c r="C167" s="342" t="str">
        <f t="shared" si="14"/>
        <v/>
      </c>
      <c r="D167" s="341" t="str">
        <f t="shared" si="12"/>
        <v/>
      </c>
      <c r="E167" s="328" t="str">
        <f t="shared" si="15"/>
        <v/>
      </c>
      <c r="F167" s="339" t="str">
        <f t="shared" si="13"/>
        <v/>
      </c>
      <c r="G167" s="328" t="str">
        <f t="shared" si="16"/>
        <v/>
      </c>
      <c r="H167" s="340" t="str">
        <f t="shared" si="17"/>
        <v/>
      </c>
      <c r="I167" s="57"/>
    </row>
    <row r="168" spans="2:9" ht="20.100000000000001" customHeight="1" x14ac:dyDescent="0.3">
      <c r="B168" s="344">
        <v>160</v>
      </c>
      <c r="C168" s="342" t="str">
        <f t="shared" si="14"/>
        <v/>
      </c>
      <c r="D168" s="341" t="str">
        <f t="shared" si="12"/>
        <v/>
      </c>
      <c r="E168" s="328" t="str">
        <f t="shared" si="15"/>
        <v/>
      </c>
      <c r="F168" s="339" t="str">
        <f t="shared" si="13"/>
        <v/>
      </c>
      <c r="G168" s="328" t="str">
        <f t="shared" si="16"/>
        <v/>
      </c>
      <c r="H168" s="340" t="str">
        <f t="shared" si="17"/>
        <v/>
      </c>
      <c r="I168" s="57"/>
    </row>
    <row r="169" spans="2:9" ht="20.100000000000001" customHeight="1" x14ac:dyDescent="0.3">
      <c r="B169" s="344">
        <v>161</v>
      </c>
      <c r="C169" s="342" t="str">
        <f t="shared" si="14"/>
        <v/>
      </c>
      <c r="D169" s="341" t="str">
        <f t="shared" si="12"/>
        <v/>
      </c>
      <c r="E169" s="328" t="str">
        <f t="shared" si="15"/>
        <v/>
      </c>
      <c r="F169" s="339" t="str">
        <f t="shared" si="13"/>
        <v/>
      </c>
      <c r="G169" s="328" t="str">
        <f t="shared" si="16"/>
        <v/>
      </c>
      <c r="H169" s="340" t="str">
        <f t="shared" si="17"/>
        <v/>
      </c>
      <c r="I169" s="57"/>
    </row>
    <row r="170" spans="2:9" ht="20.100000000000001" customHeight="1" x14ac:dyDescent="0.3">
      <c r="B170" s="344">
        <v>162</v>
      </c>
      <c r="C170" s="342" t="str">
        <f t="shared" si="14"/>
        <v/>
      </c>
      <c r="D170" s="341" t="str">
        <f t="shared" si="12"/>
        <v/>
      </c>
      <c r="E170" s="328" t="str">
        <f t="shared" si="15"/>
        <v/>
      </c>
      <c r="F170" s="339" t="str">
        <f t="shared" si="13"/>
        <v/>
      </c>
      <c r="G170" s="328" t="str">
        <f t="shared" si="16"/>
        <v/>
      </c>
      <c r="H170" s="340" t="str">
        <f t="shared" si="17"/>
        <v/>
      </c>
      <c r="I170" s="57"/>
    </row>
    <row r="171" spans="2:9" ht="20.100000000000001" customHeight="1" x14ac:dyDescent="0.3">
      <c r="B171" s="344">
        <v>163</v>
      </c>
      <c r="C171" s="342" t="str">
        <f t="shared" si="14"/>
        <v/>
      </c>
      <c r="D171" s="341" t="str">
        <f t="shared" si="12"/>
        <v/>
      </c>
      <c r="E171" s="328" t="str">
        <f t="shared" si="15"/>
        <v/>
      </c>
      <c r="F171" s="339" t="str">
        <f t="shared" si="13"/>
        <v/>
      </c>
      <c r="G171" s="328" t="str">
        <f t="shared" si="16"/>
        <v/>
      </c>
      <c r="H171" s="340" t="str">
        <f t="shared" si="17"/>
        <v/>
      </c>
      <c r="I171" s="57"/>
    </row>
    <row r="172" spans="2:9" ht="20.100000000000001" customHeight="1" x14ac:dyDescent="0.3">
      <c r="B172" s="344">
        <v>164</v>
      </c>
      <c r="C172" s="342" t="str">
        <f t="shared" si="14"/>
        <v/>
      </c>
      <c r="D172" s="341" t="str">
        <f t="shared" si="12"/>
        <v/>
      </c>
      <c r="E172" s="328" t="str">
        <f t="shared" si="15"/>
        <v/>
      </c>
      <c r="F172" s="339" t="str">
        <f t="shared" si="13"/>
        <v/>
      </c>
      <c r="G172" s="328" t="str">
        <f t="shared" si="16"/>
        <v/>
      </c>
      <c r="H172" s="340" t="str">
        <f t="shared" si="17"/>
        <v/>
      </c>
      <c r="I172" s="57"/>
    </row>
    <row r="173" spans="2:9" ht="20.100000000000001" customHeight="1" x14ac:dyDescent="0.3">
      <c r="B173" s="344">
        <v>165</v>
      </c>
      <c r="C173" s="342" t="str">
        <f t="shared" si="14"/>
        <v/>
      </c>
      <c r="D173" s="341" t="str">
        <f t="shared" si="12"/>
        <v/>
      </c>
      <c r="E173" s="328" t="str">
        <f t="shared" si="15"/>
        <v/>
      </c>
      <c r="F173" s="339" t="str">
        <f t="shared" si="13"/>
        <v/>
      </c>
      <c r="G173" s="328" t="str">
        <f t="shared" si="16"/>
        <v/>
      </c>
      <c r="H173" s="340" t="str">
        <f t="shared" si="17"/>
        <v/>
      </c>
      <c r="I173" s="57"/>
    </row>
    <row r="174" spans="2:9" ht="20.100000000000001" customHeight="1" x14ac:dyDescent="0.3">
      <c r="B174" s="344">
        <v>166</v>
      </c>
      <c r="C174" s="342" t="str">
        <f t="shared" si="14"/>
        <v/>
      </c>
      <c r="D174" s="341" t="str">
        <f t="shared" si="12"/>
        <v/>
      </c>
      <c r="E174" s="328" t="str">
        <f t="shared" si="15"/>
        <v/>
      </c>
      <c r="F174" s="339" t="str">
        <f t="shared" si="13"/>
        <v/>
      </c>
      <c r="G174" s="328" t="str">
        <f t="shared" si="16"/>
        <v/>
      </c>
      <c r="H174" s="340" t="str">
        <f t="shared" si="17"/>
        <v/>
      </c>
      <c r="I174" s="57"/>
    </row>
    <row r="175" spans="2:9" ht="20.100000000000001" customHeight="1" x14ac:dyDescent="0.3">
      <c r="B175" s="344">
        <v>167</v>
      </c>
      <c r="C175" s="342" t="str">
        <f t="shared" si="14"/>
        <v/>
      </c>
      <c r="D175" s="341" t="str">
        <f t="shared" si="12"/>
        <v/>
      </c>
      <c r="E175" s="328" t="str">
        <f t="shared" si="15"/>
        <v/>
      </c>
      <c r="F175" s="339" t="str">
        <f t="shared" si="13"/>
        <v/>
      </c>
      <c r="G175" s="328" t="str">
        <f t="shared" si="16"/>
        <v/>
      </c>
      <c r="H175" s="340" t="str">
        <f t="shared" si="17"/>
        <v/>
      </c>
      <c r="I175" s="57"/>
    </row>
    <row r="176" spans="2:9" ht="20.100000000000001" customHeight="1" x14ac:dyDescent="0.3">
      <c r="B176" s="344">
        <v>168</v>
      </c>
      <c r="C176" s="342" t="str">
        <f t="shared" si="14"/>
        <v/>
      </c>
      <c r="D176" s="341" t="str">
        <f t="shared" si="12"/>
        <v/>
      </c>
      <c r="E176" s="328" t="str">
        <f t="shared" si="15"/>
        <v/>
      </c>
      <c r="F176" s="339" t="str">
        <f t="shared" si="13"/>
        <v/>
      </c>
      <c r="G176" s="328" t="str">
        <f t="shared" si="16"/>
        <v/>
      </c>
      <c r="H176" s="340" t="str">
        <f t="shared" si="17"/>
        <v/>
      </c>
      <c r="I176" s="57"/>
    </row>
    <row r="177" spans="2:9" ht="20.100000000000001" customHeight="1" x14ac:dyDescent="0.3">
      <c r="B177" s="344">
        <v>169</v>
      </c>
      <c r="C177" s="342" t="str">
        <f t="shared" si="14"/>
        <v/>
      </c>
      <c r="D177" s="341" t="str">
        <f t="shared" si="12"/>
        <v/>
      </c>
      <c r="E177" s="328" t="str">
        <f t="shared" si="15"/>
        <v/>
      </c>
      <c r="F177" s="339" t="str">
        <f t="shared" si="13"/>
        <v/>
      </c>
      <c r="G177" s="328" t="str">
        <f t="shared" si="16"/>
        <v/>
      </c>
      <c r="H177" s="340" t="str">
        <f t="shared" si="17"/>
        <v/>
      </c>
      <c r="I177" s="57"/>
    </row>
    <row r="178" spans="2:9" ht="20.100000000000001" customHeight="1" x14ac:dyDescent="0.3">
      <c r="B178" s="344">
        <v>170</v>
      </c>
      <c r="C178" s="342" t="str">
        <f t="shared" si="14"/>
        <v/>
      </c>
      <c r="D178" s="341" t="str">
        <f t="shared" si="12"/>
        <v/>
      </c>
      <c r="E178" s="328" t="str">
        <f t="shared" si="15"/>
        <v/>
      </c>
      <c r="F178" s="339" t="str">
        <f t="shared" si="13"/>
        <v/>
      </c>
      <c r="G178" s="328" t="str">
        <f t="shared" si="16"/>
        <v/>
      </c>
      <c r="H178" s="340" t="str">
        <f t="shared" si="17"/>
        <v/>
      </c>
      <c r="I178" s="57"/>
    </row>
    <row r="179" spans="2:9" ht="20.100000000000001" customHeight="1" x14ac:dyDescent="0.3">
      <c r="B179" s="344">
        <v>171</v>
      </c>
      <c r="C179" s="342" t="str">
        <f t="shared" si="14"/>
        <v/>
      </c>
      <c r="D179" s="341" t="str">
        <f t="shared" si="12"/>
        <v/>
      </c>
      <c r="E179" s="328" t="str">
        <f t="shared" si="15"/>
        <v/>
      </c>
      <c r="F179" s="339" t="str">
        <f t="shared" si="13"/>
        <v/>
      </c>
      <c r="G179" s="328" t="str">
        <f t="shared" si="16"/>
        <v/>
      </c>
      <c r="H179" s="340" t="str">
        <f t="shared" si="17"/>
        <v/>
      </c>
      <c r="I179" s="57"/>
    </row>
    <row r="180" spans="2:9" ht="20.100000000000001" customHeight="1" x14ac:dyDescent="0.3">
      <c r="B180" s="344">
        <v>172</v>
      </c>
      <c r="C180" s="342" t="str">
        <f t="shared" si="14"/>
        <v/>
      </c>
      <c r="D180" s="341" t="str">
        <f t="shared" si="12"/>
        <v/>
      </c>
      <c r="E180" s="328" t="str">
        <f t="shared" si="15"/>
        <v/>
      </c>
      <c r="F180" s="339" t="str">
        <f t="shared" si="13"/>
        <v/>
      </c>
      <c r="G180" s="328" t="str">
        <f t="shared" si="16"/>
        <v/>
      </c>
      <c r="H180" s="340" t="str">
        <f t="shared" si="17"/>
        <v/>
      </c>
      <c r="I180" s="57"/>
    </row>
    <row r="181" spans="2:9" ht="20.100000000000001" customHeight="1" x14ac:dyDescent="0.3">
      <c r="B181" s="344">
        <v>173</v>
      </c>
      <c r="C181" s="342" t="str">
        <f t="shared" si="14"/>
        <v/>
      </c>
      <c r="D181" s="341" t="str">
        <f t="shared" si="12"/>
        <v/>
      </c>
      <c r="E181" s="328" t="str">
        <f t="shared" si="15"/>
        <v/>
      </c>
      <c r="F181" s="339" t="str">
        <f t="shared" si="13"/>
        <v/>
      </c>
      <c r="G181" s="328" t="str">
        <f t="shared" si="16"/>
        <v/>
      </c>
      <c r="H181" s="340" t="str">
        <f t="shared" si="17"/>
        <v/>
      </c>
      <c r="I181" s="57"/>
    </row>
    <row r="182" spans="2:9" ht="20.100000000000001" customHeight="1" x14ac:dyDescent="0.3">
      <c r="B182" s="344">
        <v>174</v>
      </c>
      <c r="C182" s="342" t="str">
        <f t="shared" si="14"/>
        <v/>
      </c>
      <c r="D182" s="341" t="str">
        <f t="shared" si="12"/>
        <v/>
      </c>
      <c r="E182" s="328" t="str">
        <f t="shared" si="15"/>
        <v/>
      </c>
      <c r="F182" s="339" t="str">
        <f t="shared" si="13"/>
        <v/>
      </c>
      <c r="G182" s="328" t="str">
        <f t="shared" si="16"/>
        <v/>
      </c>
      <c r="H182" s="340" t="str">
        <f t="shared" si="17"/>
        <v/>
      </c>
      <c r="I182" s="57"/>
    </row>
    <row r="183" spans="2:9" ht="20.100000000000001" customHeight="1" x14ac:dyDescent="0.3">
      <c r="B183" s="344">
        <v>175</v>
      </c>
      <c r="C183" s="342" t="str">
        <f t="shared" si="14"/>
        <v/>
      </c>
      <c r="D183" s="341" t="str">
        <f t="shared" si="12"/>
        <v/>
      </c>
      <c r="E183" s="328" t="str">
        <f t="shared" si="15"/>
        <v/>
      </c>
      <c r="F183" s="339" t="str">
        <f t="shared" si="13"/>
        <v/>
      </c>
      <c r="G183" s="328" t="str">
        <f t="shared" si="16"/>
        <v/>
      </c>
      <c r="H183" s="340" t="str">
        <f t="shared" si="17"/>
        <v/>
      </c>
      <c r="I183" s="57"/>
    </row>
    <row r="184" spans="2:9" ht="20.100000000000001" customHeight="1" x14ac:dyDescent="0.3">
      <c r="B184" s="344">
        <v>176</v>
      </c>
      <c r="C184" s="342" t="str">
        <f t="shared" si="14"/>
        <v/>
      </c>
      <c r="D184" s="341" t="str">
        <f t="shared" si="12"/>
        <v/>
      </c>
      <c r="E184" s="328" t="str">
        <f t="shared" si="15"/>
        <v/>
      </c>
      <c r="F184" s="339" t="str">
        <f t="shared" si="13"/>
        <v/>
      </c>
      <c r="G184" s="328" t="str">
        <f t="shared" si="16"/>
        <v/>
      </c>
      <c r="H184" s="340" t="str">
        <f t="shared" si="17"/>
        <v/>
      </c>
      <c r="I184" s="57"/>
    </row>
    <row r="185" spans="2:9" ht="20.100000000000001" customHeight="1" x14ac:dyDescent="0.3">
      <c r="B185" s="344">
        <v>177</v>
      </c>
      <c r="C185" s="342" t="str">
        <f t="shared" si="14"/>
        <v/>
      </c>
      <c r="D185" s="341" t="str">
        <f t="shared" si="12"/>
        <v/>
      </c>
      <c r="E185" s="328" t="str">
        <f t="shared" si="15"/>
        <v/>
      </c>
      <c r="F185" s="339" t="str">
        <f t="shared" si="13"/>
        <v/>
      </c>
      <c r="G185" s="328" t="str">
        <f t="shared" si="16"/>
        <v/>
      </c>
      <c r="H185" s="340" t="str">
        <f t="shared" si="17"/>
        <v/>
      </c>
      <c r="I185" s="57"/>
    </row>
    <row r="186" spans="2:9" ht="20.100000000000001" customHeight="1" x14ac:dyDescent="0.3">
      <c r="B186" s="344">
        <v>178</v>
      </c>
      <c r="C186" s="342" t="str">
        <f t="shared" si="14"/>
        <v/>
      </c>
      <c r="D186" s="341" t="str">
        <f t="shared" si="12"/>
        <v/>
      </c>
      <c r="E186" s="328" t="str">
        <f t="shared" si="15"/>
        <v/>
      </c>
      <c r="F186" s="339" t="str">
        <f t="shared" si="13"/>
        <v/>
      </c>
      <c r="G186" s="328" t="str">
        <f t="shared" si="16"/>
        <v/>
      </c>
      <c r="H186" s="340" t="str">
        <f t="shared" si="17"/>
        <v/>
      </c>
      <c r="I186" s="57"/>
    </row>
    <row r="187" spans="2:9" ht="20.100000000000001" customHeight="1" x14ac:dyDescent="0.3">
      <c r="B187" s="344">
        <v>179</v>
      </c>
      <c r="C187" s="342" t="str">
        <f t="shared" si="14"/>
        <v/>
      </c>
      <c r="D187" s="341" t="str">
        <f t="shared" si="12"/>
        <v/>
      </c>
      <c r="E187" s="328" t="str">
        <f t="shared" si="15"/>
        <v/>
      </c>
      <c r="F187" s="339" t="str">
        <f t="shared" si="13"/>
        <v/>
      </c>
      <c r="G187" s="328" t="str">
        <f t="shared" si="16"/>
        <v/>
      </c>
      <c r="H187" s="340" t="str">
        <f t="shared" si="17"/>
        <v/>
      </c>
      <c r="I187" s="57"/>
    </row>
    <row r="188" spans="2:9" ht="20.100000000000001" customHeight="1" x14ac:dyDescent="0.3">
      <c r="B188" s="344">
        <v>180</v>
      </c>
      <c r="C188" s="342" t="str">
        <f t="shared" si="14"/>
        <v/>
      </c>
      <c r="D188" s="341" t="str">
        <f t="shared" si="12"/>
        <v/>
      </c>
      <c r="E188" s="328" t="str">
        <f t="shared" si="15"/>
        <v/>
      </c>
      <c r="F188" s="339" t="str">
        <f t="shared" si="13"/>
        <v/>
      </c>
      <c r="G188" s="328" t="str">
        <f t="shared" si="16"/>
        <v/>
      </c>
      <c r="H188" s="340" t="str">
        <f t="shared" si="17"/>
        <v/>
      </c>
      <c r="I188" s="57"/>
    </row>
    <row r="189" spans="2:9" ht="20.100000000000001" customHeight="1" x14ac:dyDescent="0.3">
      <c r="B189" s="344">
        <v>181</v>
      </c>
      <c r="C189" s="342" t="str">
        <f t="shared" si="14"/>
        <v/>
      </c>
      <c r="D189" s="341" t="str">
        <f t="shared" si="12"/>
        <v/>
      </c>
      <c r="E189" s="328" t="str">
        <f t="shared" si="15"/>
        <v/>
      </c>
      <c r="F189" s="339" t="str">
        <f t="shared" si="13"/>
        <v/>
      </c>
      <c r="G189" s="328" t="str">
        <f t="shared" si="16"/>
        <v/>
      </c>
      <c r="H189" s="340" t="str">
        <f t="shared" si="17"/>
        <v/>
      </c>
      <c r="I189" s="57"/>
    </row>
    <row r="190" spans="2:9" ht="20.100000000000001" customHeight="1" x14ac:dyDescent="0.3">
      <c r="B190" s="344">
        <v>182</v>
      </c>
      <c r="C190" s="342" t="str">
        <f t="shared" si="14"/>
        <v/>
      </c>
      <c r="D190" s="341" t="str">
        <f t="shared" si="12"/>
        <v/>
      </c>
      <c r="E190" s="328" t="str">
        <f t="shared" si="15"/>
        <v/>
      </c>
      <c r="F190" s="339" t="str">
        <f t="shared" si="13"/>
        <v/>
      </c>
      <c r="G190" s="328" t="str">
        <f t="shared" si="16"/>
        <v/>
      </c>
      <c r="H190" s="340" t="str">
        <f t="shared" si="17"/>
        <v/>
      </c>
      <c r="I190" s="57"/>
    </row>
    <row r="191" spans="2:9" ht="20.100000000000001" customHeight="1" x14ac:dyDescent="0.3">
      <c r="B191" s="344">
        <v>183</v>
      </c>
      <c r="C191" s="342" t="str">
        <f t="shared" si="14"/>
        <v/>
      </c>
      <c r="D191" s="341" t="str">
        <f t="shared" si="12"/>
        <v/>
      </c>
      <c r="E191" s="328" t="str">
        <f t="shared" si="15"/>
        <v/>
      </c>
      <c r="F191" s="339" t="str">
        <f t="shared" si="13"/>
        <v/>
      </c>
      <c r="G191" s="328" t="str">
        <f t="shared" si="16"/>
        <v/>
      </c>
      <c r="H191" s="340" t="str">
        <f t="shared" si="17"/>
        <v/>
      </c>
      <c r="I191" s="57"/>
    </row>
    <row r="192" spans="2:9" ht="20.100000000000001" customHeight="1" x14ac:dyDescent="0.3">
      <c r="B192" s="344">
        <v>184</v>
      </c>
      <c r="C192" s="342" t="str">
        <f t="shared" si="14"/>
        <v/>
      </c>
      <c r="D192" s="341" t="str">
        <f t="shared" si="12"/>
        <v/>
      </c>
      <c r="E192" s="328" t="str">
        <f t="shared" si="15"/>
        <v/>
      </c>
      <c r="F192" s="339" t="str">
        <f t="shared" si="13"/>
        <v/>
      </c>
      <c r="G192" s="328" t="str">
        <f t="shared" si="16"/>
        <v/>
      </c>
      <c r="H192" s="340" t="str">
        <f t="shared" si="17"/>
        <v/>
      </c>
      <c r="I192" s="57"/>
    </row>
    <row r="193" spans="2:9" ht="20.100000000000001" customHeight="1" x14ac:dyDescent="0.3">
      <c r="B193" s="344">
        <v>185</v>
      </c>
      <c r="C193" s="342" t="str">
        <f t="shared" si="14"/>
        <v/>
      </c>
      <c r="D193" s="341" t="str">
        <f t="shared" si="12"/>
        <v/>
      </c>
      <c r="E193" s="328" t="str">
        <f t="shared" si="15"/>
        <v/>
      </c>
      <c r="F193" s="339" t="str">
        <f t="shared" si="13"/>
        <v/>
      </c>
      <c r="G193" s="328" t="str">
        <f t="shared" si="16"/>
        <v/>
      </c>
      <c r="H193" s="340" t="str">
        <f t="shared" si="17"/>
        <v/>
      </c>
      <c r="I193" s="57"/>
    </row>
    <row r="194" spans="2:9" ht="20.100000000000001" customHeight="1" x14ac:dyDescent="0.3">
      <c r="B194" s="344">
        <v>186</v>
      </c>
      <c r="C194" s="342" t="str">
        <f t="shared" si="14"/>
        <v/>
      </c>
      <c r="D194" s="341" t="str">
        <f t="shared" si="12"/>
        <v/>
      </c>
      <c r="E194" s="328" t="str">
        <f t="shared" si="15"/>
        <v/>
      </c>
      <c r="F194" s="339" t="str">
        <f t="shared" si="13"/>
        <v/>
      </c>
      <c r="G194" s="328" t="str">
        <f t="shared" si="16"/>
        <v/>
      </c>
      <c r="H194" s="340" t="str">
        <f t="shared" si="17"/>
        <v/>
      </c>
      <c r="I194" s="57"/>
    </row>
    <row r="195" spans="2:9" ht="20.100000000000001" customHeight="1" x14ac:dyDescent="0.3">
      <c r="B195" s="344">
        <v>187</v>
      </c>
      <c r="C195" s="342" t="str">
        <f t="shared" si="14"/>
        <v/>
      </c>
      <c r="D195" s="341" t="str">
        <f t="shared" si="12"/>
        <v/>
      </c>
      <c r="E195" s="328" t="str">
        <f t="shared" si="15"/>
        <v/>
      </c>
      <c r="F195" s="339" t="str">
        <f t="shared" si="13"/>
        <v/>
      </c>
      <c r="G195" s="328" t="str">
        <f t="shared" si="16"/>
        <v/>
      </c>
      <c r="H195" s="340" t="str">
        <f t="shared" si="17"/>
        <v/>
      </c>
      <c r="I195" s="57"/>
    </row>
    <row r="196" spans="2:9" ht="20.100000000000001" customHeight="1" x14ac:dyDescent="0.3">
      <c r="B196" s="344">
        <v>188</v>
      </c>
      <c r="C196" s="342" t="str">
        <f t="shared" si="14"/>
        <v/>
      </c>
      <c r="D196" s="341" t="str">
        <f t="shared" si="12"/>
        <v/>
      </c>
      <c r="E196" s="328" t="str">
        <f t="shared" si="15"/>
        <v/>
      </c>
      <c r="F196" s="339" t="str">
        <f t="shared" si="13"/>
        <v/>
      </c>
      <c r="G196" s="328" t="str">
        <f t="shared" si="16"/>
        <v/>
      </c>
      <c r="H196" s="340" t="str">
        <f t="shared" si="17"/>
        <v/>
      </c>
      <c r="I196" s="57"/>
    </row>
    <row r="197" spans="2:9" ht="20.100000000000001" customHeight="1" x14ac:dyDescent="0.3">
      <c r="B197" s="344">
        <v>189</v>
      </c>
      <c r="C197" s="342" t="str">
        <f t="shared" si="14"/>
        <v/>
      </c>
      <c r="D197" s="341" t="str">
        <f t="shared" si="12"/>
        <v/>
      </c>
      <c r="E197" s="328" t="str">
        <f t="shared" si="15"/>
        <v/>
      </c>
      <c r="F197" s="339" t="str">
        <f t="shared" si="13"/>
        <v/>
      </c>
      <c r="G197" s="328" t="str">
        <f t="shared" si="16"/>
        <v/>
      </c>
      <c r="H197" s="340" t="str">
        <f t="shared" si="17"/>
        <v/>
      </c>
      <c r="I197" s="57"/>
    </row>
    <row r="198" spans="2:9" ht="20.100000000000001" customHeight="1" x14ac:dyDescent="0.3">
      <c r="B198" s="344">
        <v>190</v>
      </c>
      <c r="C198" s="342" t="str">
        <f t="shared" si="14"/>
        <v/>
      </c>
      <c r="D198" s="341" t="str">
        <f t="shared" si="12"/>
        <v/>
      </c>
      <c r="E198" s="328" t="str">
        <f t="shared" si="15"/>
        <v/>
      </c>
      <c r="F198" s="339" t="str">
        <f t="shared" si="13"/>
        <v/>
      </c>
      <c r="G198" s="328" t="str">
        <f t="shared" si="16"/>
        <v/>
      </c>
      <c r="H198" s="340" t="str">
        <f t="shared" si="17"/>
        <v/>
      </c>
      <c r="I198" s="57"/>
    </row>
    <row r="199" spans="2:9" ht="20.100000000000001" customHeight="1" x14ac:dyDescent="0.3">
      <c r="B199" s="344">
        <v>191</v>
      </c>
      <c r="C199" s="342" t="str">
        <f t="shared" si="14"/>
        <v/>
      </c>
      <c r="D199" s="341" t="str">
        <f t="shared" si="12"/>
        <v/>
      </c>
      <c r="E199" s="328" t="str">
        <f t="shared" si="15"/>
        <v/>
      </c>
      <c r="F199" s="339" t="str">
        <f t="shared" si="13"/>
        <v/>
      </c>
      <c r="G199" s="328" t="str">
        <f t="shared" si="16"/>
        <v/>
      </c>
      <c r="H199" s="340" t="str">
        <f t="shared" si="17"/>
        <v/>
      </c>
      <c r="I199" s="57"/>
    </row>
    <row r="200" spans="2:9" ht="20.100000000000001" customHeight="1" x14ac:dyDescent="0.3">
      <c r="B200" s="344">
        <v>192</v>
      </c>
      <c r="C200" s="342" t="str">
        <f t="shared" si="14"/>
        <v/>
      </c>
      <c r="D200" s="341" t="str">
        <f t="shared" si="12"/>
        <v/>
      </c>
      <c r="E200" s="328" t="str">
        <f t="shared" si="15"/>
        <v/>
      </c>
      <c r="F200" s="339" t="str">
        <f t="shared" si="13"/>
        <v/>
      </c>
      <c r="G200" s="328" t="str">
        <f t="shared" si="16"/>
        <v/>
      </c>
      <c r="H200" s="340" t="str">
        <f t="shared" si="17"/>
        <v/>
      </c>
      <c r="I200" s="57"/>
    </row>
    <row r="201" spans="2:9" ht="20.100000000000001" customHeight="1" x14ac:dyDescent="0.3">
      <c r="B201" s="344">
        <v>193</v>
      </c>
      <c r="C201" s="342" t="str">
        <f t="shared" si="14"/>
        <v/>
      </c>
      <c r="D201" s="341" t="str">
        <f t="shared" si="12"/>
        <v/>
      </c>
      <c r="E201" s="328" t="str">
        <f t="shared" si="15"/>
        <v/>
      </c>
      <c r="F201" s="339" t="str">
        <f t="shared" si="13"/>
        <v/>
      </c>
      <c r="G201" s="328" t="str">
        <f t="shared" si="16"/>
        <v/>
      </c>
      <c r="H201" s="340" t="str">
        <f t="shared" si="17"/>
        <v/>
      </c>
      <c r="I201" s="57"/>
    </row>
    <row r="202" spans="2:9" ht="20.100000000000001" customHeight="1" x14ac:dyDescent="0.3">
      <c r="B202" s="344">
        <v>194</v>
      </c>
      <c r="C202" s="342" t="str">
        <f t="shared" si="14"/>
        <v/>
      </c>
      <c r="D202" s="341" t="str">
        <f t="shared" ref="D202:D265" si="18">IF($H$4="","",IF($F$4="원리금균등상환",IFERROR(IF(B202&lt;=$D$6,0,-PPMT($E$4/12,B202-$D$6,($B$6-$D$6),$D$4)),""),IF($F$4="원금균등상환",IF(B202&lt;($D$6+1),0,IF(B202&gt;$B$6,0,$D$4/($B$6-$D$6))),"")))</f>
        <v/>
      </c>
      <c r="E202" s="328" t="str">
        <f t="shared" si="15"/>
        <v/>
      </c>
      <c r="F202" s="339" t="str">
        <f t="shared" ref="F202:F265" si="19">IF($H$4="","",IF($F$4="원리금균등상환",IFERROR(D202+E202,""),IF($F$4="원금균등상환",D202+E202,"")))</f>
        <v/>
      </c>
      <c r="G202" s="328" t="str">
        <f t="shared" si="16"/>
        <v/>
      </c>
      <c r="H202" s="340" t="str">
        <f t="shared" si="17"/>
        <v/>
      </c>
      <c r="I202" s="57"/>
    </row>
    <row r="203" spans="2:9" ht="20.100000000000001" customHeight="1" x14ac:dyDescent="0.3">
      <c r="B203" s="344">
        <v>195</v>
      </c>
      <c r="C203" s="342" t="str">
        <f t="shared" ref="C203:C266" si="20">IF($H$4="","",IF(B203&gt;($B$6),"",IF(B203&lt;=($B$6),DATE(YEAR($G$4),MONTH($G$4)+B202,DAY($G$4)),"")))</f>
        <v/>
      </c>
      <c r="D203" s="341" t="str">
        <f t="shared" si="18"/>
        <v/>
      </c>
      <c r="E203" s="328" t="str">
        <f t="shared" ref="E203:E266" si="21">IF($H$4="","",IF($F$4="원리금균등상환",IFERROR(IF(B203&lt;=$D$6,$H202*($E$4/12),-IPMT($E$4/12,B203-$D$6,($B$6-$D$6),$D$4)),""),IF($F$4="원금균등상환",(H202-D203)*$E$4/12,"")))</f>
        <v/>
      </c>
      <c r="F203" s="339" t="str">
        <f t="shared" si="19"/>
        <v/>
      </c>
      <c r="G203" s="328" t="str">
        <f t="shared" ref="G203:G266" si="22">IFERROR(IF(B203&gt;(($D$6+$B$6)*12),"",IF(B203=1,D203,D203+G202)),"")</f>
        <v/>
      </c>
      <c r="H203" s="340" t="str">
        <f t="shared" ref="H203:H266" si="23">IFERROR(IF($H$4="","",H202-D203),"")</f>
        <v/>
      </c>
      <c r="I203" s="57"/>
    </row>
    <row r="204" spans="2:9" ht="20.100000000000001" customHeight="1" x14ac:dyDescent="0.3">
      <c r="B204" s="344">
        <v>196</v>
      </c>
      <c r="C204" s="342" t="str">
        <f t="shared" si="20"/>
        <v/>
      </c>
      <c r="D204" s="341" t="str">
        <f t="shared" si="18"/>
        <v/>
      </c>
      <c r="E204" s="328" t="str">
        <f t="shared" si="21"/>
        <v/>
      </c>
      <c r="F204" s="339" t="str">
        <f t="shared" si="19"/>
        <v/>
      </c>
      <c r="G204" s="328" t="str">
        <f t="shared" si="22"/>
        <v/>
      </c>
      <c r="H204" s="340" t="str">
        <f t="shared" si="23"/>
        <v/>
      </c>
      <c r="I204" s="57"/>
    </row>
    <row r="205" spans="2:9" ht="20.100000000000001" customHeight="1" x14ac:dyDescent="0.3">
      <c r="B205" s="344">
        <v>197</v>
      </c>
      <c r="C205" s="342" t="str">
        <f t="shared" si="20"/>
        <v/>
      </c>
      <c r="D205" s="341" t="str">
        <f t="shared" si="18"/>
        <v/>
      </c>
      <c r="E205" s="328" t="str">
        <f t="shared" si="21"/>
        <v/>
      </c>
      <c r="F205" s="339" t="str">
        <f t="shared" si="19"/>
        <v/>
      </c>
      <c r="G205" s="328" t="str">
        <f t="shared" si="22"/>
        <v/>
      </c>
      <c r="H205" s="340" t="str">
        <f t="shared" si="23"/>
        <v/>
      </c>
      <c r="I205" s="57"/>
    </row>
    <row r="206" spans="2:9" ht="20.100000000000001" customHeight="1" x14ac:dyDescent="0.3">
      <c r="B206" s="344">
        <v>198</v>
      </c>
      <c r="C206" s="342" t="str">
        <f t="shared" si="20"/>
        <v/>
      </c>
      <c r="D206" s="341" t="str">
        <f t="shared" si="18"/>
        <v/>
      </c>
      <c r="E206" s="328" t="str">
        <f t="shared" si="21"/>
        <v/>
      </c>
      <c r="F206" s="339" t="str">
        <f t="shared" si="19"/>
        <v/>
      </c>
      <c r="G206" s="328" t="str">
        <f t="shared" si="22"/>
        <v/>
      </c>
      <c r="H206" s="340" t="str">
        <f t="shared" si="23"/>
        <v/>
      </c>
      <c r="I206" s="57"/>
    </row>
    <row r="207" spans="2:9" ht="20.100000000000001" customHeight="1" x14ac:dyDescent="0.3">
      <c r="B207" s="344">
        <v>199</v>
      </c>
      <c r="C207" s="342" t="str">
        <f t="shared" si="20"/>
        <v/>
      </c>
      <c r="D207" s="341" t="str">
        <f t="shared" si="18"/>
        <v/>
      </c>
      <c r="E207" s="328" t="str">
        <f t="shared" si="21"/>
        <v/>
      </c>
      <c r="F207" s="339" t="str">
        <f t="shared" si="19"/>
        <v/>
      </c>
      <c r="G207" s="328" t="str">
        <f t="shared" si="22"/>
        <v/>
      </c>
      <c r="H207" s="340" t="str">
        <f t="shared" si="23"/>
        <v/>
      </c>
      <c r="I207" s="57"/>
    </row>
    <row r="208" spans="2:9" ht="20.100000000000001" customHeight="1" x14ac:dyDescent="0.3">
      <c r="B208" s="344">
        <v>200</v>
      </c>
      <c r="C208" s="342" t="str">
        <f t="shared" si="20"/>
        <v/>
      </c>
      <c r="D208" s="341" t="str">
        <f t="shared" si="18"/>
        <v/>
      </c>
      <c r="E208" s="328" t="str">
        <f t="shared" si="21"/>
        <v/>
      </c>
      <c r="F208" s="339" t="str">
        <f t="shared" si="19"/>
        <v/>
      </c>
      <c r="G208" s="328" t="str">
        <f t="shared" si="22"/>
        <v/>
      </c>
      <c r="H208" s="340" t="str">
        <f t="shared" si="23"/>
        <v/>
      </c>
      <c r="I208" s="57"/>
    </row>
    <row r="209" spans="2:9" ht="20.100000000000001" customHeight="1" x14ac:dyDescent="0.3">
      <c r="B209" s="344">
        <v>201</v>
      </c>
      <c r="C209" s="342" t="str">
        <f t="shared" si="20"/>
        <v/>
      </c>
      <c r="D209" s="341" t="str">
        <f t="shared" si="18"/>
        <v/>
      </c>
      <c r="E209" s="328" t="str">
        <f t="shared" si="21"/>
        <v/>
      </c>
      <c r="F209" s="339" t="str">
        <f t="shared" si="19"/>
        <v/>
      </c>
      <c r="G209" s="328" t="str">
        <f t="shared" si="22"/>
        <v/>
      </c>
      <c r="H209" s="340" t="str">
        <f t="shared" si="23"/>
        <v/>
      </c>
      <c r="I209" s="57"/>
    </row>
    <row r="210" spans="2:9" ht="20.100000000000001" customHeight="1" x14ac:dyDescent="0.3">
      <c r="B210" s="344">
        <v>202</v>
      </c>
      <c r="C210" s="342" t="str">
        <f t="shared" si="20"/>
        <v/>
      </c>
      <c r="D210" s="341" t="str">
        <f t="shared" si="18"/>
        <v/>
      </c>
      <c r="E210" s="328" t="str">
        <f t="shared" si="21"/>
        <v/>
      </c>
      <c r="F210" s="339" t="str">
        <f t="shared" si="19"/>
        <v/>
      </c>
      <c r="G210" s="328" t="str">
        <f t="shared" si="22"/>
        <v/>
      </c>
      <c r="H210" s="340" t="str">
        <f t="shared" si="23"/>
        <v/>
      </c>
      <c r="I210" s="57"/>
    </row>
    <row r="211" spans="2:9" ht="20.100000000000001" customHeight="1" x14ac:dyDescent="0.3">
      <c r="B211" s="344">
        <v>203</v>
      </c>
      <c r="C211" s="342" t="str">
        <f t="shared" si="20"/>
        <v/>
      </c>
      <c r="D211" s="341" t="str">
        <f t="shared" si="18"/>
        <v/>
      </c>
      <c r="E211" s="328" t="str">
        <f t="shared" si="21"/>
        <v/>
      </c>
      <c r="F211" s="339" t="str">
        <f t="shared" si="19"/>
        <v/>
      </c>
      <c r="G211" s="328" t="str">
        <f t="shared" si="22"/>
        <v/>
      </c>
      <c r="H211" s="340" t="str">
        <f t="shared" si="23"/>
        <v/>
      </c>
      <c r="I211" s="57"/>
    </row>
    <row r="212" spans="2:9" ht="20.100000000000001" customHeight="1" x14ac:dyDescent="0.3">
      <c r="B212" s="344">
        <v>204</v>
      </c>
      <c r="C212" s="342" t="str">
        <f t="shared" si="20"/>
        <v/>
      </c>
      <c r="D212" s="341" t="str">
        <f t="shared" si="18"/>
        <v/>
      </c>
      <c r="E212" s="328" t="str">
        <f t="shared" si="21"/>
        <v/>
      </c>
      <c r="F212" s="339" t="str">
        <f t="shared" si="19"/>
        <v/>
      </c>
      <c r="G212" s="328" t="str">
        <f t="shared" si="22"/>
        <v/>
      </c>
      <c r="H212" s="340" t="str">
        <f t="shared" si="23"/>
        <v/>
      </c>
      <c r="I212" s="57"/>
    </row>
    <row r="213" spans="2:9" ht="20.100000000000001" customHeight="1" x14ac:dyDescent="0.3">
      <c r="B213" s="344">
        <v>205</v>
      </c>
      <c r="C213" s="342" t="str">
        <f t="shared" si="20"/>
        <v/>
      </c>
      <c r="D213" s="341" t="str">
        <f t="shared" si="18"/>
        <v/>
      </c>
      <c r="E213" s="328" t="str">
        <f t="shared" si="21"/>
        <v/>
      </c>
      <c r="F213" s="339" t="str">
        <f t="shared" si="19"/>
        <v/>
      </c>
      <c r="G213" s="328" t="str">
        <f t="shared" si="22"/>
        <v/>
      </c>
      <c r="H213" s="340" t="str">
        <f t="shared" si="23"/>
        <v/>
      </c>
      <c r="I213" s="57"/>
    </row>
    <row r="214" spans="2:9" ht="20.100000000000001" customHeight="1" x14ac:dyDescent="0.3">
      <c r="B214" s="344">
        <v>206</v>
      </c>
      <c r="C214" s="342" t="str">
        <f t="shared" si="20"/>
        <v/>
      </c>
      <c r="D214" s="341" t="str">
        <f t="shared" si="18"/>
        <v/>
      </c>
      <c r="E214" s="328" t="str">
        <f t="shared" si="21"/>
        <v/>
      </c>
      <c r="F214" s="339" t="str">
        <f t="shared" si="19"/>
        <v/>
      </c>
      <c r="G214" s="328" t="str">
        <f t="shared" si="22"/>
        <v/>
      </c>
      <c r="H214" s="340" t="str">
        <f t="shared" si="23"/>
        <v/>
      </c>
      <c r="I214" s="57"/>
    </row>
    <row r="215" spans="2:9" ht="20.100000000000001" customHeight="1" x14ac:dyDescent="0.3">
      <c r="B215" s="344">
        <v>207</v>
      </c>
      <c r="C215" s="342" t="str">
        <f t="shared" si="20"/>
        <v/>
      </c>
      <c r="D215" s="341" t="str">
        <f t="shared" si="18"/>
        <v/>
      </c>
      <c r="E215" s="328" t="str">
        <f t="shared" si="21"/>
        <v/>
      </c>
      <c r="F215" s="339" t="str">
        <f t="shared" si="19"/>
        <v/>
      </c>
      <c r="G215" s="328" t="str">
        <f t="shared" si="22"/>
        <v/>
      </c>
      <c r="H215" s="340" t="str">
        <f t="shared" si="23"/>
        <v/>
      </c>
      <c r="I215" s="57"/>
    </row>
    <row r="216" spans="2:9" ht="20.100000000000001" customHeight="1" x14ac:dyDescent="0.3">
      <c r="B216" s="344">
        <v>208</v>
      </c>
      <c r="C216" s="342" t="str">
        <f t="shared" si="20"/>
        <v/>
      </c>
      <c r="D216" s="341" t="str">
        <f t="shared" si="18"/>
        <v/>
      </c>
      <c r="E216" s="328" t="str">
        <f t="shared" si="21"/>
        <v/>
      </c>
      <c r="F216" s="339" t="str">
        <f t="shared" si="19"/>
        <v/>
      </c>
      <c r="G216" s="328" t="str">
        <f t="shared" si="22"/>
        <v/>
      </c>
      <c r="H216" s="340" t="str">
        <f t="shared" si="23"/>
        <v/>
      </c>
      <c r="I216" s="57"/>
    </row>
    <row r="217" spans="2:9" ht="20.100000000000001" customHeight="1" x14ac:dyDescent="0.3">
      <c r="B217" s="344">
        <v>209</v>
      </c>
      <c r="C217" s="342" t="str">
        <f t="shared" si="20"/>
        <v/>
      </c>
      <c r="D217" s="341" t="str">
        <f t="shared" si="18"/>
        <v/>
      </c>
      <c r="E217" s="328" t="str">
        <f t="shared" si="21"/>
        <v/>
      </c>
      <c r="F217" s="339" t="str">
        <f t="shared" si="19"/>
        <v/>
      </c>
      <c r="G217" s="328" t="str">
        <f t="shared" si="22"/>
        <v/>
      </c>
      <c r="H217" s="340" t="str">
        <f t="shared" si="23"/>
        <v/>
      </c>
      <c r="I217" s="57"/>
    </row>
    <row r="218" spans="2:9" ht="20.100000000000001" customHeight="1" x14ac:dyDescent="0.3">
      <c r="B218" s="344">
        <v>210</v>
      </c>
      <c r="C218" s="342" t="str">
        <f t="shared" si="20"/>
        <v/>
      </c>
      <c r="D218" s="341" t="str">
        <f t="shared" si="18"/>
        <v/>
      </c>
      <c r="E218" s="328" t="str">
        <f t="shared" si="21"/>
        <v/>
      </c>
      <c r="F218" s="339" t="str">
        <f t="shared" si="19"/>
        <v/>
      </c>
      <c r="G218" s="328" t="str">
        <f t="shared" si="22"/>
        <v/>
      </c>
      <c r="H218" s="340" t="str">
        <f t="shared" si="23"/>
        <v/>
      </c>
      <c r="I218" s="57"/>
    </row>
    <row r="219" spans="2:9" ht="20.100000000000001" customHeight="1" x14ac:dyDescent="0.3">
      <c r="B219" s="344">
        <v>211</v>
      </c>
      <c r="C219" s="342" t="str">
        <f t="shared" si="20"/>
        <v/>
      </c>
      <c r="D219" s="341" t="str">
        <f t="shared" si="18"/>
        <v/>
      </c>
      <c r="E219" s="328" t="str">
        <f t="shared" si="21"/>
        <v/>
      </c>
      <c r="F219" s="339" t="str">
        <f t="shared" si="19"/>
        <v/>
      </c>
      <c r="G219" s="328" t="str">
        <f t="shared" si="22"/>
        <v/>
      </c>
      <c r="H219" s="340" t="str">
        <f t="shared" si="23"/>
        <v/>
      </c>
      <c r="I219" s="57"/>
    </row>
    <row r="220" spans="2:9" ht="20.100000000000001" customHeight="1" x14ac:dyDescent="0.3">
      <c r="B220" s="344">
        <v>212</v>
      </c>
      <c r="C220" s="342" t="str">
        <f t="shared" si="20"/>
        <v/>
      </c>
      <c r="D220" s="341" t="str">
        <f t="shared" si="18"/>
        <v/>
      </c>
      <c r="E220" s="328" t="str">
        <f t="shared" si="21"/>
        <v/>
      </c>
      <c r="F220" s="339" t="str">
        <f t="shared" si="19"/>
        <v/>
      </c>
      <c r="G220" s="328" t="str">
        <f t="shared" si="22"/>
        <v/>
      </c>
      <c r="H220" s="340" t="str">
        <f t="shared" si="23"/>
        <v/>
      </c>
      <c r="I220" s="57"/>
    </row>
    <row r="221" spans="2:9" ht="20.100000000000001" customHeight="1" x14ac:dyDescent="0.3">
      <c r="B221" s="344">
        <v>213</v>
      </c>
      <c r="C221" s="342" t="str">
        <f t="shared" si="20"/>
        <v/>
      </c>
      <c r="D221" s="341" t="str">
        <f t="shared" si="18"/>
        <v/>
      </c>
      <c r="E221" s="328" t="str">
        <f t="shared" si="21"/>
        <v/>
      </c>
      <c r="F221" s="339" t="str">
        <f t="shared" si="19"/>
        <v/>
      </c>
      <c r="G221" s="328" t="str">
        <f t="shared" si="22"/>
        <v/>
      </c>
      <c r="H221" s="340" t="str">
        <f t="shared" si="23"/>
        <v/>
      </c>
      <c r="I221" s="57"/>
    </row>
    <row r="222" spans="2:9" ht="20.100000000000001" customHeight="1" x14ac:dyDescent="0.3">
      <c r="B222" s="344">
        <v>214</v>
      </c>
      <c r="C222" s="342" t="str">
        <f t="shared" si="20"/>
        <v/>
      </c>
      <c r="D222" s="341" t="str">
        <f t="shared" si="18"/>
        <v/>
      </c>
      <c r="E222" s="328" t="str">
        <f t="shared" si="21"/>
        <v/>
      </c>
      <c r="F222" s="339" t="str">
        <f t="shared" si="19"/>
        <v/>
      </c>
      <c r="G222" s="328" t="str">
        <f t="shared" si="22"/>
        <v/>
      </c>
      <c r="H222" s="340" t="str">
        <f t="shared" si="23"/>
        <v/>
      </c>
      <c r="I222" s="57"/>
    </row>
    <row r="223" spans="2:9" ht="20.100000000000001" customHeight="1" x14ac:dyDescent="0.3">
      <c r="B223" s="344">
        <v>215</v>
      </c>
      <c r="C223" s="342" t="str">
        <f t="shared" si="20"/>
        <v/>
      </c>
      <c r="D223" s="341" t="str">
        <f t="shared" si="18"/>
        <v/>
      </c>
      <c r="E223" s="328" t="str">
        <f t="shared" si="21"/>
        <v/>
      </c>
      <c r="F223" s="339" t="str">
        <f t="shared" si="19"/>
        <v/>
      </c>
      <c r="G223" s="328" t="str">
        <f t="shared" si="22"/>
        <v/>
      </c>
      <c r="H223" s="340" t="str">
        <f t="shared" si="23"/>
        <v/>
      </c>
      <c r="I223" s="57"/>
    </row>
    <row r="224" spans="2:9" ht="20.100000000000001" customHeight="1" x14ac:dyDescent="0.3">
      <c r="B224" s="344">
        <v>216</v>
      </c>
      <c r="C224" s="342" t="str">
        <f t="shared" si="20"/>
        <v/>
      </c>
      <c r="D224" s="341" t="str">
        <f t="shared" si="18"/>
        <v/>
      </c>
      <c r="E224" s="328" t="str">
        <f t="shared" si="21"/>
        <v/>
      </c>
      <c r="F224" s="339" t="str">
        <f t="shared" si="19"/>
        <v/>
      </c>
      <c r="G224" s="328" t="str">
        <f t="shared" si="22"/>
        <v/>
      </c>
      <c r="H224" s="340" t="str">
        <f t="shared" si="23"/>
        <v/>
      </c>
      <c r="I224" s="57"/>
    </row>
    <row r="225" spans="2:9" ht="20.100000000000001" customHeight="1" x14ac:dyDescent="0.3">
      <c r="B225" s="344">
        <v>217</v>
      </c>
      <c r="C225" s="342" t="str">
        <f t="shared" si="20"/>
        <v/>
      </c>
      <c r="D225" s="341" t="str">
        <f t="shared" si="18"/>
        <v/>
      </c>
      <c r="E225" s="328" t="str">
        <f t="shared" si="21"/>
        <v/>
      </c>
      <c r="F225" s="339" t="str">
        <f t="shared" si="19"/>
        <v/>
      </c>
      <c r="G225" s="328" t="str">
        <f t="shared" si="22"/>
        <v/>
      </c>
      <c r="H225" s="340" t="str">
        <f t="shared" si="23"/>
        <v/>
      </c>
      <c r="I225" s="57"/>
    </row>
    <row r="226" spans="2:9" ht="20.100000000000001" customHeight="1" x14ac:dyDescent="0.3">
      <c r="B226" s="344">
        <v>218</v>
      </c>
      <c r="C226" s="342" t="str">
        <f t="shared" si="20"/>
        <v/>
      </c>
      <c r="D226" s="341" t="str">
        <f t="shared" si="18"/>
        <v/>
      </c>
      <c r="E226" s="328" t="str">
        <f t="shared" si="21"/>
        <v/>
      </c>
      <c r="F226" s="339" t="str">
        <f t="shared" si="19"/>
        <v/>
      </c>
      <c r="G226" s="328" t="str">
        <f t="shared" si="22"/>
        <v/>
      </c>
      <c r="H226" s="340" t="str">
        <f t="shared" si="23"/>
        <v/>
      </c>
      <c r="I226" s="57"/>
    </row>
    <row r="227" spans="2:9" ht="20.100000000000001" customHeight="1" x14ac:dyDescent="0.3">
      <c r="B227" s="344">
        <v>219</v>
      </c>
      <c r="C227" s="342" t="str">
        <f t="shared" si="20"/>
        <v/>
      </c>
      <c r="D227" s="341" t="str">
        <f t="shared" si="18"/>
        <v/>
      </c>
      <c r="E227" s="328" t="str">
        <f t="shared" si="21"/>
        <v/>
      </c>
      <c r="F227" s="339" t="str">
        <f t="shared" si="19"/>
        <v/>
      </c>
      <c r="G227" s="328" t="str">
        <f t="shared" si="22"/>
        <v/>
      </c>
      <c r="H227" s="340" t="str">
        <f t="shared" si="23"/>
        <v/>
      </c>
      <c r="I227" s="57"/>
    </row>
    <row r="228" spans="2:9" ht="20.100000000000001" customHeight="1" x14ac:dyDescent="0.3">
      <c r="B228" s="344">
        <v>220</v>
      </c>
      <c r="C228" s="342" t="str">
        <f t="shared" si="20"/>
        <v/>
      </c>
      <c r="D228" s="341" t="str">
        <f t="shared" si="18"/>
        <v/>
      </c>
      <c r="E228" s="328" t="str">
        <f t="shared" si="21"/>
        <v/>
      </c>
      <c r="F228" s="339" t="str">
        <f t="shared" si="19"/>
        <v/>
      </c>
      <c r="G228" s="328" t="str">
        <f t="shared" si="22"/>
        <v/>
      </c>
      <c r="H228" s="340" t="str">
        <f t="shared" si="23"/>
        <v/>
      </c>
      <c r="I228" s="57"/>
    </row>
    <row r="229" spans="2:9" ht="20.100000000000001" customHeight="1" x14ac:dyDescent="0.3">
      <c r="B229" s="344">
        <v>221</v>
      </c>
      <c r="C229" s="342" t="str">
        <f t="shared" si="20"/>
        <v/>
      </c>
      <c r="D229" s="341" t="str">
        <f t="shared" si="18"/>
        <v/>
      </c>
      <c r="E229" s="328" t="str">
        <f t="shared" si="21"/>
        <v/>
      </c>
      <c r="F229" s="339" t="str">
        <f t="shared" si="19"/>
        <v/>
      </c>
      <c r="G229" s="328" t="str">
        <f t="shared" si="22"/>
        <v/>
      </c>
      <c r="H229" s="340" t="str">
        <f t="shared" si="23"/>
        <v/>
      </c>
      <c r="I229" s="57"/>
    </row>
    <row r="230" spans="2:9" ht="20.100000000000001" customHeight="1" x14ac:dyDescent="0.3">
      <c r="B230" s="344">
        <v>222</v>
      </c>
      <c r="C230" s="342" t="str">
        <f t="shared" si="20"/>
        <v/>
      </c>
      <c r="D230" s="341" t="str">
        <f t="shared" si="18"/>
        <v/>
      </c>
      <c r="E230" s="328" t="str">
        <f t="shared" si="21"/>
        <v/>
      </c>
      <c r="F230" s="339" t="str">
        <f t="shared" si="19"/>
        <v/>
      </c>
      <c r="G230" s="328" t="str">
        <f t="shared" si="22"/>
        <v/>
      </c>
      <c r="H230" s="340" t="str">
        <f t="shared" si="23"/>
        <v/>
      </c>
      <c r="I230" s="57"/>
    </row>
    <row r="231" spans="2:9" ht="20.100000000000001" customHeight="1" x14ac:dyDescent="0.3">
      <c r="B231" s="344">
        <v>223</v>
      </c>
      <c r="C231" s="342" t="str">
        <f t="shared" si="20"/>
        <v/>
      </c>
      <c r="D231" s="341" t="str">
        <f t="shared" si="18"/>
        <v/>
      </c>
      <c r="E231" s="328" t="str">
        <f t="shared" si="21"/>
        <v/>
      </c>
      <c r="F231" s="339" t="str">
        <f t="shared" si="19"/>
        <v/>
      </c>
      <c r="G231" s="328" t="str">
        <f t="shared" si="22"/>
        <v/>
      </c>
      <c r="H231" s="340" t="str">
        <f t="shared" si="23"/>
        <v/>
      </c>
      <c r="I231" s="57"/>
    </row>
    <row r="232" spans="2:9" ht="20.100000000000001" customHeight="1" x14ac:dyDescent="0.3">
      <c r="B232" s="344">
        <v>224</v>
      </c>
      <c r="C232" s="342" t="str">
        <f t="shared" si="20"/>
        <v/>
      </c>
      <c r="D232" s="341" t="str">
        <f t="shared" si="18"/>
        <v/>
      </c>
      <c r="E232" s="328" t="str">
        <f t="shared" si="21"/>
        <v/>
      </c>
      <c r="F232" s="339" t="str">
        <f t="shared" si="19"/>
        <v/>
      </c>
      <c r="G232" s="328" t="str">
        <f t="shared" si="22"/>
        <v/>
      </c>
      <c r="H232" s="340" t="str">
        <f t="shared" si="23"/>
        <v/>
      </c>
      <c r="I232" s="57"/>
    </row>
    <row r="233" spans="2:9" ht="20.100000000000001" customHeight="1" x14ac:dyDescent="0.3">
      <c r="B233" s="344">
        <v>225</v>
      </c>
      <c r="C233" s="342" t="str">
        <f t="shared" si="20"/>
        <v/>
      </c>
      <c r="D233" s="341" t="str">
        <f t="shared" si="18"/>
        <v/>
      </c>
      <c r="E233" s="328" t="str">
        <f t="shared" si="21"/>
        <v/>
      </c>
      <c r="F233" s="339" t="str">
        <f t="shared" si="19"/>
        <v/>
      </c>
      <c r="G233" s="328" t="str">
        <f t="shared" si="22"/>
        <v/>
      </c>
      <c r="H233" s="340" t="str">
        <f t="shared" si="23"/>
        <v/>
      </c>
      <c r="I233" s="57"/>
    </row>
    <row r="234" spans="2:9" ht="20.100000000000001" customHeight="1" x14ac:dyDescent="0.3">
      <c r="B234" s="344">
        <v>226</v>
      </c>
      <c r="C234" s="342" t="str">
        <f t="shared" si="20"/>
        <v/>
      </c>
      <c r="D234" s="341" t="str">
        <f t="shared" si="18"/>
        <v/>
      </c>
      <c r="E234" s="328" t="str">
        <f t="shared" si="21"/>
        <v/>
      </c>
      <c r="F234" s="339" t="str">
        <f t="shared" si="19"/>
        <v/>
      </c>
      <c r="G234" s="328" t="str">
        <f t="shared" si="22"/>
        <v/>
      </c>
      <c r="H234" s="340" t="str">
        <f t="shared" si="23"/>
        <v/>
      </c>
      <c r="I234" s="57"/>
    </row>
    <row r="235" spans="2:9" ht="20.100000000000001" customHeight="1" x14ac:dyDescent="0.3">
      <c r="B235" s="344">
        <v>227</v>
      </c>
      <c r="C235" s="342" t="str">
        <f t="shared" si="20"/>
        <v/>
      </c>
      <c r="D235" s="341" t="str">
        <f t="shared" si="18"/>
        <v/>
      </c>
      <c r="E235" s="328" t="str">
        <f t="shared" si="21"/>
        <v/>
      </c>
      <c r="F235" s="339" t="str">
        <f t="shared" si="19"/>
        <v/>
      </c>
      <c r="G235" s="328" t="str">
        <f t="shared" si="22"/>
        <v/>
      </c>
      <c r="H235" s="340" t="str">
        <f t="shared" si="23"/>
        <v/>
      </c>
      <c r="I235" s="57"/>
    </row>
    <row r="236" spans="2:9" ht="20.100000000000001" customHeight="1" x14ac:dyDescent="0.3">
      <c r="B236" s="344">
        <v>228</v>
      </c>
      <c r="C236" s="342" t="str">
        <f t="shared" si="20"/>
        <v/>
      </c>
      <c r="D236" s="341" t="str">
        <f t="shared" si="18"/>
        <v/>
      </c>
      <c r="E236" s="328" t="str">
        <f t="shared" si="21"/>
        <v/>
      </c>
      <c r="F236" s="339" t="str">
        <f t="shared" si="19"/>
        <v/>
      </c>
      <c r="G236" s="328" t="str">
        <f t="shared" si="22"/>
        <v/>
      </c>
      <c r="H236" s="340" t="str">
        <f t="shared" si="23"/>
        <v/>
      </c>
      <c r="I236" s="57"/>
    </row>
    <row r="237" spans="2:9" ht="20.100000000000001" customHeight="1" x14ac:dyDescent="0.3">
      <c r="B237" s="344">
        <v>229</v>
      </c>
      <c r="C237" s="342" t="str">
        <f t="shared" si="20"/>
        <v/>
      </c>
      <c r="D237" s="341" t="str">
        <f t="shared" si="18"/>
        <v/>
      </c>
      <c r="E237" s="328" t="str">
        <f t="shared" si="21"/>
        <v/>
      </c>
      <c r="F237" s="339" t="str">
        <f t="shared" si="19"/>
        <v/>
      </c>
      <c r="G237" s="328" t="str">
        <f t="shared" si="22"/>
        <v/>
      </c>
      <c r="H237" s="340" t="str">
        <f t="shared" si="23"/>
        <v/>
      </c>
      <c r="I237" s="57"/>
    </row>
    <row r="238" spans="2:9" ht="20.100000000000001" customHeight="1" x14ac:dyDescent="0.3">
      <c r="B238" s="344">
        <v>230</v>
      </c>
      <c r="C238" s="342" t="str">
        <f t="shared" si="20"/>
        <v/>
      </c>
      <c r="D238" s="341" t="str">
        <f t="shared" si="18"/>
        <v/>
      </c>
      <c r="E238" s="328" t="str">
        <f t="shared" si="21"/>
        <v/>
      </c>
      <c r="F238" s="339" t="str">
        <f t="shared" si="19"/>
        <v/>
      </c>
      <c r="G238" s="328" t="str">
        <f t="shared" si="22"/>
        <v/>
      </c>
      <c r="H238" s="340" t="str">
        <f t="shared" si="23"/>
        <v/>
      </c>
      <c r="I238" s="57"/>
    </row>
    <row r="239" spans="2:9" ht="20.100000000000001" customHeight="1" x14ac:dyDescent="0.3">
      <c r="B239" s="344">
        <v>231</v>
      </c>
      <c r="C239" s="342" t="str">
        <f t="shared" si="20"/>
        <v/>
      </c>
      <c r="D239" s="341" t="str">
        <f t="shared" si="18"/>
        <v/>
      </c>
      <c r="E239" s="328" t="str">
        <f t="shared" si="21"/>
        <v/>
      </c>
      <c r="F239" s="339" t="str">
        <f t="shared" si="19"/>
        <v/>
      </c>
      <c r="G239" s="328" t="str">
        <f t="shared" si="22"/>
        <v/>
      </c>
      <c r="H239" s="340" t="str">
        <f t="shared" si="23"/>
        <v/>
      </c>
      <c r="I239" s="57"/>
    </row>
    <row r="240" spans="2:9" ht="20.100000000000001" customHeight="1" x14ac:dyDescent="0.3">
      <c r="B240" s="344">
        <v>232</v>
      </c>
      <c r="C240" s="342" t="str">
        <f t="shared" si="20"/>
        <v/>
      </c>
      <c r="D240" s="341" t="str">
        <f t="shared" si="18"/>
        <v/>
      </c>
      <c r="E240" s="328" t="str">
        <f t="shared" si="21"/>
        <v/>
      </c>
      <c r="F240" s="339" t="str">
        <f t="shared" si="19"/>
        <v/>
      </c>
      <c r="G240" s="328" t="str">
        <f t="shared" si="22"/>
        <v/>
      </c>
      <c r="H240" s="340" t="str">
        <f t="shared" si="23"/>
        <v/>
      </c>
      <c r="I240" s="57"/>
    </row>
    <row r="241" spans="2:9" ht="20.100000000000001" customHeight="1" x14ac:dyDescent="0.3">
      <c r="B241" s="344">
        <v>233</v>
      </c>
      <c r="C241" s="342" t="str">
        <f t="shared" si="20"/>
        <v/>
      </c>
      <c r="D241" s="341" t="str">
        <f t="shared" si="18"/>
        <v/>
      </c>
      <c r="E241" s="328" t="str">
        <f t="shared" si="21"/>
        <v/>
      </c>
      <c r="F241" s="339" t="str">
        <f t="shared" si="19"/>
        <v/>
      </c>
      <c r="G241" s="328" t="str">
        <f t="shared" si="22"/>
        <v/>
      </c>
      <c r="H241" s="340" t="str">
        <f t="shared" si="23"/>
        <v/>
      </c>
      <c r="I241" s="57"/>
    </row>
    <row r="242" spans="2:9" ht="20.100000000000001" customHeight="1" x14ac:dyDescent="0.3">
      <c r="B242" s="344">
        <v>234</v>
      </c>
      <c r="C242" s="342" t="str">
        <f t="shared" si="20"/>
        <v/>
      </c>
      <c r="D242" s="341" t="str">
        <f t="shared" si="18"/>
        <v/>
      </c>
      <c r="E242" s="328" t="str">
        <f t="shared" si="21"/>
        <v/>
      </c>
      <c r="F242" s="339" t="str">
        <f t="shared" si="19"/>
        <v/>
      </c>
      <c r="G242" s="328" t="str">
        <f t="shared" si="22"/>
        <v/>
      </c>
      <c r="H242" s="340" t="str">
        <f t="shared" si="23"/>
        <v/>
      </c>
      <c r="I242" s="57"/>
    </row>
    <row r="243" spans="2:9" ht="20.100000000000001" customHeight="1" x14ac:dyDescent="0.3">
      <c r="B243" s="344">
        <v>235</v>
      </c>
      <c r="C243" s="342" t="str">
        <f t="shared" si="20"/>
        <v/>
      </c>
      <c r="D243" s="341" t="str">
        <f t="shared" si="18"/>
        <v/>
      </c>
      <c r="E243" s="328" t="str">
        <f t="shared" si="21"/>
        <v/>
      </c>
      <c r="F243" s="339" t="str">
        <f t="shared" si="19"/>
        <v/>
      </c>
      <c r="G243" s="328" t="str">
        <f t="shared" si="22"/>
        <v/>
      </c>
      <c r="H243" s="340" t="str">
        <f t="shared" si="23"/>
        <v/>
      </c>
      <c r="I243" s="57"/>
    </row>
    <row r="244" spans="2:9" ht="20.100000000000001" customHeight="1" x14ac:dyDescent="0.3">
      <c r="B244" s="344">
        <v>236</v>
      </c>
      <c r="C244" s="342" t="str">
        <f t="shared" si="20"/>
        <v/>
      </c>
      <c r="D244" s="341" t="str">
        <f t="shared" si="18"/>
        <v/>
      </c>
      <c r="E244" s="328" t="str">
        <f t="shared" si="21"/>
        <v/>
      </c>
      <c r="F244" s="339" t="str">
        <f t="shared" si="19"/>
        <v/>
      </c>
      <c r="G244" s="328" t="str">
        <f t="shared" si="22"/>
        <v/>
      </c>
      <c r="H244" s="340" t="str">
        <f t="shared" si="23"/>
        <v/>
      </c>
      <c r="I244" s="57"/>
    </row>
    <row r="245" spans="2:9" ht="20.100000000000001" customHeight="1" x14ac:dyDescent="0.3">
      <c r="B245" s="344">
        <v>237</v>
      </c>
      <c r="C245" s="342" t="str">
        <f t="shared" si="20"/>
        <v/>
      </c>
      <c r="D245" s="341" t="str">
        <f t="shared" si="18"/>
        <v/>
      </c>
      <c r="E245" s="328" t="str">
        <f t="shared" si="21"/>
        <v/>
      </c>
      <c r="F245" s="339" t="str">
        <f t="shared" si="19"/>
        <v/>
      </c>
      <c r="G245" s="328" t="str">
        <f t="shared" si="22"/>
        <v/>
      </c>
      <c r="H245" s="340" t="str">
        <f t="shared" si="23"/>
        <v/>
      </c>
      <c r="I245" s="57"/>
    </row>
    <row r="246" spans="2:9" ht="20.100000000000001" customHeight="1" x14ac:dyDescent="0.3">
      <c r="B246" s="344">
        <v>238</v>
      </c>
      <c r="C246" s="342" t="str">
        <f t="shared" si="20"/>
        <v/>
      </c>
      <c r="D246" s="341" t="str">
        <f t="shared" si="18"/>
        <v/>
      </c>
      <c r="E246" s="328" t="str">
        <f t="shared" si="21"/>
        <v/>
      </c>
      <c r="F246" s="339" t="str">
        <f t="shared" si="19"/>
        <v/>
      </c>
      <c r="G246" s="328" t="str">
        <f t="shared" si="22"/>
        <v/>
      </c>
      <c r="H246" s="340" t="str">
        <f t="shared" si="23"/>
        <v/>
      </c>
      <c r="I246" s="57"/>
    </row>
    <row r="247" spans="2:9" ht="20.100000000000001" customHeight="1" x14ac:dyDescent="0.3">
      <c r="B247" s="344">
        <v>239</v>
      </c>
      <c r="C247" s="342" t="str">
        <f t="shared" si="20"/>
        <v/>
      </c>
      <c r="D247" s="341" t="str">
        <f t="shared" si="18"/>
        <v/>
      </c>
      <c r="E247" s="328" t="str">
        <f t="shared" si="21"/>
        <v/>
      </c>
      <c r="F247" s="339" t="str">
        <f t="shared" si="19"/>
        <v/>
      </c>
      <c r="G247" s="328" t="str">
        <f t="shared" si="22"/>
        <v/>
      </c>
      <c r="H247" s="340" t="str">
        <f t="shared" si="23"/>
        <v/>
      </c>
      <c r="I247" s="57"/>
    </row>
    <row r="248" spans="2:9" ht="20.100000000000001" customHeight="1" x14ac:dyDescent="0.3">
      <c r="B248" s="344">
        <v>240</v>
      </c>
      <c r="C248" s="342" t="str">
        <f t="shared" si="20"/>
        <v/>
      </c>
      <c r="D248" s="341" t="str">
        <f t="shared" si="18"/>
        <v/>
      </c>
      <c r="E248" s="328" t="str">
        <f t="shared" si="21"/>
        <v/>
      </c>
      <c r="F248" s="339" t="str">
        <f t="shared" si="19"/>
        <v/>
      </c>
      <c r="G248" s="328" t="str">
        <f t="shared" si="22"/>
        <v/>
      </c>
      <c r="H248" s="340" t="str">
        <f t="shared" si="23"/>
        <v/>
      </c>
      <c r="I248" s="57"/>
    </row>
    <row r="249" spans="2:9" ht="20.100000000000001" customHeight="1" x14ac:dyDescent="0.3">
      <c r="B249" s="344">
        <v>241</v>
      </c>
      <c r="C249" s="342" t="str">
        <f t="shared" si="20"/>
        <v/>
      </c>
      <c r="D249" s="341" t="str">
        <f t="shared" si="18"/>
        <v/>
      </c>
      <c r="E249" s="328" t="str">
        <f t="shared" si="21"/>
        <v/>
      </c>
      <c r="F249" s="339" t="str">
        <f t="shared" si="19"/>
        <v/>
      </c>
      <c r="G249" s="328" t="str">
        <f t="shared" si="22"/>
        <v/>
      </c>
      <c r="H249" s="340" t="str">
        <f t="shared" si="23"/>
        <v/>
      </c>
      <c r="I249" s="57"/>
    </row>
    <row r="250" spans="2:9" ht="20.100000000000001" customHeight="1" x14ac:dyDescent="0.3">
      <c r="B250" s="344">
        <v>242</v>
      </c>
      <c r="C250" s="342" t="str">
        <f t="shared" si="20"/>
        <v/>
      </c>
      <c r="D250" s="341" t="str">
        <f t="shared" si="18"/>
        <v/>
      </c>
      <c r="E250" s="328" t="str">
        <f t="shared" si="21"/>
        <v/>
      </c>
      <c r="F250" s="339" t="str">
        <f t="shared" si="19"/>
        <v/>
      </c>
      <c r="G250" s="328" t="str">
        <f t="shared" si="22"/>
        <v/>
      </c>
      <c r="H250" s="340" t="str">
        <f t="shared" si="23"/>
        <v/>
      </c>
      <c r="I250" s="57"/>
    </row>
    <row r="251" spans="2:9" ht="20.100000000000001" customHeight="1" x14ac:dyDescent="0.3">
      <c r="B251" s="344">
        <v>243</v>
      </c>
      <c r="C251" s="342" t="str">
        <f t="shared" si="20"/>
        <v/>
      </c>
      <c r="D251" s="341" t="str">
        <f t="shared" si="18"/>
        <v/>
      </c>
      <c r="E251" s="328" t="str">
        <f t="shared" si="21"/>
        <v/>
      </c>
      <c r="F251" s="339" t="str">
        <f t="shared" si="19"/>
        <v/>
      </c>
      <c r="G251" s="328" t="str">
        <f t="shared" si="22"/>
        <v/>
      </c>
      <c r="H251" s="340" t="str">
        <f t="shared" si="23"/>
        <v/>
      </c>
      <c r="I251" s="57"/>
    </row>
    <row r="252" spans="2:9" ht="20.100000000000001" customHeight="1" x14ac:dyDescent="0.3">
      <c r="B252" s="344">
        <v>244</v>
      </c>
      <c r="C252" s="342" t="str">
        <f t="shared" si="20"/>
        <v/>
      </c>
      <c r="D252" s="341" t="str">
        <f t="shared" si="18"/>
        <v/>
      </c>
      <c r="E252" s="328" t="str">
        <f t="shared" si="21"/>
        <v/>
      </c>
      <c r="F252" s="339" t="str">
        <f t="shared" si="19"/>
        <v/>
      </c>
      <c r="G252" s="328" t="str">
        <f t="shared" si="22"/>
        <v/>
      </c>
      <c r="H252" s="340" t="str">
        <f t="shared" si="23"/>
        <v/>
      </c>
      <c r="I252" s="57"/>
    </row>
    <row r="253" spans="2:9" ht="20.100000000000001" customHeight="1" x14ac:dyDescent="0.3">
      <c r="B253" s="344">
        <v>245</v>
      </c>
      <c r="C253" s="342" t="str">
        <f t="shared" si="20"/>
        <v/>
      </c>
      <c r="D253" s="341" t="str">
        <f t="shared" si="18"/>
        <v/>
      </c>
      <c r="E253" s="328" t="str">
        <f t="shared" si="21"/>
        <v/>
      </c>
      <c r="F253" s="339" t="str">
        <f t="shared" si="19"/>
        <v/>
      </c>
      <c r="G253" s="328" t="str">
        <f t="shared" si="22"/>
        <v/>
      </c>
      <c r="H253" s="340" t="str">
        <f t="shared" si="23"/>
        <v/>
      </c>
      <c r="I253" s="57"/>
    </row>
    <row r="254" spans="2:9" ht="20.100000000000001" customHeight="1" x14ac:dyDescent="0.3">
      <c r="B254" s="344">
        <v>246</v>
      </c>
      <c r="C254" s="342" t="str">
        <f t="shared" si="20"/>
        <v/>
      </c>
      <c r="D254" s="341" t="str">
        <f t="shared" si="18"/>
        <v/>
      </c>
      <c r="E254" s="328" t="str">
        <f t="shared" si="21"/>
        <v/>
      </c>
      <c r="F254" s="339" t="str">
        <f t="shared" si="19"/>
        <v/>
      </c>
      <c r="G254" s="328" t="str">
        <f t="shared" si="22"/>
        <v/>
      </c>
      <c r="H254" s="340" t="str">
        <f t="shared" si="23"/>
        <v/>
      </c>
      <c r="I254" s="57"/>
    </row>
    <row r="255" spans="2:9" ht="20.100000000000001" customHeight="1" x14ac:dyDescent="0.3">
      <c r="B255" s="344">
        <v>247</v>
      </c>
      <c r="C255" s="342" t="str">
        <f t="shared" si="20"/>
        <v/>
      </c>
      <c r="D255" s="341" t="str">
        <f t="shared" si="18"/>
        <v/>
      </c>
      <c r="E255" s="328" t="str">
        <f t="shared" si="21"/>
        <v/>
      </c>
      <c r="F255" s="339" t="str">
        <f t="shared" si="19"/>
        <v/>
      </c>
      <c r="G255" s="328" t="str">
        <f t="shared" si="22"/>
        <v/>
      </c>
      <c r="H255" s="340" t="str">
        <f t="shared" si="23"/>
        <v/>
      </c>
      <c r="I255" s="57"/>
    </row>
    <row r="256" spans="2:9" ht="20.100000000000001" customHeight="1" x14ac:dyDescent="0.3">
      <c r="B256" s="344">
        <v>248</v>
      </c>
      <c r="C256" s="342" t="str">
        <f t="shared" si="20"/>
        <v/>
      </c>
      <c r="D256" s="341" t="str">
        <f t="shared" si="18"/>
        <v/>
      </c>
      <c r="E256" s="328" t="str">
        <f t="shared" si="21"/>
        <v/>
      </c>
      <c r="F256" s="339" t="str">
        <f t="shared" si="19"/>
        <v/>
      </c>
      <c r="G256" s="328" t="str">
        <f t="shared" si="22"/>
        <v/>
      </c>
      <c r="H256" s="340" t="str">
        <f t="shared" si="23"/>
        <v/>
      </c>
      <c r="I256" s="57"/>
    </row>
    <row r="257" spans="2:9" ht="20.100000000000001" customHeight="1" x14ac:dyDescent="0.3">
      <c r="B257" s="344">
        <v>249</v>
      </c>
      <c r="C257" s="342" t="str">
        <f t="shared" si="20"/>
        <v/>
      </c>
      <c r="D257" s="341" t="str">
        <f t="shared" si="18"/>
        <v/>
      </c>
      <c r="E257" s="328" t="str">
        <f t="shared" si="21"/>
        <v/>
      </c>
      <c r="F257" s="339" t="str">
        <f t="shared" si="19"/>
        <v/>
      </c>
      <c r="G257" s="328" t="str">
        <f t="shared" si="22"/>
        <v/>
      </c>
      <c r="H257" s="340" t="str">
        <f t="shared" si="23"/>
        <v/>
      </c>
      <c r="I257" s="57"/>
    </row>
    <row r="258" spans="2:9" ht="20.100000000000001" customHeight="1" x14ac:dyDescent="0.3">
      <c r="B258" s="344">
        <v>250</v>
      </c>
      <c r="C258" s="342" t="str">
        <f t="shared" si="20"/>
        <v/>
      </c>
      <c r="D258" s="341" t="str">
        <f t="shared" si="18"/>
        <v/>
      </c>
      <c r="E258" s="328" t="str">
        <f t="shared" si="21"/>
        <v/>
      </c>
      <c r="F258" s="339" t="str">
        <f t="shared" si="19"/>
        <v/>
      </c>
      <c r="G258" s="328" t="str">
        <f t="shared" si="22"/>
        <v/>
      </c>
      <c r="H258" s="340" t="str">
        <f t="shared" si="23"/>
        <v/>
      </c>
      <c r="I258" s="57"/>
    </row>
    <row r="259" spans="2:9" ht="20.100000000000001" customHeight="1" x14ac:dyDescent="0.3">
      <c r="B259" s="344">
        <v>251</v>
      </c>
      <c r="C259" s="342" t="str">
        <f t="shared" si="20"/>
        <v/>
      </c>
      <c r="D259" s="341" t="str">
        <f t="shared" si="18"/>
        <v/>
      </c>
      <c r="E259" s="328" t="str">
        <f t="shared" si="21"/>
        <v/>
      </c>
      <c r="F259" s="339" t="str">
        <f t="shared" si="19"/>
        <v/>
      </c>
      <c r="G259" s="328" t="str">
        <f t="shared" si="22"/>
        <v/>
      </c>
      <c r="H259" s="340" t="str">
        <f t="shared" si="23"/>
        <v/>
      </c>
      <c r="I259" s="57"/>
    </row>
    <row r="260" spans="2:9" ht="20.100000000000001" customHeight="1" x14ac:dyDescent="0.3">
      <c r="B260" s="344">
        <v>252</v>
      </c>
      <c r="C260" s="342" t="str">
        <f t="shared" si="20"/>
        <v/>
      </c>
      <c r="D260" s="341" t="str">
        <f t="shared" si="18"/>
        <v/>
      </c>
      <c r="E260" s="328" t="str">
        <f t="shared" si="21"/>
        <v/>
      </c>
      <c r="F260" s="339" t="str">
        <f t="shared" si="19"/>
        <v/>
      </c>
      <c r="G260" s="328" t="str">
        <f t="shared" si="22"/>
        <v/>
      </c>
      <c r="H260" s="340" t="str">
        <f t="shared" si="23"/>
        <v/>
      </c>
      <c r="I260" s="57"/>
    </row>
    <row r="261" spans="2:9" ht="20.100000000000001" customHeight="1" x14ac:dyDescent="0.3">
      <c r="B261" s="344">
        <v>253</v>
      </c>
      <c r="C261" s="342" t="str">
        <f t="shared" si="20"/>
        <v/>
      </c>
      <c r="D261" s="341" t="str">
        <f t="shared" si="18"/>
        <v/>
      </c>
      <c r="E261" s="328" t="str">
        <f t="shared" si="21"/>
        <v/>
      </c>
      <c r="F261" s="339" t="str">
        <f t="shared" si="19"/>
        <v/>
      </c>
      <c r="G261" s="328" t="str">
        <f t="shared" si="22"/>
        <v/>
      </c>
      <c r="H261" s="340" t="str">
        <f t="shared" si="23"/>
        <v/>
      </c>
      <c r="I261" s="57"/>
    </row>
    <row r="262" spans="2:9" ht="20.100000000000001" customHeight="1" x14ac:dyDescent="0.3">
      <c r="B262" s="344">
        <v>254</v>
      </c>
      <c r="C262" s="342" t="str">
        <f t="shared" si="20"/>
        <v/>
      </c>
      <c r="D262" s="341" t="str">
        <f t="shared" si="18"/>
        <v/>
      </c>
      <c r="E262" s="328" t="str">
        <f t="shared" si="21"/>
        <v/>
      </c>
      <c r="F262" s="339" t="str">
        <f t="shared" si="19"/>
        <v/>
      </c>
      <c r="G262" s="328" t="str">
        <f t="shared" si="22"/>
        <v/>
      </c>
      <c r="H262" s="340" t="str">
        <f t="shared" si="23"/>
        <v/>
      </c>
      <c r="I262" s="57"/>
    </row>
    <row r="263" spans="2:9" ht="20.100000000000001" customHeight="1" x14ac:dyDescent="0.3">
      <c r="B263" s="344">
        <v>255</v>
      </c>
      <c r="C263" s="342" t="str">
        <f t="shared" si="20"/>
        <v/>
      </c>
      <c r="D263" s="341" t="str">
        <f t="shared" si="18"/>
        <v/>
      </c>
      <c r="E263" s="328" t="str">
        <f t="shared" si="21"/>
        <v/>
      </c>
      <c r="F263" s="339" t="str">
        <f t="shared" si="19"/>
        <v/>
      </c>
      <c r="G263" s="328" t="str">
        <f t="shared" si="22"/>
        <v/>
      </c>
      <c r="H263" s="340" t="str">
        <f t="shared" si="23"/>
        <v/>
      </c>
      <c r="I263" s="57"/>
    </row>
    <row r="264" spans="2:9" ht="20.100000000000001" customHeight="1" x14ac:dyDescent="0.3">
      <c r="B264" s="344">
        <v>256</v>
      </c>
      <c r="C264" s="342" t="str">
        <f t="shared" si="20"/>
        <v/>
      </c>
      <c r="D264" s="341" t="str">
        <f t="shared" si="18"/>
        <v/>
      </c>
      <c r="E264" s="328" t="str">
        <f t="shared" si="21"/>
        <v/>
      </c>
      <c r="F264" s="339" t="str">
        <f t="shared" si="19"/>
        <v/>
      </c>
      <c r="G264" s="328" t="str">
        <f t="shared" si="22"/>
        <v/>
      </c>
      <c r="H264" s="340" t="str">
        <f t="shared" si="23"/>
        <v/>
      </c>
      <c r="I264" s="57"/>
    </row>
    <row r="265" spans="2:9" ht="20.100000000000001" customHeight="1" x14ac:dyDescent="0.3">
      <c r="B265" s="344">
        <v>257</v>
      </c>
      <c r="C265" s="342" t="str">
        <f t="shared" si="20"/>
        <v/>
      </c>
      <c r="D265" s="341" t="str">
        <f t="shared" si="18"/>
        <v/>
      </c>
      <c r="E265" s="328" t="str">
        <f t="shared" si="21"/>
        <v/>
      </c>
      <c r="F265" s="339" t="str">
        <f t="shared" si="19"/>
        <v/>
      </c>
      <c r="G265" s="328" t="str">
        <f t="shared" si="22"/>
        <v/>
      </c>
      <c r="H265" s="340" t="str">
        <f t="shared" si="23"/>
        <v/>
      </c>
      <c r="I265" s="57"/>
    </row>
    <row r="266" spans="2:9" ht="20.100000000000001" customHeight="1" x14ac:dyDescent="0.3">
      <c r="B266" s="344">
        <v>258</v>
      </c>
      <c r="C266" s="342" t="str">
        <f t="shared" si="20"/>
        <v/>
      </c>
      <c r="D266" s="341" t="str">
        <f t="shared" ref="D266:D329" si="24">IF($H$4="","",IF($F$4="원리금균등상환",IFERROR(IF(B266&lt;=$D$6,0,-PPMT($E$4/12,B266-$D$6,($B$6-$D$6),$D$4)),""),IF($F$4="원금균등상환",IF(B266&lt;($D$6+1),0,IF(B266&gt;$B$6,0,$D$4/($B$6-$D$6))),"")))</f>
        <v/>
      </c>
      <c r="E266" s="328" t="str">
        <f t="shared" si="21"/>
        <v/>
      </c>
      <c r="F266" s="339" t="str">
        <f t="shared" ref="F266:F329" si="25">IF($H$4="","",IF($F$4="원리금균등상환",IFERROR(D266+E266,""),IF($F$4="원금균등상환",D266+E266,"")))</f>
        <v/>
      </c>
      <c r="G266" s="328" t="str">
        <f t="shared" si="22"/>
        <v/>
      </c>
      <c r="H266" s="340" t="str">
        <f t="shared" si="23"/>
        <v/>
      </c>
      <c r="I266" s="57"/>
    </row>
    <row r="267" spans="2:9" ht="20.100000000000001" customHeight="1" x14ac:dyDescent="0.3">
      <c r="B267" s="344">
        <v>259</v>
      </c>
      <c r="C267" s="342" t="str">
        <f t="shared" ref="C267:C330" si="26">IF($H$4="","",IF(B267&gt;($B$6),"",IF(B267&lt;=($B$6),DATE(YEAR($G$4),MONTH($G$4)+B266,DAY($G$4)),"")))</f>
        <v/>
      </c>
      <c r="D267" s="341" t="str">
        <f t="shared" si="24"/>
        <v/>
      </c>
      <c r="E267" s="328" t="str">
        <f t="shared" ref="E267:E330" si="27">IF($H$4="","",IF($F$4="원리금균등상환",IFERROR(IF(B267&lt;=$D$6,$H266*($E$4/12),-IPMT($E$4/12,B267-$D$6,($B$6-$D$6),$D$4)),""),IF($F$4="원금균등상환",(H266-D267)*$E$4/12,"")))</f>
        <v/>
      </c>
      <c r="F267" s="339" t="str">
        <f t="shared" si="25"/>
        <v/>
      </c>
      <c r="G267" s="328" t="str">
        <f t="shared" ref="G267:G330" si="28">IFERROR(IF(B267&gt;(($D$6+$B$6)*12),"",IF(B267=1,D267,D267+G266)),"")</f>
        <v/>
      </c>
      <c r="H267" s="340" t="str">
        <f t="shared" ref="H267:H330" si="29">IFERROR(IF($H$4="","",H266-D267),"")</f>
        <v/>
      </c>
      <c r="I267" s="57"/>
    </row>
    <row r="268" spans="2:9" ht="20.100000000000001" customHeight="1" x14ac:dyDescent="0.3">
      <c r="B268" s="344">
        <v>260</v>
      </c>
      <c r="C268" s="342" t="str">
        <f t="shared" si="26"/>
        <v/>
      </c>
      <c r="D268" s="341" t="str">
        <f t="shared" si="24"/>
        <v/>
      </c>
      <c r="E268" s="328" t="str">
        <f t="shared" si="27"/>
        <v/>
      </c>
      <c r="F268" s="339" t="str">
        <f t="shared" si="25"/>
        <v/>
      </c>
      <c r="G268" s="328" t="str">
        <f t="shared" si="28"/>
        <v/>
      </c>
      <c r="H268" s="340" t="str">
        <f t="shared" si="29"/>
        <v/>
      </c>
      <c r="I268" s="57"/>
    </row>
    <row r="269" spans="2:9" ht="20.100000000000001" customHeight="1" x14ac:dyDescent="0.3">
      <c r="B269" s="344">
        <v>261</v>
      </c>
      <c r="C269" s="342" t="str">
        <f t="shared" si="26"/>
        <v/>
      </c>
      <c r="D269" s="341" t="str">
        <f t="shared" si="24"/>
        <v/>
      </c>
      <c r="E269" s="328" t="str">
        <f t="shared" si="27"/>
        <v/>
      </c>
      <c r="F269" s="339" t="str">
        <f t="shared" si="25"/>
        <v/>
      </c>
      <c r="G269" s="328" t="str">
        <f t="shared" si="28"/>
        <v/>
      </c>
      <c r="H269" s="340" t="str">
        <f t="shared" si="29"/>
        <v/>
      </c>
      <c r="I269" s="57"/>
    </row>
    <row r="270" spans="2:9" ht="20.100000000000001" customHeight="1" x14ac:dyDescent="0.3">
      <c r="B270" s="344">
        <v>262</v>
      </c>
      <c r="C270" s="342" t="str">
        <f t="shared" si="26"/>
        <v/>
      </c>
      <c r="D270" s="341" t="str">
        <f t="shared" si="24"/>
        <v/>
      </c>
      <c r="E270" s="328" t="str">
        <f t="shared" si="27"/>
        <v/>
      </c>
      <c r="F270" s="339" t="str">
        <f t="shared" si="25"/>
        <v/>
      </c>
      <c r="G270" s="328" t="str">
        <f t="shared" si="28"/>
        <v/>
      </c>
      <c r="H270" s="340" t="str">
        <f t="shared" si="29"/>
        <v/>
      </c>
      <c r="I270" s="57"/>
    </row>
    <row r="271" spans="2:9" ht="20.100000000000001" customHeight="1" x14ac:dyDescent="0.3">
      <c r="B271" s="344">
        <v>263</v>
      </c>
      <c r="C271" s="342" t="str">
        <f t="shared" si="26"/>
        <v/>
      </c>
      <c r="D271" s="341" t="str">
        <f t="shared" si="24"/>
        <v/>
      </c>
      <c r="E271" s="328" t="str">
        <f t="shared" si="27"/>
        <v/>
      </c>
      <c r="F271" s="339" t="str">
        <f t="shared" si="25"/>
        <v/>
      </c>
      <c r="G271" s="328" t="str">
        <f t="shared" si="28"/>
        <v/>
      </c>
      <c r="H271" s="340" t="str">
        <f t="shared" si="29"/>
        <v/>
      </c>
      <c r="I271" s="57"/>
    </row>
    <row r="272" spans="2:9" ht="20.100000000000001" customHeight="1" x14ac:dyDescent="0.3">
      <c r="B272" s="344">
        <v>264</v>
      </c>
      <c r="C272" s="342" t="str">
        <f t="shared" si="26"/>
        <v/>
      </c>
      <c r="D272" s="341" t="str">
        <f t="shared" si="24"/>
        <v/>
      </c>
      <c r="E272" s="328" t="str">
        <f t="shared" si="27"/>
        <v/>
      </c>
      <c r="F272" s="339" t="str">
        <f t="shared" si="25"/>
        <v/>
      </c>
      <c r="G272" s="328" t="str">
        <f t="shared" si="28"/>
        <v/>
      </c>
      <c r="H272" s="340" t="str">
        <f t="shared" si="29"/>
        <v/>
      </c>
      <c r="I272" s="57"/>
    </row>
    <row r="273" spans="2:9" ht="20.100000000000001" customHeight="1" x14ac:dyDescent="0.3">
      <c r="B273" s="344">
        <v>265</v>
      </c>
      <c r="C273" s="342" t="str">
        <f t="shared" si="26"/>
        <v/>
      </c>
      <c r="D273" s="341" t="str">
        <f t="shared" si="24"/>
        <v/>
      </c>
      <c r="E273" s="328" t="str">
        <f t="shared" si="27"/>
        <v/>
      </c>
      <c r="F273" s="339" t="str">
        <f t="shared" si="25"/>
        <v/>
      </c>
      <c r="G273" s="328" t="str">
        <f t="shared" si="28"/>
        <v/>
      </c>
      <c r="H273" s="340" t="str">
        <f t="shared" si="29"/>
        <v/>
      </c>
      <c r="I273" s="57"/>
    </row>
    <row r="274" spans="2:9" ht="20.100000000000001" customHeight="1" x14ac:dyDescent="0.3">
      <c r="B274" s="344">
        <v>266</v>
      </c>
      <c r="C274" s="342" t="str">
        <f t="shared" si="26"/>
        <v/>
      </c>
      <c r="D274" s="341" t="str">
        <f t="shared" si="24"/>
        <v/>
      </c>
      <c r="E274" s="328" t="str">
        <f t="shared" si="27"/>
        <v/>
      </c>
      <c r="F274" s="339" t="str">
        <f t="shared" si="25"/>
        <v/>
      </c>
      <c r="G274" s="328" t="str">
        <f t="shared" si="28"/>
        <v/>
      </c>
      <c r="H274" s="340" t="str">
        <f t="shared" si="29"/>
        <v/>
      </c>
      <c r="I274" s="57"/>
    </row>
    <row r="275" spans="2:9" ht="20.100000000000001" customHeight="1" x14ac:dyDescent="0.3">
      <c r="B275" s="344">
        <v>267</v>
      </c>
      <c r="C275" s="342" t="str">
        <f t="shared" si="26"/>
        <v/>
      </c>
      <c r="D275" s="341" t="str">
        <f t="shared" si="24"/>
        <v/>
      </c>
      <c r="E275" s="328" t="str">
        <f t="shared" si="27"/>
        <v/>
      </c>
      <c r="F275" s="339" t="str">
        <f t="shared" si="25"/>
        <v/>
      </c>
      <c r="G275" s="328" t="str">
        <f t="shared" si="28"/>
        <v/>
      </c>
      <c r="H275" s="340" t="str">
        <f t="shared" si="29"/>
        <v/>
      </c>
      <c r="I275" s="57"/>
    </row>
    <row r="276" spans="2:9" ht="20.100000000000001" customHeight="1" x14ac:dyDescent="0.3">
      <c r="B276" s="344">
        <v>268</v>
      </c>
      <c r="C276" s="342" t="str">
        <f t="shared" si="26"/>
        <v/>
      </c>
      <c r="D276" s="341" t="str">
        <f t="shared" si="24"/>
        <v/>
      </c>
      <c r="E276" s="328" t="str">
        <f t="shared" si="27"/>
        <v/>
      </c>
      <c r="F276" s="339" t="str">
        <f t="shared" si="25"/>
        <v/>
      </c>
      <c r="G276" s="328" t="str">
        <f t="shared" si="28"/>
        <v/>
      </c>
      <c r="H276" s="340" t="str">
        <f t="shared" si="29"/>
        <v/>
      </c>
      <c r="I276" s="57"/>
    </row>
    <row r="277" spans="2:9" ht="20.100000000000001" customHeight="1" x14ac:dyDescent="0.3">
      <c r="B277" s="344">
        <v>269</v>
      </c>
      <c r="C277" s="342" t="str">
        <f t="shared" si="26"/>
        <v/>
      </c>
      <c r="D277" s="341" t="str">
        <f t="shared" si="24"/>
        <v/>
      </c>
      <c r="E277" s="328" t="str">
        <f t="shared" si="27"/>
        <v/>
      </c>
      <c r="F277" s="339" t="str">
        <f t="shared" si="25"/>
        <v/>
      </c>
      <c r="G277" s="328" t="str">
        <f t="shared" si="28"/>
        <v/>
      </c>
      <c r="H277" s="340" t="str">
        <f t="shared" si="29"/>
        <v/>
      </c>
      <c r="I277" s="57"/>
    </row>
    <row r="278" spans="2:9" ht="20.100000000000001" customHeight="1" x14ac:dyDescent="0.3">
      <c r="B278" s="344">
        <v>270</v>
      </c>
      <c r="C278" s="342" t="str">
        <f t="shared" si="26"/>
        <v/>
      </c>
      <c r="D278" s="341" t="str">
        <f t="shared" si="24"/>
        <v/>
      </c>
      <c r="E278" s="328" t="str">
        <f t="shared" si="27"/>
        <v/>
      </c>
      <c r="F278" s="339" t="str">
        <f t="shared" si="25"/>
        <v/>
      </c>
      <c r="G278" s="328" t="str">
        <f t="shared" si="28"/>
        <v/>
      </c>
      <c r="H278" s="340" t="str">
        <f t="shared" si="29"/>
        <v/>
      </c>
      <c r="I278" s="57"/>
    </row>
    <row r="279" spans="2:9" ht="20.100000000000001" customHeight="1" x14ac:dyDescent="0.3">
      <c r="B279" s="344">
        <v>271</v>
      </c>
      <c r="C279" s="342" t="str">
        <f t="shared" si="26"/>
        <v/>
      </c>
      <c r="D279" s="341" t="str">
        <f t="shared" si="24"/>
        <v/>
      </c>
      <c r="E279" s="328" t="str">
        <f t="shared" si="27"/>
        <v/>
      </c>
      <c r="F279" s="339" t="str">
        <f t="shared" si="25"/>
        <v/>
      </c>
      <c r="G279" s="328" t="str">
        <f t="shared" si="28"/>
        <v/>
      </c>
      <c r="H279" s="340" t="str">
        <f t="shared" si="29"/>
        <v/>
      </c>
      <c r="I279" s="57"/>
    </row>
    <row r="280" spans="2:9" ht="20.100000000000001" customHeight="1" x14ac:dyDescent="0.3">
      <c r="B280" s="344">
        <v>272</v>
      </c>
      <c r="C280" s="342" t="str">
        <f t="shared" si="26"/>
        <v/>
      </c>
      <c r="D280" s="341" t="str">
        <f t="shared" si="24"/>
        <v/>
      </c>
      <c r="E280" s="328" t="str">
        <f t="shared" si="27"/>
        <v/>
      </c>
      <c r="F280" s="339" t="str">
        <f t="shared" si="25"/>
        <v/>
      </c>
      <c r="G280" s="328" t="str">
        <f t="shared" si="28"/>
        <v/>
      </c>
      <c r="H280" s="340" t="str">
        <f t="shared" si="29"/>
        <v/>
      </c>
      <c r="I280" s="57"/>
    </row>
    <row r="281" spans="2:9" ht="20.100000000000001" customHeight="1" x14ac:dyDescent="0.3">
      <c r="B281" s="344">
        <v>273</v>
      </c>
      <c r="C281" s="342" t="str">
        <f t="shared" si="26"/>
        <v/>
      </c>
      <c r="D281" s="341" t="str">
        <f t="shared" si="24"/>
        <v/>
      </c>
      <c r="E281" s="328" t="str">
        <f t="shared" si="27"/>
        <v/>
      </c>
      <c r="F281" s="339" t="str">
        <f t="shared" si="25"/>
        <v/>
      </c>
      <c r="G281" s="328" t="str">
        <f t="shared" si="28"/>
        <v/>
      </c>
      <c r="H281" s="340" t="str">
        <f t="shared" si="29"/>
        <v/>
      </c>
      <c r="I281" s="57"/>
    </row>
    <row r="282" spans="2:9" ht="20.100000000000001" customHeight="1" x14ac:dyDescent="0.3">
      <c r="B282" s="344">
        <v>274</v>
      </c>
      <c r="C282" s="342" t="str">
        <f t="shared" si="26"/>
        <v/>
      </c>
      <c r="D282" s="341" t="str">
        <f t="shared" si="24"/>
        <v/>
      </c>
      <c r="E282" s="328" t="str">
        <f t="shared" si="27"/>
        <v/>
      </c>
      <c r="F282" s="339" t="str">
        <f t="shared" si="25"/>
        <v/>
      </c>
      <c r="G282" s="328" t="str">
        <f t="shared" si="28"/>
        <v/>
      </c>
      <c r="H282" s="340" t="str">
        <f t="shared" si="29"/>
        <v/>
      </c>
      <c r="I282" s="57"/>
    </row>
    <row r="283" spans="2:9" ht="20.100000000000001" customHeight="1" x14ac:dyDescent="0.3">
      <c r="B283" s="344">
        <v>275</v>
      </c>
      <c r="C283" s="342" t="str">
        <f t="shared" si="26"/>
        <v/>
      </c>
      <c r="D283" s="341" t="str">
        <f t="shared" si="24"/>
        <v/>
      </c>
      <c r="E283" s="328" t="str">
        <f t="shared" si="27"/>
        <v/>
      </c>
      <c r="F283" s="339" t="str">
        <f t="shared" si="25"/>
        <v/>
      </c>
      <c r="G283" s="328" t="str">
        <f t="shared" si="28"/>
        <v/>
      </c>
      <c r="H283" s="340" t="str">
        <f t="shared" si="29"/>
        <v/>
      </c>
      <c r="I283" s="57"/>
    </row>
    <row r="284" spans="2:9" ht="20.100000000000001" customHeight="1" x14ac:dyDescent="0.3">
      <c r="B284" s="344">
        <v>276</v>
      </c>
      <c r="C284" s="342" t="str">
        <f t="shared" si="26"/>
        <v/>
      </c>
      <c r="D284" s="341" t="str">
        <f t="shared" si="24"/>
        <v/>
      </c>
      <c r="E284" s="328" t="str">
        <f t="shared" si="27"/>
        <v/>
      </c>
      <c r="F284" s="339" t="str">
        <f t="shared" si="25"/>
        <v/>
      </c>
      <c r="G284" s="328" t="str">
        <f t="shared" si="28"/>
        <v/>
      </c>
      <c r="H284" s="340" t="str">
        <f t="shared" si="29"/>
        <v/>
      </c>
      <c r="I284" s="57"/>
    </row>
    <row r="285" spans="2:9" ht="20.100000000000001" customHeight="1" x14ac:dyDescent="0.3">
      <c r="B285" s="344">
        <v>277</v>
      </c>
      <c r="C285" s="342" t="str">
        <f t="shared" si="26"/>
        <v/>
      </c>
      <c r="D285" s="341" t="str">
        <f t="shared" si="24"/>
        <v/>
      </c>
      <c r="E285" s="328" t="str">
        <f t="shared" si="27"/>
        <v/>
      </c>
      <c r="F285" s="339" t="str">
        <f t="shared" si="25"/>
        <v/>
      </c>
      <c r="G285" s="328" t="str">
        <f t="shared" si="28"/>
        <v/>
      </c>
      <c r="H285" s="340" t="str">
        <f t="shared" si="29"/>
        <v/>
      </c>
      <c r="I285" s="57"/>
    </row>
    <row r="286" spans="2:9" ht="20.100000000000001" customHeight="1" x14ac:dyDescent="0.3">
      <c r="B286" s="344">
        <v>278</v>
      </c>
      <c r="C286" s="342" t="str">
        <f t="shared" si="26"/>
        <v/>
      </c>
      <c r="D286" s="341" t="str">
        <f t="shared" si="24"/>
        <v/>
      </c>
      <c r="E286" s="328" t="str">
        <f t="shared" si="27"/>
        <v/>
      </c>
      <c r="F286" s="339" t="str">
        <f t="shared" si="25"/>
        <v/>
      </c>
      <c r="G286" s="328" t="str">
        <f t="shared" si="28"/>
        <v/>
      </c>
      <c r="H286" s="340" t="str">
        <f t="shared" si="29"/>
        <v/>
      </c>
      <c r="I286" s="57"/>
    </row>
    <row r="287" spans="2:9" ht="20.100000000000001" customHeight="1" x14ac:dyDescent="0.3">
      <c r="B287" s="344">
        <v>279</v>
      </c>
      <c r="C287" s="342" t="str">
        <f t="shared" si="26"/>
        <v/>
      </c>
      <c r="D287" s="341" t="str">
        <f t="shared" si="24"/>
        <v/>
      </c>
      <c r="E287" s="328" t="str">
        <f t="shared" si="27"/>
        <v/>
      </c>
      <c r="F287" s="339" t="str">
        <f t="shared" si="25"/>
        <v/>
      </c>
      <c r="G287" s="328" t="str">
        <f t="shared" si="28"/>
        <v/>
      </c>
      <c r="H287" s="340" t="str">
        <f t="shared" si="29"/>
        <v/>
      </c>
      <c r="I287" s="57"/>
    </row>
    <row r="288" spans="2:9" ht="20.100000000000001" customHeight="1" x14ac:dyDescent="0.3">
      <c r="B288" s="344">
        <v>280</v>
      </c>
      <c r="C288" s="342" t="str">
        <f t="shared" si="26"/>
        <v/>
      </c>
      <c r="D288" s="341" t="str">
        <f t="shared" si="24"/>
        <v/>
      </c>
      <c r="E288" s="328" t="str">
        <f t="shared" si="27"/>
        <v/>
      </c>
      <c r="F288" s="339" t="str">
        <f t="shared" si="25"/>
        <v/>
      </c>
      <c r="G288" s="328" t="str">
        <f t="shared" si="28"/>
        <v/>
      </c>
      <c r="H288" s="340" t="str">
        <f t="shared" si="29"/>
        <v/>
      </c>
      <c r="I288" s="57"/>
    </row>
    <row r="289" spans="2:9" ht="20.100000000000001" customHeight="1" x14ac:dyDescent="0.3">
      <c r="B289" s="344">
        <v>281</v>
      </c>
      <c r="C289" s="342" t="str">
        <f t="shared" si="26"/>
        <v/>
      </c>
      <c r="D289" s="341" t="str">
        <f t="shared" si="24"/>
        <v/>
      </c>
      <c r="E289" s="328" t="str">
        <f t="shared" si="27"/>
        <v/>
      </c>
      <c r="F289" s="339" t="str">
        <f t="shared" si="25"/>
        <v/>
      </c>
      <c r="G289" s="328" t="str">
        <f t="shared" si="28"/>
        <v/>
      </c>
      <c r="H289" s="340" t="str">
        <f t="shared" si="29"/>
        <v/>
      </c>
      <c r="I289" s="57"/>
    </row>
    <row r="290" spans="2:9" ht="20.100000000000001" customHeight="1" x14ac:dyDescent="0.3">
      <c r="B290" s="344">
        <v>282</v>
      </c>
      <c r="C290" s="342" t="str">
        <f t="shared" si="26"/>
        <v/>
      </c>
      <c r="D290" s="341" t="str">
        <f t="shared" si="24"/>
        <v/>
      </c>
      <c r="E290" s="328" t="str">
        <f t="shared" si="27"/>
        <v/>
      </c>
      <c r="F290" s="339" t="str">
        <f t="shared" si="25"/>
        <v/>
      </c>
      <c r="G290" s="328" t="str">
        <f t="shared" si="28"/>
        <v/>
      </c>
      <c r="H290" s="340" t="str">
        <f t="shared" si="29"/>
        <v/>
      </c>
      <c r="I290" s="57"/>
    </row>
    <row r="291" spans="2:9" ht="20.100000000000001" customHeight="1" x14ac:dyDescent="0.3">
      <c r="B291" s="344">
        <v>283</v>
      </c>
      <c r="C291" s="342" t="str">
        <f t="shared" si="26"/>
        <v/>
      </c>
      <c r="D291" s="341" t="str">
        <f t="shared" si="24"/>
        <v/>
      </c>
      <c r="E291" s="328" t="str">
        <f t="shared" si="27"/>
        <v/>
      </c>
      <c r="F291" s="339" t="str">
        <f t="shared" si="25"/>
        <v/>
      </c>
      <c r="G291" s="328" t="str">
        <f t="shared" si="28"/>
        <v/>
      </c>
      <c r="H291" s="340" t="str">
        <f t="shared" si="29"/>
        <v/>
      </c>
      <c r="I291" s="57"/>
    </row>
    <row r="292" spans="2:9" ht="20.100000000000001" customHeight="1" x14ac:dyDescent="0.3">
      <c r="B292" s="344">
        <v>284</v>
      </c>
      <c r="C292" s="342" t="str">
        <f t="shared" si="26"/>
        <v/>
      </c>
      <c r="D292" s="341" t="str">
        <f t="shared" si="24"/>
        <v/>
      </c>
      <c r="E292" s="328" t="str">
        <f t="shared" si="27"/>
        <v/>
      </c>
      <c r="F292" s="339" t="str">
        <f t="shared" si="25"/>
        <v/>
      </c>
      <c r="G292" s="328" t="str">
        <f t="shared" si="28"/>
        <v/>
      </c>
      <c r="H292" s="340" t="str">
        <f t="shared" si="29"/>
        <v/>
      </c>
      <c r="I292" s="57"/>
    </row>
    <row r="293" spans="2:9" ht="20.100000000000001" customHeight="1" x14ac:dyDescent="0.3">
      <c r="B293" s="344">
        <v>285</v>
      </c>
      <c r="C293" s="342" t="str">
        <f t="shared" si="26"/>
        <v/>
      </c>
      <c r="D293" s="341" t="str">
        <f t="shared" si="24"/>
        <v/>
      </c>
      <c r="E293" s="328" t="str">
        <f t="shared" si="27"/>
        <v/>
      </c>
      <c r="F293" s="339" t="str">
        <f t="shared" si="25"/>
        <v/>
      </c>
      <c r="G293" s="328" t="str">
        <f t="shared" si="28"/>
        <v/>
      </c>
      <c r="H293" s="340" t="str">
        <f t="shared" si="29"/>
        <v/>
      </c>
      <c r="I293" s="57"/>
    </row>
    <row r="294" spans="2:9" ht="20.100000000000001" customHeight="1" x14ac:dyDescent="0.3">
      <c r="B294" s="344">
        <v>286</v>
      </c>
      <c r="C294" s="342" t="str">
        <f t="shared" si="26"/>
        <v/>
      </c>
      <c r="D294" s="341" t="str">
        <f t="shared" si="24"/>
        <v/>
      </c>
      <c r="E294" s="328" t="str">
        <f t="shared" si="27"/>
        <v/>
      </c>
      <c r="F294" s="339" t="str">
        <f t="shared" si="25"/>
        <v/>
      </c>
      <c r="G294" s="328" t="str">
        <f t="shared" si="28"/>
        <v/>
      </c>
      <c r="H294" s="340" t="str">
        <f t="shared" si="29"/>
        <v/>
      </c>
      <c r="I294" s="57"/>
    </row>
    <row r="295" spans="2:9" ht="20.100000000000001" customHeight="1" x14ac:dyDescent="0.3">
      <c r="B295" s="344">
        <v>287</v>
      </c>
      <c r="C295" s="342" t="str">
        <f t="shared" si="26"/>
        <v/>
      </c>
      <c r="D295" s="341" t="str">
        <f t="shared" si="24"/>
        <v/>
      </c>
      <c r="E295" s="328" t="str">
        <f t="shared" si="27"/>
        <v/>
      </c>
      <c r="F295" s="339" t="str">
        <f t="shared" si="25"/>
        <v/>
      </c>
      <c r="G295" s="328" t="str">
        <f t="shared" si="28"/>
        <v/>
      </c>
      <c r="H295" s="340" t="str">
        <f t="shared" si="29"/>
        <v/>
      </c>
      <c r="I295" s="57"/>
    </row>
    <row r="296" spans="2:9" ht="20.100000000000001" customHeight="1" x14ac:dyDescent="0.3">
      <c r="B296" s="344">
        <v>288</v>
      </c>
      <c r="C296" s="342" t="str">
        <f t="shared" si="26"/>
        <v/>
      </c>
      <c r="D296" s="341" t="str">
        <f t="shared" si="24"/>
        <v/>
      </c>
      <c r="E296" s="328" t="str">
        <f t="shared" si="27"/>
        <v/>
      </c>
      <c r="F296" s="339" t="str">
        <f t="shared" si="25"/>
        <v/>
      </c>
      <c r="G296" s="328" t="str">
        <f t="shared" si="28"/>
        <v/>
      </c>
      <c r="H296" s="340" t="str">
        <f t="shared" si="29"/>
        <v/>
      </c>
      <c r="I296" s="57"/>
    </row>
    <row r="297" spans="2:9" ht="20.100000000000001" customHeight="1" x14ac:dyDescent="0.3">
      <c r="B297" s="344">
        <v>289</v>
      </c>
      <c r="C297" s="342" t="str">
        <f t="shared" si="26"/>
        <v/>
      </c>
      <c r="D297" s="341" t="str">
        <f t="shared" si="24"/>
        <v/>
      </c>
      <c r="E297" s="328" t="str">
        <f t="shared" si="27"/>
        <v/>
      </c>
      <c r="F297" s="339" t="str">
        <f t="shared" si="25"/>
        <v/>
      </c>
      <c r="G297" s="328" t="str">
        <f t="shared" si="28"/>
        <v/>
      </c>
      <c r="H297" s="340" t="str">
        <f t="shared" si="29"/>
        <v/>
      </c>
      <c r="I297" s="57"/>
    </row>
    <row r="298" spans="2:9" ht="20.100000000000001" customHeight="1" x14ac:dyDescent="0.3">
      <c r="B298" s="344">
        <v>290</v>
      </c>
      <c r="C298" s="342" t="str">
        <f t="shared" si="26"/>
        <v/>
      </c>
      <c r="D298" s="341" t="str">
        <f t="shared" si="24"/>
        <v/>
      </c>
      <c r="E298" s="328" t="str">
        <f t="shared" si="27"/>
        <v/>
      </c>
      <c r="F298" s="339" t="str">
        <f t="shared" si="25"/>
        <v/>
      </c>
      <c r="G298" s="328" t="str">
        <f t="shared" si="28"/>
        <v/>
      </c>
      <c r="H298" s="340" t="str">
        <f t="shared" si="29"/>
        <v/>
      </c>
      <c r="I298" s="57"/>
    </row>
    <row r="299" spans="2:9" ht="20.100000000000001" customHeight="1" x14ac:dyDescent="0.3">
      <c r="B299" s="344">
        <v>291</v>
      </c>
      <c r="C299" s="342" t="str">
        <f t="shared" si="26"/>
        <v/>
      </c>
      <c r="D299" s="341" t="str">
        <f t="shared" si="24"/>
        <v/>
      </c>
      <c r="E299" s="328" t="str">
        <f t="shared" si="27"/>
        <v/>
      </c>
      <c r="F299" s="339" t="str">
        <f t="shared" si="25"/>
        <v/>
      </c>
      <c r="G299" s="328" t="str">
        <f t="shared" si="28"/>
        <v/>
      </c>
      <c r="H299" s="340" t="str">
        <f t="shared" si="29"/>
        <v/>
      </c>
      <c r="I299" s="57"/>
    </row>
    <row r="300" spans="2:9" ht="20.100000000000001" customHeight="1" x14ac:dyDescent="0.3">
      <c r="B300" s="344">
        <v>292</v>
      </c>
      <c r="C300" s="342" t="str">
        <f t="shared" si="26"/>
        <v/>
      </c>
      <c r="D300" s="341" t="str">
        <f t="shared" si="24"/>
        <v/>
      </c>
      <c r="E300" s="328" t="str">
        <f t="shared" si="27"/>
        <v/>
      </c>
      <c r="F300" s="339" t="str">
        <f t="shared" si="25"/>
        <v/>
      </c>
      <c r="G300" s="328" t="str">
        <f t="shared" si="28"/>
        <v/>
      </c>
      <c r="H300" s="340" t="str">
        <f t="shared" si="29"/>
        <v/>
      </c>
      <c r="I300" s="57"/>
    </row>
    <row r="301" spans="2:9" ht="20.100000000000001" customHeight="1" x14ac:dyDescent="0.3">
      <c r="B301" s="344">
        <v>293</v>
      </c>
      <c r="C301" s="342" t="str">
        <f t="shared" si="26"/>
        <v/>
      </c>
      <c r="D301" s="341" t="str">
        <f t="shared" si="24"/>
        <v/>
      </c>
      <c r="E301" s="328" t="str">
        <f t="shared" si="27"/>
        <v/>
      </c>
      <c r="F301" s="339" t="str">
        <f t="shared" si="25"/>
        <v/>
      </c>
      <c r="G301" s="328" t="str">
        <f t="shared" si="28"/>
        <v/>
      </c>
      <c r="H301" s="340" t="str">
        <f t="shared" si="29"/>
        <v/>
      </c>
      <c r="I301" s="57"/>
    </row>
    <row r="302" spans="2:9" ht="20.100000000000001" customHeight="1" x14ac:dyDescent="0.3">
      <c r="B302" s="344">
        <v>294</v>
      </c>
      <c r="C302" s="342" t="str">
        <f t="shared" si="26"/>
        <v/>
      </c>
      <c r="D302" s="341" t="str">
        <f t="shared" si="24"/>
        <v/>
      </c>
      <c r="E302" s="328" t="str">
        <f t="shared" si="27"/>
        <v/>
      </c>
      <c r="F302" s="339" t="str">
        <f t="shared" si="25"/>
        <v/>
      </c>
      <c r="G302" s="328" t="str">
        <f t="shared" si="28"/>
        <v/>
      </c>
      <c r="H302" s="340" t="str">
        <f t="shared" si="29"/>
        <v/>
      </c>
      <c r="I302" s="57"/>
    </row>
    <row r="303" spans="2:9" ht="20.100000000000001" customHeight="1" x14ac:dyDescent="0.3">
      <c r="B303" s="344">
        <v>295</v>
      </c>
      <c r="C303" s="342" t="str">
        <f t="shared" si="26"/>
        <v/>
      </c>
      <c r="D303" s="341" t="str">
        <f t="shared" si="24"/>
        <v/>
      </c>
      <c r="E303" s="328" t="str">
        <f t="shared" si="27"/>
        <v/>
      </c>
      <c r="F303" s="339" t="str">
        <f t="shared" si="25"/>
        <v/>
      </c>
      <c r="G303" s="328" t="str">
        <f t="shared" si="28"/>
        <v/>
      </c>
      <c r="H303" s="340" t="str">
        <f t="shared" si="29"/>
        <v/>
      </c>
      <c r="I303" s="57"/>
    </row>
    <row r="304" spans="2:9" ht="20.100000000000001" customHeight="1" x14ac:dyDescent="0.3">
      <c r="B304" s="344">
        <v>296</v>
      </c>
      <c r="C304" s="342" t="str">
        <f t="shared" si="26"/>
        <v/>
      </c>
      <c r="D304" s="341" t="str">
        <f t="shared" si="24"/>
        <v/>
      </c>
      <c r="E304" s="328" t="str">
        <f t="shared" si="27"/>
        <v/>
      </c>
      <c r="F304" s="339" t="str">
        <f t="shared" si="25"/>
        <v/>
      </c>
      <c r="G304" s="328" t="str">
        <f t="shared" si="28"/>
        <v/>
      </c>
      <c r="H304" s="340" t="str">
        <f t="shared" si="29"/>
        <v/>
      </c>
      <c r="I304" s="57"/>
    </row>
    <row r="305" spans="2:9" ht="20.100000000000001" customHeight="1" x14ac:dyDescent="0.3">
      <c r="B305" s="344">
        <v>297</v>
      </c>
      <c r="C305" s="342" t="str">
        <f t="shared" si="26"/>
        <v/>
      </c>
      <c r="D305" s="341" t="str">
        <f t="shared" si="24"/>
        <v/>
      </c>
      <c r="E305" s="328" t="str">
        <f t="shared" si="27"/>
        <v/>
      </c>
      <c r="F305" s="339" t="str">
        <f t="shared" si="25"/>
        <v/>
      </c>
      <c r="G305" s="328" t="str">
        <f t="shared" si="28"/>
        <v/>
      </c>
      <c r="H305" s="340" t="str">
        <f t="shared" si="29"/>
        <v/>
      </c>
      <c r="I305" s="57"/>
    </row>
    <row r="306" spans="2:9" ht="20.100000000000001" customHeight="1" x14ac:dyDescent="0.3">
      <c r="B306" s="344">
        <v>298</v>
      </c>
      <c r="C306" s="342" t="str">
        <f t="shared" si="26"/>
        <v/>
      </c>
      <c r="D306" s="341" t="str">
        <f t="shared" si="24"/>
        <v/>
      </c>
      <c r="E306" s="328" t="str">
        <f t="shared" si="27"/>
        <v/>
      </c>
      <c r="F306" s="339" t="str">
        <f t="shared" si="25"/>
        <v/>
      </c>
      <c r="G306" s="328" t="str">
        <f t="shared" si="28"/>
        <v/>
      </c>
      <c r="H306" s="340" t="str">
        <f t="shared" si="29"/>
        <v/>
      </c>
      <c r="I306" s="57"/>
    </row>
    <row r="307" spans="2:9" ht="20.100000000000001" customHeight="1" x14ac:dyDescent="0.3">
      <c r="B307" s="344">
        <v>299</v>
      </c>
      <c r="C307" s="342" t="str">
        <f t="shared" si="26"/>
        <v/>
      </c>
      <c r="D307" s="341" t="str">
        <f t="shared" si="24"/>
        <v/>
      </c>
      <c r="E307" s="328" t="str">
        <f t="shared" si="27"/>
        <v/>
      </c>
      <c r="F307" s="339" t="str">
        <f t="shared" si="25"/>
        <v/>
      </c>
      <c r="G307" s="328" t="str">
        <f t="shared" si="28"/>
        <v/>
      </c>
      <c r="H307" s="340" t="str">
        <f t="shared" si="29"/>
        <v/>
      </c>
      <c r="I307" s="57"/>
    </row>
    <row r="308" spans="2:9" ht="20.100000000000001" customHeight="1" x14ac:dyDescent="0.3">
      <c r="B308" s="344">
        <v>300</v>
      </c>
      <c r="C308" s="342" t="str">
        <f t="shared" si="26"/>
        <v/>
      </c>
      <c r="D308" s="341" t="str">
        <f t="shared" si="24"/>
        <v/>
      </c>
      <c r="E308" s="328" t="str">
        <f t="shared" si="27"/>
        <v/>
      </c>
      <c r="F308" s="339" t="str">
        <f t="shared" si="25"/>
        <v/>
      </c>
      <c r="G308" s="328" t="str">
        <f t="shared" si="28"/>
        <v/>
      </c>
      <c r="H308" s="340" t="str">
        <f t="shared" si="29"/>
        <v/>
      </c>
      <c r="I308" s="57"/>
    </row>
    <row r="309" spans="2:9" ht="20.100000000000001" customHeight="1" x14ac:dyDescent="0.3">
      <c r="B309" s="344">
        <v>301</v>
      </c>
      <c r="C309" s="342" t="str">
        <f t="shared" si="26"/>
        <v/>
      </c>
      <c r="D309" s="341" t="str">
        <f t="shared" si="24"/>
        <v/>
      </c>
      <c r="E309" s="328" t="str">
        <f t="shared" si="27"/>
        <v/>
      </c>
      <c r="F309" s="339" t="str">
        <f t="shared" si="25"/>
        <v/>
      </c>
      <c r="G309" s="328" t="str">
        <f t="shared" si="28"/>
        <v/>
      </c>
      <c r="H309" s="340" t="str">
        <f t="shared" si="29"/>
        <v/>
      </c>
      <c r="I309" s="57"/>
    </row>
    <row r="310" spans="2:9" ht="20.100000000000001" customHeight="1" x14ac:dyDescent="0.3">
      <c r="B310" s="344">
        <v>302</v>
      </c>
      <c r="C310" s="342" t="str">
        <f t="shared" si="26"/>
        <v/>
      </c>
      <c r="D310" s="341" t="str">
        <f t="shared" si="24"/>
        <v/>
      </c>
      <c r="E310" s="328" t="str">
        <f t="shared" si="27"/>
        <v/>
      </c>
      <c r="F310" s="339" t="str">
        <f t="shared" si="25"/>
        <v/>
      </c>
      <c r="G310" s="328" t="str">
        <f t="shared" si="28"/>
        <v/>
      </c>
      <c r="H310" s="340" t="str">
        <f t="shared" si="29"/>
        <v/>
      </c>
      <c r="I310" s="57"/>
    </row>
    <row r="311" spans="2:9" ht="20.100000000000001" customHeight="1" x14ac:dyDescent="0.3">
      <c r="B311" s="344">
        <v>303</v>
      </c>
      <c r="C311" s="342" t="str">
        <f t="shared" si="26"/>
        <v/>
      </c>
      <c r="D311" s="341" t="str">
        <f t="shared" si="24"/>
        <v/>
      </c>
      <c r="E311" s="328" t="str">
        <f t="shared" si="27"/>
        <v/>
      </c>
      <c r="F311" s="339" t="str">
        <f t="shared" si="25"/>
        <v/>
      </c>
      <c r="G311" s="328" t="str">
        <f t="shared" si="28"/>
        <v/>
      </c>
      <c r="H311" s="340" t="str">
        <f t="shared" si="29"/>
        <v/>
      </c>
      <c r="I311" s="57"/>
    </row>
    <row r="312" spans="2:9" ht="20.100000000000001" customHeight="1" x14ac:dyDescent="0.3">
      <c r="B312" s="344">
        <v>304</v>
      </c>
      <c r="C312" s="342" t="str">
        <f t="shared" si="26"/>
        <v/>
      </c>
      <c r="D312" s="341" t="str">
        <f t="shared" si="24"/>
        <v/>
      </c>
      <c r="E312" s="328" t="str">
        <f t="shared" si="27"/>
        <v/>
      </c>
      <c r="F312" s="339" t="str">
        <f t="shared" si="25"/>
        <v/>
      </c>
      <c r="G312" s="328" t="str">
        <f t="shared" si="28"/>
        <v/>
      </c>
      <c r="H312" s="340" t="str">
        <f t="shared" si="29"/>
        <v/>
      </c>
      <c r="I312" s="57"/>
    </row>
    <row r="313" spans="2:9" ht="20.100000000000001" customHeight="1" x14ac:dyDescent="0.3">
      <c r="B313" s="344">
        <v>305</v>
      </c>
      <c r="C313" s="342" t="str">
        <f t="shared" si="26"/>
        <v/>
      </c>
      <c r="D313" s="341" t="str">
        <f t="shared" si="24"/>
        <v/>
      </c>
      <c r="E313" s="328" t="str">
        <f t="shared" si="27"/>
        <v/>
      </c>
      <c r="F313" s="339" t="str">
        <f t="shared" si="25"/>
        <v/>
      </c>
      <c r="G313" s="328" t="str">
        <f t="shared" si="28"/>
        <v/>
      </c>
      <c r="H313" s="340" t="str">
        <f t="shared" si="29"/>
        <v/>
      </c>
      <c r="I313" s="57"/>
    </row>
    <row r="314" spans="2:9" ht="20.100000000000001" customHeight="1" x14ac:dyDescent="0.3">
      <c r="B314" s="344">
        <v>306</v>
      </c>
      <c r="C314" s="342" t="str">
        <f t="shared" si="26"/>
        <v/>
      </c>
      <c r="D314" s="341" t="str">
        <f t="shared" si="24"/>
        <v/>
      </c>
      <c r="E314" s="328" t="str">
        <f t="shared" si="27"/>
        <v/>
      </c>
      <c r="F314" s="339" t="str">
        <f t="shared" si="25"/>
        <v/>
      </c>
      <c r="G314" s="328" t="str">
        <f t="shared" si="28"/>
        <v/>
      </c>
      <c r="H314" s="340" t="str">
        <f t="shared" si="29"/>
        <v/>
      </c>
      <c r="I314" s="57"/>
    </row>
    <row r="315" spans="2:9" ht="20.100000000000001" customHeight="1" x14ac:dyDescent="0.3">
      <c r="B315" s="344">
        <v>307</v>
      </c>
      <c r="C315" s="342" t="str">
        <f t="shared" si="26"/>
        <v/>
      </c>
      <c r="D315" s="341" t="str">
        <f t="shared" si="24"/>
        <v/>
      </c>
      <c r="E315" s="328" t="str">
        <f t="shared" si="27"/>
        <v/>
      </c>
      <c r="F315" s="339" t="str">
        <f t="shared" si="25"/>
        <v/>
      </c>
      <c r="G315" s="328" t="str">
        <f t="shared" si="28"/>
        <v/>
      </c>
      <c r="H315" s="340" t="str">
        <f t="shared" si="29"/>
        <v/>
      </c>
      <c r="I315" s="57"/>
    </row>
    <row r="316" spans="2:9" ht="20.100000000000001" customHeight="1" x14ac:dyDescent="0.3">
      <c r="B316" s="344">
        <v>308</v>
      </c>
      <c r="C316" s="342" t="str">
        <f t="shared" si="26"/>
        <v/>
      </c>
      <c r="D316" s="341" t="str">
        <f t="shared" si="24"/>
        <v/>
      </c>
      <c r="E316" s="328" t="str">
        <f t="shared" si="27"/>
        <v/>
      </c>
      <c r="F316" s="339" t="str">
        <f t="shared" si="25"/>
        <v/>
      </c>
      <c r="G316" s="328" t="str">
        <f t="shared" si="28"/>
        <v/>
      </c>
      <c r="H316" s="340" t="str">
        <f t="shared" si="29"/>
        <v/>
      </c>
      <c r="I316" s="57"/>
    </row>
    <row r="317" spans="2:9" ht="20.100000000000001" customHeight="1" x14ac:dyDescent="0.3">
      <c r="B317" s="344">
        <v>309</v>
      </c>
      <c r="C317" s="342" t="str">
        <f t="shared" si="26"/>
        <v/>
      </c>
      <c r="D317" s="341" t="str">
        <f t="shared" si="24"/>
        <v/>
      </c>
      <c r="E317" s="328" t="str">
        <f t="shared" si="27"/>
        <v/>
      </c>
      <c r="F317" s="339" t="str">
        <f t="shared" si="25"/>
        <v/>
      </c>
      <c r="G317" s="328" t="str">
        <f t="shared" si="28"/>
        <v/>
      </c>
      <c r="H317" s="340" t="str">
        <f t="shared" si="29"/>
        <v/>
      </c>
      <c r="I317" s="57"/>
    </row>
    <row r="318" spans="2:9" ht="20.100000000000001" customHeight="1" x14ac:dyDescent="0.3">
      <c r="B318" s="344">
        <v>310</v>
      </c>
      <c r="C318" s="342" t="str">
        <f t="shared" si="26"/>
        <v/>
      </c>
      <c r="D318" s="341" t="str">
        <f t="shared" si="24"/>
        <v/>
      </c>
      <c r="E318" s="328" t="str">
        <f t="shared" si="27"/>
        <v/>
      </c>
      <c r="F318" s="339" t="str">
        <f t="shared" si="25"/>
        <v/>
      </c>
      <c r="G318" s="328" t="str">
        <f t="shared" si="28"/>
        <v/>
      </c>
      <c r="H318" s="340" t="str">
        <f t="shared" si="29"/>
        <v/>
      </c>
      <c r="I318" s="57"/>
    </row>
    <row r="319" spans="2:9" ht="20.100000000000001" customHeight="1" x14ac:dyDescent="0.3">
      <c r="B319" s="344">
        <v>311</v>
      </c>
      <c r="C319" s="342" t="str">
        <f t="shared" si="26"/>
        <v/>
      </c>
      <c r="D319" s="341" t="str">
        <f t="shared" si="24"/>
        <v/>
      </c>
      <c r="E319" s="328" t="str">
        <f t="shared" si="27"/>
        <v/>
      </c>
      <c r="F319" s="339" t="str">
        <f t="shared" si="25"/>
        <v/>
      </c>
      <c r="G319" s="328" t="str">
        <f t="shared" si="28"/>
        <v/>
      </c>
      <c r="H319" s="340" t="str">
        <f t="shared" si="29"/>
        <v/>
      </c>
      <c r="I319" s="57"/>
    </row>
    <row r="320" spans="2:9" ht="20.100000000000001" customHeight="1" x14ac:dyDescent="0.3">
      <c r="B320" s="344">
        <v>312</v>
      </c>
      <c r="C320" s="342" t="str">
        <f t="shared" si="26"/>
        <v/>
      </c>
      <c r="D320" s="341" t="str">
        <f t="shared" si="24"/>
        <v/>
      </c>
      <c r="E320" s="328" t="str">
        <f t="shared" si="27"/>
        <v/>
      </c>
      <c r="F320" s="339" t="str">
        <f t="shared" si="25"/>
        <v/>
      </c>
      <c r="G320" s="328" t="str">
        <f t="shared" si="28"/>
        <v/>
      </c>
      <c r="H320" s="340" t="str">
        <f t="shared" si="29"/>
        <v/>
      </c>
      <c r="I320" s="57"/>
    </row>
    <row r="321" spans="2:9" ht="20.100000000000001" customHeight="1" x14ac:dyDescent="0.3">
      <c r="B321" s="344">
        <v>313</v>
      </c>
      <c r="C321" s="342" t="str">
        <f t="shared" si="26"/>
        <v/>
      </c>
      <c r="D321" s="341" t="str">
        <f t="shared" si="24"/>
        <v/>
      </c>
      <c r="E321" s="328" t="str">
        <f t="shared" si="27"/>
        <v/>
      </c>
      <c r="F321" s="339" t="str">
        <f t="shared" si="25"/>
        <v/>
      </c>
      <c r="G321" s="328" t="str">
        <f t="shared" si="28"/>
        <v/>
      </c>
      <c r="H321" s="340" t="str">
        <f t="shared" si="29"/>
        <v/>
      </c>
      <c r="I321" s="57"/>
    </row>
    <row r="322" spans="2:9" ht="20.100000000000001" customHeight="1" x14ac:dyDescent="0.3">
      <c r="B322" s="344">
        <v>314</v>
      </c>
      <c r="C322" s="342" t="str">
        <f t="shared" si="26"/>
        <v/>
      </c>
      <c r="D322" s="341" t="str">
        <f t="shared" si="24"/>
        <v/>
      </c>
      <c r="E322" s="328" t="str">
        <f t="shared" si="27"/>
        <v/>
      </c>
      <c r="F322" s="339" t="str">
        <f t="shared" si="25"/>
        <v/>
      </c>
      <c r="G322" s="328" t="str">
        <f t="shared" si="28"/>
        <v/>
      </c>
      <c r="H322" s="340" t="str">
        <f t="shared" si="29"/>
        <v/>
      </c>
      <c r="I322" s="57"/>
    </row>
    <row r="323" spans="2:9" ht="20.100000000000001" customHeight="1" x14ac:dyDescent="0.3">
      <c r="B323" s="344">
        <v>315</v>
      </c>
      <c r="C323" s="342" t="str">
        <f t="shared" si="26"/>
        <v/>
      </c>
      <c r="D323" s="341" t="str">
        <f t="shared" si="24"/>
        <v/>
      </c>
      <c r="E323" s="328" t="str">
        <f t="shared" si="27"/>
        <v/>
      </c>
      <c r="F323" s="339" t="str">
        <f t="shared" si="25"/>
        <v/>
      </c>
      <c r="G323" s="328" t="str">
        <f t="shared" si="28"/>
        <v/>
      </c>
      <c r="H323" s="340" t="str">
        <f t="shared" si="29"/>
        <v/>
      </c>
      <c r="I323" s="57"/>
    </row>
    <row r="324" spans="2:9" ht="20.100000000000001" customHeight="1" x14ac:dyDescent="0.3">
      <c r="B324" s="344">
        <v>316</v>
      </c>
      <c r="C324" s="342" t="str">
        <f t="shared" si="26"/>
        <v/>
      </c>
      <c r="D324" s="341" t="str">
        <f t="shared" si="24"/>
        <v/>
      </c>
      <c r="E324" s="328" t="str">
        <f t="shared" si="27"/>
        <v/>
      </c>
      <c r="F324" s="339" t="str">
        <f t="shared" si="25"/>
        <v/>
      </c>
      <c r="G324" s="328" t="str">
        <f t="shared" si="28"/>
        <v/>
      </c>
      <c r="H324" s="340" t="str">
        <f t="shared" si="29"/>
        <v/>
      </c>
      <c r="I324" s="57"/>
    </row>
    <row r="325" spans="2:9" ht="20.100000000000001" customHeight="1" x14ac:dyDescent="0.3">
      <c r="B325" s="344">
        <v>317</v>
      </c>
      <c r="C325" s="342" t="str">
        <f t="shared" si="26"/>
        <v/>
      </c>
      <c r="D325" s="341" t="str">
        <f t="shared" si="24"/>
        <v/>
      </c>
      <c r="E325" s="328" t="str">
        <f t="shared" si="27"/>
        <v/>
      </c>
      <c r="F325" s="339" t="str">
        <f t="shared" si="25"/>
        <v/>
      </c>
      <c r="G325" s="328" t="str">
        <f t="shared" si="28"/>
        <v/>
      </c>
      <c r="H325" s="340" t="str">
        <f t="shared" si="29"/>
        <v/>
      </c>
      <c r="I325" s="57"/>
    </row>
    <row r="326" spans="2:9" ht="20.100000000000001" customHeight="1" x14ac:dyDescent="0.3">
      <c r="B326" s="344">
        <v>318</v>
      </c>
      <c r="C326" s="342" t="str">
        <f t="shared" si="26"/>
        <v/>
      </c>
      <c r="D326" s="341" t="str">
        <f t="shared" si="24"/>
        <v/>
      </c>
      <c r="E326" s="328" t="str">
        <f t="shared" si="27"/>
        <v/>
      </c>
      <c r="F326" s="339" t="str">
        <f t="shared" si="25"/>
        <v/>
      </c>
      <c r="G326" s="328" t="str">
        <f t="shared" si="28"/>
        <v/>
      </c>
      <c r="H326" s="340" t="str">
        <f t="shared" si="29"/>
        <v/>
      </c>
      <c r="I326" s="57"/>
    </row>
    <row r="327" spans="2:9" ht="20.100000000000001" customHeight="1" x14ac:dyDescent="0.3">
      <c r="B327" s="344">
        <v>319</v>
      </c>
      <c r="C327" s="342" t="str">
        <f t="shared" si="26"/>
        <v/>
      </c>
      <c r="D327" s="341" t="str">
        <f t="shared" si="24"/>
        <v/>
      </c>
      <c r="E327" s="328" t="str">
        <f t="shared" si="27"/>
        <v/>
      </c>
      <c r="F327" s="339" t="str">
        <f t="shared" si="25"/>
        <v/>
      </c>
      <c r="G327" s="328" t="str">
        <f t="shared" si="28"/>
        <v/>
      </c>
      <c r="H327" s="340" t="str">
        <f t="shared" si="29"/>
        <v/>
      </c>
      <c r="I327" s="57"/>
    </row>
    <row r="328" spans="2:9" ht="20.100000000000001" customHeight="1" x14ac:dyDescent="0.3">
      <c r="B328" s="344">
        <v>320</v>
      </c>
      <c r="C328" s="342" t="str">
        <f t="shared" si="26"/>
        <v/>
      </c>
      <c r="D328" s="341" t="str">
        <f t="shared" si="24"/>
        <v/>
      </c>
      <c r="E328" s="328" t="str">
        <f t="shared" si="27"/>
        <v/>
      </c>
      <c r="F328" s="339" t="str">
        <f t="shared" si="25"/>
        <v/>
      </c>
      <c r="G328" s="328" t="str">
        <f t="shared" si="28"/>
        <v/>
      </c>
      <c r="H328" s="340" t="str">
        <f t="shared" si="29"/>
        <v/>
      </c>
      <c r="I328" s="57"/>
    </row>
    <row r="329" spans="2:9" ht="20.100000000000001" customHeight="1" x14ac:dyDescent="0.3">
      <c r="B329" s="344">
        <v>321</v>
      </c>
      <c r="C329" s="342" t="str">
        <f t="shared" si="26"/>
        <v/>
      </c>
      <c r="D329" s="341" t="str">
        <f t="shared" si="24"/>
        <v/>
      </c>
      <c r="E329" s="328" t="str">
        <f t="shared" si="27"/>
        <v/>
      </c>
      <c r="F329" s="339" t="str">
        <f t="shared" si="25"/>
        <v/>
      </c>
      <c r="G329" s="328" t="str">
        <f t="shared" si="28"/>
        <v/>
      </c>
      <c r="H329" s="340" t="str">
        <f t="shared" si="29"/>
        <v/>
      </c>
      <c r="I329" s="57"/>
    </row>
    <row r="330" spans="2:9" ht="20.100000000000001" customHeight="1" x14ac:dyDescent="0.3">
      <c r="B330" s="344">
        <v>322</v>
      </c>
      <c r="C330" s="342" t="str">
        <f t="shared" si="26"/>
        <v/>
      </c>
      <c r="D330" s="341" t="str">
        <f t="shared" ref="D330:D393" si="30">IF($H$4="","",IF($F$4="원리금균등상환",IFERROR(IF(B330&lt;=$D$6,0,-PPMT($E$4/12,B330-$D$6,($B$6-$D$6),$D$4)),""),IF($F$4="원금균등상환",IF(B330&lt;($D$6+1),0,IF(B330&gt;$B$6,0,$D$4/($B$6-$D$6))),"")))</f>
        <v/>
      </c>
      <c r="E330" s="328" t="str">
        <f t="shared" si="27"/>
        <v/>
      </c>
      <c r="F330" s="339" t="str">
        <f t="shared" ref="F330:F393" si="31">IF($H$4="","",IF($F$4="원리금균등상환",IFERROR(D330+E330,""),IF($F$4="원금균등상환",D330+E330,"")))</f>
        <v/>
      </c>
      <c r="G330" s="328" t="str">
        <f t="shared" si="28"/>
        <v/>
      </c>
      <c r="H330" s="340" t="str">
        <f t="shared" si="29"/>
        <v/>
      </c>
      <c r="I330" s="57"/>
    </row>
    <row r="331" spans="2:9" ht="20.100000000000001" customHeight="1" x14ac:dyDescent="0.3">
      <c r="B331" s="344">
        <v>323</v>
      </c>
      <c r="C331" s="342" t="str">
        <f t="shared" ref="C331:C394" si="32">IF($H$4="","",IF(B331&gt;($B$6),"",IF(B331&lt;=($B$6),DATE(YEAR($G$4),MONTH($G$4)+B330,DAY($G$4)),"")))</f>
        <v/>
      </c>
      <c r="D331" s="341" t="str">
        <f t="shared" si="30"/>
        <v/>
      </c>
      <c r="E331" s="328" t="str">
        <f t="shared" ref="E331:E394" si="33">IF($H$4="","",IF($F$4="원리금균등상환",IFERROR(IF(B331&lt;=$D$6,$H330*($E$4/12),-IPMT($E$4/12,B331-$D$6,($B$6-$D$6),$D$4)),""),IF($F$4="원금균등상환",(H330-D331)*$E$4/12,"")))</f>
        <v/>
      </c>
      <c r="F331" s="339" t="str">
        <f t="shared" si="31"/>
        <v/>
      </c>
      <c r="G331" s="328" t="str">
        <f t="shared" ref="G331:G394" si="34">IFERROR(IF(B331&gt;(($D$6+$B$6)*12),"",IF(B331=1,D331,D331+G330)),"")</f>
        <v/>
      </c>
      <c r="H331" s="340" t="str">
        <f t="shared" ref="H331:H394" si="35">IFERROR(IF($H$4="","",H330-D331),"")</f>
        <v/>
      </c>
      <c r="I331" s="57"/>
    </row>
    <row r="332" spans="2:9" ht="20.100000000000001" customHeight="1" x14ac:dyDescent="0.3">
      <c r="B332" s="344">
        <v>324</v>
      </c>
      <c r="C332" s="342" t="str">
        <f t="shared" si="32"/>
        <v/>
      </c>
      <c r="D332" s="341" t="str">
        <f t="shared" si="30"/>
        <v/>
      </c>
      <c r="E332" s="328" t="str">
        <f t="shared" si="33"/>
        <v/>
      </c>
      <c r="F332" s="339" t="str">
        <f t="shared" si="31"/>
        <v/>
      </c>
      <c r="G332" s="328" t="str">
        <f t="shared" si="34"/>
        <v/>
      </c>
      <c r="H332" s="340" t="str">
        <f t="shared" si="35"/>
        <v/>
      </c>
      <c r="I332" s="57"/>
    </row>
    <row r="333" spans="2:9" ht="20.100000000000001" customHeight="1" x14ac:dyDescent="0.3">
      <c r="B333" s="344">
        <v>325</v>
      </c>
      <c r="C333" s="342" t="str">
        <f t="shared" si="32"/>
        <v/>
      </c>
      <c r="D333" s="341" t="str">
        <f t="shared" si="30"/>
        <v/>
      </c>
      <c r="E333" s="328" t="str">
        <f t="shared" si="33"/>
        <v/>
      </c>
      <c r="F333" s="339" t="str">
        <f t="shared" si="31"/>
        <v/>
      </c>
      <c r="G333" s="328" t="str">
        <f t="shared" si="34"/>
        <v/>
      </c>
      <c r="H333" s="340" t="str">
        <f t="shared" si="35"/>
        <v/>
      </c>
      <c r="I333" s="57"/>
    </row>
    <row r="334" spans="2:9" ht="20.100000000000001" customHeight="1" x14ac:dyDescent="0.3">
      <c r="B334" s="344">
        <v>326</v>
      </c>
      <c r="C334" s="342" t="str">
        <f t="shared" si="32"/>
        <v/>
      </c>
      <c r="D334" s="341" t="str">
        <f t="shared" si="30"/>
        <v/>
      </c>
      <c r="E334" s="328" t="str">
        <f t="shared" si="33"/>
        <v/>
      </c>
      <c r="F334" s="339" t="str">
        <f t="shared" si="31"/>
        <v/>
      </c>
      <c r="G334" s="328" t="str">
        <f t="shared" si="34"/>
        <v/>
      </c>
      <c r="H334" s="340" t="str">
        <f t="shared" si="35"/>
        <v/>
      </c>
      <c r="I334" s="57"/>
    </row>
    <row r="335" spans="2:9" ht="20.100000000000001" customHeight="1" x14ac:dyDescent="0.3">
      <c r="B335" s="344">
        <v>327</v>
      </c>
      <c r="C335" s="342" t="str">
        <f t="shared" si="32"/>
        <v/>
      </c>
      <c r="D335" s="341" t="str">
        <f t="shared" si="30"/>
        <v/>
      </c>
      <c r="E335" s="328" t="str">
        <f t="shared" si="33"/>
        <v/>
      </c>
      <c r="F335" s="339" t="str">
        <f t="shared" si="31"/>
        <v/>
      </c>
      <c r="G335" s="328" t="str">
        <f t="shared" si="34"/>
        <v/>
      </c>
      <c r="H335" s="340" t="str">
        <f t="shared" si="35"/>
        <v/>
      </c>
      <c r="I335" s="57"/>
    </row>
    <row r="336" spans="2:9" ht="20.100000000000001" customHeight="1" x14ac:dyDescent="0.3">
      <c r="B336" s="344">
        <v>328</v>
      </c>
      <c r="C336" s="342" t="str">
        <f t="shared" si="32"/>
        <v/>
      </c>
      <c r="D336" s="341" t="str">
        <f t="shared" si="30"/>
        <v/>
      </c>
      <c r="E336" s="328" t="str">
        <f t="shared" si="33"/>
        <v/>
      </c>
      <c r="F336" s="339" t="str">
        <f t="shared" si="31"/>
        <v/>
      </c>
      <c r="G336" s="328" t="str">
        <f t="shared" si="34"/>
        <v/>
      </c>
      <c r="H336" s="340" t="str">
        <f t="shared" si="35"/>
        <v/>
      </c>
      <c r="I336" s="57"/>
    </row>
    <row r="337" spans="2:9" ht="20.100000000000001" customHeight="1" x14ac:dyDescent="0.3">
      <c r="B337" s="344">
        <v>329</v>
      </c>
      <c r="C337" s="342" t="str">
        <f t="shared" si="32"/>
        <v/>
      </c>
      <c r="D337" s="341" t="str">
        <f t="shared" si="30"/>
        <v/>
      </c>
      <c r="E337" s="328" t="str">
        <f t="shared" si="33"/>
        <v/>
      </c>
      <c r="F337" s="339" t="str">
        <f t="shared" si="31"/>
        <v/>
      </c>
      <c r="G337" s="328" t="str">
        <f t="shared" si="34"/>
        <v/>
      </c>
      <c r="H337" s="340" t="str">
        <f t="shared" si="35"/>
        <v/>
      </c>
      <c r="I337" s="57"/>
    </row>
    <row r="338" spans="2:9" ht="20.100000000000001" customHeight="1" x14ac:dyDescent="0.3">
      <c r="B338" s="344">
        <v>330</v>
      </c>
      <c r="C338" s="342" t="str">
        <f t="shared" si="32"/>
        <v/>
      </c>
      <c r="D338" s="341" t="str">
        <f t="shared" si="30"/>
        <v/>
      </c>
      <c r="E338" s="328" t="str">
        <f t="shared" si="33"/>
        <v/>
      </c>
      <c r="F338" s="339" t="str">
        <f t="shared" si="31"/>
        <v/>
      </c>
      <c r="G338" s="328" t="str">
        <f t="shared" si="34"/>
        <v/>
      </c>
      <c r="H338" s="340" t="str">
        <f t="shared" si="35"/>
        <v/>
      </c>
      <c r="I338" s="57"/>
    </row>
    <row r="339" spans="2:9" ht="20.100000000000001" customHeight="1" x14ac:dyDescent="0.3">
      <c r="B339" s="344">
        <v>331</v>
      </c>
      <c r="C339" s="342" t="str">
        <f t="shared" si="32"/>
        <v/>
      </c>
      <c r="D339" s="341" t="str">
        <f t="shared" si="30"/>
        <v/>
      </c>
      <c r="E339" s="328" t="str">
        <f t="shared" si="33"/>
        <v/>
      </c>
      <c r="F339" s="339" t="str">
        <f t="shared" si="31"/>
        <v/>
      </c>
      <c r="G339" s="328" t="str">
        <f t="shared" si="34"/>
        <v/>
      </c>
      <c r="H339" s="340" t="str">
        <f t="shared" si="35"/>
        <v/>
      </c>
      <c r="I339" s="57"/>
    </row>
    <row r="340" spans="2:9" ht="20.100000000000001" customHeight="1" x14ac:dyDescent="0.3">
      <c r="B340" s="344">
        <v>332</v>
      </c>
      <c r="C340" s="342" t="str">
        <f t="shared" si="32"/>
        <v/>
      </c>
      <c r="D340" s="341" t="str">
        <f t="shared" si="30"/>
        <v/>
      </c>
      <c r="E340" s="328" t="str">
        <f t="shared" si="33"/>
        <v/>
      </c>
      <c r="F340" s="339" t="str">
        <f t="shared" si="31"/>
        <v/>
      </c>
      <c r="G340" s="328" t="str">
        <f t="shared" si="34"/>
        <v/>
      </c>
      <c r="H340" s="340" t="str">
        <f t="shared" si="35"/>
        <v/>
      </c>
      <c r="I340" s="57"/>
    </row>
    <row r="341" spans="2:9" ht="20.100000000000001" customHeight="1" x14ac:dyDescent="0.3">
      <c r="B341" s="344">
        <v>333</v>
      </c>
      <c r="C341" s="342" t="str">
        <f t="shared" si="32"/>
        <v/>
      </c>
      <c r="D341" s="341" t="str">
        <f t="shared" si="30"/>
        <v/>
      </c>
      <c r="E341" s="328" t="str">
        <f t="shared" si="33"/>
        <v/>
      </c>
      <c r="F341" s="339" t="str">
        <f t="shared" si="31"/>
        <v/>
      </c>
      <c r="G341" s="328" t="str">
        <f t="shared" si="34"/>
        <v/>
      </c>
      <c r="H341" s="340" t="str">
        <f t="shared" si="35"/>
        <v/>
      </c>
      <c r="I341" s="57"/>
    </row>
    <row r="342" spans="2:9" ht="20.100000000000001" customHeight="1" x14ac:dyDescent="0.3">
      <c r="B342" s="344">
        <v>334</v>
      </c>
      <c r="C342" s="342" t="str">
        <f t="shared" si="32"/>
        <v/>
      </c>
      <c r="D342" s="341" t="str">
        <f t="shared" si="30"/>
        <v/>
      </c>
      <c r="E342" s="328" t="str">
        <f t="shared" si="33"/>
        <v/>
      </c>
      <c r="F342" s="339" t="str">
        <f t="shared" si="31"/>
        <v/>
      </c>
      <c r="G342" s="328" t="str">
        <f t="shared" si="34"/>
        <v/>
      </c>
      <c r="H342" s="340" t="str">
        <f t="shared" si="35"/>
        <v/>
      </c>
      <c r="I342" s="57"/>
    </row>
    <row r="343" spans="2:9" ht="20.100000000000001" customHeight="1" x14ac:dyDescent="0.3">
      <c r="B343" s="344">
        <v>335</v>
      </c>
      <c r="C343" s="342" t="str">
        <f t="shared" si="32"/>
        <v/>
      </c>
      <c r="D343" s="341" t="str">
        <f t="shared" si="30"/>
        <v/>
      </c>
      <c r="E343" s="328" t="str">
        <f t="shared" si="33"/>
        <v/>
      </c>
      <c r="F343" s="339" t="str">
        <f t="shared" si="31"/>
        <v/>
      </c>
      <c r="G343" s="328" t="str">
        <f t="shared" si="34"/>
        <v/>
      </c>
      <c r="H343" s="340" t="str">
        <f t="shared" si="35"/>
        <v/>
      </c>
      <c r="I343" s="57"/>
    </row>
    <row r="344" spans="2:9" ht="20.100000000000001" customHeight="1" x14ac:dyDescent="0.3">
      <c r="B344" s="344">
        <v>336</v>
      </c>
      <c r="C344" s="342" t="str">
        <f t="shared" si="32"/>
        <v/>
      </c>
      <c r="D344" s="341" t="str">
        <f t="shared" si="30"/>
        <v/>
      </c>
      <c r="E344" s="328" t="str">
        <f t="shared" si="33"/>
        <v/>
      </c>
      <c r="F344" s="339" t="str">
        <f t="shared" si="31"/>
        <v/>
      </c>
      <c r="G344" s="328" t="str">
        <f t="shared" si="34"/>
        <v/>
      </c>
      <c r="H344" s="340" t="str">
        <f t="shared" si="35"/>
        <v/>
      </c>
      <c r="I344" s="57"/>
    </row>
    <row r="345" spans="2:9" ht="20.100000000000001" customHeight="1" x14ac:dyDescent="0.3">
      <c r="B345" s="344">
        <v>337</v>
      </c>
      <c r="C345" s="342" t="str">
        <f t="shared" si="32"/>
        <v/>
      </c>
      <c r="D345" s="341" t="str">
        <f t="shared" si="30"/>
        <v/>
      </c>
      <c r="E345" s="328" t="str">
        <f t="shared" si="33"/>
        <v/>
      </c>
      <c r="F345" s="339" t="str">
        <f t="shared" si="31"/>
        <v/>
      </c>
      <c r="G345" s="328" t="str">
        <f t="shared" si="34"/>
        <v/>
      </c>
      <c r="H345" s="340" t="str">
        <f t="shared" si="35"/>
        <v/>
      </c>
      <c r="I345" s="57"/>
    </row>
    <row r="346" spans="2:9" ht="20.100000000000001" customHeight="1" x14ac:dyDescent="0.3">
      <c r="B346" s="344">
        <v>338</v>
      </c>
      <c r="C346" s="342" t="str">
        <f t="shared" si="32"/>
        <v/>
      </c>
      <c r="D346" s="341" t="str">
        <f t="shared" si="30"/>
        <v/>
      </c>
      <c r="E346" s="328" t="str">
        <f t="shared" si="33"/>
        <v/>
      </c>
      <c r="F346" s="339" t="str">
        <f t="shared" si="31"/>
        <v/>
      </c>
      <c r="G346" s="328" t="str">
        <f t="shared" si="34"/>
        <v/>
      </c>
      <c r="H346" s="340" t="str">
        <f t="shared" si="35"/>
        <v/>
      </c>
      <c r="I346" s="57"/>
    </row>
    <row r="347" spans="2:9" ht="20.100000000000001" customHeight="1" x14ac:dyDescent="0.3">
      <c r="B347" s="344">
        <v>339</v>
      </c>
      <c r="C347" s="342" t="str">
        <f t="shared" si="32"/>
        <v/>
      </c>
      <c r="D347" s="341" t="str">
        <f t="shared" si="30"/>
        <v/>
      </c>
      <c r="E347" s="328" t="str">
        <f t="shared" si="33"/>
        <v/>
      </c>
      <c r="F347" s="339" t="str">
        <f t="shared" si="31"/>
        <v/>
      </c>
      <c r="G347" s="328" t="str">
        <f t="shared" si="34"/>
        <v/>
      </c>
      <c r="H347" s="340" t="str">
        <f t="shared" si="35"/>
        <v/>
      </c>
      <c r="I347" s="57"/>
    </row>
    <row r="348" spans="2:9" ht="20.100000000000001" customHeight="1" x14ac:dyDescent="0.3">
      <c r="B348" s="344">
        <v>340</v>
      </c>
      <c r="C348" s="342" t="str">
        <f t="shared" si="32"/>
        <v/>
      </c>
      <c r="D348" s="341" t="str">
        <f t="shared" si="30"/>
        <v/>
      </c>
      <c r="E348" s="328" t="str">
        <f t="shared" si="33"/>
        <v/>
      </c>
      <c r="F348" s="339" t="str">
        <f t="shared" si="31"/>
        <v/>
      </c>
      <c r="G348" s="328" t="str">
        <f t="shared" si="34"/>
        <v/>
      </c>
      <c r="H348" s="340" t="str">
        <f t="shared" si="35"/>
        <v/>
      </c>
      <c r="I348" s="57"/>
    </row>
    <row r="349" spans="2:9" ht="20.100000000000001" customHeight="1" x14ac:dyDescent="0.3">
      <c r="B349" s="344">
        <v>341</v>
      </c>
      <c r="C349" s="342" t="str">
        <f t="shared" si="32"/>
        <v/>
      </c>
      <c r="D349" s="341" t="str">
        <f t="shared" si="30"/>
        <v/>
      </c>
      <c r="E349" s="328" t="str">
        <f t="shared" si="33"/>
        <v/>
      </c>
      <c r="F349" s="339" t="str">
        <f t="shared" si="31"/>
        <v/>
      </c>
      <c r="G349" s="328" t="str">
        <f t="shared" si="34"/>
        <v/>
      </c>
      <c r="H349" s="340" t="str">
        <f t="shared" si="35"/>
        <v/>
      </c>
      <c r="I349" s="57"/>
    </row>
    <row r="350" spans="2:9" ht="20.100000000000001" customHeight="1" x14ac:dyDescent="0.3">
      <c r="B350" s="344">
        <v>342</v>
      </c>
      <c r="C350" s="342" t="str">
        <f t="shared" si="32"/>
        <v/>
      </c>
      <c r="D350" s="341" t="str">
        <f t="shared" si="30"/>
        <v/>
      </c>
      <c r="E350" s="328" t="str">
        <f t="shared" si="33"/>
        <v/>
      </c>
      <c r="F350" s="339" t="str">
        <f t="shared" si="31"/>
        <v/>
      </c>
      <c r="G350" s="328" t="str">
        <f t="shared" si="34"/>
        <v/>
      </c>
      <c r="H350" s="340" t="str">
        <f t="shared" si="35"/>
        <v/>
      </c>
      <c r="I350" s="57"/>
    </row>
    <row r="351" spans="2:9" ht="20.100000000000001" customHeight="1" x14ac:dyDescent="0.3">
      <c r="B351" s="344">
        <v>343</v>
      </c>
      <c r="C351" s="342" t="str">
        <f t="shared" si="32"/>
        <v/>
      </c>
      <c r="D351" s="341" t="str">
        <f t="shared" si="30"/>
        <v/>
      </c>
      <c r="E351" s="328" t="str">
        <f t="shared" si="33"/>
        <v/>
      </c>
      <c r="F351" s="339" t="str">
        <f t="shared" si="31"/>
        <v/>
      </c>
      <c r="G351" s="328" t="str">
        <f t="shared" si="34"/>
        <v/>
      </c>
      <c r="H351" s="340" t="str">
        <f t="shared" si="35"/>
        <v/>
      </c>
      <c r="I351" s="57"/>
    </row>
    <row r="352" spans="2:9" ht="20.100000000000001" customHeight="1" x14ac:dyDescent="0.3">
      <c r="B352" s="344">
        <v>344</v>
      </c>
      <c r="C352" s="342" t="str">
        <f t="shared" si="32"/>
        <v/>
      </c>
      <c r="D352" s="341" t="str">
        <f t="shared" si="30"/>
        <v/>
      </c>
      <c r="E352" s="328" t="str">
        <f t="shared" si="33"/>
        <v/>
      </c>
      <c r="F352" s="339" t="str">
        <f t="shared" si="31"/>
        <v/>
      </c>
      <c r="G352" s="328" t="str">
        <f t="shared" si="34"/>
        <v/>
      </c>
      <c r="H352" s="340" t="str">
        <f t="shared" si="35"/>
        <v/>
      </c>
      <c r="I352" s="57"/>
    </row>
    <row r="353" spans="2:9" ht="20.100000000000001" customHeight="1" x14ac:dyDescent="0.3">
      <c r="B353" s="344">
        <v>345</v>
      </c>
      <c r="C353" s="342" t="str">
        <f t="shared" si="32"/>
        <v/>
      </c>
      <c r="D353" s="341" t="str">
        <f t="shared" si="30"/>
        <v/>
      </c>
      <c r="E353" s="328" t="str">
        <f t="shared" si="33"/>
        <v/>
      </c>
      <c r="F353" s="339" t="str">
        <f t="shared" si="31"/>
        <v/>
      </c>
      <c r="G353" s="328" t="str">
        <f t="shared" si="34"/>
        <v/>
      </c>
      <c r="H353" s="340" t="str">
        <f t="shared" si="35"/>
        <v/>
      </c>
      <c r="I353" s="57"/>
    </row>
    <row r="354" spans="2:9" ht="20.100000000000001" customHeight="1" x14ac:dyDescent="0.3">
      <c r="B354" s="344">
        <v>346</v>
      </c>
      <c r="C354" s="342" t="str">
        <f t="shared" si="32"/>
        <v/>
      </c>
      <c r="D354" s="341" t="str">
        <f t="shared" si="30"/>
        <v/>
      </c>
      <c r="E354" s="328" t="str">
        <f t="shared" si="33"/>
        <v/>
      </c>
      <c r="F354" s="339" t="str">
        <f t="shared" si="31"/>
        <v/>
      </c>
      <c r="G354" s="328" t="str">
        <f t="shared" si="34"/>
        <v/>
      </c>
      <c r="H354" s="340" t="str">
        <f t="shared" si="35"/>
        <v/>
      </c>
      <c r="I354" s="57"/>
    </row>
    <row r="355" spans="2:9" ht="20.100000000000001" customHeight="1" x14ac:dyDescent="0.3">
      <c r="B355" s="344">
        <v>347</v>
      </c>
      <c r="C355" s="342" t="str">
        <f t="shared" si="32"/>
        <v/>
      </c>
      <c r="D355" s="341" t="str">
        <f t="shared" si="30"/>
        <v/>
      </c>
      <c r="E355" s="328" t="str">
        <f t="shared" si="33"/>
        <v/>
      </c>
      <c r="F355" s="339" t="str">
        <f t="shared" si="31"/>
        <v/>
      </c>
      <c r="G355" s="328" t="str">
        <f t="shared" si="34"/>
        <v/>
      </c>
      <c r="H355" s="340" t="str">
        <f t="shared" si="35"/>
        <v/>
      </c>
      <c r="I355" s="57"/>
    </row>
    <row r="356" spans="2:9" ht="20.100000000000001" customHeight="1" x14ac:dyDescent="0.3">
      <c r="B356" s="344">
        <v>348</v>
      </c>
      <c r="C356" s="342" t="str">
        <f t="shared" si="32"/>
        <v/>
      </c>
      <c r="D356" s="341" t="str">
        <f t="shared" si="30"/>
        <v/>
      </c>
      <c r="E356" s="328" t="str">
        <f t="shared" si="33"/>
        <v/>
      </c>
      <c r="F356" s="339" t="str">
        <f t="shared" si="31"/>
        <v/>
      </c>
      <c r="G356" s="328" t="str">
        <f t="shared" si="34"/>
        <v/>
      </c>
      <c r="H356" s="340" t="str">
        <f t="shared" si="35"/>
        <v/>
      </c>
      <c r="I356" s="57"/>
    </row>
    <row r="357" spans="2:9" ht="20.100000000000001" customHeight="1" x14ac:dyDescent="0.3">
      <c r="B357" s="344">
        <v>349</v>
      </c>
      <c r="C357" s="342" t="str">
        <f t="shared" si="32"/>
        <v/>
      </c>
      <c r="D357" s="341" t="str">
        <f t="shared" si="30"/>
        <v/>
      </c>
      <c r="E357" s="328" t="str">
        <f t="shared" si="33"/>
        <v/>
      </c>
      <c r="F357" s="339" t="str">
        <f t="shared" si="31"/>
        <v/>
      </c>
      <c r="G357" s="328" t="str">
        <f t="shared" si="34"/>
        <v/>
      </c>
      <c r="H357" s="340" t="str">
        <f t="shared" si="35"/>
        <v/>
      </c>
      <c r="I357" s="57"/>
    </row>
    <row r="358" spans="2:9" ht="20.100000000000001" customHeight="1" x14ac:dyDescent="0.3">
      <c r="B358" s="344">
        <v>350</v>
      </c>
      <c r="C358" s="342" t="str">
        <f t="shared" si="32"/>
        <v/>
      </c>
      <c r="D358" s="341" t="str">
        <f t="shared" si="30"/>
        <v/>
      </c>
      <c r="E358" s="328" t="str">
        <f t="shared" si="33"/>
        <v/>
      </c>
      <c r="F358" s="339" t="str">
        <f t="shared" si="31"/>
        <v/>
      </c>
      <c r="G358" s="328" t="str">
        <f t="shared" si="34"/>
        <v/>
      </c>
      <c r="H358" s="340" t="str">
        <f t="shared" si="35"/>
        <v/>
      </c>
      <c r="I358" s="57"/>
    </row>
    <row r="359" spans="2:9" ht="20.100000000000001" customHeight="1" x14ac:dyDescent="0.3">
      <c r="B359" s="344">
        <v>351</v>
      </c>
      <c r="C359" s="342" t="str">
        <f t="shared" si="32"/>
        <v/>
      </c>
      <c r="D359" s="341" t="str">
        <f t="shared" si="30"/>
        <v/>
      </c>
      <c r="E359" s="328" t="str">
        <f t="shared" si="33"/>
        <v/>
      </c>
      <c r="F359" s="339" t="str">
        <f t="shared" si="31"/>
        <v/>
      </c>
      <c r="G359" s="328" t="str">
        <f t="shared" si="34"/>
        <v/>
      </c>
      <c r="H359" s="340" t="str">
        <f t="shared" si="35"/>
        <v/>
      </c>
      <c r="I359" s="57"/>
    </row>
    <row r="360" spans="2:9" ht="20.100000000000001" customHeight="1" x14ac:dyDescent="0.3">
      <c r="B360" s="344">
        <v>352</v>
      </c>
      <c r="C360" s="342" t="str">
        <f t="shared" si="32"/>
        <v/>
      </c>
      <c r="D360" s="341" t="str">
        <f t="shared" si="30"/>
        <v/>
      </c>
      <c r="E360" s="328" t="str">
        <f t="shared" si="33"/>
        <v/>
      </c>
      <c r="F360" s="339" t="str">
        <f t="shared" si="31"/>
        <v/>
      </c>
      <c r="G360" s="328" t="str">
        <f t="shared" si="34"/>
        <v/>
      </c>
      <c r="H360" s="340" t="str">
        <f t="shared" si="35"/>
        <v/>
      </c>
      <c r="I360" s="57"/>
    </row>
    <row r="361" spans="2:9" ht="20.100000000000001" customHeight="1" x14ac:dyDescent="0.3">
      <c r="B361" s="344">
        <v>353</v>
      </c>
      <c r="C361" s="342" t="str">
        <f t="shared" si="32"/>
        <v/>
      </c>
      <c r="D361" s="341" t="str">
        <f t="shared" si="30"/>
        <v/>
      </c>
      <c r="E361" s="328" t="str">
        <f t="shared" si="33"/>
        <v/>
      </c>
      <c r="F361" s="339" t="str">
        <f t="shared" si="31"/>
        <v/>
      </c>
      <c r="G361" s="328" t="str">
        <f t="shared" si="34"/>
        <v/>
      </c>
      <c r="H361" s="340" t="str">
        <f t="shared" si="35"/>
        <v/>
      </c>
      <c r="I361" s="57"/>
    </row>
    <row r="362" spans="2:9" ht="20.100000000000001" customHeight="1" x14ac:dyDescent="0.3">
      <c r="B362" s="344">
        <v>354</v>
      </c>
      <c r="C362" s="342" t="str">
        <f t="shared" si="32"/>
        <v/>
      </c>
      <c r="D362" s="341" t="str">
        <f t="shared" si="30"/>
        <v/>
      </c>
      <c r="E362" s="328" t="str">
        <f t="shared" si="33"/>
        <v/>
      </c>
      <c r="F362" s="339" t="str">
        <f t="shared" si="31"/>
        <v/>
      </c>
      <c r="G362" s="328" t="str">
        <f t="shared" si="34"/>
        <v/>
      </c>
      <c r="H362" s="340" t="str">
        <f t="shared" si="35"/>
        <v/>
      </c>
      <c r="I362" s="57"/>
    </row>
    <row r="363" spans="2:9" ht="20.100000000000001" customHeight="1" x14ac:dyDescent="0.3">
      <c r="B363" s="344">
        <v>355</v>
      </c>
      <c r="C363" s="342" t="str">
        <f t="shared" si="32"/>
        <v/>
      </c>
      <c r="D363" s="341" t="str">
        <f t="shared" si="30"/>
        <v/>
      </c>
      <c r="E363" s="328" t="str">
        <f t="shared" si="33"/>
        <v/>
      </c>
      <c r="F363" s="339" t="str">
        <f t="shared" si="31"/>
        <v/>
      </c>
      <c r="G363" s="328" t="str">
        <f t="shared" si="34"/>
        <v/>
      </c>
      <c r="H363" s="340" t="str">
        <f t="shared" si="35"/>
        <v/>
      </c>
      <c r="I363" s="57"/>
    </row>
    <row r="364" spans="2:9" ht="20.100000000000001" customHeight="1" x14ac:dyDescent="0.3">
      <c r="B364" s="344">
        <v>356</v>
      </c>
      <c r="C364" s="342" t="str">
        <f t="shared" si="32"/>
        <v/>
      </c>
      <c r="D364" s="341" t="str">
        <f t="shared" si="30"/>
        <v/>
      </c>
      <c r="E364" s="328" t="str">
        <f t="shared" si="33"/>
        <v/>
      </c>
      <c r="F364" s="339" t="str">
        <f t="shared" si="31"/>
        <v/>
      </c>
      <c r="G364" s="328" t="str">
        <f t="shared" si="34"/>
        <v/>
      </c>
      <c r="H364" s="340" t="str">
        <f t="shared" si="35"/>
        <v/>
      </c>
      <c r="I364" s="57"/>
    </row>
    <row r="365" spans="2:9" ht="20.100000000000001" customHeight="1" x14ac:dyDescent="0.3">
      <c r="B365" s="344">
        <v>357</v>
      </c>
      <c r="C365" s="342" t="str">
        <f t="shared" si="32"/>
        <v/>
      </c>
      <c r="D365" s="341" t="str">
        <f t="shared" si="30"/>
        <v/>
      </c>
      <c r="E365" s="328" t="str">
        <f t="shared" si="33"/>
        <v/>
      </c>
      <c r="F365" s="339" t="str">
        <f t="shared" si="31"/>
        <v/>
      </c>
      <c r="G365" s="328" t="str">
        <f t="shared" si="34"/>
        <v/>
      </c>
      <c r="H365" s="340" t="str">
        <f t="shared" si="35"/>
        <v/>
      </c>
      <c r="I365" s="57"/>
    </row>
    <row r="366" spans="2:9" ht="20.100000000000001" customHeight="1" x14ac:dyDescent="0.3">
      <c r="B366" s="344">
        <v>358</v>
      </c>
      <c r="C366" s="342" t="str">
        <f t="shared" si="32"/>
        <v/>
      </c>
      <c r="D366" s="341" t="str">
        <f t="shared" si="30"/>
        <v/>
      </c>
      <c r="E366" s="328" t="str">
        <f t="shared" si="33"/>
        <v/>
      </c>
      <c r="F366" s="339" t="str">
        <f t="shared" si="31"/>
        <v/>
      </c>
      <c r="G366" s="328" t="str">
        <f t="shared" si="34"/>
        <v/>
      </c>
      <c r="H366" s="340" t="str">
        <f t="shared" si="35"/>
        <v/>
      </c>
      <c r="I366" s="57"/>
    </row>
    <row r="367" spans="2:9" ht="20.100000000000001" customHeight="1" x14ac:dyDescent="0.3">
      <c r="B367" s="344">
        <v>359</v>
      </c>
      <c r="C367" s="342" t="str">
        <f t="shared" si="32"/>
        <v/>
      </c>
      <c r="D367" s="341" t="str">
        <f t="shared" si="30"/>
        <v/>
      </c>
      <c r="E367" s="328" t="str">
        <f t="shared" si="33"/>
        <v/>
      </c>
      <c r="F367" s="339" t="str">
        <f t="shared" si="31"/>
        <v/>
      </c>
      <c r="G367" s="328" t="str">
        <f t="shared" si="34"/>
        <v/>
      </c>
      <c r="H367" s="340" t="str">
        <f t="shared" si="35"/>
        <v/>
      </c>
      <c r="I367" s="57"/>
    </row>
    <row r="368" spans="2:9" ht="20.100000000000001" customHeight="1" x14ac:dyDescent="0.3">
      <c r="B368" s="344">
        <v>360</v>
      </c>
      <c r="C368" s="342" t="str">
        <f t="shared" si="32"/>
        <v/>
      </c>
      <c r="D368" s="341" t="str">
        <f t="shared" si="30"/>
        <v/>
      </c>
      <c r="E368" s="328" t="str">
        <f t="shared" si="33"/>
        <v/>
      </c>
      <c r="F368" s="339" t="str">
        <f t="shared" si="31"/>
        <v/>
      </c>
      <c r="G368" s="328" t="str">
        <f t="shared" si="34"/>
        <v/>
      </c>
      <c r="H368" s="340" t="str">
        <f t="shared" si="35"/>
        <v/>
      </c>
      <c r="I368" s="57"/>
    </row>
    <row r="369" spans="2:9" ht="20.100000000000001" customHeight="1" x14ac:dyDescent="0.3">
      <c r="B369" s="344">
        <v>361</v>
      </c>
      <c r="C369" s="342" t="str">
        <f t="shared" si="32"/>
        <v/>
      </c>
      <c r="D369" s="341" t="str">
        <f t="shared" si="30"/>
        <v/>
      </c>
      <c r="E369" s="328" t="str">
        <f t="shared" si="33"/>
        <v/>
      </c>
      <c r="F369" s="339" t="str">
        <f t="shared" si="31"/>
        <v/>
      </c>
      <c r="G369" s="328" t="str">
        <f t="shared" si="34"/>
        <v/>
      </c>
      <c r="H369" s="340" t="str">
        <f t="shared" si="35"/>
        <v/>
      </c>
      <c r="I369" s="57"/>
    </row>
    <row r="370" spans="2:9" ht="20.100000000000001" customHeight="1" x14ac:dyDescent="0.3">
      <c r="B370" s="344">
        <v>362</v>
      </c>
      <c r="C370" s="342" t="str">
        <f t="shared" si="32"/>
        <v/>
      </c>
      <c r="D370" s="341" t="str">
        <f t="shared" si="30"/>
        <v/>
      </c>
      <c r="E370" s="328" t="str">
        <f t="shared" si="33"/>
        <v/>
      </c>
      <c r="F370" s="339" t="str">
        <f t="shared" si="31"/>
        <v/>
      </c>
      <c r="G370" s="328" t="str">
        <f t="shared" si="34"/>
        <v/>
      </c>
      <c r="H370" s="340" t="str">
        <f t="shared" si="35"/>
        <v/>
      </c>
      <c r="I370" s="57"/>
    </row>
    <row r="371" spans="2:9" ht="20.100000000000001" customHeight="1" x14ac:dyDescent="0.3">
      <c r="B371" s="344">
        <v>363</v>
      </c>
      <c r="C371" s="342" t="str">
        <f t="shared" si="32"/>
        <v/>
      </c>
      <c r="D371" s="341" t="str">
        <f t="shared" si="30"/>
        <v/>
      </c>
      <c r="E371" s="328" t="str">
        <f t="shared" si="33"/>
        <v/>
      </c>
      <c r="F371" s="339" t="str">
        <f t="shared" si="31"/>
        <v/>
      </c>
      <c r="G371" s="328" t="str">
        <f t="shared" si="34"/>
        <v/>
      </c>
      <c r="H371" s="340" t="str">
        <f t="shared" si="35"/>
        <v/>
      </c>
      <c r="I371" s="57"/>
    </row>
    <row r="372" spans="2:9" ht="20.100000000000001" customHeight="1" x14ac:dyDescent="0.3">
      <c r="B372" s="344">
        <v>364</v>
      </c>
      <c r="C372" s="342" t="str">
        <f t="shared" si="32"/>
        <v/>
      </c>
      <c r="D372" s="341" t="str">
        <f t="shared" si="30"/>
        <v/>
      </c>
      <c r="E372" s="328" t="str">
        <f t="shared" si="33"/>
        <v/>
      </c>
      <c r="F372" s="339" t="str">
        <f t="shared" si="31"/>
        <v/>
      </c>
      <c r="G372" s="328" t="str">
        <f t="shared" si="34"/>
        <v/>
      </c>
      <c r="H372" s="340" t="str">
        <f t="shared" si="35"/>
        <v/>
      </c>
      <c r="I372" s="57"/>
    </row>
    <row r="373" spans="2:9" ht="20.100000000000001" customHeight="1" x14ac:dyDescent="0.3">
      <c r="B373" s="344">
        <v>365</v>
      </c>
      <c r="C373" s="342" t="str">
        <f t="shared" si="32"/>
        <v/>
      </c>
      <c r="D373" s="341" t="str">
        <f t="shared" si="30"/>
        <v/>
      </c>
      <c r="E373" s="328" t="str">
        <f t="shared" si="33"/>
        <v/>
      </c>
      <c r="F373" s="339" t="str">
        <f t="shared" si="31"/>
        <v/>
      </c>
      <c r="G373" s="328" t="str">
        <f t="shared" si="34"/>
        <v/>
      </c>
      <c r="H373" s="340" t="str">
        <f t="shared" si="35"/>
        <v/>
      </c>
      <c r="I373" s="57"/>
    </row>
    <row r="374" spans="2:9" ht="20.100000000000001" customHeight="1" x14ac:dyDescent="0.3">
      <c r="B374" s="344">
        <v>366</v>
      </c>
      <c r="C374" s="342" t="str">
        <f t="shared" si="32"/>
        <v/>
      </c>
      <c r="D374" s="341" t="str">
        <f t="shared" si="30"/>
        <v/>
      </c>
      <c r="E374" s="328" t="str">
        <f t="shared" si="33"/>
        <v/>
      </c>
      <c r="F374" s="339" t="str">
        <f t="shared" si="31"/>
        <v/>
      </c>
      <c r="G374" s="328" t="str">
        <f t="shared" si="34"/>
        <v/>
      </c>
      <c r="H374" s="340" t="str">
        <f t="shared" si="35"/>
        <v/>
      </c>
      <c r="I374" s="57"/>
    </row>
    <row r="375" spans="2:9" ht="20.100000000000001" customHeight="1" x14ac:dyDescent="0.3">
      <c r="B375" s="344">
        <v>367</v>
      </c>
      <c r="C375" s="342" t="str">
        <f t="shared" si="32"/>
        <v/>
      </c>
      <c r="D375" s="341" t="str">
        <f t="shared" si="30"/>
        <v/>
      </c>
      <c r="E375" s="328" t="str">
        <f t="shared" si="33"/>
        <v/>
      </c>
      <c r="F375" s="339" t="str">
        <f t="shared" si="31"/>
        <v/>
      </c>
      <c r="G375" s="328" t="str">
        <f t="shared" si="34"/>
        <v/>
      </c>
      <c r="H375" s="340" t="str">
        <f t="shared" si="35"/>
        <v/>
      </c>
      <c r="I375" s="57"/>
    </row>
    <row r="376" spans="2:9" ht="20.100000000000001" customHeight="1" x14ac:dyDescent="0.3">
      <c r="B376" s="344">
        <v>368</v>
      </c>
      <c r="C376" s="342" t="str">
        <f t="shared" si="32"/>
        <v/>
      </c>
      <c r="D376" s="341" t="str">
        <f t="shared" si="30"/>
        <v/>
      </c>
      <c r="E376" s="328" t="str">
        <f t="shared" si="33"/>
        <v/>
      </c>
      <c r="F376" s="339" t="str">
        <f t="shared" si="31"/>
        <v/>
      </c>
      <c r="G376" s="328" t="str">
        <f t="shared" si="34"/>
        <v/>
      </c>
      <c r="H376" s="340" t="str">
        <f t="shared" si="35"/>
        <v/>
      </c>
      <c r="I376" s="57"/>
    </row>
    <row r="377" spans="2:9" ht="20.100000000000001" customHeight="1" x14ac:dyDescent="0.3">
      <c r="B377" s="344">
        <v>369</v>
      </c>
      <c r="C377" s="342" t="str">
        <f t="shared" si="32"/>
        <v/>
      </c>
      <c r="D377" s="341" t="str">
        <f t="shared" si="30"/>
        <v/>
      </c>
      <c r="E377" s="328" t="str">
        <f t="shared" si="33"/>
        <v/>
      </c>
      <c r="F377" s="339" t="str">
        <f t="shared" si="31"/>
        <v/>
      </c>
      <c r="G377" s="328" t="str">
        <f t="shared" si="34"/>
        <v/>
      </c>
      <c r="H377" s="340" t="str">
        <f t="shared" si="35"/>
        <v/>
      </c>
      <c r="I377" s="57"/>
    </row>
    <row r="378" spans="2:9" ht="20.100000000000001" customHeight="1" x14ac:dyDescent="0.3">
      <c r="B378" s="344">
        <v>370</v>
      </c>
      <c r="C378" s="342" t="str">
        <f t="shared" si="32"/>
        <v/>
      </c>
      <c r="D378" s="341" t="str">
        <f t="shared" si="30"/>
        <v/>
      </c>
      <c r="E378" s="328" t="str">
        <f t="shared" si="33"/>
        <v/>
      </c>
      <c r="F378" s="339" t="str">
        <f t="shared" si="31"/>
        <v/>
      </c>
      <c r="G378" s="328" t="str">
        <f t="shared" si="34"/>
        <v/>
      </c>
      <c r="H378" s="340" t="str">
        <f t="shared" si="35"/>
        <v/>
      </c>
      <c r="I378" s="57"/>
    </row>
    <row r="379" spans="2:9" ht="20.100000000000001" customHeight="1" x14ac:dyDescent="0.3">
      <c r="B379" s="344">
        <v>371</v>
      </c>
      <c r="C379" s="342" t="str">
        <f t="shared" si="32"/>
        <v/>
      </c>
      <c r="D379" s="341" t="str">
        <f t="shared" si="30"/>
        <v/>
      </c>
      <c r="E379" s="328" t="str">
        <f t="shared" si="33"/>
        <v/>
      </c>
      <c r="F379" s="339" t="str">
        <f t="shared" si="31"/>
        <v/>
      </c>
      <c r="G379" s="328" t="str">
        <f t="shared" si="34"/>
        <v/>
      </c>
      <c r="H379" s="340" t="str">
        <f t="shared" si="35"/>
        <v/>
      </c>
      <c r="I379" s="57"/>
    </row>
    <row r="380" spans="2:9" ht="20.100000000000001" customHeight="1" x14ac:dyDescent="0.3">
      <c r="B380" s="344">
        <v>372</v>
      </c>
      <c r="C380" s="342" t="str">
        <f t="shared" si="32"/>
        <v/>
      </c>
      <c r="D380" s="341" t="str">
        <f t="shared" si="30"/>
        <v/>
      </c>
      <c r="E380" s="328" t="str">
        <f t="shared" si="33"/>
        <v/>
      </c>
      <c r="F380" s="339" t="str">
        <f t="shared" si="31"/>
        <v/>
      </c>
      <c r="G380" s="328" t="str">
        <f t="shared" si="34"/>
        <v/>
      </c>
      <c r="H380" s="340" t="str">
        <f t="shared" si="35"/>
        <v/>
      </c>
      <c r="I380" s="57"/>
    </row>
    <row r="381" spans="2:9" ht="20.100000000000001" customHeight="1" x14ac:dyDescent="0.3">
      <c r="B381" s="344">
        <v>373</v>
      </c>
      <c r="C381" s="342" t="str">
        <f t="shared" si="32"/>
        <v/>
      </c>
      <c r="D381" s="341" t="str">
        <f t="shared" si="30"/>
        <v/>
      </c>
      <c r="E381" s="328" t="str">
        <f t="shared" si="33"/>
        <v/>
      </c>
      <c r="F381" s="339" t="str">
        <f t="shared" si="31"/>
        <v/>
      </c>
      <c r="G381" s="328" t="str">
        <f t="shared" si="34"/>
        <v/>
      </c>
      <c r="H381" s="340" t="str">
        <f t="shared" si="35"/>
        <v/>
      </c>
      <c r="I381" s="57"/>
    </row>
    <row r="382" spans="2:9" ht="20.100000000000001" customHeight="1" x14ac:dyDescent="0.3">
      <c r="B382" s="344">
        <v>374</v>
      </c>
      <c r="C382" s="342" t="str">
        <f t="shared" si="32"/>
        <v/>
      </c>
      <c r="D382" s="341" t="str">
        <f t="shared" si="30"/>
        <v/>
      </c>
      <c r="E382" s="328" t="str">
        <f t="shared" si="33"/>
        <v/>
      </c>
      <c r="F382" s="339" t="str">
        <f t="shared" si="31"/>
        <v/>
      </c>
      <c r="G382" s="328" t="str">
        <f t="shared" si="34"/>
        <v/>
      </c>
      <c r="H382" s="340" t="str">
        <f t="shared" si="35"/>
        <v/>
      </c>
      <c r="I382" s="57"/>
    </row>
    <row r="383" spans="2:9" ht="20.100000000000001" customHeight="1" x14ac:dyDescent="0.3">
      <c r="B383" s="344">
        <v>375</v>
      </c>
      <c r="C383" s="342" t="str">
        <f t="shared" si="32"/>
        <v/>
      </c>
      <c r="D383" s="341" t="str">
        <f t="shared" si="30"/>
        <v/>
      </c>
      <c r="E383" s="328" t="str">
        <f t="shared" si="33"/>
        <v/>
      </c>
      <c r="F383" s="339" t="str">
        <f t="shared" si="31"/>
        <v/>
      </c>
      <c r="G383" s="328" t="str">
        <f t="shared" si="34"/>
        <v/>
      </c>
      <c r="H383" s="340" t="str">
        <f t="shared" si="35"/>
        <v/>
      </c>
      <c r="I383" s="57"/>
    </row>
    <row r="384" spans="2:9" ht="20.100000000000001" customHeight="1" x14ac:dyDescent="0.3">
      <c r="B384" s="344">
        <v>376</v>
      </c>
      <c r="C384" s="342" t="str">
        <f t="shared" si="32"/>
        <v/>
      </c>
      <c r="D384" s="341" t="str">
        <f t="shared" si="30"/>
        <v/>
      </c>
      <c r="E384" s="328" t="str">
        <f t="shared" si="33"/>
        <v/>
      </c>
      <c r="F384" s="339" t="str">
        <f t="shared" si="31"/>
        <v/>
      </c>
      <c r="G384" s="328" t="str">
        <f t="shared" si="34"/>
        <v/>
      </c>
      <c r="H384" s="340" t="str">
        <f t="shared" si="35"/>
        <v/>
      </c>
      <c r="I384" s="57"/>
    </row>
    <row r="385" spans="2:9" ht="20.100000000000001" customHeight="1" x14ac:dyDescent="0.3">
      <c r="B385" s="344">
        <v>377</v>
      </c>
      <c r="C385" s="342" t="str">
        <f t="shared" si="32"/>
        <v/>
      </c>
      <c r="D385" s="341" t="str">
        <f t="shared" si="30"/>
        <v/>
      </c>
      <c r="E385" s="328" t="str">
        <f t="shared" si="33"/>
        <v/>
      </c>
      <c r="F385" s="339" t="str">
        <f t="shared" si="31"/>
        <v/>
      </c>
      <c r="G385" s="328" t="str">
        <f t="shared" si="34"/>
        <v/>
      </c>
      <c r="H385" s="340" t="str">
        <f t="shared" si="35"/>
        <v/>
      </c>
      <c r="I385" s="57"/>
    </row>
    <row r="386" spans="2:9" ht="20.100000000000001" customHeight="1" x14ac:dyDescent="0.3">
      <c r="B386" s="344">
        <v>378</v>
      </c>
      <c r="C386" s="342" t="str">
        <f t="shared" si="32"/>
        <v/>
      </c>
      <c r="D386" s="341" t="str">
        <f t="shared" si="30"/>
        <v/>
      </c>
      <c r="E386" s="328" t="str">
        <f t="shared" si="33"/>
        <v/>
      </c>
      <c r="F386" s="339" t="str">
        <f t="shared" si="31"/>
        <v/>
      </c>
      <c r="G386" s="328" t="str">
        <f t="shared" si="34"/>
        <v/>
      </c>
      <c r="H386" s="340" t="str">
        <f t="shared" si="35"/>
        <v/>
      </c>
      <c r="I386" s="57"/>
    </row>
    <row r="387" spans="2:9" ht="20.100000000000001" customHeight="1" x14ac:dyDescent="0.3">
      <c r="B387" s="344">
        <v>379</v>
      </c>
      <c r="C387" s="342" t="str">
        <f t="shared" si="32"/>
        <v/>
      </c>
      <c r="D387" s="341" t="str">
        <f t="shared" si="30"/>
        <v/>
      </c>
      <c r="E387" s="328" t="str">
        <f t="shared" si="33"/>
        <v/>
      </c>
      <c r="F387" s="339" t="str">
        <f t="shared" si="31"/>
        <v/>
      </c>
      <c r="G387" s="328" t="str">
        <f t="shared" si="34"/>
        <v/>
      </c>
      <c r="H387" s="340" t="str">
        <f t="shared" si="35"/>
        <v/>
      </c>
      <c r="I387" s="57"/>
    </row>
    <row r="388" spans="2:9" ht="20.100000000000001" customHeight="1" x14ac:dyDescent="0.3">
      <c r="B388" s="344">
        <v>380</v>
      </c>
      <c r="C388" s="342" t="str">
        <f t="shared" si="32"/>
        <v/>
      </c>
      <c r="D388" s="341" t="str">
        <f t="shared" si="30"/>
        <v/>
      </c>
      <c r="E388" s="328" t="str">
        <f t="shared" si="33"/>
        <v/>
      </c>
      <c r="F388" s="339" t="str">
        <f t="shared" si="31"/>
        <v/>
      </c>
      <c r="G388" s="328" t="str">
        <f t="shared" si="34"/>
        <v/>
      </c>
      <c r="H388" s="340" t="str">
        <f t="shared" si="35"/>
        <v/>
      </c>
      <c r="I388" s="57"/>
    </row>
    <row r="389" spans="2:9" ht="20.100000000000001" customHeight="1" x14ac:dyDescent="0.3">
      <c r="B389" s="344">
        <v>381</v>
      </c>
      <c r="C389" s="342" t="str">
        <f t="shared" si="32"/>
        <v/>
      </c>
      <c r="D389" s="341" t="str">
        <f t="shared" si="30"/>
        <v/>
      </c>
      <c r="E389" s="328" t="str">
        <f t="shared" si="33"/>
        <v/>
      </c>
      <c r="F389" s="339" t="str">
        <f t="shared" si="31"/>
        <v/>
      </c>
      <c r="G389" s="328" t="str">
        <f t="shared" si="34"/>
        <v/>
      </c>
      <c r="H389" s="340" t="str">
        <f t="shared" si="35"/>
        <v/>
      </c>
      <c r="I389" s="57"/>
    </row>
    <row r="390" spans="2:9" ht="20.100000000000001" customHeight="1" x14ac:dyDescent="0.3">
      <c r="B390" s="344">
        <v>382</v>
      </c>
      <c r="C390" s="342" t="str">
        <f t="shared" si="32"/>
        <v/>
      </c>
      <c r="D390" s="341" t="str">
        <f t="shared" si="30"/>
        <v/>
      </c>
      <c r="E390" s="328" t="str">
        <f t="shared" si="33"/>
        <v/>
      </c>
      <c r="F390" s="339" t="str">
        <f t="shared" si="31"/>
        <v/>
      </c>
      <c r="G390" s="328" t="str">
        <f t="shared" si="34"/>
        <v/>
      </c>
      <c r="H390" s="340" t="str">
        <f t="shared" si="35"/>
        <v/>
      </c>
      <c r="I390" s="57"/>
    </row>
    <row r="391" spans="2:9" ht="20.100000000000001" customHeight="1" x14ac:dyDescent="0.3">
      <c r="B391" s="344">
        <v>383</v>
      </c>
      <c r="C391" s="342" t="str">
        <f t="shared" si="32"/>
        <v/>
      </c>
      <c r="D391" s="341" t="str">
        <f t="shared" si="30"/>
        <v/>
      </c>
      <c r="E391" s="328" t="str">
        <f t="shared" si="33"/>
        <v/>
      </c>
      <c r="F391" s="339" t="str">
        <f t="shared" si="31"/>
        <v/>
      </c>
      <c r="G391" s="328" t="str">
        <f t="shared" si="34"/>
        <v/>
      </c>
      <c r="H391" s="340" t="str">
        <f t="shared" si="35"/>
        <v/>
      </c>
      <c r="I391" s="57"/>
    </row>
    <row r="392" spans="2:9" ht="20.100000000000001" customHeight="1" x14ac:dyDescent="0.3">
      <c r="B392" s="344">
        <v>384</v>
      </c>
      <c r="C392" s="342" t="str">
        <f t="shared" si="32"/>
        <v/>
      </c>
      <c r="D392" s="341" t="str">
        <f t="shared" si="30"/>
        <v/>
      </c>
      <c r="E392" s="328" t="str">
        <f t="shared" si="33"/>
        <v/>
      </c>
      <c r="F392" s="339" t="str">
        <f t="shared" si="31"/>
        <v/>
      </c>
      <c r="G392" s="328" t="str">
        <f t="shared" si="34"/>
        <v/>
      </c>
      <c r="H392" s="340" t="str">
        <f t="shared" si="35"/>
        <v/>
      </c>
      <c r="I392" s="57"/>
    </row>
    <row r="393" spans="2:9" ht="20.100000000000001" customHeight="1" x14ac:dyDescent="0.3">
      <c r="B393" s="344">
        <v>385</v>
      </c>
      <c r="C393" s="342" t="str">
        <f t="shared" si="32"/>
        <v/>
      </c>
      <c r="D393" s="341" t="str">
        <f t="shared" si="30"/>
        <v/>
      </c>
      <c r="E393" s="328" t="str">
        <f t="shared" si="33"/>
        <v/>
      </c>
      <c r="F393" s="339" t="str">
        <f t="shared" si="31"/>
        <v/>
      </c>
      <c r="G393" s="328" t="str">
        <f t="shared" si="34"/>
        <v/>
      </c>
      <c r="H393" s="340" t="str">
        <f t="shared" si="35"/>
        <v/>
      </c>
      <c r="I393" s="57"/>
    </row>
    <row r="394" spans="2:9" ht="20.100000000000001" customHeight="1" x14ac:dyDescent="0.3">
      <c r="B394" s="344">
        <v>386</v>
      </c>
      <c r="C394" s="342" t="str">
        <f t="shared" si="32"/>
        <v/>
      </c>
      <c r="D394" s="341" t="str">
        <f t="shared" ref="D394:D457" si="36">IF($H$4="","",IF($F$4="원리금균등상환",IFERROR(IF(B394&lt;=$D$6,0,-PPMT($E$4/12,B394-$D$6,($B$6-$D$6),$D$4)),""),IF($F$4="원금균등상환",IF(B394&lt;($D$6+1),0,IF(B394&gt;$B$6,0,$D$4/($B$6-$D$6))),"")))</f>
        <v/>
      </c>
      <c r="E394" s="328" t="str">
        <f t="shared" si="33"/>
        <v/>
      </c>
      <c r="F394" s="339" t="str">
        <f t="shared" ref="F394:F457" si="37">IF($H$4="","",IF($F$4="원리금균등상환",IFERROR(D394+E394,""),IF($F$4="원금균등상환",D394+E394,"")))</f>
        <v/>
      </c>
      <c r="G394" s="328" t="str">
        <f t="shared" si="34"/>
        <v/>
      </c>
      <c r="H394" s="340" t="str">
        <f t="shared" si="35"/>
        <v/>
      </c>
      <c r="I394" s="57"/>
    </row>
    <row r="395" spans="2:9" ht="20.100000000000001" customHeight="1" x14ac:dyDescent="0.3">
      <c r="B395" s="344">
        <v>387</v>
      </c>
      <c r="C395" s="342" t="str">
        <f t="shared" ref="C395:C458" si="38">IF($H$4="","",IF(B395&gt;($B$6),"",IF(B395&lt;=($B$6),DATE(YEAR($G$4),MONTH($G$4)+B394,DAY($G$4)),"")))</f>
        <v/>
      </c>
      <c r="D395" s="341" t="str">
        <f t="shared" si="36"/>
        <v/>
      </c>
      <c r="E395" s="328" t="str">
        <f t="shared" ref="E395:E458" si="39">IF($H$4="","",IF($F$4="원리금균등상환",IFERROR(IF(B395&lt;=$D$6,$H394*($E$4/12),-IPMT($E$4/12,B395-$D$6,($B$6-$D$6),$D$4)),""),IF($F$4="원금균등상환",(H394-D395)*$E$4/12,"")))</f>
        <v/>
      </c>
      <c r="F395" s="339" t="str">
        <f t="shared" si="37"/>
        <v/>
      </c>
      <c r="G395" s="328" t="str">
        <f t="shared" ref="G395:G458" si="40">IFERROR(IF(B395&gt;(($D$6+$B$6)*12),"",IF(B395=1,D395,D395+G394)),"")</f>
        <v/>
      </c>
      <c r="H395" s="340" t="str">
        <f t="shared" ref="H395:H458" si="41">IFERROR(IF($H$4="","",H394-D395),"")</f>
        <v/>
      </c>
      <c r="I395" s="57"/>
    </row>
    <row r="396" spans="2:9" ht="20.100000000000001" customHeight="1" x14ac:dyDescent="0.3">
      <c r="B396" s="344">
        <v>388</v>
      </c>
      <c r="C396" s="342" t="str">
        <f t="shared" si="38"/>
        <v/>
      </c>
      <c r="D396" s="341" t="str">
        <f t="shared" si="36"/>
        <v/>
      </c>
      <c r="E396" s="328" t="str">
        <f t="shared" si="39"/>
        <v/>
      </c>
      <c r="F396" s="339" t="str">
        <f t="shared" si="37"/>
        <v/>
      </c>
      <c r="G396" s="328" t="str">
        <f t="shared" si="40"/>
        <v/>
      </c>
      <c r="H396" s="340" t="str">
        <f t="shared" si="41"/>
        <v/>
      </c>
      <c r="I396" s="57"/>
    </row>
    <row r="397" spans="2:9" ht="20.100000000000001" customHeight="1" x14ac:dyDescent="0.3">
      <c r="B397" s="344">
        <v>389</v>
      </c>
      <c r="C397" s="342" t="str">
        <f t="shared" si="38"/>
        <v/>
      </c>
      <c r="D397" s="341" t="str">
        <f t="shared" si="36"/>
        <v/>
      </c>
      <c r="E397" s="328" t="str">
        <f t="shared" si="39"/>
        <v/>
      </c>
      <c r="F397" s="339" t="str">
        <f t="shared" si="37"/>
        <v/>
      </c>
      <c r="G397" s="328" t="str">
        <f t="shared" si="40"/>
        <v/>
      </c>
      <c r="H397" s="340" t="str">
        <f t="shared" si="41"/>
        <v/>
      </c>
      <c r="I397" s="57"/>
    </row>
    <row r="398" spans="2:9" ht="20.100000000000001" customHeight="1" x14ac:dyDescent="0.3">
      <c r="B398" s="344">
        <v>390</v>
      </c>
      <c r="C398" s="342" t="str">
        <f t="shared" si="38"/>
        <v/>
      </c>
      <c r="D398" s="341" t="str">
        <f t="shared" si="36"/>
        <v/>
      </c>
      <c r="E398" s="328" t="str">
        <f t="shared" si="39"/>
        <v/>
      </c>
      <c r="F398" s="339" t="str">
        <f t="shared" si="37"/>
        <v/>
      </c>
      <c r="G398" s="328" t="str">
        <f t="shared" si="40"/>
        <v/>
      </c>
      <c r="H398" s="340" t="str">
        <f t="shared" si="41"/>
        <v/>
      </c>
      <c r="I398" s="57"/>
    </row>
    <row r="399" spans="2:9" ht="20.100000000000001" customHeight="1" x14ac:dyDescent="0.3">
      <c r="B399" s="344">
        <v>391</v>
      </c>
      <c r="C399" s="342" t="str">
        <f t="shared" si="38"/>
        <v/>
      </c>
      <c r="D399" s="341" t="str">
        <f t="shared" si="36"/>
        <v/>
      </c>
      <c r="E399" s="328" t="str">
        <f t="shared" si="39"/>
        <v/>
      </c>
      <c r="F399" s="339" t="str">
        <f t="shared" si="37"/>
        <v/>
      </c>
      <c r="G399" s="328" t="str">
        <f t="shared" si="40"/>
        <v/>
      </c>
      <c r="H399" s="340" t="str">
        <f t="shared" si="41"/>
        <v/>
      </c>
      <c r="I399" s="57"/>
    </row>
    <row r="400" spans="2:9" ht="20.100000000000001" customHeight="1" x14ac:dyDescent="0.3">
      <c r="B400" s="344">
        <v>392</v>
      </c>
      <c r="C400" s="342" t="str">
        <f t="shared" si="38"/>
        <v/>
      </c>
      <c r="D400" s="341" t="str">
        <f t="shared" si="36"/>
        <v/>
      </c>
      <c r="E400" s="328" t="str">
        <f t="shared" si="39"/>
        <v/>
      </c>
      <c r="F400" s="339" t="str">
        <f t="shared" si="37"/>
        <v/>
      </c>
      <c r="G400" s="328" t="str">
        <f t="shared" si="40"/>
        <v/>
      </c>
      <c r="H400" s="340" t="str">
        <f t="shared" si="41"/>
        <v/>
      </c>
      <c r="I400" s="57"/>
    </row>
    <row r="401" spans="2:9" ht="20.100000000000001" customHeight="1" x14ac:dyDescent="0.3">
      <c r="B401" s="344">
        <v>393</v>
      </c>
      <c r="C401" s="342" t="str">
        <f t="shared" si="38"/>
        <v/>
      </c>
      <c r="D401" s="341" t="str">
        <f t="shared" si="36"/>
        <v/>
      </c>
      <c r="E401" s="328" t="str">
        <f t="shared" si="39"/>
        <v/>
      </c>
      <c r="F401" s="339" t="str">
        <f t="shared" si="37"/>
        <v/>
      </c>
      <c r="G401" s="328" t="str">
        <f t="shared" si="40"/>
        <v/>
      </c>
      <c r="H401" s="340" t="str">
        <f t="shared" si="41"/>
        <v/>
      </c>
      <c r="I401" s="57"/>
    </row>
    <row r="402" spans="2:9" ht="20.100000000000001" customHeight="1" x14ac:dyDescent="0.3">
      <c r="B402" s="344">
        <v>394</v>
      </c>
      <c r="C402" s="342" t="str">
        <f t="shared" si="38"/>
        <v/>
      </c>
      <c r="D402" s="341" t="str">
        <f t="shared" si="36"/>
        <v/>
      </c>
      <c r="E402" s="328" t="str">
        <f t="shared" si="39"/>
        <v/>
      </c>
      <c r="F402" s="339" t="str">
        <f t="shared" si="37"/>
        <v/>
      </c>
      <c r="G402" s="328" t="str">
        <f t="shared" si="40"/>
        <v/>
      </c>
      <c r="H402" s="340" t="str">
        <f t="shared" si="41"/>
        <v/>
      </c>
      <c r="I402" s="57"/>
    </row>
    <row r="403" spans="2:9" ht="20.100000000000001" customHeight="1" x14ac:dyDescent="0.3">
      <c r="B403" s="344">
        <v>395</v>
      </c>
      <c r="C403" s="342" t="str">
        <f t="shared" si="38"/>
        <v/>
      </c>
      <c r="D403" s="341" t="str">
        <f t="shared" si="36"/>
        <v/>
      </c>
      <c r="E403" s="328" t="str">
        <f t="shared" si="39"/>
        <v/>
      </c>
      <c r="F403" s="339" t="str">
        <f t="shared" si="37"/>
        <v/>
      </c>
      <c r="G403" s="328" t="str">
        <f t="shared" si="40"/>
        <v/>
      </c>
      <c r="H403" s="340" t="str">
        <f t="shared" si="41"/>
        <v/>
      </c>
      <c r="I403" s="57"/>
    </row>
    <row r="404" spans="2:9" ht="20.100000000000001" customHeight="1" x14ac:dyDescent="0.3">
      <c r="B404" s="344">
        <v>396</v>
      </c>
      <c r="C404" s="342" t="str">
        <f t="shared" si="38"/>
        <v/>
      </c>
      <c r="D404" s="341" t="str">
        <f t="shared" si="36"/>
        <v/>
      </c>
      <c r="E404" s="328" t="str">
        <f t="shared" si="39"/>
        <v/>
      </c>
      <c r="F404" s="339" t="str">
        <f t="shared" si="37"/>
        <v/>
      </c>
      <c r="G404" s="328" t="str">
        <f t="shared" si="40"/>
        <v/>
      </c>
      <c r="H404" s="340" t="str">
        <f t="shared" si="41"/>
        <v/>
      </c>
      <c r="I404" s="57"/>
    </row>
    <row r="405" spans="2:9" ht="20.100000000000001" customHeight="1" x14ac:dyDescent="0.3">
      <c r="B405" s="344">
        <v>397</v>
      </c>
      <c r="C405" s="342" t="str">
        <f t="shared" si="38"/>
        <v/>
      </c>
      <c r="D405" s="341" t="str">
        <f t="shared" si="36"/>
        <v/>
      </c>
      <c r="E405" s="328" t="str">
        <f t="shared" si="39"/>
        <v/>
      </c>
      <c r="F405" s="339" t="str">
        <f t="shared" si="37"/>
        <v/>
      </c>
      <c r="G405" s="328" t="str">
        <f t="shared" si="40"/>
        <v/>
      </c>
      <c r="H405" s="340" t="str">
        <f t="shared" si="41"/>
        <v/>
      </c>
      <c r="I405" s="57"/>
    </row>
    <row r="406" spans="2:9" ht="20.100000000000001" customHeight="1" x14ac:dyDescent="0.3">
      <c r="B406" s="344">
        <v>398</v>
      </c>
      <c r="C406" s="342" t="str">
        <f t="shared" si="38"/>
        <v/>
      </c>
      <c r="D406" s="341" t="str">
        <f t="shared" si="36"/>
        <v/>
      </c>
      <c r="E406" s="328" t="str">
        <f t="shared" si="39"/>
        <v/>
      </c>
      <c r="F406" s="339" t="str">
        <f t="shared" si="37"/>
        <v/>
      </c>
      <c r="G406" s="328" t="str">
        <f t="shared" si="40"/>
        <v/>
      </c>
      <c r="H406" s="340" t="str">
        <f t="shared" si="41"/>
        <v/>
      </c>
      <c r="I406" s="57"/>
    </row>
    <row r="407" spans="2:9" ht="20.100000000000001" customHeight="1" x14ac:dyDescent="0.3">
      <c r="B407" s="344">
        <v>399</v>
      </c>
      <c r="C407" s="342" t="str">
        <f t="shared" si="38"/>
        <v/>
      </c>
      <c r="D407" s="341" t="str">
        <f t="shared" si="36"/>
        <v/>
      </c>
      <c r="E407" s="328" t="str">
        <f t="shared" si="39"/>
        <v/>
      </c>
      <c r="F407" s="339" t="str">
        <f t="shared" si="37"/>
        <v/>
      </c>
      <c r="G407" s="328" t="str">
        <f t="shared" si="40"/>
        <v/>
      </c>
      <c r="H407" s="340" t="str">
        <f t="shared" si="41"/>
        <v/>
      </c>
      <c r="I407" s="57"/>
    </row>
    <row r="408" spans="2:9" ht="20.100000000000001" customHeight="1" x14ac:dyDescent="0.3">
      <c r="B408" s="344">
        <v>400</v>
      </c>
      <c r="C408" s="342" t="str">
        <f t="shared" si="38"/>
        <v/>
      </c>
      <c r="D408" s="341" t="str">
        <f t="shared" si="36"/>
        <v/>
      </c>
      <c r="E408" s="328" t="str">
        <f t="shared" si="39"/>
        <v/>
      </c>
      <c r="F408" s="339" t="str">
        <f t="shared" si="37"/>
        <v/>
      </c>
      <c r="G408" s="328" t="str">
        <f t="shared" si="40"/>
        <v/>
      </c>
      <c r="H408" s="340" t="str">
        <f t="shared" si="41"/>
        <v/>
      </c>
      <c r="I408" s="57"/>
    </row>
    <row r="409" spans="2:9" ht="20.100000000000001" customHeight="1" x14ac:dyDescent="0.3">
      <c r="B409" s="344">
        <v>401</v>
      </c>
      <c r="C409" s="342" t="str">
        <f t="shared" si="38"/>
        <v/>
      </c>
      <c r="D409" s="341" t="str">
        <f t="shared" si="36"/>
        <v/>
      </c>
      <c r="E409" s="328" t="str">
        <f t="shared" si="39"/>
        <v/>
      </c>
      <c r="F409" s="339" t="str">
        <f t="shared" si="37"/>
        <v/>
      </c>
      <c r="G409" s="328" t="str">
        <f t="shared" si="40"/>
        <v/>
      </c>
      <c r="H409" s="340" t="str">
        <f t="shared" si="41"/>
        <v/>
      </c>
      <c r="I409" s="57"/>
    </row>
    <row r="410" spans="2:9" ht="20.100000000000001" customHeight="1" x14ac:dyDescent="0.3">
      <c r="B410" s="344">
        <v>402</v>
      </c>
      <c r="C410" s="342" t="str">
        <f t="shared" si="38"/>
        <v/>
      </c>
      <c r="D410" s="341" t="str">
        <f t="shared" si="36"/>
        <v/>
      </c>
      <c r="E410" s="328" t="str">
        <f t="shared" si="39"/>
        <v/>
      </c>
      <c r="F410" s="339" t="str">
        <f t="shared" si="37"/>
        <v/>
      </c>
      <c r="G410" s="328" t="str">
        <f t="shared" si="40"/>
        <v/>
      </c>
      <c r="H410" s="340" t="str">
        <f t="shared" si="41"/>
        <v/>
      </c>
      <c r="I410" s="57"/>
    </row>
    <row r="411" spans="2:9" ht="20.100000000000001" customHeight="1" x14ac:dyDescent="0.3">
      <c r="B411" s="344">
        <v>403</v>
      </c>
      <c r="C411" s="342" t="str">
        <f t="shared" si="38"/>
        <v/>
      </c>
      <c r="D411" s="341" t="str">
        <f t="shared" si="36"/>
        <v/>
      </c>
      <c r="E411" s="328" t="str">
        <f t="shared" si="39"/>
        <v/>
      </c>
      <c r="F411" s="339" t="str">
        <f t="shared" si="37"/>
        <v/>
      </c>
      <c r="G411" s="328" t="str">
        <f t="shared" si="40"/>
        <v/>
      </c>
      <c r="H411" s="340" t="str">
        <f t="shared" si="41"/>
        <v/>
      </c>
      <c r="I411" s="57"/>
    </row>
    <row r="412" spans="2:9" ht="20.100000000000001" customHeight="1" x14ac:dyDescent="0.3">
      <c r="B412" s="344">
        <v>404</v>
      </c>
      <c r="C412" s="342" t="str">
        <f t="shared" si="38"/>
        <v/>
      </c>
      <c r="D412" s="341" t="str">
        <f t="shared" si="36"/>
        <v/>
      </c>
      <c r="E412" s="328" t="str">
        <f t="shared" si="39"/>
        <v/>
      </c>
      <c r="F412" s="339" t="str">
        <f t="shared" si="37"/>
        <v/>
      </c>
      <c r="G412" s="328" t="str">
        <f t="shared" si="40"/>
        <v/>
      </c>
      <c r="H412" s="340" t="str">
        <f t="shared" si="41"/>
        <v/>
      </c>
      <c r="I412" s="57"/>
    </row>
    <row r="413" spans="2:9" ht="20.100000000000001" customHeight="1" x14ac:dyDescent="0.3">
      <c r="B413" s="344">
        <v>405</v>
      </c>
      <c r="C413" s="342" t="str">
        <f t="shared" si="38"/>
        <v/>
      </c>
      <c r="D413" s="341" t="str">
        <f t="shared" si="36"/>
        <v/>
      </c>
      <c r="E413" s="328" t="str">
        <f t="shared" si="39"/>
        <v/>
      </c>
      <c r="F413" s="339" t="str">
        <f t="shared" si="37"/>
        <v/>
      </c>
      <c r="G413" s="328" t="str">
        <f t="shared" si="40"/>
        <v/>
      </c>
      <c r="H413" s="340" t="str">
        <f t="shared" si="41"/>
        <v/>
      </c>
      <c r="I413" s="57"/>
    </row>
    <row r="414" spans="2:9" ht="20.100000000000001" customHeight="1" x14ac:dyDescent="0.3">
      <c r="B414" s="344">
        <v>406</v>
      </c>
      <c r="C414" s="342" t="str">
        <f t="shared" si="38"/>
        <v/>
      </c>
      <c r="D414" s="341" t="str">
        <f t="shared" si="36"/>
        <v/>
      </c>
      <c r="E414" s="328" t="str">
        <f t="shared" si="39"/>
        <v/>
      </c>
      <c r="F414" s="339" t="str">
        <f t="shared" si="37"/>
        <v/>
      </c>
      <c r="G414" s="328" t="str">
        <f t="shared" si="40"/>
        <v/>
      </c>
      <c r="H414" s="340" t="str">
        <f t="shared" si="41"/>
        <v/>
      </c>
      <c r="I414" s="57"/>
    </row>
    <row r="415" spans="2:9" ht="20.100000000000001" customHeight="1" x14ac:dyDescent="0.3">
      <c r="B415" s="344">
        <v>407</v>
      </c>
      <c r="C415" s="342" t="str">
        <f t="shared" si="38"/>
        <v/>
      </c>
      <c r="D415" s="341" t="str">
        <f t="shared" si="36"/>
        <v/>
      </c>
      <c r="E415" s="328" t="str">
        <f t="shared" si="39"/>
        <v/>
      </c>
      <c r="F415" s="339" t="str">
        <f t="shared" si="37"/>
        <v/>
      </c>
      <c r="G415" s="328" t="str">
        <f t="shared" si="40"/>
        <v/>
      </c>
      <c r="H415" s="340" t="str">
        <f t="shared" si="41"/>
        <v/>
      </c>
      <c r="I415" s="57"/>
    </row>
    <row r="416" spans="2:9" ht="20.100000000000001" customHeight="1" x14ac:dyDescent="0.3">
      <c r="B416" s="344">
        <v>408</v>
      </c>
      <c r="C416" s="342" t="str">
        <f t="shared" si="38"/>
        <v/>
      </c>
      <c r="D416" s="341" t="str">
        <f t="shared" si="36"/>
        <v/>
      </c>
      <c r="E416" s="328" t="str">
        <f t="shared" si="39"/>
        <v/>
      </c>
      <c r="F416" s="339" t="str">
        <f t="shared" si="37"/>
        <v/>
      </c>
      <c r="G416" s="328" t="str">
        <f t="shared" si="40"/>
        <v/>
      </c>
      <c r="H416" s="340" t="str">
        <f t="shared" si="41"/>
        <v/>
      </c>
      <c r="I416" s="57"/>
    </row>
    <row r="417" spans="2:9" ht="20.100000000000001" customHeight="1" x14ac:dyDescent="0.3">
      <c r="B417" s="344">
        <v>409</v>
      </c>
      <c r="C417" s="342" t="str">
        <f t="shared" si="38"/>
        <v/>
      </c>
      <c r="D417" s="341" t="str">
        <f t="shared" si="36"/>
        <v/>
      </c>
      <c r="E417" s="328" t="str">
        <f t="shared" si="39"/>
        <v/>
      </c>
      <c r="F417" s="339" t="str">
        <f t="shared" si="37"/>
        <v/>
      </c>
      <c r="G417" s="328" t="str">
        <f t="shared" si="40"/>
        <v/>
      </c>
      <c r="H417" s="340" t="str">
        <f t="shared" si="41"/>
        <v/>
      </c>
      <c r="I417" s="57"/>
    </row>
    <row r="418" spans="2:9" ht="20.100000000000001" customHeight="1" x14ac:dyDescent="0.3">
      <c r="B418" s="344">
        <v>410</v>
      </c>
      <c r="C418" s="342" t="str">
        <f t="shared" si="38"/>
        <v/>
      </c>
      <c r="D418" s="341" t="str">
        <f t="shared" si="36"/>
        <v/>
      </c>
      <c r="E418" s="328" t="str">
        <f t="shared" si="39"/>
        <v/>
      </c>
      <c r="F418" s="339" t="str">
        <f t="shared" si="37"/>
        <v/>
      </c>
      <c r="G418" s="328" t="str">
        <f t="shared" si="40"/>
        <v/>
      </c>
      <c r="H418" s="340" t="str">
        <f t="shared" si="41"/>
        <v/>
      </c>
      <c r="I418" s="57"/>
    </row>
    <row r="419" spans="2:9" ht="20.100000000000001" customHeight="1" x14ac:dyDescent="0.3">
      <c r="B419" s="344">
        <v>411</v>
      </c>
      <c r="C419" s="342" t="str">
        <f t="shared" si="38"/>
        <v/>
      </c>
      <c r="D419" s="341" t="str">
        <f t="shared" si="36"/>
        <v/>
      </c>
      <c r="E419" s="328" t="str">
        <f t="shared" si="39"/>
        <v/>
      </c>
      <c r="F419" s="339" t="str">
        <f t="shared" si="37"/>
        <v/>
      </c>
      <c r="G419" s="328" t="str">
        <f t="shared" si="40"/>
        <v/>
      </c>
      <c r="H419" s="340" t="str">
        <f t="shared" si="41"/>
        <v/>
      </c>
      <c r="I419" s="57"/>
    </row>
    <row r="420" spans="2:9" ht="20.100000000000001" customHeight="1" x14ac:dyDescent="0.3">
      <c r="B420" s="344">
        <v>412</v>
      </c>
      <c r="C420" s="342" t="str">
        <f t="shared" si="38"/>
        <v/>
      </c>
      <c r="D420" s="341" t="str">
        <f t="shared" si="36"/>
        <v/>
      </c>
      <c r="E420" s="328" t="str">
        <f t="shared" si="39"/>
        <v/>
      </c>
      <c r="F420" s="339" t="str">
        <f t="shared" si="37"/>
        <v/>
      </c>
      <c r="G420" s="328" t="str">
        <f t="shared" si="40"/>
        <v/>
      </c>
      <c r="H420" s="340" t="str">
        <f t="shared" si="41"/>
        <v/>
      </c>
      <c r="I420" s="57"/>
    </row>
    <row r="421" spans="2:9" ht="20.100000000000001" customHeight="1" x14ac:dyDescent="0.3">
      <c r="B421" s="344">
        <v>413</v>
      </c>
      <c r="C421" s="342" t="str">
        <f t="shared" si="38"/>
        <v/>
      </c>
      <c r="D421" s="341" t="str">
        <f t="shared" si="36"/>
        <v/>
      </c>
      <c r="E421" s="328" t="str">
        <f t="shared" si="39"/>
        <v/>
      </c>
      <c r="F421" s="339" t="str">
        <f t="shared" si="37"/>
        <v/>
      </c>
      <c r="G421" s="328" t="str">
        <f t="shared" si="40"/>
        <v/>
      </c>
      <c r="H421" s="340" t="str">
        <f t="shared" si="41"/>
        <v/>
      </c>
      <c r="I421" s="57"/>
    </row>
    <row r="422" spans="2:9" ht="20.100000000000001" customHeight="1" x14ac:dyDescent="0.3">
      <c r="B422" s="344">
        <v>414</v>
      </c>
      <c r="C422" s="342" t="str">
        <f t="shared" si="38"/>
        <v/>
      </c>
      <c r="D422" s="341" t="str">
        <f t="shared" si="36"/>
        <v/>
      </c>
      <c r="E422" s="328" t="str">
        <f t="shared" si="39"/>
        <v/>
      </c>
      <c r="F422" s="339" t="str">
        <f t="shared" si="37"/>
        <v/>
      </c>
      <c r="G422" s="328" t="str">
        <f t="shared" si="40"/>
        <v/>
      </c>
      <c r="H422" s="340" t="str">
        <f t="shared" si="41"/>
        <v/>
      </c>
      <c r="I422" s="57"/>
    </row>
    <row r="423" spans="2:9" ht="20.100000000000001" customHeight="1" x14ac:dyDescent="0.3">
      <c r="B423" s="344">
        <v>415</v>
      </c>
      <c r="C423" s="342" t="str">
        <f t="shared" si="38"/>
        <v/>
      </c>
      <c r="D423" s="341" t="str">
        <f t="shared" si="36"/>
        <v/>
      </c>
      <c r="E423" s="328" t="str">
        <f t="shared" si="39"/>
        <v/>
      </c>
      <c r="F423" s="339" t="str">
        <f t="shared" si="37"/>
        <v/>
      </c>
      <c r="G423" s="328" t="str">
        <f t="shared" si="40"/>
        <v/>
      </c>
      <c r="H423" s="340" t="str">
        <f t="shared" si="41"/>
        <v/>
      </c>
      <c r="I423" s="57"/>
    </row>
    <row r="424" spans="2:9" ht="20.100000000000001" customHeight="1" x14ac:dyDescent="0.3">
      <c r="B424" s="344">
        <v>416</v>
      </c>
      <c r="C424" s="342" t="str">
        <f t="shared" si="38"/>
        <v/>
      </c>
      <c r="D424" s="341" t="str">
        <f t="shared" si="36"/>
        <v/>
      </c>
      <c r="E424" s="328" t="str">
        <f t="shared" si="39"/>
        <v/>
      </c>
      <c r="F424" s="339" t="str">
        <f t="shared" si="37"/>
        <v/>
      </c>
      <c r="G424" s="328" t="str">
        <f t="shared" si="40"/>
        <v/>
      </c>
      <c r="H424" s="340" t="str">
        <f t="shared" si="41"/>
        <v/>
      </c>
      <c r="I424" s="57"/>
    </row>
    <row r="425" spans="2:9" ht="20.100000000000001" customHeight="1" x14ac:dyDescent="0.3">
      <c r="B425" s="344">
        <v>417</v>
      </c>
      <c r="C425" s="342" t="str">
        <f t="shared" si="38"/>
        <v/>
      </c>
      <c r="D425" s="341" t="str">
        <f t="shared" si="36"/>
        <v/>
      </c>
      <c r="E425" s="328" t="str">
        <f t="shared" si="39"/>
        <v/>
      </c>
      <c r="F425" s="339" t="str">
        <f t="shared" si="37"/>
        <v/>
      </c>
      <c r="G425" s="328" t="str">
        <f t="shared" si="40"/>
        <v/>
      </c>
      <c r="H425" s="340" t="str">
        <f t="shared" si="41"/>
        <v/>
      </c>
      <c r="I425" s="57"/>
    </row>
    <row r="426" spans="2:9" ht="20.100000000000001" customHeight="1" x14ac:dyDescent="0.3">
      <c r="B426" s="344">
        <v>418</v>
      </c>
      <c r="C426" s="342" t="str">
        <f t="shared" si="38"/>
        <v/>
      </c>
      <c r="D426" s="341" t="str">
        <f t="shared" si="36"/>
        <v/>
      </c>
      <c r="E426" s="328" t="str">
        <f t="shared" si="39"/>
        <v/>
      </c>
      <c r="F426" s="339" t="str">
        <f t="shared" si="37"/>
        <v/>
      </c>
      <c r="G426" s="328" t="str">
        <f t="shared" si="40"/>
        <v/>
      </c>
      <c r="H426" s="340" t="str">
        <f t="shared" si="41"/>
        <v/>
      </c>
      <c r="I426" s="57"/>
    </row>
    <row r="427" spans="2:9" ht="20.100000000000001" customHeight="1" x14ac:dyDescent="0.3">
      <c r="B427" s="344">
        <v>419</v>
      </c>
      <c r="C427" s="342" t="str">
        <f t="shared" si="38"/>
        <v/>
      </c>
      <c r="D427" s="341" t="str">
        <f t="shared" si="36"/>
        <v/>
      </c>
      <c r="E427" s="328" t="str">
        <f t="shared" si="39"/>
        <v/>
      </c>
      <c r="F427" s="339" t="str">
        <f t="shared" si="37"/>
        <v/>
      </c>
      <c r="G427" s="328" t="str">
        <f t="shared" si="40"/>
        <v/>
      </c>
      <c r="H427" s="340" t="str">
        <f t="shared" si="41"/>
        <v/>
      </c>
      <c r="I427" s="57"/>
    </row>
    <row r="428" spans="2:9" ht="20.100000000000001" customHeight="1" x14ac:dyDescent="0.3">
      <c r="B428" s="344">
        <v>420</v>
      </c>
      <c r="C428" s="342" t="str">
        <f t="shared" si="38"/>
        <v/>
      </c>
      <c r="D428" s="341" t="str">
        <f t="shared" si="36"/>
        <v/>
      </c>
      <c r="E428" s="328" t="str">
        <f t="shared" si="39"/>
        <v/>
      </c>
      <c r="F428" s="339" t="str">
        <f t="shared" si="37"/>
        <v/>
      </c>
      <c r="G428" s="328" t="str">
        <f t="shared" si="40"/>
        <v/>
      </c>
      <c r="H428" s="340" t="str">
        <f t="shared" si="41"/>
        <v/>
      </c>
      <c r="I428" s="57"/>
    </row>
    <row r="429" spans="2:9" ht="20.100000000000001" customHeight="1" x14ac:dyDescent="0.3">
      <c r="B429" s="344">
        <v>421</v>
      </c>
      <c r="C429" s="342" t="str">
        <f t="shared" si="38"/>
        <v/>
      </c>
      <c r="D429" s="341" t="str">
        <f t="shared" si="36"/>
        <v/>
      </c>
      <c r="E429" s="328" t="str">
        <f t="shared" si="39"/>
        <v/>
      </c>
      <c r="F429" s="339" t="str">
        <f t="shared" si="37"/>
        <v/>
      </c>
      <c r="G429" s="328" t="str">
        <f t="shared" si="40"/>
        <v/>
      </c>
      <c r="H429" s="340" t="str">
        <f t="shared" si="41"/>
        <v/>
      </c>
      <c r="I429" s="57"/>
    </row>
    <row r="430" spans="2:9" ht="20.100000000000001" customHeight="1" x14ac:dyDescent="0.3">
      <c r="B430" s="344">
        <v>422</v>
      </c>
      <c r="C430" s="342" t="str">
        <f t="shared" si="38"/>
        <v/>
      </c>
      <c r="D430" s="341" t="str">
        <f t="shared" si="36"/>
        <v/>
      </c>
      <c r="E430" s="328" t="str">
        <f t="shared" si="39"/>
        <v/>
      </c>
      <c r="F430" s="339" t="str">
        <f t="shared" si="37"/>
        <v/>
      </c>
      <c r="G430" s="328" t="str">
        <f t="shared" si="40"/>
        <v/>
      </c>
      <c r="H430" s="340" t="str">
        <f t="shared" si="41"/>
        <v/>
      </c>
      <c r="I430" s="57"/>
    </row>
    <row r="431" spans="2:9" ht="20.100000000000001" customHeight="1" x14ac:dyDescent="0.3">
      <c r="B431" s="344">
        <v>423</v>
      </c>
      <c r="C431" s="342" t="str">
        <f t="shared" si="38"/>
        <v/>
      </c>
      <c r="D431" s="341" t="str">
        <f t="shared" si="36"/>
        <v/>
      </c>
      <c r="E431" s="328" t="str">
        <f t="shared" si="39"/>
        <v/>
      </c>
      <c r="F431" s="339" t="str">
        <f t="shared" si="37"/>
        <v/>
      </c>
      <c r="G431" s="328" t="str">
        <f t="shared" si="40"/>
        <v/>
      </c>
      <c r="H431" s="340" t="str">
        <f t="shared" si="41"/>
        <v/>
      </c>
      <c r="I431" s="57"/>
    </row>
    <row r="432" spans="2:9" ht="20.100000000000001" customHeight="1" x14ac:dyDescent="0.3">
      <c r="B432" s="344">
        <v>424</v>
      </c>
      <c r="C432" s="342" t="str">
        <f t="shared" si="38"/>
        <v/>
      </c>
      <c r="D432" s="341" t="str">
        <f t="shared" si="36"/>
        <v/>
      </c>
      <c r="E432" s="328" t="str">
        <f t="shared" si="39"/>
        <v/>
      </c>
      <c r="F432" s="339" t="str">
        <f t="shared" si="37"/>
        <v/>
      </c>
      <c r="G432" s="328" t="str">
        <f t="shared" si="40"/>
        <v/>
      </c>
      <c r="H432" s="340" t="str">
        <f t="shared" si="41"/>
        <v/>
      </c>
      <c r="I432" s="57"/>
    </row>
    <row r="433" spans="2:9" ht="20.100000000000001" customHeight="1" x14ac:dyDescent="0.3">
      <c r="B433" s="344">
        <v>425</v>
      </c>
      <c r="C433" s="342" t="str">
        <f t="shared" si="38"/>
        <v/>
      </c>
      <c r="D433" s="341" t="str">
        <f t="shared" si="36"/>
        <v/>
      </c>
      <c r="E433" s="328" t="str">
        <f t="shared" si="39"/>
        <v/>
      </c>
      <c r="F433" s="339" t="str">
        <f t="shared" si="37"/>
        <v/>
      </c>
      <c r="G433" s="328" t="str">
        <f t="shared" si="40"/>
        <v/>
      </c>
      <c r="H433" s="340" t="str">
        <f t="shared" si="41"/>
        <v/>
      </c>
      <c r="I433" s="57"/>
    </row>
    <row r="434" spans="2:9" ht="20.100000000000001" customHeight="1" x14ac:dyDescent="0.3">
      <c r="B434" s="344">
        <v>426</v>
      </c>
      <c r="C434" s="342" t="str">
        <f t="shared" si="38"/>
        <v/>
      </c>
      <c r="D434" s="341" t="str">
        <f t="shared" si="36"/>
        <v/>
      </c>
      <c r="E434" s="328" t="str">
        <f t="shared" si="39"/>
        <v/>
      </c>
      <c r="F434" s="339" t="str">
        <f t="shared" si="37"/>
        <v/>
      </c>
      <c r="G434" s="328" t="str">
        <f t="shared" si="40"/>
        <v/>
      </c>
      <c r="H434" s="340" t="str">
        <f t="shared" si="41"/>
        <v/>
      </c>
      <c r="I434" s="57"/>
    </row>
    <row r="435" spans="2:9" ht="20.100000000000001" customHeight="1" x14ac:dyDescent="0.3">
      <c r="B435" s="344">
        <v>427</v>
      </c>
      <c r="C435" s="342" t="str">
        <f t="shared" si="38"/>
        <v/>
      </c>
      <c r="D435" s="341" t="str">
        <f t="shared" si="36"/>
        <v/>
      </c>
      <c r="E435" s="328" t="str">
        <f t="shared" si="39"/>
        <v/>
      </c>
      <c r="F435" s="339" t="str">
        <f t="shared" si="37"/>
        <v/>
      </c>
      <c r="G435" s="328" t="str">
        <f t="shared" si="40"/>
        <v/>
      </c>
      <c r="H435" s="340" t="str">
        <f t="shared" si="41"/>
        <v/>
      </c>
      <c r="I435" s="57"/>
    </row>
    <row r="436" spans="2:9" ht="20.100000000000001" customHeight="1" x14ac:dyDescent="0.3">
      <c r="B436" s="344">
        <v>428</v>
      </c>
      <c r="C436" s="342" t="str">
        <f t="shared" si="38"/>
        <v/>
      </c>
      <c r="D436" s="341" t="str">
        <f t="shared" si="36"/>
        <v/>
      </c>
      <c r="E436" s="328" t="str">
        <f t="shared" si="39"/>
        <v/>
      </c>
      <c r="F436" s="339" t="str">
        <f t="shared" si="37"/>
        <v/>
      </c>
      <c r="G436" s="328" t="str">
        <f t="shared" si="40"/>
        <v/>
      </c>
      <c r="H436" s="340" t="str">
        <f t="shared" si="41"/>
        <v/>
      </c>
      <c r="I436" s="57"/>
    </row>
    <row r="437" spans="2:9" ht="20.100000000000001" customHeight="1" x14ac:dyDescent="0.3">
      <c r="B437" s="344">
        <v>429</v>
      </c>
      <c r="C437" s="342" t="str">
        <f t="shared" si="38"/>
        <v/>
      </c>
      <c r="D437" s="341" t="str">
        <f t="shared" si="36"/>
        <v/>
      </c>
      <c r="E437" s="328" t="str">
        <f t="shared" si="39"/>
        <v/>
      </c>
      <c r="F437" s="339" t="str">
        <f t="shared" si="37"/>
        <v/>
      </c>
      <c r="G437" s="328" t="str">
        <f t="shared" si="40"/>
        <v/>
      </c>
      <c r="H437" s="340" t="str">
        <f t="shared" si="41"/>
        <v/>
      </c>
      <c r="I437" s="57"/>
    </row>
    <row r="438" spans="2:9" ht="20.100000000000001" customHeight="1" x14ac:dyDescent="0.3">
      <c r="B438" s="344">
        <v>430</v>
      </c>
      <c r="C438" s="342" t="str">
        <f t="shared" si="38"/>
        <v/>
      </c>
      <c r="D438" s="341" t="str">
        <f t="shared" si="36"/>
        <v/>
      </c>
      <c r="E438" s="328" t="str">
        <f t="shared" si="39"/>
        <v/>
      </c>
      <c r="F438" s="339" t="str">
        <f t="shared" si="37"/>
        <v/>
      </c>
      <c r="G438" s="328" t="str">
        <f t="shared" si="40"/>
        <v/>
      </c>
      <c r="H438" s="340" t="str">
        <f t="shared" si="41"/>
        <v/>
      </c>
      <c r="I438" s="57"/>
    </row>
    <row r="439" spans="2:9" ht="20.100000000000001" customHeight="1" x14ac:dyDescent="0.3">
      <c r="B439" s="344">
        <v>431</v>
      </c>
      <c r="C439" s="342" t="str">
        <f t="shared" si="38"/>
        <v/>
      </c>
      <c r="D439" s="341" t="str">
        <f t="shared" si="36"/>
        <v/>
      </c>
      <c r="E439" s="328" t="str">
        <f t="shared" si="39"/>
        <v/>
      </c>
      <c r="F439" s="339" t="str">
        <f t="shared" si="37"/>
        <v/>
      </c>
      <c r="G439" s="328" t="str">
        <f t="shared" si="40"/>
        <v/>
      </c>
      <c r="H439" s="340" t="str">
        <f t="shared" si="41"/>
        <v/>
      </c>
      <c r="I439" s="57"/>
    </row>
    <row r="440" spans="2:9" ht="20.100000000000001" customHeight="1" x14ac:dyDescent="0.3">
      <c r="B440" s="344">
        <v>432</v>
      </c>
      <c r="C440" s="342" t="str">
        <f t="shared" si="38"/>
        <v/>
      </c>
      <c r="D440" s="341" t="str">
        <f t="shared" si="36"/>
        <v/>
      </c>
      <c r="E440" s="328" t="str">
        <f t="shared" si="39"/>
        <v/>
      </c>
      <c r="F440" s="339" t="str">
        <f t="shared" si="37"/>
        <v/>
      </c>
      <c r="G440" s="328" t="str">
        <f t="shared" si="40"/>
        <v/>
      </c>
      <c r="H440" s="340" t="str">
        <f t="shared" si="41"/>
        <v/>
      </c>
      <c r="I440" s="57"/>
    </row>
    <row r="441" spans="2:9" ht="20.100000000000001" customHeight="1" x14ac:dyDescent="0.3">
      <c r="B441" s="344">
        <v>433</v>
      </c>
      <c r="C441" s="342" t="str">
        <f t="shared" si="38"/>
        <v/>
      </c>
      <c r="D441" s="341" t="str">
        <f t="shared" si="36"/>
        <v/>
      </c>
      <c r="E441" s="328" t="str">
        <f t="shared" si="39"/>
        <v/>
      </c>
      <c r="F441" s="339" t="str">
        <f t="shared" si="37"/>
        <v/>
      </c>
      <c r="G441" s="328" t="str">
        <f t="shared" si="40"/>
        <v/>
      </c>
      <c r="H441" s="340" t="str">
        <f t="shared" si="41"/>
        <v/>
      </c>
      <c r="I441" s="57"/>
    </row>
    <row r="442" spans="2:9" ht="20.100000000000001" customHeight="1" x14ac:dyDescent="0.3">
      <c r="B442" s="344">
        <v>434</v>
      </c>
      <c r="C442" s="342" t="str">
        <f t="shared" si="38"/>
        <v/>
      </c>
      <c r="D442" s="341" t="str">
        <f t="shared" si="36"/>
        <v/>
      </c>
      <c r="E442" s="328" t="str">
        <f t="shared" si="39"/>
        <v/>
      </c>
      <c r="F442" s="339" t="str">
        <f t="shared" si="37"/>
        <v/>
      </c>
      <c r="G442" s="328" t="str">
        <f t="shared" si="40"/>
        <v/>
      </c>
      <c r="H442" s="340" t="str">
        <f t="shared" si="41"/>
        <v/>
      </c>
      <c r="I442" s="57"/>
    </row>
    <row r="443" spans="2:9" ht="20.100000000000001" customHeight="1" x14ac:dyDescent="0.3">
      <c r="B443" s="344">
        <v>435</v>
      </c>
      <c r="C443" s="342" t="str">
        <f t="shared" si="38"/>
        <v/>
      </c>
      <c r="D443" s="341" t="str">
        <f t="shared" si="36"/>
        <v/>
      </c>
      <c r="E443" s="328" t="str">
        <f t="shared" si="39"/>
        <v/>
      </c>
      <c r="F443" s="339" t="str">
        <f t="shared" si="37"/>
        <v/>
      </c>
      <c r="G443" s="328" t="str">
        <f t="shared" si="40"/>
        <v/>
      </c>
      <c r="H443" s="340" t="str">
        <f t="shared" si="41"/>
        <v/>
      </c>
      <c r="I443" s="57"/>
    </row>
    <row r="444" spans="2:9" ht="20.100000000000001" customHeight="1" x14ac:dyDescent="0.3">
      <c r="B444" s="344">
        <v>436</v>
      </c>
      <c r="C444" s="342" t="str">
        <f t="shared" si="38"/>
        <v/>
      </c>
      <c r="D444" s="341" t="str">
        <f t="shared" si="36"/>
        <v/>
      </c>
      <c r="E444" s="328" t="str">
        <f t="shared" si="39"/>
        <v/>
      </c>
      <c r="F444" s="339" t="str">
        <f t="shared" si="37"/>
        <v/>
      </c>
      <c r="G444" s="328" t="str">
        <f t="shared" si="40"/>
        <v/>
      </c>
      <c r="H444" s="340" t="str">
        <f t="shared" si="41"/>
        <v/>
      </c>
      <c r="I444" s="57"/>
    </row>
    <row r="445" spans="2:9" ht="20.100000000000001" customHeight="1" x14ac:dyDescent="0.3">
      <c r="B445" s="344">
        <v>437</v>
      </c>
      <c r="C445" s="342" t="str">
        <f t="shared" si="38"/>
        <v/>
      </c>
      <c r="D445" s="341" t="str">
        <f t="shared" si="36"/>
        <v/>
      </c>
      <c r="E445" s="328" t="str">
        <f t="shared" si="39"/>
        <v/>
      </c>
      <c r="F445" s="339" t="str">
        <f t="shared" si="37"/>
        <v/>
      </c>
      <c r="G445" s="328" t="str">
        <f t="shared" si="40"/>
        <v/>
      </c>
      <c r="H445" s="340" t="str">
        <f t="shared" si="41"/>
        <v/>
      </c>
      <c r="I445" s="57"/>
    </row>
    <row r="446" spans="2:9" ht="20.100000000000001" customHeight="1" x14ac:dyDescent="0.3">
      <c r="B446" s="344">
        <v>438</v>
      </c>
      <c r="C446" s="342" t="str">
        <f t="shared" si="38"/>
        <v/>
      </c>
      <c r="D446" s="341" t="str">
        <f t="shared" si="36"/>
        <v/>
      </c>
      <c r="E446" s="328" t="str">
        <f t="shared" si="39"/>
        <v/>
      </c>
      <c r="F446" s="339" t="str">
        <f t="shared" si="37"/>
        <v/>
      </c>
      <c r="G446" s="328" t="str">
        <f t="shared" si="40"/>
        <v/>
      </c>
      <c r="H446" s="340" t="str">
        <f t="shared" si="41"/>
        <v/>
      </c>
      <c r="I446" s="57"/>
    </row>
    <row r="447" spans="2:9" ht="20.100000000000001" customHeight="1" x14ac:dyDescent="0.3">
      <c r="B447" s="344">
        <v>439</v>
      </c>
      <c r="C447" s="342" t="str">
        <f t="shared" si="38"/>
        <v/>
      </c>
      <c r="D447" s="341" t="str">
        <f t="shared" si="36"/>
        <v/>
      </c>
      <c r="E447" s="328" t="str">
        <f t="shared" si="39"/>
        <v/>
      </c>
      <c r="F447" s="339" t="str">
        <f t="shared" si="37"/>
        <v/>
      </c>
      <c r="G447" s="328" t="str">
        <f t="shared" si="40"/>
        <v/>
      </c>
      <c r="H447" s="340" t="str">
        <f t="shared" si="41"/>
        <v/>
      </c>
      <c r="I447" s="57"/>
    </row>
    <row r="448" spans="2:9" ht="20.100000000000001" customHeight="1" x14ac:dyDescent="0.3">
      <c r="B448" s="344">
        <v>440</v>
      </c>
      <c r="C448" s="342" t="str">
        <f t="shared" si="38"/>
        <v/>
      </c>
      <c r="D448" s="341" t="str">
        <f t="shared" si="36"/>
        <v/>
      </c>
      <c r="E448" s="328" t="str">
        <f t="shared" si="39"/>
        <v/>
      </c>
      <c r="F448" s="339" t="str">
        <f t="shared" si="37"/>
        <v/>
      </c>
      <c r="G448" s="328" t="str">
        <f t="shared" si="40"/>
        <v/>
      </c>
      <c r="H448" s="340" t="str">
        <f t="shared" si="41"/>
        <v/>
      </c>
      <c r="I448" s="57"/>
    </row>
    <row r="449" spans="2:9" ht="20.100000000000001" customHeight="1" x14ac:dyDescent="0.3">
      <c r="B449" s="344">
        <v>441</v>
      </c>
      <c r="C449" s="342" t="str">
        <f t="shared" si="38"/>
        <v/>
      </c>
      <c r="D449" s="341" t="str">
        <f t="shared" si="36"/>
        <v/>
      </c>
      <c r="E449" s="328" t="str">
        <f t="shared" si="39"/>
        <v/>
      </c>
      <c r="F449" s="339" t="str">
        <f t="shared" si="37"/>
        <v/>
      </c>
      <c r="G449" s="328" t="str">
        <f t="shared" si="40"/>
        <v/>
      </c>
      <c r="H449" s="340" t="str">
        <f t="shared" si="41"/>
        <v/>
      </c>
      <c r="I449" s="57"/>
    </row>
    <row r="450" spans="2:9" ht="20.100000000000001" customHeight="1" x14ac:dyDescent="0.3">
      <c r="B450" s="344">
        <v>442</v>
      </c>
      <c r="C450" s="342" t="str">
        <f t="shared" si="38"/>
        <v/>
      </c>
      <c r="D450" s="341" t="str">
        <f t="shared" si="36"/>
        <v/>
      </c>
      <c r="E450" s="328" t="str">
        <f t="shared" si="39"/>
        <v/>
      </c>
      <c r="F450" s="339" t="str">
        <f t="shared" si="37"/>
        <v/>
      </c>
      <c r="G450" s="328" t="str">
        <f t="shared" si="40"/>
        <v/>
      </c>
      <c r="H450" s="340" t="str">
        <f t="shared" si="41"/>
        <v/>
      </c>
      <c r="I450" s="57"/>
    </row>
    <row r="451" spans="2:9" ht="20.100000000000001" customHeight="1" x14ac:dyDescent="0.3">
      <c r="B451" s="344">
        <v>443</v>
      </c>
      <c r="C451" s="342" t="str">
        <f t="shared" si="38"/>
        <v/>
      </c>
      <c r="D451" s="341" t="str">
        <f t="shared" si="36"/>
        <v/>
      </c>
      <c r="E451" s="328" t="str">
        <f t="shared" si="39"/>
        <v/>
      </c>
      <c r="F451" s="339" t="str">
        <f t="shared" si="37"/>
        <v/>
      </c>
      <c r="G451" s="328" t="str">
        <f t="shared" si="40"/>
        <v/>
      </c>
      <c r="H451" s="340" t="str">
        <f t="shared" si="41"/>
        <v/>
      </c>
      <c r="I451" s="57"/>
    </row>
    <row r="452" spans="2:9" ht="20.100000000000001" customHeight="1" x14ac:dyDescent="0.3">
      <c r="B452" s="344">
        <v>444</v>
      </c>
      <c r="C452" s="342" t="str">
        <f t="shared" si="38"/>
        <v/>
      </c>
      <c r="D452" s="341" t="str">
        <f t="shared" si="36"/>
        <v/>
      </c>
      <c r="E452" s="328" t="str">
        <f t="shared" si="39"/>
        <v/>
      </c>
      <c r="F452" s="339" t="str">
        <f t="shared" si="37"/>
        <v/>
      </c>
      <c r="G452" s="328" t="str">
        <f t="shared" si="40"/>
        <v/>
      </c>
      <c r="H452" s="340" t="str">
        <f t="shared" si="41"/>
        <v/>
      </c>
      <c r="I452" s="57"/>
    </row>
    <row r="453" spans="2:9" ht="20.100000000000001" customHeight="1" x14ac:dyDescent="0.3">
      <c r="B453" s="344">
        <v>445</v>
      </c>
      <c r="C453" s="342" t="str">
        <f t="shared" si="38"/>
        <v/>
      </c>
      <c r="D453" s="341" t="str">
        <f t="shared" si="36"/>
        <v/>
      </c>
      <c r="E453" s="328" t="str">
        <f t="shared" si="39"/>
        <v/>
      </c>
      <c r="F453" s="339" t="str">
        <f t="shared" si="37"/>
        <v/>
      </c>
      <c r="G453" s="328" t="str">
        <f t="shared" si="40"/>
        <v/>
      </c>
      <c r="H453" s="340" t="str">
        <f t="shared" si="41"/>
        <v/>
      </c>
      <c r="I453" s="57"/>
    </row>
    <row r="454" spans="2:9" ht="20.100000000000001" customHeight="1" x14ac:dyDescent="0.3">
      <c r="B454" s="344">
        <v>446</v>
      </c>
      <c r="C454" s="342" t="str">
        <f t="shared" si="38"/>
        <v/>
      </c>
      <c r="D454" s="341" t="str">
        <f t="shared" si="36"/>
        <v/>
      </c>
      <c r="E454" s="328" t="str">
        <f t="shared" si="39"/>
        <v/>
      </c>
      <c r="F454" s="339" t="str">
        <f t="shared" si="37"/>
        <v/>
      </c>
      <c r="G454" s="328" t="str">
        <f t="shared" si="40"/>
        <v/>
      </c>
      <c r="H454" s="340" t="str">
        <f t="shared" si="41"/>
        <v/>
      </c>
      <c r="I454" s="57"/>
    </row>
    <row r="455" spans="2:9" ht="20.100000000000001" customHeight="1" x14ac:dyDescent="0.3">
      <c r="B455" s="344">
        <v>447</v>
      </c>
      <c r="C455" s="342" t="str">
        <f t="shared" si="38"/>
        <v/>
      </c>
      <c r="D455" s="341" t="str">
        <f t="shared" si="36"/>
        <v/>
      </c>
      <c r="E455" s="328" t="str">
        <f t="shared" si="39"/>
        <v/>
      </c>
      <c r="F455" s="339" t="str">
        <f t="shared" si="37"/>
        <v/>
      </c>
      <c r="G455" s="328" t="str">
        <f t="shared" si="40"/>
        <v/>
      </c>
      <c r="H455" s="340" t="str">
        <f t="shared" si="41"/>
        <v/>
      </c>
      <c r="I455" s="57"/>
    </row>
    <row r="456" spans="2:9" ht="20.100000000000001" customHeight="1" x14ac:dyDescent="0.3">
      <c r="B456" s="344">
        <v>448</v>
      </c>
      <c r="C456" s="342" t="str">
        <f t="shared" si="38"/>
        <v/>
      </c>
      <c r="D456" s="341" t="str">
        <f t="shared" si="36"/>
        <v/>
      </c>
      <c r="E456" s="328" t="str">
        <f t="shared" si="39"/>
        <v/>
      </c>
      <c r="F456" s="339" t="str">
        <f t="shared" si="37"/>
        <v/>
      </c>
      <c r="G456" s="328" t="str">
        <f t="shared" si="40"/>
        <v/>
      </c>
      <c r="H456" s="340" t="str">
        <f t="shared" si="41"/>
        <v/>
      </c>
      <c r="I456" s="57"/>
    </row>
    <row r="457" spans="2:9" ht="20.100000000000001" customHeight="1" x14ac:dyDescent="0.3">
      <c r="B457" s="344">
        <v>449</v>
      </c>
      <c r="C457" s="342" t="str">
        <f t="shared" si="38"/>
        <v/>
      </c>
      <c r="D457" s="341" t="str">
        <f t="shared" si="36"/>
        <v/>
      </c>
      <c r="E457" s="328" t="str">
        <f t="shared" si="39"/>
        <v/>
      </c>
      <c r="F457" s="339" t="str">
        <f t="shared" si="37"/>
        <v/>
      </c>
      <c r="G457" s="328" t="str">
        <f t="shared" si="40"/>
        <v/>
      </c>
      <c r="H457" s="340" t="str">
        <f t="shared" si="41"/>
        <v/>
      </c>
      <c r="I457" s="57"/>
    </row>
    <row r="458" spans="2:9" ht="20.100000000000001" customHeight="1" x14ac:dyDescent="0.3">
      <c r="B458" s="344">
        <v>450</v>
      </c>
      <c r="C458" s="342" t="str">
        <f t="shared" si="38"/>
        <v/>
      </c>
      <c r="D458" s="341" t="str">
        <f t="shared" ref="D458:D521" si="42">IF($H$4="","",IF($F$4="원리금균등상환",IFERROR(IF(B458&lt;=$D$6,0,-PPMT($E$4/12,B458-$D$6,($B$6-$D$6),$D$4)),""),IF($F$4="원금균등상환",IF(B458&lt;($D$6+1),0,IF(B458&gt;$B$6,0,$D$4/($B$6-$D$6))),"")))</f>
        <v/>
      </c>
      <c r="E458" s="328" t="str">
        <f t="shared" si="39"/>
        <v/>
      </c>
      <c r="F458" s="339" t="str">
        <f t="shared" ref="F458:F521" si="43">IF($H$4="","",IF($F$4="원리금균등상환",IFERROR(D458+E458,""),IF($F$4="원금균등상환",D458+E458,"")))</f>
        <v/>
      </c>
      <c r="G458" s="328" t="str">
        <f t="shared" si="40"/>
        <v/>
      </c>
      <c r="H458" s="340" t="str">
        <f t="shared" si="41"/>
        <v/>
      </c>
      <c r="I458" s="57"/>
    </row>
    <row r="459" spans="2:9" ht="20.100000000000001" customHeight="1" x14ac:dyDescent="0.3">
      <c r="B459" s="344">
        <v>451</v>
      </c>
      <c r="C459" s="342" t="str">
        <f t="shared" ref="C459:C522" si="44">IF($H$4="","",IF(B459&gt;($B$6),"",IF(B459&lt;=($B$6),DATE(YEAR($G$4),MONTH($G$4)+B458,DAY($G$4)),"")))</f>
        <v/>
      </c>
      <c r="D459" s="341" t="str">
        <f t="shared" si="42"/>
        <v/>
      </c>
      <c r="E459" s="328" t="str">
        <f t="shared" ref="E459:E522" si="45">IF($H$4="","",IF($F$4="원리금균등상환",IFERROR(IF(B459&lt;=$D$6,$H458*($E$4/12),-IPMT($E$4/12,B459-$D$6,($B$6-$D$6),$D$4)),""),IF($F$4="원금균등상환",(H458-D459)*$E$4/12,"")))</f>
        <v/>
      </c>
      <c r="F459" s="339" t="str">
        <f t="shared" si="43"/>
        <v/>
      </c>
      <c r="G459" s="328" t="str">
        <f t="shared" ref="G459:G522" si="46">IFERROR(IF(B459&gt;(($D$6+$B$6)*12),"",IF(B459=1,D459,D459+G458)),"")</f>
        <v/>
      </c>
      <c r="H459" s="340" t="str">
        <f t="shared" ref="H459:H522" si="47">IFERROR(IF($H$4="","",H458-D459),"")</f>
        <v/>
      </c>
      <c r="I459" s="57"/>
    </row>
    <row r="460" spans="2:9" ht="20.100000000000001" customHeight="1" x14ac:dyDescent="0.3">
      <c r="B460" s="344">
        <v>452</v>
      </c>
      <c r="C460" s="342" t="str">
        <f t="shared" si="44"/>
        <v/>
      </c>
      <c r="D460" s="341" t="str">
        <f t="shared" si="42"/>
        <v/>
      </c>
      <c r="E460" s="328" t="str">
        <f t="shared" si="45"/>
        <v/>
      </c>
      <c r="F460" s="339" t="str">
        <f t="shared" si="43"/>
        <v/>
      </c>
      <c r="G460" s="328" t="str">
        <f t="shared" si="46"/>
        <v/>
      </c>
      <c r="H460" s="340" t="str">
        <f t="shared" si="47"/>
        <v/>
      </c>
      <c r="I460" s="57"/>
    </row>
    <row r="461" spans="2:9" ht="20.100000000000001" customHeight="1" x14ac:dyDescent="0.3">
      <c r="B461" s="344">
        <v>453</v>
      </c>
      <c r="C461" s="342" t="str">
        <f t="shared" si="44"/>
        <v/>
      </c>
      <c r="D461" s="341" t="str">
        <f t="shared" si="42"/>
        <v/>
      </c>
      <c r="E461" s="328" t="str">
        <f t="shared" si="45"/>
        <v/>
      </c>
      <c r="F461" s="339" t="str">
        <f t="shared" si="43"/>
        <v/>
      </c>
      <c r="G461" s="328" t="str">
        <f t="shared" si="46"/>
        <v/>
      </c>
      <c r="H461" s="340" t="str">
        <f t="shared" si="47"/>
        <v/>
      </c>
      <c r="I461" s="57"/>
    </row>
    <row r="462" spans="2:9" ht="20.100000000000001" customHeight="1" x14ac:dyDescent="0.3">
      <c r="B462" s="344">
        <v>454</v>
      </c>
      <c r="C462" s="342" t="str">
        <f t="shared" si="44"/>
        <v/>
      </c>
      <c r="D462" s="341" t="str">
        <f t="shared" si="42"/>
        <v/>
      </c>
      <c r="E462" s="328" t="str">
        <f t="shared" si="45"/>
        <v/>
      </c>
      <c r="F462" s="339" t="str">
        <f t="shared" si="43"/>
        <v/>
      </c>
      <c r="G462" s="328" t="str">
        <f t="shared" si="46"/>
        <v/>
      </c>
      <c r="H462" s="340" t="str">
        <f t="shared" si="47"/>
        <v/>
      </c>
      <c r="I462" s="57"/>
    </row>
    <row r="463" spans="2:9" ht="20.100000000000001" customHeight="1" x14ac:dyDescent="0.3">
      <c r="B463" s="344">
        <v>455</v>
      </c>
      <c r="C463" s="342" t="str">
        <f t="shared" si="44"/>
        <v/>
      </c>
      <c r="D463" s="341" t="str">
        <f t="shared" si="42"/>
        <v/>
      </c>
      <c r="E463" s="328" t="str">
        <f t="shared" si="45"/>
        <v/>
      </c>
      <c r="F463" s="339" t="str">
        <f t="shared" si="43"/>
        <v/>
      </c>
      <c r="G463" s="328" t="str">
        <f t="shared" si="46"/>
        <v/>
      </c>
      <c r="H463" s="340" t="str">
        <f t="shared" si="47"/>
        <v/>
      </c>
      <c r="I463" s="57"/>
    </row>
    <row r="464" spans="2:9" ht="20.100000000000001" customHeight="1" x14ac:dyDescent="0.3">
      <c r="B464" s="344">
        <v>456</v>
      </c>
      <c r="C464" s="342" t="str">
        <f t="shared" si="44"/>
        <v/>
      </c>
      <c r="D464" s="341" t="str">
        <f t="shared" si="42"/>
        <v/>
      </c>
      <c r="E464" s="328" t="str">
        <f t="shared" si="45"/>
        <v/>
      </c>
      <c r="F464" s="339" t="str">
        <f t="shared" si="43"/>
        <v/>
      </c>
      <c r="G464" s="328" t="str">
        <f t="shared" si="46"/>
        <v/>
      </c>
      <c r="H464" s="340" t="str">
        <f t="shared" si="47"/>
        <v/>
      </c>
      <c r="I464" s="57"/>
    </row>
    <row r="465" spans="2:9" ht="20.100000000000001" customHeight="1" x14ac:dyDescent="0.3">
      <c r="B465" s="344">
        <v>457</v>
      </c>
      <c r="C465" s="342" t="str">
        <f t="shared" si="44"/>
        <v/>
      </c>
      <c r="D465" s="341" t="str">
        <f t="shared" si="42"/>
        <v/>
      </c>
      <c r="E465" s="328" t="str">
        <f t="shared" si="45"/>
        <v/>
      </c>
      <c r="F465" s="339" t="str">
        <f t="shared" si="43"/>
        <v/>
      </c>
      <c r="G465" s="328" t="str">
        <f t="shared" si="46"/>
        <v/>
      </c>
      <c r="H465" s="340" t="str">
        <f t="shared" si="47"/>
        <v/>
      </c>
      <c r="I465" s="57"/>
    </row>
    <row r="466" spans="2:9" ht="20.100000000000001" customHeight="1" x14ac:dyDescent="0.3">
      <c r="B466" s="344">
        <v>458</v>
      </c>
      <c r="C466" s="342" t="str">
        <f t="shared" si="44"/>
        <v/>
      </c>
      <c r="D466" s="341" t="str">
        <f t="shared" si="42"/>
        <v/>
      </c>
      <c r="E466" s="328" t="str">
        <f t="shared" si="45"/>
        <v/>
      </c>
      <c r="F466" s="339" t="str">
        <f t="shared" si="43"/>
        <v/>
      </c>
      <c r="G466" s="328" t="str">
        <f t="shared" si="46"/>
        <v/>
      </c>
      <c r="H466" s="340" t="str">
        <f t="shared" si="47"/>
        <v/>
      </c>
      <c r="I466" s="57"/>
    </row>
    <row r="467" spans="2:9" ht="20.100000000000001" customHeight="1" x14ac:dyDescent="0.3">
      <c r="B467" s="344">
        <v>459</v>
      </c>
      <c r="C467" s="342" t="str">
        <f t="shared" si="44"/>
        <v/>
      </c>
      <c r="D467" s="341" t="str">
        <f t="shared" si="42"/>
        <v/>
      </c>
      <c r="E467" s="328" t="str">
        <f t="shared" si="45"/>
        <v/>
      </c>
      <c r="F467" s="339" t="str">
        <f t="shared" si="43"/>
        <v/>
      </c>
      <c r="G467" s="328" t="str">
        <f t="shared" si="46"/>
        <v/>
      </c>
      <c r="H467" s="340" t="str">
        <f t="shared" si="47"/>
        <v/>
      </c>
      <c r="I467" s="57"/>
    </row>
    <row r="468" spans="2:9" ht="20.100000000000001" customHeight="1" x14ac:dyDescent="0.3">
      <c r="B468" s="344">
        <v>460</v>
      </c>
      <c r="C468" s="342" t="str">
        <f t="shared" si="44"/>
        <v/>
      </c>
      <c r="D468" s="341" t="str">
        <f t="shared" si="42"/>
        <v/>
      </c>
      <c r="E468" s="328" t="str">
        <f t="shared" si="45"/>
        <v/>
      </c>
      <c r="F468" s="339" t="str">
        <f t="shared" si="43"/>
        <v/>
      </c>
      <c r="G468" s="328" t="str">
        <f t="shared" si="46"/>
        <v/>
      </c>
      <c r="H468" s="340" t="str">
        <f t="shared" si="47"/>
        <v/>
      </c>
      <c r="I468" s="57"/>
    </row>
    <row r="469" spans="2:9" ht="20.100000000000001" customHeight="1" x14ac:dyDescent="0.3">
      <c r="B469" s="344">
        <v>461</v>
      </c>
      <c r="C469" s="342" t="str">
        <f t="shared" si="44"/>
        <v/>
      </c>
      <c r="D469" s="341" t="str">
        <f t="shared" si="42"/>
        <v/>
      </c>
      <c r="E469" s="328" t="str">
        <f t="shared" si="45"/>
        <v/>
      </c>
      <c r="F469" s="339" t="str">
        <f t="shared" si="43"/>
        <v/>
      </c>
      <c r="G469" s="328" t="str">
        <f t="shared" si="46"/>
        <v/>
      </c>
      <c r="H469" s="340" t="str">
        <f t="shared" si="47"/>
        <v/>
      </c>
      <c r="I469" s="57"/>
    </row>
    <row r="470" spans="2:9" ht="20.100000000000001" customHeight="1" x14ac:dyDescent="0.3">
      <c r="B470" s="344">
        <v>462</v>
      </c>
      <c r="C470" s="342" t="str">
        <f t="shared" si="44"/>
        <v/>
      </c>
      <c r="D470" s="341" t="str">
        <f t="shared" si="42"/>
        <v/>
      </c>
      <c r="E470" s="328" t="str">
        <f t="shared" si="45"/>
        <v/>
      </c>
      <c r="F470" s="339" t="str">
        <f t="shared" si="43"/>
        <v/>
      </c>
      <c r="G470" s="328" t="str">
        <f t="shared" si="46"/>
        <v/>
      </c>
      <c r="H470" s="340" t="str">
        <f t="shared" si="47"/>
        <v/>
      </c>
      <c r="I470" s="57"/>
    </row>
    <row r="471" spans="2:9" ht="20.100000000000001" customHeight="1" x14ac:dyDescent="0.3">
      <c r="B471" s="344">
        <v>463</v>
      </c>
      <c r="C471" s="342" t="str">
        <f t="shared" si="44"/>
        <v/>
      </c>
      <c r="D471" s="341" t="str">
        <f t="shared" si="42"/>
        <v/>
      </c>
      <c r="E471" s="328" t="str">
        <f t="shared" si="45"/>
        <v/>
      </c>
      <c r="F471" s="339" t="str">
        <f t="shared" si="43"/>
        <v/>
      </c>
      <c r="G471" s="328" t="str">
        <f t="shared" si="46"/>
        <v/>
      </c>
      <c r="H471" s="340" t="str">
        <f t="shared" si="47"/>
        <v/>
      </c>
      <c r="I471" s="57"/>
    </row>
    <row r="472" spans="2:9" ht="20.100000000000001" customHeight="1" x14ac:dyDescent="0.3">
      <c r="B472" s="344">
        <v>464</v>
      </c>
      <c r="C472" s="342" t="str">
        <f t="shared" si="44"/>
        <v/>
      </c>
      <c r="D472" s="341" t="str">
        <f t="shared" si="42"/>
        <v/>
      </c>
      <c r="E472" s="328" t="str">
        <f t="shared" si="45"/>
        <v/>
      </c>
      <c r="F472" s="339" t="str">
        <f t="shared" si="43"/>
        <v/>
      </c>
      <c r="G472" s="328" t="str">
        <f t="shared" si="46"/>
        <v/>
      </c>
      <c r="H472" s="340" t="str">
        <f t="shared" si="47"/>
        <v/>
      </c>
      <c r="I472" s="57"/>
    </row>
    <row r="473" spans="2:9" ht="20.100000000000001" customHeight="1" x14ac:dyDescent="0.3">
      <c r="B473" s="344">
        <v>465</v>
      </c>
      <c r="C473" s="342" t="str">
        <f t="shared" si="44"/>
        <v/>
      </c>
      <c r="D473" s="341" t="str">
        <f t="shared" si="42"/>
        <v/>
      </c>
      <c r="E473" s="328" t="str">
        <f t="shared" si="45"/>
        <v/>
      </c>
      <c r="F473" s="339" t="str">
        <f t="shared" si="43"/>
        <v/>
      </c>
      <c r="G473" s="328" t="str">
        <f t="shared" si="46"/>
        <v/>
      </c>
      <c r="H473" s="340" t="str">
        <f t="shared" si="47"/>
        <v/>
      </c>
      <c r="I473" s="57"/>
    </row>
    <row r="474" spans="2:9" ht="20.100000000000001" customHeight="1" x14ac:dyDescent="0.3">
      <c r="B474" s="344">
        <v>466</v>
      </c>
      <c r="C474" s="342" t="str">
        <f t="shared" si="44"/>
        <v/>
      </c>
      <c r="D474" s="341" t="str">
        <f t="shared" si="42"/>
        <v/>
      </c>
      <c r="E474" s="328" t="str">
        <f t="shared" si="45"/>
        <v/>
      </c>
      <c r="F474" s="339" t="str">
        <f t="shared" si="43"/>
        <v/>
      </c>
      <c r="G474" s="328" t="str">
        <f t="shared" si="46"/>
        <v/>
      </c>
      <c r="H474" s="340" t="str">
        <f t="shared" si="47"/>
        <v/>
      </c>
      <c r="I474" s="57"/>
    </row>
    <row r="475" spans="2:9" ht="20.100000000000001" customHeight="1" x14ac:dyDescent="0.3">
      <c r="B475" s="344">
        <v>467</v>
      </c>
      <c r="C475" s="342" t="str">
        <f t="shared" si="44"/>
        <v/>
      </c>
      <c r="D475" s="341" t="str">
        <f t="shared" si="42"/>
        <v/>
      </c>
      <c r="E475" s="328" t="str">
        <f t="shared" si="45"/>
        <v/>
      </c>
      <c r="F475" s="339" t="str">
        <f t="shared" si="43"/>
        <v/>
      </c>
      <c r="G475" s="328" t="str">
        <f t="shared" si="46"/>
        <v/>
      </c>
      <c r="H475" s="340" t="str">
        <f t="shared" si="47"/>
        <v/>
      </c>
      <c r="I475" s="57"/>
    </row>
    <row r="476" spans="2:9" ht="20.100000000000001" customHeight="1" x14ac:dyDescent="0.3">
      <c r="B476" s="344">
        <v>468</v>
      </c>
      <c r="C476" s="342" t="str">
        <f t="shared" si="44"/>
        <v/>
      </c>
      <c r="D476" s="341" t="str">
        <f t="shared" si="42"/>
        <v/>
      </c>
      <c r="E476" s="328" t="str">
        <f t="shared" si="45"/>
        <v/>
      </c>
      <c r="F476" s="339" t="str">
        <f t="shared" si="43"/>
        <v/>
      </c>
      <c r="G476" s="328" t="str">
        <f t="shared" si="46"/>
        <v/>
      </c>
      <c r="H476" s="340" t="str">
        <f t="shared" si="47"/>
        <v/>
      </c>
      <c r="I476" s="57"/>
    </row>
    <row r="477" spans="2:9" ht="20.100000000000001" customHeight="1" x14ac:dyDescent="0.3">
      <c r="B477" s="344">
        <v>469</v>
      </c>
      <c r="C477" s="342" t="str">
        <f t="shared" si="44"/>
        <v/>
      </c>
      <c r="D477" s="341" t="str">
        <f t="shared" si="42"/>
        <v/>
      </c>
      <c r="E477" s="328" t="str">
        <f t="shared" si="45"/>
        <v/>
      </c>
      <c r="F477" s="339" t="str">
        <f t="shared" si="43"/>
        <v/>
      </c>
      <c r="G477" s="328" t="str">
        <f t="shared" si="46"/>
        <v/>
      </c>
      <c r="H477" s="340" t="str">
        <f t="shared" si="47"/>
        <v/>
      </c>
      <c r="I477" s="57"/>
    </row>
    <row r="478" spans="2:9" ht="20.100000000000001" customHeight="1" x14ac:dyDescent="0.3">
      <c r="B478" s="344">
        <v>470</v>
      </c>
      <c r="C478" s="342" t="str">
        <f t="shared" si="44"/>
        <v/>
      </c>
      <c r="D478" s="341" t="str">
        <f t="shared" si="42"/>
        <v/>
      </c>
      <c r="E478" s="328" t="str">
        <f t="shared" si="45"/>
        <v/>
      </c>
      <c r="F478" s="339" t="str">
        <f t="shared" si="43"/>
        <v/>
      </c>
      <c r="G478" s="328" t="str">
        <f t="shared" si="46"/>
        <v/>
      </c>
      <c r="H478" s="340" t="str">
        <f t="shared" si="47"/>
        <v/>
      </c>
      <c r="I478" s="57"/>
    </row>
    <row r="479" spans="2:9" ht="20.100000000000001" customHeight="1" x14ac:dyDescent="0.3">
      <c r="B479" s="344">
        <v>471</v>
      </c>
      <c r="C479" s="342" t="str">
        <f t="shared" si="44"/>
        <v/>
      </c>
      <c r="D479" s="341" t="str">
        <f t="shared" si="42"/>
        <v/>
      </c>
      <c r="E479" s="328" t="str">
        <f t="shared" si="45"/>
        <v/>
      </c>
      <c r="F479" s="339" t="str">
        <f t="shared" si="43"/>
        <v/>
      </c>
      <c r="G479" s="328" t="str">
        <f t="shared" si="46"/>
        <v/>
      </c>
      <c r="H479" s="340" t="str">
        <f t="shared" si="47"/>
        <v/>
      </c>
      <c r="I479" s="57"/>
    </row>
    <row r="480" spans="2:9" ht="20.100000000000001" customHeight="1" x14ac:dyDescent="0.3">
      <c r="B480" s="344">
        <v>472</v>
      </c>
      <c r="C480" s="342" t="str">
        <f t="shared" si="44"/>
        <v/>
      </c>
      <c r="D480" s="341" t="str">
        <f t="shared" si="42"/>
        <v/>
      </c>
      <c r="E480" s="328" t="str">
        <f t="shared" si="45"/>
        <v/>
      </c>
      <c r="F480" s="339" t="str">
        <f t="shared" si="43"/>
        <v/>
      </c>
      <c r="G480" s="328" t="str">
        <f t="shared" si="46"/>
        <v/>
      </c>
      <c r="H480" s="340" t="str">
        <f t="shared" si="47"/>
        <v/>
      </c>
      <c r="I480" s="57"/>
    </row>
    <row r="481" spans="2:9" ht="20.100000000000001" customHeight="1" x14ac:dyDescent="0.3">
      <c r="B481" s="344">
        <v>473</v>
      </c>
      <c r="C481" s="342" t="str">
        <f t="shared" si="44"/>
        <v/>
      </c>
      <c r="D481" s="341" t="str">
        <f t="shared" si="42"/>
        <v/>
      </c>
      <c r="E481" s="328" t="str">
        <f t="shared" si="45"/>
        <v/>
      </c>
      <c r="F481" s="339" t="str">
        <f t="shared" si="43"/>
        <v/>
      </c>
      <c r="G481" s="328" t="str">
        <f t="shared" si="46"/>
        <v/>
      </c>
      <c r="H481" s="340" t="str">
        <f t="shared" si="47"/>
        <v/>
      </c>
      <c r="I481" s="57"/>
    </row>
    <row r="482" spans="2:9" ht="20.100000000000001" customHeight="1" x14ac:dyDescent="0.3">
      <c r="B482" s="344">
        <v>474</v>
      </c>
      <c r="C482" s="342" t="str">
        <f t="shared" si="44"/>
        <v/>
      </c>
      <c r="D482" s="341" t="str">
        <f t="shared" si="42"/>
        <v/>
      </c>
      <c r="E482" s="328" t="str">
        <f t="shared" si="45"/>
        <v/>
      </c>
      <c r="F482" s="339" t="str">
        <f t="shared" si="43"/>
        <v/>
      </c>
      <c r="G482" s="328" t="str">
        <f t="shared" si="46"/>
        <v/>
      </c>
      <c r="H482" s="340" t="str">
        <f t="shared" si="47"/>
        <v/>
      </c>
      <c r="I482" s="57"/>
    </row>
    <row r="483" spans="2:9" ht="20.100000000000001" customHeight="1" x14ac:dyDescent="0.3">
      <c r="B483" s="344">
        <v>475</v>
      </c>
      <c r="C483" s="342" t="str">
        <f t="shared" si="44"/>
        <v/>
      </c>
      <c r="D483" s="341" t="str">
        <f t="shared" si="42"/>
        <v/>
      </c>
      <c r="E483" s="328" t="str">
        <f t="shared" si="45"/>
        <v/>
      </c>
      <c r="F483" s="339" t="str">
        <f t="shared" si="43"/>
        <v/>
      </c>
      <c r="G483" s="328" t="str">
        <f t="shared" si="46"/>
        <v/>
      </c>
      <c r="H483" s="340" t="str">
        <f t="shared" si="47"/>
        <v/>
      </c>
      <c r="I483" s="57"/>
    </row>
    <row r="484" spans="2:9" ht="20.100000000000001" customHeight="1" x14ac:dyDescent="0.3">
      <c r="B484" s="344">
        <v>476</v>
      </c>
      <c r="C484" s="342" t="str">
        <f t="shared" si="44"/>
        <v/>
      </c>
      <c r="D484" s="341" t="str">
        <f t="shared" si="42"/>
        <v/>
      </c>
      <c r="E484" s="328" t="str">
        <f t="shared" si="45"/>
        <v/>
      </c>
      <c r="F484" s="339" t="str">
        <f t="shared" si="43"/>
        <v/>
      </c>
      <c r="G484" s="328" t="str">
        <f t="shared" si="46"/>
        <v/>
      </c>
      <c r="H484" s="340" t="str">
        <f t="shared" si="47"/>
        <v/>
      </c>
      <c r="I484" s="57"/>
    </row>
    <row r="485" spans="2:9" ht="20.100000000000001" customHeight="1" x14ac:dyDescent="0.3">
      <c r="B485" s="344">
        <v>477</v>
      </c>
      <c r="C485" s="342" t="str">
        <f t="shared" si="44"/>
        <v/>
      </c>
      <c r="D485" s="341" t="str">
        <f t="shared" si="42"/>
        <v/>
      </c>
      <c r="E485" s="328" t="str">
        <f t="shared" si="45"/>
        <v/>
      </c>
      <c r="F485" s="339" t="str">
        <f t="shared" si="43"/>
        <v/>
      </c>
      <c r="G485" s="328" t="str">
        <f t="shared" si="46"/>
        <v/>
      </c>
      <c r="H485" s="340" t="str">
        <f t="shared" si="47"/>
        <v/>
      </c>
      <c r="I485" s="57"/>
    </row>
    <row r="486" spans="2:9" ht="20.100000000000001" customHeight="1" x14ac:dyDescent="0.3">
      <c r="B486" s="344">
        <v>478</v>
      </c>
      <c r="C486" s="342" t="str">
        <f t="shared" si="44"/>
        <v/>
      </c>
      <c r="D486" s="341" t="str">
        <f t="shared" si="42"/>
        <v/>
      </c>
      <c r="E486" s="328" t="str">
        <f t="shared" si="45"/>
        <v/>
      </c>
      <c r="F486" s="339" t="str">
        <f t="shared" si="43"/>
        <v/>
      </c>
      <c r="G486" s="328" t="str">
        <f t="shared" si="46"/>
        <v/>
      </c>
      <c r="H486" s="340" t="str">
        <f t="shared" si="47"/>
        <v/>
      </c>
      <c r="I486" s="57"/>
    </row>
    <row r="487" spans="2:9" ht="20.100000000000001" customHeight="1" x14ac:dyDescent="0.3">
      <c r="B487" s="344">
        <v>479</v>
      </c>
      <c r="C487" s="342" t="str">
        <f t="shared" si="44"/>
        <v/>
      </c>
      <c r="D487" s="341" t="str">
        <f t="shared" si="42"/>
        <v/>
      </c>
      <c r="E487" s="328" t="str">
        <f t="shared" si="45"/>
        <v/>
      </c>
      <c r="F487" s="339" t="str">
        <f t="shared" si="43"/>
        <v/>
      </c>
      <c r="G487" s="328" t="str">
        <f t="shared" si="46"/>
        <v/>
      </c>
      <c r="H487" s="340" t="str">
        <f t="shared" si="47"/>
        <v/>
      </c>
      <c r="I487" s="57"/>
    </row>
    <row r="488" spans="2:9" ht="20.100000000000001" customHeight="1" x14ac:dyDescent="0.3">
      <c r="B488" s="344">
        <v>480</v>
      </c>
      <c r="C488" s="342" t="str">
        <f t="shared" si="44"/>
        <v/>
      </c>
      <c r="D488" s="341" t="str">
        <f t="shared" si="42"/>
        <v/>
      </c>
      <c r="E488" s="328" t="str">
        <f t="shared" si="45"/>
        <v/>
      </c>
      <c r="F488" s="339" t="str">
        <f t="shared" si="43"/>
        <v/>
      </c>
      <c r="G488" s="328" t="str">
        <f t="shared" si="46"/>
        <v/>
      </c>
      <c r="H488" s="340" t="str">
        <f t="shared" si="47"/>
        <v/>
      </c>
      <c r="I488" s="57"/>
    </row>
    <row r="489" spans="2:9" ht="20.100000000000001" customHeight="1" x14ac:dyDescent="0.3">
      <c r="B489" s="344">
        <v>481</v>
      </c>
      <c r="C489" s="342" t="str">
        <f t="shared" si="44"/>
        <v/>
      </c>
      <c r="D489" s="341" t="str">
        <f t="shared" si="42"/>
        <v/>
      </c>
      <c r="E489" s="328" t="str">
        <f t="shared" si="45"/>
        <v/>
      </c>
      <c r="F489" s="339" t="str">
        <f t="shared" si="43"/>
        <v/>
      </c>
      <c r="G489" s="328" t="str">
        <f t="shared" si="46"/>
        <v/>
      </c>
      <c r="H489" s="340" t="str">
        <f t="shared" si="47"/>
        <v/>
      </c>
      <c r="I489" s="57"/>
    </row>
    <row r="490" spans="2:9" ht="20.100000000000001" customHeight="1" x14ac:dyDescent="0.3">
      <c r="B490" s="344">
        <v>482</v>
      </c>
      <c r="C490" s="342" t="str">
        <f t="shared" si="44"/>
        <v/>
      </c>
      <c r="D490" s="341" t="str">
        <f t="shared" si="42"/>
        <v/>
      </c>
      <c r="E490" s="328" t="str">
        <f t="shared" si="45"/>
        <v/>
      </c>
      <c r="F490" s="339" t="str">
        <f t="shared" si="43"/>
        <v/>
      </c>
      <c r="G490" s="328" t="str">
        <f t="shared" si="46"/>
        <v/>
      </c>
      <c r="H490" s="340" t="str">
        <f t="shared" si="47"/>
        <v/>
      </c>
      <c r="I490" s="57"/>
    </row>
    <row r="491" spans="2:9" ht="20.100000000000001" customHeight="1" x14ac:dyDescent="0.3">
      <c r="B491" s="344">
        <v>483</v>
      </c>
      <c r="C491" s="342" t="str">
        <f t="shared" si="44"/>
        <v/>
      </c>
      <c r="D491" s="341" t="str">
        <f t="shared" si="42"/>
        <v/>
      </c>
      <c r="E491" s="328" t="str">
        <f t="shared" si="45"/>
        <v/>
      </c>
      <c r="F491" s="339" t="str">
        <f t="shared" si="43"/>
        <v/>
      </c>
      <c r="G491" s="328" t="str">
        <f t="shared" si="46"/>
        <v/>
      </c>
      <c r="H491" s="340" t="str">
        <f t="shared" si="47"/>
        <v/>
      </c>
      <c r="I491" s="57"/>
    </row>
    <row r="492" spans="2:9" ht="20.100000000000001" customHeight="1" x14ac:dyDescent="0.3">
      <c r="B492" s="344">
        <v>484</v>
      </c>
      <c r="C492" s="342" t="str">
        <f t="shared" si="44"/>
        <v/>
      </c>
      <c r="D492" s="341" t="str">
        <f t="shared" si="42"/>
        <v/>
      </c>
      <c r="E492" s="328" t="str">
        <f t="shared" si="45"/>
        <v/>
      </c>
      <c r="F492" s="339" t="str">
        <f t="shared" si="43"/>
        <v/>
      </c>
      <c r="G492" s="328" t="str">
        <f t="shared" si="46"/>
        <v/>
      </c>
      <c r="H492" s="340" t="str">
        <f t="shared" si="47"/>
        <v/>
      </c>
      <c r="I492" s="57"/>
    </row>
    <row r="493" spans="2:9" ht="20.100000000000001" customHeight="1" x14ac:dyDescent="0.3">
      <c r="B493" s="344">
        <v>485</v>
      </c>
      <c r="C493" s="342" t="str">
        <f t="shared" si="44"/>
        <v/>
      </c>
      <c r="D493" s="341" t="str">
        <f t="shared" si="42"/>
        <v/>
      </c>
      <c r="E493" s="328" t="str">
        <f t="shared" si="45"/>
        <v/>
      </c>
      <c r="F493" s="339" t="str">
        <f t="shared" si="43"/>
        <v/>
      </c>
      <c r="G493" s="328" t="str">
        <f t="shared" si="46"/>
        <v/>
      </c>
      <c r="H493" s="340" t="str">
        <f t="shared" si="47"/>
        <v/>
      </c>
      <c r="I493" s="57"/>
    </row>
    <row r="494" spans="2:9" ht="20.100000000000001" customHeight="1" x14ac:dyDescent="0.3">
      <c r="B494" s="344">
        <v>486</v>
      </c>
      <c r="C494" s="342" t="str">
        <f t="shared" si="44"/>
        <v/>
      </c>
      <c r="D494" s="341" t="str">
        <f t="shared" si="42"/>
        <v/>
      </c>
      <c r="E494" s="328" t="str">
        <f t="shared" si="45"/>
        <v/>
      </c>
      <c r="F494" s="339" t="str">
        <f t="shared" si="43"/>
        <v/>
      </c>
      <c r="G494" s="328" t="str">
        <f t="shared" si="46"/>
        <v/>
      </c>
      <c r="H494" s="340" t="str">
        <f t="shared" si="47"/>
        <v/>
      </c>
      <c r="I494" s="57"/>
    </row>
    <row r="495" spans="2:9" ht="20.100000000000001" customHeight="1" x14ac:dyDescent="0.3">
      <c r="B495" s="344">
        <v>487</v>
      </c>
      <c r="C495" s="342" t="str">
        <f t="shared" si="44"/>
        <v/>
      </c>
      <c r="D495" s="341" t="str">
        <f t="shared" si="42"/>
        <v/>
      </c>
      <c r="E495" s="328" t="str">
        <f t="shared" si="45"/>
        <v/>
      </c>
      <c r="F495" s="339" t="str">
        <f t="shared" si="43"/>
        <v/>
      </c>
      <c r="G495" s="328" t="str">
        <f t="shared" si="46"/>
        <v/>
      </c>
      <c r="H495" s="340" t="str">
        <f t="shared" si="47"/>
        <v/>
      </c>
      <c r="I495" s="57"/>
    </row>
    <row r="496" spans="2:9" ht="20.100000000000001" customHeight="1" x14ac:dyDescent="0.3">
      <c r="B496" s="344">
        <v>488</v>
      </c>
      <c r="C496" s="342" t="str">
        <f t="shared" si="44"/>
        <v/>
      </c>
      <c r="D496" s="341" t="str">
        <f t="shared" si="42"/>
        <v/>
      </c>
      <c r="E496" s="328" t="str">
        <f t="shared" si="45"/>
        <v/>
      </c>
      <c r="F496" s="339" t="str">
        <f t="shared" si="43"/>
        <v/>
      </c>
      <c r="G496" s="328" t="str">
        <f t="shared" si="46"/>
        <v/>
      </c>
      <c r="H496" s="340" t="str">
        <f t="shared" si="47"/>
        <v/>
      </c>
      <c r="I496" s="57"/>
    </row>
    <row r="497" spans="2:9" ht="20.100000000000001" customHeight="1" x14ac:dyDescent="0.3">
      <c r="B497" s="344">
        <v>489</v>
      </c>
      <c r="C497" s="342" t="str">
        <f t="shared" si="44"/>
        <v/>
      </c>
      <c r="D497" s="341" t="str">
        <f t="shared" si="42"/>
        <v/>
      </c>
      <c r="E497" s="328" t="str">
        <f t="shared" si="45"/>
        <v/>
      </c>
      <c r="F497" s="339" t="str">
        <f t="shared" si="43"/>
        <v/>
      </c>
      <c r="G497" s="328" t="str">
        <f t="shared" si="46"/>
        <v/>
      </c>
      <c r="H497" s="340" t="str">
        <f t="shared" si="47"/>
        <v/>
      </c>
      <c r="I497" s="57"/>
    </row>
    <row r="498" spans="2:9" ht="20.100000000000001" customHeight="1" x14ac:dyDescent="0.3">
      <c r="B498" s="344">
        <v>490</v>
      </c>
      <c r="C498" s="342" t="str">
        <f t="shared" si="44"/>
        <v/>
      </c>
      <c r="D498" s="341" t="str">
        <f t="shared" si="42"/>
        <v/>
      </c>
      <c r="E498" s="328" t="str">
        <f t="shared" si="45"/>
        <v/>
      </c>
      <c r="F498" s="339" t="str">
        <f t="shared" si="43"/>
        <v/>
      </c>
      <c r="G498" s="328" t="str">
        <f t="shared" si="46"/>
        <v/>
      </c>
      <c r="H498" s="340" t="str">
        <f t="shared" si="47"/>
        <v/>
      </c>
      <c r="I498" s="57"/>
    </row>
    <row r="499" spans="2:9" ht="20.100000000000001" customHeight="1" x14ac:dyDescent="0.3">
      <c r="B499" s="344">
        <v>491</v>
      </c>
      <c r="C499" s="342" t="str">
        <f t="shared" si="44"/>
        <v/>
      </c>
      <c r="D499" s="341" t="str">
        <f t="shared" si="42"/>
        <v/>
      </c>
      <c r="E499" s="328" t="str">
        <f t="shared" si="45"/>
        <v/>
      </c>
      <c r="F499" s="339" t="str">
        <f t="shared" si="43"/>
        <v/>
      </c>
      <c r="G499" s="328" t="str">
        <f t="shared" si="46"/>
        <v/>
      </c>
      <c r="H499" s="340" t="str">
        <f t="shared" si="47"/>
        <v/>
      </c>
      <c r="I499" s="57"/>
    </row>
    <row r="500" spans="2:9" ht="20.100000000000001" customHeight="1" x14ac:dyDescent="0.3">
      <c r="B500" s="344">
        <v>492</v>
      </c>
      <c r="C500" s="342" t="str">
        <f t="shared" si="44"/>
        <v/>
      </c>
      <c r="D500" s="341" t="str">
        <f t="shared" si="42"/>
        <v/>
      </c>
      <c r="E500" s="328" t="str">
        <f t="shared" si="45"/>
        <v/>
      </c>
      <c r="F500" s="339" t="str">
        <f t="shared" si="43"/>
        <v/>
      </c>
      <c r="G500" s="328" t="str">
        <f t="shared" si="46"/>
        <v/>
      </c>
      <c r="H500" s="340" t="str">
        <f t="shared" si="47"/>
        <v/>
      </c>
      <c r="I500" s="57"/>
    </row>
    <row r="501" spans="2:9" ht="20.100000000000001" customHeight="1" x14ac:dyDescent="0.3">
      <c r="B501" s="344">
        <v>493</v>
      </c>
      <c r="C501" s="342" t="str">
        <f t="shared" si="44"/>
        <v/>
      </c>
      <c r="D501" s="341" t="str">
        <f t="shared" si="42"/>
        <v/>
      </c>
      <c r="E501" s="328" t="str">
        <f t="shared" si="45"/>
        <v/>
      </c>
      <c r="F501" s="339" t="str">
        <f t="shared" si="43"/>
        <v/>
      </c>
      <c r="G501" s="328" t="str">
        <f t="shared" si="46"/>
        <v/>
      </c>
      <c r="H501" s="340" t="str">
        <f t="shared" si="47"/>
        <v/>
      </c>
      <c r="I501" s="57"/>
    </row>
    <row r="502" spans="2:9" ht="20.100000000000001" customHeight="1" x14ac:dyDescent="0.3">
      <c r="B502" s="344">
        <v>494</v>
      </c>
      <c r="C502" s="342" t="str">
        <f t="shared" si="44"/>
        <v/>
      </c>
      <c r="D502" s="341" t="str">
        <f t="shared" si="42"/>
        <v/>
      </c>
      <c r="E502" s="328" t="str">
        <f t="shared" si="45"/>
        <v/>
      </c>
      <c r="F502" s="339" t="str">
        <f t="shared" si="43"/>
        <v/>
      </c>
      <c r="G502" s="328" t="str">
        <f t="shared" si="46"/>
        <v/>
      </c>
      <c r="H502" s="340" t="str">
        <f t="shared" si="47"/>
        <v/>
      </c>
      <c r="I502" s="57"/>
    </row>
    <row r="503" spans="2:9" ht="20.100000000000001" customHeight="1" x14ac:dyDescent="0.3">
      <c r="B503" s="344">
        <v>495</v>
      </c>
      <c r="C503" s="342" t="str">
        <f t="shared" si="44"/>
        <v/>
      </c>
      <c r="D503" s="341" t="str">
        <f t="shared" si="42"/>
        <v/>
      </c>
      <c r="E503" s="328" t="str">
        <f t="shared" si="45"/>
        <v/>
      </c>
      <c r="F503" s="339" t="str">
        <f t="shared" si="43"/>
        <v/>
      </c>
      <c r="G503" s="328" t="str">
        <f t="shared" si="46"/>
        <v/>
      </c>
      <c r="H503" s="340" t="str">
        <f t="shared" si="47"/>
        <v/>
      </c>
      <c r="I503" s="57"/>
    </row>
    <row r="504" spans="2:9" ht="20.100000000000001" customHeight="1" x14ac:dyDescent="0.3">
      <c r="B504" s="344">
        <v>496</v>
      </c>
      <c r="C504" s="342" t="str">
        <f t="shared" si="44"/>
        <v/>
      </c>
      <c r="D504" s="341" t="str">
        <f t="shared" si="42"/>
        <v/>
      </c>
      <c r="E504" s="328" t="str">
        <f t="shared" si="45"/>
        <v/>
      </c>
      <c r="F504" s="339" t="str">
        <f t="shared" si="43"/>
        <v/>
      </c>
      <c r="G504" s="328" t="str">
        <f t="shared" si="46"/>
        <v/>
      </c>
      <c r="H504" s="340" t="str">
        <f t="shared" si="47"/>
        <v/>
      </c>
      <c r="I504" s="57"/>
    </row>
    <row r="505" spans="2:9" ht="20.100000000000001" customHeight="1" x14ac:dyDescent="0.3">
      <c r="B505" s="344">
        <v>497</v>
      </c>
      <c r="C505" s="342" t="str">
        <f t="shared" si="44"/>
        <v/>
      </c>
      <c r="D505" s="341" t="str">
        <f t="shared" si="42"/>
        <v/>
      </c>
      <c r="E505" s="328" t="str">
        <f t="shared" si="45"/>
        <v/>
      </c>
      <c r="F505" s="339" t="str">
        <f t="shared" si="43"/>
        <v/>
      </c>
      <c r="G505" s="328" t="str">
        <f t="shared" si="46"/>
        <v/>
      </c>
      <c r="H505" s="340" t="str">
        <f t="shared" si="47"/>
        <v/>
      </c>
      <c r="I505" s="57"/>
    </row>
    <row r="506" spans="2:9" ht="20.100000000000001" customHeight="1" x14ac:dyDescent="0.3">
      <c r="B506" s="344">
        <v>498</v>
      </c>
      <c r="C506" s="342" t="str">
        <f t="shared" si="44"/>
        <v/>
      </c>
      <c r="D506" s="341" t="str">
        <f t="shared" si="42"/>
        <v/>
      </c>
      <c r="E506" s="328" t="str">
        <f t="shared" si="45"/>
        <v/>
      </c>
      <c r="F506" s="339" t="str">
        <f t="shared" si="43"/>
        <v/>
      </c>
      <c r="G506" s="328" t="str">
        <f t="shared" si="46"/>
        <v/>
      </c>
      <c r="H506" s="340" t="str">
        <f t="shared" si="47"/>
        <v/>
      </c>
      <c r="I506" s="57"/>
    </row>
    <row r="507" spans="2:9" ht="20.100000000000001" customHeight="1" x14ac:dyDescent="0.3">
      <c r="B507" s="344">
        <v>499</v>
      </c>
      <c r="C507" s="342" t="str">
        <f t="shared" si="44"/>
        <v/>
      </c>
      <c r="D507" s="341" t="str">
        <f t="shared" si="42"/>
        <v/>
      </c>
      <c r="E507" s="328" t="str">
        <f t="shared" si="45"/>
        <v/>
      </c>
      <c r="F507" s="339" t="str">
        <f t="shared" si="43"/>
        <v/>
      </c>
      <c r="G507" s="328" t="str">
        <f t="shared" si="46"/>
        <v/>
      </c>
      <c r="H507" s="340" t="str">
        <f t="shared" si="47"/>
        <v/>
      </c>
      <c r="I507" s="57"/>
    </row>
    <row r="508" spans="2:9" ht="20.100000000000001" customHeight="1" x14ac:dyDescent="0.3">
      <c r="B508" s="344">
        <v>500</v>
      </c>
      <c r="C508" s="342" t="str">
        <f t="shared" si="44"/>
        <v/>
      </c>
      <c r="D508" s="341" t="str">
        <f t="shared" si="42"/>
        <v/>
      </c>
      <c r="E508" s="328" t="str">
        <f t="shared" si="45"/>
        <v/>
      </c>
      <c r="F508" s="339" t="str">
        <f t="shared" si="43"/>
        <v/>
      </c>
      <c r="G508" s="328" t="str">
        <f t="shared" si="46"/>
        <v/>
      </c>
      <c r="H508" s="340" t="str">
        <f t="shared" si="47"/>
        <v/>
      </c>
      <c r="I508" s="57"/>
    </row>
    <row r="509" spans="2:9" ht="20.100000000000001" customHeight="1" x14ac:dyDescent="0.3">
      <c r="B509" s="344">
        <v>501</v>
      </c>
      <c r="C509" s="342" t="str">
        <f t="shared" si="44"/>
        <v/>
      </c>
      <c r="D509" s="341" t="str">
        <f t="shared" si="42"/>
        <v/>
      </c>
      <c r="E509" s="328" t="str">
        <f t="shared" si="45"/>
        <v/>
      </c>
      <c r="F509" s="339" t="str">
        <f t="shared" si="43"/>
        <v/>
      </c>
      <c r="G509" s="328" t="str">
        <f t="shared" si="46"/>
        <v/>
      </c>
      <c r="H509" s="340" t="str">
        <f t="shared" si="47"/>
        <v/>
      </c>
      <c r="I509" s="57"/>
    </row>
    <row r="510" spans="2:9" ht="20.100000000000001" customHeight="1" x14ac:dyDescent="0.3">
      <c r="B510" s="344">
        <v>502</v>
      </c>
      <c r="C510" s="342" t="str">
        <f t="shared" si="44"/>
        <v/>
      </c>
      <c r="D510" s="341" t="str">
        <f t="shared" si="42"/>
        <v/>
      </c>
      <c r="E510" s="328" t="str">
        <f t="shared" si="45"/>
        <v/>
      </c>
      <c r="F510" s="339" t="str">
        <f t="shared" si="43"/>
        <v/>
      </c>
      <c r="G510" s="328" t="str">
        <f t="shared" si="46"/>
        <v/>
      </c>
      <c r="H510" s="340" t="str">
        <f t="shared" si="47"/>
        <v/>
      </c>
      <c r="I510" s="57"/>
    </row>
    <row r="511" spans="2:9" ht="20.100000000000001" customHeight="1" x14ac:dyDescent="0.3">
      <c r="B511" s="344">
        <v>503</v>
      </c>
      <c r="C511" s="342" t="str">
        <f t="shared" si="44"/>
        <v/>
      </c>
      <c r="D511" s="341" t="str">
        <f t="shared" si="42"/>
        <v/>
      </c>
      <c r="E511" s="328" t="str">
        <f t="shared" si="45"/>
        <v/>
      </c>
      <c r="F511" s="339" t="str">
        <f t="shared" si="43"/>
        <v/>
      </c>
      <c r="G511" s="328" t="str">
        <f t="shared" si="46"/>
        <v/>
      </c>
      <c r="H511" s="340" t="str">
        <f t="shared" si="47"/>
        <v/>
      </c>
      <c r="I511" s="57"/>
    </row>
    <row r="512" spans="2:9" ht="20.100000000000001" customHeight="1" x14ac:dyDescent="0.3">
      <c r="B512" s="344">
        <v>504</v>
      </c>
      <c r="C512" s="342" t="str">
        <f t="shared" si="44"/>
        <v/>
      </c>
      <c r="D512" s="341" t="str">
        <f t="shared" si="42"/>
        <v/>
      </c>
      <c r="E512" s="328" t="str">
        <f t="shared" si="45"/>
        <v/>
      </c>
      <c r="F512" s="339" t="str">
        <f t="shared" si="43"/>
        <v/>
      </c>
      <c r="G512" s="328" t="str">
        <f t="shared" si="46"/>
        <v/>
      </c>
      <c r="H512" s="340" t="str">
        <f t="shared" si="47"/>
        <v/>
      </c>
      <c r="I512" s="57"/>
    </row>
    <row r="513" spans="2:9" ht="20.100000000000001" customHeight="1" x14ac:dyDescent="0.3">
      <c r="B513" s="344">
        <v>505</v>
      </c>
      <c r="C513" s="342" t="str">
        <f t="shared" si="44"/>
        <v/>
      </c>
      <c r="D513" s="341" t="str">
        <f t="shared" si="42"/>
        <v/>
      </c>
      <c r="E513" s="328" t="str">
        <f t="shared" si="45"/>
        <v/>
      </c>
      <c r="F513" s="339" t="str">
        <f t="shared" si="43"/>
        <v/>
      </c>
      <c r="G513" s="328" t="str">
        <f t="shared" si="46"/>
        <v/>
      </c>
      <c r="H513" s="340" t="str">
        <f t="shared" si="47"/>
        <v/>
      </c>
      <c r="I513" s="57"/>
    </row>
    <row r="514" spans="2:9" ht="20.100000000000001" customHeight="1" x14ac:dyDescent="0.3">
      <c r="B514" s="344">
        <v>506</v>
      </c>
      <c r="C514" s="342" t="str">
        <f t="shared" si="44"/>
        <v/>
      </c>
      <c r="D514" s="341" t="str">
        <f t="shared" si="42"/>
        <v/>
      </c>
      <c r="E514" s="328" t="str">
        <f t="shared" si="45"/>
        <v/>
      </c>
      <c r="F514" s="339" t="str">
        <f t="shared" si="43"/>
        <v/>
      </c>
      <c r="G514" s="328" t="str">
        <f t="shared" si="46"/>
        <v/>
      </c>
      <c r="H514" s="340" t="str">
        <f t="shared" si="47"/>
        <v/>
      </c>
      <c r="I514" s="57"/>
    </row>
    <row r="515" spans="2:9" ht="20.100000000000001" customHeight="1" x14ac:dyDescent="0.3">
      <c r="B515" s="344">
        <v>507</v>
      </c>
      <c r="C515" s="342" t="str">
        <f t="shared" si="44"/>
        <v/>
      </c>
      <c r="D515" s="341" t="str">
        <f t="shared" si="42"/>
        <v/>
      </c>
      <c r="E515" s="328" t="str">
        <f t="shared" si="45"/>
        <v/>
      </c>
      <c r="F515" s="339" t="str">
        <f t="shared" si="43"/>
        <v/>
      </c>
      <c r="G515" s="328" t="str">
        <f t="shared" si="46"/>
        <v/>
      </c>
      <c r="H515" s="340" t="str">
        <f t="shared" si="47"/>
        <v/>
      </c>
      <c r="I515" s="57"/>
    </row>
    <row r="516" spans="2:9" ht="20.100000000000001" customHeight="1" x14ac:dyDescent="0.3">
      <c r="B516" s="344">
        <v>508</v>
      </c>
      <c r="C516" s="342" t="str">
        <f t="shared" si="44"/>
        <v/>
      </c>
      <c r="D516" s="341" t="str">
        <f t="shared" si="42"/>
        <v/>
      </c>
      <c r="E516" s="328" t="str">
        <f t="shared" si="45"/>
        <v/>
      </c>
      <c r="F516" s="339" t="str">
        <f t="shared" si="43"/>
        <v/>
      </c>
      <c r="G516" s="328" t="str">
        <f t="shared" si="46"/>
        <v/>
      </c>
      <c r="H516" s="340" t="str">
        <f t="shared" si="47"/>
        <v/>
      </c>
      <c r="I516" s="57"/>
    </row>
    <row r="517" spans="2:9" ht="20.100000000000001" customHeight="1" x14ac:dyDescent="0.3">
      <c r="B517" s="344">
        <v>509</v>
      </c>
      <c r="C517" s="342" t="str">
        <f t="shared" si="44"/>
        <v/>
      </c>
      <c r="D517" s="341" t="str">
        <f t="shared" si="42"/>
        <v/>
      </c>
      <c r="E517" s="328" t="str">
        <f t="shared" si="45"/>
        <v/>
      </c>
      <c r="F517" s="339" t="str">
        <f t="shared" si="43"/>
        <v/>
      </c>
      <c r="G517" s="328" t="str">
        <f t="shared" si="46"/>
        <v/>
      </c>
      <c r="H517" s="340" t="str">
        <f t="shared" si="47"/>
        <v/>
      </c>
      <c r="I517" s="57"/>
    </row>
    <row r="518" spans="2:9" ht="20.100000000000001" customHeight="1" x14ac:dyDescent="0.3">
      <c r="B518" s="344">
        <v>510</v>
      </c>
      <c r="C518" s="342" t="str">
        <f t="shared" si="44"/>
        <v/>
      </c>
      <c r="D518" s="341" t="str">
        <f t="shared" si="42"/>
        <v/>
      </c>
      <c r="E518" s="328" t="str">
        <f t="shared" si="45"/>
        <v/>
      </c>
      <c r="F518" s="339" t="str">
        <f t="shared" si="43"/>
        <v/>
      </c>
      <c r="G518" s="328" t="str">
        <f t="shared" si="46"/>
        <v/>
      </c>
      <c r="H518" s="340" t="str">
        <f t="shared" si="47"/>
        <v/>
      </c>
      <c r="I518" s="57"/>
    </row>
    <row r="519" spans="2:9" ht="20.100000000000001" customHeight="1" x14ac:dyDescent="0.3">
      <c r="B519" s="344">
        <v>511</v>
      </c>
      <c r="C519" s="342" t="str">
        <f t="shared" si="44"/>
        <v/>
      </c>
      <c r="D519" s="341" t="str">
        <f t="shared" si="42"/>
        <v/>
      </c>
      <c r="E519" s="328" t="str">
        <f t="shared" si="45"/>
        <v/>
      </c>
      <c r="F519" s="339" t="str">
        <f t="shared" si="43"/>
        <v/>
      </c>
      <c r="G519" s="328" t="str">
        <f t="shared" si="46"/>
        <v/>
      </c>
      <c r="H519" s="340" t="str">
        <f t="shared" si="47"/>
        <v/>
      </c>
      <c r="I519" s="57"/>
    </row>
    <row r="520" spans="2:9" ht="20.100000000000001" customHeight="1" x14ac:dyDescent="0.3">
      <c r="B520" s="344">
        <v>512</v>
      </c>
      <c r="C520" s="342" t="str">
        <f t="shared" si="44"/>
        <v/>
      </c>
      <c r="D520" s="341" t="str">
        <f t="shared" si="42"/>
        <v/>
      </c>
      <c r="E520" s="328" t="str">
        <f t="shared" si="45"/>
        <v/>
      </c>
      <c r="F520" s="339" t="str">
        <f t="shared" si="43"/>
        <v/>
      </c>
      <c r="G520" s="328" t="str">
        <f t="shared" si="46"/>
        <v/>
      </c>
      <c r="H520" s="340" t="str">
        <f t="shared" si="47"/>
        <v/>
      </c>
      <c r="I520" s="57"/>
    </row>
    <row r="521" spans="2:9" ht="20.100000000000001" customHeight="1" x14ac:dyDescent="0.3">
      <c r="B521" s="344">
        <v>513</v>
      </c>
      <c r="C521" s="342" t="str">
        <f t="shared" si="44"/>
        <v/>
      </c>
      <c r="D521" s="341" t="str">
        <f t="shared" si="42"/>
        <v/>
      </c>
      <c r="E521" s="328" t="str">
        <f t="shared" si="45"/>
        <v/>
      </c>
      <c r="F521" s="339" t="str">
        <f t="shared" si="43"/>
        <v/>
      </c>
      <c r="G521" s="328" t="str">
        <f t="shared" si="46"/>
        <v/>
      </c>
      <c r="H521" s="340" t="str">
        <f t="shared" si="47"/>
        <v/>
      </c>
      <c r="I521" s="57"/>
    </row>
    <row r="522" spans="2:9" ht="20.100000000000001" customHeight="1" x14ac:dyDescent="0.3">
      <c r="B522" s="344">
        <v>514</v>
      </c>
      <c r="C522" s="342" t="str">
        <f t="shared" si="44"/>
        <v/>
      </c>
      <c r="D522" s="341" t="str">
        <f t="shared" ref="D522:D585" si="48">IF($H$4="","",IF($F$4="원리금균등상환",IFERROR(IF(B522&lt;=$D$6,0,-PPMT($E$4/12,B522-$D$6,($B$6-$D$6),$D$4)),""),IF($F$4="원금균등상환",IF(B522&lt;($D$6+1),0,IF(B522&gt;$B$6,0,$D$4/($B$6-$D$6))),"")))</f>
        <v/>
      </c>
      <c r="E522" s="328" t="str">
        <f t="shared" si="45"/>
        <v/>
      </c>
      <c r="F522" s="339" t="str">
        <f t="shared" ref="F522:F585" si="49">IF($H$4="","",IF($F$4="원리금균등상환",IFERROR(D522+E522,""),IF($F$4="원금균등상환",D522+E522,"")))</f>
        <v/>
      </c>
      <c r="G522" s="328" t="str">
        <f t="shared" si="46"/>
        <v/>
      </c>
      <c r="H522" s="340" t="str">
        <f t="shared" si="47"/>
        <v/>
      </c>
      <c r="I522" s="57"/>
    </row>
    <row r="523" spans="2:9" ht="20.100000000000001" customHeight="1" x14ac:dyDescent="0.3">
      <c r="B523" s="344">
        <v>515</v>
      </c>
      <c r="C523" s="342" t="str">
        <f t="shared" ref="C523:C586" si="50">IF($H$4="","",IF(B523&gt;($B$6),"",IF(B523&lt;=($B$6),DATE(YEAR($G$4),MONTH($G$4)+B522,DAY($G$4)),"")))</f>
        <v/>
      </c>
      <c r="D523" s="341" t="str">
        <f t="shared" si="48"/>
        <v/>
      </c>
      <c r="E523" s="328" t="str">
        <f t="shared" ref="E523:E586" si="51">IF($H$4="","",IF($F$4="원리금균등상환",IFERROR(IF(B523&lt;=$D$6,$H522*($E$4/12),-IPMT($E$4/12,B523-$D$6,($B$6-$D$6),$D$4)),""),IF($F$4="원금균등상환",(H522-D523)*$E$4/12,"")))</f>
        <v/>
      </c>
      <c r="F523" s="339" t="str">
        <f t="shared" si="49"/>
        <v/>
      </c>
      <c r="G523" s="328" t="str">
        <f t="shared" ref="G523:G586" si="52">IFERROR(IF(B523&gt;(($D$6+$B$6)*12),"",IF(B523=1,D523,D523+G522)),"")</f>
        <v/>
      </c>
      <c r="H523" s="340" t="str">
        <f t="shared" ref="H523:H586" si="53">IFERROR(IF($H$4="","",H522-D523),"")</f>
        <v/>
      </c>
      <c r="I523" s="57"/>
    </row>
    <row r="524" spans="2:9" ht="20.100000000000001" customHeight="1" x14ac:dyDescent="0.3">
      <c r="B524" s="344">
        <v>516</v>
      </c>
      <c r="C524" s="342" t="str">
        <f t="shared" si="50"/>
        <v/>
      </c>
      <c r="D524" s="341" t="str">
        <f t="shared" si="48"/>
        <v/>
      </c>
      <c r="E524" s="328" t="str">
        <f t="shared" si="51"/>
        <v/>
      </c>
      <c r="F524" s="339" t="str">
        <f t="shared" si="49"/>
        <v/>
      </c>
      <c r="G524" s="328" t="str">
        <f t="shared" si="52"/>
        <v/>
      </c>
      <c r="H524" s="340" t="str">
        <f t="shared" si="53"/>
        <v/>
      </c>
      <c r="I524" s="57"/>
    </row>
    <row r="525" spans="2:9" ht="20.100000000000001" customHeight="1" x14ac:dyDescent="0.3">
      <c r="B525" s="344">
        <v>517</v>
      </c>
      <c r="C525" s="342" t="str">
        <f t="shared" si="50"/>
        <v/>
      </c>
      <c r="D525" s="341" t="str">
        <f t="shared" si="48"/>
        <v/>
      </c>
      <c r="E525" s="328" t="str">
        <f t="shared" si="51"/>
        <v/>
      </c>
      <c r="F525" s="339" t="str">
        <f t="shared" si="49"/>
        <v/>
      </c>
      <c r="G525" s="328" t="str">
        <f t="shared" si="52"/>
        <v/>
      </c>
      <c r="H525" s="340" t="str">
        <f t="shared" si="53"/>
        <v/>
      </c>
      <c r="I525" s="57"/>
    </row>
    <row r="526" spans="2:9" ht="20.100000000000001" customHeight="1" x14ac:dyDescent="0.3">
      <c r="B526" s="344">
        <v>518</v>
      </c>
      <c r="C526" s="342" t="str">
        <f t="shared" si="50"/>
        <v/>
      </c>
      <c r="D526" s="341" t="str">
        <f t="shared" si="48"/>
        <v/>
      </c>
      <c r="E526" s="328" t="str">
        <f t="shared" si="51"/>
        <v/>
      </c>
      <c r="F526" s="339" t="str">
        <f t="shared" si="49"/>
        <v/>
      </c>
      <c r="G526" s="328" t="str">
        <f t="shared" si="52"/>
        <v/>
      </c>
      <c r="H526" s="340" t="str">
        <f t="shared" si="53"/>
        <v/>
      </c>
      <c r="I526" s="57"/>
    </row>
    <row r="527" spans="2:9" ht="20.100000000000001" customHeight="1" x14ac:dyDescent="0.3">
      <c r="B527" s="344">
        <v>519</v>
      </c>
      <c r="C527" s="342" t="str">
        <f t="shared" si="50"/>
        <v/>
      </c>
      <c r="D527" s="341" t="str">
        <f t="shared" si="48"/>
        <v/>
      </c>
      <c r="E527" s="328" t="str">
        <f t="shared" si="51"/>
        <v/>
      </c>
      <c r="F527" s="339" t="str">
        <f t="shared" si="49"/>
        <v/>
      </c>
      <c r="G527" s="328" t="str">
        <f t="shared" si="52"/>
        <v/>
      </c>
      <c r="H527" s="340" t="str">
        <f t="shared" si="53"/>
        <v/>
      </c>
      <c r="I527" s="57"/>
    </row>
    <row r="528" spans="2:9" ht="20.100000000000001" customHeight="1" x14ac:dyDescent="0.3">
      <c r="B528" s="344">
        <v>520</v>
      </c>
      <c r="C528" s="342" t="str">
        <f t="shared" si="50"/>
        <v/>
      </c>
      <c r="D528" s="341" t="str">
        <f t="shared" si="48"/>
        <v/>
      </c>
      <c r="E528" s="328" t="str">
        <f t="shared" si="51"/>
        <v/>
      </c>
      <c r="F528" s="339" t="str">
        <f t="shared" si="49"/>
        <v/>
      </c>
      <c r="G528" s="328" t="str">
        <f t="shared" si="52"/>
        <v/>
      </c>
      <c r="H528" s="340" t="str">
        <f t="shared" si="53"/>
        <v/>
      </c>
      <c r="I528" s="57"/>
    </row>
    <row r="529" spans="2:9" ht="20.100000000000001" customHeight="1" x14ac:dyDescent="0.3">
      <c r="B529" s="344">
        <v>521</v>
      </c>
      <c r="C529" s="342" t="str">
        <f t="shared" si="50"/>
        <v/>
      </c>
      <c r="D529" s="341" t="str">
        <f t="shared" si="48"/>
        <v/>
      </c>
      <c r="E529" s="328" t="str">
        <f t="shared" si="51"/>
        <v/>
      </c>
      <c r="F529" s="339" t="str">
        <f t="shared" si="49"/>
        <v/>
      </c>
      <c r="G529" s="328" t="str">
        <f t="shared" si="52"/>
        <v/>
      </c>
      <c r="H529" s="340" t="str">
        <f t="shared" si="53"/>
        <v/>
      </c>
      <c r="I529" s="57"/>
    </row>
    <row r="530" spans="2:9" ht="20.100000000000001" customHeight="1" x14ac:dyDescent="0.3">
      <c r="B530" s="344">
        <v>522</v>
      </c>
      <c r="C530" s="342" t="str">
        <f t="shared" si="50"/>
        <v/>
      </c>
      <c r="D530" s="341" t="str">
        <f t="shared" si="48"/>
        <v/>
      </c>
      <c r="E530" s="328" t="str">
        <f t="shared" si="51"/>
        <v/>
      </c>
      <c r="F530" s="339" t="str">
        <f t="shared" si="49"/>
        <v/>
      </c>
      <c r="G530" s="328" t="str">
        <f t="shared" si="52"/>
        <v/>
      </c>
      <c r="H530" s="340" t="str">
        <f t="shared" si="53"/>
        <v/>
      </c>
      <c r="I530" s="57"/>
    </row>
    <row r="531" spans="2:9" ht="20.100000000000001" customHeight="1" x14ac:dyDescent="0.3">
      <c r="B531" s="344">
        <v>523</v>
      </c>
      <c r="C531" s="342" t="str">
        <f t="shared" si="50"/>
        <v/>
      </c>
      <c r="D531" s="341" t="str">
        <f t="shared" si="48"/>
        <v/>
      </c>
      <c r="E531" s="328" t="str">
        <f t="shared" si="51"/>
        <v/>
      </c>
      <c r="F531" s="339" t="str">
        <f t="shared" si="49"/>
        <v/>
      </c>
      <c r="G531" s="328" t="str">
        <f t="shared" si="52"/>
        <v/>
      </c>
      <c r="H531" s="340" t="str">
        <f t="shared" si="53"/>
        <v/>
      </c>
      <c r="I531" s="57"/>
    </row>
    <row r="532" spans="2:9" ht="20.100000000000001" customHeight="1" x14ac:dyDescent="0.3">
      <c r="B532" s="344">
        <v>524</v>
      </c>
      <c r="C532" s="342" t="str">
        <f t="shared" si="50"/>
        <v/>
      </c>
      <c r="D532" s="341" t="str">
        <f t="shared" si="48"/>
        <v/>
      </c>
      <c r="E532" s="328" t="str">
        <f t="shared" si="51"/>
        <v/>
      </c>
      <c r="F532" s="339" t="str">
        <f t="shared" si="49"/>
        <v/>
      </c>
      <c r="G532" s="328" t="str">
        <f t="shared" si="52"/>
        <v/>
      </c>
      <c r="H532" s="340" t="str">
        <f t="shared" si="53"/>
        <v/>
      </c>
      <c r="I532" s="57"/>
    </row>
    <row r="533" spans="2:9" ht="20.100000000000001" customHeight="1" x14ac:dyDescent="0.3">
      <c r="B533" s="344">
        <v>525</v>
      </c>
      <c r="C533" s="342" t="str">
        <f t="shared" si="50"/>
        <v/>
      </c>
      <c r="D533" s="341" t="str">
        <f t="shared" si="48"/>
        <v/>
      </c>
      <c r="E533" s="328" t="str">
        <f t="shared" si="51"/>
        <v/>
      </c>
      <c r="F533" s="339" t="str">
        <f t="shared" si="49"/>
        <v/>
      </c>
      <c r="G533" s="328" t="str">
        <f t="shared" si="52"/>
        <v/>
      </c>
      <c r="H533" s="340" t="str">
        <f t="shared" si="53"/>
        <v/>
      </c>
      <c r="I533" s="57"/>
    </row>
    <row r="534" spans="2:9" ht="20.100000000000001" customHeight="1" x14ac:dyDescent="0.3">
      <c r="B534" s="344">
        <v>526</v>
      </c>
      <c r="C534" s="342" t="str">
        <f t="shared" si="50"/>
        <v/>
      </c>
      <c r="D534" s="341" t="str">
        <f t="shared" si="48"/>
        <v/>
      </c>
      <c r="E534" s="328" t="str">
        <f t="shared" si="51"/>
        <v/>
      </c>
      <c r="F534" s="339" t="str">
        <f t="shared" si="49"/>
        <v/>
      </c>
      <c r="G534" s="328" t="str">
        <f t="shared" si="52"/>
        <v/>
      </c>
      <c r="H534" s="340" t="str">
        <f t="shared" si="53"/>
        <v/>
      </c>
      <c r="I534" s="57"/>
    </row>
    <row r="535" spans="2:9" ht="20.100000000000001" customHeight="1" x14ac:dyDescent="0.3">
      <c r="B535" s="344">
        <v>527</v>
      </c>
      <c r="C535" s="342" t="str">
        <f t="shared" si="50"/>
        <v/>
      </c>
      <c r="D535" s="341" t="str">
        <f t="shared" si="48"/>
        <v/>
      </c>
      <c r="E535" s="328" t="str">
        <f t="shared" si="51"/>
        <v/>
      </c>
      <c r="F535" s="339" t="str">
        <f t="shared" si="49"/>
        <v/>
      </c>
      <c r="G535" s="328" t="str">
        <f t="shared" si="52"/>
        <v/>
      </c>
      <c r="H535" s="340" t="str">
        <f t="shared" si="53"/>
        <v/>
      </c>
      <c r="I535" s="57"/>
    </row>
    <row r="536" spans="2:9" ht="20.100000000000001" customHeight="1" x14ac:dyDescent="0.3">
      <c r="B536" s="344">
        <v>528</v>
      </c>
      <c r="C536" s="342" t="str">
        <f t="shared" si="50"/>
        <v/>
      </c>
      <c r="D536" s="341" t="str">
        <f t="shared" si="48"/>
        <v/>
      </c>
      <c r="E536" s="328" t="str">
        <f t="shared" si="51"/>
        <v/>
      </c>
      <c r="F536" s="339" t="str">
        <f t="shared" si="49"/>
        <v/>
      </c>
      <c r="G536" s="328" t="str">
        <f t="shared" si="52"/>
        <v/>
      </c>
      <c r="H536" s="340" t="str">
        <f t="shared" si="53"/>
        <v/>
      </c>
      <c r="I536" s="57"/>
    </row>
    <row r="537" spans="2:9" ht="20.100000000000001" customHeight="1" x14ac:dyDescent="0.3">
      <c r="B537" s="344">
        <v>529</v>
      </c>
      <c r="C537" s="342" t="str">
        <f t="shared" si="50"/>
        <v/>
      </c>
      <c r="D537" s="341" t="str">
        <f t="shared" si="48"/>
        <v/>
      </c>
      <c r="E537" s="328" t="str">
        <f t="shared" si="51"/>
        <v/>
      </c>
      <c r="F537" s="339" t="str">
        <f t="shared" si="49"/>
        <v/>
      </c>
      <c r="G537" s="328" t="str">
        <f t="shared" si="52"/>
        <v/>
      </c>
      <c r="H537" s="340" t="str">
        <f t="shared" si="53"/>
        <v/>
      </c>
      <c r="I537" s="57"/>
    </row>
    <row r="538" spans="2:9" ht="20.100000000000001" customHeight="1" x14ac:dyDescent="0.3">
      <c r="B538" s="344">
        <v>530</v>
      </c>
      <c r="C538" s="342" t="str">
        <f t="shared" si="50"/>
        <v/>
      </c>
      <c r="D538" s="341" t="str">
        <f t="shared" si="48"/>
        <v/>
      </c>
      <c r="E538" s="328" t="str">
        <f t="shared" si="51"/>
        <v/>
      </c>
      <c r="F538" s="339" t="str">
        <f t="shared" si="49"/>
        <v/>
      </c>
      <c r="G538" s="328" t="str">
        <f t="shared" si="52"/>
        <v/>
      </c>
      <c r="H538" s="340" t="str">
        <f t="shared" si="53"/>
        <v/>
      </c>
      <c r="I538" s="57"/>
    </row>
    <row r="539" spans="2:9" ht="20.100000000000001" customHeight="1" x14ac:dyDescent="0.3">
      <c r="B539" s="344">
        <v>531</v>
      </c>
      <c r="C539" s="342" t="str">
        <f t="shared" si="50"/>
        <v/>
      </c>
      <c r="D539" s="341" t="str">
        <f t="shared" si="48"/>
        <v/>
      </c>
      <c r="E539" s="328" t="str">
        <f t="shared" si="51"/>
        <v/>
      </c>
      <c r="F539" s="339" t="str">
        <f t="shared" si="49"/>
        <v/>
      </c>
      <c r="G539" s="328" t="str">
        <f t="shared" si="52"/>
        <v/>
      </c>
      <c r="H539" s="340" t="str">
        <f t="shared" si="53"/>
        <v/>
      </c>
      <c r="I539" s="57"/>
    </row>
    <row r="540" spans="2:9" ht="20.100000000000001" customHeight="1" x14ac:dyDescent="0.3">
      <c r="B540" s="344">
        <v>532</v>
      </c>
      <c r="C540" s="342" t="str">
        <f t="shared" si="50"/>
        <v/>
      </c>
      <c r="D540" s="341" t="str">
        <f t="shared" si="48"/>
        <v/>
      </c>
      <c r="E540" s="328" t="str">
        <f t="shared" si="51"/>
        <v/>
      </c>
      <c r="F540" s="339" t="str">
        <f t="shared" si="49"/>
        <v/>
      </c>
      <c r="G540" s="328" t="str">
        <f t="shared" si="52"/>
        <v/>
      </c>
      <c r="H540" s="340" t="str">
        <f t="shared" si="53"/>
        <v/>
      </c>
      <c r="I540" s="57"/>
    </row>
    <row r="541" spans="2:9" ht="20.100000000000001" customHeight="1" x14ac:dyDescent="0.3">
      <c r="B541" s="344">
        <v>533</v>
      </c>
      <c r="C541" s="342" t="str">
        <f t="shared" si="50"/>
        <v/>
      </c>
      <c r="D541" s="341" t="str">
        <f t="shared" si="48"/>
        <v/>
      </c>
      <c r="E541" s="328" t="str">
        <f t="shared" si="51"/>
        <v/>
      </c>
      <c r="F541" s="339" t="str">
        <f t="shared" si="49"/>
        <v/>
      </c>
      <c r="G541" s="328" t="str">
        <f t="shared" si="52"/>
        <v/>
      </c>
      <c r="H541" s="340" t="str">
        <f t="shared" si="53"/>
        <v/>
      </c>
      <c r="I541" s="57"/>
    </row>
    <row r="542" spans="2:9" ht="20.100000000000001" customHeight="1" x14ac:dyDescent="0.3">
      <c r="B542" s="344">
        <v>534</v>
      </c>
      <c r="C542" s="342" t="str">
        <f t="shared" si="50"/>
        <v/>
      </c>
      <c r="D542" s="341" t="str">
        <f t="shared" si="48"/>
        <v/>
      </c>
      <c r="E542" s="328" t="str">
        <f t="shared" si="51"/>
        <v/>
      </c>
      <c r="F542" s="339" t="str">
        <f t="shared" si="49"/>
        <v/>
      </c>
      <c r="G542" s="328" t="str">
        <f t="shared" si="52"/>
        <v/>
      </c>
      <c r="H542" s="340" t="str">
        <f t="shared" si="53"/>
        <v/>
      </c>
      <c r="I542" s="57"/>
    </row>
    <row r="543" spans="2:9" ht="20.100000000000001" customHeight="1" x14ac:dyDescent="0.3">
      <c r="B543" s="344">
        <v>535</v>
      </c>
      <c r="C543" s="342" t="str">
        <f t="shared" si="50"/>
        <v/>
      </c>
      <c r="D543" s="341" t="str">
        <f t="shared" si="48"/>
        <v/>
      </c>
      <c r="E543" s="328" t="str">
        <f t="shared" si="51"/>
        <v/>
      </c>
      <c r="F543" s="339" t="str">
        <f t="shared" si="49"/>
        <v/>
      </c>
      <c r="G543" s="328" t="str">
        <f t="shared" si="52"/>
        <v/>
      </c>
      <c r="H543" s="340" t="str">
        <f t="shared" si="53"/>
        <v/>
      </c>
      <c r="I543" s="57"/>
    </row>
    <row r="544" spans="2:9" ht="20.100000000000001" customHeight="1" x14ac:dyDescent="0.3">
      <c r="B544" s="344">
        <v>536</v>
      </c>
      <c r="C544" s="342" t="str">
        <f t="shared" si="50"/>
        <v/>
      </c>
      <c r="D544" s="341" t="str">
        <f t="shared" si="48"/>
        <v/>
      </c>
      <c r="E544" s="328" t="str">
        <f t="shared" si="51"/>
        <v/>
      </c>
      <c r="F544" s="339" t="str">
        <f t="shared" si="49"/>
        <v/>
      </c>
      <c r="G544" s="328" t="str">
        <f t="shared" si="52"/>
        <v/>
      </c>
      <c r="H544" s="340" t="str">
        <f t="shared" si="53"/>
        <v/>
      </c>
      <c r="I544" s="57"/>
    </row>
    <row r="545" spans="2:9" ht="20.100000000000001" customHeight="1" x14ac:dyDescent="0.3">
      <c r="B545" s="344">
        <v>537</v>
      </c>
      <c r="C545" s="342" t="str">
        <f t="shared" si="50"/>
        <v/>
      </c>
      <c r="D545" s="341" t="str">
        <f t="shared" si="48"/>
        <v/>
      </c>
      <c r="E545" s="328" t="str">
        <f t="shared" si="51"/>
        <v/>
      </c>
      <c r="F545" s="339" t="str">
        <f t="shared" si="49"/>
        <v/>
      </c>
      <c r="G545" s="328" t="str">
        <f t="shared" si="52"/>
        <v/>
      </c>
      <c r="H545" s="340" t="str">
        <f t="shared" si="53"/>
        <v/>
      </c>
      <c r="I545" s="57"/>
    </row>
    <row r="546" spans="2:9" ht="20.100000000000001" customHeight="1" x14ac:dyDescent="0.3">
      <c r="B546" s="344">
        <v>538</v>
      </c>
      <c r="C546" s="342" t="str">
        <f t="shared" si="50"/>
        <v/>
      </c>
      <c r="D546" s="341" t="str">
        <f t="shared" si="48"/>
        <v/>
      </c>
      <c r="E546" s="328" t="str">
        <f t="shared" si="51"/>
        <v/>
      </c>
      <c r="F546" s="339" t="str">
        <f t="shared" si="49"/>
        <v/>
      </c>
      <c r="G546" s="328" t="str">
        <f t="shared" si="52"/>
        <v/>
      </c>
      <c r="H546" s="340" t="str">
        <f t="shared" si="53"/>
        <v/>
      </c>
      <c r="I546" s="57"/>
    </row>
    <row r="547" spans="2:9" ht="20.100000000000001" customHeight="1" x14ac:dyDescent="0.3">
      <c r="B547" s="344">
        <v>539</v>
      </c>
      <c r="C547" s="342" t="str">
        <f t="shared" si="50"/>
        <v/>
      </c>
      <c r="D547" s="341" t="str">
        <f t="shared" si="48"/>
        <v/>
      </c>
      <c r="E547" s="328" t="str">
        <f t="shared" si="51"/>
        <v/>
      </c>
      <c r="F547" s="339" t="str">
        <f t="shared" si="49"/>
        <v/>
      </c>
      <c r="G547" s="328" t="str">
        <f t="shared" si="52"/>
        <v/>
      </c>
      <c r="H547" s="340" t="str">
        <f t="shared" si="53"/>
        <v/>
      </c>
      <c r="I547" s="57"/>
    </row>
    <row r="548" spans="2:9" ht="20.100000000000001" customHeight="1" x14ac:dyDescent="0.3">
      <c r="B548" s="344">
        <v>540</v>
      </c>
      <c r="C548" s="342" t="str">
        <f t="shared" si="50"/>
        <v/>
      </c>
      <c r="D548" s="341" t="str">
        <f t="shared" si="48"/>
        <v/>
      </c>
      <c r="E548" s="328" t="str">
        <f t="shared" si="51"/>
        <v/>
      </c>
      <c r="F548" s="339" t="str">
        <f t="shared" si="49"/>
        <v/>
      </c>
      <c r="G548" s="328" t="str">
        <f t="shared" si="52"/>
        <v/>
      </c>
      <c r="H548" s="340" t="str">
        <f t="shared" si="53"/>
        <v/>
      </c>
      <c r="I548" s="57"/>
    </row>
    <row r="549" spans="2:9" ht="20.100000000000001" customHeight="1" x14ac:dyDescent="0.3">
      <c r="B549" s="344">
        <v>541</v>
      </c>
      <c r="C549" s="342" t="str">
        <f t="shared" si="50"/>
        <v/>
      </c>
      <c r="D549" s="341" t="str">
        <f t="shared" si="48"/>
        <v/>
      </c>
      <c r="E549" s="328" t="str">
        <f t="shared" si="51"/>
        <v/>
      </c>
      <c r="F549" s="339" t="str">
        <f t="shared" si="49"/>
        <v/>
      </c>
      <c r="G549" s="328" t="str">
        <f t="shared" si="52"/>
        <v/>
      </c>
      <c r="H549" s="340" t="str">
        <f t="shared" si="53"/>
        <v/>
      </c>
      <c r="I549" s="57"/>
    </row>
    <row r="550" spans="2:9" ht="20.100000000000001" customHeight="1" x14ac:dyDescent="0.3">
      <c r="B550" s="344">
        <v>542</v>
      </c>
      <c r="C550" s="342" t="str">
        <f t="shared" si="50"/>
        <v/>
      </c>
      <c r="D550" s="341" t="str">
        <f t="shared" si="48"/>
        <v/>
      </c>
      <c r="E550" s="328" t="str">
        <f t="shared" si="51"/>
        <v/>
      </c>
      <c r="F550" s="339" t="str">
        <f t="shared" si="49"/>
        <v/>
      </c>
      <c r="G550" s="328" t="str">
        <f t="shared" si="52"/>
        <v/>
      </c>
      <c r="H550" s="340" t="str">
        <f t="shared" si="53"/>
        <v/>
      </c>
      <c r="I550" s="57"/>
    </row>
    <row r="551" spans="2:9" ht="20.100000000000001" customHeight="1" x14ac:dyDescent="0.3">
      <c r="B551" s="344">
        <v>543</v>
      </c>
      <c r="C551" s="342" t="str">
        <f t="shared" si="50"/>
        <v/>
      </c>
      <c r="D551" s="341" t="str">
        <f t="shared" si="48"/>
        <v/>
      </c>
      <c r="E551" s="328" t="str">
        <f t="shared" si="51"/>
        <v/>
      </c>
      <c r="F551" s="339" t="str">
        <f t="shared" si="49"/>
        <v/>
      </c>
      <c r="G551" s="328" t="str">
        <f t="shared" si="52"/>
        <v/>
      </c>
      <c r="H551" s="340" t="str">
        <f t="shared" si="53"/>
        <v/>
      </c>
      <c r="I551" s="57"/>
    </row>
    <row r="552" spans="2:9" ht="20.100000000000001" customHeight="1" x14ac:dyDescent="0.3">
      <c r="B552" s="344">
        <v>544</v>
      </c>
      <c r="C552" s="342" t="str">
        <f t="shared" si="50"/>
        <v/>
      </c>
      <c r="D552" s="341" t="str">
        <f t="shared" si="48"/>
        <v/>
      </c>
      <c r="E552" s="328" t="str">
        <f t="shared" si="51"/>
        <v/>
      </c>
      <c r="F552" s="339" t="str">
        <f t="shared" si="49"/>
        <v/>
      </c>
      <c r="G552" s="328" t="str">
        <f t="shared" si="52"/>
        <v/>
      </c>
      <c r="H552" s="340" t="str">
        <f t="shared" si="53"/>
        <v/>
      </c>
      <c r="I552" s="57"/>
    </row>
    <row r="553" spans="2:9" ht="20.100000000000001" customHeight="1" x14ac:dyDescent="0.3">
      <c r="B553" s="344">
        <v>545</v>
      </c>
      <c r="C553" s="342" t="str">
        <f t="shared" si="50"/>
        <v/>
      </c>
      <c r="D553" s="341" t="str">
        <f t="shared" si="48"/>
        <v/>
      </c>
      <c r="E553" s="328" t="str">
        <f t="shared" si="51"/>
        <v/>
      </c>
      <c r="F553" s="339" t="str">
        <f t="shared" si="49"/>
        <v/>
      </c>
      <c r="G553" s="328" t="str">
        <f t="shared" si="52"/>
        <v/>
      </c>
      <c r="H553" s="340" t="str">
        <f t="shared" si="53"/>
        <v/>
      </c>
      <c r="I553" s="57"/>
    </row>
    <row r="554" spans="2:9" ht="20.100000000000001" customHeight="1" x14ac:dyDescent="0.3">
      <c r="B554" s="344">
        <v>546</v>
      </c>
      <c r="C554" s="342" t="str">
        <f t="shared" si="50"/>
        <v/>
      </c>
      <c r="D554" s="341" t="str">
        <f t="shared" si="48"/>
        <v/>
      </c>
      <c r="E554" s="328" t="str">
        <f t="shared" si="51"/>
        <v/>
      </c>
      <c r="F554" s="339" t="str">
        <f t="shared" si="49"/>
        <v/>
      </c>
      <c r="G554" s="328" t="str">
        <f t="shared" si="52"/>
        <v/>
      </c>
      <c r="H554" s="340" t="str">
        <f t="shared" si="53"/>
        <v/>
      </c>
      <c r="I554" s="57"/>
    </row>
    <row r="555" spans="2:9" ht="20.100000000000001" customHeight="1" x14ac:dyDescent="0.3">
      <c r="B555" s="344">
        <v>547</v>
      </c>
      <c r="C555" s="342" t="str">
        <f t="shared" si="50"/>
        <v/>
      </c>
      <c r="D555" s="341" t="str">
        <f t="shared" si="48"/>
        <v/>
      </c>
      <c r="E555" s="328" t="str">
        <f t="shared" si="51"/>
        <v/>
      </c>
      <c r="F555" s="339" t="str">
        <f t="shared" si="49"/>
        <v/>
      </c>
      <c r="G555" s="328" t="str">
        <f t="shared" si="52"/>
        <v/>
      </c>
      <c r="H555" s="340" t="str">
        <f t="shared" si="53"/>
        <v/>
      </c>
      <c r="I555" s="57"/>
    </row>
    <row r="556" spans="2:9" ht="20.100000000000001" customHeight="1" x14ac:dyDescent="0.3">
      <c r="B556" s="344">
        <v>548</v>
      </c>
      <c r="C556" s="342" t="str">
        <f t="shared" si="50"/>
        <v/>
      </c>
      <c r="D556" s="341" t="str">
        <f t="shared" si="48"/>
        <v/>
      </c>
      <c r="E556" s="328" t="str">
        <f t="shared" si="51"/>
        <v/>
      </c>
      <c r="F556" s="339" t="str">
        <f t="shared" si="49"/>
        <v/>
      </c>
      <c r="G556" s="328" t="str">
        <f t="shared" si="52"/>
        <v/>
      </c>
      <c r="H556" s="340" t="str">
        <f t="shared" si="53"/>
        <v/>
      </c>
      <c r="I556" s="57"/>
    </row>
    <row r="557" spans="2:9" ht="20.100000000000001" customHeight="1" x14ac:dyDescent="0.3">
      <c r="B557" s="344">
        <v>549</v>
      </c>
      <c r="C557" s="342" t="str">
        <f t="shared" si="50"/>
        <v/>
      </c>
      <c r="D557" s="341" t="str">
        <f t="shared" si="48"/>
        <v/>
      </c>
      <c r="E557" s="328" t="str">
        <f t="shared" si="51"/>
        <v/>
      </c>
      <c r="F557" s="339" t="str">
        <f t="shared" si="49"/>
        <v/>
      </c>
      <c r="G557" s="328" t="str">
        <f t="shared" si="52"/>
        <v/>
      </c>
      <c r="H557" s="340" t="str">
        <f t="shared" si="53"/>
        <v/>
      </c>
      <c r="I557" s="57"/>
    </row>
    <row r="558" spans="2:9" ht="20.100000000000001" customHeight="1" x14ac:dyDescent="0.3">
      <c r="B558" s="344">
        <v>550</v>
      </c>
      <c r="C558" s="342" t="str">
        <f t="shared" si="50"/>
        <v/>
      </c>
      <c r="D558" s="341" t="str">
        <f t="shared" si="48"/>
        <v/>
      </c>
      <c r="E558" s="328" t="str">
        <f t="shared" si="51"/>
        <v/>
      </c>
      <c r="F558" s="339" t="str">
        <f t="shared" si="49"/>
        <v/>
      </c>
      <c r="G558" s="328" t="str">
        <f t="shared" si="52"/>
        <v/>
      </c>
      <c r="H558" s="340" t="str">
        <f t="shared" si="53"/>
        <v/>
      </c>
      <c r="I558" s="57"/>
    </row>
    <row r="559" spans="2:9" ht="20.100000000000001" customHeight="1" x14ac:dyDescent="0.3">
      <c r="B559" s="344">
        <v>551</v>
      </c>
      <c r="C559" s="342" t="str">
        <f t="shared" si="50"/>
        <v/>
      </c>
      <c r="D559" s="341" t="str">
        <f t="shared" si="48"/>
        <v/>
      </c>
      <c r="E559" s="328" t="str">
        <f t="shared" si="51"/>
        <v/>
      </c>
      <c r="F559" s="339" t="str">
        <f t="shared" si="49"/>
        <v/>
      </c>
      <c r="G559" s="328" t="str">
        <f t="shared" si="52"/>
        <v/>
      </c>
      <c r="H559" s="340" t="str">
        <f t="shared" si="53"/>
        <v/>
      </c>
      <c r="I559" s="57"/>
    </row>
    <row r="560" spans="2:9" ht="20.100000000000001" customHeight="1" x14ac:dyDescent="0.3">
      <c r="B560" s="344">
        <v>552</v>
      </c>
      <c r="C560" s="342" t="str">
        <f t="shared" si="50"/>
        <v/>
      </c>
      <c r="D560" s="341" t="str">
        <f t="shared" si="48"/>
        <v/>
      </c>
      <c r="E560" s="328" t="str">
        <f t="shared" si="51"/>
        <v/>
      </c>
      <c r="F560" s="339" t="str">
        <f t="shared" si="49"/>
        <v/>
      </c>
      <c r="G560" s="328" t="str">
        <f t="shared" si="52"/>
        <v/>
      </c>
      <c r="H560" s="340" t="str">
        <f t="shared" si="53"/>
        <v/>
      </c>
      <c r="I560" s="57"/>
    </row>
    <row r="561" spans="2:9" ht="20.100000000000001" customHeight="1" x14ac:dyDescent="0.3">
      <c r="B561" s="344">
        <v>553</v>
      </c>
      <c r="C561" s="342" t="str">
        <f t="shared" si="50"/>
        <v/>
      </c>
      <c r="D561" s="341" t="str">
        <f t="shared" si="48"/>
        <v/>
      </c>
      <c r="E561" s="328" t="str">
        <f t="shared" si="51"/>
        <v/>
      </c>
      <c r="F561" s="339" t="str">
        <f t="shared" si="49"/>
        <v/>
      </c>
      <c r="G561" s="328" t="str">
        <f t="shared" si="52"/>
        <v/>
      </c>
      <c r="H561" s="340" t="str">
        <f t="shared" si="53"/>
        <v/>
      </c>
      <c r="I561" s="57"/>
    </row>
    <row r="562" spans="2:9" ht="20.100000000000001" customHeight="1" x14ac:dyDescent="0.3">
      <c r="B562" s="344">
        <v>554</v>
      </c>
      <c r="C562" s="342" t="str">
        <f t="shared" si="50"/>
        <v/>
      </c>
      <c r="D562" s="341" t="str">
        <f t="shared" si="48"/>
        <v/>
      </c>
      <c r="E562" s="328" t="str">
        <f t="shared" si="51"/>
        <v/>
      </c>
      <c r="F562" s="339" t="str">
        <f t="shared" si="49"/>
        <v/>
      </c>
      <c r="G562" s="328" t="str">
        <f t="shared" si="52"/>
        <v/>
      </c>
      <c r="H562" s="340" t="str">
        <f t="shared" si="53"/>
        <v/>
      </c>
      <c r="I562" s="57"/>
    </row>
    <row r="563" spans="2:9" ht="20.100000000000001" customHeight="1" x14ac:dyDescent="0.3">
      <c r="B563" s="344">
        <v>555</v>
      </c>
      <c r="C563" s="342" t="str">
        <f t="shared" si="50"/>
        <v/>
      </c>
      <c r="D563" s="341" t="str">
        <f t="shared" si="48"/>
        <v/>
      </c>
      <c r="E563" s="328" t="str">
        <f t="shared" si="51"/>
        <v/>
      </c>
      <c r="F563" s="339" t="str">
        <f t="shared" si="49"/>
        <v/>
      </c>
      <c r="G563" s="328" t="str">
        <f t="shared" si="52"/>
        <v/>
      </c>
      <c r="H563" s="340" t="str">
        <f t="shared" si="53"/>
        <v/>
      </c>
      <c r="I563" s="57"/>
    </row>
    <row r="564" spans="2:9" ht="20.100000000000001" customHeight="1" x14ac:dyDescent="0.3">
      <c r="B564" s="344">
        <v>556</v>
      </c>
      <c r="C564" s="342" t="str">
        <f t="shared" si="50"/>
        <v/>
      </c>
      <c r="D564" s="341" t="str">
        <f t="shared" si="48"/>
        <v/>
      </c>
      <c r="E564" s="328" t="str">
        <f t="shared" si="51"/>
        <v/>
      </c>
      <c r="F564" s="339" t="str">
        <f t="shared" si="49"/>
        <v/>
      </c>
      <c r="G564" s="328" t="str">
        <f t="shared" si="52"/>
        <v/>
      </c>
      <c r="H564" s="340" t="str">
        <f t="shared" si="53"/>
        <v/>
      </c>
      <c r="I564" s="57"/>
    </row>
    <row r="565" spans="2:9" ht="20.100000000000001" customHeight="1" x14ac:dyDescent="0.3">
      <c r="B565" s="344">
        <v>557</v>
      </c>
      <c r="C565" s="342" t="str">
        <f t="shared" si="50"/>
        <v/>
      </c>
      <c r="D565" s="341" t="str">
        <f t="shared" si="48"/>
        <v/>
      </c>
      <c r="E565" s="328" t="str">
        <f t="shared" si="51"/>
        <v/>
      </c>
      <c r="F565" s="339" t="str">
        <f t="shared" si="49"/>
        <v/>
      </c>
      <c r="G565" s="328" t="str">
        <f t="shared" si="52"/>
        <v/>
      </c>
      <c r="H565" s="340" t="str">
        <f t="shared" si="53"/>
        <v/>
      </c>
      <c r="I565" s="57"/>
    </row>
    <row r="566" spans="2:9" ht="20.100000000000001" customHeight="1" x14ac:dyDescent="0.3">
      <c r="B566" s="344">
        <v>558</v>
      </c>
      <c r="C566" s="342" t="str">
        <f t="shared" si="50"/>
        <v/>
      </c>
      <c r="D566" s="341" t="str">
        <f t="shared" si="48"/>
        <v/>
      </c>
      <c r="E566" s="328" t="str">
        <f t="shared" si="51"/>
        <v/>
      </c>
      <c r="F566" s="339" t="str">
        <f t="shared" si="49"/>
        <v/>
      </c>
      <c r="G566" s="328" t="str">
        <f t="shared" si="52"/>
        <v/>
      </c>
      <c r="H566" s="340" t="str">
        <f t="shared" si="53"/>
        <v/>
      </c>
      <c r="I566" s="57"/>
    </row>
    <row r="567" spans="2:9" ht="20.100000000000001" customHeight="1" x14ac:dyDescent="0.3">
      <c r="B567" s="344">
        <v>559</v>
      </c>
      <c r="C567" s="342" t="str">
        <f t="shared" si="50"/>
        <v/>
      </c>
      <c r="D567" s="341" t="str">
        <f t="shared" si="48"/>
        <v/>
      </c>
      <c r="E567" s="328" t="str">
        <f t="shared" si="51"/>
        <v/>
      </c>
      <c r="F567" s="339" t="str">
        <f t="shared" si="49"/>
        <v/>
      </c>
      <c r="G567" s="328" t="str">
        <f t="shared" si="52"/>
        <v/>
      </c>
      <c r="H567" s="340" t="str">
        <f t="shared" si="53"/>
        <v/>
      </c>
      <c r="I567" s="57"/>
    </row>
    <row r="568" spans="2:9" ht="20.100000000000001" customHeight="1" x14ac:dyDescent="0.3">
      <c r="B568" s="344">
        <v>560</v>
      </c>
      <c r="C568" s="342" t="str">
        <f t="shared" si="50"/>
        <v/>
      </c>
      <c r="D568" s="341" t="str">
        <f t="shared" si="48"/>
        <v/>
      </c>
      <c r="E568" s="328" t="str">
        <f t="shared" si="51"/>
        <v/>
      </c>
      <c r="F568" s="339" t="str">
        <f t="shared" si="49"/>
        <v/>
      </c>
      <c r="G568" s="328" t="str">
        <f t="shared" si="52"/>
        <v/>
      </c>
      <c r="H568" s="340" t="str">
        <f t="shared" si="53"/>
        <v/>
      </c>
      <c r="I568" s="57"/>
    </row>
    <row r="569" spans="2:9" ht="20.100000000000001" customHeight="1" x14ac:dyDescent="0.3">
      <c r="B569" s="344">
        <v>561</v>
      </c>
      <c r="C569" s="342" t="str">
        <f t="shared" si="50"/>
        <v/>
      </c>
      <c r="D569" s="341" t="str">
        <f t="shared" si="48"/>
        <v/>
      </c>
      <c r="E569" s="328" t="str">
        <f t="shared" si="51"/>
        <v/>
      </c>
      <c r="F569" s="339" t="str">
        <f t="shared" si="49"/>
        <v/>
      </c>
      <c r="G569" s="328" t="str">
        <f t="shared" si="52"/>
        <v/>
      </c>
      <c r="H569" s="340" t="str">
        <f t="shared" si="53"/>
        <v/>
      </c>
      <c r="I569" s="57"/>
    </row>
    <row r="570" spans="2:9" ht="20.100000000000001" customHeight="1" x14ac:dyDescent="0.3">
      <c r="B570" s="344">
        <v>562</v>
      </c>
      <c r="C570" s="342" t="str">
        <f t="shared" si="50"/>
        <v/>
      </c>
      <c r="D570" s="341" t="str">
        <f t="shared" si="48"/>
        <v/>
      </c>
      <c r="E570" s="328" t="str">
        <f t="shared" si="51"/>
        <v/>
      </c>
      <c r="F570" s="339" t="str">
        <f t="shared" si="49"/>
        <v/>
      </c>
      <c r="G570" s="328" t="str">
        <f t="shared" si="52"/>
        <v/>
      </c>
      <c r="H570" s="340" t="str">
        <f t="shared" si="53"/>
        <v/>
      </c>
      <c r="I570" s="57"/>
    </row>
    <row r="571" spans="2:9" ht="20.100000000000001" customHeight="1" x14ac:dyDescent="0.3">
      <c r="B571" s="344">
        <v>563</v>
      </c>
      <c r="C571" s="342" t="str">
        <f t="shared" si="50"/>
        <v/>
      </c>
      <c r="D571" s="341" t="str">
        <f t="shared" si="48"/>
        <v/>
      </c>
      <c r="E571" s="328" t="str">
        <f t="shared" si="51"/>
        <v/>
      </c>
      <c r="F571" s="339" t="str">
        <f t="shared" si="49"/>
        <v/>
      </c>
      <c r="G571" s="328" t="str">
        <f t="shared" si="52"/>
        <v/>
      </c>
      <c r="H571" s="340" t="str">
        <f t="shared" si="53"/>
        <v/>
      </c>
      <c r="I571" s="57"/>
    </row>
    <row r="572" spans="2:9" ht="20.100000000000001" customHeight="1" x14ac:dyDescent="0.3">
      <c r="B572" s="344">
        <v>564</v>
      </c>
      <c r="C572" s="342" t="str">
        <f t="shared" si="50"/>
        <v/>
      </c>
      <c r="D572" s="341" t="str">
        <f t="shared" si="48"/>
        <v/>
      </c>
      <c r="E572" s="328" t="str">
        <f t="shared" si="51"/>
        <v/>
      </c>
      <c r="F572" s="339" t="str">
        <f t="shared" si="49"/>
        <v/>
      </c>
      <c r="G572" s="328" t="str">
        <f t="shared" si="52"/>
        <v/>
      </c>
      <c r="H572" s="340" t="str">
        <f t="shared" si="53"/>
        <v/>
      </c>
      <c r="I572" s="57"/>
    </row>
    <row r="573" spans="2:9" ht="20.100000000000001" customHeight="1" x14ac:dyDescent="0.3">
      <c r="B573" s="344">
        <v>565</v>
      </c>
      <c r="C573" s="342" t="str">
        <f t="shared" si="50"/>
        <v/>
      </c>
      <c r="D573" s="341" t="str">
        <f t="shared" si="48"/>
        <v/>
      </c>
      <c r="E573" s="328" t="str">
        <f t="shared" si="51"/>
        <v/>
      </c>
      <c r="F573" s="339" t="str">
        <f t="shared" si="49"/>
        <v/>
      </c>
      <c r="G573" s="328" t="str">
        <f t="shared" si="52"/>
        <v/>
      </c>
      <c r="H573" s="340" t="str">
        <f t="shared" si="53"/>
        <v/>
      </c>
      <c r="I573" s="57"/>
    </row>
    <row r="574" spans="2:9" ht="20.100000000000001" customHeight="1" x14ac:dyDescent="0.3">
      <c r="B574" s="344">
        <v>566</v>
      </c>
      <c r="C574" s="342" t="str">
        <f t="shared" si="50"/>
        <v/>
      </c>
      <c r="D574" s="341" t="str">
        <f t="shared" si="48"/>
        <v/>
      </c>
      <c r="E574" s="328" t="str">
        <f t="shared" si="51"/>
        <v/>
      </c>
      <c r="F574" s="339" t="str">
        <f t="shared" si="49"/>
        <v/>
      </c>
      <c r="G574" s="328" t="str">
        <f t="shared" si="52"/>
        <v/>
      </c>
      <c r="H574" s="340" t="str">
        <f t="shared" si="53"/>
        <v/>
      </c>
      <c r="I574" s="57"/>
    </row>
    <row r="575" spans="2:9" ht="20.100000000000001" customHeight="1" x14ac:dyDescent="0.3">
      <c r="B575" s="344">
        <v>567</v>
      </c>
      <c r="C575" s="342" t="str">
        <f t="shared" si="50"/>
        <v/>
      </c>
      <c r="D575" s="341" t="str">
        <f t="shared" si="48"/>
        <v/>
      </c>
      <c r="E575" s="328" t="str">
        <f t="shared" si="51"/>
        <v/>
      </c>
      <c r="F575" s="339" t="str">
        <f t="shared" si="49"/>
        <v/>
      </c>
      <c r="G575" s="328" t="str">
        <f t="shared" si="52"/>
        <v/>
      </c>
      <c r="H575" s="340" t="str">
        <f t="shared" si="53"/>
        <v/>
      </c>
      <c r="I575" s="57"/>
    </row>
    <row r="576" spans="2:9" ht="20.100000000000001" customHeight="1" x14ac:dyDescent="0.3">
      <c r="B576" s="344">
        <v>568</v>
      </c>
      <c r="C576" s="342" t="str">
        <f t="shared" si="50"/>
        <v/>
      </c>
      <c r="D576" s="341" t="str">
        <f t="shared" si="48"/>
        <v/>
      </c>
      <c r="E576" s="328" t="str">
        <f t="shared" si="51"/>
        <v/>
      </c>
      <c r="F576" s="339" t="str">
        <f t="shared" si="49"/>
        <v/>
      </c>
      <c r="G576" s="328" t="str">
        <f t="shared" si="52"/>
        <v/>
      </c>
      <c r="H576" s="340" t="str">
        <f t="shared" si="53"/>
        <v/>
      </c>
      <c r="I576" s="57"/>
    </row>
    <row r="577" spans="2:9" ht="20.100000000000001" customHeight="1" x14ac:dyDescent="0.3">
      <c r="B577" s="344">
        <v>569</v>
      </c>
      <c r="C577" s="342" t="str">
        <f t="shared" si="50"/>
        <v/>
      </c>
      <c r="D577" s="341" t="str">
        <f t="shared" si="48"/>
        <v/>
      </c>
      <c r="E577" s="328" t="str">
        <f t="shared" si="51"/>
        <v/>
      </c>
      <c r="F577" s="339" t="str">
        <f t="shared" si="49"/>
        <v/>
      </c>
      <c r="G577" s="328" t="str">
        <f t="shared" si="52"/>
        <v/>
      </c>
      <c r="H577" s="340" t="str">
        <f t="shared" si="53"/>
        <v/>
      </c>
      <c r="I577" s="57"/>
    </row>
    <row r="578" spans="2:9" ht="20.100000000000001" customHeight="1" x14ac:dyDescent="0.3">
      <c r="B578" s="344">
        <v>570</v>
      </c>
      <c r="C578" s="342" t="str">
        <f t="shared" si="50"/>
        <v/>
      </c>
      <c r="D578" s="341" t="str">
        <f t="shared" si="48"/>
        <v/>
      </c>
      <c r="E578" s="328" t="str">
        <f t="shared" si="51"/>
        <v/>
      </c>
      <c r="F578" s="339" t="str">
        <f t="shared" si="49"/>
        <v/>
      </c>
      <c r="G578" s="328" t="str">
        <f t="shared" si="52"/>
        <v/>
      </c>
      <c r="H578" s="340" t="str">
        <f t="shared" si="53"/>
        <v/>
      </c>
      <c r="I578" s="57"/>
    </row>
    <row r="579" spans="2:9" ht="20.100000000000001" customHeight="1" x14ac:dyDescent="0.3">
      <c r="B579" s="344">
        <v>571</v>
      </c>
      <c r="C579" s="342" t="str">
        <f t="shared" si="50"/>
        <v/>
      </c>
      <c r="D579" s="341" t="str">
        <f t="shared" si="48"/>
        <v/>
      </c>
      <c r="E579" s="328" t="str">
        <f t="shared" si="51"/>
        <v/>
      </c>
      <c r="F579" s="339" t="str">
        <f t="shared" si="49"/>
        <v/>
      </c>
      <c r="G579" s="328" t="str">
        <f t="shared" si="52"/>
        <v/>
      </c>
      <c r="H579" s="340" t="str">
        <f t="shared" si="53"/>
        <v/>
      </c>
      <c r="I579" s="57"/>
    </row>
    <row r="580" spans="2:9" ht="20.100000000000001" customHeight="1" x14ac:dyDescent="0.3">
      <c r="B580" s="344">
        <v>572</v>
      </c>
      <c r="C580" s="342" t="str">
        <f t="shared" si="50"/>
        <v/>
      </c>
      <c r="D580" s="341" t="str">
        <f t="shared" si="48"/>
        <v/>
      </c>
      <c r="E580" s="328" t="str">
        <f t="shared" si="51"/>
        <v/>
      </c>
      <c r="F580" s="339" t="str">
        <f t="shared" si="49"/>
        <v/>
      </c>
      <c r="G580" s="328" t="str">
        <f t="shared" si="52"/>
        <v/>
      </c>
      <c r="H580" s="340" t="str">
        <f t="shared" si="53"/>
        <v/>
      </c>
      <c r="I580" s="57"/>
    </row>
    <row r="581" spans="2:9" ht="20.100000000000001" customHeight="1" x14ac:dyDescent="0.3">
      <c r="B581" s="344">
        <v>573</v>
      </c>
      <c r="C581" s="342" t="str">
        <f t="shared" si="50"/>
        <v/>
      </c>
      <c r="D581" s="341" t="str">
        <f t="shared" si="48"/>
        <v/>
      </c>
      <c r="E581" s="328" t="str">
        <f t="shared" si="51"/>
        <v/>
      </c>
      <c r="F581" s="339" t="str">
        <f t="shared" si="49"/>
        <v/>
      </c>
      <c r="G581" s="328" t="str">
        <f t="shared" si="52"/>
        <v/>
      </c>
      <c r="H581" s="340" t="str">
        <f t="shared" si="53"/>
        <v/>
      </c>
      <c r="I581" s="57"/>
    </row>
    <row r="582" spans="2:9" ht="20.100000000000001" customHeight="1" x14ac:dyDescent="0.3">
      <c r="B582" s="344">
        <v>574</v>
      </c>
      <c r="C582" s="342" t="str">
        <f t="shared" si="50"/>
        <v/>
      </c>
      <c r="D582" s="341" t="str">
        <f t="shared" si="48"/>
        <v/>
      </c>
      <c r="E582" s="328" t="str">
        <f t="shared" si="51"/>
        <v/>
      </c>
      <c r="F582" s="339" t="str">
        <f t="shared" si="49"/>
        <v/>
      </c>
      <c r="G582" s="328" t="str">
        <f t="shared" si="52"/>
        <v/>
      </c>
      <c r="H582" s="340" t="str">
        <f t="shared" si="53"/>
        <v/>
      </c>
      <c r="I582" s="57"/>
    </row>
    <row r="583" spans="2:9" ht="20.100000000000001" customHeight="1" x14ac:dyDescent="0.3">
      <c r="B583" s="344">
        <v>575</v>
      </c>
      <c r="C583" s="342" t="str">
        <f t="shared" si="50"/>
        <v/>
      </c>
      <c r="D583" s="341" t="str">
        <f t="shared" si="48"/>
        <v/>
      </c>
      <c r="E583" s="328" t="str">
        <f t="shared" si="51"/>
        <v/>
      </c>
      <c r="F583" s="339" t="str">
        <f t="shared" si="49"/>
        <v/>
      </c>
      <c r="G583" s="328" t="str">
        <f t="shared" si="52"/>
        <v/>
      </c>
      <c r="H583" s="340" t="str">
        <f t="shared" si="53"/>
        <v/>
      </c>
      <c r="I583" s="57"/>
    </row>
    <row r="584" spans="2:9" ht="20.100000000000001" customHeight="1" x14ac:dyDescent="0.3">
      <c r="B584" s="344">
        <v>576</v>
      </c>
      <c r="C584" s="342" t="str">
        <f t="shared" si="50"/>
        <v/>
      </c>
      <c r="D584" s="341" t="str">
        <f t="shared" si="48"/>
        <v/>
      </c>
      <c r="E584" s="328" t="str">
        <f t="shared" si="51"/>
        <v/>
      </c>
      <c r="F584" s="339" t="str">
        <f t="shared" si="49"/>
        <v/>
      </c>
      <c r="G584" s="328" t="str">
        <f t="shared" si="52"/>
        <v/>
      </c>
      <c r="H584" s="340" t="str">
        <f t="shared" si="53"/>
        <v/>
      </c>
      <c r="I584" s="57"/>
    </row>
    <row r="585" spans="2:9" ht="20.100000000000001" customHeight="1" x14ac:dyDescent="0.3">
      <c r="B585" s="344">
        <v>577</v>
      </c>
      <c r="C585" s="342" t="str">
        <f t="shared" si="50"/>
        <v/>
      </c>
      <c r="D585" s="341" t="str">
        <f t="shared" si="48"/>
        <v/>
      </c>
      <c r="E585" s="328" t="str">
        <f t="shared" si="51"/>
        <v/>
      </c>
      <c r="F585" s="339" t="str">
        <f t="shared" si="49"/>
        <v/>
      </c>
      <c r="G585" s="328" t="str">
        <f t="shared" si="52"/>
        <v/>
      </c>
      <c r="H585" s="340" t="str">
        <f t="shared" si="53"/>
        <v/>
      </c>
      <c r="I585" s="57"/>
    </row>
    <row r="586" spans="2:9" ht="20.100000000000001" customHeight="1" x14ac:dyDescent="0.3">
      <c r="B586" s="344">
        <v>578</v>
      </c>
      <c r="C586" s="342" t="str">
        <f t="shared" si="50"/>
        <v/>
      </c>
      <c r="D586" s="341" t="str">
        <f t="shared" ref="D586:D608" si="54">IF($H$4="","",IF($F$4="원리금균등상환",IFERROR(IF(B586&lt;=$D$6,0,-PPMT($E$4/12,B586-$D$6,($B$6-$D$6),$D$4)),""),IF($F$4="원금균등상환",IF(B586&lt;($D$6+1),0,IF(B586&gt;$B$6,0,$D$4/($B$6-$D$6))),"")))</f>
        <v/>
      </c>
      <c r="E586" s="328" t="str">
        <f t="shared" si="51"/>
        <v/>
      </c>
      <c r="F586" s="339" t="str">
        <f t="shared" ref="F586:F608" si="55">IF($H$4="","",IF($F$4="원리금균등상환",IFERROR(D586+E586,""),IF($F$4="원금균등상환",D586+E586,"")))</f>
        <v/>
      </c>
      <c r="G586" s="328" t="str">
        <f t="shared" si="52"/>
        <v/>
      </c>
      <c r="H586" s="340" t="str">
        <f t="shared" si="53"/>
        <v/>
      </c>
      <c r="I586" s="57"/>
    </row>
    <row r="587" spans="2:9" ht="20.100000000000001" customHeight="1" x14ac:dyDescent="0.3">
      <c r="B587" s="344">
        <v>579</v>
      </c>
      <c r="C587" s="342" t="str">
        <f t="shared" ref="C587:C608" si="56">IF($H$4="","",IF(B587&gt;($B$6),"",IF(B587&lt;=($B$6),DATE(YEAR($G$4),MONTH($G$4)+B586,DAY($G$4)),"")))</f>
        <v/>
      </c>
      <c r="D587" s="341" t="str">
        <f t="shared" si="54"/>
        <v/>
      </c>
      <c r="E587" s="328" t="str">
        <f t="shared" ref="E587:E608" si="57">IF($H$4="","",IF($F$4="원리금균등상환",IFERROR(IF(B587&lt;=$D$6,$H586*($E$4/12),-IPMT($E$4/12,B587-$D$6,($B$6-$D$6),$D$4)),""),IF($F$4="원금균등상환",(H586-D587)*$E$4/12,"")))</f>
        <v/>
      </c>
      <c r="F587" s="339" t="str">
        <f t="shared" si="55"/>
        <v/>
      </c>
      <c r="G587" s="328" t="str">
        <f t="shared" ref="G587:G608" si="58">IFERROR(IF(B587&gt;(($D$6+$B$6)*12),"",IF(B587=1,D587,D587+G586)),"")</f>
        <v/>
      </c>
      <c r="H587" s="340" t="str">
        <f t="shared" ref="H587:H608" si="59">IFERROR(IF($H$4="","",H586-D587),"")</f>
        <v/>
      </c>
      <c r="I587" s="57"/>
    </row>
    <row r="588" spans="2:9" ht="20.100000000000001" customHeight="1" x14ac:dyDescent="0.3">
      <c r="B588" s="344">
        <v>580</v>
      </c>
      <c r="C588" s="342" t="str">
        <f t="shared" si="56"/>
        <v/>
      </c>
      <c r="D588" s="341" t="str">
        <f t="shared" si="54"/>
        <v/>
      </c>
      <c r="E588" s="328" t="str">
        <f t="shared" si="57"/>
        <v/>
      </c>
      <c r="F588" s="339" t="str">
        <f t="shared" si="55"/>
        <v/>
      </c>
      <c r="G588" s="328" t="str">
        <f t="shared" si="58"/>
        <v/>
      </c>
      <c r="H588" s="340" t="str">
        <f t="shared" si="59"/>
        <v/>
      </c>
      <c r="I588" s="57"/>
    </row>
    <row r="589" spans="2:9" ht="20.100000000000001" customHeight="1" x14ac:dyDescent="0.3">
      <c r="B589" s="344">
        <v>581</v>
      </c>
      <c r="C589" s="342" t="str">
        <f t="shared" si="56"/>
        <v/>
      </c>
      <c r="D589" s="341" t="str">
        <f t="shared" si="54"/>
        <v/>
      </c>
      <c r="E589" s="328" t="str">
        <f t="shared" si="57"/>
        <v/>
      </c>
      <c r="F589" s="339" t="str">
        <f t="shared" si="55"/>
        <v/>
      </c>
      <c r="G589" s="328" t="str">
        <f t="shared" si="58"/>
        <v/>
      </c>
      <c r="H589" s="340" t="str">
        <f t="shared" si="59"/>
        <v/>
      </c>
      <c r="I589" s="57"/>
    </row>
    <row r="590" spans="2:9" ht="20.100000000000001" customHeight="1" x14ac:dyDescent="0.3">
      <c r="B590" s="344">
        <v>582</v>
      </c>
      <c r="C590" s="342" t="str">
        <f t="shared" si="56"/>
        <v/>
      </c>
      <c r="D590" s="341" t="str">
        <f t="shared" si="54"/>
        <v/>
      </c>
      <c r="E590" s="328" t="str">
        <f t="shared" si="57"/>
        <v/>
      </c>
      <c r="F590" s="339" t="str">
        <f t="shared" si="55"/>
        <v/>
      </c>
      <c r="G590" s="328" t="str">
        <f t="shared" si="58"/>
        <v/>
      </c>
      <c r="H590" s="340" t="str">
        <f t="shared" si="59"/>
        <v/>
      </c>
      <c r="I590" s="57"/>
    </row>
    <row r="591" spans="2:9" ht="20.100000000000001" customHeight="1" x14ac:dyDescent="0.3">
      <c r="B591" s="344">
        <v>583</v>
      </c>
      <c r="C591" s="342" t="str">
        <f t="shared" si="56"/>
        <v/>
      </c>
      <c r="D591" s="341" t="str">
        <f t="shared" si="54"/>
        <v/>
      </c>
      <c r="E591" s="328" t="str">
        <f t="shared" si="57"/>
        <v/>
      </c>
      <c r="F591" s="339" t="str">
        <f t="shared" si="55"/>
        <v/>
      </c>
      <c r="G591" s="328" t="str">
        <f t="shared" si="58"/>
        <v/>
      </c>
      <c r="H591" s="340" t="str">
        <f t="shared" si="59"/>
        <v/>
      </c>
      <c r="I591" s="57"/>
    </row>
    <row r="592" spans="2:9" ht="20.100000000000001" customHeight="1" x14ac:dyDescent="0.3">
      <c r="B592" s="344">
        <v>584</v>
      </c>
      <c r="C592" s="342" t="str">
        <f t="shared" si="56"/>
        <v/>
      </c>
      <c r="D592" s="341" t="str">
        <f t="shared" si="54"/>
        <v/>
      </c>
      <c r="E592" s="328" t="str">
        <f t="shared" si="57"/>
        <v/>
      </c>
      <c r="F592" s="339" t="str">
        <f t="shared" si="55"/>
        <v/>
      </c>
      <c r="G592" s="328" t="str">
        <f t="shared" si="58"/>
        <v/>
      </c>
      <c r="H592" s="340" t="str">
        <f t="shared" si="59"/>
        <v/>
      </c>
      <c r="I592" s="57"/>
    </row>
    <row r="593" spans="2:9" ht="20.100000000000001" customHeight="1" x14ac:dyDescent="0.3">
      <c r="B593" s="344">
        <v>585</v>
      </c>
      <c r="C593" s="342" t="str">
        <f t="shared" si="56"/>
        <v/>
      </c>
      <c r="D593" s="341" t="str">
        <f t="shared" si="54"/>
        <v/>
      </c>
      <c r="E593" s="328" t="str">
        <f t="shared" si="57"/>
        <v/>
      </c>
      <c r="F593" s="339" t="str">
        <f t="shared" si="55"/>
        <v/>
      </c>
      <c r="G593" s="328" t="str">
        <f t="shared" si="58"/>
        <v/>
      </c>
      <c r="H593" s="340" t="str">
        <f t="shared" si="59"/>
        <v/>
      </c>
      <c r="I593" s="57"/>
    </row>
    <row r="594" spans="2:9" ht="20.100000000000001" customHeight="1" x14ac:dyDescent="0.3">
      <c r="B594" s="344">
        <v>586</v>
      </c>
      <c r="C594" s="342" t="str">
        <f t="shared" si="56"/>
        <v/>
      </c>
      <c r="D594" s="341" t="str">
        <f t="shared" si="54"/>
        <v/>
      </c>
      <c r="E594" s="328" t="str">
        <f t="shared" si="57"/>
        <v/>
      </c>
      <c r="F594" s="339" t="str">
        <f t="shared" si="55"/>
        <v/>
      </c>
      <c r="G594" s="328" t="str">
        <f t="shared" si="58"/>
        <v/>
      </c>
      <c r="H594" s="340" t="str">
        <f t="shared" si="59"/>
        <v/>
      </c>
      <c r="I594" s="57"/>
    </row>
    <row r="595" spans="2:9" ht="20.100000000000001" customHeight="1" x14ac:dyDescent="0.3">
      <c r="B595" s="344">
        <v>587</v>
      </c>
      <c r="C595" s="342" t="str">
        <f t="shared" si="56"/>
        <v/>
      </c>
      <c r="D595" s="341" t="str">
        <f t="shared" si="54"/>
        <v/>
      </c>
      <c r="E595" s="328" t="str">
        <f t="shared" si="57"/>
        <v/>
      </c>
      <c r="F595" s="339" t="str">
        <f t="shared" si="55"/>
        <v/>
      </c>
      <c r="G595" s="328" t="str">
        <f t="shared" si="58"/>
        <v/>
      </c>
      <c r="H595" s="340" t="str">
        <f t="shared" si="59"/>
        <v/>
      </c>
      <c r="I595" s="57"/>
    </row>
    <row r="596" spans="2:9" ht="20.100000000000001" customHeight="1" x14ac:dyDescent="0.3">
      <c r="B596" s="344">
        <v>588</v>
      </c>
      <c r="C596" s="342" t="str">
        <f t="shared" si="56"/>
        <v/>
      </c>
      <c r="D596" s="341" t="str">
        <f t="shared" si="54"/>
        <v/>
      </c>
      <c r="E596" s="328" t="str">
        <f t="shared" si="57"/>
        <v/>
      </c>
      <c r="F596" s="339" t="str">
        <f t="shared" si="55"/>
        <v/>
      </c>
      <c r="G596" s="328" t="str">
        <f t="shared" si="58"/>
        <v/>
      </c>
      <c r="H596" s="340" t="str">
        <f t="shared" si="59"/>
        <v/>
      </c>
      <c r="I596" s="57"/>
    </row>
    <row r="597" spans="2:9" ht="20.100000000000001" customHeight="1" x14ac:dyDescent="0.3">
      <c r="B597" s="344">
        <v>589</v>
      </c>
      <c r="C597" s="342" t="str">
        <f t="shared" si="56"/>
        <v/>
      </c>
      <c r="D597" s="341" t="str">
        <f t="shared" si="54"/>
        <v/>
      </c>
      <c r="E597" s="328" t="str">
        <f t="shared" si="57"/>
        <v/>
      </c>
      <c r="F597" s="339" t="str">
        <f t="shared" si="55"/>
        <v/>
      </c>
      <c r="G597" s="328" t="str">
        <f t="shared" si="58"/>
        <v/>
      </c>
      <c r="H597" s="340" t="str">
        <f t="shared" si="59"/>
        <v/>
      </c>
      <c r="I597" s="57"/>
    </row>
    <row r="598" spans="2:9" ht="20.100000000000001" customHeight="1" x14ac:dyDescent="0.3">
      <c r="B598" s="344">
        <v>590</v>
      </c>
      <c r="C598" s="342" t="str">
        <f t="shared" si="56"/>
        <v/>
      </c>
      <c r="D598" s="341" t="str">
        <f t="shared" si="54"/>
        <v/>
      </c>
      <c r="E598" s="328" t="str">
        <f t="shared" si="57"/>
        <v/>
      </c>
      <c r="F598" s="339" t="str">
        <f t="shared" si="55"/>
        <v/>
      </c>
      <c r="G598" s="328" t="str">
        <f t="shared" si="58"/>
        <v/>
      </c>
      <c r="H598" s="340" t="str">
        <f t="shared" si="59"/>
        <v/>
      </c>
      <c r="I598" s="57"/>
    </row>
    <row r="599" spans="2:9" ht="20.100000000000001" customHeight="1" x14ac:dyDescent="0.3">
      <c r="B599" s="344">
        <v>591</v>
      </c>
      <c r="C599" s="342" t="str">
        <f t="shared" si="56"/>
        <v/>
      </c>
      <c r="D599" s="341" t="str">
        <f t="shared" si="54"/>
        <v/>
      </c>
      <c r="E599" s="328" t="str">
        <f t="shared" si="57"/>
        <v/>
      </c>
      <c r="F599" s="339" t="str">
        <f t="shared" si="55"/>
        <v/>
      </c>
      <c r="G599" s="328" t="str">
        <f t="shared" si="58"/>
        <v/>
      </c>
      <c r="H599" s="340" t="str">
        <f t="shared" si="59"/>
        <v/>
      </c>
      <c r="I599" s="57"/>
    </row>
    <row r="600" spans="2:9" ht="20.100000000000001" customHeight="1" x14ac:dyDescent="0.3">
      <c r="B600" s="344">
        <v>592</v>
      </c>
      <c r="C600" s="342" t="str">
        <f t="shared" si="56"/>
        <v/>
      </c>
      <c r="D600" s="341" t="str">
        <f t="shared" si="54"/>
        <v/>
      </c>
      <c r="E600" s="328" t="str">
        <f t="shared" si="57"/>
        <v/>
      </c>
      <c r="F600" s="339" t="str">
        <f t="shared" si="55"/>
        <v/>
      </c>
      <c r="G600" s="328" t="str">
        <f t="shared" si="58"/>
        <v/>
      </c>
      <c r="H600" s="340" t="str">
        <f t="shared" si="59"/>
        <v/>
      </c>
      <c r="I600" s="57"/>
    </row>
    <row r="601" spans="2:9" ht="20.100000000000001" customHeight="1" x14ac:dyDescent="0.3">
      <c r="B601" s="344">
        <v>593</v>
      </c>
      <c r="C601" s="342" t="str">
        <f t="shared" si="56"/>
        <v/>
      </c>
      <c r="D601" s="341" t="str">
        <f t="shared" si="54"/>
        <v/>
      </c>
      <c r="E601" s="328" t="str">
        <f t="shared" si="57"/>
        <v/>
      </c>
      <c r="F601" s="339" t="str">
        <f t="shared" si="55"/>
        <v/>
      </c>
      <c r="G601" s="328" t="str">
        <f t="shared" si="58"/>
        <v/>
      </c>
      <c r="H601" s="340" t="str">
        <f t="shared" si="59"/>
        <v/>
      </c>
      <c r="I601" s="57"/>
    </row>
    <row r="602" spans="2:9" ht="20.100000000000001" customHeight="1" x14ac:dyDescent="0.3">
      <c r="B602" s="344">
        <v>594</v>
      </c>
      <c r="C602" s="342" t="str">
        <f t="shared" si="56"/>
        <v/>
      </c>
      <c r="D602" s="341" t="str">
        <f t="shared" si="54"/>
        <v/>
      </c>
      <c r="E602" s="328" t="str">
        <f t="shared" si="57"/>
        <v/>
      </c>
      <c r="F602" s="339" t="str">
        <f t="shared" si="55"/>
        <v/>
      </c>
      <c r="G602" s="328" t="str">
        <f t="shared" si="58"/>
        <v/>
      </c>
      <c r="H602" s="340" t="str">
        <f t="shared" si="59"/>
        <v/>
      </c>
      <c r="I602" s="57"/>
    </row>
    <row r="603" spans="2:9" ht="20.100000000000001" customHeight="1" x14ac:dyDescent="0.3">
      <c r="B603" s="344">
        <v>595</v>
      </c>
      <c r="C603" s="342" t="str">
        <f t="shared" si="56"/>
        <v/>
      </c>
      <c r="D603" s="341" t="str">
        <f t="shared" si="54"/>
        <v/>
      </c>
      <c r="E603" s="328" t="str">
        <f t="shared" si="57"/>
        <v/>
      </c>
      <c r="F603" s="339" t="str">
        <f t="shared" si="55"/>
        <v/>
      </c>
      <c r="G603" s="328" t="str">
        <f t="shared" si="58"/>
        <v/>
      </c>
      <c r="H603" s="340" t="str">
        <f t="shared" si="59"/>
        <v/>
      </c>
      <c r="I603" s="57"/>
    </row>
    <row r="604" spans="2:9" ht="20.100000000000001" customHeight="1" x14ac:dyDescent="0.3">
      <c r="B604" s="344">
        <v>596</v>
      </c>
      <c r="C604" s="342" t="str">
        <f t="shared" si="56"/>
        <v/>
      </c>
      <c r="D604" s="341" t="str">
        <f t="shared" si="54"/>
        <v/>
      </c>
      <c r="E604" s="328" t="str">
        <f t="shared" si="57"/>
        <v/>
      </c>
      <c r="F604" s="339" t="str">
        <f t="shared" si="55"/>
        <v/>
      </c>
      <c r="G604" s="328" t="str">
        <f t="shared" si="58"/>
        <v/>
      </c>
      <c r="H604" s="340" t="str">
        <f t="shared" si="59"/>
        <v/>
      </c>
      <c r="I604" s="57"/>
    </row>
    <row r="605" spans="2:9" ht="20.100000000000001" customHeight="1" x14ac:dyDescent="0.3">
      <c r="B605" s="344">
        <v>597</v>
      </c>
      <c r="C605" s="342" t="str">
        <f t="shared" si="56"/>
        <v/>
      </c>
      <c r="D605" s="341" t="str">
        <f t="shared" si="54"/>
        <v/>
      </c>
      <c r="E605" s="328" t="str">
        <f t="shared" si="57"/>
        <v/>
      </c>
      <c r="F605" s="339" t="str">
        <f t="shared" si="55"/>
        <v/>
      </c>
      <c r="G605" s="328" t="str">
        <f t="shared" si="58"/>
        <v/>
      </c>
      <c r="H605" s="340" t="str">
        <f t="shared" si="59"/>
        <v/>
      </c>
      <c r="I605" s="57"/>
    </row>
    <row r="606" spans="2:9" ht="20.100000000000001" customHeight="1" x14ac:dyDescent="0.3">
      <c r="B606" s="344">
        <v>598</v>
      </c>
      <c r="C606" s="342" t="str">
        <f t="shared" si="56"/>
        <v/>
      </c>
      <c r="D606" s="341" t="str">
        <f t="shared" si="54"/>
        <v/>
      </c>
      <c r="E606" s="328" t="str">
        <f t="shared" si="57"/>
        <v/>
      </c>
      <c r="F606" s="339" t="str">
        <f t="shared" si="55"/>
        <v/>
      </c>
      <c r="G606" s="328" t="str">
        <f t="shared" si="58"/>
        <v/>
      </c>
      <c r="H606" s="340" t="str">
        <f t="shared" si="59"/>
        <v/>
      </c>
      <c r="I606" s="57"/>
    </row>
    <row r="607" spans="2:9" ht="20.100000000000001" customHeight="1" x14ac:dyDescent="0.3">
      <c r="B607" s="344">
        <v>599</v>
      </c>
      <c r="C607" s="342" t="str">
        <f t="shared" si="56"/>
        <v/>
      </c>
      <c r="D607" s="341" t="str">
        <f t="shared" si="54"/>
        <v/>
      </c>
      <c r="E607" s="328" t="str">
        <f t="shared" si="57"/>
        <v/>
      </c>
      <c r="F607" s="339" t="str">
        <f t="shared" si="55"/>
        <v/>
      </c>
      <c r="G607" s="328" t="str">
        <f t="shared" si="58"/>
        <v/>
      </c>
      <c r="H607" s="340" t="str">
        <f t="shared" si="59"/>
        <v/>
      </c>
      <c r="I607" s="57"/>
    </row>
    <row r="608" spans="2:9" ht="20.100000000000001" customHeight="1" x14ac:dyDescent="0.3">
      <c r="B608" s="344">
        <v>600</v>
      </c>
      <c r="C608" s="342" t="str">
        <f t="shared" si="56"/>
        <v/>
      </c>
      <c r="D608" s="341" t="str">
        <f t="shared" si="54"/>
        <v/>
      </c>
      <c r="E608" s="328" t="str">
        <f t="shared" si="57"/>
        <v/>
      </c>
      <c r="F608" s="339" t="str">
        <f t="shared" si="55"/>
        <v/>
      </c>
      <c r="G608" s="328" t="str">
        <f t="shared" si="58"/>
        <v/>
      </c>
      <c r="H608" s="340" t="str">
        <f t="shared" si="59"/>
        <v/>
      </c>
      <c r="I608" s="57"/>
    </row>
    <row r="609" spans="2:8" x14ac:dyDescent="0.3">
      <c r="B609" s="83"/>
      <c r="C609" s="83"/>
      <c r="D609" s="80"/>
      <c r="E609" s="296"/>
      <c r="F609" s="296"/>
      <c r="G609" s="296"/>
      <c r="H609" s="297"/>
    </row>
    <row r="610" spans="2:8" x14ac:dyDescent="0.3">
      <c r="B610" s="53"/>
      <c r="C610" s="53"/>
      <c r="D610" s="50"/>
      <c r="E610" s="168"/>
      <c r="F610" s="168"/>
      <c r="G610" s="168"/>
      <c r="H610" s="298"/>
    </row>
    <row r="611" spans="2:8" x14ac:dyDescent="0.3">
      <c r="B611" s="53"/>
      <c r="C611" s="53"/>
      <c r="D611" s="50"/>
      <c r="E611" s="168"/>
      <c r="F611" s="168"/>
      <c r="G611" s="168"/>
      <c r="H611" s="298"/>
    </row>
    <row r="612" spans="2:8" x14ac:dyDescent="0.3">
      <c r="B612" s="53"/>
      <c r="C612" s="53"/>
      <c r="D612" s="50"/>
      <c r="E612" s="168"/>
      <c r="F612" s="168"/>
      <c r="G612" s="168"/>
      <c r="H612" s="298"/>
    </row>
    <row r="613" spans="2:8" x14ac:dyDescent="0.3">
      <c r="B613" s="53"/>
      <c r="C613" s="53"/>
      <c r="D613" s="50"/>
      <c r="E613" s="168"/>
      <c r="F613" s="168"/>
      <c r="G613" s="168"/>
      <c r="H613" s="298"/>
    </row>
    <row r="614" spans="2:8" x14ac:dyDescent="0.3">
      <c r="B614" s="53"/>
      <c r="C614" s="53"/>
      <c r="D614" s="50"/>
      <c r="E614" s="168"/>
      <c r="F614" s="168"/>
      <c r="G614" s="168"/>
      <c r="H614" s="298"/>
    </row>
    <row r="615" spans="2:8" x14ac:dyDescent="0.3">
      <c r="B615" s="53"/>
      <c r="C615" s="53"/>
      <c r="D615" s="50"/>
      <c r="E615" s="168"/>
      <c r="F615" s="168"/>
      <c r="G615" s="168"/>
      <c r="H615" s="298"/>
    </row>
    <row r="616" spans="2:8" x14ac:dyDescent="0.3">
      <c r="B616" s="53"/>
      <c r="C616" s="53"/>
      <c r="D616" s="50"/>
      <c r="E616" s="168"/>
      <c r="F616" s="168"/>
      <c r="G616" s="168"/>
      <c r="H616" s="298"/>
    </row>
    <row r="617" spans="2:8" x14ac:dyDescent="0.3">
      <c r="B617" s="53"/>
      <c r="C617" s="53"/>
      <c r="D617" s="50"/>
      <c r="E617" s="168"/>
      <c r="F617" s="168"/>
      <c r="G617" s="168"/>
      <c r="H617" s="298"/>
    </row>
    <row r="618" spans="2:8" x14ac:dyDescent="0.3">
      <c r="B618" s="53"/>
      <c r="C618" s="53"/>
      <c r="D618" s="50"/>
      <c r="E618" s="168"/>
      <c r="F618" s="168"/>
      <c r="G618" s="168"/>
      <c r="H618" s="298"/>
    </row>
    <row r="619" spans="2:8" x14ac:dyDescent="0.3">
      <c r="B619" s="53"/>
      <c r="C619" s="53"/>
      <c r="D619" s="50"/>
      <c r="E619" s="168"/>
      <c r="F619" s="168"/>
      <c r="G619" s="168"/>
      <c r="H619" s="298"/>
    </row>
    <row r="620" spans="2:8" x14ac:dyDescent="0.3">
      <c r="B620" s="53"/>
      <c r="C620" s="53"/>
      <c r="D620" s="50"/>
      <c r="E620" s="168"/>
      <c r="F620" s="168"/>
      <c r="G620" s="168"/>
      <c r="H620" s="298"/>
    </row>
    <row r="621" spans="2:8" x14ac:dyDescent="0.3">
      <c r="B621" s="53"/>
      <c r="C621" s="53"/>
      <c r="D621" s="50"/>
      <c r="E621" s="168"/>
      <c r="F621" s="168"/>
      <c r="G621" s="168"/>
      <c r="H621" s="298"/>
    </row>
    <row r="622" spans="2:8" x14ac:dyDescent="0.3">
      <c r="B622" s="53"/>
      <c r="C622" s="53"/>
      <c r="D622" s="50"/>
      <c r="E622" s="168"/>
      <c r="F622" s="168"/>
      <c r="G622" s="168"/>
      <c r="H622" s="298"/>
    </row>
    <row r="623" spans="2:8" x14ac:dyDescent="0.3">
      <c r="B623" s="53"/>
      <c r="C623" s="53"/>
      <c r="D623" s="50"/>
      <c r="E623" s="168"/>
      <c r="F623" s="168"/>
      <c r="G623" s="168"/>
      <c r="H623" s="298"/>
    </row>
    <row r="624" spans="2:8" x14ac:dyDescent="0.3">
      <c r="B624" s="53"/>
      <c r="C624" s="53"/>
      <c r="D624" s="50"/>
      <c r="E624" s="168"/>
      <c r="F624" s="168"/>
      <c r="G624" s="168"/>
      <c r="H624" s="298"/>
    </row>
    <row r="625" spans="2:8" x14ac:dyDescent="0.3">
      <c r="B625" s="53"/>
      <c r="C625" s="53"/>
      <c r="D625" s="50"/>
      <c r="E625" s="168"/>
      <c r="F625" s="168"/>
      <c r="G625" s="168"/>
      <c r="H625" s="298"/>
    </row>
    <row r="626" spans="2:8" x14ac:dyDescent="0.3">
      <c r="B626" s="53"/>
      <c r="C626" s="53"/>
      <c r="D626" s="50"/>
      <c r="E626" s="168"/>
      <c r="F626" s="168"/>
      <c r="G626" s="168"/>
      <c r="H626" s="298"/>
    </row>
    <row r="627" spans="2:8" x14ac:dyDescent="0.3">
      <c r="B627" s="53"/>
      <c r="C627" s="53"/>
      <c r="D627" s="50"/>
      <c r="E627" s="168"/>
      <c r="F627" s="168"/>
      <c r="G627" s="168"/>
      <c r="H627" s="298"/>
    </row>
    <row r="628" spans="2:8" x14ac:dyDescent="0.3">
      <c r="B628" s="53"/>
      <c r="C628" s="53"/>
      <c r="D628" s="50"/>
      <c r="E628" s="168"/>
      <c r="F628" s="168"/>
      <c r="G628" s="168"/>
      <c r="H628" s="298"/>
    </row>
    <row r="629" spans="2:8" x14ac:dyDescent="0.3">
      <c r="B629" s="53"/>
      <c r="C629" s="53"/>
      <c r="D629" s="50"/>
      <c r="E629" s="168"/>
      <c r="F629" s="168"/>
      <c r="G629" s="168"/>
      <c r="H629" s="298"/>
    </row>
    <row r="630" spans="2:8" x14ac:dyDescent="0.3">
      <c r="B630" s="53"/>
      <c r="C630" s="53"/>
      <c r="D630" s="50"/>
      <c r="E630" s="168"/>
      <c r="F630" s="168"/>
      <c r="G630" s="168"/>
      <c r="H630" s="298"/>
    </row>
    <row r="631" spans="2:8" x14ac:dyDescent="0.3">
      <c r="B631" s="53"/>
      <c r="C631" s="53"/>
      <c r="D631" s="50"/>
      <c r="E631" s="168"/>
      <c r="F631" s="168"/>
      <c r="G631" s="168"/>
      <c r="H631" s="298"/>
    </row>
  </sheetData>
  <mergeCells count="7">
    <mergeCell ref="Z63:AA63"/>
    <mergeCell ref="B1:H1"/>
    <mergeCell ref="K63:L63"/>
    <mergeCell ref="N63:O63"/>
    <mergeCell ref="Q63:R63"/>
    <mergeCell ref="T63:U63"/>
    <mergeCell ref="W63:X63"/>
  </mergeCells>
  <phoneticPr fontId="3" type="noConversion"/>
  <dataValidations count="2">
    <dataValidation type="list" allowBlank="1" showInputMessage="1" showErrorMessage="1" sqref="F4" xr:uid="{13389644-F04F-414C-B43C-3D0819449DA3}">
      <formula1>"원리금균등상환, 원금균등상환"</formula1>
    </dataValidation>
    <dataValidation allowBlank="1" showInputMessage="1" showErrorMessage="1" prompt="년-월-일 형식으로 입력" sqref="G4:H4" xr:uid="{858C4ECA-F59A-4C4B-A95B-AA2BC8799251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6" orientation="portrait" r:id="rId1"/>
  <rowBreaks count="16" manualBreakCount="16">
    <brk id="32" max="8" man="1"/>
    <brk id="68" max="8" man="1"/>
    <brk id="104" max="8" man="1"/>
    <brk id="140" max="8" man="1"/>
    <brk id="176" max="8" man="1"/>
    <brk id="212" max="8" man="1"/>
    <brk id="248" max="8" man="1"/>
    <brk id="284" max="8" man="1"/>
    <brk id="320" max="8" man="1"/>
    <brk id="356" max="8" man="1"/>
    <brk id="392" max="8" man="1"/>
    <brk id="428" max="8" man="1"/>
    <brk id="464" max="8" man="1"/>
    <brk id="500" max="8" man="1"/>
    <brk id="536" max="8" man="1"/>
    <brk id="572" max="8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79B431-4F19-43FB-AA93-6B188FCE2B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23</vt:i4>
      </vt:variant>
    </vt:vector>
  </HeadingPairs>
  <TitlesOfParts>
    <vt:vector size="53" baseType="lpstr">
      <vt:lpstr>사용안내</vt:lpstr>
      <vt:lpstr>메인</vt:lpstr>
      <vt:lpstr>항목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  <vt:lpstr>예산</vt:lpstr>
      <vt:lpstr>결산</vt:lpstr>
      <vt:lpstr>연간_항목별수입</vt:lpstr>
      <vt:lpstr>연간_카드별지출</vt:lpstr>
      <vt:lpstr>연간_항목별지출</vt:lpstr>
      <vt:lpstr>연간_세부항목별지출</vt:lpstr>
      <vt:lpstr>자산현황</vt:lpstr>
      <vt:lpstr>계좌현황</vt:lpstr>
      <vt:lpstr>비상금관리</vt:lpstr>
      <vt:lpstr>예금관리</vt:lpstr>
      <vt:lpstr>적금관리</vt:lpstr>
      <vt:lpstr>부채관리</vt:lpstr>
      <vt:lpstr>대출1</vt:lpstr>
      <vt:lpstr>대출2</vt:lpstr>
      <vt:lpstr>대출3</vt:lpstr>
      <vt:lpstr>'2월'!Print_Area</vt:lpstr>
      <vt:lpstr>'6월'!Print_Area</vt:lpstr>
      <vt:lpstr>'8월'!Print_Area</vt:lpstr>
      <vt:lpstr>결산!Print_Area</vt:lpstr>
      <vt:lpstr>계좌현황!Print_Area</vt:lpstr>
      <vt:lpstr>대출1!Print_Area</vt:lpstr>
      <vt:lpstr>대출2!Print_Area</vt:lpstr>
      <vt:lpstr>대출3!Print_Area</vt:lpstr>
      <vt:lpstr>메인!Print_Area</vt:lpstr>
      <vt:lpstr>부채관리!Print_Area</vt:lpstr>
      <vt:lpstr>비상금관리!Print_Area</vt:lpstr>
      <vt:lpstr>사용안내!Print_Area</vt:lpstr>
      <vt:lpstr>연간_세부항목별지출!Print_Area</vt:lpstr>
      <vt:lpstr>연간_카드별지출!Print_Area</vt:lpstr>
      <vt:lpstr>연간_항목별수입!Print_Area</vt:lpstr>
      <vt:lpstr>연간_항목별지출!Print_Area</vt:lpstr>
      <vt:lpstr>예금관리!Print_Area</vt:lpstr>
      <vt:lpstr>예산!Print_Area</vt:lpstr>
      <vt:lpstr>자산현황!Print_Area</vt:lpstr>
      <vt:lpstr>적금관리!Print_Area</vt:lpstr>
      <vt:lpstr>항목!Print_Area</vt:lpstr>
      <vt:lpstr>대분류</vt:lpstr>
      <vt:lpstr>소분류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JANG</dc:creator>
  <cp:lastModifiedBy>Mki J</cp:lastModifiedBy>
  <cp:lastPrinted>2020-02-23T07:23:00Z</cp:lastPrinted>
  <dcterms:created xsi:type="dcterms:W3CDTF">2017-12-01T12:00:52Z</dcterms:created>
  <dcterms:modified xsi:type="dcterms:W3CDTF">2023-01-15T23:12:52Z</dcterms:modified>
</cp:coreProperties>
</file>