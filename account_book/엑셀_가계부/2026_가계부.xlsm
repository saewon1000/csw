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4.xml" ContentType="application/vnd.openxmlformats-officedocument.drawing+xml"/>
  <Override PartName="/xl/activeX/activeX3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6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7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8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9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0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1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2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3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csw\account_book\"/>
    </mc:Choice>
  </mc:AlternateContent>
  <xr:revisionPtr revIDLastSave="0" documentId="13_ncr:1_{37FBB7FA-2FD9-4BB2-A358-1FFC3904863D}" xr6:coauthVersionLast="47" xr6:coauthVersionMax="47" xr10:uidLastSave="{00000000-0000-0000-0000-000000000000}"/>
  <bookViews>
    <workbookView xWindow="-120" yWindow="-120" windowWidth="29040" windowHeight="15720" activeTab="10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손익계산서" sheetId="21" r:id="rId5"/>
    <sheet name="설정" sheetId="8" r:id="rId6"/>
    <sheet name="1월" sheetId="9" r:id="rId7"/>
    <sheet name="2월" sheetId="10" r:id="rId8"/>
    <sheet name="3월" sheetId="11" r:id="rId9"/>
    <sheet name="4월" sheetId="12" r:id="rId10"/>
    <sheet name="5월" sheetId="13" r:id="rId11"/>
    <sheet name="6월" sheetId="14" r:id="rId12"/>
    <sheet name="7월" sheetId="15" r:id="rId13"/>
    <sheet name="8월" sheetId="16" r:id="rId14"/>
    <sheet name="9월" sheetId="17" r:id="rId15"/>
    <sheet name="10월" sheetId="18" r:id="rId16"/>
    <sheet name="11월" sheetId="19" r:id="rId17"/>
    <sheet name="12월" sheetId="20" r:id="rId18"/>
  </sheets>
  <functionGroups builtInGroupCount="19"/>
  <definedNames>
    <definedName name="_xlnm._FilterDatabase" localSheetId="7" hidden="1">'2월'!$G$6:$Y$44</definedName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3" i="8" l="1"/>
  <c r="Q4" i="12" l="1"/>
  <c r="G4" i="12"/>
  <c r="Q4" i="11"/>
  <c r="G4" i="11"/>
  <c r="B24" i="21"/>
  <c r="B23" i="21"/>
  <c r="C55" i="20"/>
  <c r="C54" i="20"/>
  <c r="C53" i="20"/>
  <c r="C52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55" i="19"/>
  <c r="C54" i="19"/>
  <c r="C53" i="19"/>
  <c r="C52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55" i="18"/>
  <c r="C54" i="18"/>
  <c r="C53" i="18"/>
  <c r="C52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55" i="17"/>
  <c r="C54" i="17"/>
  <c r="C53" i="17"/>
  <c r="C52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55" i="16"/>
  <c r="C54" i="16"/>
  <c r="C53" i="16"/>
  <c r="C52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55" i="15"/>
  <c r="C54" i="15"/>
  <c r="C53" i="15"/>
  <c r="C52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55" i="14"/>
  <c r="C54" i="14"/>
  <c r="C53" i="14"/>
  <c r="C52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55" i="13"/>
  <c r="C54" i="13"/>
  <c r="C53" i="13"/>
  <c r="C52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55" i="12"/>
  <c r="C54" i="12"/>
  <c r="C53" i="12"/>
  <c r="C52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55" i="11"/>
  <c r="C54" i="11"/>
  <c r="C53" i="11"/>
  <c r="C52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55" i="10"/>
  <c r="C54" i="10"/>
  <c r="C53" i="10"/>
  <c r="C52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55" i="9"/>
  <c r="C54" i="9"/>
  <c r="C53" i="9"/>
  <c r="C52" i="9"/>
  <c r="W6" i="21" a="1"/>
  <c r="X6" i="21" a="1"/>
  <c r="AC8" i="3" l="1"/>
  <c r="AC11" i="3"/>
  <c r="X6" i="21"/>
  <c r="X26" i="21" s="1"/>
  <c r="W6" i="21"/>
  <c r="Z6" i="21" a="1"/>
  <c r="Z6" i="21" l="1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AB11" i="21" s="1"/>
  <c r="C31" i="9"/>
  <c r="AB10" i="21" s="1"/>
  <c r="C30" i="9"/>
  <c r="AB9" i="21" s="1"/>
  <c r="C29" i="9"/>
  <c r="AB8" i="21" s="1"/>
  <c r="C28" i="9"/>
  <c r="C27" i="9"/>
  <c r="AB6" i="3" s="1"/>
  <c r="AC6" i="3" s="1"/>
  <c r="AC2" i="21"/>
  <c r="AA6" i="21" a="1"/>
  <c r="AB12" i="21" l="1"/>
  <c r="AC12" i="21" s="1"/>
  <c r="AB12" i="3"/>
  <c r="AC12" i="3" s="1"/>
  <c r="AB13" i="21"/>
  <c r="AC13" i="21" s="1"/>
  <c r="AB13" i="3"/>
  <c r="AC13" i="3" s="1"/>
  <c r="AB14" i="21"/>
  <c r="AC14" i="21" s="1"/>
  <c r="AB14" i="3"/>
  <c r="AC14" i="3" s="1"/>
  <c r="AB15" i="21"/>
  <c r="AC15" i="21" s="1"/>
  <c r="AB15" i="3"/>
  <c r="AC15" i="3" s="1"/>
  <c r="AB16" i="21"/>
  <c r="AC16" i="21" s="1"/>
  <c r="AB16" i="3"/>
  <c r="AC16" i="3" s="1"/>
  <c r="AB17" i="21"/>
  <c r="AC17" i="21" s="1"/>
  <c r="AB17" i="3"/>
  <c r="AC17" i="3" s="1"/>
  <c r="AB18" i="21"/>
  <c r="AC18" i="21" s="1"/>
  <c r="AB18" i="3"/>
  <c r="AC18" i="3" s="1"/>
  <c r="AB7" i="21"/>
  <c r="AC7" i="21" s="1"/>
  <c r="AB7" i="3"/>
  <c r="AC7" i="3" s="1"/>
  <c r="AB19" i="21"/>
  <c r="AC19" i="21" s="1"/>
  <c r="AB19" i="3"/>
  <c r="AC19" i="3" s="1"/>
  <c r="AB20" i="21"/>
  <c r="AC20" i="21" s="1"/>
  <c r="AB20" i="3"/>
  <c r="AC20" i="3" s="1"/>
  <c r="AB21" i="21"/>
  <c r="AC21" i="21" s="1"/>
  <c r="AB21" i="3"/>
  <c r="AC21" i="3" s="1"/>
  <c r="AB22" i="21"/>
  <c r="AC22" i="21" s="1"/>
  <c r="AB22" i="3"/>
  <c r="AC22" i="3" s="1"/>
  <c r="AB23" i="21"/>
  <c r="AC23" i="21" s="1"/>
  <c r="AB23" i="3"/>
  <c r="AC23" i="3" s="1"/>
  <c r="AB24" i="21"/>
  <c r="AC24" i="21" s="1"/>
  <c r="AB24" i="3"/>
  <c r="AC24" i="3" s="1"/>
  <c r="AB25" i="21"/>
  <c r="AC25" i="21" s="1"/>
  <c r="AB25" i="3"/>
  <c r="AC25" i="3" s="1"/>
  <c r="AC8" i="21"/>
  <c r="AC9" i="21"/>
  <c r="AC10" i="21"/>
  <c r="AC11" i="21"/>
  <c r="AA6" i="21"/>
  <c r="AB6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C48" i="20" s="1"/>
  <c r="I89" i="20"/>
  <c r="C57" i="20" s="1"/>
  <c r="O89" i="19"/>
  <c r="L89" i="19"/>
  <c r="C48" i="19" s="1"/>
  <c r="I89" i="19"/>
  <c r="O89" i="18"/>
  <c r="L89" i="18"/>
  <c r="I89" i="18"/>
  <c r="O89" i="17"/>
  <c r="L89" i="17"/>
  <c r="I89" i="17"/>
  <c r="O89" i="15"/>
  <c r="L89" i="15"/>
  <c r="I89" i="15"/>
  <c r="C57" i="15" s="1"/>
  <c r="O89" i="13"/>
  <c r="L89" i="13"/>
  <c r="I89" i="13"/>
  <c r="O89" i="12"/>
  <c r="L89" i="12"/>
  <c r="C48" i="12" s="1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0"/>
  <c r="G4" i="10"/>
  <c r="B47" i="8"/>
  <c r="B11" i="8"/>
  <c r="C23" i="21" a="1"/>
  <c r="C24" i="21" a="1"/>
  <c r="C57" i="19" l="1"/>
  <c r="C48" i="18"/>
  <c r="C57" i="18"/>
  <c r="C48" i="15"/>
  <c r="C48" i="14"/>
  <c r="C48" i="13"/>
  <c r="C57" i="13"/>
  <c r="C57" i="12"/>
  <c r="C57" i="11"/>
  <c r="C48" i="11"/>
  <c r="L17" i="21"/>
  <c r="AC6" i="21"/>
  <c r="C48" i="17"/>
  <c r="C57" i="17"/>
  <c r="C48" i="16"/>
  <c r="C57" i="16"/>
  <c r="C57" i="14"/>
  <c r="C57" i="10"/>
  <c r="C48" i="10"/>
  <c r="L7" i="21"/>
  <c r="L11" i="21"/>
  <c r="AA26" i="21"/>
  <c r="L9" i="21"/>
  <c r="L13" i="21"/>
  <c r="L15" i="21"/>
  <c r="C57" i="9"/>
  <c r="C24" i="21"/>
  <c r="D24" i="21"/>
  <c r="C23" i="21"/>
  <c r="C48" i="9"/>
  <c r="D23" i="21"/>
  <c r="N15" i="21"/>
  <c r="N17" i="21"/>
  <c r="N11" i="21"/>
  <c r="N13" i="21"/>
  <c r="N7" i="21"/>
  <c r="N9" i="21"/>
  <c r="M15" i="21"/>
  <c r="M17" i="21"/>
  <c r="M11" i="21"/>
  <c r="M13" i="21"/>
  <c r="M7" i="21"/>
  <c r="M9" i="21"/>
  <c r="S90" i="20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O13" i="21" l="1"/>
  <c r="T15" i="21"/>
  <c r="T17" i="21"/>
  <c r="T11" i="21"/>
  <c r="T13" i="21"/>
  <c r="R17" i="21"/>
  <c r="T9" i="21"/>
  <c r="S17" i="21"/>
  <c r="S15" i="21"/>
  <c r="S13" i="21"/>
  <c r="S11" i="21"/>
  <c r="S9" i="21"/>
  <c r="R15" i="21"/>
  <c r="R11" i="21"/>
  <c r="R13" i="21"/>
  <c r="S7" i="21"/>
  <c r="R9" i="21"/>
  <c r="O9" i="21"/>
  <c r="O7" i="21"/>
  <c r="R7" i="21"/>
  <c r="T7" i="21"/>
  <c r="O15" i="21"/>
  <c r="O17" i="21"/>
  <c r="O11" i="21"/>
  <c r="C5" i="19"/>
  <c r="C5" i="15"/>
  <c r="C7" i="15" s="1"/>
  <c r="C5" i="14"/>
  <c r="C5" i="10"/>
  <c r="C5" i="20"/>
  <c r="C5" i="18"/>
  <c r="C5" i="17"/>
  <c r="C5" i="16"/>
  <c r="C5" i="13"/>
  <c r="C5" i="12"/>
  <c r="C5" i="11"/>
  <c r="C5" i="9"/>
  <c r="C7" i="20" l="1"/>
  <c r="X16" i="3"/>
  <c r="C7" i="19"/>
  <c r="V16" i="3"/>
  <c r="C6" i="18"/>
  <c r="T16" i="3"/>
  <c r="C7" i="17"/>
  <c r="R16" i="3"/>
  <c r="C7" i="16"/>
  <c r="P16" i="3"/>
  <c r="C6" i="15"/>
  <c r="N16" i="3"/>
  <c r="C7" i="9"/>
  <c r="B16" i="3"/>
  <c r="C7" i="10"/>
  <c r="D16" i="3"/>
  <c r="C7" i="14"/>
  <c r="L16" i="3"/>
  <c r="C6" i="14"/>
  <c r="C7" i="13"/>
  <c r="J16" i="3"/>
  <c r="C6" i="12"/>
  <c r="H16" i="3"/>
  <c r="C7" i="11"/>
  <c r="F16" i="3"/>
  <c r="U17" i="21"/>
  <c r="U11" i="21"/>
  <c r="U13" i="21"/>
  <c r="U15" i="21"/>
  <c r="U9" i="21"/>
  <c r="U7" i="21"/>
  <c r="C6" i="20"/>
  <c r="C6" i="19"/>
  <c r="C7" i="18"/>
  <c r="C6" i="17"/>
  <c r="C6" i="16"/>
  <c r="C6" i="13"/>
  <c r="C7" i="12"/>
  <c r="C6" i="11"/>
  <c r="C6" i="10"/>
  <c r="C6" i="9"/>
  <c r="Q4" i="9"/>
  <c r="G4" i="9"/>
  <c r="X83" i="8" l="1"/>
  <c r="W10" i="3" s="1"/>
  <c r="V83" i="8"/>
  <c r="U10" i="3" s="1"/>
  <c r="S10" i="3"/>
  <c r="R83" i="8"/>
  <c r="Q10" i="3" s="1"/>
  <c r="P83" i="8"/>
  <c r="O10" i="3" s="1"/>
  <c r="N83" i="8"/>
  <c r="M10" i="3" s="1"/>
  <c r="L83" i="8"/>
  <c r="K10" i="3" s="1"/>
  <c r="J83" i="8"/>
  <c r="I10" i="3" s="1"/>
  <c r="H83" i="8"/>
  <c r="G10" i="3" s="1"/>
  <c r="F83" i="8"/>
  <c r="E10" i="3" s="1"/>
  <c r="D83" i="8"/>
  <c r="C10" i="3" s="1"/>
  <c r="AC19" i="8"/>
  <c r="AB10" i="3" s="1"/>
  <c r="AA19" i="8"/>
  <c r="Z10" i="3" s="1"/>
  <c r="S11" i="3" l="1"/>
  <c r="Z11" i="3"/>
  <c r="C5" i="3" s="1"/>
  <c r="C11" i="3"/>
  <c r="T84" i="8"/>
  <c r="AA20" i="8"/>
  <c r="D84" i="8"/>
  <c r="C12" i="3" l="1"/>
  <c r="C4" i="3" s="1"/>
  <c r="D8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<sst xmlns="http://schemas.openxmlformats.org/spreadsheetml/2006/main" count="2172" uniqueCount="374">
  <si>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</si>
  <si>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</si>
  <si>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</si>
  <si>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</si>
  <si>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</si>
  <si>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</si>
  <si>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</si>
  <si>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</si>
  <si>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</si>
  <si>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</si>
  <si>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</si>
  <si>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</si>
  <si>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</si>
  <si>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</si>
  <si>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</si>
  <si>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</si>
  <si>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</si>
  <si>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</si>
  <si>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</si>
  <si>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</si>
  <si>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</si>
  <si>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</si>
  <si>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</si>
  <si>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</si>
  <si>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</si>
  <si>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</si>
  <si>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</si>
  <si>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</si>
  <si>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</si>
  <si>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</si>
  <si>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</si>
  <si>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</si>
  <si>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</si>
  <si>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</si>
  <si>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</si>
  <si>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</si>
  <si>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</si>
  <si>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</si>
  <si>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</si>
  <si>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위탁</t>
  </si>
  <si>
    <t>종합매매</t>
  </si>
  <si>
    <t>종합위탁</t>
  </si>
  <si>
    <t>집합투자증권</t>
  </si>
  <si>
    <t>KB마이핏통장</t>
  </si>
  <si>
    <t>MY 입출금통장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</si>
  <si>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</si>
  <si>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</si>
  <si>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</si>
  <si>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</si>
  <si>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</si>
  <si>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</si>
  <si>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</si>
  <si>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</si>
  <si>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</si>
  <si>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</si>
  <si>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</si>
  <si>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</si>
  <si>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</si>
  <si>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</si>
  <si>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</si>
  <si>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</si>
  <si>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</si>
  <si>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엔비디아</t>
  </si>
  <si>
    <t>종합계좌</t>
  </si>
  <si>
    <t>단계별로더받는암보험1404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</si>
  <si>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</si>
  <si>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</si>
  <si>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</si>
  <si>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</si>
  <si>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</si>
  <si>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</si>
  <si>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</si>
  <si>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</si>
  <si>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</si>
  <si>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</si>
  <si>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</si>
  <si>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</si>
  <si>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</si>
  <si>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</si>
  <si>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</si>
  <si>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</si>
  <si>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</si>
  <si>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</si>
  <si>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</si>
  <si>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</si>
  <si>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</si>
  <si>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</si>
  <si>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저축</t>
  </si>
  <si>
    <t>금융</t>
  </si>
  <si>
    <t>생활</t>
  </si>
  <si>
    <t>문화/여가</t>
  </si>
  <si>
    <t>주거/통신</t>
  </si>
  <si>
    <t>자동차</t>
  </si>
  <si>
    <t>식비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</si>
  <si>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</si>
  <si>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</si>
  <si>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</si>
  <si>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</si>
  <si>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</si>
  <si>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</si>
  <si>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</si>
  <si>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</si>
  <si>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</si>
  <si>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</si>
  <si>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</si>
  <si>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</si>
  <si>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</si>
  <si>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</si>
  <si>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</si>
  <si>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</si>
  <si>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미분류</t>
  </si>
  <si>
    <t>투자</t>
  </si>
  <si>
    <t>패션/쇼핑</t>
  </si>
  <si>
    <t>여행/숙박</t>
  </si>
  <si>
    <t>교육</t>
  </si>
  <si>
    <t>경조사</t>
  </si>
  <si>
    <t>교육/학습</t>
  </si>
  <si>
    <t>네이버페이충전</t>
  </si>
  <si>
    <t>노브랜드버거 세</t>
  </si>
  <si>
    <t>하유진_IRP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</si>
  <si>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</si>
  <si>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</si>
  <si>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</si>
  <si>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</si>
  <si>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</si>
  <si>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지출 비용</t>
    <phoneticPr fontId="1" type="noConversion"/>
  </si>
  <si>
    <t>분류별 분석</t>
    <phoneticPr fontId="1" type="noConversion"/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</si>
  <si>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</si>
  <si>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</si>
  <si>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</si>
  <si>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</si>
  <si>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</si>
  <si>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</si>
  <si>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</si>
  <si>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</si>
  <si>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</si>
  <si>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</si>
  <si>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</si>
  <si>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</si>
  <si>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</si>
  <si>
    <t>비교</t>
    <phoneticPr fontId="1" type="noConversion"/>
  </si>
  <si>
    <t>평균 대비 지출 비용 상위</t>
    <phoneticPr fontId="1" type="noConversion"/>
  </si>
  <si>
    <t>Financial Statements</t>
    <phoneticPr fontId="1" type="noConversion"/>
  </si>
  <si>
    <t>자산 :</t>
    <phoneticPr fontId="1" type="noConversion"/>
  </si>
  <si>
    <t>부채 :</t>
    <phoneticPr fontId="1" type="noConversion"/>
  </si>
  <si>
    <t>현금 흐름 현황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</si>
  <si>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</si>
  <si>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</si>
  <si>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</si>
  <si>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</si>
  <si>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</si>
  <si>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</si>
  <si>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</si>
  <si>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</si>
  <si>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</si>
  <si>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</si>
  <si>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</si>
  <si>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</si>
  <si>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애플</t>
  </si>
  <si>
    <t>국민은행LiivM</t>
  </si>
  <si>
    <t>급여</t>
  </si>
  <si>
    <t>급여 콘티넨탈</t>
  </si>
  <si>
    <t>상여 콘티넨탈</t>
  </si>
  <si>
    <t>내계좌이체</t>
  </si>
  <si>
    <t>삼성천세원</t>
  </si>
  <si>
    <t>이자</t>
  </si>
  <si>
    <t>트래블월렛</t>
  </si>
  <si>
    <t>우리카드결제대금</t>
  </si>
  <si>
    <t>메리츠001건</t>
  </si>
  <si>
    <t>2회-천세원</t>
  </si>
  <si>
    <t>입금 내역</t>
  </si>
  <si>
    <t>퇴직연금-천세원</t>
  </si>
  <si>
    <t>하유진</t>
  </si>
  <si>
    <t>용돈</t>
  </si>
  <si>
    <t>(주)아워홈 콘티넨탈 세종점</t>
  </si>
  <si>
    <t>메리츠천세원</t>
  </si>
  <si>
    <t>3회-천세원</t>
  </si>
  <si>
    <t>신*수</t>
  </si>
  <si>
    <t>정*영</t>
  </si>
  <si>
    <t>Invesco QQQ Trust ETF</t>
  </si>
  <si>
    <t>테슬라</t>
  </si>
  <si>
    <t>퓨어 스토리지</t>
  </si>
  <si>
    <t>존슨앤드존슨</t>
  </si>
  <si>
    <t>KB 특★한 적금</t>
  </si>
  <si>
    <t>네이버페이 머니 - epik****</t>
  </si>
  <si>
    <t>네이버페이 머니 - huj1****</t>
  </si>
  <si>
    <t>메리츠다이렉트(인터넷)개인용자동차보험</t>
  </si>
  <si>
    <t>콘티넨탈오토모티브일렉트로닉스 유한책임회사</t>
  </si>
  <si>
    <t>(주)우아한형제들</t>
  </si>
  <si>
    <t>충전 내역</t>
  </si>
  <si>
    <t>한국철도공사</t>
  </si>
  <si>
    <t>세종권약국</t>
  </si>
  <si>
    <t>참치정육점 세종점</t>
  </si>
  <si>
    <t>복도리 협동조합</t>
  </si>
  <si>
    <t>여민전</t>
  </si>
  <si>
    <t>하*진</t>
  </si>
  <si>
    <t>예금결산이자</t>
  </si>
  <si>
    <t>SKB6522025232</t>
  </si>
  <si>
    <t>삼성히어링</t>
  </si>
  <si>
    <t>복도리카페</t>
  </si>
  <si>
    <t>출금 내역</t>
  </si>
  <si>
    <t>곽*경</t>
  </si>
  <si>
    <t>천*원</t>
  </si>
  <si>
    <t>행복주유소</t>
  </si>
  <si>
    <t>국민하유진_생활비</t>
  </si>
  <si>
    <t>엔에이치엔케이씨피 주식회사</t>
  </si>
  <si>
    <t>복도리 카페</t>
  </si>
  <si>
    <t>온누리충전</t>
  </si>
  <si>
    <t>마이리얼트립</t>
  </si>
  <si>
    <t>카카오페이</t>
  </si>
  <si>
    <t>티머니GO</t>
  </si>
  <si>
    <t>김경희</t>
  </si>
  <si>
    <t>여민전__체크</t>
  </si>
  <si>
    <t>NHNKCP</t>
  </si>
  <si>
    <t>우리카드캐시백</t>
  </si>
  <si>
    <t>쿠팡(쿠페이)</t>
  </si>
  <si>
    <t>세종이안과의원</t>
  </si>
  <si>
    <t>새롬정약국</t>
  </si>
  <si>
    <t>기타수입</t>
  </si>
  <si>
    <t>메타</t>
  </si>
  <si>
    <t>JPMorgan S&amp;P 500 커버드콜 월배당 ETF</t>
  </si>
  <si>
    <t>하이트진로</t>
  </si>
  <si>
    <t>Schwab 미국 배당주 ETF</t>
  </si>
  <si>
    <t>리비안</t>
  </si>
  <si>
    <t>카카오</t>
  </si>
  <si>
    <t>LG디스플레이</t>
  </si>
  <si>
    <t>현대로템</t>
  </si>
  <si>
    <t>삼성전자</t>
  </si>
  <si>
    <t>현대글로비스</t>
  </si>
  <si>
    <t>젬백스</t>
  </si>
  <si>
    <t>SK이노베이션</t>
  </si>
  <si>
    <t>현대차</t>
  </si>
  <si>
    <t>대한항공</t>
  </si>
  <si>
    <t>이노션</t>
  </si>
  <si>
    <t>HMM</t>
  </si>
  <si>
    <t>대덕</t>
  </si>
  <si>
    <t>TIGER 미국배당다우존스</t>
  </si>
  <si>
    <t>TIGER 미국나스닥100</t>
  </si>
  <si>
    <t>우리금융지주</t>
  </si>
  <si>
    <t>포스코DX</t>
  </si>
  <si>
    <t>ISA(중개형)</t>
  </si>
  <si>
    <t>MYW통장(미지정)</t>
  </si>
  <si>
    <t>QV종합매매</t>
  </si>
  <si>
    <t>위탁종합</t>
  </si>
  <si>
    <t>D:\git\csw\account_book\지출내역\세원_2025-07-10~2026-07-10.xlsx</t>
    <phoneticPr fontId="1" type="noConversion"/>
  </si>
  <si>
    <t>CM개인용</t>
  </si>
  <si>
    <t>넷플릭스</t>
  </si>
  <si>
    <t>SPDR Gold MiniShares ETF</t>
  </si>
  <si>
    <t>포티넷</t>
  </si>
  <si>
    <t>크라우드 스트라이크 홀딩스</t>
  </si>
  <si>
    <t>코카콜라</t>
  </si>
  <si>
    <t>기본계좌</t>
  </si>
  <si>
    <t>메가엠지씨커피 제주하귀농협하나로점</t>
  </si>
  <si>
    <t>한림수산업협동조</t>
  </si>
  <si>
    <t>GS25다인리조</t>
  </si>
  <si>
    <t>카카오T택시_가승인</t>
  </si>
  <si>
    <t>카카오T일반택시(법인)_3</t>
  </si>
  <si>
    <t>청미관</t>
  </si>
  <si>
    <t>카카오T일반택시_0</t>
  </si>
  <si>
    <t>교통-버스1건</t>
  </si>
  <si>
    <t>땡겨요(여민전)_신한은행</t>
  </si>
  <si>
    <t>새봄헤어</t>
  </si>
  <si>
    <t>4186 신한카드</t>
  </si>
  <si>
    <t>화진화장품</t>
  </si>
  <si>
    <t>원조강경토굴젓갈</t>
  </si>
  <si>
    <t>감푸디 일화당</t>
  </si>
  <si>
    <t>대보유통(주)화성(상)주유소</t>
  </si>
  <si>
    <t>카카오787</t>
  </si>
  <si>
    <t>카카오125</t>
  </si>
  <si>
    <t>카카오889</t>
  </si>
  <si>
    <t>농협이맹순</t>
  </si>
  <si>
    <t>우리카드선결제</t>
  </si>
  <si>
    <t>땡겨요(구)_신한은행</t>
  </si>
  <si>
    <t>한국교통안전공단 세종자동차검사소</t>
  </si>
  <si>
    <t>DB손13408</t>
  </si>
  <si>
    <t>서울세외천세원</t>
  </si>
  <si>
    <t>트래블월렛환불</t>
  </si>
  <si>
    <t>TW567</t>
  </si>
  <si>
    <t>9회-천세원</t>
  </si>
  <si>
    <t>신한카드캐시백</t>
  </si>
  <si>
    <t>천세원청약89</t>
  </si>
  <si>
    <t>80350300100418  , 7회차</t>
  </si>
  <si>
    <t>우리카드연회비</t>
  </si>
  <si>
    <t>동동칼국수</t>
  </si>
  <si>
    <t>D:\git\csw\account_book\지출내역\유진_2024-07-21~2025-07-21.xlsx</t>
    <phoneticPr fontId="1" type="noConversion"/>
  </si>
  <si>
    <t>092U335103393</t>
  </si>
  <si>
    <t>세종수선</t>
  </si>
  <si>
    <t>지코바숯불양념치킨새롬점</t>
  </si>
  <si>
    <t>신한카드_충전</t>
  </si>
  <si>
    <t>세종스마일꽈배기</t>
  </si>
  <si>
    <t>DB손13509</t>
  </si>
  <si>
    <t>ABLY</t>
  </si>
  <si>
    <t>10회-천세원</t>
  </si>
  <si>
    <t>천세원청약90</t>
  </si>
  <si>
    <t>80350300100418  , 8회차</t>
  </si>
  <si>
    <t>농협정두영</t>
  </si>
  <si>
    <t>주식회사 놀유니버스 레저</t>
  </si>
  <si>
    <t>천*지</t>
  </si>
  <si>
    <t>천*용</t>
  </si>
  <si>
    <t>출국납부금환급</t>
  </si>
  <si>
    <t>네이버7053</t>
  </si>
  <si>
    <t>(주)마켓세종</t>
  </si>
  <si>
    <t>주식회사 에스알</t>
  </si>
  <si>
    <t>DB손13610</t>
  </si>
  <si>
    <t>급여 아우모비오</t>
  </si>
  <si>
    <t>천세원청약91</t>
  </si>
  <si>
    <t>11회-천세원</t>
  </si>
  <si>
    <t>80350300100418  , 9회차</t>
  </si>
  <si>
    <t>국민하유진_생일선물</t>
  </si>
  <si>
    <t>마드모아젤</t>
  </si>
  <si>
    <t>메가커피세종새롬점</t>
  </si>
  <si>
    <t>이*석</t>
  </si>
  <si>
    <t>금고송은자</t>
  </si>
  <si>
    <t>DB손13711</t>
  </si>
  <si>
    <t>베트남쌀국수 퍼짱</t>
  </si>
  <si>
    <t>12회-천세원</t>
  </si>
  <si>
    <t>브라더꽈배기 새롬점</t>
  </si>
  <si>
    <t>천세원청약92</t>
  </si>
  <si>
    <t>80350300100418  ,10회차</t>
  </si>
  <si>
    <t>미소야 새롬점</t>
  </si>
  <si>
    <t>망향휴게소(하)주</t>
  </si>
  <si>
    <t>복도리협동조합</t>
  </si>
  <si>
    <t>AUMOVIO EL</t>
  </si>
  <si>
    <t>LH천세원</t>
  </si>
  <si>
    <t>DB손13812</t>
  </si>
  <si>
    <t>기업주식회사 제이와</t>
  </si>
  <si>
    <t>대출금입금</t>
  </si>
  <si>
    <t>80350300100418  ,11회차</t>
  </si>
  <si>
    <t>농협최임규(아라익스</t>
  </si>
  <si>
    <t>로반프린트카페나성</t>
  </si>
  <si>
    <t>하나주식회사우드스토</t>
  </si>
  <si>
    <t>12월 사내의료비</t>
  </si>
  <si>
    <t>국민천우용_의료비</t>
  </si>
  <si>
    <t>농협김혜영</t>
  </si>
  <si>
    <t>자동차세(자동</t>
  </si>
  <si>
    <t>DB손13901</t>
  </si>
  <si>
    <t>농협(주)태룡에스디</t>
  </si>
  <si>
    <t>0928I64G04065</t>
  </si>
  <si>
    <t>0928I64G04067</t>
  </si>
  <si>
    <t>농협새뜸마을7단지입</t>
  </si>
  <si>
    <t>80350300100418  ,12회차</t>
  </si>
  <si>
    <t>신한신서연</t>
  </si>
  <si>
    <t>국민LH천세원</t>
  </si>
  <si>
    <t>박보현</t>
  </si>
  <si>
    <t>대출제부대비용</t>
  </si>
  <si>
    <t>상여 아우모비오</t>
  </si>
  <si>
    <t>예금해지</t>
  </si>
  <si>
    <t>사내근로복지기금</t>
  </si>
  <si>
    <t>092I799G04203</t>
  </si>
  <si>
    <t>092I799G04205</t>
  </si>
  <si>
    <t>만기자동해지803503-00-100418</t>
  </si>
  <si>
    <t>DB손14002</t>
  </si>
  <si>
    <t>예금신규</t>
  </si>
  <si>
    <t>지에스더프레시세종</t>
  </si>
  <si>
    <t>박고은</t>
  </si>
  <si>
    <t>카카신영옥</t>
  </si>
  <si>
    <t>DB손14103</t>
  </si>
  <si>
    <t>경찰청_천세원</t>
  </si>
  <si>
    <t>하유진-옷사</t>
  </si>
  <si>
    <t>임신사전건강관리지</t>
  </si>
  <si>
    <t>DB손14204</t>
  </si>
  <si>
    <t>김범영</t>
  </si>
  <si>
    <t>토스501</t>
  </si>
  <si>
    <t>토스492</t>
  </si>
  <si>
    <t>정진무</t>
  </si>
  <si>
    <t>급여아우모비오</t>
  </si>
  <si>
    <t>카카양진경</t>
  </si>
  <si>
    <t>4월 사내의료비</t>
  </si>
  <si>
    <t>국민지성경_의료비</t>
  </si>
  <si>
    <t>TW648</t>
  </si>
  <si>
    <t>DB손14305</t>
  </si>
  <si>
    <t>DB손14406</t>
  </si>
  <si>
    <t>박건영</t>
  </si>
  <si>
    <t>7433 우리카드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</si>
</sst>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176" formatCode="&quot;₩&quot;#,##0"/>
    <numFmt numFmtId="177" formatCode="0_);[Red]\(0\)"/>
    <numFmt numFmtId="178" formatCode="&quot;₩&quot;#,##0_);[Red]\(&quot;₩&quot;#,##0\)"/>
    <numFmt numFmtId="179" formatCode="&quot;₩&quot;#,##0_);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/>
      </bottom>
      <diagonal/>
    </border>
    <border>
      <left style="thin">
        <color indexed="64"/>
      </left>
      <right/>
      <top style="thick">
        <color theme="7"/>
      </top>
      <bottom/>
      <diagonal/>
    </border>
    <border>
      <left style="thin">
        <color indexed="64"/>
      </left>
      <right/>
      <top/>
      <bottom style="thick">
        <color theme="7" tint="0.39997558519241921"/>
      </bottom>
      <diagonal/>
    </border>
    <border>
      <left/>
      <right style="thin">
        <color indexed="64"/>
      </right>
      <top/>
      <bottom style="thick">
        <color theme="7" tint="0.39997558519241921"/>
      </bottom>
      <diagonal/>
    </border>
    <border>
      <left style="thin">
        <color indexed="64"/>
      </left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 tint="0.79998168889431442"/>
      </bottom>
      <diagonal/>
    </border>
    <border>
      <left/>
      <right/>
      <top style="thick">
        <color theme="7" tint="0.39997558519241921"/>
      </top>
      <bottom/>
      <diagonal/>
    </border>
    <border>
      <left/>
      <right/>
      <top style="thick">
        <color theme="7"/>
      </top>
      <bottom/>
      <diagonal/>
    </border>
    <border>
      <left/>
      <right/>
      <top style="thick">
        <color theme="7" tint="0.79998168889431442"/>
      </top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86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78" fontId="0" fillId="0" borderId="16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8" fontId="0" fillId="0" borderId="12" xfId="0" applyNumberFormat="1" applyBorder="1">
      <alignment vertical="center"/>
    </xf>
    <xf numFmtId="178" fontId="0" fillId="0" borderId="6" xfId="0" applyNumberFormat="1" applyBorder="1">
      <alignment vertical="center"/>
    </xf>
    <xf numFmtId="178" fontId="0" fillId="0" borderId="13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178" fontId="7" fillId="32" borderId="28" xfId="0" applyNumberFormat="1" applyFont="1" applyFill="1" applyBorder="1" applyAlignment="1">
      <alignment horizontal="center" vertical="center"/>
    </xf>
    <xf numFmtId="0" fontId="7" fillId="32" borderId="28" xfId="0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32" borderId="27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32" borderId="33" xfId="0" applyFon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32" borderId="3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76" fontId="7" fillId="32" borderId="28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7" fillId="32" borderId="31" xfId="0" applyNumberFormat="1" applyFont="1" applyFill="1" applyBorder="1" applyAlignment="1">
      <alignment horizontal="center" vertical="center"/>
    </xf>
    <xf numFmtId="10" fontId="7" fillId="32" borderId="34" xfId="0" applyNumberFormat="1" applyFont="1" applyFill="1" applyBorder="1" applyAlignment="1">
      <alignment horizontal="center" vertical="center"/>
    </xf>
    <xf numFmtId="10" fontId="7" fillId="32" borderId="36" xfId="0" applyNumberFormat="1" applyFont="1" applyFill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178" fontId="7" fillId="32" borderId="31" xfId="0" applyNumberFormat="1" applyFont="1" applyFill="1" applyBorder="1" applyAlignment="1">
      <alignment horizontal="center" vertical="center"/>
    </xf>
    <xf numFmtId="178" fontId="7" fillId="32" borderId="34" xfId="0" applyNumberFormat="1" applyFont="1" applyFill="1" applyBorder="1" applyAlignment="1">
      <alignment horizontal="center" vertical="center"/>
    </xf>
    <xf numFmtId="176" fontId="7" fillId="32" borderId="36" xfId="0" applyNumberFormat="1" applyFont="1" applyFill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/>
    </xf>
    <xf numFmtId="0" fontId="0" fillId="21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0" fontId="7" fillId="13" borderId="12" xfId="0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right" vertical="center"/>
    </xf>
    <xf numFmtId="0" fontId="9" fillId="25" borderId="1" xfId="1" applyFont="1" applyFill="1" applyAlignment="1">
      <alignment horizontal="left" vertical="center"/>
    </xf>
    <xf numFmtId="0" fontId="8" fillId="22" borderId="7" xfId="4" applyFont="1" applyFill="1" applyBorder="1" applyAlignment="1">
      <alignment horizontal="center" vertical="center"/>
    </xf>
    <xf numFmtId="0" fontId="8" fillId="22" borderId="8" xfId="4" applyFont="1" applyFill="1" applyBorder="1" applyAlignment="1">
      <alignment horizontal="center" vertical="center"/>
    </xf>
    <xf numFmtId="0" fontId="8" fillId="22" borderId="9" xfId="4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8" fillId="3" borderId="7" xfId="3" applyFont="1" applyBorder="1" applyAlignment="1">
      <alignment horizontal="center" vertical="center"/>
    </xf>
    <xf numFmtId="0" fontId="8" fillId="3" borderId="8" xfId="3" applyFont="1" applyBorder="1" applyAlignment="1">
      <alignment horizontal="center" vertical="center"/>
    </xf>
    <xf numFmtId="0" fontId="8" fillId="3" borderId="9" xfId="3" applyFont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176" fontId="0" fillId="0" borderId="12" xfId="0" applyNumberFormat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76" fontId="11" fillId="0" borderId="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71FFD0"/>
      <color rgb="FF81FFD5"/>
      <color rgb="FFABFFE3"/>
      <color rgb="FFCDFFEE"/>
      <color rgb="FFDAE9F8"/>
      <color rgb="FF63A8F3"/>
      <color rgb="FFD0D0D0"/>
      <color rgb="FFDEBFF7"/>
      <color rgb="FFD3F5D7"/>
      <color rgb="FF64DA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현금 흐름 현황</a:t>
            </a:r>
            <a:endParaRPr 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4.0203406081089181E-2"/>
          <c:y val="0.15474838935562091"/>
          <c:w val="0.95309948585193971"/>
          <c:h val="0.78369405557366933"/>
        </c:manualLayout>
      </c:layout>
      <c:barChart>
        <c:barDir val="col"/>
        <c:grouping val="clustered"/>
        <c:varyColors val="0"/>
        <c:ser>
          <c:idx val="0"/>
          <c:order val="0"/>
          <c:tx>
            <c:v>순 수익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재무상태표!$B$15:$Y$15</c15:sqref>
                  </c15:fullRef>
                </c:ext>
              </c:extLst>
              <c:f>(재무상태표!$B$15,재무상태표!$D$15,재무상태표!$F$15,재무상태표!$H$15,재무상태표!$J$15,재무상태표!$L$15,재무상태표!$N$15,재무상태표!$P$15,재무상태표!$R$15,재무상태표!$T$15,재무상태표!$V$15,재무상태표!$X$15)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재무상태표!$B$16:$Y$16</c15:sqref>
                  </c15:fullRef>
                </c:ext>
              </c:extLst>
              <c:f>(재무상태표!$B$16,재무상태표!$D$16,재무상태표!$F$16,재무상태표!$H$16,재무상태표!$J$16,재무상태표!$L$16,재무상태표!$N$16,재무상태표!$P$16,재무상태표!$R$16,재무상태표!$T$16,재무상태표!$V$16,재무상태표!$X$16)</c:f>
              <c:numCache>
                <c:formatCode>"₩"#,##0</c:formatCode>
                <c:ptCount val="12"/>
                <c:pt idx="0">
                  <c:v>2472725</c:v>
                </c:pt>
                <c:pt idx="1">
                  <c:v>-17103390</c:v>
                </c:pt>
                <c:pt idx="2">
                  <c:v>-1801137</c:v>
                </c:pt>
                <c:pt idx="3">
                  <c:v>-1361109</c:v>
                </c:pt>
                <c:pt idx="4">
                  <c:v>-1120058</c:v>
                </c:pt>
                <c:pt idx="5">
                  <c:v>-265716</c:v>
                </c:pt>
                <c:pt idx="6">
                  <c:v>-300000</c:v>
                </c:pt>
                <c:pt idx="7">
                  <c:v>-2277281</c:v>
                </c:pt>
                <c:pt idx="8">
                  <c:v>971088</c:v>
                </c:pt>
                <c:pt idx="9">
                  <c:v>-1623498</c:v>
                </c:pt>
                <c:pt idx="10">
                  <c:v>-369139</c:v>
                </c:pt>
                <c:pt idx="11">
                  <c:v>14717156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D-45F6-ADD6-6C85A9AEFB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9"/>
        <c:overlap val="-25"/>
        <c:axId val="148248736"/>
        <c:axId val="148249216"/>
      </c:barChart>
      <c:catAx>
        <c:axId val="1482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9216"/>
        <c:crosses val="autoZero"/>
        <c:auto val="1"/>
        <c:lblAlgn val="ctr"/>
        <c:lblOffset val="100"/>
        <c:noMultiLvlLbl val="0"/>
      </c:catAx>
      <c:valAx>
        <c:axId val="148249216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손익계산서!$AA$6:$AA$25</c:f>
              <c:numCache>
                <c:formatCode>"₩"#,##0_);[Red]\("₩"#,##0\)</c:formatCode>
                <c:ptCount val="20"/>
                <c:pt idx="0">
                  <c:v>3149867</c:v>
                </c:pt>
                <c:pt idx="1">
                  <c:v>0</c:v>
                </c:pt>
                <c:pt idx="2">
                  <c:v>0</c:v>
                </c:pt>
                <c:pt idx="3">
                  <c:v>32900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손익계산서!$AB$6:$AB$25</c:f>
              <c:numCache>
                <c:formatCode>"₩"#,##0</c:formatCode>
                <c:ptCount val="20"/>
                <c:pt idx="0">
                  <c:v>5785202.5</c:v>
                </c:pt>
                <c:pt idx="1">
                  <c:v>45570</c:v>
                </c:pt>
                <c:pt idx="2">
                  <c:v>36120.833333333336</c:v>
                </c:pt>
                <c:pt idx="3">
                  <c:v>1522214.4166666667</c:v>
                </c:pt>
                <c:pt idx="4">
                  <c:v>129528.33333333333</c:v>
                </c:pt>
                <c:pt idx="5">
                  <c:v>62970.833333333336</c:v>
                </c:pt>
                <c:pt idx="6">
                  <c:v>27273.333333333332</c:v>
                </c:pt>
                <c:pt idx="7">
                  <c:v>29341.666666666668</c:v>
                </c:pt>
                <c:pt idx="8">
                  <c:v>55013.666666666664</c:v>
                </c:pt>
                <c:pt idx="9">
                  <c:v>0</c:v>
                </c:pt>
                <c:pt idx="10">
                  <c:v>2316.6666666666665</c:v>
                </c:pt>
                <c:pt idx="11">
                  <c:v>0</c:v>
                </c:pt>
                <c:pt idx="12">
                  <c:v>3000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"₩"#,##0</c:formatCode>
                <c:ptCount val="2"/>
                <c:pt idx="0">
                  <c:v>7698552.25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3182767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2472725</c:v>
                </c:pt>
                <c:pt idx="1">
                  <c:v>7527275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-17103390</c:v>
                </c:pt>
                <c:pt idx="1">
                  <c:v>27103390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-1801137</c:v>
                </c:pt>
                <c:pt idx="1">
                  <c:v>11801137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-1361109</c:v>
                </c:pt>
                <c:pt idx="1">
                  <c:v>11361109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-1120058</c:v>
                </c:pt>
                <c:pt idx="1">
                  <c:v>11120058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-265716</c:v>
                </c:pt>
                <c:pt idx="1">
                  <c:v>10265716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-300000</c:v>
                </c:pt>
                <c:pt idx="1">
                  <c:v>10300000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-2277281</c:v>
                </c:pt>
                <c:pt idx="1">
                  <c:v>12277281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971088</c:v>
                </c:pt>
                <c:pt idx="1">
                  <c:v>9028912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-1623498</c:v>
                </c:pt>
                <c:pt idx="1">
                  <c:v>11623498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-369139</c:v>
                </c:pt>
                <c:pt idx="1">
                  <c:v>10369139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14717156</c:v>
                </c:pt>
                <c:pt idx="1">
                  <c:v>-4717156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9523</xdr:rowOff>
    </xdr:from>
    <xdr:to>
      <xdr:col>25</xdr:col>
      <xdr:colOff>28575</xdr:colOff>
      <xdr:row>37</xdr:row>
      <xdr:rowOff>142874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E619876B-1E61-16DF-7931-68791EBD2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31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24.73%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6</xdr:row>
      <xdr:rowOff>0</xdr:rowOff>
    </xdr:from>
    <xdr:to>
      <xdr:col>5</xdr:col>
      <xdr:colOff>22411</xdr:colOff>
      <xdr:row>18</xdr:row>
      <xdr:rowOff>20076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381125"/>
          <a:ext cx="3181351" cy="2534676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8"/>
            <a:ext cx="2001921" cy="95350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-171.03%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-18.01%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-13.61%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-11.20%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-2.66%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-22.77%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9.71%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-16.23%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-3.69%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147.17%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B2:AC26"/>
  <sheetViews>
    <sheetView zoomScale="85" zoomScaleNormal="85" workbookViewId="0">
      <selection activeCell="J7" sqref="J7"/>
    </sheetView>
  </sheetViews>
  <sheetFormatPr defaultRowHeight="16.5" x14ac:dyDescent="0.3"/>
  <cols>
    <col min="1" max="1" width="2.625" customWidth="1"/>
    <col min="2" max="8" width="11.5" customWidth="1"/>
    <col min="9" max="9" width="12.875" bestFit="1" customWidth="1"/>
    <col min="10" max="17" width="11.5" customWidth="1"/>
    <col min="18" max="18" width="10.75" customWidth="1"/>
    <col min="19" max="19" width="14.375" customWidth="1"/>
    <col min="20" max="22" width="10.75" customWidth="1"/>
    <col min="23" max="23" width="15.875" customWidth="1"/>
    <col min="24" max="25" width="7.375" customWidth="1"/>
    <col min="26" max="26" width="11.75" customWidth="1"/>
    <col min="27" max="27" width="7.375" customWidth="1"/>
    <col min="28" max="28" width="11.75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29" ht="24.75" thickBot="1" x14ac:dyDescent="0.35">
      <c r="B2" s="102" t="s">
        <v>142</v>
      </c>
      <c r="C2" s="102"/>
      <c r="D2" s="102"/>
    </row>
    <row r="3" spans="2:29" ht="17.25" thickTop="1" x14ac:dyDescent="0.3"/>
    <row r="4" spans="2:29" x14ac:dyDescent="0.3">
      <c r="B4" s="2" t="s">
        <v>143</v>
      </c>
      <c r="C4" s="101">
        <f>C12</f>
        <v>353506458.02999997</v>
      </c>
      <c r="D4" s="101"/>
    </row>
    <row r="5" spans="2:29" x14ac:dyDescent="0.3">
      <c r="B5" s="2" t="s">
        <v>144</v>
      </c>
      <c r="C5" s="101">
        <f>Z11</f>
        <v>0</v>
      </c>
      <c r="D5" s="101"/>
    </row>
    <row r="6" spans="2:29" x14ac:dyDescent="0.3">
      <c r="AB6" s="59">
        <f>AVERAGE('1월:12월'!C27)</f>
        <v>5785202.5</v>
      </c>
      <c r="AC6" s="95">
        <f>AA6-AB6</f>
        <v>-5785202.5</v>
      </c>
    </row>
    <row r="7" spans="2:29" ht="17.25" thickBot="1" x14ac:dyDescent="0.3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Y7" s="3"/>
      <c r="Z7" s="3"/>
      <c r="AA7" s="3"/>
      <c r="AB7" s="96">
        <f>AVERAGE('1월:12월'!C28)</f>
        <v>45570</v>
      </c>
      <c r="AC7" s="95">
        <f t="shared" ref="AC7:AC25" si="0">AA7-AB7</f>
        <v>-45570</v>
      </c>
    </row>
    <row r="8" spans="2:29" x14ac:dyDescent="0.3">
      <c r="B8" s="103" t="s">
        <v>6</v>
      </c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5"/>
      <c r="R8" s="107" t="s">
        <v>7</v>
      </c>
      <c r="S8" s="107"/>
      <c r="T8" s="107"/>
      <c r="U8" s="107"/>
      <c r="V8" s="107"/>
      <c r="W8" s="107"/>
      <c r="Y8" s="114" t="s">
        <v>8</v>
      </c>
      <c r="Z8" s="115"/>
      <c r="AA8" s="115"/>
      <c r="AB8" s="116"/>
      <c r="AC8" s="95">
        <f t="shared" si="0"/>
        <v>0</v>
      </c>
    </row>
    <row r="9" spans="2:29" x14ac:dyDescent="0.3">
      <c r="B9" s="126" t="s">
        <v>9</v>
      </c>
      <c r="C9" s="127"/>
      <c r="D9" s="128" t="s">
        <v>10</v>
      </c>
      <c r="E9" s="128"/>
      <c r="F9" s="129" t="s">
        <v>11</v>
      </c>
      <c r="G9" s="129"/>
      <c r="H9" s="130" t="s">
        <v>12</v>
      </c>
      <c r="I9" s="130"/>
      <c r="J9" s="106" t="s">
        <v>13</v>
      </c>
      <c r="K9" s="106"/>
      <c r="L9" s="100" t="s">
        <v>14</v>
      </c>
      <c r="M9" s="100"/>
      <c r="N9" s="121" t="s">
        <v>15</v>
      </c>
      <c r="O9" s="121"/>
      <c r="P9" s="122" t="s">
        <v>16</v>
      </c>
      <c r="Q9" s="122"/>
      <c r="R9" s="123" t="s">
        <v>17</v>
      </c>
      <c r="S9" s="123"/>
      <c r="T9" s="124" t="s">
        <v>18</v>
      </c>
      <c r="U9" s="124"/>
      <c r="V9" s="125" t="s">
        <v>19</v>
      </c>
      <c r="W9" s="125"/>
      <c r="Y9" s="117" t="s">
        <v>20</v>
      </c>
      <c r="Z9" s="118"/>
      <c r="AA9" s="119" t="s">
        <v>21</v>
      </c>
      <c r="AB9" s="120"/>
      <c r="AC9" s="95"/>
    </row>
    <row r="10" spans="2:29" x14ac:dyDescent="0.3">
      <c r="B10" s="7" t="s">
        <v>22</v>
      </c>
      <c r="C10" s="18">
        <f>설정!D83</f>
        <v>33266027</v>
      </c>
      <c r="D10" s="7" t="s">
        <v>22</v>
      </c>
      <c r="E10" s="18">
        <f>설정!F83</f>
        <v>0</v>
      </c>
      <c r="F10" s="7" t="s">
        <v>22</v>
      </c>
      <c r="G10" s="18">
        <f>설정!H83</f>
        <v>0</v>
      </c>
      <c r="H10" s="7" t="s">
        <v>22</v>
      </c>
      <c r="I10" s="18">
        <f>설정!J83</f>
        <v>135302094</v>
      </c>
      <c r="J10" s="7" t="s">
        <v>22</v>
      </c>
      <c r="K10" s="18">
        <f>설정!L83</f>
        <v>550123</v>
      </c>
      <c r="L10" s="7" t="s">
        <v>22</v>
      </c>
      <c r="M10" s="18">
        <f>설정!N83</f>
        <v>0</v>
      </c>
      <c r="N10" s="7" t="s">
        <v>22</v>
      </c>
      <c r="O10" s="18">
        <f>설정!P83</f>
        <v>0</v>
      </c>
      <c r="P10" s="7" t="s">
        <v>22</v>
      </c>
      <c r="Q10" s="18">
        <f>설정!R83</f>
        <v>103826543</v>
      </c>
      <c r="R10" s="7" t="s">
        <v>22</v>
      </c>
      <c r="S10" s="18">
        <f>설정!T83</f>
        <v>64211671.030000009</v>
      </c>
      <c r="T10" s="7" t="s">
        <v>22</v>
      </c>
      <c r="U10" s="18">
        <f>설정!V83</f>
        <v>0</v>
      </c>
      <c r="V10" s="7" t="s">
        <v>22</v>
      </c>
      <c r="W10" s="19">
        <f>설정!X83</f>
        <v>16350000</v>
      </c>
      <c r="Y10" s="7" t="s">
        <v>22</v>
      </c>
      <c r="Z10" s="21">
        <f>설정!AA19</f>
        <v>0</v>
      </c>
      <c r="AA10" s="7" t="s">
        <v>22</v>
      </c>
      <c r="AB10" s="21">
        <f>설정!AC19</f>
        <v>0</v>
      </c>
      <c r="AC10" s="95"/>
    </row>
    <row r="11" spans="2:29" ht="17.25" thickBot="1" x14ac:dyDescent="0.35">
      <c r="B11" s="7" t="s">
        <v>24</v>
      </c>
      <c r="C11" s="108">
        <f>SUM(C10,E10,G10,I10,K10,M10,O10,Q10)</f>
        <v>272944787</v>
      </c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7" t="s">
        <v>24</v>
      </c>
      <c r="S11" s="108">
        <f>SUM(S10,U10,W10)</f>
        <v>80561671.030000001</v>
      </c>
      <c r="T11" s="109"/>
      <c r="U11" s="109"/>
      <c r="V11" s="109"/>
      <c r="W11" s="110"/>
      <c r="Y11" s="12" t="s">
        <v>23</v>
      </c>
      <c r="Z11" s="38">
        <f>SUM(Z10,AB10)</f>
        <v>0</v>
      </c>
      <c r="AA11" s="97"/>
      <c r="AB11" s="98"/>
      <c r="AC11" s="95">
        <f t="shared" si="0"/>
        <v>0</v>
      </c>
    </row>
    <row r="12" spans="2:29" ht="17.25" thickBot="1" x14ac:dyDescent="0.35">
      <c r="B12" s="12" t="s">
        <v>23</v>
      </c>
      <c r="C12" s="111">
        <f>SUM(C11,S11)</f>
        <v>353506458.02999997</v>
      </c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3"/>
      <c r="AB12" s="59">
        <f>AVERAGE('1월:12월'!C33)</f>
        <v>27273.333333333332</v>
      </c>
      <c r="AC12" s="95">
        <f t="shared" si="0"/>
        <v>-27273.333333333332</v>
      </c>
    </row>
    <row r="13" spans="2:29" x14ac:dyDescent="0.3">
      <c r="AB13" s="59">
        <f>AVERAGE('1월:12월'!C34)</f>
        <v>29341.666666666668</v>
      </c>
      <c r="AC13" s="95">
        <f t="shared" si="0"/>
        <v>-29341.666666666668</v>
      </c>
    </row>
    <row r="14" spans="2:29" x14ac:dyDescent="0.3">
      <c r="B14" s="132" t="s">
        <v>145</v>
      </c>
      <c r="C14" s="132"/>
      <c r="AB14" s="59">
        <f>AVERAGE('1월:12월'!C35)</f>
        <v>55013.666666666664</v>
      </c>
      <c r="AC14" s="95">
        <f t="shared" si="0"/>
        <v>-55013.666666666664</v>
      </c>
    </row>
    <row r="15" spans="2:29" x14ac:dyDescent="0.3">
      <c r="B15" s="131" t="s">
        <v>146</v>
      </c>
      <c r="C15" s="131"/>
      <c r="D15" s="131" t="s">
        <v>147</v>
      </c>
      <c r="E15" s="131"/>
      <c r="F15" s="131" t="s">
        <v>148</v>
      </c>
      <c r="G15" s="131"/>
      <c r="H15" s="131" t="s">
        <v>149</v>
      </c>
      <c r="I15" s="131"/>
      <c r="J15" s="131" t="s">
        <v>150</v>
      </c>
      <c r="K15" s="131"/>
      <c r="L15" s="131" t="s">
        <v>151</v>
      </c>
      <c r="M15" s="131"/>
      <c r="N15" s="131" t="s">
        <v>152</v>
      </c>
      <c r="O15" s="131"/>
      <c r="P15" s="131" t="s">
        <v>153</v>
      </c>
      <c r="Q15" s="131"/>
      <c r="R15" s="131" t="s">
        <v>154</v>
      </c>
      <c r="S15" s="131"/>
      <c r="T15" s="131" t="s">
        <v>155</v>
      </c>
      <c r="U15" s="131"/>
      <c r="V15" s="131" t="s">
        <v>156</v>
      </c>
      <c r="W15" s="131"/>
      <c r="X15" s="131" t="s">
        <v>157</v>
      </c>
      <c r="Y15" s="131"/>
      <c r="AB15" s="59">
        <f>AVERAGE('1월:12월'!C36)</f>
        <v>0</v>
      </c>
      <c r="AC15" s="95">
        <f t="shared" si="0"/>
        <v>0</v>
      </c>
    </row>
    <row r="16" spans="2:29" x14ac:dyDescent="0.3">
      <c r="B16" s="133">
        <f>'1월'!C5</f>
        <v>2472725</v>
      </c>
      <c r="C16" s="133"/>
      <c r="D16" s="133">
        <f>'2월'!C5</f>
        <v>-17103390</v>
      </c>
      <c r="E16" s="133"/>
      <c r="F16" s="133">
        <f>'3월'!C5</f>
        <v>-1801137</v>
      </c>
      <c r="G16" s="133"/>
      <c r="H16" s="133">
        <f>'4월'!C5</f>
        <v>-1361109</v>
      </c>
      <c r="I16" s="133"/>
      <c r="J16" s="133">
        <f>'5월'!C5</f>
        <v>-1120058</v>
      </c>
      <c r="K16" s="133"/>
      <c r="L16" s="133">
        <f>'6월'!C5</f>
        <v>-265716</v>
      </c>
      <c r="M16" s="133"/>
      <c r="N16" s="133">
        <f>'7월'!C5</f>
        <v>-300000</v>
      </c>
      <c r="O16" s="133"/>
      <c r="P16" s="133">
        <f>'8월'!C5</f>
        <v>-2277281</v>
      </c>
      <c r="Q16" s="133"/>
      <c r="R16" s="133">
        <f>'9월'!C5</f>
        <v>971088</v>
      </c>
      <c r="S16" s="133"/>
      <c r="T16" s="133">
        <f>'10월'!C5</f>
        <v>-1623498</v>
      </c>
      <c r="U16" s="133"/>
      <c r="V16" s="133">
        <f>'11월'!C5</f>
        <v>-369139</v>
      </c>
      <c r="W16" s="133"/>
      <c r="X16" s="133">
        <f>'12월'!C5</f>
        <v>14717156</v>
      </c>
      <c r="Y16" s="133"/>
      <c r="AB16" s="59">
        <f>AVERAGE('1월:12월'!C37)</f>
        <v>2316.6666666666665</v>
      </c>
      <c r="AC16" s="95">
        <f t="shared" si="0"/>
        <v>-2316.6666666666665</v>
      </c>
    </row>
    <row r="17" spans="28:29" x14ac:dyDescent="0.3">
      <c r="AB17" s="59">
        <f>AVERAGE('1월:12월'!C38)</f>
        <v>0</v>
      </c>
      <c r="AC17" s="95">
        <f t="shared" si="0"/>
        <v>0</v>
      </c>
    </row>
    <row r="18" spans="28:29" x14ac:dyDescent="0.3">
      <c r="AB18" s="59">
        <f>AVERAGE('1월:12월'!C39)</f>
        <v>3000</v>
      </c>
      <c r="AC18" s="95">
        <f t="shared" si="0"/>
        <v>-3000</v>
      </c>
    </row>
    <row r="19" spans="28:29" x14ac:dyDescent="0.3">
      <c r="AB19" s="59">
        <f>AVERAGE('1월:12월'!C40)</f>
        <v>0</v>
      </c>
      <c r="AC19" s="95">
        <f t="shared" si="0"/>
        <v>0</v>
      </c>
    </row>
    <row r="20" spans="28:29" x14ac:dyDescent="0.3">
      <c r="AB20" s="59">
        <f>AVERAGE('1월:12월'!C41)</f>
        <v>0</v>
      </c>
      <c r="AC20" s="95">
        <f t="shared" si="0"/>
        <v>0</v>
      </c>
    </row>
    <row r="21" spans="28:29" x14ac:dyDescent="0.3">
      <c r="AB21" s="59">
        <f>AVERAGE('1월:12월'!C42)</f>
        <v>0</v>
      </c>
      <c r="AC21" s="95">
        <f t="shared" si="0"/>
        <v>0</v>
      </c>
    </row>
    <row r="22" spans="28:29" x14ac:dyDescent="0.3">
      <c r="AB22" s="59">
        <f>AVERAGE('1월:12월'!C43)</f>
        <v>0</v>
      </c>
      <c r="AC22" s="95">
        <f t="shared" si="0"/>
        <v>0</v>
      </c>
    </row>
    <row r="23" spans="28:29" x14ac:dyDescent="0.3">
      <c r="AB23" s="59">
        <f>AVERAGE('1월:12월'!C44)</f>
        <v>0</v>
      </c>
      <c r="AC23" s="95">
        <f t="shared" si="0"/>
        <v>0</v>
      </c>
    </row>
    <row r="24" spans="28:29" x14ac:dyDescent="0.3">
      <c r="AB24" s="59">
        <f>AVERAGE('1월:12월'!C45)</f>
        <v>0</v>
      </c>
      <c r="AC24" s="95">
        <f t="shared" si="0"/>
        <v>0</v>
      </c>
    </row>
    <row r="25" spans="28:29" x14ac:dyDescent="0.3">
      <c r="AB25" s="59">
        <f>AVERAGE('1월:12월'!C46)</f>
        <v>0</v>
      </c>
      <c r="AC25" s="95">
        <f t="shared" si="0"/>
        <v>0</v>
      </c>
    </row>
    <row r="26" spans="28:29" x14ac:dyDescent="0.3">
      <c r="AC26" s="91"/>
    </row>
  </sheetData>
  <mergeCells count="47">
    <mergeCell ref="T16:U16"/>
    <mergeCell ref="V16:W16"/>
    <mergeCell ref="X16:Y16"/>
    <mergeCell ref="X15:Y15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L15:M15"/>
    <mergeCell ref="N15:O15"/>
    <mergeCell ref="P15:Q15"/>
    <mergeCell ref="R15:S15"/>
    <mergeCell ref="T15:U15"/>
    <mergeCell ref="V15:W15"/>
    <mergeCell ref="B14:C14"/>
    <mergeCell ref="B15:C15"/>
    <mergeCell ref="D15:E15"/>
    <mergeCell ref="F15:G15"/>
    <mergeCell ref="H15:I15"/>
    <mergeCell ref="J15:K15"/>
    <mergeCell ref="R8:W8"/>
    <mergeCell ref="C11:Q11"/>
    <mergeCell ref="S11:W11"/>
    <mergeCell ref="C12:W12"/>
    <mergeCell ref="Y8:AB8"/>
    <mergeCell ref="Y9:Z9"/>
    <mergeCell ref="AA9:AB9"/>
    <mergeCell ref="N9:O9"/>
    <mergeCell ref="P9:Q9"/>
    <mergeCell ref="R9:S9"/>
    <mergeCell ref="T9:U9"/>
    <mergeCell ref="V9:W9"/>
    <mergeCell ref="B9:C9"/>
    <mergeCell ref="D9:E9"/>
    <mergeCell ref="F9:G9"/>
    <mergeCell ref="H9:I9"/>
    <mergeCell ref="L9:M9"/>
    <mergeCell ref="C4:D4"/>
    <mergeCell ref="C5:D5"/>
    <mergeCell ref="B2:D2"/>
    <mergeCell ref="B8:Q8"/>
    <mergeCell ref="J9:K9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A23" sqref="A23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rgb="FFDAE9F8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AE9F8"/>
  </sheetPr>
  <dimension ref="B2:AE26"/>
  <sheetViews>
    <sheetView zoomScale="85" zoomScaleNormal="85" workbookViewId="0">
      <selection activeCell="A15" sqref="A1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9" customWidth="1"/>
    <col min="10" max="10" width="2.25" customWidth="1"/>
    <col min="11" max="11" width="5.125" customWidth="1"/>
    <col min="12" max="12" width="17.5" customWidth="1"/>
    <col min="13" max="13" width="15.875" customWidth="1"/>
    <col min="14" max="14" width="15.125" customWidth="1"/>
    <col min="15" max="15" width="11" customWidth="1"/>
    <col min="16" max="16" width="2.25" customWidth="1"/>
    <col min="17" max="17" width="5.125" customWidth="1"/>
    <col min="18" max="18" width="17.5" customWidth="1"/>
    <col min="19" max="19" width="15.875" customWidth="1"/>
    <col min="20" max="20" width="15.125" customWidth="1"/>
    <col min="21" max="21" width="14.625" customWidth="1"/>
    <col min="22" max="22" width="2.25" customWidth="1"/>
    <col min="23" max="23" width="11.375" bestFit="1" customWidth="1"/>
    <col min="24" max="24" width="17.5" customWidth="1"/>
    <col min="25" max="25" width="2.25" customWidth="1"/>
    <col min="26" max="26" width="9.25" bestFit="1" customWidth="1"/>
    <col min="27" max="27" width="17.5" customWidth="1"/>
    <col min="28" max="28" width="7.625" bestFit="1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31" ht="24.75" thickBot="1" x14ac:dyDescent="0.35">
      <c r="B2" s="102" t="s">
        <v>122</v>
      </c>
      <c r="C2" s="102"/>
      <c r="D2" s="102"/>
      <c r="AB2" s="52" t="s">
        <v>124</v>
      </c>
      <c r="AC2" s="5">
        <f>설정!H4</f>
        <v>2026</v>
      </c>
      <c r="AD2" s="52" t="s">
        <v>123</v>
      </c>
      <c r="AE2" s="5" t="s">
        <v>151</v>
      </c>
    </row>
    <row r="3" spans="2:31" ht="17.25" thickTop="1" x14ac:dyDescent="0.3"/>
    <row r="4" spans="2:31" x14ac:dyDescent="0.3">
      <c r="B4" s="132" t="s">
        <v>132</v>
      </c>
      <c r="C4" s="132"/>
      <c r="K4" s="134" t="s">
        <v>136</v>
      </c>
      <c r="L4" s="134"/>
      <c r="Q4" s="134" t="s">
        <v>141</v>
      </c>
      <c r="R4" s="134"/>
      <c r="S4" s="134"/>
      <c r="W4" s="137" t="s">
        <v>133</v>
      </c>
      <c r="X4" s="138"/>
      <c r="Z4" s="135" t="s">
        <v>125</v>
      </c>
      <c r="AA4" s="136"/>
    </row>
    <row r="5" spans="2:31" x14ac:dyDescent="0.3">
      <c r="B5" s="2"/>
      <c r="C5" s="51"/>
      <c r="K5" s="83"/>
      <c r="L5" s="25" t="s">
        <v>33</v>
      </c>
      <c r="M5" s="25" t="s">
        <v>137</v>
      </c>
      <c r="N5" s="25" t="s">
        <v>138</v>
      </c>
      <c r="O5" s="71" t="s">
        <v>139</v>
      </c>
      <c r="Q5" s="83"/>
      <c r="R5" s="25" t="s">
        <v>33</v>
      </c>
      <c r="S5" s="25" t="s">
        <v>137</v>
      </c>
      <c r="T5" s="25" t="s">
        <v>138</v>
      </c>
      <c r="U5" s="71" t="s">
        <v>140</v>
      </c>
      <c r="W5" s="45" t="s">
        <v>28</v>
      </c>
      <c r="X5" s="47" t="s">
        <v>30</v>
      </c>
      <c r="Z5" s="46" t="s">
        <v>28</v>
      </c>
      <c r="AA5" s="45" t="s">
        <v>30</v>
      </c>
    </row>
    <row r="6" spans="2:31" x14ac:dyDescent="0.3">
      <c r="B6" s="2"/>
      <c r="C6" s="51"/>
      <c r="K6" s="84"/>
      <c r="L6" s="2"/>
      <c r="M6" s="28"/>
      <c r="N6" s="5"/>
      <c r="O6" s="85"/>
      <c r="Q6" s="84"/>
      <c r="R6" s="2"/>
      <c r="S6" s="28"/>
      <c r="T6" s="5"/>
      <c r="U6" s="85"/>
      <c r="W6" s="48" t="str" cm="1">
        <f t="array" aca="1" ref="W6:W9" ca="1">INDIRECT("'" &amp; $AE$2 &amp; "'!$B$52:$B$55")</f>
        <v>금융수입</v>
      </c>
      <c r="X6" s="62" cm="1">
        <f t="array" aca="1" ref="X6:X9" ca="1">INDIRECT("'" &amp; $AE$2 &amp; "'!$C$52:$C$55")</f>
        <v>232</v>
      </c>
      <c r="Z6" s="55" t="str" cm="1">
        <f t="array" aca="1" ref="Z6:Z25" ca="1">INDIRECT("'" &amp; $AE$2 &amp; "'!$B$27:$B$46")</f>
        <v>금융</v>
      </c>
      <c r="AA6" s="57" cm="1">
        <f t="array" aca="1" ref="AA6:AA25" ca="1">INDIRECT("'" &amp; $AE$2 &amp; "'!$C$27:$C$46")</f>
        <v>3149867</v>
      </c>
      <c r="AB6" s="59">
        <f>AVERAGE('1월:12월'!C27)</f>
        <v>5785202.5</v>
      </c>
      <c r="AC6" s="95">
        <f ca="1">AA6-AB6</f>
        <v>-2635335.5</v>
      </c>
    </row>
    <row r="7" spans="2:31" ht="17.25" thickBot="1" x14ac:dyDescent="0.35">
      <c r="B7" s="2"/>
      <c r="C7" s="63"/>
      <c r="K7" s="72">
        <v>1</v>
      </c>
      <c r="L7" s="65" t="str">
        <f ca="1">INDEX(_xlfn.ANCHORARRAY(Z6), MATCH(LARGE(_xlfn.ANCHORARRAY(AA6), 1),_xlfn.ANCHORARRAY( AA6), 0))</f>
        <v>금융</v>
      </c>
      <c r="M7" s="64">
        <f ca="1">LARGE(_xlfn.ANCHORARRAY(AA6),1)</f>
        <v>3149867</v>
      </c>
      <c r="N7" s="79">
        <f ca="1">INDEX(AB6:AB25, MATCH(LARGE(_xlfn.ANCHORARRAY(AA6), 1),_xlfn.ANCHORARRAY( AA6), 0))</f>
        <v>5785202.5</v>
      </c>
      <c r="O7" s="86">
        <f ca="1">M7/$AA$26</f>
        <v>0.98966308246880785</v>
      </c>
      <c r="Q7" s="72">
        <v>1</v>
      </c>
      <c r="R7" s="65" t="str">
        <f ca="1">INDEX(_xlfn.ANCHORARRAY(Z6), MATCH(LARGE($AC$6:$AC$25, 1), $AC$6:$AC$25, 0))</f>
        <v>문화/여가</v>
      </c>
      <c r="S7" s="64">
        <f ca="1">INDEX(_xlfn.ANCHORARRAY(AA6), MATCH(LARGE($AC$6:$AC$25, 1), $AC$6:$AC$25, 0))</f>
        <v>0</v>
      </c>
      <c r="T7" s="79">
        <f ca="1">INDEX(AB6:AB25, MATCH(LARGE($AC$6:$AC$25, 1), $AC$6:$AC$25, 0))</f>
        <v>0</v>
      </c>
      <c r="U7" s="92">
        <f ca="1">S7-T7</f>
        <v>0</v>
      </c>
      <c r="W7" s="49" t="str">
        <f ca="1"/>
        <v>급여</v>
      </c>
      <c r="X7" s="30">
        <f ca="1"/>
        <v>4490675</v>
      </c>
      <c r="Z7" s="55" t="str">
        <f ca="1"/>
        <v>생활</v>
      </c>
      <c r="AA7" s="57">
        <f ca="1"/>
        <v>0</v>
      </c>
      <c r="AB7" s="59">
        <f>AVERAGE('1월:12월'!C28)</f>
        <v>45570</v>
      </c>
      <c r="AC7" s="95">
        <f t="shared" ref="AC7:AC25" ca="1" si="0">AA7-AB7</f>
        <v>-45570</v>
      </c>
    </row>
    <row r="8" spans="2:31" ht="17.25" thickTop="1" x14ac:dyDescent="0.3">
      <c r="K8" s="73"/>
      <c r="L8" s="80"/>
      <c r="M8" s="28"/>
      <c r="N8" s="5"/>
      <c r="O8" s="85"/>
      <c r="Q8" s="73"/>
      <c r="R8" s="80"/>
      <c r="S8" s="28"/>
      <c r="T8" s="5"/>
      <c r="U8" s="85"/>
      <c r="W8" s="49" t="str">
        <f ca="1"/>
        <v>용돈</v>
      </c>
      <c r="X8" s="30">
        <f ca="1"/>
        <v>0</v>
      </c>
      <c r="Z8" s="55" t="str">
        <f ca="1"/>
        <v>식비</v>
      </c>
      <c r="AA8" s="57">
        <f ca="1"/>
        <v>0</v>
      </c>
      <c r="AB8" s="59">
        <f>AVERAGE('1월:12월'!C29)</f>
        <v>36120.833333333336</v>
      </c>
      <c r="AC8" s="95">
        <f t="shared" ca="1" si="0"/>
        <v>-36120.833333333336</v>
      </c>
    </row>
    <row r="9" spans="2:31" ht="17.25" thickBot="1" x14ac:dyDescent="0.35">
      <c r="K9" s="74">
        <v>2</v>
      </c>
      <c r="L9" s="68" t="str">
        <f ca="1">INDEX(_xlfn.ANCHORARRAY(Z6), MATCH(LARGE(_xlfn.ANCHORARRAY(AA6), 2),_xlfn.ANCHORARRAY( AA6), 0))</f>
        <v>주거/통신</v>
      </c>
      <c r="M9" s="66">
        <f ca="1">LARGE(_xlfn.ANCHORARRAY(AA6),2)</f>
        <v>32900</v>
      </c>
      <c r="N9" s="66">
        <f ca="1">INDEX(AB6:AB25, MATCH(LARGE(_xlfn.ANCHORARRAY(AA6), 2),_xlfn.ANCHORARRAY( AA6), 0))</f>
        <v>1522214.4166666667</v>
      </c>
      <c r="O9" s="87">
        <f ca="1">M9/$AA$26</f>
        <v>1.0336917531192199E-2</v>
      </c>
      <c r="Q9" s="74">
        <v>2</v>
      </c>
      <c r="R9" s="68" t="str">
        <f ca="1">INDEX(_xlfn.ANCHORARRAY(Z6), MATCH(LARGE($AC$6:$AC$25, 2), $AC$6:$AC$25, 0))</f>
        <v>문화/여가</v>
      </c>
      <c r="S9" s="66">
        <f ca="1">INDEX(_xlfn.ANCHORARRAY(AA6), MATCH(LARGE($AC$6:$AC$25, 2), $AC$6:$AC$25, 0))</f>
        <v>0</v>
      </c>
      <c r="T9" s="66">
        <f ca="1">INDEX(AB6:AB25, MATCH(LARGE($AC$6:$AC$25, 2), $AC$6:$AC$25, 0))</f>
        <v>0</v>
      </c>
      <c r="U9" s="93">
        <f ca="1">S9-T9</f>
        <v>0</v>
      </c>
      <c r="W9" s="49" t="str">
        <f ca="1"/>
        <v>기타수입</v>
      </c>
      <c r="X9" s="30">
        <f ca="1"/>
        <v>1</v>
      </c>
      <c r="Z9" s="55" t="str">
        <f ca="1"/>
        <v>주거/통신</v>
      </c>
      <c r="AA9" s="57">
        <f ca="1"/>
        <v>32900</v>
      </c>
      <c r="AB9" s="59">
        <f>AVERAGE('1월:12월'!C30)</f>
        <v>1522214.4166666667</v>
      </c>
      <c r="AC9" s="95">
        <f t="shared" ca="1" si="0"/>
        <v>-1489314.4166666667</v>
      </c>
    </row>
    <row r="10" spans="2:31" ht="17.25" thickTop="1" x14ac:dyDescent="0.3">
      <c r="K10" s="75"/>
      <c r="L10" s="81"/>
      <c r="M10" s="28"/>
      <c r="N10" s="5"/>
      <c r="O10" s="85"/>
      <c r="Q10" s="75"/>
      <c r="R10" s="81"/>
      <c r="S10" s="28"/>
      <c r="T10" s="5"/>
      <c r="U10" s="85"/>
      <c r="W10" s="49"/>
      <c r="X10" s="15"/>
      <c r="Z10" s="55" t="str">
        <f ca="1"/>
        <v>온라인쇼핑</v>
      </c>
      <c r="AA10" s="57">
        <f ca="1"/>
        <v>0</v>
      </c>
      <c r="AB10" s="59">
        <f>AVERAGE('1월:12월'!C31)</f>
        <v>129528.33333333333</v>
      </c>
      <c r="AC10" s="95">
        <f t="shared" ca="1" si="0"/>
        <v>-129528.33333333333</v>
      </c>
    </row>
    <row r="11" spans="2:31" ht="17.25" thickBot="1" x14ac:dyDescent="0.35">
      <c r="K11" s="76">
        <v>3</v>
      </c>
      <c r="L11" s="69" t="str">
        <f ca="1">INDEX(_xlfn.ANCHORARRAY(Z6), MATCH(LARGE(_xlfn.ANCHORARRAY(AA6), 3),_xlfn.ANCHORARRAY( AA6), 0))</f>
        <v>생활</v>
      </c>
      <c r="M11" s="67">
        <f ca="1">LARGE(_xlfn.ANCHORARRAY(AA6),3)</f>
        <v>0</v>
      </c>
      <c r="N11" s="67">
        <f ca="1">INDEX(AB6:AB25, MATCH(LARGE(_xlfn.ANCHORARRAY(AA6), 3),_xlfn.ANCHORARRAY( AA6), 0))</f>
        <v>45570</v>
      </c>
      <c r="O11" s="88">
        <f ca="1">M11/$AA$26</f>
        <v>0</v>
      </c>
      <c r="Q11" s="76">
        <v>3</v>
      </c>
      <c r="R11" s="69" t="str">
        <f ca="1">INDEX(_xlfn.ANCHORARRAY(Z6), MATCH(LARGE($AC$6:$AC$25, 3), $AC$6:$AC$25, 0))</f>
        <v>문화/여가</v>
      </c>
      <c r="S11" s="67">
        <f ca="1">INDEX(_xlfn.ANCHORARRAY(AA6), MATCH(LARGE($AC$6:$AC$25, 3), $AC$6:$AC$25, 0))</f>
        <v>0</v>
      </c>
      <c r="T11" s="67">
        <f ca="1">INDEX(AB6:AB25, MATCH(LARGE($AC$6:$AC$25, 3), $AC$6:$AC$25, 0))</f>
        <v>0</v>
      </c>
      <c r="U11" s="94">
        <f ca="1">S11-T11</f>
        <v>0</v>
      </c>
      <c r="W11" s="49"/>
      <c r="X11" s="15"/>
      <c r="Z11" s="55" t="str">
        <f ca="1"/>
        <v>자동차</v>
      </c>
      <c r="AA11" s="57">
        <f ca="1"/>
        <v>0</v>
      </c>
      <c r="AB11" s="59">
        <f>AVERAGE('1월:12월'!C32)</f>
        <v>62970.833333333336</v>
      </c>
      <c r="AC11" s="95">
        <f t="shared" ca="1" si="0"/>
        <v>-62970.833333333336</v>
      </c>
    </row>
    <row r="12" spans="2:31" ht="17.25" thickTop="1" x14ac:dyDescent="0.3">
      <c r="K12" s="75"/>
      <c r="L12" s="82"/>
      <c r="M12" s="28"/>
      <c r="N12" s="5"/>
      <c r="O12" s="85"/>
      <c r="Q12" s="75"/>
      <c r="R12" s="82"/>
      <c r="S12" s="28"/>
      <c r="T12" s="5"/>
      <c r="U12" s="85"/>
      <c r="W12" s="49"/>
      <c r="X12" s="15"/>
      <c r="Z12" s="55" t="str">
        <f ca="1"/>
        <v>교통</v>
      </c>
      <c r="AA12" s="57">
        <f ca="1"/>
        <v>0</v>
      </c>
      <c r="AB12" s="59">
        <f>AVERAGE('1월:12월'!C33)</f>
        <v>27273.333333333332</v>
      </c>
      <c r="AC12" s="95">
        <f t="shared" ca="1" si="0"/>
        <v>-27273.333333333332</v>
      </c>
    </row>
    <row r="13" spans="2:31" x14ac:dyDescent="0.3">
      <c r="K13" s="75">
        <v>4</v>
      </c>
      <c r="L13" s="77" t="str">
        <f ca="1">INDEX(_xlfn.ANCHORARRAY(Z6), MATCH(LARGE(_xlfn.ANCHORARRAY(AA6), 4),_xlfn.ANCHORARRAY( AA6), 0))</f>
        <v>생활</v>
      </c>
      <c r="M13" s="28">
        <f ca="1">LARGE(_xlfn.ANCHORARRAY(AA6),4)</f>
        <v>0</v>
      </c>
      <c r="N13" s="28">
        <f ca="1">INDEX(AB6:AB25, MATCH(LARGE(_xlfn.ANCHORARRAY(AA6), 4),_xlfn.ANCHORARRAY( AA6), 0))</f>
        <v>45570</v>
      </c>
      <c r="O13" s="89">
        <f ca="1">M13/$AA$26</f>
        <v>0</v>
      </c>
      <c r="Q13" s="75">
        <v>4</v>
      </c>
      <c r="R13" s="77" t="str">
        <f ca="1">INDEX(_xlfn.ANCHORARRAY(Z6), MATCH(LARGE($AC$6:$AC$25, 4), $AC$6:$AC$25, 0))</f>
        <v>문화/여가</v>
      </c>
      <c r="S13" s="28">
        <f ca="1">INDEX(_xlfn.ANCHORARRAY(AA6), MATCH(LARGE($AC$6:$AC$25, 4), $AC$6:$AC$25, 0))</f>
        <v>0</v>
      </c>
      <c r="T13" s="28">
        <f ca="1">INDEX(AB6:AB25, MATCH(LARGE($AC$6:$AC$25, 4), $AC$6:$AC$25, 0))</f>
        <v>0</v>
      </c>
      <c r="U13" s="26">
        <f ca="1">S13-T13</f>
        <v>0</v>
      </c>
      <c r="W13" s="49"/>
      <c r="X13" s="15"/>
      <c r="Z13" s="55" t="str">
        <f ca="1"/>
        <v>카페/간식</v>
      </c>
      <c r="AA13" s="57">
        <f ca="1"/>
        <v>0</v>
      </c>
      <c r="AB13" s="59">
        <f>AVERAGE('1월:12월'!C34)</f>
        <v>29341.666666666668</v>
      </c>
      <c r="AC13" s="95">
        <f t="shared" ca="1" si="0"/>
        <v>-29341.666666666668</v>
      </c>
    </row>
    <row r="14" spans="2:31" x14ac:dyDescent="0.3">
      <c r="K14" s="75"/>
      <c r="L14" s="77"/>
      <c r="M14" s="28"/>
      <c r="N14" s="5"/>
      <c r="O14" s="85"/>
      <c r="Q14" s="75"/>
      <c r="R14" s="77"/>
      <c r="S14" s="28"/>
      <c r="T14" s="5"/>
      <c r="U14" s="85"/>
      <c r="W14" s="49"/>
      <c r="X14" s="15"/>
      <c r="Z14" s="55" t="str">
        <f ca="1"/>
        <v>여행/숙박</v>
      </c>
      <c r="AA14" s="57">
        <f ca="1"/>
        <v>0</v>
      </c>
      <c r="AB14" s="59">
        <f>AVERAGE('1월:12월'!C35)</f>
        <v>55013.666666666664</v>
      </c>
      <c r="AC14" s="95">
        <f t="shared" ca="1" si="0"/>
        <v>-55013.666666666664</v>
      </c>
    </row>
    <row r="15" spans="2:31" x14ac:dyDescent="0.3">
      <c r="K15" s="75">
        <v>5</v>
      </c>
      <c r="L15" s="77" t="str">
        <f ca="1">INDEX(_xlfn.ANCHORARRAY(Z6), MATCH(LARGE(_xlfn.ANCHORARRAY(AA6), 5),_xlfn.ANCHORARRAY( AA6), 0))</f>
        <v>생활</v>
      </c>
      <c r="M15" s="28">
        <f ca="1">LARGE(_xlfn.ANCHORARRAY(AA6),5)</f>
        <v>0</v>
      </c>
      <c r="N15" s="28">
        <f ca="1">INDEX(AB6:AB25, MATCH(LARGE(_xlfn.ANCHORARRAY(AA6), 5),_xlfn.ANCHORARRAY( AA6), 0))</f>
        <v>45570</v>
      </c>
      <c r="O15" s="89">
        <f ca="1">M15/$AA$26</f>
        <v>0</v>
      </c>
      <c r="Q15" s="75">
        <v>5</v>
      </c>
      <c r="R15" s="77" t="str">
        <f ca="1">INDEX(_xlfn.ANCHORARRAY(Z6), MATCH(LARGE($AC$6:$AC$25, 5), $AC$6:$AC$25, 0))</f>
        <v>문화/여가</v>
      </c>
      <c r="S15" s="28">
        <f ca="1">INDEX(_xlfn.ANCHORARRAY(AA6), MATCH(LARGE($AC$6:$AC$25, 5), $AC$6:$AC$25, 0))</f>
        <v>0</v>
      </c>
      <c r="T15" s="28">
        <f ca="1">INDEX(AB6:AB25, MATCH(LARGE($AC$6:$AC$25, 5), $AC$6:$AC$25, 0))</f>
        <v>0</v>
      </c>
      <c r="U15" s="26">
        <f ca="1">S15-T15</f>
        <v>0</v>
      </c>
      <c r="W15" s="49"/>
      <c r="X15" s="15"/>
      <c r="Z15" s="55" t="str">
        <f ca="1"/>
        <v>문화/여가</v>
      </c>
      <c r="AA15" s="57">
        <f ca="1"/>
        <v>0</v>
      </c>
      <c r="AB15" s="59">
        <f>AVERAGE('1월:12월'!C36)</f>
        <v>0</v>
      </c>
      <c r="AC15" s="95">
        <f t="shared" ca="1" si="0"/>
        <v>0</v>
      </c>
    </row>
    <row r="16" spans="2:31" x14ac:dyDescent="0.3">
      <c r="K16" s="75"/>
      <c r="L16" s="77"/>
      <c r="M16" s="28"/>
      <c r="N16" s="5"/>
      <c r="O16" s="85"/>
      <c r="Q16" s="75"/>
      <c r="R16" s="77"/>
      <c r="S16" s="28"/>
      <c r="T16" s="5"/>
      <c r="U16" s="85"/>
      <c r="W16" s="49"/>
      <c r="X16" s="15"/>
      <c r="Z16" s="55" t="str">
        <f ca="1"/>
        <v>의료/건강</v>
      </c>
      <c r="AA16" s="57">
        <f ca="1"/>
        <v>0</v>
      </c>
      <c r="AB16" s="59">
        <f>AVERAGE('1월:12월'!C37)</f>
        <v>2316.6666666666665</v>
      </c>
      <c r="AC16" s="95">
        <f t="shared" ca="1" si="0"/>
        <v>-2316.6666666666665</v>
      </c>
    </row>
    <row r="17" spans="2:29" x14ac:dyDescent="0.3">
      <c r="K17" s="70">
        <v>6</v>
      </c>
      <c r="L17" s="78" t="str">
        <f ca="1">INDEX(_xlfn.ANCHORARRAY(Z6), MATCH(LARGE(_xlfn.ANCHORARRAY(AA6), 6),_xlfn.ANCHORARRAY( AA6), 0))</f>
        <v>생활</v>
      </c>
      <c r="M17" s="27">
        <f ca="1">LARGE(_xlfn.ANCHORARRAY(AA6),6)</f>
        <v>0</v>
      </c>
      <c r="N17" s="27">
        <f ca="1">INDEX(AB6:AB25, MATCH(LARGE(_xlfn.ANCHORARRAY(AA6), 6),_xlfn.ANCHORARRAY( AA6), 0))</f>
        <v>45570</v>
      </c>
      <c r="O17" s="90">
        <f ca="1">M17/$AA$26</f>
        <v>0</v>
      </c>
      <c r="Q17" s="70">
        <v>6</v>
      </c>
      <c r="R17" s="78" t="str">
        <f ca="1">INDEX(_xlfn.ANCHORARRAY(Z6), MATCH(LARGE($AC$6:$AC$25, 6), $AC$6:$AC$25, 0))</f>
        <v>문화/여가</v>
      </c>
      <c r="S17" s="27">
        <f ca="1">INDEX(_xlfn.ANCHORARRAY(AA6), MATCH(LARGE($AC$6:$AC$25, 6), $AC$6:$AC$25, 0))</f>
        <v>0</v>
      </c>
      <c r="T17" s="27">
        <f ca="1">INDEX(AB6:AB25, MATCH(LARGE($AC$6:$AC$25, 6), $AC$6:$AC$25, 0))</f>
        <v>0</v>
      </c>
      <c r="U17" s="9">
        <f ca="1">S17-T17</f>
        <v>0</v>
      </c>
      <c r="W17" s="49"/>
      <c r="X17" s="15"/>
      <c r="Z17" s="55" t="str">
        <f ca="1"/>
        <v>패션/쇼핑</v>
      </c>
      <c r="AA17" s="57">
        <f ca="1"/>
        <v>0</v>
      </c>
      <c r="AB17" s="59">
        <f>AVERAGE('1월:12월'!C38)</f>
        <v>0</v>
      </c>
      <c r="AC17" s="95">
        <f t="shared" ca="1" si="0"/>
        <v>0</v>
      </c>
    </row>
    <row r="18" spans="2:29" x14ac:dyDescent="0.3">
      <c r="W18" s="49"/>
      <c r="X18" s="15"/>
      <c r="Z18" s="55" t="str">
        <f ca="1"/>
        <v>뷰티/미용</v>
      </c>
      <c r="AA18" s="57">
        <f ca="1"/>
        <v>0</v>
      </c>
      <c r="AB18" s="59">
        <f>AVERAGE('1월:12월'!C39)</f>
        <v>3000</v>
      </c>
      <c r="AC18" s="95">
        <f t="shared" ca="1" si="0"/>
        <v>-3000</v>
      </c>
    </row>
    <row r="19" spans="2:29" x14ac:dyDescent="0.3">
      <c r="W19" s="49"/>
      <c r="X19" s="15"/>
      <c r="Z19" s="55" t="str">
        <f ca="1"/>
        <v>교육/학습</v>
      </c>
      <c r="AA19" s="57">
        <f ca="1"/>
        <v>0</v>
      </c>
      <c r="AB19" s="59">
        <f>AVERAGE('1월:12월'!C40)</f>
        <v>0</v>
      </c>
      <c r="AC19" s="95">
        <f t="shared" ca="1" si="0"/>
        <v>0</v>
      </c>
    </row>
    <row r="20" spans="2:29" x14ac:dyDescent="0.3">
      <c r="W20" s="49"/>
      <c r="X20" s="15"/>
      <c r="Z20" s="55" t="str">
        <f ca="1"/>
        <v>술/유흥</v>
      </c>
      <c r="AA20" s="57">
        <f ca="1"/>
        <v>0</v>
      </c>
      <c r="AB20" s="59">
        <f>AVERAGE('1월:12월'!C41)</f>
        <v>0</v>
      </c>
      <c r="AC20" s="95">
        <f t="shared" ca="1" si="0"/>
        <v>0</v>
      </c>
    </row>
    <row r="21" spans="2:29" x14ac:dyDescent="0.3">
      <c r="W21" s="49"/>
      <c r="X21" s="15"/>
      <c r="Z21" s="55" t="str">
        <f ca="1"/>
        <v>교육</v>
      </c>
      <c r="AA21" s="57">
        <f ca="1"/>
        <v>0</v>
      </c>
      <c r="AB21" s="59">
        <f>AVERAGE('1월:12월'!C42)</f>
        <v>0</v>
      </c>
      <c r="AC21" s="95">
        <f t="shared" ca="1" si="0"/>
        <v>0</v>
      </c>
    </row>
    <row r="22" spans="2:29" x14ac:dyDescent="0.3">
      <c r="B22" s="48" t="s">
        <v>134</v>
      </c>
      <c r="C22" s="45" t="s">
        <v>135</v>
      </c>
      <c r="W22" s="49"/>
      <c r="X22" s="15"/>
      <c r="Z22" s="55" t="str">
        <f ca="1"/>
        <v>식사</v>
      </c>
      <c r="AA22" s="57">
        <f ca="1"/>
        <v>0</v>
      </c>
      <c r="AB22" s="59">
        <f>AVERAGE('1월:12월'!C43)</f>
        <v>0</v>
      </c>
      <c r="AC22" s="95">
        <f t="shared" ca="1" si="0"/>
        <v>0</v>
      </c>
    </row>
    <row r="23" spans="2:29" x14ac:dyDescent="0.3">
      <c r="B23" s="41" t="str">
        <f>설정!D4</f>
        <v>천세원</v>
      </c>
      <c r="C23" s="26" cm="1">
        <f t="array" aca="1" ref="C23" ca="1">-INDIRECT("'" &amp; $AE$2 &amp; "'!$L$89")</f>
        <v>3182767</v>
      </c>
      <c r="D23" s="59">
        <f>-AVERAGE('1월:12월'!L89)</f>
        <v>7698552.25</v>
      </c>
      <c r="W23" s="49"/>
      <c r="X23" s="15"/>
      <c r="Z23" s="55" t="str">
        <f ca="1"/>
        <v>미분류</v>
      </c>
      <c r="AA23" s="57">
        <f ca="1"/>
        <v>0</v>
      </c>
      <c r="AB23" s="59">
        <f>AVERAGE('1월:12월'!C44)</f>
        <v>0</v>
      </c>
      <c r="AC23" s="95">
        <f t="shared" ca="1" si="0"/>
        <v>0</v>
      </c>
    </row>
    <row r="24" spans="2:29" x14ac:dyDescent="0.3">
      <c r="B24" s="42" t="str">
        <f>설정!D6</f>
        <v>하유진</v>
      </c>
      <c r="C24" s="9" cm="1">
        <f t="array" aca="1" ref="C24" ca="1">-INDIRECT("'" &amp; $AE$2 &amp; "'!$V$89")</f>
        <v>0</v>
      </c>
      <c r="D24" s="59">
        <f>-AVERAGE('1월:12월'!V89)</f>
        <v>0</v>
      </c>
      <c r="W24" s="49"/>
      <c r="X24" s="15"/>
      <c r="Z24" s="55" t="str">
        <f ca="1"/>
        <v>의복/미용</v>
      </c>
      <c r="AA24" s="57">
        <f ca="1"/>
        <v>0</v>
      </c>
      <c r="AB24" s="59">
        <f>AVERAGE('1월:12월'!C45)</f>
        <v>0</v>
      </c>
      <c r="AC24" s="95">
        <f t="shared" ca="1" si="0"/>
        <v>0</v>
      </c>
    </row>
    <row r="25" spans="2:29" x14ac:dyDescent="0.3">
      <c r="W25" s="49"/>
      <c r="X25" s="54"/>
      <c r="Z25" s="56" t="str">
        <f ca="1"/>
        <v>경조사</v>
      </c>
      <c r="AA25" s="58">
        <f ca="1"/>
        <v>0</v>
      </c>
      <c r="AB25" s="59">
        <f>AVERAGE('1월:12월'!C46)</f>
        <v>0</v>
      </c>
      <c r="AC25" s="95">
        <f t="shared" ca="1" si="0"/>
        <v>0</v>
      </c>
    </row>
    <row r="26" spans="2:29" x14ac:dyDescent="0.3">
      <c r="B26" s="132" t="s">
        <v>126</v>
      </c>
      <c r="C26" s="132"/>
      <c r="W26" s="45" t="s">
        <v>24</v>
      </c>
      <c r="X26" s="61">
        <f ca="1">SUM(_xlfn.ANCHORARRAY(X6))</f>
        <v>4490908</v>
      </c>
      <c r="Z26" s="45" t="s">
        <v>24</v>
      </c>
      <c r="AA26" s="60">
        <f ca="1">SUM(_xlfn.ANCHORARRAY(AA6))</f>
        <v>3182767</v>
      </c>
      <c r="AC26" s="91"/>
    </row>
  </sheetData>
  <mergeCells count="7">
    <mergeCell ref="B2:D2"/>
    <mergeCell ref="Q4:S4"/>
    <mergeCell ref="Z4:AA4"/>
    <mergeCell ref="B26:C26"/>
    <mergeCell ref="W4:X4"/>
    <mergeCell ref="B4:C4"/>
    <mergeCell ref="K4:L4"/>
  </mergeCells>
  <phoneticPr fontId="1" type="noConversion"/>
  <dataValidations count="1">
    <dataValidation type="list" allowBlank="1" showInputMessage="1" showErrorMessage="1" sqref="AE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85"/>
  <sheetViews>
    <sheetView topLeftCell="A36" zoomScale="85" zoomScaleNormal="85" workbookViewId="0">
      <selection activeCell="J59" sqref="J59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102" t="s">
        <v>0</v>
      </c>
      <c r="C2" s="102"/>
      <c r="D2" s="102"/>
    </row>
    <row r="3" spans="2:29" ht="17.25" thickTop="1" x14ac:dyDescent="0.3">
      <c r="K3" s="1" t="s">
        <v>1</v>
      </c>
    </row>
    <row r="4" spans="2:29" x14ac:dyDescent="0.3">
      <c r="B4" s="145" t="s">
        <v>2</v>
      </c>
      <c r="C4" s="146"/>
      <c r="D4" s="146" t="s">
        <v>3</v>
      </c>
      <c r="E4" s="149"/>
      <c r="G4" s="34" t="s">
        <v>85</v>
      </c>
      <c r="H4" s="146">
        <v>2026</v>
      </c>
      <c r="I4" s="149"/>
      <c r="K4" s="157" t="s">
        <v>244</v>
      </c>
      <c r="L4" s="158"/>
      <c r="M4" s="158"/>
      <c r="N4" s="158"/>
      <c r="O4" s="158"/>
      <c r="P4" s="159"/>
    </row>
    <row r="5" spans="2:29" x14ac:dyDescent="0.3">
      <c r="B5" s="24"/>
      <c r="E5" s="13"/>
      <c r="G5" s="24"/>
      <c r="I5" s="13"/>
    </row>
    <row r="6" spans="2:29" x14ac:dyDescent="0.3">
      <c r="B6" s="147" t="s">
        <v>4</v>
      </c>
      <c r="C6" s="148"/>
      <c r="D6" s="148" t="s">
        <v>5</v>
      </c>
      <c r="E6" s="150"/>
      <c r="G6" s="32"/>
      <c r="H6" s="35"/>
      <c r="I6" s="33"/>
      <c r="K6" s="157" t="s">
        <v>284</v>
      </c>
      <c r="L6" s="158"/>
      <c r="M6" s="158"/>
      <c r="N6" s="158"/>
      <c r="O6" s="158"/>
      <c r="P6" s="159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151" t="s">
        <v>33</v>
      </c>
      <c r="C9" s="142" t="s">
        <v>6</v>
      </c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4"/>
      <c r="S9" s="107" t="s">
        <v>7</v>
      </c>
      <c r="T9" s="107"/>
      <c r="U9" s="107"/>
      <c r="V9" s="107"/>
      <c r="W9" s="107"/>
      <c r="X9" s="107"/>
      <c r="Z9" s="139" t="s">
        <v>8</v>
      </c>
      <c r="AA9" s="140"/>
      <c r="AB9" s="140"/>
      <c r="AC9" s="141"/>
    </row>
    <row r="10" spans="2:29" x14ac:dyDescent="0.3">
      <c r="B10" s="152"/>
      <c r="C10" s="126" t="s">
        <v>9</v>
      </c>
      <c r="D10" s="127"/>
      <c r="E10" s="128" t="s">
        <v>10</v>
      </c>
      <c r="F10" s="128"/>
      <c r="G10" s="129" t="s">
        <v>11</v>
      </c>
      <c r="H10" s="129"/>
      <c r="I10" s="130" t="s">
        <v>12</v>
      </c>
      <c r="J10" s="130"/>
      <c r="K10" s="106" t="s">
        <v>13</v>
      </c>
      <c r="L10" s="106"/>
      <c r="M10" s="100" t="s">
        <v>14</v>
      </c>
      <c r="N10" s="100"/>
      <c r="O10" s="121" t="s">
        <v>15</v>
      </c>
      <c r="P10" s="121"/>
      <c r="Q10" s="122" t="s">
        <v>16</v>
      </c>
      <c r="R10" s="122"/>
      <c r="S10" s="123" t="s">
        <v>17</v>
      </c>
      <c r="T10" s="123"/>
      <c r="U10" s="124" t="s">
        <v>18</v>
      </c>
      <c r="V10" s="124"/>
      <c r="W10" s="125" t="s">
        <v>19</v>
      </c>
      <c r="X10" s="125"/>
      <c r="Z10" s="117" t="s">
        <v>20</v>
      </c>
      <c r="AA10" s="118"/>
      <c r="AB10" s="119" t="s">
        <v>21</v>
      </c>
      <c r="AC10" s="120"/>
    </row>
    <row r="11" spans="2:29" x14ac:dyDescent="0.3">
      <c r="B11" s="153" t="str">
        <f>D4</f>
        <v>천세원</v>
      </c>
      <c r="C11" s="4" t="s">
        <v>43</v>
      </c>
      <c r="D11" s="40">
        <v>872531</v>
      </c>
      <c r="E11" s="4"/>
      <c r="F11" s="40"/>
      <c r="G11" s="4" t="s">
        <v>57</v>
      </c>
      <c r="H11" s="40">
        <v>0</v>
      </c>
      <c r="I11" s="4"/>
      <c r="J11" s="40"/>
      <c r="K11" s="4" t="s">
        <v>58</v>
      </c>
      <c r="L11" s="40">
        <v>36200</v>
      </c>
      <c r="M11" s="4"/>
      <c r="N11" s="40"/>
      <c r="O11" s="4" t="s">
        <v>64</v>
      </c>
      <c r="P11" s="40">
        <v>0</v>
      </c>
      <c r="Q11" s="4" t="s">
        <v>65</v>
      </c>
      <c r="R11" s="40">
        <v>56729125</v>
      </c>
      <c r="S11" s="4" t="s">
        <v>219</v>
      </c>
      <c r="T11" s="40">
        <v>5714729.8152000001</v>
      </c>
      <c r="U11" s="4"/>
      <c r="V11" s="40"/>
      <c r="W11" s="4" t="s">
        <v>74</v>
      </c>
      <c r="X11" s="29">
        <v>9050000</v>
      </c>
      <c r="Z11" s="4"/>
      <c r="AA11" s="26"/>
      <c r="AB11" s="4" t="s">
        <v>73</v>
      </c>
      <c r="AC11" s="26">
        <v>0</v>
      </c>
    </row>
    <row r="12" spans="2:29" x14ac:dyDescent="0.3">
      <c r="B12" s="154"/>
      <c r="C12" s="6" t="s">
        <v>44</v>
      </c>
      <c r="D12" s="26">
        <v>1</v>
      </c>
      <c r="E12" s="6"/>
      <c r="F12" s="26"/>
      <c r="G12" s="6"/>
      <c r="H12" s="26"/>
      <c r="I12" s="6"/>
      <c r="J12" s="26"/>
      <c r="K12" s="6" t="s">
        <v>59</v>
      </c>
      <c r="L12" s="26">
        <v>0</v>
      </c>
      <c r="M12" s="6"/>
      <c r="N12" s="26"/>
      <c r="O12" s="6" t="s">
        <v>245</v>
      </c>
      <c r="P12" s="26">
        <v>0</v>
      </c>
      <c r="Q12" s="6" t="s">
        <v>56</v>
      </c>
      <c r="R12" s="26">
        <v>6900000</v>
      </c>
      <c r="S12" s="6" t="s">
        <v>246</v>
      </c>
      <c r="T12" s="26">
        <v>3414919.389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154"/>
      <c r="C13" s="6" t="s">
        <v>45</v>
      </c>
      <c r="D13" s="26">
        <v>93</v>
      </c>
      <c r="E13" s="6"/>
      <c r="F13" s="26"/>
      <c r="G13" s="6"/>
      <c r="H13" s="26"/>
      <c r="I13" s="6"/>
      <c r="J13" s="26"/>
      <c r="K13" s="6" t="s">
        <v>60</v>
      </c>
      <c r="L13" s="26">
        <v>0</v>
      </c>
      <c r="M13" s="6"/>
      <c r="N13" s="26"/>
      <c r="O13" s="6"/>
      <c r="P13" s="26"/>
      <c r="Q13" s="6"/>
      <c r="R13" s="26"/>
      <c r="S13" s="6" t="s">
        <v>179</v>
      </c>
      <c r="T13" s="26">
        <v>4363663.9648000002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154"/>
      <c r="C14" s="6" t="s">
        <v>46</v>
      </c>
      <c r="D14" s="26">
        <v>104047</v>
      </c>
      <c r="E14" s="6"/>
      <c r="F14" s="26"/>
      <c r="G14" s="6"/>
      <c r="H14" s="26"/>
      <c r="I14" s="6"/>
      <c r="J14" s="26"/>
      <c r="K14" s="6" t="s">
        <v>61</v>
      </c>
      <c r="L14" s="26">
        <v>0</v>
      </c>
      <c r="M14" s="6"/>
      <c r="N14" s="26"/>
      <c r="O14" s="6"/>
      <c r="P14" s="26"/>
      <c r="Q14" s="6"/>
      <c r="R14" s="26"/>
      <c r="S14" s="6" t="s">
        <v>247</v>
      </c>
      <c r="T14" s="26">
        <v>3427903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154"/>
      <c r="C15" s="6" t="s">
        <v>46</v>
      </c>
      <c r="D15" s="26">
        <v>1059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180</v>
      </c>
      <c r="T15" s="26">
        <v>3065976.4975000001</v>
      </c>
      <c r="U15" s="6"/>
      <c r="V15" s="26"/>
      <c r="W15" s="6"/>
      <c r="X15" s="30"/>
      <c r="Z15" s="6"/>
      <c r="AA15" s="26"/>
      <c r="AB15" s="6" t="s">
        <v>73</v>
      </c>
      <c r="AC15" s="26">
        <v>0</v>
      </c>
    </row>
    <row r="16" spans="2:29" x14ac:dyDescent="0.3">
      <c r="B16" s="154"/>
      <c r="C16" s="6" t="s">
        <v>47</v>
      </c>
      <c r="D16" s="26">
        <v>0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158</v>
      </c>
      <c r="T16" s="26">
        <v>3815611.7104000002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154"/>
      <c r="C17" s="6"/>
      <c r="D17" s="26"/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3670212.5543999998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154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248</v>
      </c>
      <c r="T18" s="26">
        <v>4445141.7905999999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154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249</v>
      </c>
      <c r="T19" s="26">
        <v>897734.20799999998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154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 t="s">
        <v>250</v>
      </c>
      <c r="T20" s="26">
        <v>1994080.0432</v>
      </c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154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 t="s">
        <v>181</v>
      </c>
      <c r="T21" s="26">
        <v>1578274.656</v>
      </c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154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 t="s">
        <v>182</v>
      </c>
      <c r="T22" s="26">
        <v>390797.93900000001</v>
      </c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154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 t="s">
        <v>251</v>
      </c>
      <c r="T23" s="26">
        <v>0</v>
      </c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154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 t="s">
        <v>63</v>
      </c>
      <c r="T24" s="26">
        <v>31990</v>
      </c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154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 t="s">
        <v>40</v>
      </c>
      <c r="T25" s="26">
        <v>29121.996999999999</v>
      </c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154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 t="s">
        <v>40</v>
      </c>
      <c r="T26" s="26">
        <v>0</v>
      </c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154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 t="s">
        <v>41</v>
      </c>
      <c r="T27" s="26">
        <v>10</v>
      </c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154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 t="s">
        <v>42</v>
      </c>
      <c r="T28" s="26">
        <v>0</v>
      </c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154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 t="s">
        <v>42</v>
      </c>
      <c r="T29" s="26">
        <v>0</v>
      </c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154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154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154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9" x14ac:dyDescent="0.3">
      <c r="B33" s="154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9" x14ac:dyDescent="0.3">
      <c r="B34" s="154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9" x14ac:dyDescent="0.3">
      <c r="B35" s="154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9" x14ac:dyDescent="0.3">
      <c r="B36" s="154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9" x14ac:dyDescent="0.3">
      <c r="B37" s="154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9" x14ac:dyDescent="0.3">
      <c r="B38" s="154"/>
      <c r="C38" s="6"/>
      <c r="D38" s="26"/>
      <c r="E38" s="6"/>
      <c r="F38" s="26"/>
      <c r="G38" s="6"/>
      <c r="H38" s="26"/>
      <c r="I38" s="6"/>
      <c r="J38" s="26"/>
      <c r="K38" s="6"/>
      <c r="L38" s="26"/>
      <c r="M38" s="6"/>
      <c r="N38" s="26"/>
      <c r="O38" s="6"/>
      <c r="P38" s="26"/>
      <c r="Q38" s="6"/>
      <c r="R38" s="26"/>
      <c r="S38" s="6"/>
      <c r="T38" s="26"/>
      <c r="U38" s="6"/>
      <c r="V38" s="26"/>
      <c r="W38" s="6"/>
      <c r="X38" s="30"/>
      <c r="Z38" s="5"/>
      <c r="AA38" s="5"/>
      <c r="AB38" s="5"/>
      <c r="AC38" s="5"/>
    </row>
    <row r="39" spans="2:29" x14ac:dyDescent="0.3">
      <c r="B39" s="154"/>
      <c r="C39" s="6"/>
      <c r="D39" s="26"/>
      <c r="E39" s="6"/>
      <c r="F39" s="26"/>
      <c r="G39" s="6"/>
      <c r="H39" s="26"/>
      <c r="I39" s="6"/>
      <c r="J39" s="26"/>
      <c r="K39" s="6"/>
      <c r="L39" s="26"/>
      <c r="M39" s="6"/>
      <c r="N39" s="26"/>
      <c r="O39" s="6"/>
      <c r="P39" s="26"/>
      <c r="Q39" s="6"/>
      <c r="R39" s="26"/>
      <c r="S39" s="6"/>
      <c r="T39" s="26"/>
      <c r="U39" s="6"/>
      <c r="V39" s="26"/>
      <c r="W39" s="6"/>
      <c r="X39" s="30"/>
      <c r="Z39" s="5"/>
      <c r="AA39" s="5"/>
      <c r="AB39" s="5"/>
      <c r="AC39" s="5"/>
    </row>
    <row r="40" spans="2:29" x14ac:dyDescent="0.3">
      <c r="B40" s="154"/>
      <c r="C40" s="6"/>
      <c r="D40" s="26"/>
      <c r="E40" s="6"/>
      <c r="F40" s="26"/>
      <c r="G40" s="6"/>
      <c r="H40" s="26"/>
      <c r="I40" s="6"/>
      <c r="J40" s="26"/>
      <c r="K40" s="6"/>
      <c r="L40" s="26"/>
      <c r="M40" s="6"/>
      <c r="N40" s="26"/>
      <c r="O40" s="6"/>
      <c r="P40" s="26"/>
      <c r="Q40" s="6"/>
      <c r="R40" s="26"/>
      <c r="S40" s="6"/>
      <c r="T40" s="26"/>
      <c r="U40" s="6"/>
      <c r="V40" s="26"/>
      <c r="W40" s="6"/>
      <c r="X40" s="30"/>
      <c r="Z40" s="5"/>
      <c r="AA40" s="5"/>
      <c r="AB40" s="5"/>
      <c r="AC40" s="5"/>
    </row>
    <row r="41" spans="2:29" x14ac:dyDescent="0.3">
      <c r="B41" s="154"/>
      <c r="C41" s="6"/>
      <c r="D41" s="26"/>
      <c r="E41" s="6"/>
      <c r="F41" s="26"/>
      <c r="G41" s="6"/>
      <c r="H41" s="26"/>
      <c r="I41" s="6"/>
      <c r="J41" s="26"/>
      <c r="K41" s="6"/>
      <c r="L41" s="26"/>
      <c r="M41" s="6"/>
      <c r="N41" s="26"/>
      <c r="O41" s="6"/>
      <c r="P41" s="26"/>
      <c r="Q41" s="6"/>
      <c r="R41" s="26"/>
      <c r="S41" s="6"/>
      <c r="T41" s="26"/>
      <c r="U41" s="6"/>
      <c r="V41" s="26"/>
      <c r="W41" s="6"/>
      <c r="X41" s="30"/>
    </row>
    <row r="42" spans="2:29" x14ac:dyDescent="0.3">
      <c r="B42" s="154"/>
      <c r="C42" s="6"/>
      <c r="D42" s="26"/>
      <c r="E42" s="6"/>
      <c r="F42" s="26"/>
      <c r="G42" s="6"/>
      <c r="H42" s="26"/>
      <c r="I42" s="6"/>
      <c r="J42" s="26"/>
      <c r="K42" s="6"/>
      <c r="L42" s="26"/>
      <c r="M42" s="6"/>
      <c r="N42" s="26"/>
      <c r="O42" s="6"/>
      <c r="P42" s="26"/>
      <c r="Q42" s="6"/>
      <c r="R42" s="26"/>
      <c r="S42" s="6"/>
      <c r="T42" s="26"/>
      <c r="U42" s="6"/>
      <c r="V42" s="26"/>
      <c r="W42" s="6"/>
      <c r="X42" s="30"/>
    </row>
    <row r="43" spans="2:29" x14ac:dyDescent="0.3">
      <c r="B43" s="154"/>
      <c r="C43" s="6"/>
      <c r="D43" s="26"/>
      <c r="E43" s="6"/>
      <c r="F43" s="26"/>
      <c r="G43" s="6"/>
      <c r="H43" s="26"/>
      <c r="I43" s="6"/>
      <c r="J43" s="26"/>
      <c r="K43" s="6"/>
      <c r="L43" s="26"/>
      <c r="M43" s="6"/>
      <c r="N43" s="26"/>
      <c r="O43" s="6"/>
      <c r="P43" s="26"/>
      <c r="Q43" s="6"/>
      <c r="R43" s="26"/>
      <c r="S43" s="6"/>
      <c r="T43" s="26"/>
      <c r="U43" s="6"/>
      <c r="V43" s="26"/>
      <c r="W43" s="6"/>
      <c r="X43" s="30"/>
    </row>
    <row r="44" spans="2:29" x14ac:dyDescent="0.3">
      <c r="B44" s="154"/>
      <c r="C44" s="6"/>
      <c r="D44" s="26"/>
      <c r="E44" s="6"/>
      <c r="F44" s="26"/>
      <c r="G44" s="6"/>
      <c r="H44" s="26"/>
      <c r="I44" s="6"/>
      <c r="J44" s="26"/>
      <c r="K44" s="6"/>
      <c r="L44" s="26"/>
      <c r="M44" s="6"/>
      <c r="N44" s="26"/>
      <c r="O44" s="6"/>
      <c r="P44" s="26"/>
      <c r="Q44" s="6"/>
      <c r="R44" s="26"/>
      <c r="S44" s="6"/>
      <c r="T44" s="26"/>
      <c r="U44" s="6"/>
      <c r="V44" s="26"/>
      <c r="W44" s="6"/>
      <c r="X44" s="30"/>
    </row>
    <row r="45" spans="2:29" x14ac:dyDescent="0.3">
      <c r="B45" s="154"/>
      <c r="C45" s="6"/>
      <c r="D45" s="26"/>
      <c r="E45" s="6"/>
      <c r="F45" s="26"/>
      <c r="G45" s="6"/>
      <c r="H45" s="26"/>
      <c r="I45" s="6"/>
      <c r="J45" s="26"/>
      <c r="K45" s="6"/>
      <c r="L45" s="26"/>
      <c r="M45" s="6"/>
      <c r="N45" s="26"/>
      <c r="O45" s="6"/>
      <c r="P45" s="26"/>
      <c r="Q45" s="6"/>
      <c r="R45" s="26"/>
      <c r="S45" s="6"/>
      <c r="T45" s="26"/>
      <c r="U45" s="6"/>
      <c r="V45" s="26"/>
      <c r="W45" s="6"/>
      <c r="X45" s="30"/>
    </row>
    <row r="46" spans="2:29" x14ac:dyDescent="0.3">
      <c r="B46" s="155"/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  <c r="V46" s="9"/>
      <c r="W46" s="10"/>
      <c r="X46" s="31"/>
    </row>
    <row r="47" spans="2:29" x14ac:dyDescent="0.3">
      <c r="B47" s="156" t="str">
        <f>D6</f>
        <v>하유진</v>
      </c>
      <c r="C47" s="6" t="s">
        <v>43</v>
      </c>
      <c r="D47" s="28">
        <v>32137710</v>
      </c>
      <c r="E47" s="6"/>
      <c r="F47" s="28"/>
      <c r="G47" s="6" t="s">
        <v>57</v>
      </c>
      <c r="H47" s="28">
        <v>0</v>
      </c>
      <c r="I47" s="6" t="s">
        <v>183</v>
      </c>
      <c r="J47" s="28">
        <v>1200000</v>
      </c>
      <c r="K47" s="6" t="s">
        <v>184</v>
      </c>
      <c r="L47" s="28">
        <v>0</v>
      </c>
      <c r="M47" s="6"/>
      <c r="N47" s="28"/>
      <c r="O47" s="6" t="s">
        <v>70</v>
      </c>
      <c r="P47" s="28">
        <v>0</v>
      </c>
      <c r="Q47" s="6" t="s">
        <v>187</v>
      </c>
      <c r="R47" s="28">
        <v>40197418</v>
      </c>
      <c r="S47" s="6" t="s">
        <v>179</v>
      </c>
      <c r="T47" s="28">
        <v>3931188.5584999998</v>
      </c>
      <c r="U47" s="6"/>
      <c r="V47" s="28"/>
      <c r="W47" s="6" t="s">
        <v>120</v>
      </c>
      <c r="X47" s="30">
        <v>7300000</v>
      </c>
    </row>
    <row r="48" spans="2:29" x14ac:dyDescent="0.3">
      <c r="B48" s="156"/>
      <c r="C48" s="6" t="s">
        <v>44</v>
      </c>
      <c r="D48" s="28">
        <v>1</v>
      </c>
      <c r="E48" s="6"/>
      <c r="F48" s="28"/>
      <c r="G48" s="6"/>
      <c r="H48" s="28"/>
      <c r="I48" s="6" t="s">
        <v>66</v>
      </c>
      <c r="J48" s="28">
        <v>4000000</v>
      </c>
      <c r="K48" s="6" t="s">
        <v>185</v>
      </c>
      <c r="L48" s="28">
        <v>0</v>
      </c>
      <c r="M48" s="6"/>
      <c r="N48" s="28"/>
      <c r="O48" s="6" t="s">
        <v>71</v>
      </c>
      <c r="P48" s="28">
        <v>0</v>
      </c>
      <c r="Q48" s="6" t="s">
        <v>119</v>
      </c>
      <c r="R48" s="28">
        <v>0</v>
      </c>
      <c r="S48" s="6" t="s">
        <v>219</v>
      </c>
      <c r="T48" s="28">
        <v>1989376.4284000001</v>
      </c>
      <c r="U48" s="6"/>
      <c r="V48" s="28"/>
      <c r="W48" s="6"/>
      <c r="X48" s="30"/>
    </row>
    <row r="49" spans="2:24" x14ac:dyDescent="0.3">
      <c r="B49" s="156"/>
      <c r="C49" s="6" t="s">
        <v>48</v>
      </c>
      <c r="D49" s="28">
        <v>4417</v>
      </c>
      <c r="E49" s="6"/>
      <c r="F49" s="28"/>
      <c r="G49" s="6"/>
      <c r="H49" s="28"/>
      <c r="I49" s="6" t="s">
        <v>67</v>
      </c>
      <c r="J49" s="28">
        <v>45000000</v>
      </c>
      <c r="K49" s="6" t="s">
        <v>68</v>
      </c>
      <c r="L49" s="28">
        <v>513923</v>
      </c>
      <c r="M49" s="6"/>
      <c r="N49" s="28"/>
      <c r="O49" s="6" t="s">
        <v>72</v>
      </c>
      <c r="P49" s="28">
        <v>0</v>
      </c>
      <c r="Q49" s="6"/>
      <c r="R49" s="28"/>
      <c r="S49" s="6" t="s">
        <v>220</v>
      </c>
      <c r="T49" s="28">
        <v>1744024.2709999999</v>
      </c>
      <c r="U49" s="6"/>
      <c r="V49" s="28"/>
      <c r="W49" s="6"/>
      <c r="X49" s="30"/>
    </row>
    <row r="50" spans="2:24" x14ac:dyDescent="0.3">
      <c r="B50" s="156"/>
      <c r="C50" s="6" t="s">
        <v>49</v>
      </c>
      <c r="D50" s="28">
        <v>0</v>
      </c>
      <c r="E50" s="6"/>
      <c r="F50" s="28"/>
      <c r="G50" s="6"/>
      <c r="H50" s="28"/>
      <c r="I50" s="6" t="s">
        <v>67</v>
      </c>
      <c r="J50" s="28">
        <v>30000000</v>
      </c>
      <c r="K50" s="6" t="s">
        <v>60</v>
      </c>
      <c r="L50" s="28">
        <v>0</v>
      </c>
      <c r="M50" s="6"/>
      <c r="N50" s="28"/>
      <c r="O50" s="6" t="s">
        <v>186</v>
      </c>
      <c r="P50" s="28">
        <v>0</v>
      </c>
      <c r="Q50" s="6"/>
      <c r="R50" s="28"/>
      <c r="S50" s="6" t="s">
        <v>221</v>
      </c>
      <c r="T50" s="28">
        <v>422000</v>
      </c>
      <c r="U50" s="6"/>
      <c r="V50" s="28"/>
      <c r="W50" s="6"/>
      <c r="X50" s="30"/>
    </row>
    <row r="51" spans="2:24" x14ac:dyDescent="0.3">
      <c r="B51" s="156"/>
      <c r="C51" s="6" t="s">
        <v>50</v>
      </c>
      <c r="D51" s="28">
        <v>815</v>
      </c>
      <c r="E51" s="6"/>
      <c r="F51" s="28"/>
      <c r="G51" s="6"/>
      <c r="H51" s="28"/>
      <c r="I51" s="6" t="s">
        <v>67</v>
      </c>
      <c r="J51" s="28">
        <v>5102094</v>
      </c>
      <c r="K51" s="6" t="s">
        <v>69</v>
      </c>
      <c r="L51" s="28">
        <v>0</v>
      </c>
      <c r="M51" s="6"/>
      <c r="N51" s="28"/>
      <c r="O51" s="6"/>
      <c r="P51" s="28"/>
      <c r="Q51" s="6"/>
      <c r="R51" s="28"/>
      <c r="S51" s="6" t="s">
        <v>222</v>
      </c>
      <c r="T51" s="28">
        <v>113127.0273</v>
      </c>
      <c r="U51" s="6"/>
      <c r="V51" s="28"/>
      <c r="W51" s="6"/>
      <c r="X51" s="30"/>
    </row>
    <row r="52" spans="2:24" x14ac:dyDescent="0.3">
      <c r="B52" s="156"/>
      <c r="C52" s="6" t="s">
        <v>51</v>
      </c>
      <c r="D52" s="28">
        <v>4254</v>
      </c>
      <c r="E52" s="6"/>
      <c r="F52" s="28"/>
      <c r="G52" s="6"/>
      <c r="H52" s="28"/>
      <c r="I52" s="6" t="s">
        <v>67</v>
      </c>
      <c r="J52" s="28">
        <v>50000000</v>
      </c>
      <c r="K52" s="6"/>
      <c r="L52" s="28"/>
      <c r="M52" s="6"/>
      <c r="N52" s="28"/>
      <c r="O52" s="6"/>
      <c r="P52" s="28"/>
      <c r="Q52" s="6"/>
      <c r="R52" s="28"/>
      <c r="S52" s="6" t="s">
        <v>223</v>
      </c>
      <c r="T52" s="28">
        <v>77171.925600000002</v>
      </c>
      <c r="U52" s="6"/>
      <c r="V52" s="28"/>
      <c r="W52" s="6"/>
      <c r="X52" s="30"/>
    </row>
    <row r="53" spans="2:24" x14ac:dyDescent="0.3">
      <c r="B53" s="156"/>
      <c r="C53" s="6" t="s">
        <v>52</v>
      </c>
      <c r="D53" s="28">
        <v>121095</v>
      </c>
      <c r="E53" s="6"/>
      <c r="F53" s="28"/>
      <c r="G53" s="6"/>
      <c r="H53" s="28"/>
      <c r="I53" s="6" t="s">
        <v>119</v>
      </c>
      <c r="J53" s="28">
        <v>0</v>
      </c>
      <c r="K53" s="6"/>
      <c r="L53" s="28"/>
      <c r="M53" s="6"/>
      <c r="N53" s="28"/>
      <c r="O53" s="6"/>
      <c r="P53" s="28"/>
      <c r="Q53" s="6"/>
      <c r="R53" s="28"/>
      <c r="S53" s="6" t="s">
        <v>224</v>
      </c>
      <c r="T53" s="28">
        <v>56900</v>
      </c>
      <c r="U53" s="6"/>
      <c r="V53" s="28"/>
      <c r="W53" s="6"/>
      <c r="X53" s="30"/>
    </row>
    <row r="54" spans="2:24" x14ac:dyDescent="0.3">
      <c r="B54" s="156"/>
      <c r="C54" s="6" t="s">
        <v>53</v>
      </c>
      <c r="D54" s="28">
        <v>0</v>
      </c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225</v>
      </c>
      <c r="T54" s="28">
        <v>9170</v>
      </c>
      <c r="U54" s="6"/>
      <c r="V54" s="28"/>
      <c r="W54" s="6"/>
      <c r="X54" s="30"/>
    </row>
    <row r="55" spans="2:24" x14ac:dyDescent="0.3">
      <c r="B55" s="156"/>
      <c r="C55" s="6" t="s">
        <v>45</v>
      </c>
      <c r="D55" s="28">
        <v>461</v>
      </c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226</v>
      </c>
      <c r="T55" s="28">
        <v>997500</v>
      </c>
      <c r="U55" s="6"/>
      <c r="V55" s="28"/>
      <c r="W55" s="6"/>
      <c r="X55" s="30"/>
    </row>
    <row r="56" spans="2:24" x14ac:dyDescent="0.3">
      <c r="B56" s="156"/>
      <c r="C56" s="6" t="s">
        <v>45</v>
      </c>
      <c r="D56" s="28">
        <v>0</v>
      </c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227</v>
      </c>
      <c r="T56" s="28">
        <v>813600</v>
      </c>
      <c r="U56" s="6"/>
      <c r="V56" s="28"/>
      <c r="W56" s="6"/>
      <c r="X56" s="30"/>
    </row>
    <row r="57" spans="2:24" x14ac:dyDescent="0.3">
      <c r="B57" s="156"/>
      <c r="C57" s="6" t="s">
        <v>46</v>
      </c>
      <c r="D57" s="28">
        <v>15</v>
      </c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228</v>
      </c>
      <c r="T57" s="28">
        <v>564000</v>
      </c>
      <c r="U57" s="6"/>
      <c r="V57" s="28"/>
      <c r="W57" s="6"/>
      <c r="X57" s="30"/>
    </row>
    <row r="58" spans="2:24" x14ac:dyDescent="0.3">
      <c r="B58" s="156"/>
      <c r="C58" s="6" t="s">
        <v>54</v>
      </c>
      <c r="D58" s="28">
        <v>19528</v>
      </c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229</v>
      </c>
      <c r="T58" s="28">
        <v>466400</v>
      </c>
      <c r="U58" s="6"/>
      <c r="V58" s="28"/>
      <c r="W58" s="6"/>
      <c r="X58" s="30"/>
    </row>
    <row r="59" spans="2:24" x14ac:dyDescent="0.3">
      <c r="B59" s="156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230</v>
      </c>
      <c r="T59" s="28">
        <v>344700</v>
      </c>
      <c r="U59" s="6"/>
      <c r="V59" s="28"/>
      <c r="W59" s="6"/>
      <c r="X59" s="30"/>
    </row>
    <row r="60" spans="2:24" x14ac:dyDescent="0.3">
      <c r="B60" s="156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231</v>
      </c>
      <c r="T60" s="28">
        <v>209000</v>
      </c>
      <c r="U60" s="6"/>
      <c r="V60" s="28"/>
      <c r="W60" s="6"/>
      <c r="X60" s="30"/>
    </row>
    <row r="61" spans="2:24" x14ac:dyDescent="0.3">
      <c r="B61" s="156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232</v>
      </c>
      <c r="T61" s="28">
        <v>127500</v>
      </c>
      <c r="U61" s="6"/>
      <c r="V61" s="28"/>
      <c r="W61" s="6"/>
      <c r="X61" s="30"/>
    </row>
    <row r="62" spans="2:24" x14ac:dyDescent="0.3">
      <c r="B62" s="156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233</v>
      </c>
      <c r="T62" s="28">
        <v>82600</v>
      </c>
      <c r="U62" s="6"/>
      <c r="V62" s="28"/>
      <c r="W62" s="6"/>
      <c r="X62" s="30"/>
    </row>
    <row r="63" spans="2:24" x14ac:dyDescent="0.3">
      <c r="B63" s="156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234</v>
      </c>
      <c r="T63" s="28">
        <v>48800</v>
      </c>
      <c r="U63" s="6"/>
      <c r="V63" s="28"/>
      <c r="W63" s="6"/>
      <c r="X63" s="30"/>
    </row>
    <row r="64" spans="2:24" x14ac:dyDescent="0.3">
      <c r="B64" s="156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235</v>
      </c>
      <c r="T64" s="28">
        <v>8390</v>
      </c>
      <c r="U64" s="6"/>
      <c r="V64" s="28"/>
      <c r="W64" s="6"/>
      <c r="X64" s="30"/>
    </row>
    <row r="65" spans="2:24" x14ac:dyDescent="0.3">
      <c r="B65" s="156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236</v>
      </c>
      <c r="T65" s="28">
        <v>1201000</v>
      </c>
      <c r="U65" s="6"/>
      <c r="V65" s="28"/>
      <c r="W65" s="6"/>
      <c r="X65" s="30"/>
    </row>
    <row r="66" spans="2:24" x14ac:dyDescent="0.3">
      <c r="B66" s="156"/>
      <c r="C66" s="6"/>
      <c r="D66" s="28"/>
      <c r="E66" s="6"/>
      <c r="F66" s="28"/>
      <c r="G66" s="6"/>
      <c r="H66" s="28"/>
      <c r="I66" s="6"/>
      <c r="J66" s="28"/>
      <c r="K66" s="6"/>
      <c r="L66" s="28"/>
      <c r="M66" s="6"/>
      <c r="N66" s="28"/>
      <c r="O66" s="6"/>
      <c r="P66" s="28"/>
      <c r="Q66" s="6"/>
      <c r="R66" s="28"/>
      <c r="S66" s="6" t="s">
        <v>237</v>
      </c>
      <c r="T66" s="28">
        <v>1141400</v>
      </c>
      <c r="U66" s="6"/>
      <c r="V66" s="28"/>
      <c r="W66" s="6"/>
      <c r="X66" s="30"/>
    </row>
    <row r="67" spans="2:24" x14ac:dyDescent="0.3">
      <c r="B67" s="156"/>
      <c r="C67" s="6"/>
      <c r="D67" s="28"/>
      <c r="E67" s="6"/>
      <c r="F67" s="28"/>
      <c r="G67" s="6"/>
      <c r="H67" s="28"/>
      <c r="I67" s="6"/>
      <c r="J67" s="28"/>
      <c r="K67" s="6"/>
      <c r="L67" s="28"/>
      <c r="M67" s="6"/>
      <c r="N67" s="28"/>
      <c r="O67" s="6"/>
      <c r="P67" s="28"/>
      <c r="Q67" s="6"/>
      <c r="R67" s="28"/>
      <c r="S67" s="6" t="s">
        <v>238</v>
      </c>
      <c r="T67" s="28">
        <v>49900</v>
      </c>
      <c r="U67" s="6"/>
      <c r="V67" s="28"/>
      <c r="W67" s="6"/>
      <c r="X67" s="30"/>
    </row>
    <row r="68" spans="2:24" x14ac:dyDescent="0.3">
      <c r="B68" s="156"/>
      <c r="C68" s="6"/>
      <c r="D68" s="28"/>
      <c r="E68" s="6"/>
      <c r="F68" s="28"/>
      <c r="G68" s="6"/>
      <c r="H68" s="28"/>
      <c r="I68" s="6"/>
      <c r="J68" s="28"/>
      <c r="K68" s="6"/>
      <c r="L68" s="28"/>
      <c r="M68" s="6"/>
      <c r="N68" s="28"/>
      <c r="O68" s="6"/>
      <c r="P68" s="28"/>
      <c r="Q68" s="6"/>
      <c r="R68" s="28"/>
      <c r="S68" s="6" t="s">
        <v>239</v>
      </c>
      <c r="T68" s="28">
        <v>25750</v>
      </c>
      <c r="U68" s="6"/>
      <c r="V68" s="28"/>
      <c r="W68" s="6"/>
      <c r="X68" s="30"/>
    </row>
    <row r="69" spans="2:24" x14ac:dyDescent="0.3">
      <c r="B69" s="156"/>
      <c r="C69" s="6"/>
      <c r="D69" s="28"/>
      <c r="E69" s="6"/>
      <c r="F69" s="28"/>
      <c r="G69" s="6"/>
      <c r="H69" s="28"/>
      <c r="I69" s="6"/>
      <c r="J69" s="28"/>
      <c r="K69" s="6"/>
      <c r="L69" s="28"/>
      <c r="M69" s="6"/>
      <c r="N69" s="28"/>
      <c r="O69" s="6"/>
      <c r="P69" s="28"/>
      <c r="Q69" s="6"/>
      <c r="R69" s="28"/>
      <c r="S69" s="6" t="s">
        <v>240</v>
      </c>
      <c r="T69" s="28">
        <v>7630445</v>
      </c>
      <c r="U69" s="6"/>
      <c r="V69" s="28"/>
      <c r="W69" s="6"/>
      <c r="X69" s="30"/>
    </row>
    <row r="70" spans="2:24" x14ac:dyDescent="0.3">
      <c r="B70" s="156"/>
      <c r="C70" s="6"/>
      <c r="D70" s="28"/>
      <c r="E70" s="6"/>
      <c r="F70" s="28"/>
      <c r="G70" s="6"/>
      <c r="H70" s="28"/>
      <c r="I70" s="6"/>
      <c r="J70" s="28"/>
      <c r="K70" s="6"/>
      <c r="L70" s="28"/>
      <c r="M70" s="6"/>
      <c r="N70" s="28"/>
      <c r="O70" s="6"/>
      <c r="P70" s="28"/>
      <c r="Q70" s="6"/>
      <c r="R70" s="28"/>
      <c r="S70" s="6" t="s">
        <v>241</v>
      </c>
      <c r="T70" s="28">
        <v>339</v>
      </c>
      <c r="U70" s="6"/>
      <c r="V70" s="28"/>
      <c r="W70" s="6"/>
      <c r="X70" s="30"/>
    </row>
    <row r="71" spans="2:24" x14ac:dyDescent="0.3">
      <c r="B71" s="156"/>
      <c r="C71" s="6"/>
      <c r="D71" s="28"/>
      <c r="E71" s="6"/>
      <c r="F71" s="28"/>
      <c r="G71" s="6"/>
      <c r="H71" s="28"/>
      <c r="I71" s="6"/>
      <c r="J71" s="28"/>
      <c r="K71" s="6"/>
      <c r="L71" s="28"/>
      <c r="M71" s="6"/>
      <c r="N71" s="28"/>
      <c r="O71" s="6"/>
      <c r="P71" s="28"/>
      <c r="Q71" s="6"/>
      <c r="R71" s="28"/>
      <c r="S71" s="6" t="s">
        <v>242</v>
      </c>
      <c r="T71" s="28">
        <v>420529</v>
      </c>
      <c r="U71" s="6"/>
      <c r="V71" s="28"/>
      <c r="W71" s="6"/>
      <c r="X71" s="30"/>
    </row>
    <row r="72" spans="2:24" x14ac:dyDescent="0.3">
      <c r="B72" s="156"/>
      <c r="C72" s="6"/>
      <c r="D72" s="28"/>
      <c r="E72" s="6"/>
      <c r="F72" s="28"/>
      <c r="G72" s="6"/>
      <c r="H72" s="28"/>
      <c r="I72" s="6"/>
      <c r="J72" s="28"/>
      <c r="K72" s="6"/>
      <c r="L72" s="28"/>
      <c r="M72" s="6"/>
      <c r="N72" s="28"/>
      <c r="O72" s="6"/>
      <c r="P72" s="28"/>
      <c r="Q72" s="6"/>
      <c r="R72" s="28"/>
      <c r="S72" s="6" t="s">
        <v>39</v>
      </c>
      <c r="T72" s="28">
        <v>350</v>
      </c>
      <c r="U72" s="6"/>
      <c r="V72" s="28"/>
      <c r="W72" s="6"/>
      <c r="X72" s="30"/>
    </row>
    <row r="73" spans="2:24" x14ac:dyDescent="0.3">
      <c r="B73" s="156"/>
      <c r="C73" s="6"/>
      <c r="D73" s="28"/>
      <c r="E73" s="6"/>
      <c r="F73" s="28"/>
      <c r="G73" s="6"/>
      <c r="H73" s="28"/>
      <c r="I73" s="6"/>
      <c r="J73" s="28"/>
      <c r="K73" s="6"/>
      <c r="L73" s="28"/>
      <c r="M73" s="6"/>
      <c r="N73" s="28"/>
      <c r="O73" s="6"/>
      <c r="P73" s="28"/>
      <c r="Q73" s="6"/>
      <c r="R73" s="28"/>
      <c r="S73" s="6" t="s">
        <v>243</v>
      </c>
      <c r="T73" s="28">
        <v>425094</v>
      </c>
      <c r="U73" s="6"/>
      <c r="V73" s="28"/>
      <c r="W73" s="6"/>
      <c r="X73" s="30"/>
    </row>
    <row r="74" spans="2:24" x14ac:dyDescent="0.3">
      <c r="B74" s="156"/>
      <c r="C74" s="6"/>
      <c r="D74" s="28"/>
      <c r="E74" s="6"/>
      <c r="F74" s="28"/>
      <c r="G74" s="6"/>
      <c r="H74" s="28"/>
      <c r="I74" s="6"/>
      <c r="J74" s="28"/>
      <c r="K74" s="6"/>
      <c r="L74" s="28"/>
      <c r="M74" s="6"/>
      <c r="N74" s="28"/>
      <c r="O74" s="6"/>
      <c r="P74" s="28"/>
      <c r="Q74" s="6"/>
      <c r="R74" s="28"/>
      <c r="S74" s="6" t="s">
        <v>40</v>
      </c>
      <c r="T74" s="28">
        <v>4471208.2540999996</v>
      </c>
      <c r="U74" s="6"/>
      <c r="V74" s="28"/>
      <c r="W74" s="6"/>
      <c r="X74" s="30"/>
    </row>
    <row r="75" spans="2:24" x14ac:dyDescent="0.3">
      <c r="B75" s="156"/>
      <c r="C75" s="6"/>
      <c r="D75" s="28"/>
      <c r="E75" s="6"/>
      <c r="F75" s="28"/>
      <c r="G75" s="6"/>
      <c r="H75" s="28"/>
      <c r="I75" s="6"/>
      <c r="J75" s="28"/>
      <c r="K75" s="6"/>
      <c r="L75" s="28"/>
      <c r="M75" s="6"/>
      <c r="N75" s="28"/>
      <c r="O75" s="6"/>
      <c r="P75" s="28"/>
      <c r="Q75" s="6"/>
      <c r="R75" s="28"/>
      <c r="S75" s="6" t="s">
        <v>41</v>
      </c>
      <c r="T75" s="28">
        <v>40</v>
      </c>
      <c r="U75" s="6"/>
      <c r="V75" s="28"/>
      <c r="W75" s="6"/>
      <c r="X75" s="30"/>
    </row>
    <row r="76" spans="2:24" x14ac:dyDescent="0.3">
      <c r="B76" s="156"/>
      <c r="C76" s="6"/>
      <c r="D76" s="28"/>
      <c r="E76" s="6"/>
      <c r="F76" s="28"/>
      <c r="G76" s="6"/>
      <c r="H76" s="28"/>
      <c r="I76" s="6"/>
      <c r="J76" s="28"/>
      <c r="K76" s="6"/>
      <c r="L76" s="28"/>
      <c r="M76" s="6"/>
      <c r="N76" s="28"/>
      <c r="O76" s="6"/>
      <c r="P76" s="28"/>
      <c r="Q76" s="6"/>
      <c r="R76" s="28"/>
      <c r="S76" s="6"/>
      <c r="T76" s="28"/>
      <c r="U76" s="6"/>
      <c r="V76" s="28"/>
      <c r="W76" s="6"/>
      <c r="X76" s="30"/>
    </row>
    <row r="77" spans="2:24" x14ac:dyDescent="0.3">
      <c r="B77" s="156"/>
      <c r="C77" s="6"/>
      <c r="D77" s="28"/>
      <c r="E77" s="6"/>
      <c r="F77" s="28"/>
      <c r="G77" s="6"/>
      <c r="H77" s="28"/>
      <c r="I77" s="6"/>
      <c r="J77" s="28"/>
      <c r="K77" s="6"/>
      <c r="L77" s="28"/>
      <c r="M77" s="6"/>
      <c r="N77" s="28"/>
      <c r="O77" s="6"/>
      <c r="P77" s="28"/>
      <c r="Q77" s="6"/>
      <c r="R77" s="28"/>
      <c r="S77" s="6"/>
      <c r="T77" s="28"/>
      <c r="U77" s="6"/>
      <c r="V77" s="28"/>
      <c r="W77" s="6"/>
      <c r="X77" s="30"/>
    </row>
    <row r="78" spans="2:24" x14ac:dyDescent="0.3">
      <c r="B78" s="156"/>
      <c r="C78" s="6"/>
      <c r="D78" s="28"/>
      <c r="E78" s="6"/>
      <c r="F78" s="28"/>
      <c r="G78" s="6"/>
      <c r="H78" s="28"/>
      <c r="I78" s="6"/>
      <c r="J78" s="28"/>
      <c r="K78" s="6"/>
      <c r="L78" s="28"/>
      <c r="M78" s="6"/>
      <c r="N78" s="28"/>
      <c r="O78" s="6"/>
      <c r="P78" s="28"/>
      <c r="Q78" s="6"/>
      <c r="R78" s="28"/>
      <c r="S78" s="6"/>
      <c r="T78" s="28"/>
      <c r="U78" s="6"/>
      <c r="V78" s="28"/>
      <c r="W78" s="6"/>
      <c r="X78" s="30"/>
    </row>
    <row r="79" spans="2:24" x14ac:dyDescent="0.3">
      <c r="B79" s="156"/>
      <c r="C79" s="6"/>
      <c r="D79" s="28"/>
      <c r="E79" s="6"/>
      <c r="F79" s="28"/>
      <c r="G79" s="6"/>
      <c r="H79" s="28"/>
      <c r="I79" s="6"/>
      <c r="J79" s="28"/>
      <c r="K79" s="6"/>
      <c r="L79" s="28"/>
      <c r="M79" s="6"/>
      <c r="N79" s="28"/>
      <c r="O79" s="6"/>
      <c r="P79" s="28"/>
      <c r="Q79" s="6"/>
      <c r="R79" s="28"/>
      <c r="S79" s="6"/>
      <c r="T79" s="28"/>
      <c r="U79" s="6"/>
      <c r="V79" s="28"/>
      <c r="W79" s="6"/>
      <c r="X79" s="30"/>
    </row>
    <row r="80" spans="2:24" x14ac:dyDescent="0.3">
      <c r="B80" s="156"/>
      <c r="C80" s="6"/>
      <c r="D80" s="28"/>
      <c r="E80" s="6"/>
      <c r="F80" s="28"/>
      <c r="G80" s="6"/>
      <c r="H80" s="28"/>
      <c r="I80" s="6"/>
      <c r="J80" s="28"/>
      <c r="K80" s="6"/>
      <c r="L80" s="28"/>
      <c r="M80" s="6"/>
      <c r="N80" s="28"/>
      <c r="O80" s="6"/>
      <c r="P80" s="28"/>
      <c r="Q80" s="6"/>
      <c r="R80" s="28"/>
      <c r="S80" s="6"/>
      <c r="T80" s="28"/>
      <c r="U80" s="6"/>
      <c r="V80" s="28"/>
      <c r="W80" s="6"/>
      <c r="X80" s="30"/>
    </row>
    <row r="81" spans="2:24" x14ac:dyDescent="0.3">
      <c r="B81" s="156"/>
      <c r="C81" s="6"/>
      <c r="D81" s="28"/>
      <c r="E81" s="6"/>
      <c r="F81" s="28"/>
      <c r="G81" s="6"/>
      <c r="H81" s="28"/>
      <c r="I81" s="6"/>
      <c r="J81" s="28"/>
      <c r="K81" s="6"/>
      <c r="L81" s="28"/>
      <c r="M81" s="6"/>
      <c r="N81" s="28"/>
      <c r="O81" s="6"/>
      <c r="P81" s="28"/>
      <c r="Q81" s="6"/>
      <c r="R81" s="28"/>
      <c r="S81" s="6"/>
      <c r="T81" s="28"/>
      <c r="U81" s="6"/>
      <c r="V81" s="28"/>
      <c r="W81" s="6"/>
      <c r="X81" s="30"/>
    </row>
    <row r="82" spans="2:24" x14ac:dyDescent="0.3">
      <c r="B82" s="156"/>
      <c r="C82" s="6"/>
      <c r="D82" s="26"/>
      <c r="E82" s="6"/>
      <c r="F82" s="26"/>
      <c r="G82" s="6"/>
      <c r="H82" s="26"/>
      <c r="I82" s="6"/>
      <c r="J82" s="26"/>
      <c r="K82" s="6"/>
      <c r="L82" s="26"/>
      <c r="M82" s="6"/>
      <c r="N82" s="26"/>
      <c r="O82" s="6"/>
      <c r="P82" s="26"/>
      <c r="Q82" s="6"/>
      <c r="R82" s="26"/>
      <c r="S82" s="6"/>
      <c r="T82" s="26"/>
      <c r="U82" s="6"/>
      <c r="V82" s="26"/>
      <c r="W82" s="6"/>
      <c r="X82" s="30"/>
    </row>
    <row r="83" spans="2:24" x14ac:dyDescent="0.3">
      <c r="B83" s="15"/>
      <c r="C83" s="7" t="s">
        <v>55</v>
      </c>
      <c r="D83" s="18">
        <f>SUM(D11:D82)</f>
        <v>33266027</v>
      </c>
      <c r="E83" s="7" t="s">
        <v>22</v>
      </c>
      <c r="F83" s="18">
        <f>SUM(F11:F82)</f>
        <v>0</v>
      </c>
      <c r="G83" s="7" t="s">
        <v>22</v>
      </c>
      <c r="H83" s="18">
        <f>SUM(H11:H82)</f>
        <v>0</v>
      </c>
      <c r="I83" s="7" t="s">
        <v>22</v>
      </c>
      <c r="J83" s="18">
        <f>SUM(J11:J82)</f>
        <v>135302094</v>
      </c>
      <c r="K83" s="7" t="s">
        <v>22</v>
      </c>
      <c r="L83" s="18">
        <f>SUM(L11:L82)</f>
        <v>550123</v>
      </c>
      <c r="M83" s="7" t="s">
        <v>22</v>
      </c>
      <c r="N83" s="18">
        <f>SUM(N11:N82)</f>
        <v>0</v>
      </c>
      <c r="O83" s="7" t="s">
        <v>22</v>
      </c>
      <c r="P83" s="18">
        <f>SUM(P11:P82)</f>
        <v>0</v>
      </c>
      <c r="Q83" s="7" t="s">
        <v>22</v>
      </c>
      <c r="R83" s="18">
        <f>SUM(R11:R82)</f>
        <v>103826543</v>
      </c>
      <c r="S83" s="7" t="s">
        <v>41</v>
      </c>
      <c r="T83" s="99">
        <f>SUM(T11:T82)</f>
        <v>64211671.030000009</v>
      </c>
      <c r="U83" s="7" t="s">
        <v>22</v>
      </c>
      <c r="V83" s="18">
        <f>SUM(V11:V82)</f>
        <v>0</v>
      </c>
      <c r="W83" s="7" t="s">
        <v>22</v>
      </c>
      <c r="X83" s="19">
        <f>SUM(X11:X82)</f>
        <v>16350000</v>
      </c>
    </row>
    <row r="84" spans="2:24" x14ac:dyDescent="0.3">
      <c r="B84" s="15"/>
      <c r="C84" s="7" t="s">
        <v>24</v>
      </c>
      <c r="D84" s="108">
        <f>SUM(D83,F83,H83,J83,L83,N83,P83,R83)</f>
        <v>272944787</v>
      </c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10"/>
      <c r="S84" s="7" t="s">
        <v>24</v>
      </c>
      <c r="T84" s="108">
        <f>SUM(T83,V83,X83)</f>
        <v>80561671.030000001</v>
      </c>
      <c r="U84" s="109"/>
      <c r="V84" s="109"/>
      <c r="W84" s="109"/>
      <c r="X84" s="110"/>
    </row>
    <row r="85" spans="2:24" ht="17.25" thickBot="1" x14ac:dyDescent="0.35">
      <c r="B85" s="16"/>
      <c r="C85" s="12" t="s">
        <v>23</v>
      </c>
      <c r="D85" s="111">
        <f>SUM(D84,T84)</f>
        <v>353506458.02999997</v>
      </c>
      <c r="E85" s="112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  <c r="U85" s="112"/>
      <c r="V85" s="112"/>
      <c r="W85" s="112"/>
      <c r="X85" s="113"/>
    </row>
  </sheetData>
  <mergeCells count="30">
    <mergeCell ref="K4:P4"/>
    <mergeCell ref="K6:P6"/>
    <mergeCell ref="H4:I4"/>
    <mergeCell ref="D84:R84"/>
    <mergeCell ref="T84:X84"/>
    <mergeCell ref="D85:X85"/>
    <mergeCell ref="B9:B10"/>
    <mergeCell ref="B11:B46"/>
    <mergeCell ref="B47:B82"/>
    <mergeCell ref="S9:X9"/>
    <mergeCell ref="B4:C4"/>
    <mergeCell ref="B6:C6"/>
    <mergeCell ref="B2:D2"/>
    <mergeCell ref="D4:E4"/>
    <mergeCell ref="D6:E6"/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r:id="rId4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zoomScaleNormal="100" workbookViewId="0">
      <selection activeCell="K20" sqref="K20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70" t="s">
        <v>25</v>
      </c>
      <c r="C2" s="170"/>
      <c r="D2" s="53"/>
      <c r="G2" s="52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77" t="str">
        <f>설정!D4</f>
        <v>천세원</v>
      </c>
      <c r="H4" s="178"/>
      <c r="I4" s="178"/>
      <c r="J4" s="178"/>
      <c r="K4" s="178"/>
      <c r="L4" s="178"/>
      <c r="M4" s="178"/>
      <c r="N4" s="178"/>
      <c r="O4" s="179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2472725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7527275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0.24727250000000001</v>
      </c>
      <c r="D7" s="176"/>
      <c r="G7" s="6" t="s">
        <v>173</v>
      </c>
      <c r="H7" s="39" t="s">
        <v>326</v>
      </c>
      <c r="I7" s="28">
        <v>8000000</v>
      </c>
      <c r="J7" s="6" t="s">
        <v>88</v>
      </c>
      <c r="K7" s="39" t="s">
        <v>332</v>
      </c>
      <c r="L7" s="28">
        <v>-2040272</v>
      </c>
      <c r="M7" s="6" t="s">
        <v>99</v>
      </c>
      <c r="N7" s="39" t="s">
        <v>209</v>
      </c>
      <c r="O7" s="40">
        <v>-13500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160</v>
      </c>
      <c r="H8" s="39" t="s">
        <v>304</v>
      </c>
      <c r="I8" s="28">
        <v>5788617</v>
      </c>
      <c r="J8" s="6" t="s">
        <v>91</v>
      </c>
      <c r="K8" s="39">
        <v>1201003583989</v>
      </c>
      <c r="L8" s="28">
        <v>-8000946</v>
      </c>
      <c r="M8" s="6" t="s">
        <v>87</v>
      </c>
      <c r="N8" s="39" t="s">
        <v>331</v>
      </c>
      <c r="O8" s="26">
        <v>2040272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165</v>
      </c>
      <c r="I9" s="28">
        <v>0</v>
      </c>
      <c r="J9" s="6" t="s">
        <v>88</v>
      </c>
      <c r="K9" s="39" t="s">
        <v>197</v>
      </c>
      <c r="L9" s="28">
        <v>-16500</v>
      </c>
      <c r="M9" s="6" t="s">
        <v>57</v>
      </c>
      <c r="N9" s="39" t="s">
        <v>333</v>
      </c>
      <c r="O9" s="26">
        <v>-350000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 t="s">
        <v>92</v>
      </c>
      <c r="K10" s="39" t="s">
        <v>335</v>
      </c>
      <c r="L10" s="28">
        <v>-35950</v>
      </c>
      <c r="M10" s="6" t="s">
        <v>99</v>
      </c>
      <c r="N10" s="39" t="s">
        <v>211</v>
      </c>
      <c r="O10" s="26">
        <v>200000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91</v>
      </c>
      <c r="K11" s="39" t="s">
        <v>159</v>
      </c>
      <c r="L11" s="28">
        <v>-41160</v>
      </c>
      <c r="M11" s="6" t="s">
        <v>99</v>
      </c>
      <c r="N11" s="39" t="s">
        <v>334</v>
      </c>
      <c r="O11" s="26">
        <v>-145050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88</v>
      </c>
      <c r="K12" s="39" t="s">
        <v>337</v>
      </c>
      <c r="L12" s="28">
        <v>-300000</v>
      </c>
      <c r="M12" s="6" t="s">
        <v>99</v>
      </c>
      <c r="N12" s="39" t="s">
        <v>194</v>
      </c>
      <c r="O12" s="26">
        <v>-300000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44"/>
      <c r="H13" s="39"/>
      <c r="I13" s="28"/>
      <c r="J13" s="6" t="s">
        <v>88</v>
      </c>
      <c r="K13" s="39" t="s">
        <v>338</v>
      </c>
      <c r="L13" s="28">
        <v>-100000</v>
      </c>
      <c r="M13" s="6" t="s">
        <v>163</v>
      </c>
      <c r="N13" s="39" t="s">
        <v>323</v>
      </c>
      <c r="O13" s="26">
        <v>-676140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88</v>
      </c>
      <c r="K14" s="39" t="s">
        <v>168</v>
      </c>
      <c r="L14" s="28">
        <v>-36120</v>
      </c>
      <c r="M14" s="6" t="s">
        <v>104</v>
      </c>
      <c r="N14" s="39" t="s">
        <v>336</v>
      </c>
      <c r="O14" s="26">
        <v>-25070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 t="s">
        <v>99</v>
      </c>
      <c r="N15" s="39" t="s">
        <v>198</v>
      </c>
      <c r="O15" s="26">
        <v>-17800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 t="s">
        <v>104</v>
      </c>
      <c r="N16" s="39" t="s">
        <v>107</v>
      </c>
      <c r="O16" s="26">
        <v>-498376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 t="s">
        <v>99</v>
      </c>
      <c r="N17" s="39" t="s">
        <v>339</v>
      </c>
      <c r="O17" s="26">
        <v>-309280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 t="s">
        <v>163</v>
      </c>
      <c r="N18" s="39" t="s">
        <v>170</v>
      </c>
      <c r="O18" s="26">
        <v>300000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 t="s">
        <v>163</v>
      </c>
      <c r="N19" s="39" t="s">
        <v>340</v>
      </c>
      <c r="O19" s="26">
        <v>-300000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 t="s">
        <v>163</v>
      </c>
      <c r="N20" s="39" t="s">
        <v>171</v>
      </c>
      <c r="O20" s="26">
        <v>-100000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 t="s">
        <v>99</v>
      </c>
      <c r="N21" s="39" t="s">
        <v>341</v>
      </c>
      <c r="O21" s="26">
        <v>-450000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 t="s">
        <v>57</v>
      </c>
      <c r="N22" s="39" t="s">
        <v>333</v>
      </c>
      <c r="O22" s="26">
        <v>-100000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2492892</v>
      </c>
      <c r="D27" s="161"/>
      <c r="E27" s="16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0</v>
      </c>
      <c r="D28" s="161"/>
      <c r="E28" s="16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0</v>
      </c>
      <c r="D29" s="161"/>
      <c r="E29" s="16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8042106</v>
      </c>
      <c r="D30" s="161"/>
      <c r="E30" s="16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0</v>
      </c>
      <c r="D31" s="161"/>
      <c r="E31" s="16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35950</v>
      </c>
      <c r="D32" s="161"/>
      <c r="E32" s="16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0</v>
      </c>
      <c r="D33" s="161"/>
      <c r="E33" s="16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0</v>
      </c>
      <c r="D34" s="161"/>
      <c r="E34" s="16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0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5788617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8000000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0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13788617</v>
      </c>
      <c r="J89" s="7" t="s">
        <v>24</v>
      </c>
      <c r="K89" s="22" t="s">
        <v>34</v>
      </c>
      <c r="L89" s="21">
        <f>SUM(L7:L88)</f>
        <v>-10570948</v>
      </c>
      <c r="M89" s="7" t="s">
        <v>24</v>
      </c>
      <c r="N89" s="22" t="s">
        <v>34</v>
      </c>
      <c r="O89" s="21">
        <f>SUM(O7:O88)</f>
        <v>-744944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2472725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6:D6"/>
    <mergeCell ref="C7:D7"/>
    <mergeCell ref="T5:V5"/>
    <mergeCell ref="W5:Y5"/>
    <mergeCell ref="G4:O4"/>
    <mergeCell ref="Q4:Y4"/>
    <mergeCell ref="B2:C2"/>
    <mergeCell ref="G5:I5"/>
    <mergeCell ref="J5:L5"/>
    <mergeCell ref="M5:O5"/>
    <mergeCell ref="Q5:S5"/>
    <mergeCell ref="C4:D4"/>
    <mergeCell ref="C5:D5"/>
    <mergeCell ref="C54:E54"/>
    <mergeCell ref="C55:E55"/>
    <mergeCell ref="C57:E57"/>
    <mergeCell ref="C51:E51"/>
    <mergeCell ref="B50:E50"/>
    <mergeCell ref="C52:E52"/>
    <mergeCell ref="C53:E5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topLeftCell="A6" workbookViewId="0">
      <selection activeCell="N35" sqref="N3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2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2.625" bestFit="1" customWidth="1"/>
    <col min="16" max="16" width="2.375" customWidth="1"/>
    <col min="18" max="18" width="18.625" bestFit="1" customWidth="1"/>
    <col min="19" max="19" width="11.75" bestFit="1" customWidth="1"/>
    <col min="20" max="20" width="9.75" bestFit="1" customWidth="1"/>
    <col min="21" max="21" width="31.5" bestFit="1" customWidth="1"/>
    <col min="22" max="22" width="11.5" bestFit="1" customWidth="1"/>
    <col min="23" max="23" width="11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70" t="s">
        <v>75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-17103390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27103390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-1.7103390000000001</v>
      </c>
      <c r="D7" s="176"/>
      <c r="G7" s="6" t="s">
        <v>173</v>
      </c>
      <c r="H7" s="39" t="s">
        <v>326</v>
      </c>
      <c r="I7" s="28">
        <v>20000000</v>
      </c>
      <c r="J7" s="6" t="s">
        <v>88</v>
      </c>
      <c r="K7" s="39" t="s">
        <v>330</v>
      </c>
      <c r="L7" s="28">
        <v>-2480000</v>
      </c>
      <c r="M7" s="6" t="s">
        <v>57</v>
      </c>
      <c r="N7" s="39" t="s">
        <v>333</v>
      </c>
      <c r="O7" s="40">
        <v>-40000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160</v>
      </c>
      <c r="H8" s="39" t="s">
        <v>345</v>
      </c>
      <c r="I8" s="28">
        <v>200000</v>
      </c>
      <c r="J8" s="6" t="s">
        <v>88</v>
      </c>
      <c r="K8" s="39" t="s">
        <v>344</v>
      </c>
      <c r="L8" s="28">
        <v>-7220</v>
      </c>
      <c r="M8" s="6" t="s">
        <v>99</v>
      </c>
      <c r="N8" s="39" t="s">
        <v>194</v>
      </c>
      <c r="O8" s="26">
        <v>-300000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160</v>
      </c>
      <c r="H9" s="39" t="s">
        <v>304</v>
      </c>
      <c r="I9" s="28">
        <v>3412077</v>
      </c>
      <c r="J9" s="6" t="s">
        <v>88</v>
      </c>
      <c r="K9" s="39" t="s">
        <v>103</v>
      </c>
      <c r="L9" s="28">
        <v>-12000000</v>
      </c>
      <c r="M9" s="6" t="s">
        <v>99</v>
      </c>
      <c r="N9" s="39" t="s">
        <v>172</v>
      </c>
      <c r="O9" s="26">
        <v>45000000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 t="s">
        <v>86</v>
      </c>
      <c r="H10" s="39" t="s">
        <v>165</v>
      </c>
      <c r="I10" s="28">
        <v>0</v>
      </c>
      <c r="J10" s="6" t="s">
        <v>88</v>
      </c>
      <c r="K10" s="39" t="s">
        <v>349</v>
      </c>
      <c r="L10" s="28">
        <v>-100000</v>
      </c>
      <c r="M10" s="6" t="s">
        <v>163</v>
      </c>
      <c r="N10" s="39" t="s">
        <v>342</v>
      </c>
      <c r="O10" s="26">
        <v>-60000000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88</v>
      </c>
      <c r="K11" s="39" t="s">
        <v>197</v>
      </c>
      <c r="L11" s="28">
        <v>-16500</v>
      </c>
      <c r="M11" s="6" t="s">
        <v>99</v>
      </c>
      <c r="N11" s="39" t="s">
        <v>172</v>
      </c>
      <c r="O11" s="26">
        <v>1000000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92</v>
      </c>
      <c r="K12" s="39" t="s">
        <v>351</v>
      </c>
      <c r="L12" s="28">
        <v>-35950</v>
      </c>
      <c r="M12" s="6" t="s">
        <v>99</v>
      </c>
      <c r="N12" s="39" t="s">
        <v>343</v>
      </c>
      <c r="O12" s="26">
        <v>10000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91</v>
      </c>
      <c r="K13" s="39" t="s">
        <v>159</v>
      </c>
      <c r="L13" s="28">
        <v>-41590</v>
      </c>
      <c r="M13" s="6" t="s">
        <v>87</v>
      </c>
      <c r="N13" s="39" t="s">
        <v>346</v>
      </c>
      <c r="O13" s="26">
        <v>9989070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88</v>
      </c>
      <c r="K14" s="39" t="s">
        <v>352</v>
      </c>
      <c r="L14" s="28">
        <v>-500000</v>
      </c>
      <c r="M14" s="6" t="s">
        <v>163</v>
      </c>
      <c r="N14" s="39" t="s">
        <v>342</v>
      </c>
      <c r="O14" s="26">
        <v>-21000000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88</v>
      </c>
      <c r="K15" s="39" t="s">
        <v>168</v>
      </c>
      <c r="L15" s="28">
        <v>-36120</v>
      </c>
      <c r="M15" s="6" t="s">
        <v>163</v>
      </c>
      <c r="N15" s="39" t="s">
        <v>164</v>
      </c>
      <c r="O15" s="26">
        <v>-4000000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88</v>
      </c>
      <c r="K16" s="39" t="s">
        <v>204</v>
      </c>
      <c r="L16" s="28">
        <v>-3000000</v>
      </c>
      <c r="M16" s="6" t="s">
        <v>87</v>
      </c>
      <c r="N16" s="39" t="s">
        <v>347</v>
      </c>
      <c r="O16" s="26">
        <v>8000000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89</v>
      </c>
      <c r="K17" s="39" t="s">
        <v>353</v>
      </c>
      <c r="L17" s="28">
        <v>-1280</v>
      </c>
      <c r="M17" s="6" t="s">
        <v>110</v>
      </c>
      <c r="N17" s="39" t="s">
        <v>170</v>
      </c>
      <c r="O17" s="26">
        <v>487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 t="s">
        <v>57</v>
      </c>
      <c r="N18" s="39" t="s">
        <v>348</v>
      </c>
      <c r="O18" s="26">
        <v>-300000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 t="s">
        <v>163</v>
      </c>
      <c r="N19" s="39" t="s">
        <v>350</v>
      </c>
      <c r="O19" s="26">
        <v>3679453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 t="s">
        <v>163</v>
      </c>
      <c r="N20" s="39" t="s">
        <v>200</v>
      </c>
      <c r="O20" s="26">
        <v>-3679453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 t="s">
        <v>163</v>
      </c>
      <c r="N21" s="39" t="s">
        <v>106</v>
      </c>
      <c r="O21" s="26">
        <v>-1000000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 t="s">
        <v>163</v>
      </c>
      <c r="N22" s="39" t="s">
        <v>106</v>
      </c>
      <c r="O22" s="26">
        <v>1000000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 t="s">
        <v>163</v>
      </c>
      <c r="N23" s="39" t="s">
        <v>106</v>
      </c>
      <c r="O23" s="26">
        <v>-1000000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 t="s">
        <v>163</v>
      </c>
      <c r="N24" s="39" t="s">
        <v>106</v>
      </c>
      <c r="O24" s="26">
        <v>1000000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/>
      <c r="K25" s="39"/>
      <c r="L25" s="28"/>
      <c r="M25" s="6" t="s">
        <v>104</v>
      </c>
      <c r="N25" s="39" t="s">
        <v>107</v>
      </c>
      <c r="O25" s="26">
        <v>-921674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 t="s">
        <v>99</v>
      </c>
      <c r="N26" s="39" t="s">
        <v>198</v>
      </c>
      <c r="O26" s="26">
        <v>-17800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18139840</v>
      </c>
      <c r="D27" s="161"/>
      <c r="E27" s="162"/>
      <c r="G27" s="6"/>
      <c r="H27" s="39"/>
      <c r="I27" s="28"/>
      <c r="J27" s="6"/>
      <c r="K27" s="39"/>
      <c r="L27" s="28"/>
      <c r="M27" s="6" t="s">
        <v>163</v>
      </c>
      <c r="N27" s="39" t="s">
        <v>171</v>
      </c>
      <c r="O27" s="26">
        <v>-100000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1280</v>
      </c>
      <c r="D28" s="161"/>
      <c r="E28" s="162"/>
      <c r="G28" s="6"/>
      <c r="H28" s="39"/>
      <c r="I28" s="28"/>
      <c r="J28" s="6"/>
      <c r="K28" s="39"/>
      <c r="L28" s="28"/>
      <c r="M28" s="6" t="s">
        <v>57</v>
      </c>
      <c r="N28" s="39" t="s">
        <v>322</v>
      </c>
      <c r="O28" s="26">
        <v>113110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0</v>
      </c>
      <c r="D29" s="161"/>
      <c r="E29" s="162"/>
      <c r="G29" s="6"/>
      <c r="H29" s="39"/>
      <c r="I29" s="28"/>
      <c r="J29" s="6"/>
      <c r="K29" s="39"/>
      <c r="L29" s="28"/>
      <c r="M29" s="6" t="s">
        <v>99</v>
      </c>
      <c r="N29" s="39" t="s">
        <v>354</v>
      </c>
      <c r="O29" s="26">
        <v>70000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41590</v>
      </c>
      <c r="D30" s="161"/>
      <c r="E30" s="16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0</v>
      </c>
      <c r="D31" s="161"/>
      <c r="E31" s="16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35950</v>
      </c>
      <c r="D32" s="161"/>
      <c r="E32" s="16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0</v>
      </c>
      <c r="D33" s="161"/>
      <c r="E33" s="16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0</v>
      </c>
      <c r="D34" s="161"/>
      <c r="E34" s="16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0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3612077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20000000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0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23612077</v>
      </c>
      <c r="J89" s="7" t="s">
        <v>24</v>
      </c>
      <c r="K89" s="22" t="s">
        <v>34</v>
      </c>
      <c r="L89" s="21">
        <f>SUM(L7:L88)</f>
        <v>-18218660</v>
      </c>
      <c r="M89" s="7" t="s">
        <v>24</v>
      </c>
      <c r="N89" s="22" t="s">
        <v>34</v>
      </c>
      <c r="O89" s="21">
        <f>SUM(O7:O88)</f>
        <v>-22496807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-17103390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autoFilter ref="G6:Y44" xr:uid="{302EF69A-A684-47A9-A5C8-06F90E01165D}"/>
  <mergeCells count="43"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  <mergeCell ref="C26:E26"/>
    <mergeCell ref="C27:E27"/>
    <mergeCell ref="C28:E28"/>
    <mergeCell ref="C29:E29"/>
    <mergeCell ref="C30:E30"/>
    <mergeCell ref="Q4:Y4"/>
    <mergeCell ref="C5:D5"/>
    <mergeCell ref="G5:I5"/>
    <mergeCell ref="J5:L5"/>
    <mergeCell ref="M5:O5"/>
    <mergeCell ref="Q5:S5"/>
    <mergeCell ref="T5:V5"/>
    <mergeCell ref="W5:Y5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C6:D6"/>
    <mergeCell ref="C7:D7"/>
    <mergeCell ref="C31:E31"/>
    <mergeCell ref="C32:E32"/>
    <mergeCell ref="C33:E33"/>
    <mergeCell ref="C34:E34"/>
    <mergeCell ref="C35:E35"/>
    <mergeCell ref="C52:E52"/>
    <mergeCell ref="C53:E53"/>
    <mergeCell ref="C54:E54"/>
    <mergeCell ref="C55:E55"/>
    <mergeCell ref="C57:E57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L11" sqref="L11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70" t="s">
        <v>76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-1801137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11801137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-0.18011369999999999</v>
      </c>
      <c r="D7" s="176"/>
      <c r="G7" s="6" t="s">
        <v>86</v>
      </c>
      <c r="H7" s="39" t="s">
        <v>196</v>
      </c>
      <c r="I7" s="28">
        <v>1900</v>
      </c>
      <c r="J7" s="6" t="s">
        <v>97</v>
      </c>
      <c r="K7" s="39" t="s">
        <v>355</v>
      </c>
      <c r="L7" s="28">
        <v>-90000</v>
      </c>
      <c r="M7" s="6" t="s">
        <v>99</v>
      </c>
      <c r="N7" s="39" t="s">
        <v>194</v>
      </c>
      <c r="O7" s="40">
        <v>-300000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160</v>
      </c>
      <c r="H8" s="39" t="s">
        <v>304</v>
      </c>
      <c r="I8" s="28">
        <v>4506226</v>
      </c>
      <c r="J8" s="6" t="s">
        <v>91</v>
      </c>
      <c r="K8" s="39">
        <v>1203502442783</v>
      </c>
      <c r="L8" s="28">
        <v>-70268</v>
      </c>
      <c r="M8" s="6" t="s">
        <v>163</v>
      </c>
      <c r="N8" s="39" t="s">
        <v>106</v>
      </c>
      <c r="O8" s="26">
        <v>-1000000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165</v>
      </c>
      <c r="I9" s="28">
        <v>0</v>
      </c>
      <c r="J9" s="6" t="s">
        <v>91</v>
      </c>
      <c r="K9" s="39">
        <v>204858040085</v>
      </c>
      <c r="L9" s="28">
        <v>-500000</v>
      </c>
      <c r="M9" s="6" t="s">
        <v>163</v>
      </c>
      <c r="N9" s="39" t="s">
        <v>106</v>
      </c>
      <c r="O9" s="26">
        <v>1000000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 t="s">
        <v>88</v>
      </c>
      <c r="K10" s="39" t="s">
        <v>197</v>
      </c>
      <c r="L10" s="28">
        <v>-52800</v>
      </c>
      <c r="M10" s="6" t="s">
        <v>163</v>
      </c>
      <c r="N10" s="39" t="s">
        <v>169</v>
      </c>
      <c r="O10" s="26">
        <v>-500000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88</v>
      </c>
      <c r="K11" s="39" t="s">
        <v>356</v>
      </c>
      <c r="L11" s="28">
        <v>-35950</v>
      </c>
      <c r="M11" s="6" t="s">
        <v>104</v>
      </c>
      <c r="N11" s="39" t="s">
        <v>107</v>
      </c>
      <c r="O11" s="26">
        <v>-1023425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91</v>
      </c>
      <c r="K12" s="39" t="s">
        <v>159</v>
      </c>
      <c r="L12" s="28">
        <v>-32900</v>
      </c>
      <c r="M12" s="6" t="s">
        <v>99</v>
      </c>
      <c r="N12" s="39" t="s">
        <v>198</v>
      </c>
      <c r="O12" s="26">
        <v>-17800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97</v>
      </c>
      <c r="K13" s="39" t="s">
        <v>199</v>
      </c>
      <c r="L13" s="28">
        <v>-10000</v>
      </c>
      <c r="M13" s="6" t="s">
        <v>163</v>
      </c>
      <c r="N13" s="39" t="s">
        <v>171</v>
      </c>
      <c r="O13" s="26">
        <v>-100000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88</v>
      </c>
      <c r="K14" s="39" t="s">
        <v>168</v>
      </c>
      <c r="L14" s="28">
        <v>-36120</v>
      </c>
      <c r="M14" s="6" t="s">
        <v>163</v>
      </c>
      <c r="N14" s="39" t="s">
        <v>357</v>
      </c>
      <c r="O14" s="26">
        <v>-40000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88</v>
      </c>
      <c r="K15" s="39" t="s">
        <v>204</v>
      </c>
      <c r="L15" s="28">
        <v>-3000000</v>
      </c>
      <c r="M15" s="6" t="s">
        <v>110</v>
      </c>
      <c r="N15" s="39" t="s">
        <v>170</v>
      </c>
      <c r="O15" s="26">
        <v>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 t="s">
        <v>163</v>
      </c>
      <c r="N16" s="39" t="s">
        <v>106</v>
      </c>
      <c r="O16" s="26">
        <v>-500000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3124870</v>
      </c>
      <c r="D27" s="161"/>
      <c r="E27" s="16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0</v>
      </c>
      <c r="D28" s="161"/>
      <c r="E28" s="16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0</v>
      </c>
      <c r="D29" s="161"/>
      <c r="E29" s="16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603168</v>
      </c>
      <c r="D30" s="161"/>
      <c r="E30" s="16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0</v>
      </c>
      <c r="D31" s="161"/>
      <c r="E31" s="16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0</v>
      </c>
      <c r="D32" s="161"/>
      <c r="E32" s="16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0</v>
      </c>
      <c r="D33" s="161"/>
      <c r="E33" s="16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100000</v>
      </c>
      <c r="D34" s="161"/>
      <c r="E34" s="16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1900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4506226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0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4508126</v>
      </c>
      <c r="J89" s="7" t="s">
        <v>24</v>
      </c>
      <c r="K89" s="22" t="s">
        <v>34</v>
      </c>
      <c r="L89" s="21">
        <f>SUM(L7:L88)</f>
        <v>-3828038</v>
      </c>
      <c r="M89" s="7" t="s">
        <v>24</v>
      </c>
      <c r="N89" s="22" t="s">
        <v>34</v>
      </c>
      <c r="O89" s="21">
        <f>SUM(O7:O88)</f>
        <v>-2481225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-1801137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G4:O4"/>
    <mergeCell ref="Q4:Y4"/>
    <mergeCell ref="G5:I5"/>
    <mergeCell ref="J5:L5"/>
    <mergeCell ref="M5:O5"/>
    <mergeCell ref="Q5:S5"/>
    <mergeCell ref="T5:V5"/>
    <mergeCell ref="W5:Y5"/>
    <mergeCell ref="B2:C2"/>
    <mergeCell ref="C5:D5"/>
    <mergeCell ref="C6:D6"/>
    <mergeCell ref="C7:D7"/>
    <mergeCell ref="C4:D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K12" sqref="K1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1.7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70" t="s">
        <v>83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-1361109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11361109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-0.13611090000000001</v>
      </c>
      <c r="D7" s="176"/>
      <c r="G7" s="6" t="s">
        <v>86</v>
      </c>
      <c r="H7" s="39" t="s">
        <v>362</v>
      </c>
      <c r="I7" s="28">
        <v>1</v>
      </c>
      <c r="J7" s="6" t="s">
        <v>88</v>
      </c>
      <c r="K7" s="39" t="s">
        <v>103</v>
      </c>
      <c r="L7" s="28">
        <v>-200000</v>
      </c>
      <c r="M7" s="6" t="s">
        <v>99</v>
      </c>
      <c r="N7" s="39" t="s">
        <v>194</v>
      </c>
      <c r="O7" s="40">
        <v>-300000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160</v>
      </c>
      <c r="H8" s="39" t="s">
        <v>365</v>
      </c>
      <c r="I8" s="28">
        <v>15003272</v>
      </c>
      <c r="J8" s="6" t="s">
        <v>91</v>
      </c>
      <c r="K8" s="39">
        <v>1203502442783</v>
      </c>
      <c r="L8" s="28">
        <v>-77797</v>
      </c>
      <c r="M8" s="6" t="s">
        <v>111</v>
      </c>
      <c r="N8" s="39" t="s">
        <v>358</v>
      </c>
      <c r="O8" s="26">
        <v>500000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165</v>
      </c>
      <c r="I9" s="28">
        <v>0</v>
      </c>
      <c r="J9" s="6" t="s">
        <v>88</v>
      </c>
      <c r="K9" s="39" t="s">
        <v>360</v>
      </c>
      <c r="L9" s="28">
        <v>-35950</v>
      </c>
      <c r="M9" s="6" t="s">
        <v>111</v>
      </c>
      <c r="N9" s="39" t="s">
        <v>359</v>
      </c>
      <c r="O9" s="26">
        <v>50000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 t="s">
        <v>91</v>
      </c>
      <c r="K10" s="39" t="s">
        <v>159</v>
      </c>
      <c r="L10" s="28">
        <v>-32900</v>
      </c>
      <c r="M10" s="6" t="s">
        <v>99</v>
      </c>
      <c r="N10" s="39" t="s">
        <v>209</v>
      </c>
      <c r="O10" s="26">
        <v>-77083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94</v>
      </c>
      <c r="K11" s="39" t="s">
        <v>207</v>
      </c>
      <c r="L11" s="28">
        <v>-27900</v>
      </c>
      <c r="M11" s="6" t="s">
        <v>99</v>
      </c>
      <c r="N11" s="39" t="s">
        <v>209</v>
      </c>
      <c r="O11" s="26">
        <v>-301300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88</v>
      </c>
      <c r="K12" s="39" t="s">
        <v>204</v>
      </c>
      <c r="L12" s="28">
        <v>-14000000</v>
      </c>
      <c r="M12" s="6" t="s">
        <v>99</v>
      </c>
      <c r="N12" s="39" t="s">
        <v>172</v>
      </c>
      <c r="O12" s="26">
        <v>10000000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88</v>
      </c>
      <c r="K13" s="39" t="s">
        <v>168</v>
      </c>
      <c r="L13" s="28">
        <v>-36120</v>
      </c>
      <c r="M13" s="6" t="s">
        <v>163</v>
      </c>
      <c r="N13" s="39" t="s">
        <v>164</v>
      </c>
      <c r="O13" s="26">
        <v>-5000000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 t="s">
        <v>163</v>
      </c>
      <c r="N14" s="39" t="s">
        <v>164</v>
      </c>
      <c r="O14" s="26">
        <v>-5000000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 t="s">
        <v>99</v>
      </c>
      <c r="N15" s="39" t="s">
        <v>361</v>
      </c>
      <c r="O15" s="26">
        <v>44000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 t="s">
        <v>99</v>
      </c>
      <c r="N16" s="39" t="s">
        <v>209</v>
      </c>
      <c r="O16" s="26">
        <v>-43990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 t="s">
        <v>99</v>
      </c>
      <c r="N17" s="39" t="s">
        <v>363</v>
      </c>
      <c r="O17" s="26">
        <v>1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 t="s">
        <v>99</v>
      </c>
      <c r="N18" s="39" t="s">
        <v>364</v>
      </c>
      <c r="O18" s="26">
        <v>6000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 t="s">
        <v>99</v>
      </c>
      <c r="N19" s="39" t="s">
        <v>209</v>
      </c>
      <c r="O19" s="26">
        <v>-19500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 t="s">
        <v>99</v>
      </c>
      <c r="N20" s="39" t="s">
        <v>209</v>
      </c>
      <c r="O20" s="26">
        <v>-150000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 t="s">
        <v>163</v>
      </c>
      <c r="N21" s="39" t="s">
        <v>176</v>
      </c>
      <c r="O21" s="26">
        <v>-500000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 t="s">
        <v>163</v>
      </c>
      <c r="N22" s="39" t="s">
        <v>171</v>
      </c>
      <c r="O22" s="26">
        <v>-100000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 t="s">
        <v>99</v>
      </c>
      <c r="N23" s="39" t="s">
        <v>198</v>
      </c>
      <c r="O23" s="26">
        <v>-17800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 t="s">
        <v>104</v>
      </c>
      <c r="N24" s="39" t="s">
        <v>107</v>
      </c>
      <c r="O24" s="26">
        <v>-1044168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/>
      <c r="K25" s="39"/>
      <c r="L25" s="28"/>
      <c r="M25" s="6" t="s">
        <v>87</v>
      </c>
      <c r="N25" s="39" t="s">
        <v>346</v>
      </c>
      <c r="O25" s="26">
        <v>1500125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 t="s">
        <v>163</v>
      </c>
      <c r="N26" s="39" t="s">
        <v>106</v>
      </c>
      <c r="O26" s="26">
        <v>-1500000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14272070</v>
      </c>
      <c r="D27" s="161"/>
      <c r="E27" s="16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0</v>
      </c>
      <c r="D28" s="161"/>
      <c r="E28" s="16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0</v>
      </c>
      <c r="D29" s="161"/>
      <c r="E29" s="16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110697</v>
      </c>
      <c r="D30" s="161"/>
      <c r="E30" s="16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27900</v>
      </c>
      <c r="D31" s="161"/>
      <c r="E31" s="16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0</v>
      </c>
      <c r="D32" s="161"/>
      <c r="E32" s="16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0</v>
      </c>
      <c r="D33" s="161"/>
      <c r="E33" s="16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0</v>
      </c>
      <c r="D34" s="161"/>
      <c r="E34" s="16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1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15003272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0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15003273</v>
      </c>
      <c r="J89" s="7" t="s">
        <v>24</v>
      </c>
      <c r="K89" s="22" t="s">
        <v>34</v>
      </c>
      <c r="L89" s="21">
        <f>SUM(L7:L88)</f>
        <v>-14410667</v>
      </c>
      <c r="M89" s="7" t="s">
        <v>24</v>
      </c>
      <c r="N89" s="22" t="s">
        <v>34</v>
      </c>
      <c r="O89" s="21">
        <f>SUM(O7:O88)</f>
        <v>-1953715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-1361109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tabSelected="1" workbookViewId="0">
      <selection activeCell="L18" sqref="L18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70" t="s">
        <v>26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-1120058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11120058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-0.1120058</v>
      </c>
      <c r="D7" s="176"/>
      <c r="G7" s="6" t="s">
        <v>86</v>
      </c>
      <c r="H7" s="39" t="s">
        <v>214</v>
      </c>
      <c r="I7" s="28">
        <v>10142</v>
      </c>
      <c r="J7" s="6" t="s">
        <v>94</v>
      </c>
      <c r="K7" s="39" t="s">
        <v>366</v>
      </c>
      <c r="L7" s="28">
        <v>-100000</v>
      </c>
      <c r="M7" s="6" t="s">
        <v>99</v>
      </c>
      <c r="N7" s="39" t="s">
        <v>194</v>
      </c>
      <c r="O7" s="40">
        <v>-300000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160</v>
      </c>
      <c r="H8" s="39" t="s">
        <v>365</v>
      </c>
      <c r="I8" s="28">
        <v>4478364</v>
      </c>
      <c r="J8" s="6" t="s">
        <v>88</v>
      </c>
      <c r="K8" s="39" t="s">
        <v>368</v>
      </c>
      <c r="L8" s="28">
        <v>-2545813</v>
      </c>
      <c r="M8" s="6" t="s">
        <v>87</v>
      </c>
      <c r="N8" s="39" t="s">
        <v>367</v>
      </c>
      <c r="O8" s="26">
        <v>919093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165</v>
      </c>
      <c r="I9" s="28">
        <v>0</v>
      </c>
      <c r="J9" s="6" t="s">
        <v>88</v>
      </c>
      <c r="K9" s="39">
        <v>1203502442783</v>
      </c>
      <c r="L9" s="28">
        <v>-75287</v>
      </c>
      <c r="M9" s="6" t="s">
        <v>87</v>
      </c>
      <c r="N9" s="39" t="s">
        <v>367</v>
      </c>
      <c r="O9" s="26">
        <v>794905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 t="s">
        <v>113</v>
      </c>
      <c r="K10" s="39" t="s">
        <v>166</v>
      </c>
      <c r="L10" s="28">
        <v>-341532</v>
      </c>
      <c r="M10" s="6" t="s">
        <v>87</v>
      </c>
      <c r="N10" s="39" t="s">
        <v>367</v>
      </c>
      <c r="O10" s="26">
        <v>831815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113</v>
      </c>
      <c r="K11" s="39" t="s">
        <v>166</v>
      </c>
      <c r="L11" s="28">
        <v>-333716</v>
      </c>
      <c r="M11" s="6" t="s">
        <v>110</v>
      </c>
      <c r="N11" s="39" t="s">
        <v>170</v>
      </c>
      <c r="O11" s="26">
        <v>494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113</v>
      </c>
      <c r="K12" s="39" t="s">
        <v>166</v>
      </c>
      <c r="L12" s="28">
        <v>-11916</v>
      </c>
      <c r="M12" s="6" t="s">
        <v>110</v>
      </c>
      <c r="N12" s="39" t="s">
        <v>200</v>
      </c>
      <c r="O12" s="26">
        <v>-700000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88</v>
      </c>
      <c r="K13" s="39" t="s">
        <v>370</v>
      </c>
      <c r="L13" s="28">
        <v>-35950</v>
      </c>
      <c r="M13" s="6" t="s">
        <v>87</v>
      </c>
      <c r="N13" s="39" t="s">
        <v>369</v>
      </c>
      <c r="O13" s="26">
        <v>1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91</v>
      </c>
      <c r="K14" s="39" t="s">
        <v>159</v>
      </c>
      <c r="L14" s="28">
        <v>-32900</v>
      </c>
      <c r="M14" s="6" t="s">
        <v>99</v>
      </c>
      <c r="N14" s="39" t="s">
        <v>172</v>
      </c>
      <c r="O14" s="26">
        <v>500000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88</v>
      </c>
      <c r="K15" s="39" t="s">
        <v>204</v>
      </c>
      <c r="L15" s="28">
        <v>-2500000</v>
      </c>
      <c r="M15" s="6" t="s">
        <v>57</v>
      </c>
      <c r="N15" s="39" t="s">
        <v>322</v>
      </c>
      <c r="O15" s="26">
        <v>124140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94</v>
      </c>
      <c r="K16" s="39" t="s">
        <v>207</v>
      </c>
      <c r="L16" s="28">
        <v>-66030</v>
      </c>
      <c r="M16" s="6" t="s">
        <v>99</v>
      </c>
      <c r="N16" s="39" t="s">
        <v>209</v>
      </c>
      <c r="O16" s="26">
        <v>-10000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88</v>
      </c>
      <c r="K17" s="39" t="s">
        <v>168</v>
      </c>
      <c r="L17" s="28">
        <v>-36120</v>
      </c>
      <c r="M17" s="6" t="s">
        <v>104</v>
      </c>
      <c r="N17" s="39" t="s">
        <v>107</v>
      </c>
      <c r="O17" s="26">
        <v>-1261948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 t="s">
        <v>99</v>
      </c>
      <c r="N18" s="39" t="s">
        <v>198</v>
      </c>
      <c r="O18" s="26">
        <v>-17800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 t="s">
        <v>163</v>
      </c>
      <c r="N19" s="39" t="s">
        <v>171</v>
      </c>
      <c r="O19" s="26">
        <v>-500000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 t="s">
        <v>99</v>
      </c>
      <c r="N20" s="39" t="s">
        <v>209</v>
      </c>
      <c r="O20" s="26">
        <v>-10000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 t="s">
        <v>99</v>
      </c>
      <c r="N21" s="39" t="s">
        <v>172</v>
      </c>
      <c r="O21" s="26">
        <v>100000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5193170</v>
      </c>
      <c r="D27" s="161"/>
      <c r="E27" s="16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0</v>
      </c>
      <c r="D28" s="161"/>
      <c r="E28" s="16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0</v>
      </c>
      <c r="D29" s="161"/>
      <c r="E29" s="16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32900</v>
      </c>
      <c r="D30" s="161"/>
      <c r="E30" s="16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166030</v>
      </c>
      <c r="D31" s="161"/>
      <c r="E31" s="16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0</v>
      </c>
      <c r="D32" s="161"/>
      <c r="E32" s="16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0</v>
      </c>
      <c r="D33" s="161"/>
      <c r="E33" s="16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0</v>
      </c>
      <c r="D34" s="161"/>
      <c r="E34" s="16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687164</v>
      </c>
      <c r="D35" s="161"/>
      <c r="E35" s="16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10142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4478364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0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4488506</v>
      </c>
      <c r="J89" s="7" t="s">
        <v>24</v>
      </c>
      <c r="K89" s="22" t="s">
        <v>34</v>
      </c>
      <c r="L89" s="21">
        <f>SUM(L7:L88)</f>
        <v>-6079264</v>
      </c>
      <c r="M89" s="7" t="s">
        <v>24</v>
      </c>
      <c r="N89" s="22" t="s">
        <v>34</v>
      </c>
      <c r="O89" s="21">
        <f>SUM(O7:O88)</f>
        <v>470700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-1120058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workbookViewId="0">
      <selection activeCell="K16" sqref="K16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70" t="s">
        <v>77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-265716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10265716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-2.6571600000000001E-2</v>
      </c>
      <c r="D7" s="176"/>
      <c r="G7" s="6" t="s">
        <v>86</v>
      </c>
      <c r="H7" s="39" t="s">
        <v>196</v>
      </c>
      <c r="I7" s="28">
        <v>232</v>
      </c>
      <c r="J7" s="6" t="s">
        <v>88</v>
      </c>
      <c r="K7" s="39">
        <v>1203502442783</v>
      </c>
      <c r="L7" s="28">
        <v>-77797</v>
      </c>
      <c r="M7" s="6" t="s">
        <v>99</v>
      </c>
      <c r="N7" s="39" t="s">
        <v>194</v>
      </c>
      <c r="O7" s="26">
        <v>-300000</v>
      </c>
      <c r="P7" s="5"/>
      <c r="Q7" s="6"/>
      <c r="R7" s="39"/>
      <c r="S7" s="28"/>
      <c r="T7" s="6"/>
      <c r="U7" s="39"/>
      <c r="V7" s="28"/>
      <c r="W7" s="6"/>
      <c r="X7" s="39"/>
      <c r="Y7" s="26"/>
    </row>
    <row r="8" spans="2:25" x14ac:dyDescent="0.3">
      <c r="G8" s="6" t="s">
        <v>160</v>
      </c>
      <c r="H8" s="39" t="s">
        <v>365</v>
      </c>
      <c r="I8" s="28">
        <v>4490675</v>
      </c>
      <c r="J8" s="6" t="s">
        <v>88</v>
      </c>
      <c r="K8" s="39" t="s">
        <v>371</v>
      </c>
      <c r="L8" s="28">
        <v>-35950</v>
      </c>
      <c r="M8" s="6" t="s">
        <v>99</v>
      </c>
      <c r="N8" s="39" t="s">
        <v>172</v>
      </c>
      <c r="O8" s="26">
        <v>290000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165</v>
      </c>
      <c r="I9" s="28">
        <v>0</v>
      </c>
      <c r="J9" s="6" t="s">
        <v>91</v>
      </c>
      <c r="K9" s="39" t="s">
        <v>159</v>
      </c>
      <c r="L9" s="28">
        <v>-32900</v>
      </c>
      <c r="M9" s="6" t="s">
        <v>99</v>
      </c>
      <c r="N9" s="39" t="s">
        <v>209</v>
      </c>
      <c r="O9" s="26">
        <v>-280199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 t="s">
        <v>218</v>
      </c>
      <c r="H10" s="39" t="s">
        <v>373</v>
      </c>
      <c r="I10" s="28">
        <v>1</v>
      </c>
      <c r="J10" s="6" t="s">
        <v>88</v>
      </c>
      <c r="K10" s="39" t="s">
        <v>204</v>
      </c>
      <c r="L10" s="28">
        <v>-3000000</v>
      </c>
      <c r="M10" s="6" t="s">
        <v>99</v>
      </c>
      <c r="N10" s="39" t="s">
        <v>209</v>
      </c>
      <c r="O10" s="26">
        <v>-12500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88</v>
      </c>
      <c r="K11" s="39" t="s">
        <v>168</v>
      </c>
      <c r="L11" s="28">
        <v>-36120</v>
      </c>
      <c r="M11" s="6" t="s">
        <v>99</v>
      </c>
      <c r="N11" s="39" t="s">
        <v>209</v>
      </c>
      <c r="O11" s="26">
        <v>-11998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 t="s">
        <v>163</v>
      </c>
      <c r="N12" s="39" t="s">
        <v>106</v>
      </c>
      <c r="O12" s="26">
        <v>58100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 t="s">
        <v>104</v>
      </c>
      <c r="N13" s="39" t="s">
        <v>107</v>
      </c>
      <c r="O13" s="26">
        <v>-1206960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 t="s">
        <v>99</v>
      </c>
      <c r="N14" s="39" t="s">
        <v>198</v>
      </c>
      <c r="O14" s="26">
        <v>-17800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 t="s">
        <v>99</v>
      </c>
      <c r="N15" s="39" t="s">
        <v>372</v>
      </c>
      <c r="O15" s="26">
        <v>7500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 t="s">
        <v>110</v>
      </c>
      <c r="N16" s="39" t="s">
        <v>170</v>
      </c>
      <c r="O16" s="26">
        <v>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 t="s">
        <v>163</v>
      </c>
      <c r="N17" s="39" t="s">
        <v>106</v>
      </c>
      <c r="O17" s="26">
        <v>200000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 t="s">
        <v>163</v>
      </c>
      <c r="N18" s="39" t="s">
        <v>106</v>
      </c>
      <c r="O18" s="26">
        <v>-200000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 t="s">
        <v>163</v>
      </c>
      <c r="N19" s="39" t="s">
        <v>171</v>
      </c>
      <c r="O19" s="26">
        <v>-100000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3149867</v>
      </c>
      <c r="D27" s="161"/>
      <c r="E27" s="16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0</v>
      </c>
      <c r="D28" s="161"/>
      <c r="E28" s="16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0</v>
      </c>
      <c r="D29" s="161"/>
      <c r="E29" s="16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32900</v>
      </c>
      <c r="D30" s="161"/>
      <c r="E30" s="16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0</v>
      </c>
      <c r="D31" s="161"/>
      <c r="E31" s="16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0</v>
      </c>
      <c r="D32" s="161"/>
      <c r="E32" s="16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0</v>
      </c>
      <c r="D33" s="161"/>
      <c r="E33" s="16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0</v>
      </c>
      <c r="D34" s="161"/>
      <c r="E34" s="16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232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4490675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1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4490908</v>
      </c>
      <c r="J89" s="7" t="s">
        <v>24</v>
      </c>
      <c r="K89" s="22" t="s">
        <v>34</v>
      </c>
      <c r="L89" s="21">
        <f>SUM(L7:L88)</f>
        <v>-3182767</v>
      </c>
      <c r="M89" s="7" t="s">
        <v>24</v>
      </c>
      <c r="N89" s="22" t="s">
        <v>34</v>
      </c>
      <c r="O89" s="21">
        <f>SUM(O7:O88)</f>
        <v>-1573857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-265716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K13" sqref="K1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70" t="s">
        <v>78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-300000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10300000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-0.03</v>
      </c>
      <c r="D7" s="176"/>
      <c r="G7" s="6"/>
      <c r="H7" s="39"/>
      <c r="I7" s="28"/>
      <c r="J7" s="6"/>
      <c r="K7" s="39"/>
      <c r="L7" s="28"/>
      <c r="M7" s="6" t="s">
        <v>99</v>
      </c>
      <c r="N7" s="39" t="s">
        <v>194</v>
      </c>
      <c r="O7" s="40">
        <v>-300000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0</v>
      </c>
      <c r="D27" s="161"/>
      <c r="E27" s="16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0</v>
      </c>
      <c r="D28" s="161"/>
      <c r="E28" s="16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0</v>
      </c>
      <c r="D29" s="161"/>
      <c r="E29" s="16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0</v>
      </c>
      <c r="D30" s="161"/>
      <c r="E30" s="16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0</v>
      </c>
      <c r="D31" s="161"/>
      <c r="E31" s="16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0</v>
      </c>
      <c r="D32" s="161"/>
      <c r="E32" s="16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0</v>
      </c>
      <c r="D33" s="161"/>
      <c r="E33" s="16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0</v>
      </c>
      <c r="D34" s="161"/>
      <c r="E34" s="16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0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0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0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-300000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-300000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J2" sqref="J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70" t="s">
        <v>79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-2277281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12277281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-0.22772809999999999</v>
      </c>
      <c r="D7" s="176"/>
      <c r="G7" s="6" t="s">
        <v>218</v>
      </c>
      <c r="H7" s="39" t="s">
        <v>262</v>
      </c>
      <c r="I7" s="28">
        <v>1</v>
      </c>
      <c r="J7" s="6" t="s">
        <v>94</v>
      </c>
      <c r="K7" s="39" t="s">
        <v>212</v>
      </c>
      <c r="L7" s="28">
        <v>-300000</v>
      </c>
      <c r="M7" s="6" t="s">
        <v>99</v>
      </c>
      <c r="N7" s="39" t="s">
        <v>209</v>
      </c>
      <c r="O7" s="40">
        <v>-31067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86</v>
      </c>
      <c r="H8" s="39" t="s">
        <v>267</v>
      </c>
      <c r="I8" s="28">
        <v>1</v>
      </c>
      <c r="J8" s="6" t="s">
        <v>97</v>
      </c>
      <c r="K8" s="39" t="s">
        <v>252</v>
      </c>
      <c r="L8" s="28">
        <v>-4000</v>
      </c>
      <c r="M8" s="6" t="s">
        <v>99</v>
      </c>
      <c r="N8" s="39" t="s">
        <v>178</v>
      </c>
      <c r="O8" s="26">
        <v>2500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268</v>
      </c>
      <c r="I9" s="28">
        <v>1</v>
      </c>
      <c r="J9" s="6" t="s">
        <v>93</v>
      </c>
      <c r="K9" s="39" t="s">
        <v>253</v>
      </c>
      <c r="L9" s="28">
        <v>-36650</v>
      </c>
      <c r="M9" s="6" t="s">
        <v>99</v>
      </c>
      <c r="N9" s="39" t="s">
        <v>177</v>
      </c>
      <c r="O9" s="26">
        <v>2500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 t="s">
        <v>86</v>
      </c>
      <c r="H10" s="39" t="s">
        <v>165</v>
      </c>
      <c r="I10" s="28">
        <v>0</v>
      </c>
      <c r="J10" s="6" t="s">
        <v>93</v>
      </c>
      <c r="K10" s="39" t="s">
        <v>253</v>
      </c>
      <c r="L10" s="28">
        <v>-59800</v>
      </c>
      <c r="M10" s="6" t="s">
        <v>99</v>
      </c>
      <c r="N10" s="39" t="s">
        <v>201</v>
      </c>
      <c r="O10" s="26">
        <v>2500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 t="s">
        <v>160</v>
      </c>
      <c r="H11" s="39" t="s">
        <v>276</v>
      </c>
      <c r="I11" s="28">
        <v>193046</v>
      </c>
      <c r="J11" s="6" t="s">
        <v>89</v>
      </c>
      <c r="K11" s="39" t="s">
        <v>254</v>
      </c>
      <c r="L11" s="28">
        <v>-6480</v>
      </c>
      <c r="M11" s="6" t="s">
        <v>99</v>
      </c>
      <c r="N11" s="39" t="s">
        <v>177</v>
      </c>
      <c r="O11" s="26">
        <v>2500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 t="s">
        <v>173</v>
      </c>
      <c r="H12" s="39" t="s">
        <v>277</v>
      </c>
      <c r="I12" s="28">
        <v>1</v>
      </c>
      <c r="J12" s="6" t="s">
        <v>101</v>
      </c>
      <c r="K12" s="39" t="s">
        <v>255</v>
      </c>
      <c r="L12" s="28">
        <v>-10000</v>
      </c>
      <c r="M12" s="6" t="s">
        <v>99</v>
      </c>
      <c r="N12" s="39" t="s">
        <v>177</v>
      </c>
      <c r="O12" s="26">
        <v>2500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 t="s">
        <v>160</v>
      </c>
      <c r="H13" s="39" t="s">
        <v>161</v>
      </c>
      <c r="I13" s="28">
        <v>4200663</v>
      </c>
      <c r="J13" s="6" t="s">
        <v>101</v>
      </c>
      <c r="K13" s="39" t="s">
        <v>255</v>
      </c>
      <c r="L13" s="28">
        <v>10000</v>
      </c>
      <c r="M13" s="6" t="s">
        <v>110</v>
      </c>
      <c r="N13" s="39" t="s">
        <v>170</v>
      </c>
      <c r="O13" s="26">
        <v>992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 t="s">
        <v>86</v>
      </c>
      <c r="H14" s="39" t="s">
        <v>279</v>
      </c>
      <c r="I14" s="28">
        <v>2608</v>
      </c>
      <c r="J14" s="6" t="s">
        <v>101</v>
      </c>
      <c r="K14" s="39" t="s">
        <v>256</v>
      </c>
      <c r="L14" s="28">
        <v>-10690</v>
      </c>
      <c r="M14" s="6" t="s">
        <v>99</v>
      </c>
      <c r="N14" s="39" t="s">
        <v>177</v>
      </c>
      <c r="O14" s="26">
        <v>2500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113</v>
      </c>
      <c r="K15" s="39" t="s">
        <v>208</v>
      </c>
      <c r="L15" s="28">
        <v>27000</v>
      </c>
      <c r="M15" s="6" t="s">
        <v>163</v>
      </c>
      <c r="N15" s="39" t="s">
        <v>209</v>
      </c>
      <c r="O15" s="26">
        <v>-39994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101</v>
      </c>
      <c r="K16" s="39" t="s">
        <v>190</v>
      </c>
      <c r="L16" s="28">
        <v>-37000</v>
      </c>
      <c r="M16" s="6" t="s">
        <v>163</v>
      </c>
      <c r="N16" s="39" t="s">
        <v>202</v>
      </c>
      <c r="O16" s="26">
        <v>39994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101</v>
      </c>
      <c r="K17" s="39" t="s">
        <v>190</v>
      </c>
      <c r="L17" s="28">
        <v>-37000</v>
      </c>
      <c r="M17" s="6" t="s">
        <v>99</v>
      </c>
      <c r="N17" s="39" t="s">
        <v>178</v>
      </c>
      <c r="O17" s="26">
        <v>2500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101</v>
      </c>
      <c r="K18" s="39" t="s">
        <v>190</v>
      </c>
      <c r="L18" s="28">
        <v>-37000</v>
      </c>
      <c r="M18" s="6" t="s">
        <v>99</v>
      </c>
      <c r="N18" s="39" t="s">
        <v>177</v>
      </c>
      <c r="O18" s="26">
        <v>2500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97</v>
      </c>
      <c r="K19" s="39" t="s">
        <v>193</v>
      </c>
      <c r="L19" s="28">
        <v>-10000</v>
      </c>
      <c r="M19" s="6" t="s">
        <v>163</v>
      </c>
      <c r="N19" s="39" t="s">
        <v>164</v>
      </c>
      <c r="O19" s="26">
        <v>-900000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97</v>
      </c>
      <c r="K20" s="39" t="s">
        <v>193</v>
      </c>
      <c r="L20" s="28">
        <v>-5000</v>
      </c>
      <c r="M20" s="6" t="s">
        <v>99</v>
      </c>
      <c r="N20" s="39">
        <v>424931</v>
      </c>
      <c r="O20" s="26">
        <v>1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93</v>
      </c>
      <c r="K21" s="39" t="s">
        <v>257</v>
      </c>
      <c r="L21" s="28">
        <v>-40000</v>
      </c>
      <c r="M21" s="6" t="s">
        <v>111</v>
      </c>
      <c r="N21" s="39" t="s">
        <v>269</v>
      </c>
      <c r="O21" s="26">
        <v>1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 t="s">
        <v>97</v>
      </c>
      <c r="K22" s="39" t="s">
        <v>193</v>
      </c>
      <c r="L22" s="28">
        <v>-5000</v>
      </c>
      <c r="M22" s="6" t="s">
        <v>99</v>
      </c>
      <c r="N22" s="39" t="s">
        <v>177</v>
      </c>
      <c r="O22" s="26">
        <v>2500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 t="s">
        <v>101</v>
      </c>
      <c r="K23" s="39" t="s">
        <v>255</v>
      </c>
      <c r="L23" s="28">
        <v>-6200</v>
      </c>
      <c r="M23" s="6" t="s">
        <v>104</v>
      </c>
      <c r="N23" s="39" t="s">
        <v>270</v>
      </c>
      <c r="O23" s="26">
        <v>-10000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 t="s">
        <v>101</v>
      </c>
      <c r="K24" s="39" t="s">
        <v>255</v>
      </c>
      <c r="L24" s="28">
        <v>6200</v>
      </c>
      <c r="M24" s="6" t="s">
        <v>104</v>
      </c>
      <c r="N24" s="39" t="s">
        <v>271</v>
      </c>
      <c r="O24" s="26">
        <v>-1400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 t="s">
        <v>101</v>
      </c>
      <c r="K25" s="39" t="s">
        <v>258</v>
      </c>
      <c r="L25" s="28">
        <v>-5590</v>
      </c>
      <c r="M25" s="6" t="s">
        <v>99</v>
      </c>
      <c r="N25" s="39" t="s">
        <v>178</v>
      </c>
      <c r="O25" s="26">
        <v>2500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101</v>
      </c>
      <c r="K26" s="39" t="s">
        <v>259</v>
      </c>
      <c r="L26" s="28">
        <v>-1400</v>
      </c>
      <c r="M26" s="6" t="s">
        <v>99</v>
      </c>
      <c r="N26" s="39" t="s">
        <v>177</v>
      </c>
      <c r="O26" s="26">
        <v>2500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4246041</v>
      </c>
      <c r="D27" s="161"/>
      <c r="E27" s="162"/>
      <c r="G27" s="6"/>
      <c r="H27" s="39"/>
      <c r="I27" s="28"/>
      <c r="J27" s="6" t="s">
        <v>89</v>
      </c>
      <c r="K27" s="39" t="s">
        <v>96</v>
      </c>
      <c r="L27" s="28">
        <v>-160000</v>
      </c>
      <c r="M27" s="6" t="s">
        <v>163</v>
      </c>
      <c r="N27" s="39" t="s">
        <v>202</v>
      </c>
      <c r="O27" s="26">
        <v>10000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266480</v>
      </c>
      <c r="D28" s="161"/>
      <c r="E28" s="162"/>
      <c r="G28" s="6"/>
      <c r="H28" s="39"/>
      <c r="I28" s="28"/>
      <c r="J28" s="6" t="s">
        <v>89</v>
      </c>
      <c r="K28" s="39" t="s">
        <v>96</v>
      </c>
      <c r="L28" s="28">
        <v>-20000</v>
      </c>
      <c r="M28" s="6" t="s">
        <v>163</v>
      </c>
      <c r="N28" s="39" t="s">
        <v>209</v>
      </c>
      <c r="O28" s="26">
        <v>-10000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236650</v>
      </c>
      <c r="D29" s="161"/>
      <c r="E29" s="162"/>
      <c r="G29" s="6"/>
      <c r="H29" s="39"/>
      <c r="I29" s="28"/>
      <c r="J29" s="6" t="s">
        <v>88</v>
      </c>
      <c r="K29" s="39" t="s">
        <v>102</v>
      </c>
      <c r="L29" s="28">
        <v>-5000</v>
      </c>
      <c r="M29" s="6" t="s">
        <v>163</v>
      </c>
      <c r="N29" s="39" t="s">
        <v>202</v>
      </c>
      <c r="O29" s="26">
        <v>10000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40490</v>
      </c>
      <c r="D30" s="161"/>
      <c r="E30" s="162"/>
      <c r="G30" s="6"/>
      <c r="H30" s="39"/>
      <c r="I30" s="28"/>
      <c r="J30" s="6" t="s">
        <v>93</v>
      </c>
      <c r="K30" s="39" t="s">
        <v>118</v>
      </c>
      <c r="L30" s="28">
        <v>-6800</v>
      </c>
      <c r="M30" s="6" t="s">
        <v>163</v>
      </c>
      <c r="N30" s="39" t="s">
        <v>209</v>
      </c>
      <c r="O30" s="26">
        <v>-10000</v>
      </c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327590</v>
      </c>
      <c r="D31" s="161"/>
      <c r="E31" s="162"/>
      <c r="G31" s="6"/>
      <c r="H31" s="39"/>
      <c r="I31" s="28"/>
      <c r="J31" s="6" t="s">
        <v>97</v>
      </c>
      <c r="K31" s="39" t="s">
        <v>193</v>
      </c>
      <c r="L31" s="28">
        <v>-7500</v>
      </c>
      <c r="M31" s="6" t="s">
        <v>163</v>
      </c>
      <c r="N31" s="39" t="s">
        <v>275</v>
      </c>
      <c r="O31" s="26">
        <v>-40000</v>
      </c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149950</v>
      </c>
      <c r="D32" s="161"/>
      <c r="E32" s="162"/>
      <c r="G32" s="6"/>
      <c r="H32" s="39"/>
      <c r="I32" s="28"/>
      <c r="J32" s="6" t="s">
        <v>94</v>
      </c>
      <c r="K32" s="39" t="s">
        <v>215</v>
      </c>
      <c r="L32" s="28">
        <v>-26590</v>
      </c>
      <c r="M32" s="6" t="s">
        <v>163</v>
      </c>
      <c r="N32" s="39" t="s">
        <v>278</v>
      </c>
      <c r="O32" s="26">
        <v>-500000</v>
      </c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289080</v>
      </c>
      <c r="D33" s="161"/>
      <c r="E33" s="162"/>
      <c r="G33" s="6"/>
      <c r="H33" s="39"/>
      <c r="I33" s="28"/>
      <c r="J33" s="6" t="s">
        <v>88</v>
      </c>
      <c r="K33" s="39" t="s">
        <v>102</v>
      </c>
      <c r="L33" s="28">
        <v>-50000</v>
      </c>
      <c r="M33" s="6" t="s">
        <v>163</v>
      </c>
      <c r="N33" s="39" t="s">
        <v>170</v>
      </c>
      <c r="O33" s="26">
        <v>500000</v>
      </c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54000</v>
      </c>
      <c r="D34" s="161"/>
      <c r="E34" s="162"/>
      <c r="G34" s="6"/>
      <c r="H34" s="39"/>
      <c r="I34" s="28"/>
      <c r="J34" s="6" t="s">
        <v>93</v>
      </c>
      <c r="K34" s="39" t="s">
        <v>260</v>
      </c>
      <c r="L34" s="28">
        <v>-16900</v>
      </c>
      <c r="M34" s="6" t="s">
        <v>163</v>
      </c>
      <c r="N34" s="39" t="s">
        <v>202</v>
      </c>
      <c r="O34" s="26">
        <v>98416</v>
      </c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-27000</v>
      </c>
      <c r="D35" s="161"/>
      <c r="E35" s="162"/>
      <c r="G35" s="6"/>
      <c r="H35" s="39"/>
      <c r="I35" s="28"/>
      <c r="J35" s="6" t="s">
        <v>88</v>
      </c>
      <c r="K35" s="39" t="s">
        <v>204</v>
      </c>
      <c r="L35" s="28">
        <v>-1000000</v>
      </c>
      <c r="M35" s="6" t="s">
        <v>163</v>
      </c>
      <c r="N35" s="39" t="s">
        <v>209</v>
      </c>
      <c r="O35" s="26">
        <v>-98416</v>
      </c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 t="s">
        <v>105</v>
      </c>
      <c r="K36" s="39" t="s">
        <v>261</v>
      </c>
      <c r="L36" s="28">
        <v>-20000</v>
      </c>
      <c r="M36" s="6" t="s">
        <v>163</v>
      </c>
      <c r="N36" s="39" t="s">
        <v>170</v>
      </c>
      <c r="O36" s="26">
        <v>100000</v>
      </c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 t="s">
        <v>105</v>
      </c>
      <c r="K37" s="39" t="s">
        <v>263</v>
      </c>
      <c r="L37" s="28">
        <v>-6000</v>
      </c>
      <c r="M37" s="6" t="s">
        <v>163</v>
      </c>
      <c r="N37" s="39" t="s">
        <v>280</v>
      </c>
      <c r="O37" s="26">
        <v>-100000</v>
      </c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 t="s">
        <v>93</v>
      </c>
      <c r="K38" s="39" t="s">
        <v>264</v>
      </c>
      <c r="L38" s="28">
        <v>-10000</v>
      </c>
      <c r="M38" s="6" t="s">
        <v>163</v>
      </c>
      <c r="N38" s="39" t="s">
        <v>202</v>
      </c>
      <c r="O38" s="26">
        <v>10000</v>
      </c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26000</v>
      </c>
      <c r="D39" s="161"/>
      <c r="E39" s="162"/>
      <c r="G39" s="6"/>
      <c r="H39" s="39"/>
      <c r="I39" s="28"/>
      <c r="J39" s="6" t="s">
        <v>93</v>
      </c>
      <c r="K39" s="39" t="s">
        <v>265</v>
      </c>
      <c r="L39" s="28">
        <v>-6000</v>
      </c>
      <c r="M39" s="6" t="s">
        <v>163</v>
      </c>
      <c r="N39" s="39" t="s">
        <v>209</v>
      </c>
      <c r="O39" s="26">
        <v>-10000</v>
      </c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 t="s">
        <v>92</v>
      </c>
      <c r="K40" s="39" t="s">
        <v>266</v>
      </c>
      <c r="L40" s="28">
        <v>-60000</v>
      </c>
      <c r="M40" s="6" t="s">
        <v>99</v>
      </c>
      <c r="N40" s="39" t="s">
        <v>198</v>
      </c>
      <c r="O40" s="26">
        <v>-17800</v>
      </c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 t="s">
        <v>88</v>
      </c>
      <c r="K41" s="39" t="s">
        <v>197</v>
      </c>
      <c r="L41" s="28">
        <v>-16500</v>
      </c>
      <c r="M41" s="6" t="s">
        <v>163</v>
      </c>
      <c r="N41" s="39" t="s">
        <v>281</v>
      </c>
      <c r="O41" s="26">
        <v>-300000</v>
      </c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 t="s">
        <v>97</v>
      </c>
      <c r="K42" s="39" t="s">
        <v>193</v>
      </c>
      <c r="L42" s="28">
        <v>-5000</v>
      </c>
      <c r="M42" s="6" t="s">
        <v>163</v>
      </c>
      <c r="N42" s="39" t="s">
        <v>170</v>
      </c>
      <c r="O42" s="26">
        <v>300000</v>
      </c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 t="s">
        <v>101</v>
      </c>
      <c r="K43" s="39" t="s">
        <v>210</v>
      </c>
      <c r="L43" s="28">
        <v>-14700</v>
      </c>
      <c r="M43" s="6" t="s">
        <v>163</v>
      </c>
      <c r="N43" s="39" t="s">
        <v>171</v>
      </c>
      <c r="O43" s="26">
        <v>-100000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 t="s">
        <v>101</v>
      </c>
      <c r="K44" s="39" t="s">
        <v>210</v>
      </c>
      <c r="L44" s="28">
        <v>-14700</v>
      </c>
      <c r="M44" s="6" t="s">
        <v>87</v>
      </c>
      <c r="N44" s="39" t="s">
        <v>282</v>
      </c>
      <c r="O44" s="26">
        <v>7452</v>
      </c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 t="s">
        <v>97</v>
      </c>
      <c r="K45" s="39" t="s">
        <v>193</v>
      </c>
      <c r="L45" s="28">
        <v>-5000</v>
      </c>
      <c r="M45" s="6" t="s">
        <v>163</v>
      </c>
      <c r="N45" s="39" t="s">
        <v>117</v>
      </c>
      <c r="O45" s="26">
        <v>-40000</v>
      </c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 t="s">
        <v>93</v>
      </c>
      <c r="K46" s="39" t="s">
        <v>260</v>
      </c>
      <c r="L46" s="28">
        <v>-24900</v>
      </c>
      <c r="M46" s="6" t="s">
        <v>163</v>
      </c>
      <c r="N46" s="39" t="s">
        <v>189</v>
      </c>
      <c r="O46" s="26">
        <v>40000</v>
      </c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97</v>
      </c>
      <c r="K47" s="39" t="s">
        <v>193</v>
      </c>
      <c r="L47" s="28">
        <v>-7500</v>
      </c>
      <c r="M47" s="6" t="s">
        <v>163</v>
      </c>
      <c r="N47" s="39" t="s">
        <v>117</v>
      </c>
      <c r="O47" s="26">
        <v>-40000</v>
      </c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 t="s">
        <v>93</v>
      </c>
      <c r="K48" s="39" t="s">
        <v>272</v>
      </c>
      <c r="L48" s="28">
        <v>-9600</v>
      </c>
      <c r="M48" s="6" t="s">
        <v>163</v>
      </c>
      <c r="N48" s="39" t="s">
        <v>189</v>
      </c>
      <c r="O48" s="26">
        <v>40000</v>
      </c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92</v>
      </c>
      <c r="K49" s="39" t="s">
        <v>273</v>
      </c>
      <c r="L49" s="28">
        <v>-36007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 t="s">
        <v>92</v>
      </c>
      <c r="K50" s="39" t="s">
        <v>273</v>
      </c>
      <c r="L50" s="28">
        <v>-12533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92</v>
      </c>
      <c r="K51" s="39" t="s">
        <v>273</v>
      </c>
      <c r="L51" s="28">
        <v>-5460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2610</v>
      </c>
      <c r="D52" s="161"/>
      <c r="E52" s="162"/>
      <c r="G52" s="6"/>
      <c r="H52" s="39"/>
      <c r="I52" s="28"/>
      <c r="J52" s="6" t="s">
        <v>92</v>
      </c>
      <c r="K52" s="39" t="s">
        <v>274</v>
      </c>
      <c r="L52" s="28">
        <v>-35950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4393709</v>
      </c>
      <c r="D53" s="161"/>
      <c r="E53" s="162"/>
      <c r="G53" s="6"/>
      <c r="H53" s="39"/>
      <c r="I53" s="28"/>
      <c r="J53" s="6" t="s">
        <v>91</v>
      </c>
      <c r="K53" s="39" t="s">
        <v>159</v>
      </c>
      <c r="L53" s="28">
        <v>-40490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1</v>
      </c>
      <c r="D54" s="161"/>
      <c r="E54" s="162"/>
      <c r="G54" s="6"/>
      <c r="H54" s="39"/>
      <c r="I54" s="28"/>
      <c r="J54" s="6" t="s">
        <v>88</v>
      </c>
      <c r="K54" s="39" t="s">
        <v>102</v>
      </c>
      <c r="L54" s="28">
        <v>-13000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1</v>
      </c>
      <c r="D55" s="161"/>
      <c r="E55" s="162"/>
      <c r="G55" s="6"/>
      <c r="H55" s="39"/>
      <c r="I55" s="28"/>
      <c r="J55" s="6" t="s">
        <v>88</v>
      </c>
      <c r="K55" s="39" t="s">
        <v>102</v>
      </c>
      <c r="L55" s="28">
        <v>-17500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 t="s">
        <v>101</v>
      </c>
      <c r="K56" s="39" t="s">
        <v>210</v>
      </c>
      <c r="L56" s="28">
        <v>12500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 t="s">
        <v>101</v>
      </c>
      <c r="K57" s="39" t="s">
        <v>210</v>
      </c>
      <c r="L57" s="28">
        <v>-13900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89</v>
      </c>
      <c r="K58" s="39" t="s">
        <v>96</v>
      </c>
      <c r="L58" s="28">
        <v>-80000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88</v>
      </c>
      <c r="K59" s="39" t="s">
        <v>168</v>
      </c>
      <c r="L59" s="28">
        <v>-36120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88</v>
      </c>
      <c r="K60" s="39" t="s">
        <v>204</v>
      </c>
      <c r="L60" s="28">
        <v>-3000000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97</v>
      </c>
      <c r="K61" s="39" t="s">
        <v>193</v>
      </c>
      <c r="L61" s="28">
        <v>-5000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88</v>
      </c>
      <c r="K62" s="39" t="s">
        <v>102</v>
      </c>
      <c r="L62" s="28">
        <v>-100421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88</v>
      </c>
      <c r="K63" s="39" t="s">
        <v>102</v>
      </c>
      <c r="L63" s="28">
        <v>-2500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101</v>
      </c>
      <c r="K64" s="39" t="s">
        <v>190</v>
      </c>
      <c r="L64" s="28">
        <v>-37000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101</v>
      </c>
      <c r="K65" s="39" t="s">
        <v>190</v>
      </c>
      <c r="L65" s="28">
        <v>-37000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101</v>
      </c>
      <c r="K66" s="39" t="s">
        <v>210</v>
      </c>
      <c r="L66" s="28">
        <v>-27800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101</v>
      </c>
      <c r="K67" s="39" t="s">
        <v>210</v>
      </c>
      <c r="L67" s="28">
        <v>-27800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88</v>
      </c>
      <c r="K68" s="39" t="s">
        <v>102</v>
      </c>
      <c r="L68" s="28">
        <v>-5000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94</v>
      </c>
      <c r="K69" s="39" t="s">
        <v>205</v>
      </c>
      <c r="L69" s="28">
        <v>-1000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93</v>
      </c>
      <c r="K70" s="39" t="s">
        <v>283</v>
      </c>
      <c r="L70" s="28">
        <v>-26000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4396321</v>
      </c>
      <c r="J89" s="7" t="s">
        <v>24</v>
      </c>
      <c r="K89" s="22" t="s">
        <v>34</v>
      </c>
      <c r="L89" s="21">
        <f>SUM(L7:L88)</f>
        <v>-5609281</v>
      </c>
      <c r="M89" s="7" t="s">
        <v>24</v>
      </c>
      <c r="N89" s="22" t="s">
        <v>34</v>
      </c>
      <c r="O89" s="21">
        <f>SUM(O7:O88)</f>
        <v>-1064321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-2277281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H7" sqref="H7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70" t="s">
        <v>80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971088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9028912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9.7108799999999995E-2</v>
      </c>
      <c r="D7" s="176"/>
      <c r="G7" s="6" t="s">
        <v>86</v>
      </c>
      <c r="H7" s="39" t="s">
        <v>196</v>
      </c>
      <c r="I7" s="28">
        <v>442</v>
      </c>
      <c r="J7" s="6" t="s">
        <v>88</v>
      </c>
      <c r="K7" s="39" t="s">
        <v>285</v>
      </c>
      <c r="L7" s="28">
        <v>-100000</v>
      </c>
      <c r="M7" s="6" t="s">
        <v>99</v>
      </c>
      <c r="N7" s="39" t="s">
        <v>201</v>
      </c>
      <c r="O7" s="40">
        <v>2500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160</v>
      </c>
      <c r="H8" s="39" t="s">
        <v>161</v>
      </c>
      <c r="I8" s="28">
        <v>4562510</v>
      </c>
      <c r="J8" s="6" t="s">
        <v>97</v>
      </c>
      <c r="K8" s="39" t="s">
        <v>206</v>
      </c>
      <c r="L8" s="28">
        <v>-7500</v>
      </c>
      <c r="M8" s="6" t="s">
        <v>99</v>
      </c>
      <c r="N8" s="39" t="s">
        <v>177</v>
      </c>
      <c r="O8" s="26">
        <v>2500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165</v>
      </c>
      <c r="I9" s="28">
        <v>0</v>
      </c>
      <c r="J9" s="6" t="s">
        <v>97</v>
      </c>
      <c r="K9" s="39" t="s">
        <v>193</v>
      </c>
      <c r="L9" s="28">
        <v>-5000</v>
      </c>
      <c r="M9" s="6" t="s">
        <v>163</v>
      </c>
      <c r="N9" s="39" t="s">
        <v>106</v>
      </c>
      <c r="O9" s="26">
        <v>1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 t="s">
        <v>160</v>
      </c>
      <c r="H10" s="39" t="s">
        <v>162</v>
      </c>
      <c r="I10" s="28">
        <v>1961384</v>
      </c>
      <c r="J10" s="6" t="s">
        <v>94</v>
      </c>
      <c r="K10" s="39" t="s">
        <v>212</v>
      </c>
      <c r="L10" s="28">
        <v>-300000</v>
      </c>
      <c r="M10" s="6" t="s">
        <v>163</v>
      </c>
      <c r="N10" s="39" t="s">
        <v>106</v>
      </c>
      <c r="O10" s="26">
        <v>-1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97</v>
      </c>
      <c r="K11" s="39" t="s">
        <v>193</v>
      </c>
      <c r="L11" s="28">
        <v>-5000</v>
      </c>
      <c r="M11" s="6" t="s">
        <v>99</v>
      </c>
      <c r="N11" s="39" t="s">
        <v>177</v>
      </c>
      <c r="O11" s="26">
        <v>2500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89</v>
      </c>
      <c r="K12" s="39" t="s">
        <v>286</v>
      </c>
      <c r="L12" s="28">
        <v>-10000</v>
      </c>
      <c r="M12" s="6" t="s">
        <v>99</v>
      </c>
      <c r="N12" s="39" t="s">
        <v>177</v>
      </c>
      <c r="O12" s="26">
        <v>2500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89</v>
      </c>
      <c r="K13" s="39" t="s">
        <v>286</v>
      </c>
      <c r="L13" s="28">
        <v>-18000</v>
      </c>
      <c r="M13" s="6" t="s">
        <v>99</v>
      </c>
      <c r="N13" s="39" t="s">
        <v>177</v>
      </c>
      <c r="O13" s="26">
        <v>2500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92</v>
      </c>
      <c r="K14" s="39" t="s">
        <v>203</v>
      </c>
      <c r="L14" s="28">
        <v>-50000</v>
      </c>
      <c r="M14" s="6" t="s">
        <v>99</v>
      </c>
      <c r="N14" s="39" t="s">
        <v>177</v>
      </c>
      <c r="O14" s="26">
        <v>2500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88</v>
      </c>
      <c r="K15" s="39" t="s">
        <v>102</v>
      </c>
      <c r="L15" s="28">
        <v>-2500</v>
      </c>
      <c r="M15" s="6" t="s">
        <v>99</v>
      </c>
      <c r="N15" s="39" t="s">
        <v>177</v>
      </c>
      <c r="O15" s="26">
        <v>2500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93</v>
      </c>
      <c r="K16" s="39" t="s">
        <v>287</v>
      </c>
      <c r="L16" s="28">
        <v>-23500</v>
      </c>
      <c r="M16" s="6" t="s">
        <v>99</v>
      </c>
      <c r="N16" s="39" t="s">
        <v>177</v>
      </c>
      <c r="O16" s="26">
        <v>2500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88</v>
      </c>
      <c r="K17" s="39" t="s">
        <v>288</v>
      </c>
      <c r="L17" s="28">
        <v>-140000</v>
      </c>
      <c r="M17" s="6" t="s">
        <v>163</v>
      </c>
      <c r="N17" s="39" t="s">
        <v>202</v>
      </c>
      <c r="O17" s="26">
        <v>314994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97</v>
      </c>
      <c r="K18" s="39" t="s">
        <v>193</v>
      </c>
      <c r="L18" s="28">
        <v>-5000</v>
      </c>
      <c r="M18" s="6" t="s">
        <v>163</v>
      </c>
      <c r="N18" s="39" t="s">
        <v>209</v>
      </c>
      <c r="O18" s="26">
        <v>-314994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97</v>
      </c>
      <c r="K19" s="39" t="s">
        <v>193</v>
      </c>
      <c r="L19" s="28">
        <v>-5000</v>
      </c>
      <c r="M19" s="6" t="s">
        <v>99</v>
      </c>
      <c r="N19" s="39" t="s">
        <v>177</v>
      </c>
      <c r="O19" s="26">
        <v>2500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97</v>
      </c>
      <c r="K20" s="39" t="s">
        <v>193</v>
      </c>
      <c r="L20" s="28">
        <v>-5000</v>
      </c>
      <c r="M20" s="6" t="s">
        <v>99</v>
      </c>
      <c r="N20" s="39" t="s">
        <v>178</v>
      </c>
      <c r="O20" s="26">
        <v>2500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97</v>
      </c>
      <c r="K21" s="39" t="s">
        <v>193</v>
      </c>
      <c r="L21" s="28">
        <v>-5000</v>
      </c>
      <c r="M21" s="6" t="s">
        <v>99</v>
      </c>
      <c r="N21" s="39" t="s">
        <v>201</v>
      </c>
      <c r="O21" s="26">
        <v>2500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 t="s">
        <v>88</v>
      </c>
      <c r="K22" s="39" t="s">
        <v>102</v>
      </c>
      <c r="L22" s="28">
        <v>-335000</v>
      </c>
      <c r="M22" s="6" t="s">
        <v>99</v>
      </c>
      <c r="N22" s="39" t="s">
        <v>177</v>
      </c>
      <c r="O22" s="26">
        <v>2500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 t="s">
        <v>88</v>
      </c>
      <c r="K23" s="39" t="s">
        <v>197</v>
      </c>
      <c r="L23" s="28">
        <v>-16500</v>
      </c>
      <c r="M23" s="6" t="s">
        <v>99</v>
      </c>
      <c r="N23" s="39" t="s">
        <v>177</v>
      </c>
      <c r="O23" s="26">
        <v>2500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 t="s">
        <v>97</v>
      </c>
      <c r="K24" s="39" t="s">
        <v>193</v>
      </c>
      <c r="L24" s="28">
        <v>-10000</v>
      </c>
      <c r="M24" s="6" t="s">
        <v>99</v>
      </c>
      <c r="N24" s="39" t="s">
        <v>177</v>
      </c>
      <c r="O24" s="26">
        <v>2500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 t="s">
        <v>97</v>
      </c>
      <c r="K25" s="39" t="s">
        <v>193</v>
      </c>
      <c r="L25" s="28">
        <v>-5000</v>
      </c>
      <c r="M25" s="6" t="s">
        <v>110</v>
      </c>
      <c r="N25" s="39" t="s">
        <v>170</v>
      </c>
      <c r="O25" s="26">
        <v>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92</v>
      </c>
      <c r="K26" s="39" t="s">
        <v>203</v>
      </c>
      <c r="L26" s="28">
        <v>-60000</v>
      </c>
      <c r="M26" s="6" t="s">
        <v>163</v>
      </c>
      <c r="N26" s="39" t="s">
        <v>202</v>
      </c>
      <c r="O26" s="26">
        <v>10488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3131420</v>
      </c>
      <c r="D27" s="161"/>
      <c r="E27" s="162"/>
      <c r="G27" s="6"/>
      <c r="H27" s="39"/>
      <c r="I27" s="28"/>
      <c r="J27" s="6" t="s">
        <v>97</v>
      </c>
      <c r="K27" s="39" t="s">
        <v>193</v>
      </c>
      <c r="L27" s="28">
        <v>-5000</v>
      </c>
      <c r="M27" s="6" t="s">
        <v>163</v>
      </c>
      <c r="N27" s="39" t="s">
        <v>209</v>
      </c>
      <c r="O27" s="26">
        <v>-10488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28000</v>
      </c>
      <c r="D28" s="161"/>
      <c r="E28" s="162"/>
      <c r="G28" s="6"/>
      <c r="H28" s="39"/>
      <c r="I28" s="28"/>
      <c r="J28" s="6" t="s">
        <v>97</v>
      </c>
      <c r="K28" s="39" t="s">
        <v>193</v>
      </c>
      <c r="L28" s="28">
        <v>-5000</v>
      </c>
      <c r="M28" s="6" t="s">
        <v>99</v>
      </c>
      <c r="N28" s="39" t="s">
        <v>177</v>
      </c>
      <c r="O28" s="26">
        <v>2500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71500</v>
      </c>
      <c r="D29" s="161"/>
      <c r="E29" s="162"/>
      <c r="G29" s="6"/>
      <c r="H29" s="39"/>
      <c r="I29" s="28"/>
      <c r="J29" s="6" t="s">
        <v>97</v>
      </c>
      <c r="K29" s="39" t="s">
        <v>193</v>
      </c>
      <c r="L29" s="28">
        <v>-5000</v>
      </c>
      <c r="M29" s="6" t="s">
        <v>99</v>
      </c>
      <c r="N29" s="39" t="s">
        <v>177</v>
      </c>
      <c r="O29" s="26">
        <v>2500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1040490</v>
      </c>
      <c r="D30" s="161"/>
      <c r="E30" s="162"/>
      <c r="G30" s="6"/>
      <c r="H30" s="39"/>
      <c r="I30" s="28"/>
      <c r="J30" s="6" t="s">
        <v>93</v>
      </c>
      <c r="K30" s="39" t="s">
        <v>188</v>
      </c>
      <c r="L30" s="28">
        <v>-6000</v>
      </c>
      <c r="M30" s="6" t="s">
        <v>104</v>
      </c>
      <c r="N30" s="39" t="s">
        <v>167</v>
      </c>
      <c r="O30" s="26">
        <v>-3300</v>
      </c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359020</v>
      </c>
      <c r="D31" s="161"/>
      <c r="E31" s="162"/>
      <c r="G31" s="6"/>
      <c r="H31" s="39"/>
      <c r="I31" s="28"/>
      <c r="J31" s="6" t="s">
        <v>93</v>
      </c>
      <c r="K31" s="39" t="s">
        <v>188</v>
      </c>
      <c r="L31" s="28">
        <v>-42000</v>
      </c>
      <c r="M31" s="6" t="s">
        <v>104</v>
      </c>
      <c r="N31" s="39" t="s">
        <v>107</v>
      </c>
      <c r="O31" s="26">
        <v>-493968</v>
      </c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195950</v>
      </c>
      <c r="D32" s="161"/>
      <c r="E32" s="162"/>
      <c r="G32" s="6"/>
      <c r="H32" s="39"/>
      <c r="I32" s="28"/>
      <c r="J32" s="6" t="s">
        <v>97</v>
      </c>
      <c r="K32" s="39" t="s">
        <v>289</v>
      </c>
      <c r="L32" s="28">
        <v>-5500</v>
      </c>
      <c r="M32" s="6" t="s">
        <v>163</v>
      </c>
      <c r="N32" s="39" t="s">
        <v>170</v>
      </c>
      <c r="O32" s="26">
        <v>500000</v>
      </c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-36200</v>
      </c>
      <c r="D33" s="161"/>
      <c r="E33" s="162"/>
      <c r="G33" s="6"/>
      <c r="H33" s="39"/>
      <c r="I33" s="28"/>
      <c r="J33" s="6" t="s">
        <v>92</v>
      </c>
      <c r="K33" s="39" t="s">
        <v>290</v>
      </c>
      <c r="L33" s="28">
        <v>-35950</v>
      </c>
      <c r="M33" s="6" t="s">
        <v>163</v>
      </c>
      <c r="N33" s="39" t="s">
        <v>292</v>
      </c>
      <c r="O33" s="26">
        <v>-500000</v>
      </c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90500</v>
      </c>
      <c r="D34" s="161"/>
      <c r="E34" s="162"/>
      <c r="G34" s="6"/>
      <c r="H34" s="39"/>
      <c r="I34" s="28"/>
      <c r="J34" s="6" t="s">
        <v>91</v>
      </c>
      <c r="K34" s="39" t="s">
        <v>159</v>
      </c>
      <c r="L34" s="28">
        <v>-40490</v>
      </c>
      <c r="M34" s="6" t="s">
        <v>163</v>
      </c>
      <c r="N34" s="39" t="s">
        <v>170</v>
      </c>
      <c r="O34" s="26">
        <v>100000</v>
      </c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 t="s">
        <v>97</v>
      </c>
      <c r="K35" s="39" t="s">
        <v>193</v>
      </c>
      <c r="L35" s="28">
        <v>-2500</v>
      </c>
      <c r="M35" s="6" t="s">
        <v>163</v>
      </c>
      <c r="N35" s="39" t="s">
        <v>293</v>
      </c>
      <c r="O35" s="26">
        <v>-100000</v>
      </c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 t="s">
        <v>94</v>
      </c>
      <c r="K36" s="39" t="s">
        <v>95</v>
      </c>
      <c r="L36" s="28">
        <v>-25500</v>
      </c>
      <c r="M36" s="6" t="s">
        <v>99</v>
      </c>
      <c r="N36" s="39" t="s">
        <v>198</v>
      </c>
      <c r="O36" s="26">
        <v>-17800</v>
      </c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 t="s">
        <v>97</v>
      </c>
      <c r="K37" s="39" t="s">
        <v>193</v>
      </c>
      <c r="L37" s="28">
        <v>-5000</v>
      </c>
      <c r="M37" s="6" t="s">
        <v>163</v>
      </c>
      <c r="N37" s="39" t="s">
        <v>294</v>
      </c>
      <c r="O37" s="26">
        <v>-300000</v>
      </c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 t="s">
        <v>94</v>
      </c>
      <c r="K38" s="39" t="s">
        <v>291</v>
      </c>
      <c r="L38" s="28">
        <v>-60</v>
      </c>
      <c r="M38" s="6" t="s">
        <v>163</v>
      </c>
      <c r="N38" s="39" t="s">
        <v>170</v>
      </c>
      <c r="O38" s="26">
        <v>300000</v>
      </c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 t="s">
        <v>94</v>
      </c>
      <c r="K39" s="39" t="s">
        <v>291</v>
      </c>
      <c r="L39" s="28">
        <v>-33460</v>
      </c>
      <c r="M39" s="6" t="s">
        <v>110</v>
      </c>
      <c r="N39" s="39" t="s">
        <v>170</v>
      </c>
      <c r="O39" s="26">
        <v>0</v>
      </c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 t="s">
        <v>97</v>
      </c>
      <c r="K40" s="39" t="s">
        <v>193</v>
      </c>
      <c r="L40" s="28">
        <v>-5000</v>
      </c>
      <c r="M40" s="6" t="s">
        <v>99</v>
      </c>
      <c r="N40" s="39" t="s">
        <v>295</v>
      </c>
      <c r="O40" s="26">
        <v>-100000</v>
      </c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 t="s">
        <v>88</v>
      </c>
      <c r="K41" s="39" t="s">
        <v>168</v>
      </c>
      <c r="L41" s="28">
        <v>-36120</v>
      </c>
      <c r="M41" s="6" t="s">
        <v>163</v>
      </c>
      <c r="N41" s="39" t="s">
        <v>171</v>
      </c>
      <c r="O41" s="26">
        <v>-100000</v>
      </c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 t="s">
        <v>101</v>
      </c>
      <c r="K42" s="39" t="s">
        <v>190</v>
      </c>
      <c r="L42" s="28">
        <v>18100</v>
      </c>
      <c r="M42" s="6" t="s">
        <v>99</v>
      </c>
      <c r="N42" s="39" t="s">
        <v>177</v>
      </c>
      <c r="O42" s="26">
        <v>2500</v>
      </c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 t="s">
        <v>101</v>
      </c>
      <c r="K43" s="39" t="s">
        <v>190</v>
      </c>
      <c r="L43" s="28">
        <v>18100</v>
      </c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 t="s">
        <v>88</v>
      </c>
      <c r="K44" s="39" t="s">
        <v>204</v>
      </c>
      <c r="L44" s="28">
        <v>-2500000</v>
      </c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 t="s">
        <v>91</v>
      </c>
      <c r="K45" s="39">
        <v>204858040038</v>
      </c>
      <c r="L45" s="28">
        <v>-1000000</v>
      </c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 t="s">
        <v>88</v>
      </c>
      <c r="K46" s="39" t="s">
        <v>102</v>
      </c>
      <c r="L46" s="28">
        <v>-1300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101</v>
      </c>
      <c r="K47" s="39" t="s">
        <v>210</v>
      </c>
      <c r="L47" s="28">
        <v>-36000</v>
      </c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 t="s">
        <v>101</v>
      </c>
      <c r="K48" s="39" t="s">
        <v>210</v>
      </c>
      <c r="L48" s="28">
        <v>36000</v>
      </c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97</v>
      </c>
      <c r="K49" s="39" t="s">
        <v>193</v>
      </c>
      <c r="L49" s="28">
        <v>-5000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 t="s">
        <v>92</v>
      </c>
      <c r="K50" s="39" t="s">
        <v>203</v>
      </c>
      <c r="L50" s="28">
        <v>-50000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442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6523894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0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6524336</v>
      </c>
      <c r="J89" s="7" t="s">
        <v>24</v>
      </c>
      <c r="K89" s="22" t="s">
        <v>34</v>
      </c>
      <c r="L89" s="21">
        <f>SUM(L7:L88)</f>
        <v>-4880680</v>
      </c>
      <c r="M89" s="7" t="s">
        <v>24</v>
      </c>
      <c r="N89" s="22" t="s">
        <v>34</v>
      </c>
      <c r="O89" s="21">
        <f>SUM(O7:O88)</f>
        <v>-672568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971088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70" t="s">
        <v>84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-1623498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11623498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-0.16234979999999999</v>
      </c>
      <c r="D7" s="176"/>
      <c r="G7" s="6" t="s">
        <v>218</v>
      </c>
      <c r="H7" s="39" t="s">
        <v>300</v>
      </c>
      <c r="I7" s="28">
        <v>1</v>
      </c>
      <c r="J7" s="6" t="s">
        <v>94</v>
      </c>
      <c r="K7" s="39" t="s">
        <v>212</v>
      </c>
      <c r="L7" s="28">
        <v>-300000</v>
      </c>
      <c r="M7" s="6" t="s">
        <v>99</v>
      </c>
      <c r="N7" s="39" t="s">
        <v>177</v>
      </c>
      <c r="O7" s="40">
        <v>2500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160</v>
      </c>
      <c r="H8" s="39" t="s">
        <v>304</v>
      </c>
      <c r="I8" s="28">
        <v>4316710</v>
      </c>
      <c r="J8" s="6" t="s">
        <v>97</v>
      </c>
      <c r="K8" s="39" t="s">
        <v>193</v>
      </c>
      <c r="L8" s="28">
        <v>-10000</v>
      </c>
      <c r="M8" s="6" t="s">
        <v>99</v>
      </c>
      <c r="N8" s="39" t="s">
        <v>297</v>
      </c>
      <c r="O8" s="26">
        <v>230000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165</v>
      </c>
      <c r="I9" s="28">
        <v>0</v>
      </c>
      <c r="J9" s="6" t="s">
        <v>97</v>
      </c>
      <c r="K9" s="39" t="s">
        <v>193</v>
      </c>
      <c r="L9" s="28">
        <v>-5000</v>
      </c>
      <c r="M9" s="6" t="s">
        <v>99</v>
      </c>
      <c r="N9" s="39" t="s">
        <v>298</v>
      </c>
      <c r="O9" s="26">
        <v>200000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 t="s">
        <v>89</v>
      </c>
      <c r="K10" s="39" t="s">
        <v>96</v>
      </c>
      <c r="L10" s="28">
        <v>-80000</v>
      </c>
      <c r="M10" s="6" t="s">
        <v>163</v>
      </c>
      <c r="N10" s="39" t="s">
        <v>202</v>
      </c>
      <c r="O10" s="26">
        <v>61295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91</v>
      </c>
      <c r="K11" s="39">
        <v>204858040108</v>
      </c>
      <c r="L11" s="28">
        <v>-200000</v>
      </c>
      <c r="M11" s="6" t="s">
        <v>163</v>
      </c>
      <c r="N11" s="39" t="s">
        <v>209</v>
      </c>
      <c r="O11" s="26">
        <v>-61295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90</v>
      </c>
      <c r="K12" s="39" t="s">
        <v>296</v>
      </c>
      <c r="L12" s="28">
        <v>-192000</v>
      </c>
      <c r="M12" s="6" t="s">
        <v>99</v>
      </c>
      <c r="N12" s="39" t="s">
        <v>201</v>
      </c>
      <c r="O12" s="26">
        <v>2500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90</v>
      </c>
      <c r="K13" s="39" t="s">
        <v>296</v>
      </c>
      <c r="L13" s="28">
        <v>192000</v>
      </c>
      <c r="M13" s="6" t="s">
        <v>99</v>
      </c>
      <c r="N13" s="39" t="s">
        <v>177</v>
      </c>
      <c r="O13" s="26">
        <v>2500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88</v>
      </c>
      <c r="K14" s="39" t="s">
        <v>102</v>
      </c>
      <c r="L14" s="28">
        <v>-500000</v>
      </c>
      <c r="M14" s="6" t="s">
        <v>163</v>
      </c>
      <c r="N14" s="39" t="s">
        <v>202</v>
      </c>
      <c r="O14" s="26">
        <v>10000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97</v>
      </c>
      <c r="K15" s="39" t="s">
        <v>193</v>
      </c>
      <c r="L15" s="28">
        <v>-7500</v>
      </c>
      <c r="M15" s="6" t="s">
        <v>99</v>
      </c>
      <c r="N15" s="39" t="s">
        <v>209</v>
      </c>
      <c r="O15" s="26">
        <v>-10000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97</v>
      </c>
      <c r="K16" s="39" t="s">
        <v>193</v>
      </c>
      <c r="L16" s="28">
        <v>-10000</v>
      </c>
      <c r="M16" s="6" t="s">
        <v>99</v>
      </c>
      <c r="N16" s="39" t="s">
        <v>177</v>
      </c>
      <c r="O16" s="26">
        <v>2500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88</v>
      </c>
      <c r="K17" s="39" t="s">
        <v>102</v>
      </c>
      <c r="L17" s="28">
        <v>-8000</v>
      </c>
      <c r="M17" s="6" t="s">
        <v>99</v>
      </c>
      <c r="N17" s="39" t="s">
        <v>195</v>
      </c>
      <c r="O17" s="26">
        <v>2500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88</v>
      </c>
      <c r="K18" s="39" t="s">
        <v>197</v>
      </c>
      <c r="L18" s="28">
        <v>-16500</v>
      </c>
      <c r="M18" s="6" t="s">
        <v>99</v>
      </c>
      <c r="N18" s="39" t="s">
        <v>201</v>
      </c>
      <c r="O18" s="26">
        <v>2500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92</v>
      </c>
      <c r="K19" s="39" t="s">
        <v>203</v>
      </c>
      <c r="L19" s="28">
        <v>-60000</v>
      </c>
      <c r="M19" s="6" t="s">
        <v>87</v>
      </c>
      <c r="N19" s="39" t="s">
        <v>299</v>
      </c>
      <c r="O19" s="26">
        <v>3000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88</v>
      </c>
      <c r="K20" s="39" t="s">
        <v>102</v>
      </c>
      <c r="L20" s="28">
        <v>-5000</v>
      </c>
      <c r="M20" s="6" t="s">
        <v>163</v>
      </c>
      <c r="N20" s="39" t="s">
        <v>175</v>
      </c>
      <c r="O20" s="26">
        <v>200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88</v>
      </c>
      <c r="K21" s="39" t="s">
        <v>102</v>
      </c>
      <c r="L21" s="28">
        <v>-2500</v>
      </c>
      <c r="M21" s="6" t="s">
        <v>99</v>
      </c>
      <c r="N21" s="39" t="s">
        <v>177</v>
      </c>
      <c r="O21" s="26">
        <v>2500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 t="s">
        <v>100</v>
      </c>
      <c r="K22" s="39" t="s">
        <v>216</v>
      </c>
      <c r="L22" s="28">
        <v>-10200</v>
      </c>
      <c r="M22" s="6" t="s">
        <v>99</v>
      </c>
      <c r="N22" s="39" t="s">
        <v>178</v>
      </c>
      <c r="O22" s="26">
        <v>2500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 t="s">
        <v>100</v>
      </c>
      <c r="K23" s="39" t="s">
        <v>217</v>
      </c>
      <c r="L23" s="28">
        <v>-7600</v>
      </c>
      <c r="M23" s="6" t="s">
        <v>99</v>
      </c>
      <c r="N23" s="39" t="s">
        <v>177</v>
      </c>
      <c r="O23" s="26">
        <v>2500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 t="s">
        <v>89</v>
      </c>
      <c r="K24" s="39" t="s">
        <v>96</v>
      </c>
      <c r="L24" s="28">
        <v>-160000</v>
      </c>
      <c r="M24" s="6" t="s">
        <v>163</v>
      </c>
      <c r="N24" s="39" t="s">
        <v>170</v>
      </c>
      <c r="O24" s="26">
        <v>100000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 t="s">
        <v>89</v>
      </c>
      <c r="K25" s="39" t="s">
        <v>301</v>
      </c>
      <c r="L25" s="28">
        <v>-900</v>
      </c>
      <c r="M25" s="6" t="s">
        <v>163</v>
      </c>
      <c r="N25" s="39" t="s">
        <v>305</v>
      </c>
      <c r="O25" s="26">
        <v>-100000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88</v>
      </c>
      <c r="K26" s="39" t="s">
        <v>213</v>
      </c>
      <c r="L26" s="28">
        <v>-1000</v>
      </c>
      <c r="M26" s="6" t="s">
        <v>163</v>
      </c>
      <c r="N26" s="39" t="s">
        <v>170</v>
      </c>
      <c r="O26" s="26">
        <v>500000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4559120</v>
      </c>
      <c r="D27" s="161"/>
      <c r="E27" s="162"/>
      <c r="G27" s="6"/>
      <c r="H27" s="39"/>
      <c r="I27" s="28"/>
      <c r="J27" s="6" t="s">
        <v>97</v>
      </c>
      <c r="K27" s="39" t="s">
        <v>193</v>
      </c>
      <c r="L27" s="28">
        <v>-5000</v>
      </c>
      <c r="M27" s="6" t="s">
        <v>163</v>
      </c>
      <c r="N27" s="39" t="s">
        <v>306</v>
      </c>
      <c r="O27" s="26">
        <v>-500000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240900</v>
      </c>
      <c r="D28" s="161"/>
      <c r="E28" s="162"/>
      <c r="G28" s="6"/>
      <c r="H28" s="39"/>
      <c r="I28" s="28"/>
      <c r="J28" s="6" t="s">
        <v>101</v>
      </c>
      <c r="K28" s="39" t="s">
        <v>302</v>
      </c>
      <c r="L28" s="28">
        <v>-74400</v>
      </c>
      <c r="M28" s="6" t="s">
        <v>163</v>
      </c>
      <c r="N28" s="39" t="s">
        <v>171</v>
      </c>
      <c r="O28" s="26">
        <v>-100000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3900</v>
      </c>
      <c r="D29" s="161"/>
      <c r="E29" s="162"/>
      <c r="G29" s="6"/>
      <c r="H29" s="39"/>
      <c r="I29" s="28"/>
      <c r="J29" s="6" t="s">
        <v>101</v>
      </c>
      <c r="K29" s="39" t="s">
        <v>302</v>
      </c>
      <c r="L29" s="28">
        <v>-75200</v>
      </c>
      <c r="M29" s="6" t="s">
        <v>99</v>
      </c>
      <c r="N29" s="39" t="s">
        <v>198</v>
      </c>
      <c r="O29" s="26">
        <v>-17800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240490</v>
      </c>
      <c r="D30" s="161"/>
      <c r="E30" s="162"/>
      <c r="G30" s="6"/>
      <c r="H30" s="39"/>
      <c r="I30" s="28"/>
      <c r="J30" s="6" t="s">
        <v>92</v>
      </c>
      <c r="K30" s="39" t="s">
        <v>303</v>
      </c>
      <c r="L30" s="28">
        <v>-35950</v>
      </c>
      <c r="M30" s="6" t="s">
        <v>104</v>
      </c>
      <c r="N30" s="39" t="s">
        <v>107</v>
      </c>
      <c r="O30" s="26">
        <v>-541549</v>
      </c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373800</v>
      </c>
      <c r="D31" s="161"/>
      <c r="E31" s="162"/>
      <c r="G31" s="6"/>
      <c r="H31" s="39"/>
      <c r="I31" s="28"/>
      <c r="J31" s="6" t="s">
        <v>91</v>
      </c>
      <c r="K31" s="39" t="s">
        <v>159</v>
      </c>
      <c r="L31" s="28">
        <v>-40490</v>
      </c>
      <c r="M31" s="6" t="s">
        <v>163</v>
      </c>
      <c r="N31" s="39" t="s">
        <v>307</v>
      </c>
      <c r="O31" s="26">
        <v>-300000</v>
      </c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95950</v>
      </c>
      <c r="D32" s="161"/>
      <c r="E32" s="162"/>
      <c r="G32" s="6"/>
      <c r="H32" s="39"/>
      <c r="I32" s="28"/>
      <c r="J32" s="6" t="s">
        <v>97</v>
      </c>
      <c r="K32" s="39" t="s">
        <v>193</v>
      </c>
      <c r="L32" s="28">
        <v>-5000</v>
      </c>
      <c r="M32" s="6" t="s">
        <v>163</v>
      </c>
      <c r="N32" s="39" t="s">
        <v>170</v>
      </c>
      <c r="O32" s="26">
        <v>300000</v>
      </c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149600</v>
      </c>
      <c r="D33" s="161"/>
      <c r="E33" s="162"/>
      <c r="G33" s="6"/>
      <c r="H33" s="39"/>
      <c r="I33" s="28"/>
      <c r="J33" s="6" t="s">
        <v>93</v>
      </c>
      <c r="K33" s="39" t="s">
        <v>174</v>
      </c>
      <c r="L33" s="28">
        <v>-3900</v>
      </c>
      <c r="M33" s="6" t="s">
        <v>99</v>
      </c>
      <c r="N33" s="39" t="s">
        <v>177</v>
      </c>
      <c r="O33" s="26">
        <v>2500</v>
      </c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62500</v>
      </c>
      <c r="D34" s="161"/>
      <c r="E34" s="162"/>
      <c r="G34" s="6"/>
      <c r="H34" s="39"/>
      <c r="I34" s="28"/>
      <c r="J34" s="6" t="s">
        <v>97</v>
      </c>
      <c r="K34" s="39" t="s">
        <v>193</v>
      </c>
      <c r="L34" s="28">
        <v>-7500</v>
      </c>
      <c r="M34" s="6" t="s">
        <v>99</v>
      </c>
      <c r="N34" s="39" t="s">
        <v>178</v>
      </c>
      <c r="O34" s="26">
        <v>2500</v>
      </c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 t="s">
        <v>88</v>
      </c>
      <c r="K35" s="39" t="s">
        <v>204</v>
      </c>
      <c r="L35" s="28">
        <v>-3000000</v>
      </c>
      <c r="M35" s="6" t="s">
        <v>99</v>
      </c>
      <c r="N35" s="39" t="s">
        <v>177</v>
      </c>
      <c r="O35" s="26">
        <v>2500</v>
      </c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 t="s">
        <v>88</v>
      </c>
      <c r="K36" s="39" t="s">
        <v>168</v>
      </c>
      <c r="L36" s="28">
        <v>-36120</v>
      </c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17800</v>
      </c>
      <c r="D37" s="161"/>
      <c r="E37" s="162"/>
      <c r="G37" s="6"/>
      <c r="H37" s="39"/>
      <c r="I37" s="28"/>
      <c r="J37" s="6" t="s">
        <v>97</v>
      </c>
      <c r="K37" s="39" t="s">
        <v>193</v>
      </c>
      <c r="L37" s="28">
        <v>-7500</v>
      </c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 t="s">
        <v>94</v>
      </c>
      <c r="K38" s="39" t="s">
        <v>95</v>
      </c>
      <c r="L38" s="28">
        <v>-73800</v>
      </c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 t="s">
        <v>97</v>
      </c>
      <c r="K39" s="39" t="s">
        <v>193</v>
      </c>
      <c r="L39" s="28">
        <v>-5000</v>
      </c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 t="s">
        <v>88</v>
      </c>
      <c r="K40" s="39" t="s">
        <v>308</v>
      </c>
      <c r="L40" s="28">
        <v>-990000</v>
      </c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0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4316710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1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4316711</v>
      </c>
      <c r="J89" s="7" t="s">
        <v>24</v>
      </c>
      <c r="K89" s="22" t="s">
        <v>34</v>
      </c>
      <c r="L89" s="21">
        <f>SUM(L7:L88)</f>
        <v>-5744060</v>
      </c>
      <c r="M89" s="7" t="s">
        <v>24</v>
      </c>
      <c r="N89" s="22" t="s">
        <v>34</v>
      </c>
      <c r="O89" s="21">
        <f>SUM(O7:O88)</f>
        <v>-196149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-1623498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70" t="s">
        <v>81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-369139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10369139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-3.6913899999999999E-2</v>
      </c>
      <c r="D7" s="176"/>
      <c r="G7" s="6" t="s">
        <v>86</v>
      </c>
      <c r="H7" s="39" t="s">
        <v>165</v>
      </c>
      <c r="I7" s="28">
        <v>0</v>
      </c>
      <c r="J7" s="6" t="s">
        <v>94</v>
      </c>
      <c r="K7" s="39" t="s">
        <v>212</v>
      </c>
      <c r="L7" s="28">
        <v>-300000</v>
      </c>
      <c r="M7" s="6" t="s">
        <v>163</v>
      </c>
      <c r="N7" s="39" t="s">
        <v>106</v>
      </c>
      <c r="O7" s="40">
        <v>-300000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160</v>
      </c>
      <c r="H8" s="39" t="s">
        <v>304</v>
      </c>
      <c r="I8" s="28">
        <v>4201135</v>
      </c>
      <c r="J8" s="6" t="s">
        <v>105</v>
      </c>
      <c r="K8" s="39" t="s">
        <v>309</v>
      </c>
      <c r="L8" s="28">
        <v>-10000</v>
      </c>
      <c r="M8" s="6" t="s">
        <v>163</v>
      </c>
      <c r="N8" s="39" t="s">
        <v>106</v>
      </c>
      <c r="O8" s="26">
        <v>300000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 t="s">
        <v>97</v>
      </c>
      <c r="K9" s="39" t="s">
        <v>193</v>
      </c>
      <c r="L9" s="28">
        <v>-5000</v>
      </c>
      <c r="M9" s="6" t="s">
        <v>99</v>
      </c>
      <c r="N9" s="39" t="s">
        <v>177</v>
      </c>
      <c r="O9" s="26">
        <v>2500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 t="s">
        <v>97</v>
      </c>
      <c r="K10" s="39" t="s">
        <v>193</v>
      </c>
      <c r="L10" s="28">
        <v>-5000</v>
      </c>
      <c r="M10" s="6" t="s">
        <v>99</v>
      </c>
      <c r="N10" s="39" t="s">
        <v>177</v>
      </c>
      <c r="O10" s="26">
        <v>2500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97</v>
      </c>
      <c r="K11" s="39" t="s">
        <v>193</v>
      </c>
      <c r="L11" s="28">
        <v>-5000</v>
      </c>
      <c r="M11" s="6" t="s">
        <v>99</v>
      </c>
      <c r="N11" s="39" t="s">
        <v>177</v>
      </c>
      <c r="O11" s="26">
        <v>2500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97</v>
      </c>
      <c r="K12" s="39" t="s">
        <v>193</v>
      </c>
      <c r="L12" s="28">
        <v>-5000</v>
      </c>
      <c r="M12" s="6" t="s">
        <v>99</v>
      </c>
      <c r="N12" s="39" t="s">
        <v>177</v>
      </c>
      <c r="O12" s="26">
        <v>2500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92</v>
      </c>
      <c r="K13" s="39" t="s">
        <v>203</v>
      </c>
      <c r="L13" s="28">
        <v>-50000</v>
      </c>
      <c r="M13" s="6" t="s">
        <v>99</v>
      </c>
      <c r="N13" s="39" t="s">
        <v>177</v>
      </c>
      <c r="O13" s="26">
        <v>2500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97</v>
      </c>
      <c r="K14" s="39" t="s">
        <v>310</v>
      </c>
      <c r="L14" s="28">
        <v>-2000</v>
      </c>
      <c r="M14" s="6" t="s">
        <v>99</v>
      </c>
      <c r="N14" s="39" t="s">
        <v>177</v>
      </c>
      <c r="O14" s="26">
        <v>2500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97</v>
      </c>
      <c r="K15" s="39" t="s">
        <v>310</v>
      </c>
      <c r="L15" s="28">
        <v>-2000</v>
      </c>
      <c r="M15" s="6" t="s">
        <v>99</v>
      </c>
      <c r="N15" s="39" t="s">
        <v>311</v>
      </c>
      <c r="O15" s="26">
        <v>7700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93</v>
      </c>
      <c r="K16" s="39" t="s">
        <v>272</v>
      </c>
      <c r="L16" s="28">
        <v>-19900</v>
      </c>
      <c r="M16" s="6" t="s">
        <v>110</v>
      </c>
      <c r="N16" s="39" t="s">
        <v>170</v>
      </c>
      <c r="O16" s="26">
        <v>816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97</v>
      </c>
      <c r="K17" s="39" t="s">
        <v>193</v>
      </c>
      <c r="L17" s="28">
        <v>-2500</v>
      </c>
      <c r="M17" s="6" t="s">
        <v>99</v>
      </c>
      <c r="N17" s="39" t="s">
        <v>312</v>
      </c>
      <c r="O17" s="26">
        <v>-20000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97</v>
      </c>
      <c r="K18" s="39" t="s">
        <v>193</v>
      </c>
      <c r="L18" s="28">
        <v>-5000</v>
      </c>
      <c r="M18" s="6" t="s">
        <v>99</v>
      </c>
      <c r="N18" s="39" t="s">
        <v>177</v>
      </c>
      <c r="O18" s="26">
        <v>2500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97</v>
      </c>
      <c r="K19" s="39" t="s">
        <v>193</v>
      </c>
      <c r="L19" s="28">
        <v>-5000</v>
      </c>
      <c r="M19" s="6" t="s">
        <v>104</v>
      </c>
      <c r="N19" s="39" t="s">
        <v>107</v>
      </c>
      <c r="O19" s="26">
        <v>-783230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88</v>
      </c>
      <c r="K20" s="39" t="s">
        <v>213</v>
      </c>
      <c r="L20" s="28">
        <v>-1000</v>
      </c>
      <c r="M20" s="6" t="s">
        <v>163</v>
      </c>
      <c r="N20" s="39" t="s">
        <v>170</v>
      </c>
      <c r="O20" s="26">
        <v>500000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88</v>
      </c>
      <c r="K21" s="39" t="s">
        <v>102</v>
      </c>
      <c r="L21" s="28">
        <v>-2900</v>
      </c>
      <c r="M21" s="6" t="s">
        <v>163</v>
      </c>
      <c r="N21" s="39" t="s">
        <v>315</v>
      </c>
      <c r="O21" s="26">
        <v>-500000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 t="s">
        <v>101</v>
      </c>
      <c r="K22" s="39" t="s">
        <v>302</v>
      </c>
      <c r="L22" s="28">
        <v>37600</v>
      </c>
      <c r="M22" s="6" t="s">
        <v>163</v>
      </c>
      <c r="N22" s="39" t="s">
        <v>170</v>
      </c>
      <c r="O22" s="26">
        <v>100000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 t="s">
        <v>101</v>
      </c>
      <c r="K23" s="39" t="s">
        <v>302</v>
      </c>
      <c r="L23" s="28">
        <v>37600</v>
      </c>
      <c r="M23" s="6" t="s">
        <v>163</v>
      </c>
      <c r="N23" s="39" t="s">
        <v>317</v>
      </c>
      <c r="O23" s="26">
        <v>-100000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 t="s">
        <v>93</v>
      </c>
      <c r="K24" s="39" t="s">
        <v>192</v>
      </c>
      <c r="L24" s="28">
        <v>-49000</v>
      </c>
      <c r="M24" s="6" t="s">
        <v>99</v>
      </c>
      <c r="N24" s="39" t="s">
        <v>198</v>
      </c>
      <c r="O24" s="26">
        <v>-17800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 t="s">
        <v>88</v>
      </c>
      <c r="K25" s="39" t="s">
        <v>197</v>
      </c>
      <c r="L25" s="28">
        <v>-16500</v>
      </c>
      <c r="M25" s="6" t="s">
        <v>163</v>
      </c>
      <c r="N25" s="39" t="s">
        <v>318</v>
      </c>
      <c r="O25" s="26">
        <v>-300000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92</v>
      </c>
      <c r="K26" s="39" t="s">
        <v>203</v>
      </c>
      <c r="L26" s="28">
        <v>-60000</v>
      </c>
      <c r="M26" s="6" t="s">
        <v>163</v>
      </c>
      <c r="N26" s="39" t="s">
        <v>170</v>
      </c>
      <c r="O26" s="26">
        <v>300000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3056520</v>
      </c>
      <c r="D27" s="161"/>
      <c r="E27" s="162"/>
      <c r="G27" s="6"/>
      <c r="H27" s="39"/>
      <c r="I27" s="28"/>
      <c r="J27" s="6" t="s">
        <v>92</v>
      </c>
      <c r="K27" s="39" t="s">
        <v>313</v>
      </c>
      <c r="L27" s="28">
        <v>-35950</v>
      </c>
      <c r="M27" s="6" t="s">
        <v>163</v>
      </c>
      <c r="N27" s="39" t="s">
        <v>171</v>
      </c>
      <c r="O27" s="26">
        <v>-100000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0</v>
      </c>
      <c r="D28" s="161"/>
      <c r="E28" s="162"/>
      <c r="G28" s="6"/>
      <c r="H28" s="39"/>
      <c r="I28" s="28"/>
      <c r="J28" s="6" t="s">
        <v>91</v>
      </c>
      <c r="K28" s="39" t="s">
        <v>159</v>
      </c>
      <c r="L28" s="28">
        <v>-40490</v>
      </c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84900</v>
      </c>
      <c r="D29" s="161"/>
      <c r="E29" s="162"/>
      <c r="G29" s="6"/>
      <c r="H29" s="39"/>
      <c r="I29" s="28"/>
      <c r="J29" s="6" t="s">
        <v>97</v>
      </c>
      <c r="K29" s="39" t="s">
        <v>206</v>
      </c>
      <c r="L29" s="28">
        <v>-5000</v>
      </c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40490</v>
      </c>
      <c r="D30" s="161"/>
      <c r="E30" s="162"/>
      <c r="G30" s="6"/>
      <c r="H30" s="39"/>
      <c r="I30" s="28"/>
      <c r="J30" s="6" t="s">
        <v>100</v>
      </c>
      <c r="K30" s="39" t="s">
        <v>191</v>
      </c>
      <c r="L30" s="28">
        <v>-10000</v>
      </c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300000</v>
      </c>
      <c r="D31" s="161"/>
      <c r="E31" s="162"/>
      <c r="G31" s="6"/>
      <c r="H31" s="39"/>
      <c r="I31" s="28"/>
      <c r="J31" s="6" t="s">
        <v>93</v>
      </c>
      <c r="K31" s="39" t="s">
        <v>314</v>
      </c>
      <c r="L31" s="28">
        <v>-16000</v>
      </c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205950</v>
      </c>
      <c r="D32" s="161"/>
      <c r="E32" s="162"/>
      <c r="G32" s="6"/>
      <c r="H32" s="39"/>
      <c r="I32" s="28"/>
      <c r="J32" s="6" t="s">
        <v>88</v>
      </c>
      <c r="K32" s="39" t="s">
        <v>168</v>
      </c>
      <c r="L32" s="28">
        <v>-36120</v>
      </c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-75200</v>
      </c>
      <c r="D33" s="161"/>
      <c r="E33" s="162"/>
      <c r="G33" s="6"/>
      <c r="H33" s="39"/>
      <c r="I33" s="28"/>
      <c r="J33" s="6" t="s">
        <v>88</v>
      </c>
      <c r="K33" s="39" t="s">
        <v>204</v>
      </c>
      <c r="L33" s="28">
        <v>-3000000</v>
      </c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42600</v>
      </c>
      <c r="D34" s="161"/>
      <c r="E34" s="162"/>
      <c r="G34" s="6"/>
      <c r="H34" s="39"/>
      <c r="I34" s="28"/>
      <c r="J34" s="6" t="s">
        <v>97</v>
      </c>
      <c r="K34" s="39" t="s">
        <v>316</v>
      </c>
      <c r="L34" s="28">
        <v>-1100</v>
      </c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 t="s">
        <v>92</v>
      </c>
      <c r="K35" s="39" t="s">
        <v>203</v>
      </c>
      <c r="L35" s="28">
        <v>-60000</v>
      </c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10000</v>
      </c>
      <c r="D37" s="161"/>
      <c r="E37" s="16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10000</v>
      </c>
      <c r="D39" s="161"/>
      <c r="E39" s="16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0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4201135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0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4201135</v>
      </c>
      <c r="J89" s="7" t="s">
        <v>24</v>
      </c>
      <c r="K89" s="22" t="s">
        <v>34</v>
      </c>
      <c r="L89" s="21">
        <f>SUM(L7:L88)</f>
        <v>-3675260</v>
      </c>
      <c r="M89" s="7" t="s">
        <v>24</v>
      </c>
      <c r="N89" s="22" t="s">
        <v>34</v>
      </c>
      <c r="O89" s="21">
        <f>SUM(O7:O88)</f>
        <v>-895014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-369139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70" t="s">
        <v>82</v>
      </c>
      <c r="C2" s="17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5">
        <v>10000000</v>
      </c>
      <c r="D4" s="175"/>
      <c r="G4" s="183" t="str">
        <f>설정!D4</f>
        <v>천세원</v>
      </c>
      <c r="H4" s="184"/>
      <c r="I4" s="184"/>
      <c r="J4" s="184"/>
      <c r="K4" s="184"/>
      <c r="L4" s="184"/>
      <c r="M4" s="184"/>
      <c r="N4" s="184"/>
      <c r="O4" s="185"/>
      <c r="Q4" s="180" t="str">
        <f>설정!D6</f>
        <v>하유진</v>
      </c>
      <c r="R4" s="181"/>
      <c r="S4" s="181"/>
      <c r="T4" s="181"/>
      <c r="U4" s="181"/>
      <c r="V4" s="181"/>
      <c r="W4" s="181"/>
      <c r="X4" s="181"/>
      <c r="Y4" s="182"/>
    </row>
    <row r="5" spans="2:25" x14ac:dyDescent="0.3">
      <c r="B5" s="2" t="s">
        <v>36</v>
      </c>
      <c r="C5" s="175">
        <f>I90+S90</f>
        <v>14717156</v>
      </c>
      <c r="D5" s="175"/>
      <c r="G5" s="137" t="s">
        <v>27</v>
      </c>
      <c r="H5" s="169"/>
      <c r="I5" s="138"/>
      <c r="J5" s="135" t="s">
        <v>31</v>
      </c>
      <c r="K5" s="171"/>
      <c r="L5" s="136"/>
      <c r="M5" s="172" t="s">
        <v>32</v>
      </c>
      <c r="N5" s="173"/>
      <c r="O5" s="174"/>
      <c r="Q5" s="137" t="s">
        <v>27</v>
      </c>
      <c r="R5" s="169"/>
      <c r="S5" s="138"/>
      <c r="T5" s="135" t="s">
        <v>31</v>
      </c>
      <c r="U5" s="171"/>
      <c r="V5" s="136"/>
      <c r="W5" s="172" t="s">
        <v>32</v>
      </c>
      <c r="X5" s="173"/>
      <c r="Y5" s="174"/>
    </row>
    <row r="6" spans="2:25" x14ac:dyDescent="0.3">
      <c r="B6" s="2" t="s">
        <v>38</v>
      </c>
      <c r="C6" s="175">
        <f>C4-C5</f>
        <v>-4717156</v>
      </c>
      <c r="D6" s="175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6">
        <f>(C5)/(C4)</f>
        <v>1.4717156</v>
      </c>
      <c r="D7" s="176"/>
      <c r="G7" s="6" t="s">
        <v>86</v>
      </c>
      <c r="H7" s="39" t="s">
        <v>196</v>
      </c>
      <c r="I7" s="28">
        <v>189</v>
      </c>
      <c r="J7" s="6" t="s">
        <v>97</v>
      </c>
      <c r="K7" s="39" t="s">
        <v>193</v>
      </c>
      <c r="L7" s="28">
        <v>-2500</v>
      </c>
      <c r="M7" s="6" t="s">
        <v>57</v>
      </c>
      <c r="N7" s="39" t="s">
        <v>322</v>
      </c>
      <c r="O7" s="40">
        <v>112700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160</v>
      </c>
      <c r="H8" s="39" t="s">
        <v>304</v>
      </c>
      <c r="I8" s="28">
        <v>4201485</v>
      </c>
      <c r="J8" s="6" t="s">
        <v>89</v>
      </c>
      <c r="K8" s="39" t="s">
        <v>96</v>
      </c>
      <c r="L8" s="28">
        <v>-10000</v>
      </c>
      <c r="M8" s="6" t="s">
        <v>99</v>
      </c>
      <c r="N8" s="39" t="s">
        <v>172</v>
      </c>
      <c r="O8" s="26">
        <v>10000000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173</v>
      </c>
      <c r="H9" s="39" t="s">
        <v>326</v>
      </c>
      <c r="I9" s="28">
        <v>8000000</v>
      </c>
      <c r="J9" s="6" t="s">
        <v>93</v>
      </c>
      <c r="K9" s="39" t="s">
        <v>319</v>
      </c>
      <c r="L9" s="28">
        <v>-24000</v>
      </c>
      <c r="M9" s="6" t="s">
        <v>163</v>
      </c>
      <c r="N9" s="39" t="s">
        <v>323</v>
      </c>
      <c r="O9" s="26">
        <v>-10094000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 t="s">
        <v>86</v>
      </c>
      <c r="H10" s="39" t="s">
        <v>165</v>
      </c>
      <c r="I10" s="28">
        <v>0</v>
      </c>
      <c r="J10" s="6" t="s">
        <v>88</v>
      </c>
      <c r="K10" s="39" t="s">
        <v>320</v>
      </c>
      <c r="L10" s="28">
        <v>-60000</v>
      </c>
      <c r="M10" s="6" t="s">
        <v>110</v>
      </c>
      <c r="N10" s="39" t="s">
        <v>170</v>
      </c>
      <c r="O10" s="26">
        <v>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88</v>
      </c>
      <c r="K11" s="39" t="s">
        <v>197</v>
      </c>
      <c r="L11" s="28">
        <v>-16500</v>
      </c>
      <c r="M11" s="6" t="s">
        <v>99</v>
      </c>
      <c r="N11" s="39" t="s">
        <v>172</v>
      </c>
      <c r="O11" s="26">
        <v>1000000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93</v>
      </c>
      <c r="K12" s="39" t="s">
        <v>321</v>
      </c>
      <c r="L12" s="28">
        <v>-12500</v>
      </c>
      <c r="M12" s="6" t="s">
        <v>163</v>
      </c>
      <c r="N12" s="39">
        <v>1040425925447</v>
      </c>
      <c r="O12" s="26">
        <v>6095530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92</v>
      </c>
      <c r="K13" s="39" t="s">
        <v>324</v>
      </c>
      <c r="L13" s="28">
        <v>-35950</v>
      </c>
      <c r="M13" s="6" t="s">
        <v>163</v>
      </c>
      <c r="N13" s="39">
        <v>1020500099994</v>
      </c>
      <c r="O13" s="26">
        <v>30812160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91</v>
      </c>
      <c r="K14" s="39" t="s">
        <v>159</v>
      </c>
      <c r="L14" s="28">
        <v>-40490</v>
      </c>
      <c r="M14" s="6" t="s">
        <v>99</v>
      </c>
      <c r="N14" s="39" t="s">
        <v>209</v>
      </c>
      <c r="O14" s="26">
        <v>-12481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88</v>
      </c>
      <c r="K15" s="39" t="s">
        <v>325</v>
      </c>
      <c r="L15" s="28">
        <v>-1000000</v>
      </c>
      <c r="M15" s="6" t="s">
        <v>99</v>
      </c>
      <c r="N15" s="39" t="s">
        <v>172</v>
      </c>
      <c r="O15" s="26">
        <v>22000000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91</v>
      </c>
      <c r="K16" s="39">
        <v>1200706606988</v>
      </c>
      <c r="L16" s="28">
        <v>-8000762</v>
      </c>
      <c r="M16" s="6" t="s">
        <v>163</v>
      </c>
      <c r="N16" s="39" t="s">
        <v>323</v>
      </c>
      <c r="O16" s="26">
        <v>-40376000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88</v>
      </c>
      <c r="K17" s="39" t="s">
        <v>168</v>
      </c>
      <c r="L17" s="28">
        <v>-36120</v>
      </c>
      <c r="M17" s="6" t="s">
        <v>99</v>
      </c>
      <c r="N17" s="39" t="s">
        <v>198</v>
      </c>
      <c r="O17" s="26">
        <v>-17800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88</v>
      </c>
      <c r="K18" s="39" t="s">
        <v>103</v>
      </c>
      <c r="L18" s="28">
        <v>-2000000</v>
      </c>
      <c r="M18" s="6" t="s">
        <v>104</v>
      </c>
      <c r="N18" s="39" t="s">
        <v>107</v>
      </c>
      <c r="O18" s="26">
        <v>-611125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89</v>
      </c>
      <c r="K19" s="39" t="s">
        <v>329</v>
      </c>
      <c r="L19" s="28">
        <v>-180</v>
      </c>
      <c r="M19" s="6" t="s">
        <v>163</v>
      </c>
      <c r="N19" s="39" t="s">
        <v>170</v>
      </c>
      <c r="O19" s="26">
        <v>300000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88</v>
      </c>
      <c r="K20" s="39" t="s">
        <v>330</v>
      </c>
      <c r="L20" s="28">
        <v>-500000</v>
      </c>
      <c r="M20" s="6" t="s">
        <v>163</v>
      </c>
      <c r="N20" s="39" t="s">
        <v>327</v>
      </c>
      <c r="O20" s="26">
        <v>-300000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88</v>
      </c>
      <c r="K21" s="39" t="s">
        <v>325</v>
      </c>
      <c r="L21" s="28">
        <v>-4444000</v>
      </c>
      <c r="M21" s="6" t="s">
        <v>110</v>
      </c>
      <c r="N21" s="39" t="s">
        <v>170</v>
      </c>
      <c r="O21" s="26">
        <v>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 t="s">
        <v>104</v>
      </c>
      <c r="N22" s="39" t="s">
        <v>328</v>
      </c>
      <c r="O22" s="26">
        <v>-100000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 t="s">
        <v>163</v>
      </c>
      <c r="N23" s="39" t="s">
        <v>171</v>
      </c>
      <c r="O23" s="26">
        <v>-100000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 t="s">
        <v>99</v>
      </c>
      <c r="N24" s="39" t="s">
        <v>209</v>
      </c>
      <c r="O24" s="26">
        <v>-10500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5" t="s">
        <v>125</v>
      </c>
      <c r="C25" s="171"/>
      <c r="D25" s="171"/>
      <c r="E25" s="136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88</v>
      </c>
      <c r="C27" s="160">
        <f t="shared" ref="C27:C46" si="0">-(SUMIF($J$7:$J$88,B27,$L$7:$L$88)+SUMIF($T$7:$T$88,B27,$V$7:$V$88))</f>
        <v>8056620</v>
      </c>
      <c r="D27" s="161"/>
      <c r="E27" s="16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89</v>
      </c>
      <c r="C28" s="160">
        <f t="shared" si="0"/>
        <v>10180</v>
      </c>
      <c r="D28" s="161"/>
      <c r="E28" s="16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93</v>
      </c>
      <c r="C29" s="160">
        <f t="shared" si="0"/>
        <v>36500</v>
      </c>
      <c r="D29" s="161"/>
      <c r="E29" s="16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91</v>
      </c>
      <c r="C30" s="160">
        <f t="shared" si="0"/>
        <v>8041252</v>
      </c>
      <c r="D30" s="161"/>
      <c r="E30" s="16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94</v>
      </c>
      <c r="C31" s="160">
        <f t="shared" si="0"/>
        <v>0</v>
      </c>
      <c r="D31" s="161"/>
      <c r="E31" s="16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92</v>
      </c>
      <c r="C32" s="160">
        <f t="shared" si="0"/>
        <v>35950</v>
      </c>
      <c r="D32" s="161"/>
      <c r="E32" s="16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101</v>
      </c>
      <c r="C33" s="160">
        <f t="shared" si="0"/>
        <v>0</v>
      </c>
      <c r="D33" s="161"/>
      <c r="E33" s="16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97</v>
      </c>
      <c r="C34" s="160">
        <f t="shared" si="0"/>
        <v>2500</v>
      </c>
      <c r="D34" s="161"/>
      <c r="E34" s="16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113</v>
      </c>
      <c r="C35" s="160">
        <f t="shared" si="0"/>
        <v>0</v>
      </c>
      <c r="D35" s="161"/>
      <c r="E35" s="16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90</v>
      </c>
      <c r="C36" s="160">
        <f t="shared" si="0"/>
        <v>0</v>
      </c>
      <c r="D36" s="161"/>
      <c r="E36" s="16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100</v>
      </c>
      <c r="C37" s="160">
        <f t="shared" si="0"/>
        <v>0</v>
      </c>
      <c r="D37" s="161"/>
      <c r="E37" s="16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112</v>
      </c>
      <c r="C38" s="160">
        <f t="shared" si="0"/>
        <v>0</v>
      </c>
      <c r="D38" s="161"/>
      <c r="E38" s="16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105</v>
      </c>
      <c r="C39" s="160">
        <f t="shared" si="0"/>
        <v>0</v>
      </c>
      <c r="D39" s="161"/>
      <c r="E39" s="16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116</v>
      </c>
      <c r="C40" s="160">
        <f t="shared" si="0"/>
        <v>0</v>
      </c>
      <c r="D40" s="161"/>
      <c r="E40" s="16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98</v>
      </c>
      <c r="C41" s="160">
        <f t="shared" si="0"/>
        <v>0</v>
      </c>
      <c r="D41" s="161"/>
      <c r="E41" s="16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114</v>
      </c>
      <c r="C42" s="160">
        <f t="shared" si="0"/>
        <v>0</v>
      </c>
      <c r="D42" s="161"/>
      <c r="E42" s="16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108</v>
      </c>
      <c r="C43" s="160">
        <f t="shared" si="0"/>
        <v>0</v>
      </c>
      <c r="D43" s="161"/>
      <c r="E43" s="16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110</v>
      </c>
      <c r="C44" s="160">
        <f t="shared" si="0"/>
        <v>0</v>
      </c>
      <c r="D44" s="161"/>
      <c r="E44" s="16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109</v>
      </c>
      <c r="C45" s="160">
        <f t="shared" si="0"/>
        <v>0</v>
      </c>
      <c r="D45" s="161"/>
      <c r="E45" s="16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115</v>
      </c>
      <c r="C46" s="160">
        <f t="shared" si="0"/>
        <v>0</v>
      </c>
      <c r="D46" s="161"/>
      <c r="E46" s="16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121</v>
      </c>
      <c r="C48" s="163" t="str">
        <f>IF(ABS(SUM(C27:E46))&lt;&gt;ABS(SUM(L89,V89)),"항목 추가해주세요","-")</f>
        <v>-</v>
      </c>
      <c r="D48" s="164"/>
      <c r="E48" s="16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7" t="s">
        <v>131</v>
      </c>
      <c r="C50" s="169"/>
      <c r="D50" s="169"/>
      <c r="E50" s="138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127</v>
      </c>
      <c r="C52" s="160">
        <f>(SUMIF($G$7:$G$88,B52,$I$7:$I$88)+SUMIF($Q$7:$Q$88,B52,$S$7:$S$88))</f>
        <v>189</v>
      </c>
      <c r="D52" s="161"/>
      <c r="E52" s="16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128</v>
      </c>
      <c r="C53" s="160">
        <f>(SUMIF($G$7:$G$88,B53,$I$7:$I$88)+SUMIF($Q$7:$Q$88,B53,$S$7:$S$88))</f>
        <v>4201485</v>
      </c>
      <c r="D53" s="161"/>
      <c r="E53" s="16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129</v>
      </c>
      <c r="C54" s="160">
        <f>(SUMIF($G$7:$G$88,B54,$I$7:$I$88)+SUMIF($Q$7:$Q$88,B54,$S$7:$S$88))</f>
        <v>8000000</v>
      </c>
      <c r="D54" s="161"/>
      <c r="E54" s="16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130</v>
      </c>
      <c r="C55" s="160">
        <f>(SUMIF($G$7:$G$88,B55,$I$7:$I$88)+SUMIF($Q$7:$Q$88,B55,$S$7:$S$88))</f>
        <v>0</v>
      </c>
      <c r="D55" s="161"/>
      <c r="E55" s="16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121</v>
      </c>
      <c r="C57" s="163" t="str">
        <f>IF(ABS(SUM(C52:E55))&lt;&gt;ABS(SUM(I89,S89)),"항목 추가해주세요","-")</f>
        <v>-</v>
      </c>
      <c r="D57" s="164"/>
      <c r="E57" s="16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12201674</v>
      </c>
      <c r="J89" s="7" t="s">
        <v>24</v>
      </c>
      <c r="K89" s="22" t="s">
        <v>34</v>
      </c>
      <c r="L89" s="21">
        <f>SUM(L7:L88)</f>
        <v>-16183002</v>
      </c>
      <c r="M89" s="7" t="s">
        <v>24</v>
      </c>
      <c r="N89" s="22" t="s">
        <v>34</v>
      </c>
      <c r="O89" s="21">
        <f>SUM(O7:O88)</f>
        <v>18698484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14717156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대시보드</vt:lpstr>
      <vt:lpstr>재무상태표</vt:lpstr>
      <vt:lpstr>저축</vt:lpstr>
      <vt:lpstr>투자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Chun, SaeWon</cp:lastModifiedBy>
  <dcterms:created xsi:type="dcterms:W3CDTF">2024-12-26T15:06:29Z</dcterms:created>
  <dcterms:modified xsi:type="dcterms:W3CDTF">2026-07-10T06:09:49Z</dcterms:modified>
</cp:coreProperties>
</file>