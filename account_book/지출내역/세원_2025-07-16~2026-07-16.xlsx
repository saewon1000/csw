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<sst xmlns="http://schemas.openxmlformats.org/spreadsheetml/2006/main" count="5904" uniqueCount="588">
  <si>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</si>
  <si>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</si>
  <si>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</si>
  <si>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</si>
  <si>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</si>
  <si>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</si>
  <si>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</si>
  <si>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천세원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</si>
  <si>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</si>
  <si>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</si>
  <si>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</si>
  <si>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</si>
  <si>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</si>
  <si>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</si>
  <si>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</si>
  <si>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</si>
  <si>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</si>
  <si>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</si>
  <si>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</si>
  <si>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</si>
  <si>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</si>
  <si>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</si>
  <si>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</si>
  <si>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</si>
  <si>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</si>
  <si>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</si>
  <si>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</si>
  <si>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</si>
  <si>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금융수입</t>
  </si>
  <si>
    <t>급여</t>
  </si>
  <si>
    <t>기타수입</t>
  </si>
  <si>
    <t>용돈</t>
  </si>
  <si>
    <t>월수입 총계</t>
  </si>
  <si>
    <t>경조/선물</t>
  </si>
  <si>
    <t>교통</t>
  </si>
  <si>
    <t>금융</t>
  </si>
  <si>
    <t>문화/여가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</si>
  <si>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</si>
  <si>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</si>
  <si>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</si>
  <si>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</si>
  <si>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</si>
  <si>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</si>
  <si>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</si>
  <si>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</si>
  <si>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</si>
  <si>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</si>
  <si>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</si>
  <si>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</si>
  <si>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</si>
  <si>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</si>
  <si>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</si>
  <si>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</si>
  <si>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</si>
  <si>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</si>
  <si>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</si>
  <si>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</si>
  <si>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KB마이핏통장</t>
  </si>
  <si>
    <t>MY 입출금통장</t>
  </si>
  <si>
    <t>자립예탁금</t>
  </si>
  <si>
    <t>저축예금</t>
  </si>
  <si>
    <t>토스뱅크 통장</t>
  </si>
  <si>
    <t>신탁 자산</t>
  </si>
  <si>
    <t>현금 자산</t>
  </si>
  <si>
    <t>현금</t>
  </si>
  <si>
    <t>저축성 자산</t>
  </si>
  <si>
    <t>전자금융 자산</t>
  </si>
  <si>
    <t>네이버페이 머니 - saew****</t>
  </si>
  <si>
    <t>카카오페이 머니 - 010*****550</t>
  </si>
  <si>
    <t>토스머니</t>
  </si>
  <si>
    <t>페이코포인트 - sa******@naver.com</t>
  </si>
  <si>
    <t>투자성 자산</t>
  </si>
  <si>
    <t>Invesco QQQ Trust ETF</t>
  </si>
  <si>
    <t>엔비디아</t>
  </si>
  <si>
    <t>알파벳 Class A</t>
  </si>
  <si>
    <t>마이크로소프트</t>
  </si>
  <si>
    <t>TIGER 미국S&amp;P500</t>
  </si>
  <si>
    <t>KODEX 미국ETF산업Top10 Indxx</t>
  </si>
  <si>
    <t>SPDR S&amp;P 500 Trust ETF</t>
  </si>
  <si>
    <t>ACE 미국S&amp;P500</t>
  </si>
  <si>
    <t>에버퓨어</t>
  </si>
  <si>
    <t>ACE KRX금현물</t>
  </si>
  <si>
    <t>테슬라</t>
  </si>
  <si>
    <t>현대차</t>
  </si>
  <si>
    <t>SPDR Gold MiniShares ETF</t>
  </si>
  <si>
    <t>넷플릭스</t>
  </si>
  <si>
    <t>애플</t>
  </si>
  <si>
    <t>스페이스X</t>
  </si>
  <si>
    <t>코카콜라</t>
  </si>
  <si>
    <t>ACE 미국나스닥100</t>
  </si>
  <si>
    <t>기본계좌</t>
  </si>
  <si>
    <t>종합계좌</t>
  </si>
  <si>
    <t>종합매매</t>
  </si>
  <si>
    <t>종합위탁</t>
  </si>
  <si>
    <t>중개형ISA</t>
  </si>
  <si>
    <t>부동산</t>
  </si>
  <si>
    <t>동산</t>
  </si>
  <si>
    <t>현대 아반떼AD</t>
  </si>
  <si>
    <t>기타 실물 자산</t>
  </si>
  <si>
    <t>보험 자산</t>
  </si>
  <si>
    <t>단계별로더받는암보험1404</t>
  </si>
  <si>
    <t>CM개인용</t>
  </si>
  <si>
    <t>연금 자산</t>
  </si>
  <si>
    <t>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</si>
  <si>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</si>
  <si>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</si>
  <si>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</si>
  <si>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</si>
  <si>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</si>
  <si>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</si>
  <si>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</si>
  <si>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</si>
  <si>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</si>
  <si>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</si>
  <si>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</si>
  <si>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</si>
  <si>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</si>
  <si>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DB손해보험</t>
  </si>
  <si>
    <t>정상</t>
  </si>
  <si>
    <t>보유계약건수</t>
  </si>
  <si>
    <t>정상 2건</t>
  </si>
  <si>
    <t>총 납입금</t>
  </si>
  <si>
    <t>총 2건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</si>
  <si>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</si>
  <si>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</si>
  <si>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</si>
  <si>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</si>
  <si>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</si>
  <si>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</si>
  <si>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</si>
  <si>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</si>
  <si>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</si>
  <si>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삼성증권</t>
  </si>
  <si>
    <t>보유상품개수</t>
  </si>
  <si>
    <t>총 투자 원금</t>
  </si>
  <si>
    <t>총 평가 금액</t>
  </si>
  <si>
    <t>총 수익률</t>
  </si>
  <si>
    <t>총 18개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</si>
  <si>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</si>
  <si>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</si>
  <si>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</si>
  <si>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</si>
  <si>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</si>
  <si>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</si>
  <si>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</si>
  <si>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</si>
  <si>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</si>
  <si>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</si>
  <si>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</si>
  <si>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</si>
  <si>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</si>
  <si>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</si>
  <si>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</si>
  <si>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</si>
  <si>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</si>
  <si>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</si>
  <si>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</si>
  <si>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</si>
  <si>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이체</t>
  </si>
  <si>
    <t>내계좌이체</t>
  </si>
  <si>
    <t>미분류</t>
  </si>
  <si>
    <t>충전 내역</t>
  </si>
  <si>
    <t>KRW</t>
  </si>
  <si>
    <t>네이버페이 머니</t>
  </si>
  <si>
    <t>네이버페이충전</t>
  </si>
  <si>
    <t>지출</t>
  </si>
  <si>
    <t>마트</t>
  </si>
  <si>
    <t>스테디엠</t>
  </si>
  <si>
    <t>네이버페이 간편결제(포인트)</t>
  </si>
  <si>
    <t>네이버페이 간편결제(머니)</t>
  </si>
  <si>
    <t>하유진</t>
  </si>
  <si>
    <t>서비스구독</t>
  </si>
  <si>
    <t>LG전자 구독료</t>
  </si>
  <si>
    <t>Mr.Life</t>
  </si>
  <si>
    <t>카드</t>
  </si>
  <si>
    <t>나이스_카드(마스터)</t>
  </si>
  <si>
    <t>네이버페이 간편결제</t>
  </si>
  <si>
    <t>철도</t>
  </si>
  <si>
    <t>한국철도공사</t>
  </si>
  <si>
    <t>증권/투자</t>
  </si>
  <si>
    <t>1203502442783</t>
  </si>
  <si>
    <t>LGU719</t>
  </si>
  <si>
    <t>주유</t>
  </si>
  <si>
    <t>행복주유소</t>
  </si>
  <si>
    <t>세종 여민전 하나멤버스 1Q체크카드(후불교통)</t>
  </si>
  <si>
    <t>맛KET세종새롬점</t>
  </si>
  <si>
    <t>생필품</t>
  </si>
  <si>
    <t>세종전자담배마켓</t>
  </si>
  <si>
    <t>신*수</t>
  </si>
  <si>
    <t>카카오페이 머니</t>
  </si>
  <si>
    <t>김*형</t>
  </si>
  <si>
    <t>곽*경</t>
  </si>
  <si>
    <t>이*준</t>
  </si>
  <si>
    <t>커피/음료</t>
  </si>
  <si>
    <t>복도리 협동조합</t>
  </si>
  <si>
    <t>중식</t>
  </si>
  <si>
    <t>부강짬뽕집</t>
  </si>
  <si>
    <t>통행료</t>
  </si>
  <si>
    <t>에스엠하이플러스 (주)</t>
  </si>
  <si>
    <t>헤어샵</t>
  </si>
  <si>
    <t>아름다운미용실</t>
  </si>
  <si>
    <t>선물</t>
  </si>
  <si>
    <t>다정꽃할인매장</t>
  </si>
  <si>
    <t>구인증_갤럭시아</t>
  </si>
  <si>
    <t>여민전</t>
  </si>
  <si>
    <t>월세</t>
  </si>
  <si>
    <t>LH공사 주택임대료</t>
  </si>
  <si>
    <t>수입</t>
  </si>
  <si>
    <t>7433 우리카드</t>
  </si>
  <si>
    <t>퇴직연금-천세원</t>
  </si>
  <si>
    <t>입금 내역</t>
  </si>
  <si>
    <t>이자</t>
  </si>
  <si>
    <t>박건영</t>
  </si>
  <si>
    <t>택시</t>
  </si>
  <si>
    <t>카카오T</t>
  </si>
  <si>
    <t>삼성히어링</t>
  </si>
  <si>
    <t>카드대금</t>
  </si>
  <si>
    <t>신한카드</t>
  </si>
  <si>
    <t>보험</t>
  </si>
  <si>
    <t>메리츠001건</t>
  </si>
  <si>
    <t>천*원</t>
  </si>
  <si>
    <t>이자/대출</t>
  </si>
  <si>
    <t>국민하유진_생활비</t>
  </si>
  <si>
    <t>급여아우모비오</t>
  </si>
  <si>
    <t>관리비</t>
  </si>
  <si>
    <t>아파트관리비</t>
  </si>
  <si>
    <t>차*호</t>
  </si>
  <si>
    <t>휴대폰</t>
  </si>
  <si>
    <t>국민은행LiivM</t>
  </si>
  <si>
    <t>DB손14406</t>
  </si>
  <si>
    <t>예금결산이자</t>
  </si>
  <si>
    <t>은행</t>
  </si>
  <si>
    <t>송금 내역</t>
  </si>
  <si>
    <t>카카오페이</t>
  </si>
  <si>
    <t>우지커피 세종다정점</t>
  </si>
  <si>
    <t>아이스크림/빙수</t>
  </si>
  <si>
    <t>우리동네 아이스크림 할인점</t>
  </si>
  <si>
    <t>보조식품</t>
  </si>
  <si>
    <t>마이프로틴 공식몰</t>
  </si>
  <si>
    <t>엔에이치엔케이씨피 주식회사</t>
  </si>
  <si>
    <t>카카오페이 간편결제</t>
  </si>
  <si>
    <t>복도리 카페</t>
  </si>
  <si>
    <t>이마트 에브리데이 세종다정점</t>
  </si>
  <si>
    <t>고기</t>
  </si>
  <si>
    <t>금도새기</t>
  </si>
  <si>
    <t>기타간식</t>
  </si>
  <si>
    <t>세종 스타 베이프</t>
  </si>
  <si>
    <t>결제/충전</t>
  </si>
  <si>
    <t>온누리충전</t>
  </si>
  <si>
    <t>DB손14305</t>
  </si>
  <si>
    <t>우리카드캐시백</t>
  </si>
  <si>
    <t>AUMOVIO EL</t>
  </si>
  <si>
    <t>해외결제</t>
  </si>
  <si>
    <t>트래블월렛</t>
  </si>
  <si>
    <t>스포츠</t>
  </si>
  <si>
    <t>인투복싱(INTO BOXING)</t>
  </si>
  <si>
    <t>저축</t>
  </si>
  <si>
    <t>TW648</t>
  </si>
  <si>
    <t>KCP_3</t>
  </si>
  <si>
    <t>출금 내역</t>
  </si>
  <si>
    <t>세금/과태료</t>
  </si>
  <si>
    <t>국민지성경_의료비</t>
  </si>
  <si>
    <t>4월 사내의료비</t>
  </si>
  <si>
    <t>NHNKCP</t>
  </si>
  <si>
    <t>인터넷쇼핑</t>
  </si>
  <si>
    <t>루피카게임즈</t>
  </si>
  <si>
    <t>편의점</t>
  </si>
  <si>
    <t>세븐일레븐 세종가온9단지점</t>
  </si>
  <si>
    <t>구룡포단위농협</t>
  </si>
  <si>
    <t>주식회사 미니에너지</t>
  </si>
  <si>
    <t>카카양진경</t>
  </si>
  <si>
    <t>가구/가전</t>
  </si>
  <si>
    <t>에어필텍</t>
  </si>
  <si>
    <t>주식회사 동인청사구도일주유소세종</t>
  </si>
  <si>
    <t>예금해지</t>
  </si>
  <si>
    <t>3회-천세원</t>
  </si>
  <si>
    <t>가스비</t>
  </si>
  <si>
    <t>성원에너지</t>
  </si>
  <si>
    <t>커피디</t>
  </si>
  <si>
    <t>정진무</t>
  </si>
  <si>
    <t>성원푸드</t>
  </si>
  <si>
    <t>토스492</t>
  </si>
  <si>
    <t>토스501</t>
  </si>
  <si>
    <t>김범영</t>
  </si>
  <si>
    <t>삼성천세원</t>
  </si>
  <si>
    <t>DB손14204</t>
  </si>
  <si>
    <t>민속주점</t>
  </si>
  <si>
    <t>나성전집</t>
  </si>
  <si>
    <t>한식</t>
  </si>
  <si>
    <t>청미관</t>
  </si>
  <si>
    <t>양식</t>
  </si>
  <si>
    <t>(주)아워홈 콘티넨탈 세종점</t>
  </si>
  <si>
    <t>배달</t>
  </si>
  <si>
    <t>(주)우아한형제들</t>
  </si>
  <si>
    <t>쿠팡</t>
  </si>
  <si>
    <t>광동석유(주)</t>
  </si>
  <si>
    <t>베이커리</t>
  </si>
  <si>
    <t>(주)보림로지틱스천안</t>
  </si>
  <si>
    <t>국민하유진</t>
  </si>
  <si>
    <t>세븐일레븐 춘천효자로점</t>
  </si>
  <si>
    <t>주차</t>
  </si>
  <si>
    <t>카카오T_주차</t>
  </si>
  <si>
    <t>스포츠의류</t>
  </si>
  <si>
    <t>노바복싱</t>
  </si>
  <si>
    <t>투자</t>
  </si>
  <si>
    <t>임신사전건강관리지</t>
  </si>
  <si>
    <t>SKB 천**</t>
  </si>
  <si>
    <t>차이니스루</t>
  </si>
  <si>
    <t>패션</t>
  </si>
  <si>
    <t>주식회사 무신사페이먼츠</t>
  </si>
  <si>
    <t>하유진-옷사</t>
  </si>
  <si>
    <t>지푸라기몰</t>
  </si>
  <si>
    <t>전시/관람</t>
  </si>
  <si>
    <t>한국정보통신_문화비전용_KICC</t>
  </si>
  <si>
    <t>카카오T일반택시_5</t>
  </si>
  <si>
    <t>카카오T택시_가승인</t>
  </si>
  <si>
    <t>일식</t>
  </si>
  <si>
    <t>봉봉스테이션 세종점</t>
  </si>
  <si>
    <t>정*영</t>
  </si>
  <si>
    <t>원조감자탕</t>
  </si>
  <si>
    <t>주식회사 아성다이소</t>
  </si>
  <si>
    <t>(주)학산 테라로사커피 세종지점</t>
  </si>
  <si>
    <t>경찰청_천세원</t>
  </si>
  <si>
    <t>세탁</t>
  </si>
  <si>
    <t>크린토피아 세종가온마을9단지블루시티점</t>
  </si>
  <si>
    <t>급여 아우모비오</t>
  </si>
  <si>
    <t>2회-천세원</t>
  </si>
  <si>
    <t>복도리카페</t>
  </si>
  <si>
    <t>DB손14103</t>
  </si>
  <si>
    <t>행복한정육점</t>
  </si>
  <si>
    <t>영화</t>
  </si>
  <si>
    <t>메가박스중앙(주) 세종나성</t>
  </si>
  <si>
    <t>메가박스_일반_구</t>
  </si>
  <si>
    <t>SKB6522025232</t>
  </si>
  <si>
    <t>주식회사 청명씨앤아이</t>
  </si>
  <si>
    <t>0204858040085</t>
  </si>
  <si>
    <t>삼성히어링에이드</t>
  </si>
  <si>
    <t>정비/수리</t>
  </si>
  <si>
    <t>정훈카전문정비</t>
  </si>
  <si>
    <t>디저트/떡</t>
  </si>
  <si>
    <t>르 쁘띠 파티세리(Le Petit Patiss</t>
  </si>
  <si>
    <t>카카신영옥</t>
  </si>
  <si>
    <t>요리주점</t>
  </si>
  <si>
    <t>세왕</t>
  </si>
  <si>
    <t>지에스칼텍스 (주)세왕주유소</t>
  </si>
  <si>
    <t>카카오T일반택시(법인)_3</t>
  </si>
  <si>
    <t>음악</t>
  </si>
  <si>
    <t>오잉코인노래연습장</t>
  </si>
  <si>
    <t>지에스25 세종베스트점</t>
  </si>
  <si>
    <t>블루포트 세종공동캠퍼스점</t>
  </si>
  <si>
    <t>비뇨기과</t>
  </si>
  <si>
    <t>유웰비뇨의학과의원</t>
  </si>
  <si>
    <t>천*지</t>
  </si>
  <si>
    <t>화성(하)주유소-대보유통(주)</t>
  </si>
  <si>
    <t>물구리빵집-1</t>
  </si>
  <si>
    <t>박고은</t>
  </si>
  <si>
    <t>주식회사 마켓세종</t>
  </si>
  <si>
    <t>지에스더프레시세종</t>
  </si>
  <si>
    <t>네이버페이</t>
  </si>
  <si>
    <t>우주전기물류</t>
  </si>
  <si>
    <t>관광</t>
  </si>
  <si>
    <t>자금성</t>
  </si>
  <si>
    <t>예금신규</t>
  </si>
  <si>
    <t>차량보험</t>
  </si>
  <si>
    <t>DB손14002</t>
  </si>
  <si>
    <t>동광에너지</t>
  </si>
  <si>
    <t>메가엠지씨커피 파주금화초점</t>
  </si>
  <si>
    <t>KB스타적금II</t>
  </si>
  <si>
    <t>만기자동해지803503-00-100418</t>
  </si>
  <si>
    <t>대평주유소</t>
  </si>
  <si>
    <t>092I799G04205</t>
  </si>
  <si>
    <t>092I799G04203</t>
  </si>
  <si>
    <t>사내근로복지기금</t>
  </si>
  <si>
    <t>다날-비트코퍼레이션_키오스크</t>
  </si>
  <si>
    <t>(주)현대그린푸드 현대차남양</t>
  </si>
  <si>
    <t>국민LH천세원</t>
  </si>
  <si>
    <t>상여 아우모비오</t>
  </si>
  <si>
    <t>대출제부대비용</t>
  </si>
  <si>
    <t>대출금입금</t>
  </si>
  <si>
    <t>박보현</t>
  </si>
  <si>
    <t>하나주식회사우드스토</t>
  </si>
  <si>
    <t>스마트로</t>
  </si>
  <si>
    <t>스마트리빙몰</t>
  </si>
  <si>
    <t>농협김혜영</t>
  </si>
  <si>
    <t>파리바게뜨새롬점</t>
  </si>
  <si>
    <t>메가커피세종새롬점</t>
  </si>
  <si>
    <t>신한신서연</t>
  </si>
  <si>
    <t>카이로스컨퍼니</t>
  </si>
  <si>
    <t>80350300100418  ,12회차</t>
  </si>
  <si>
    <t>농협새뜸마을7단지입</t>
  </si>
  <si>
    <t>대성케이</t>
  </si>
  <si>
    <t>0928I64G04067</t>
  </si>
  <si>
    <t>0928I64G04065</t>
  </si>
  <si>
    <t>농협(주)태룡에스디</t>
  </si>
  <si>
    <t>LH천세원</t>
  </si>
  <si>
    <t>부강 브레드마마</t>
  </si>
  <si>
    <t>조*희</t>
  </si>
  <si>
    <t>하*진</t>
  </si>
  <si>
    <t>쉼 어묵 그리고 한잔술</t>
  </si>
  <si>
    <t>DB손13901</t>
  </si>
  <si>
    <t>부용산건재</t>
  </si>
  <si>
    <t>가족인삼</t>
  </si>
  <si>
    <t>시외버스</t>
  </si>
  <si>
    <t>전국고속버스운송사업조합</t>
  </si>
  <si>
    <t>대중교통</t>
  </si>
  <si>
    <t>티머니GO</t>
  </si>
  <si>
    <t>티머니 개인택시</t>
  </si>
  <si>
    <t>이마트24 서울고속터미널1호점</t>
  </si>
  <si>
    <t>파리바게뜨 금곡점</t>
  </si>
  <si>
    <t>자동차세(자동</t>
  </si>
  <si>
    <t>뉴월드모터스</t>
  </si>
  <si>
    <t>치킨</t>
  </si>
  <si>
    <t>씨엔티테크(주)</t>
  </si>
  <si>
    <t>김경희</t>
  </si>
  <si>
    <t>화장품</t>
  </si>
  <si>
    <t>마드모아젤</t>
  </si>
  <si>
    <t>1201003583989</t>
  </si>
  <si>
    <t>국민천우용_의료비</t>
  </si>
  <si>
    <t>12월 사내의료비</t>
  </si>
  <si>
    <t>화성(상)주유소  대보유통(주)</t>
  </si>
  <si>
    <t>기업주식회사 제이와</t>
  </si>
  <si>
    <t>생활서비스</t>
  </si>
  <si>
    <t>로반프린트카페나성</t>
  </si>
  <si>
    <t>농협최임규(아라익스</t>
  </si>
  <si>
    <t>80350300100418  ,11회차</t>
  </si>
  <si>
    <t>1200706606988</t>
  </si>
  <si>
    <t>1020500099994</t>
  </si>
  <si>
    <t>1040425925447</t>
  </si>
  <si>
    <t>DB손13812</t>
  </si>
  <si>
    <t>땡겨요(신한은행)</t>
  </si>
  <si>
    <t>숙박비</t>
  </si>
  <si>
    <t>스페이스 2050</t>
  </si>
  <si>
    <t>주식회사 카카오</t>
  </si>
  <si>
    <t>약국</t>
  </si>
  <si>
    <t>세종권약국</t>
  </si>
  <si>
    <t>정*만</t>
  </si>
  <si>
    <t>망향휴게소(하) 주유소</t>
  </si>
  <si>
    <t>미소야 새롬점</t>
  </si>
  <si>
    <t>11월부산교통지하철2건</t>
  </si>
  <si>
    <t>11월부산교통버스5건</t>
  </si>
  <si>
    <t>완미족발 세종나성점</t>
  </si>
  <si>
    <t>80350300100418  ,10회차</t>
  </si>
  <si>
    <t>천세원청약92</t>
  </si>
  <si>
    <t>주택청약종합저축</t>
  </si>
  <si>
    <t>도넛/핫도그</t>
  </si>
  <si>
    <t>브라더꽈배기 새롬점</t>
  </si>
  <si>
    <t>12회-천세원</t>
  </si>
  <si>
    <t>WON 자유적금</t>
  </si>
  <si>
    <t>블루포트세종공동캠퍼스점</t>
  </si>
  <si>
    <t>아시아음식</t>
  </si>
  <si>
    <t>베트남쌀국수 퍼짱</t>
  </si>
  <si>
    <t>KB국민 첵첵 체크카드(RF)</t>
  </si>
  <si>
    <t>주식회사  인앤아웃</t>
  </si>
  <si>
    <t>(주)케이엠파크연세의료원 주차장</t>
  </si>
  <si>
    <t>취미/체험</t>
  </si>
  <si>
    <t>베드로유통</t>
  </si>
  <si>
    <t>DB손13711</t>
  </si>
  <si>
    <t>금고송은자</t>
  </si>
  <si>
    <t>춘하추동밀면</t>
  </si>
  <si>
    <t>세븐일레븐 부산서면에이스점</t>
  </si>
  <si>
    <t>세븐일레븐 부산서면이랜드점</t>
  </si>
  <si>
    <t>가원밥상</t>
  </si>
  <si>
    <t>카카오_택시_8</t>
  </si>
  <si>
    <t>카카오_택시_선승인</t>
  </si>
  <si>
    <t>달달한놀이터 전포점</t>
  </si>
  <si>
    <t>송정3대국밥</t>
  </si>
  <si>
    <t>드림커피</t>
  </si>
  <si>
    <t>피자</t>
  </si>
  <si>
    <t>주식회사 에프지케이</t>
  </si>
  <si>
    <t>고속철도(SRT)오송-부산</t>
  </si>
  <si>
    <t>참치정육점 세종점</t>
  </si>
  <si>
    <t>지에스(GS)25 세종나성점</t>
  </si>
  <si>
    <t>주식회사 에스알</t>
  </si>
  <si>
    <t>환불수수료)오송-부산</t>
  </si>
  <si>
    <t>이*석</t>
  </si>
  <si>
    <t>패스트푸드</t>
  </si>
  <si>
    <t>써브웨이 세종새롬점</t>
  </si>
  <si>
    <t>땡겨요(구)_신한은행</t>
  </si>
  <si>
    <t>(주)이마트 세종점</t>
  </si>
  <si>
    <t>우정사업본부(우체국)</t>
  </si>
  <si>
    <t>여민전__체크</t>
  </si>
  <si>
    <t>국민하유진_생일선물</t>
  </si>
  <si>
    <t>주식회사 제이와이엠씨</t>
  </si>
  <si>
    <t>무신사</t>
  </si>
  <si>
    <t>80350300100418  , 9회차</t>
  </si>
  <si>
    <t>11회-천세원</t>
  </si>
  <si>
    <t>천세원청약91</t>
  </si>
  <si>
    <t>DB손13610</t>
  </si>
  <si>
    <t>SR</t>
  </si>
  <si>
    <t>메리츠천세원</t>
  </si>
  <si>
    <t>(주)마켓세종</t>
  </si>
  <si>
    <t>새롬정약국</t>
  </si>
  <si>
    <t>안과</t>
  </si>
  <si>
    <t>세종이안과의원</t>
  </si>
  <si>
    <t>네이버7053</t>
  </si>
  <si>
    <t>출국납부금환급</t>
  </si>
  <si>
    <t>천*용</t>
  </si>
  <si>
    <t>오수(상)휴게소</t>
  </si>
  <si>
    <t>대한불교조계종 향일암</t>
  </si>
  <si>
    <t>주식회사 카카오모빌리티</t>
  </si>
  <si>
    <t>테마파크</t>
  </si>
  <si>
    <t>주식회사 놀유니버스 레저</t>
  </si>
  <si>
    <t>코오롱엘에스아이(주)춘향(순천방향)주유소</t>
  </si>
  <si>
    <t>0204858040108</t>
  </si>
  <si>
    <t>도담알뜰주유소 주식회사</t>
  </si>
  <si>
    <t>09월서울버스2건</t>
  </si>
  <si>
    <t>09월지하철2건</t>
  </si>
  <si>
    <t>상여 콘티넨탈</t>
  </si>
  <si>
    <t>농협정두영</t>
  </si>
  <si>
    <t>80350300100418  , 8회차</t>
  </si>
  <si>
    <t>헤어띠아모 새롬동점</t>
  </si>
  <si>
    <t>0204858040038</t>
  </si>
  <si>
    <t>원스톱  세종</t>
  </si>
  <si>
    <t>천세원청약90</t>
  </si>
  <si>
    <t>10회-천세원</t>
  </si>
  <si>
    <t>급여 콘티넨탈</t>
  </si>
  <si>
    <t>우리카드결제대금</t>
  </si>
  <si>
    <t>ABLY</t>
  </si>
  <si>
    <t>DB손13509</t>
  </si>
  <si>
    <t>세종스마일꽈배기</t>
  </si>
  <si>
    <t>지에스(GS)25 태안해안점</t>
  </si>
  <si>
    <t>신한카드_충전</t>
  </si>
  <si>
    <t>코레일유통주식회사(오송역)</t>
  </si>
  <si>
    <t>지코바숯불양념치킨새롬점</t>
  </si>
  <si>
    <t>아이맘 약국</t>
  </si>
  <si>
    <t>산부인과</t>
  </si>
  <si>
    <t>서산부인과</t>
  </si>
  <si>
    <t>세종수선</t>
  </si>
  <si>
    <t>노브랜드버거  세종새롬점</t>
  </si>
  <si>
    <t>헥토_구인증</t>
  </si>
  <si>
    <t>092U335103393</t>
  </si>
  <si>
    <t>GS25 세종캐슬점</t>
  </si>
  <si>
    <t>08월지하철3건</t>
  </si>
  <si>
    <t>동동칼국수</t>
  </si>
  <si>
    <t>백화점</t>
  </si>
  <si>
    <t>주식회사 현대백화점 커넥트현대 청주</t>
  </si>
  <si>
    <t>우리카드연회비</t>
  </si>
  <si>
    <t>80350300100418  , 7회차</t>
  </si>
  <si>
    <t>천세원청약89</t>
  </si>
  <si>
    <t>(주)티머니시외버스</t>
  </si>
  <si>
    <t>신한카드캐시백</t>
  </si>
  <si>
    <t>9회-천세원</t>
  </si>
  <si>
    <t>TW567</t>
  </si>
  <si>
    <t>트래블월렛환불</t>
  </si>
  <si>
    <t>지에스칼텍스 (주)세종청사주유소</t>
  </si>
  <si>
    <t>서울세외천세원</t>
  </si>
  <si>
    <t>이마트24 고속터미널영동선2호점</t>
  </si>
  <si>
    <t>드림싱어 코인</t>
  </si>
  <si>
    <t>DB손13408</t>
  </si>
  <si>
    <t>한국교통안전공단 세종자동차검사소</t>
  </si>
  <si>
    <t>우리카드선결제</t>
  </si>
  <si>
    <t>농협이맹순</t>
  </si>
  <si>
    <t>땡겨요(여민전)_신한은행</t>
  </si>
  <si>
    <t>카카오889</t>
  </si>
  <si>
    <t>카카오125</t>
  </si>
  <si>
    <t>카카오787</t>
  </si>
  <si>
    <t>424931</t>
  </si>
  <si>
    <t>대보유통(주)화성(상)주유소</t>
  </si>
  <si>
    <t>카드의정석 POINT 주거래+</t>
  </si>
  <si>
    <t>감푸디 일화당</t>
  </si>
  <si>
    <t>원조강경토굴젓갈</t>
  </si>
  <si>
    <t>화진화장품</t>
  </si>
  <si>
    <t>4186 신한카드</t>
  </si>
  <si>
    <t>새봄헤어</t>
  </si>
  <si>
    <t>쿠팡(쿠페이)</t>
  </si>
  <si>
    <t>노브랜드버거 세</t>
  </si>
  <si>
    <t>교통-버스1건</t>
  </si>
  <si>
    <t>카카오T일반택시_0</t>
  </si>
  <si>
    <t>여행</t>
  </si>
  <si>
    <t>마이리얼트립</t>
  </si>
  <si>
    <t>GS25다인리조</t>
  </si>
  <si>
    <t>식재료</t>
  </si>
  <si>
    <t>한림수산업협동조</t>
  </si>
  <si>
    <t>메가엠지씨커피 제주하귀농협하나로점</t>
  </si>
  <si>
    <t>카카오_택시_7</t>
  </si>
  <si>
    <t>아마노코리아 주식회사 제주지사</t>
  </si>
  <si>
    <t>(주)오설록 제</t>
  </si>
  <si>
    <t>씨유(CU) 더퍼스트호텔점</t>
  </si>
  <si>
    <t>80350300100418  , 6회차</t>
  </si>
  <si>
    <t>천세원청약88</t>
  </si>
  <si>
    <t>라르크앙씨엘포니클럽</t>
  </si>
  <si>
    <t>8회-천세원</t>
  </si>
  <si>
    <t>세종부강농업협동</t>
  </si>
  <si>
    <t>계좌통합이전</t>
  </si>
  <si>
    <t>카페녹녹</t>
  </si>
  <si>
    <t>DB손13307</t>
  </si>
  <si>
    <t>라봄헤어</t>
  </si>
  <si>
    <t>GS25세종하늘채점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</si>
</sst>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125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32</v>
      </c>
      <c r="E6" s="5">
        <v>966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0</v>
      </c>
      <c r="F12" s="10">
        <v>2610</v>
      </c>
      <c r="G12" s="10">
        <v>442</v>
      </c>
      <c r="H12" s="10">
        <v>0</v>
      </c>
      <c r="I12" s="10">
        <v>0</v>
      </c>
      <c r="J12" s="10">
        <v>189</v>
      </c>
      <c r="K12" s="10">
        <v>0</v>
      </c>
      <c r="L12" s="10">
        <v>0</v>
      </c>
      <c r="M12" s="10">
        <v>1900</v>
      </c>
      <c r="N12" s="10">
        <v>1</v>
      </c>
      <c r="O12" s="10">
        <v>10142</v>
      </c>
      <c r="P12" s="10">
        <v>232</v>
      </c>
      <c r="Q12" s="10">
        <v>0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6428328</v>
      </c>
      <c r="F13" s="10">
        <v>4393709</v>
      </c>
      <c r="G13" s="10">
        <v>6523894</v>
      </c>
      <c r="H13" s="10">
        <v>4316710</v>
      </c>
      <c r="I13" s="10">
        <v>4201135</v>
      </c>
      <c r="J13" s="10">
        <v>4201485</v>
      </c>
      <c r="K13" s="10">
        <v>5788617</v>
      </c>
      <c r="L13" s="10">
        <v>3612077</v>
      </c>
      <c r="M13" s="10">
        <v>4506226</v>
      </c>
      <c r="N13" s="10">
        <v>15003272</v>
      </c>
      <c r="O13" s="10">
        <v>4478364</v>
      </c>
      <c r="P13" s="10">
        <v>4490675</v>
      </c>
      <c r="Q13" s="10">
        <v>0</v>
      </c>
    </row>
    <row r="14" spans="2:17">
      <c r="B14" s="9" t="s">
        <v>30</v>
      </c>
      <c r="C14" s="10">
        <f>SUM(E14:Q14)</f>
        <v>0</v>
      </c>
      <c r="D14" s="10">
        <f>C14/13</f>
        <v>0</v>
      </c>
      <c r="E14" s="10">
        <v>0</v>
      </c>
      <c r="F14" s="10">
        <v>1</v>
      </c>
      <c r="G14" s="10">
        <v>0</v>
      </c>
      <c r="H14" s="10">
        <v>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1</v>
      </c>
      <c r="Q14" s="10">
        <v>0</v>
      </c>
    </row>
    <row r="15" spans="2:17">
      <c r="B15" s="9" t="s">
        <v>31</v>
      </c>
      <c r="C15" s="10">
        <f>SUM(E15:Q15)</f>
        <v>0</v>
      </c>
      <c r="D15" s="10">
        <f>C15/13</f>
        <v>0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8000000</v>
      </c>
      <c r="K15" s="10">
        <v>8000000</v>
      </c>
      <c r="L15" s="10">
        <v>20000000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</row>
    <row r="16" spans="2:17">
      <c r="B16" s="11" t="s">
        <v>32</v>
      </c>
      <c r="C16" s="12">
        <f>SUM(E16:Q16)</f>
        <v>0</v>
      </c>
      <c r="D16" s="12">
        <f>C16/13</f>
        <v>0</v>
      </c>
      <c r="E16" s="12">
        <f>SUM(E12:E15)</f>
        <v>0</v>
      </c>
      <c r="F16" s="12">
        <f>SUM(F12:F15)</f>
        <v>0</v>
      </c>
      <c r="G16" s="12">
        <f>SUM(G12:G15)</f>
        <v>0</v>
      </c>
      <c r="H16" s="12">
        <f>SUM(H12:H15)</f>
        <v>0</v>
      </c>
      <c r="I16" s="12">
        <f>SUM(I12:I15)</f>
        <v>0</v>
      </c>
      <c r="J16" s="12">
        <f>SUM(J12:J15)</f>
        <v>0</v>
      </c>
      <c r="K16" s="12">
        <f>SUM(K12:K15)</f>
        <v>0</v>
      </c>
      <c r="L16" s="12">
        <f>SUM(L12:L15)</f>
        <v>0</v>
      </c>
      <c r="M16" s="12">
        <f>SUM(M12:M15)</f>
        <v>0</v>
      </c>
      <c r="N16" s="12">
        <f>SUM(N12:N15)</f>
        <v>0</v>
      </c>
      <c r="O16" s="12">
        <f>SUM(O12:O15)</f>
        <v>0</v>
      </c>
      <c r="P16" s="12">
        <f>SUM(P12:P15)</f>
        <v>0</v>
      </c>
      <c r="Q16" s="12">
        <f>SUM(Q12:Q15)</f>
        <v>0</v>
      </c>
    </row>
    <row r="17" spans="2:17">
      <c r="B17" s="9" t="s">
        <v>33</v>
      </c>
      <c r="C17" s="10">
        <f>SUM(E17:Q17)</f>
        <v>0</v>
      </c>
      <c r="D17" s="10">
        <f>C17/13</f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30000</v>
      </c>
    </row>
    <row r="18" spans="2:17">
      <c r="B18" s="9" t="s">
        <v>34</v>
      </c>
      <c r="C18" s="10">
        <f>SUM(E18:Q18)</f>
        <v>0</v>
      </c>
      <c r="D18" s="10">
        <f>C18/13</f>
        <v>0</v>
      </c>
      <c r="E18" s="10">
        <v>47550</v>
      </c>
      <c r="F18" s="10">
        <v>280980</v>
      </c>
      <c r="G18" s="10">
        <v>23990</v>
      </c>
      <c r="H18" s="10">
        <v>230400</v>
      </c>
      <c r="I18" s="10">
        <v>112100</v>
      </c>
      <c r="J18" s="10">
        <v>0</v>
      </c>
      <c r="K18" s="10">
        <v>37800</v>
      </c>
      <c r="L18" s="10">
        <v>0</v>
      </c>
      <c r="M18" s="10">
        <v>20590</v>
      </c>
      <c r="N18" s="10">
        <v>5980</v>
      </c>
      <c r="O18" s="10">
        <v>0</v>
      </c>
      <c r="P18" s="10">
        <v>30000</v>
      </c>
      <c r="Q18" s="10">
        <v>34600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3113195</v>
      </c>
      <c r="F19" s="10">
        <v>4246041</v>
      </c>
      <c r="G19" s="10">
        <v>3131420</v>
      </c>
      <c r="H19" s="10">
        <v>4559120</v>
      </c>
      <c r="I19" s="10">
        <v>3056520</v>
      </c>
      <c r="J19" s="10">
        <v>8054720</v>
      </c>
      <c r="K19" s="10">
        <v>2579592</v>
      </c>
      <c r="L19" s="10">
        <v>18203940</v>
      </c>
      <c r="M19" s="10">
        <v>3137970</v>
      </c>
      <c r="N19" s="10">
        <v>15003880</v>
      </c>
      <c r="O19" s="10">
        <v>5302852</v>
      </c>
      <c r="P19" s="10">
        <v>3452967</v>
      </c>
      <c r="Q19" s="10">
        <v>81196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50000</v>
      </c>
      <c r="F20" s="10">
        <v>3000</v>
      </c>
      <c r="G20" s="10">
        <v>1000</v>
      </c>
      <c r="H20" s="10">
        <v>6000</v>
      </c>
      <c r="I20" s="10">
        <v>6000</v>
      </c>
      <c r="J20" s="10">
        <v>0</v>
      </c>
      <c r="K20" s="10">
        <v>0</v>
      </c>
      <c r="L20" s="10">
        <v>0</v>
      </c>
      <c r="M20" s="10">
        <v>15900</v>
      </c>
      <c r="N20" s="10">
        <v>183000</v>
      </c>
      <c r="O20" s="10">
        <v>200000</v>
      </c>
      <c r="P20" s="10">
        <v>0</v>
      </c>
      <c r="Q20" s="10">
        <v>0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20000</v>
      </c>
      <c r="F21" s="10">
        <v>26000</v>
      </c>
      <c r="G21" s="10">
        <v>19000</v>
      </c>
      <c r="H21" s="10">
        <v>0</v>
      </c>
      <c r="I21" s="10">
        <v>10000</v>
      </c>
      <c r="J21" s="10">
        <v>0</v>
      </c>
      <c r="K21" s="10">
        <v>20000</v>
      </c>
      <c r="L21" s="10">
        <v>0</v>
      </c>
      <c r="M21" s="10">
        <v>32000</v>
      </c>
      <c r="N21" s="10">
        <v>16000</v>
      </c>
      <c r="O21" s="10">
        <v>0</v>
      </c>
      <c r="P21" s="10">
        <v>0</v>
      </c>
      <c r="Q21" s="10">
        <v>16000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192100</v>
      </c>
      <c r="F22" s="10">
        <v>285080</v>
      </c>
      <c r="G22" s="10">
        <v>49100</v>
      </c>
      <c r="H22" s="10">
        <v>240900</v>
      </c>
      <c r="I22" s="10">
        <v>73140</v>
      </c>
      <c r="J22" s="10">
        <v>16680</v>
      </c>
      <c r="K22" s="10">
        <v>107020</v>
      </c>
      <c r="L22" s="10">
        <v>238020</v>
      </c>
      <c r="M22" s="10">
        <v>163140</v>
      </c>
      <c r="N22" s="10">
        <v>214680</v>
      </c>
      <c r="O22" s="10">
        <v>17910</v>
      </c>
      <c r="P22" s="10">
        <v>160000</v>
      </c>
      <c r="Q22" s="10">
        <v>240900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4000</v>
      </c>
      <c r="N23" s="10">
        <v>44000</v>
      </c>
      <c r="O23" s="10">
        <v>0</v>
      </c>
      <c r="P23" s="10">
        <v>0</v>
      </c>
      <c r="Q23" s="10">
        <v>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0</v>
      </c>
      <c r="F24" s="10">
        <v>236650</v>
      </c>
      <c r="G24" s="10">
        <v>78300</v>
      </c>
      <c r="H24" s="10">
        <v>29900</v>
      </c>
      <c r="I24" s="10">
        <v>342300</v>
      </c>
      <c r="J24" s="10">
        <v>78900</v>
      </c>
      <c r="K24" s="10">
        <v>266500</v>
      </c>
      <c r="L24" s="10">
        <v>71200</v>
      </c>
      <c r="M24" s="10">
        <v>72200</v>
      </c>
      <c r="N24" s="10">
        <v>199300</v>
      </c>
      <c r="O24" s="10">
        <v>119000</v>
      </c>
      <c r="P24" s="10">
        <v>0</v>
      </c>
      <c r="Q24" s="10">
        <v>71000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0</v>
      </c>
      <c r="F25" s="10">
        <v>27000</v>
      </c>
      <c r="G25" s="10">
        <v>0</v>
      </c>
      <c r="H25" s="10">
        <v>38000</v>
      </c>
      <c r="I25" s="10">
        <v>0</v>
      </c>
      <c r="J25" s="10">
        <v>2000</v>
      </c>
      <c r="K25" s="10">
        <v>0</v>
      </c>
      <c r="L25" s="10">
        <v>10000</v>
      </c>
      <c r="M25" s="10">
        <v>0</v>
      </c>
      <c r="N25" s="10">
        <v>0</v>
      </c>
      <c r="O25" s="10">
        <v>687164</v>
      </c>
      <c r="P25" s="10">
        <v>0</v>
      </c>
      <c r="Q25" s="10">
        <v>0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1000</v>
      </c>
      <c r="F26" s="10">
        <v>327590</v>
      </c>
      <c r="G26" s="10">
        <v>359020</v>
      </c>
      <c r="H26" s="10">
        <v>373800</v>
      </c>
      <c r="I26" s="10">
        <v>315000</v>
      </c>
      <c r="J26" s="10">
        <v>60100</v>
      </c>
      <c r="K26" s="10">
        <v>5000</v>
      </c>
      <c r="L26" s="10">
        <v>52030</v>
      </c>
      <c r="M26" s="10">
        <v>14928</v>
      </c>
      <c r="N26" s="10">
        <v>78460</v>
      </c>
      <c r="O26" s="10">
        <v>206830</v>
      </c>
      <c r="P26" s="10">
        <v>4000</v>
      </c>
      <c r="Q26" s="10">
        <v>4000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28800</v>
      </c>
      <c r="F27" s="10">
        <v>0</v>
      </c>
      <c r="G27" s="10">
        <v>38700</v>
      </c>
      <c r="H27" s="10">
        <v>17800</v>
      </c>
      <c r="I27" s="10">
        <v>10000</v>
      </c>
      <c r="J27" s="10">
        <v>6000</v>
      </c>
      <c r="K27" s="10">
        <v>0</v>
      </c>
      <c r="L27" s="10">
        <v>0</v>
      </c>
      <c r="M27" s="10">
        <v>69000</v>
      </c>
      <c r="N27" s="10">
        <v>0</v>
      </c>
      <c r="O27" s="10">
        <v>0</v>
      </c>
      <c r="P27" s="10">
        <v>52900</v>
      </c>
      <c r="Q27" s="10">
        <v>0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38950</v>
      </c>
      <c r="F28" s="10">
        <v>249950</v>
      </c>
      <c r="G28" s="10">
        <v>195950</v>
      </c>
      <c r="H28" s="10">
        <v>268950</v>
      </c>
      <c r="I28" s="10">
        <v>275450</v>
      </c>
      <c r="J28" s="10">
        <v>95950</v>
      </c>
      <c r="K28" s="10">
        <v>688100</v>
      </c>
      <c r="L28" s="10">
        <v>145950</v>
      </c>
      <c r="M28" s="10">
        <v>354000</v>
      </c>
      <c r="N28" s="10">
        <v>285500</v>
      </c>
      <c r="O28" s="10">
        <v>230000</v>
      </c>
      <c r="P28" s="10">
        <v>100000</v>
      </c>
      <c r="Q28" s="10">
        <v>140000</v>
      </c>
    </row>
    <row r="29" spans="2:17">
      <c r="B29" s="9" t="s">
        <v>45</v>
      </c>
      <c r="C29" s="10">
        <f>SUM(E29:Q29)</f>
        <v>0</v>
      </c>
      <c r="D29" s="10">
        <f>C29/13</f>
        <v>0</v>
      </c>
      <c r="E29" s="10">
        <v>40490</v>
      </c>
      <c r="F29" s="10">
        <v>40490</v>
      </c>
      <c r="G29" s="10">
        <v>1298230</v>
      </c>
      <c r="H29" s="10">
        <v>465950</v>
      </c>
      <c r="I29" s="10">
        <v>266150</v>
      </c>
      <c r="J29" s="10">
        <v>8268232</v>
      </c>
      <c r="K29" s="10">
        <v>8042106</v>
      </c>
      <c r="L29" s="10">
        <v>548430</v>
      </c>
      <c r="M29" s="10">
        <v>1094098</v>
      </c>
      <c r="N29" s="10">
        <v>603977</v>
      </c>
      <c r="O29" s="10">
        <v>461970</v>
      </c>
      <c r="P29" s="10">
        <v>472740</v>
      </c>
      <c r="Q29" s="10">
        <v>0</v>
      </c>
    </row>
    <row r="30" spans="2:17">
      <c r="B30" s="9" t="s">
        <v>46</v>
      </c>
      <c r="C30" s="10">
        <f>SUM(E30:Q30)</f>
        <v>0</v>
      </c>
      <c r="D30" s="10">
        <f>C30/13</f>
        <v>0</v>
      </c>
      <c r="E30" s="10">
        <v>62500</v>
      </c>
      <c r="F30" s="10">
        <v>54000</v>
      </c>
      <c r="G30" s="10">
        <v>90500</v>
      </c>
      <c r="H30" s="10">
        <v>163500</v>
      </c>
      <c r="I30" s="10">
        <v>101000</v>
      </c>
      <c r="J30" s="10">
        <v>121500</v>
      </c>
      <c r="K30" s="10">
        <v>93150</v>
      </c>
      <c r="L30" s="10">
        <v>140500</v>
      </c>
      <c r="M30" s="10">
        <v>352200</v>
      </c>
      <c r="N30" s="10">
        <v>42800</v>
      </c>
      <c r="O30" s="10">
        <v>122500</v>
      </c>
      <c r="P30" s="10">
        <v>42600</v>
      </c>
      <c r="Q30" s="10">
        <v>27500</v>
      </c>
    </row>
    <row r="31" spans="2:17">
      <c r="B31" s="9" t="s">
        <v>47</v>
      </c>
      <c r="C31" s="10">
        <f>SUM(E31:Q31)</f>
        <v>0</v>
      </c>
      <c r="D31" s="10">
        <f>C31/13</f>
        <v>0</v>
      </c>
      <c r="E31" s="10">
        <v>0</v>
      </c>
      <c r="F31" s="10">
        <v>200200</v>
      </c>
      <c r="G31" s="10">
        <v>0</v>
      </c>
      <c r="H31" s="10">
        <v>82880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261350</v>
      </c>
      <c r="O31" s="10">
        <v>0</v>
      </c>
      <c r="P31" s="10">
        <v>0</v>
      </c>
      <c r="Q31" s="10">
        <v>0</v>
      </c>
    </row>
    <row r="32" spans="2:17">
      <c r="B32" s="11" t="s">
        <v>48</v>
      </c>
      <c r="C32" s="12">
        <f>SUM(E32:Q32)</f>
        <v>0</v>
      </c>
      <c r="D32" s="12">
        <f>C32/13</f>
        <v>0</v>
      </c>
      <c r="E32" s="12">
        <f>SUM(E17:E31)</f>
        <v>0</v>
      </c>
      <c r="F32" s="12">
        <f>SUM(F17:F31)</f>
        <v>0</v>
      </c>
      <c r="G32" s="12">
        <f>SUM(G17:G31)</f>
        <v>0</v>
      </c>
      <c r="H32" s="12">
        <f>SUM(H17:H31)</f>
        <v>0</v>
      </c>
      <c r="I32" s="12">
        <f>SUM(I17:I31)</f>
        <v>0</v>
      </c>
      <c r="J32" s="12">
        <f>SUM(J17:J31)</f>
        <v>0</v>
      </c>
      <c r="K32" s="12">
        <f>SUM(K17:K31)</f>
        <v>0</v>
      </c>
      <c r="L32" s="12">
        <f>SUM(L17:L31)</f>
        <v>0</v>
      </c>
      <c r="M32" s="12">
        <f>SUM(M17:M31)</f>
        <v>0</v>
      </c>
      <c r="N32" s="12">
        <f>SUM(N17:N31)</f>
        <v>0</v>
      </c>
      <c r="O32" s="12">
        <f>SUM(O17:O31)</f>
        <v>0</v>
      </c>
      <c r="P32" s="12">
        <f>SUM(P17:P31)</f>
        <v>0</v>
      </c>
      <c r="Q32" s="12">
        <f>SUM(Q17:Q31)</f>
        <v>0</v>
      </c>
    </row>
    <row r="33" spans="2:17">
      <c r="B33" s="13" t="s">
        <v>49</v>
      </c>
      <c r="C33" s="14">
        <f>SUM(E33:Q33)</f>
        <v>0</v>
      </c>
      <c r="D33" s="14">
        <f>C33/13</f>
        <v>0</v>
      </c>
      <c r="E33" s="14">
        <f>E16-E32</f>
        <v>0</v>
      </c>
      <c r="F33" s="14">
        <f>F16-F32</f>
        <v>0</v>
      </c>
      <c r="G33" s="14">
        <f>G16-G32</f>
        <v>0</v>
      </c>
      <c r="H33" s="14">
        <f>H16-H32</f>
        <v>0</v>
      </c>
      <c r="I33" s="14">
        <f>I16-I32</f>
        <v>0</v>
      </c>
      <c r="J33" s="14">
        <f>J16-J32</f>
        <v>0</v>
      </c>
      <c r="K33" s="14">
        <f>K16-K32</f>
        <v>0</v>
      </c>
      <c r="L33" s="14">
        <f>L16-L32</f>
        <v>0</v>
      </c>
      <c r="M33" s="14">
        <f>M16-M32</f>
        <v>0</v>
      </c>
      <c r="N33" s="14">
        <f>N16-N32</f>
        <v>0</v>
      </c>
      <c r="O33" s="14">
        <f>O16-O32</f>
        <v>0</v>
      </c>
      <c r="P33" s="14">
        <f>P16-P32</f>
        <v>0</v>
      </c>
      <c r="Q33" s="14">
        <f>Q16-Q32</f>
        <v>0</v>
      </c>
    </row>
    <row r="36" spans="2:17">
      <c r="B36" s="1" t="s">
        <v>50</v>
      </c>
    </row>
    <row r="37" spans="2:17">
      <c r="B37" t="s">
        <v>51</v>
      </c>
    </row>
    <row r="38" spans="2:17">
      <c r="B38" s="15" t="s">
        <v>52</v>
      </c>
      <c r="C38" s="15"/>
      <c r="D38" s="15"/>
      <c r="E38" s="15"/>
      <c r="F38" s="16" t="s">
        <v>53</v>
      </c>
      <c r="G38" s="16"/>
      <c r="H38" s="16"/>
      <c r="I38" s="16"/>
    </row>
    <row r="39" spans="2:17">
      <c r="B39" s="17" t="s">
        <v>12</v>
      </c>
      <c r="C39" s="18" t="s">
        <v>54</v>
      </c>
      <c r="D39" s="18"/>
      <c r="E39" s="18" t="s">
        <v>55</v>
      </c>
      <c r="F39" s="18" t="s">
        <v>12</v>
      </c>
      <c r="G39" s="18" t="s">
        <v>54</v>
      </c>
      <c r="H39" s="18"/>
      <c r="I39" s="18" t="s">
        <v>55</v>
      </c>
    </row>
    <row r="40" spans="2:17">
      <c r="B40" s="19" t="s">
        <v>56</v>
      </c>
      <c r="C40" s="20" t="s">
        <v>57</v>
      </c>
      <c r="D40" s="20"/>
      <c r="E40" s="21">
        <v>872531</v>
      </c>
      <c r="F40" s="22" t="s">
        <v>105</v>
      </c>
      <c r="G40" s="20"/>
      <c r="H40" s="20"/>
      <c r="I40" s="23"/>
    </row>
    <row r="41" spans="2:17">
      <c r="B41" s="19"/>
      <c r="C41" s="20" t="s">
        <v>58</v>
      </c>
      <c r="D41" s="20"/>
      <c r="E41" s="21">
        <v>1</v>
      </c>
      <c r="F41" s="20"/>
      <c r="G41" s="20"/>
      <c r="H41" s="20"/>
      <c r="I41" s="24"/>
    </row>
    <row r="42" spans="2:17">
      <c r="B42" s="19"/>
      <c r="C42" s="20" t="s">
        <v>59</v>
      </c>
      <c r="D42" s="20"/>
      <c r="E42" s="21">
        <v>93</v>
      </c>
      <c r="F42" s="20"/>
      <c r="G42" s="20"/>
      <c r="H42" s="20"/>
      <c r="I42" s="24"/>
    </row>
    <row r="43" spans="2:17">
      <c r="B43" s="19"/>
      <c r="C43" s="20" t="s">
        <v>60</v>
      </c>
      <c r="D43" s="20"/>
      <c r="E43" s="21">
        <v>38761</v>
      </c>
      <c r="F43" s="20"/>
      <c r="G43" s="20"/>
      <c r="H43" s="20"/>
      <c r="I43" s="24"/>
    </row>
    <row r="44" spans="2:17">
      <c r="B44" s="19"/>
      <c r="C44" s="20" t="s">
        <v>60</v>
      </c>
      <c r="D44" s="20"/>
      <c r="E44" s="21">
        <v>1059</v>
      </c>
      <c r="F44" s="20"/>
      <c r="G44" s="20"/>
      <c r="H44" s="20"/>
      <c r="I44" s="24"/>
    </row>
    <row r="45" spans="2:17">
      <c r="B45" s="19"/>
      <c r="C45" s="20" t="s">
        <v>61</v>
      </c>
      <c r="D45" s="20"/>
      <c r="E45" s="21">
        <v>0</v>
      </c>
      <c r="F45" s="20"/>
      <c r="G45" s="20"/>
      <c r="H45" s="20"/>
      <c r="I45" s="24"/>
    </row>
    <row r="46" spans="2:17">
      <c r="B46" s="19" t="s">
        <v>62</v>
      </c>
      <c r="C46" s="20"/>
      <c r="D46" s="20"/>
      <c r="E46" s="21"/>
      <c r="F46" s="20"/>
      <c r="G46" s="20"/>
      <c r="H46" s="20"/>
      <c r="I46" s="24"/>
    </row>
    <row r="47" spans="2:17">
      <c r="B47" s="19" t="s">
        <v>63</v>
      </c>
      <c r="C47" s="20" t="s">
        <v>64</v>
      </c>
      <c r="D47" s="20"/>
      <c r="E47" s="21">
        <v>0</v>
      </c>
      <c r="F47" s="20"/>
      <c r="G47" s="20"/>
      <c r="H47" s="20"/>
      <c r="I47" s="24"/>
    </row>
    <row r="48" spans="2:17">
      <c r="B48" s="19" t="s">
        <v>65</v>
      </c>
      <c r="C48" s="20"/>
      <c r="D48" s="20"/>
      <c r="E48" s="21"/>
      <c r="F48" s="20"/>
      <c r="G48" s="20"/>
      <c r="H48" s="20"/>
      <c r="I48" s="24"/>
    </row>
    <row r="49" spans="2:9">
      <c r="B49" s="19" t="s">
        <v>66</v>
      </c>
      <c r="C49" s="20" t="s">
        <v>67</v>
      </c>
      <c r="D49" s="20"/>
      <c r="E49" s="21">
        <v>6638</v>
      </c>
      <c r="F49" s="20"/>
      <c r="G49" s="20"/>
      <c r="H49" s="20"/>
      <c r="I49" s="24"/>
    </row>
    <row r="50" spans="2:9">
      <c r="B50" s="19"/>
      <c r="C50" s="20" t="s">
        <v>68</v>
      </c>
      <c r="D50" s="20"/>
      <c r="E50" s="21">
        <v>0</v>
      </c>
      <c r="F50" s="20"/>
      <c r="G50" s="20"/>
      <c r="H50" s="20"/>
      <c r="I50" s="24"/>
    </row>
    <row r="51" spans="2:9">
      <c r="B51" s="19"/>
      <c r="C51" s="20" t="s">
        <v>69</v>
      </c>
      <c r="D51" s="20"/>
      <c r="E51" s="21">
        <v>0</v>
      </c>
      <c r="F51" s="20"/>
      <c r="G51" s="20"/>
      <c r="H51" s="20"/>
      <c r="I51" s="24"/>
    </row>
    <row r="52" spans="2:9">
      <c r="B52" s="19"/>
      <c r="C52" s="20" t="s">
        <v>70</v>
      </c>
      <c r="D52" s="20"/>
      <c r="E52" s="21">
        <v>0</v>
      </c>
      <c r="F52" s="20"/>
      <c r="G52" s="20"/>
      <c r="H52" s="20"/>
      <c r="I52" s="24"/>
    </row>
    <row r="53" spans="2:9">
      <c r="B53" s="19" t="s">
        <v>71</v>
      </c>
      <c r="C53" s="20" t="s">
        <v>72</v>
      </c>
      <c r="D53" s="20"/>
      <c r="E53" s="21">
        <v>9566940.723300001</v>
      </c>
      <c r="F53" s="20"/>
      <c r="G53" s="20"/>
      <c r="H53" s="20"/>
      <c r="I53" s="24"/>
    </row>
    <row r="54" spans="2:9">
      <c r="B54" s="19"/>
      <c r="C54" s="20" t="s">
        <v>73</v>
      </c>
      <c r="D54" s="20"/>
      <c r="E54" s="21">
        <v>8992143.0594</v>
      </c>
      <c r="F54" s="20"/>
      <c r="G54" s="20"/>
      <c r="H54" s="20"/>
      <c r="I54" s="24"/>
    </row>
    <row r="55" spans="2:9">
      <c r="B55" s="19"/>
      <c r="C55" s="20" t="s">
        <v>74</v>
      </c>
      <c r="D55" s="20"/>
      <c r="E55" s="21">
        <v>8300505.0915</v>
      </c>
      <c r="F55" s="20"/>
      <c r="G55" s="20"/>
      <c r="H55" s="20"/>
      <c r="I55" s="24"/>
    </row>
    <row r="56" spans="2:9">
      <c r="B56" s="19"/>
      <c r="C56" s="20" t="s">
        <v>75</v>
      </c>
      <c r="D56" s="20"/>
      <c r="E56" s="21">
        <v>8288984.9952</v>
      </c>
      <c r="F56" s="20"/>
      <c r="G56" s="20"/>
      <c r="H56" s="20"/>
      <c r="I56" s="24"/>
    </row>
    <row r="57" spans="2:9">
      <c r="B57" s="19"/>
      <c r="C57" s="20" t="s">
        <v>76</v>
      </c>
      <c r="D57" s="20"/>
      <c r="E57" s="21">
        <v>4691400</v>
      </c>
      <c r="F57" s="20"/>
      <c r="G57" s="20"/>
      <c r="H57" s="20"/>
      <c r="I57" s="24"/>
    </row>
    <row r="58" spans="2:9">
      <c r="B58" s="19"/>
      <c r="C58" s="20" t="s">
        <v>77</v>
      </c>
      <c r="D58" s="20"/>
      <c r="E58" s="21">
        <v>4622450</v>
      </c>
      <c r="F58" s="20"/>
      <c r="G58" s="20"/>
      <c r="H58" s="20"/>
      <c r="I58" s="24"/>
    </row>
    <row r="59" spans="2:9">
      <c r="B59" s="19"/>
      <c r="C59" s="20" t="s">
        <v>78</v>
      </c>
      <c r="D59" s="20"/>
      <c r="E59" s="21">
        <v>4481839.0692</v>
      </c>
      <c r="F59" s="20"/>
      <c r="G59" s="20"/>
      <c r="H59" s="20"/>
      <c r="I59" s="24"/>
    </row>
    <row r="60" spans="2:9">
      <c r="B60" s="19"/>
      <c r="C60" s="20" t="s">
        <v>79</v>
      </c>
      <c r="D60" s="20"/>
      <c r="E60" s="21">
        <v>4458760</v>
      </c>
      <c r="F60" s="20"/>
      <c r="G60" s="20"/>
      <c r="H60" s="20"/>
      <c r="I60" s="24"/>
    </row>
    <row r="61" spans="2:9">
      <c r="B61" s="19"/>
      <c r="C61" s="20" t="s">
        <v>80</v>
      </c>
      <c r="D61" s="20"/>
      <c r="E61" s="21">
        <v>4440190</v>
      </c>
      <c r="F61" s="20"/>
      <c r="G61" s="20"/>
      <c r="H61" s="20"/>
      <c r="I61" s="24"/>
    </row>
    <row r="62" spans="2:9">
      <c r="B62" s="19"/>
      <c r="C62" s="20" t="s">
        <v>81</v>
      </c>
      <c r="D62" s="20"/>
      <c r="E62" s="21">
        <v>4195690</v>
      </c>
      <c r="F62" s="20"/>
      <c r="G62" s="20"/>
      <c r="H62" s="20"/>
      <c r="I62" s="24"/>
    </row>
    <row r="63" spans="2:9">
      <c r="B63" s="19"/>
      <c r="C63" s="20" t="s">
        <v>82</v>
      </c>
      <c r="D63" s="20"/>
      <c r="E63" s="21">
        <v>4111839.8055</v>
      </c>
      <c r="F63" s="20"/>
      <c r="G63" s="20"/>
      <c r="H63" s="20"/>
      <c r="I63" s="24"/>
    </row>
    <row r="64" spans="2:9">
      <c r="B64" s="19"/>
      <c r="C64" s="20" t="s">
        <v>83</v>
      </c>
      <c r="D64" s="20"/>
      <c r="E64" s="21">
        <v>3874500</v>
      </c>
      <c r="F64" s="20"/>
      <c r="G64" s="20"/>
      <c r="H64" s="20"/>
      <c r="I64" s="24"/>
    </row>
    <row r="65" spans="2:9">
      <c r="B65" s="19"/>
      <c r="C65" s="20" t="s">
        <v>84</v>
      </c>
      <c r="D65" s="20"/>
      <c r="E65" s="21">
        <v>3818121</v>
      </c>
      <c r="F65" s="20"/>
      <c r="G65" s="20"/>
      <c r="H65" s="20"/>
      <c r="I65" s="24"/>
    </row>
    <row r="66" spans="2:9">
      <c r="B66" s="19"/>
      <c r="C66" s="20" t="s">
        <v>85</v>
      </c>
      <c r="D66" s="20"/>
      <c r="E66" s="21">
        <v>3209442.1974</v>
      </c>
      <c r="F66" s="20"/>
      <c r="G66" s="20"/>
      <c r="H66" s="20"/>
      <c r="I66" s="24"/>
    </row>
    <row r="67" spans="2:9">
      <c r="B67" s="19"/>
      <c r="C67" s="20" t="s">
        <v>86</v>
      </c>
      <c r="D67" s="20"/>
      <c r="E67" s="21">
        <v>2922199.848</v>
      </c>
      <c r="F67" s="20"/>
      <c r="G67" s="20"/>
      <c r="H67" s="20"/>
      <c r="I67" s="24"/>
    </row>
    <row r="68" spans="2:9">
      <c r="B68" s="19"/>
      <c r="C68" s="20" t="s">
        <v>87</v>
      </c>
      <c r="D68" s="20"/>
      <c r="E68" s="21">
        <v>2823779.7756</v>
      </c>
      <c r="F68" s="20"/>
      <c r="G68" s="20"/>
      <c r="H68" s="20"/>
      <c r="I68" s="24"/>
    </row>
    <row r="69" spans="2:9">
      <c r="B69" s="19"/>
      <c r="C69" s="20" t="s">
        <v>88</v>
      </c>
      <c r="D69" s="20"/>
      <c r="E69" s="21">
        <v>2718683.1144</v>
      </c>
      <c r="F69" s="20"/>
      <c r="G69" s="20"/>
      <c r="H69" s="20"/>
      <c r="I69" s="24"/>
    </row>
    <row r="70" spans="2:9">
      <c r="B70" s="19"/>
      <c r="C70" s="20" t="s">
        <v>89</v>
      </c>
      <c r="D70" s="20"/>
      <c r="E70" s="21">
        <v>2093740</v>
      </c>
      <c r="F70" s="20"/>
      <c r="G70" s="20"/>
      <c r="H70" s="20"/>
      <c r="I70" s="24"/>
    </row>
    <row r="71" spans="2:9">
      <c r="B71" s="19"/>
      <c r="C71" s="20" t="s">
        <v>90</v>
      </c>
      <c r="D71" s="20"/>
      <c r="E71" s="21">
        <v>0</v>
      </c>
      <c r="F71" s="20"/>
      <c r="G71" s="20"/>
      <c r="H71" s="20"/>
      <c r="I71" s="24"/>
    </row>
    <row r="72" spans="2:9">
      <c r="B72" s="19"/>
      <c r="C72" s="20" t="s">
        <v>91</v>
      </c>
      <c r="D72" s="20"/>
      <c r="E72" s="21">
        <v>68417</v>
      </c>
      <c r="F72" s="20"/>
      <c r="G72" s="20"/>
      <c r="H72" s="20"/>
      <c r="I72" s="24"/>
    </row>
    <row r="73" spans="2:9">
      <c r="B73" s="19"/>
      <c r="C73" s="20" t="s">
        <v>92</v>
      </c>
      <c r="D73" s="20"/>
      <c r="E73" s="21">
        <v>4064042.3706</v>
      </c>
      <c r="F73" s="20"/>
      <c r="G73" s="20"/>
      <c r="H73" s="20"/>
      <c r="I73" s="24"/>
    </row>
    <row r="74" spans="2:9">
      <c r="B74" s="19"/>
      <c r="C74" s="20" t="s">
        <v>93</v>
      </c>
      <c r="D74" s="20"/>
      <c r="E74" s="21">
        <v>10</v>
      </c>
      <c r="F74" s="20"/>
      <c r="G74" s="20"/>
      <c r="H74" s="20"/>
      <c r="I74" s="24"/>
    </row>
    <row r="75" spans="2:9">
      <c r="B75" s="19"/>
      <c r="C75" s="20" t="s">
        <v>94</v>
      </c>
      <c r="D75" s="20"/>
      <c r="E75" s="21">
        <v>85803</v>
      </c>
      <c r="F75" s="20"/>
      <c r="G75" s="20"/>
      <c r="H75" s="20"/>
      <c r="I75" s="24"/>
    </row>
    <row r="76" spans="2:9">
      <c r="B76" s="19" t="s">
        <v>95</v>
      </c>
      <c r="C76" s="20"/>
      <c r="D76" s="20"/>
      <c r="E76" s="21"/>
      <c r="F76" s="20"/>
      <c r="G76" s="20"/>
      <c r="H76" s="20"/>
      <c r="I76" s="24"/>
    </row>
    <row r="77" spans="2:9">
      <c r="B77" s="19" t="s">
        <v>96</v>
      </c>
      <c r="C77" s="20" t="s">
        <v>97</v>
      </c>
      <c r="D77" s="20"/>
      <c r="E77" s="21">
        <v>8730000</v>
      </c>
      <c r="F77" s="20"/>
      <c r="G77" s="20"/>
      <c r="H77" s="20"/>
      <c r="I77" s="24"/>
    </row>
    <row r="78" spans="2:9">
      <c r="B78" s="19" t="s">
        <v>98</v>
      </c>
      <c r="C78" s="20"/>
      <c r="D78" s="20"/>
      <c r="E78" s="21"/>
      <c r="F78" s="20"/>
      <c r="G78" s="20"/>
      <c r="H78" s="20"/>
      <c r="I78" s="24"/>
    </row>
    <row r="79" spans="2:9">
      <c r="B79" s="19" t="s">
        <v>99</v>
      </c>
      <c r="C79" s="20" t="s">
        <v>100</v>
      </c>
      <c r="D79" s="20"/>
      <c r="E79" s="21">
        <v>0</v>
      </c>
      <c r="F79" s="20"/>
      <c r="G79" s="20"/>
      <c r="H79" s="20"/>
      <c r="I79" s="24"/>
    </row>
    <row r="80" spans="2:9">
      <c r="B80" s="19"/>
      <c r="C80" s="20" t="s">
        <v>101</v>
      </c>
      <c r="D80" s="20"/>
      <c r="E80" s="21">
        <v>0</v>
      </c>
      <c r="F80" s="20"/>
      <c r="G80" s="20"/>
      <c r="H80" s="20"/>
      <c r="I80" s="24"/>
    </row>
    <row r="81" spans="2:9">
      <c r="B81" s="19" t="s">
        <v>102</v>
      </c>
      <c r="C81" s="20" t="s">
        <v>103</v>
      </c>
      <c r="D81" s="20"/>
      <c r="E81" s="21">
        <v>63364344</v>
      </c>
      <c r="F81" s="20"/>
      <c r="G81" s="20"/>
      <c r="H81" s="20"/>
      <c r="I81" s="24"/>
    </row>
    <row r="82" spans="2:9">
      <c r="B82" s="19"/>
      <c r="C82" s="20" t="s">
        <v>104</v>
      </c>
      <c r="D82" s="20"/>
      <c r="E82" s="21">
        <v>6900000</v>
      </c>
      <c r="F82" s="20"/>
      <c r="G82" s="20"/>
      <c r="H82" s="20"/>
      <c r="I82" s="24"/>
    </row>
    <row r="83" spans="2:9">
      <c r="B83" s="25" t="s">
        <v>106</v>
      </c>
      <c r="C83" s="25"/>
      <c r="D83" s="25"/>
      <c r="E83" s="26">
        <f>SUM(E40:E82)</f>
        <v>0</v>
      </c>
      <c r="F83" s="27" t="s">
        <v>107</v>
      </c>
      <c r="G83" s="27"/>
      <c r="H83" s="27"/>
      <c r="I83" s="28">
        <f>SUM(I40:I82)</f>
        <v>0</v>
      </c>
    </row>
    <row r="84" spans="2:9">
      <c r="B84" s="29" t="s">
        <v>108</v>
      </c>
      <c r="C84" s="29"/>
      <c r="D84" s="29"/>
      <c r="E84" s="29"/>
      <c r="F84" s="29"/>
      <c r="G84" s="29"/>
      <c r="H84" s="29"/>
      <c r="I84" s="29"/>
    </row>
    <row r="85" spans="2:9">
      <c r="B85" s="30">
        <f>E83-I83</f>
        <v>0</v>
      </c>
      <c r="C85" s="30"/>
      <c r="D85" s="30"/>
      <c r="E85" s="30"/>
      <c r="F85" s="30"/>
      <c r="G85" s="30"/>
      <c r="H85" s="30"/>
      <c r="I85" s="30"/>
    </row>
    <row r="88" spans="2:9">
      <c r="B88" s="1" t="s">
        <v>109</v>
      </c>
    </row>
    <row r="89" spans="2:9">
      <c r="B89" t="s">
        <v>110</v>
      </c>
    </row>
    <row r="90" spans="2:9">
      <c r="B90" s="31" t="s">
        <v>111</v>
      </c>
      <c r="C90" s="32" t="s">
        <v>112</v>
      </c>
      <c r="D90" s="32"/>
      <c r="E90" s="32" t="s">
        <v>113</v>
      </c>
      <c r="F90" s="32" t="s">
        <v>114</v>
      </c>
      <c r="G90" s="32" t="s">
        <v>115</v>
      </c>
      <c r="H90" s="32" t="s">
        <v>116</v>
      </c>
    </row>
    <row r="91" spans="2:9">
      <c r="B91" s="33" t="s">
        <v>117</v>
      </c>
      <c r="C91" s="34" t="s">
        <v>100</v>
      </c>
      <c r="D91" s="34"/>
      <c r="E91" s="35" t="s">
        <v>118</v>
      </c>
      <c r="F91" s="36">
        <v>0</v>
      </c>
      <c r="G91" s="37">
        <v>41843</v>
      </c>
      <c r="H91" s="37">
        <v>70698</v>
      </c>
    </row>
    <row r="92" spans="2:9">
      <c r="B92" s="33" t="s">
        <v>117</v>
      </c>
      <c r="C92" s="34" t="s">
        <v>101</v>
      </c>
      <c r="D92" s="34"/>
      <c r="E92" s="35" t="s">
        <v>118</v>
      </c>
      <c r="F92" s="36">
        <v>586710</v>
      </c>
      <c r="G92" s="37">
        <v>46166</v>
      </c>
      <c r="H92" s="37">
        <v>46531</v>
      </c>
    </row>
    <row r="93" spans="2:9">
      <c r="B93" s="38" t="s">
        <v>13</v>
      </c>
      <c r="C93" s="39" t="s">
        <v>119</v>
      </c>
      <c r="D93" s="39"/>
      <c r="E93" s="39" t="s">
        <v>120</v>
      </c>
      <c r="F93" s="39" t="s">
        <v>121</v>
      </c>
      <c r="G93" s="39"/>
      <c r="H93" s="40"/>
    </row>
    <row r="94" spans="2:9">
      <c r="B94" s="38"/>
      <c r="C94" s="41" t="s">
        <v>122</v>
      </c>
      <c r="D94" s="41"/>
      <c r="E94" s="41" t="s">
        <v>123</v>
      </c>
      <c r="F94" s="42">
        <f>SUM(F91:F92)</f>
        <v>0</v>
      </c>
      <c r="G94" s="41"/>
      <c r="H94" s="43"/>
    </row>
    <row r="96" spans="2:9">
      <c r="B96" s="1" t="s">
        <v>124</v>
      </c>
    </row>
    <row r="97" spans="2:10">
      <c r="B97" t="s">
        <v>125</v>
      </c>
    </row>
    <row r="98" spans="2:10">
      <c r="B98" s="31" t="s">
        <v>126</v>
      </c>
      <c r="C98" s="32" t="s">
        <v>111</v>
      </c>
      <c r="D98" s="32" t="s">
        <v>54</v>
      </c>
      <c r="E98" s="32"/>
      <c r="F98" s="32" t="s">
        <v>127</v>
      </c>
      <c r="G98" s="32" t="s">
        <v>128</v>
      </c>
      <c r="H98" s="32" t="s">
        <v>129</v>
      </c>
      <c r="I98" s="32" t="s">
        <v>130</v>
      </c>
      <c r="J98" s="32" t="s">
        <v>116</v>
      </c>
    </row>
    <row r="99" spans="2:10">
      <c r="B99" s="33" t="s">
        <v>131</v>
      </c>
      <c r="C99" s="34" t="s">
        <v>132</v>
      </c>
      <c r="D99" s="34" t="s">
        <v>72</v>
      </c>
      <c r="E99" s="34"/>
      <c r="F99" s="36">
        <v>8540515</v>
      </c>
      <c r="G99" s="36">
        <v>9566940.723300001</v>
      </c>
      <c r="H99" s="44">
        <v>12.01831181491984</v>
      </c>
      <c r="I99" s="37"/>
      <c r="J99" s="37"/>
    </row>
    <row r="100" spans="2:10">
      <c r="B100" s="33" t="s">
        <v>131</v>
      </c>
      <c r="C100" s="34" t="s">
        <v>132</v>
      </c>
      <c r="D100" s="34" t="s">
        <v>73</v>
      </c>
      <c r="E100" s="34"/>
      <c r="F100" s="36">
        <v>8556673</v>
      </c>
      <c r="G100" s="36">
        <v>8992143.0594</v>
      </c>
      <c r="H100" s="44">
        <v>5.089245076912484</v>
      </c>
      <c r="I100" s="37"/>
      <c r="J100" s="37"/>
    </row>
    <row r="101" spans="2:10">
      <c r="B101" s="33" t="s">
        <v>131</v>
      </c>
      <c r="C101" s="34" t="s">
        <v>132</v>
      </c>
      <c r="D101" s="34" t="s">
        <v>74</v>
      </c>
      <c r="E101" s="34"/>
      <c r="F101" s="36">
        <v>7817220</v>
      </c>
      <c r="G101" s="36">
        <v>8300505.0915</v>
      </c>
      <c r="H101" s="44">
        <v>6.182314064334892</v>
      </c>
      <c r="I101" s="37"/>
      <c r="J101" s="37"/>
    </row>
    <row r="102" spans="2:10">
      <c r="B102" s="33" t="s">
        <v>131</v>
      </c>
      <c r="C102" s="34" t="s">
        <v>132</v>
      </c>
      <c r="D102" s="34" t="s">
        <v>75</v>
      </c>
      <c r="E102" s="34"/>
      <c r="F102" s="36">
        <v>8430989</v>
      </c>
      <c r="G102" s="36">
        <v>8288984.9952</v>
      </c>
      <c r="H102" s="44">
        <v>-1.684310165746868</v>
      </c>
      <c r="I102" s="37"/>
      <c r="J102" s="37"/>
    </row>
    <row r="103" spans="2:10">
      <c r="B103" s="33" t="s">
        <v>131</v>
      </c>
      <c r="C103" s="34" t="s">
        <v>132</v>
      </c>
      <c r="D103" s="34" t="s">
        <v>76</v>
      </c>
      <c r="E103" s="34"/>
      <c r="F103" s="36">
        <v>4463677</v>
      </c>
      <c r="G103" s="36">
        <v>4691400</v>
      </c>
      <c r="H103" s="44">
        <v>5.101690825747473</v>
      </c>
      <c r="I103" s="37"/>
      <c r="J103" s="37"/>
    </row>
    <row r="104" spans="2:10">
      <c r="B104" s="33" t="s">
        <v>131</v>
      </c>
      <c r="C104" s="34" t="s">
        <v>132</v>
      </c>
      <c r="D104" s="34" t="s">
        <v>77</v>
      </c>
      <c r="E104" s="34"/>
      <c r="F104" s="36">
        <v>4608794</v>
      </c>
      <c r="G104" s="36">
        <v>4622450</v>
      </c>
      <c r="H104" s="44">
        <v>0.2963031109656886</v>
      </c>
      <c r="I104" s="37"/>
      <c r="J104" s="37"/>
    </row>
    <row r="105" spans="2:10">
      <c r="B105" s="33" t="s">
        <v>131</v>
      </c>
      <c r="C105" s="34" t="s">
        <v>132</v>
      </c>
      <c r="D105" s="34" t="s">
        <v>78</v>
      </c>
      <c r="E105" s="34"/>
      <c r="F105" s="36">
        <v>4323681</v>
      </c>
      <c r="G105" s="36">
        <v>4481839.0692</v>
      </c>
      <c r="H105" s="44">
        <v>3.65794953883045</v>
      </c>
      <c r="I105" s="37"/>
      <c r="J105" s="37"/>
    </row>
    <row r="106" spans="2:10">
      <c r="B106" s="33" t="s">
        <v>131</v>
      </c>
      <c r="C106" s="34" t="s">
        <v>132</v>
      </c>
      <c r="D106" s="34" t="s">
        <v>79</v>
      </c>
      <c r="E106" s="34"/>
      <c r="F106" s="36">
        <v>4216874</v>
      </c>
      <c r="G106" s="36">
        <v>4458760</v>
      </c>
      <c r="H106" s="44">
        <v>5.736144831455718</v>
      </c>
      <c r="I106" s="37"/>
      <c r="J106" s="37"/>
    </row>
    <row r="107" spans="2:10">
      <c r="B107" s="33" t="s">
        <v>131</v>
      </c>
      <c r="C107" s="34" t="s">
        <v>132</v>
      </c>
      <c r="D107" s="34" t="s">
        <v>80</v>
      </c>
      <c r="E107" s="34"/>
      <c r="F107" s="36">
        <v>4765269</v>
      </c>
      <c r="G107" s="36">
        <v>4440190</v>
      </c>
      <c r="H107" s="44">
        <v>-6.821839438654985</v>
      </c>
      <c r="I107" s="37"/>
      <c r="J107" s="37"/>
    </row>
    <row r="108" spans="2:10">
      <c r="B108" s="33" t="s">
        <v>131</v>
      </c>
      <c r="C108" s="34" t="s">
        <v>132</v>
      </c>
      <c r="D108" s="34" t="s">
        <v>81</v>
      </c>
      <c r="E108" s="34"/>
      <c r="F108" s="36">
        <v>4599143</v>
      </c>
      <c r="G108" s="36">
        <v>4195690</v>
      </c>
      <c r="H108" s="44">
        <v>-8.772351718570176</v>
      </c>
      <c r="I108" s="37"/>
      <c r="J108" s="37"/>
    </row>
    <row r="109" spans="2:10">
      <c r="B109" s="33" t="s">
        <v>131</v>
      </c>
      <c r="C109" s="34" t="s">
        <v>132</v>
      </c>
      <c r="D109" s="34" t="s">
        <v>82</v>
      </c>
      <c r="E109" s="34"/>
      <c r="F109" s="36">
        <v>3952266</v>
      </c>
      <c r="G109" s="36">
        <v>4111839.8055</v>
      </c>
      <c r="H109" s="44">
        <v>4.037526965543305</v>
      </c>
      <c r="I109" s="37"/>
      <c r="J109" s="37"/>
    </row>
    <row r="110" spans="2:10">
      <c r="B110" s="33" t="s">
        <v>131</v>
      </c>
      <c r="C110" s="34" t="s">
        <v>132</v>
      </c>
      <c r="D110" s="34" t="s">
        <v>83</v>
      </c>
      <c r="E110" s="34"/>
      <c r="F110" s="36">
        <v>4898999</v>
      </c>
      <c r="G110" s="36">
        <v>3874500</v>
      </c>
      <c r="H110" s="44">
        <v>-20.91241496477138</v>
      </c>
      <c r="I110" s="37"/>
      <c r="J110" s="37"/>
    </row>
    <row r="111" spans="2:10">
      <c r="B111" s="33" t="s">
        <v>131</v>
      </c>
      <c r="C111" s="34" t="s">
        <v>132</v>
      </c>
      <c r="D111" s="34" t="s">
        <v>84</v>
      </c>
      <c r="E111" s="34"/>
      <c r="F111" s="36">
        <v>3774220</v>
      </c>
      <c r="G111" s="36">
        <v>3818121</v>
      </c>
      <c r="H111" s="44">
        <v>1.163180736682016</v>
      </c>
      <c r="I111" s="37"/>
      <c r="J111" s="37"/>
    </row>
    <row r="112" spans="2:10">
      <c r="B112" s="33" t="s">
        <v>131</v>
      </c>
      <c r="C112" s="34" t="s">
        <v>132</v>
      </c>
      <c r="D112" s="34" t="s">
        <v>85</v>
      </c>
      <c r="E112" s="34"/>
      <c r="F112" s="36">
        <v>3900230</v>
      </c>
      <c r="G112" s="36">
        <v>3209442.1974</v>
      </c>
      <c r="H112" s="44">
        <v>-17.71146323678347</v>
      </c>
      <c r="I112" s="37"/>
      <c r="J112" s="37"/>
    </row>
    <row r="113" spans="2:10">
      <c r="B113" s="33" t="s">
        <v>131</v>
      </c>
      <c r="C113" s="34" t="s">
        <v>132</v>
      </c>
      <c r="D113" s="34" t="s">
        <v>86</v>
      </c>
      <c r="E113" s="34"/>
      <c r="F113" s="36">
        <v>2248533</v>
      </c>
      <c r="G113" s="36">
        <v>2922199.848</v>
      </c>
      <c r="H113" s="44">
        <v>29.96028290445372</v>
      </c>
      <c r="I113" s="37"/>
      <c r="J113" s="37"/>
    </row>
    <row r="114" spans="2:10">
      <c r="B114" s="33" t="s">
        <v>131</v>
      </c>
      <c r="C114" s="34" t="s">
        <v>132</v>
      </c>
      <c r="D114" s="34" t="s">
        <v>87</v>
      </c>
      <c r="E114" s="34"/>
      <c r="F114" s="36">
        <v>3223256</v>
      </c>
      <c r="G114" s="36">
        <v>2823779.7756</v>
      </c>
      <c r="H114" s="44">
        <v>-12.39356180210322</v>
      </c>
      <c r="I114" s="37"/>
      <c r="J114" s="37"/>
    </row>
    <row r="115" spans="2:10">
      <c r="B115" s="33" t="s">
        <v>131</v>
      </c>
      <c r="C115" s="34" t="s">
        <v>132</v>
      </c>
      <c r="D115" s="34" t="s">
        <v>88</v>
      </c>
      <c r="E115" s="34"/>
      <c r="F115" s="36">
        <v>2374280</v>
      </c>
      <c r="G115" s="36">
        <v>2718683.1144</v>
      </c>
      <c r="H115" s="44">
        <v>14.50558124568289</v>
      </c>
      <c r="I115" s="37"/>
      <c r="J115" s="37"/>
    </row>
    <row r="116" spans="2:10">
      <c r="B116" s="33" t="s">
        <v>131</v>
      </c>
      <c r="C116" s="34" t="s">
        <v>132</v>
      </c>
      <c r="D116" s="34" t="s">
        <v>89</v>
      </c>
      <c r="E116" s="34"/>
      <c r="F116" s="36">
        <v>1710598</v>
      </c>
      <c r="G116" s="36">
        <v>2093740</v>
      </c>
      <c r="H116" s="44">
        <v>22.39813211520182</v>
      </c>
      <c r="I116" s="37"/>
      <c r="J116" s="37"/>
    </row>
    <row r="117" spans="2:10">
      <c r="B117" s="45" t="s">
        <v>13</v>
      </c>
      <c r="C117" s="39"/>
      <c r="D117" s="39" t="s">
        <v>133</v>
      </c>
      <c r="E117" s="39"/>
      <c r="F117" s="39" t="s">
        <v>134</v>
      </c>
      <c r="G117" s="39" t="s">
        <v>135</v>
      </c>
      <c r="H117" s="39" t="s">
        <v>136</v>
      </c>
      <c r="I117" s="39"/>
      <c r="J117" s="40"/>
    </row>
    <row r="118" spans="2:10">
      <c r="B118" s="45"/>
      <c r="C118" s="41"/>
      <c r="D118" s="41" t="s">
        <v>137</v>
      </c>
      <c r="E118" s="41"/>
      <c r="F118" s="42">
        <f>SUM(F99:F116)</f>
        <v>0</v>
      </c>
      <c r="G118" s="42">
        <f>SUM(G99:G116)</f>
        <v>0</v>
      </c>
      <c r="H118" s="46">
        <f>(SUM(G99:G116) - SUM(F99:F116)) * 100 / IF(SUM(F99:F116), SUM(F99:F116), 1)</f>
        <v>0</v>
      </c>
      <c r="I118" s="41"/>
      <c r="J118" s="43"/>
    </row>
    <row r="120" spans="2:10">
      <c r="B120" s="1" t="s">
        <v>138</v>
      </c>
    </row>
    <row r="121" spans="2:10">
      <c r="B121" t="s">
        <v>139</v>
      </c>
    </row>
    <row r="122" spans="2:10">
      <c r="B122" s="47" t="s">
        <v>140</v>
      </c>
      <c r="C122" s="48" t="s">
        <v>111</v>
      </c>
      <c r="D122" s="48" t="s">
        <v>54</v>
      </c>
      <c r="E122" s="48"/>
      <c r="F122" s="48" t="s">
        <v>141</v>
      </c>
      <c r="G122" s="48" t="s">
        <v>142</v>
      </c>
      <c r="H122" s="48" t="s">
        <v>143</v>
      </c>
      <c r="I122" s="48" t="s">
        <v>144</v>
      </c>
      <c r="J122" s="48" t="s">
        <v>145</v>
      </c>
    </row>
    <row r="123" spans="2:10">
      <c r="B123" s="33"/>
      <c r="C123" s="34"/>
      <c r="D123" s="34"/>
      <c r="E123" s="34"/>
      <c r="F123" s="34"/>
      <c r="G123" s="34"/>
      <c r="H123" s="34"/>
      <c r="I123" s="34"/>
      <c r="J123" s="34"/>
    </row>
    <row r="124" spans="2:10">
      <c r="B124" s="45" t="s">
        <v>13</v>
      </c>
      <c r="C124" s="39"/>
      <c r="D124" s="39" t="s">
        <v>146</v>
      </c>
      <c r="E124" s="39"/>
      <c r="F124" s="39" t="s">
        <v>147</v>
      </c>
      <c r="G124" s="39" t="s">
        <v>148</v>
      </c>
      <c r="H124" s="39"/>
      <c r="I124" s="39"/>
      <c r="J124" s="40"/>
    </row>
    <row r="125" spans="2:10">
      <c r="B125" s="45"/>
      <c r="C125" s="41"/>
      <c r="D125" s="42">
        <f>SUM(0)</f>
        <v>0</v>
      </c>
      <c r="E125" s="42"/>
      <c r="F125" s="42">
        <f>SUM(F123)</f>
        <v>0</v>
      </c>
      <c r="G125" s="42">
        <f>SUM(G123)</f>
        <v>0</v>
      </c>
      <c r="H125" s="41"/>
      <c r="I125" s="41"/>
      <c r="J125" s="43"/>
    </row>
  </sheetData>
  <mergeCells count="134">
    <mergeCell ref="F5:G5"/>
    <mergeCell ref="F6:G6"/>
    <mergeCell ref="B38:E38"/>
    <mergeCell ref="F38:I38"/>
    <mergeCell ref="C39:D39"/>
    <mergeCell ref="G39:H39"/>
    <mergeCell ref="B40:B45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B49:B52"/>
    <mergeCell ref="C49:D49"/>
    <mergeCell ref="C50:D50"/>
    <mergeCell ref="C51:D51"/>
    <mergeCell ref="C52:D52"/>
    <mergeCell ref="B53:B75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B79:B80"/>
    <mergeCell ref="C79:D79"/>
    <mergeCell ref="C80:D80"/>
    <mergeCell ref="B81:B82"/>
    <mergeCell ref="C81:D81"/>
    <mergeCell ref="C82:D82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B83:D83"/>
    <mergeCell ref="F83:H83"/>
    <mergeCell ref="B84:I84"/>
    <mergeCell ref="B85:I85"/>
    <mergeCell ref="C90:D90"/>
    <mergeCell ref="C91:D91"/>
    <mergeCell ref="C92:D92"/>
    <mergeCell ref="B93:B94"/>
    <mergeCell ref="C93:D93"/>
    <mergeCell ref="C94:D94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B117:B118"/>
    <mergeCell ref="D117:E117"/>
    <mergeCell ref="D118:E118"/>
    <mergeCell ref="D122:E122"/>
    <mergeCell ref="D123:E123"/>
    <mergeCell ref="B124:B125"/>
    <mergeCell ref="D124:E124"/>
    <mergeCell ref="D125:E1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47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149</v>
      </c>
      <c r="B1" s="49" t="s">
        <v>150</v>
      </c>
      <c r="C1" s="49" t="s">
        <v>151</v>
      </c>
      <c r="D1" s="49" t="s">
        <v>152</v>
      </c>
      <c r="E1" s="49" t="s">
        <v>153</v>
      </c>
      <c r="F1" s="49" t="s">
        <v>154</v>
      </c>
      <c r="G1" s="49" t="s">
        <v>55</v>
      </c>
      <c r="H1" s="49" t="s">
        <v>155</v>
      </c>
      <c r="I1" s="49" t="s">
        <v>156</v>
      </c>
      <c r="J1" s="49" t="s">
        <v>157</v>
      </c>
    </row>
    <row r="2" spans="1:10">
      <c r="A2" s="50">
        <v>46218</v>
      </c>
      <c r="B2" s="51">
        <v>0.9280092592592593</v>
      </c>
      <c r="C2" t="s">
        <v>158</v>
      </c>
      <c r="D2" t="s">
        <v>159</v>
      </c>
      <c r="E2" t="s">
        <v>160</v>
      </c>
      <c r="F2" t="s">
        <v>161</v>
      </c>
      <c r="G2">
        <v>120000</v>
      </c>
      <c r="H2" t="s">
        <v>162</v>
      </c>
      <c r="I2" t="s">
        <v>163</v>
      </c>
    </row>
    <row r="3" spans="1:10">
      <c r="A3" s="50">
        <v>46218</v>
      </c>
      <c r="B3" s="51">
        <v>0.9279976851851852</v>
      </c>
      <c r="C3" t="s">
        <v>158</v>
      </c>
      <c r="D3" t="s">
        <v>159</v>
      </c>
      <c r="E3" t="s">
        <v>160</v>
      </c>
      <c r="F3" t="s">
        <v>164</v>
      </c>
      <c r="G3">
        <v>-120000</v>
      </c>
      <c r="H3" t="s">
        <v>162</v>
      </c>
      <c r="I3" t="s">
        <v>60</v>
      </c>
    </row>
    <row r="4" spans="1:10">
      <c r="A4" s="50">
        <v>46218</v>
      </c>
      <c r="B4" s="51">
        <v>0.927974537037037</v>
      </c>
      <c r="C4" t="s">
        <v>165</v>
      </c>
      <c r="D4" t="s">
        <v>38</v>
      </c>
      <c r="E4" t="s">
        <v>166</v>
      </c>
      <c r="F4" t="s">
        <v>167</v>
      </c>
      <c r="G4">
        <v>-14138</v>
      </c>
      <c r="H4" t="s">
        <v>162</v>
      </c>
      <c r="I4" t="s">
        <v>168</v>
      </c>
    </row>
    <row r="5" spans="1:10">
      <c r="A5" s="50">
        <v>46218</v>
      </c>
      <c r="B5" s="51">
        <v>0.927974537037037</v>
      </c>
      <c r="C5" t="s">
        <v>165</v>
      </c>
      <c r="D5" t="s">
        <v>38</v>
      </c>
      <c r="E5" t="s">
        <v>166</v>
      </c>
      <c r="F5" t="s">
        <v>167</v>
      </c>
      <c r="G5">
        <v>-114962</v>
      </c>
      <c r="H5" t="s">
        <v>162</v>
      </c>
      <c r="I5" t="s">
        <v>169</v>
      </c>
    </row>
    <row r="6" spans="1:10">
      <c r="A6" s="50">
        <v>46218</v>
      </c>
      <c r="B6" s="51">
        <v>0.9255902777777778</v>
      </c>
      <c r="C6" t="s">
        <v>158</v>
      </c>
      <c r="D6" t="s">
        <v>158</v>
      </c>
      <c r="E6" t="s">
        <v>160</v>
      </c>
      <c r="F6" t="s">
        <v>170</v>
      </c>
      <c r="G6">
        <v>130000</v>
      </c>
      <c r="H6" t="s">
        <v>162</v>
      </c>
      <c r="I6" t="s">
        <v>60</v>
      </c>
    </row>
    <row r="7" spans="1:10">
      <c r="A7" s="50">
        <v>46218</v>
      </c>
      <c r="B7" s="51">
        <v>0.4141319444444445</v>
      </c>
      <c r="C7" t="s">
        <v>165</v>
      </c>
      <c r="D7" t="s">
        <v>42</v>
      </c>
      <c r="E7" t="s">
        <v>171</v>
      </c>
      <c r="F7" t="s">
        <v>172</v>
      </c>
      <c r="G7">
        <v>-4000</v>
      </c>
      <c r="H7" t="s">
        <v>162</v>
      </c>
      <c r="I7" t="s">
        <v>173</v>
      </c>
    </row>
    <row r="8" spans="1:10">
      <c r="A8" s="50">
        <v>46217</v>
      </c>
      <c r="B8" s="51">
        <v>0.9989814814814815</v>
      </c>
      <c r="C8" t="s">
        <v>165</v>
      </c>
      <c r="D8" t="s">
        <v>35</v>
      </c>
      <c r="E8" t="s">
        <v>174</v>
      </c>
      <c r="F8" t="s">
        <v>175</v>
      </c>
      <c r="G8">
        <v>-4809</v>
      </c>
      <c r="H8" t="s">
        <v>162</v>
      </c>
      <c r="I8" t="s">
        <v>176</v>
      </c>
    </row>
    <row r="9" spans="1:10">
      <c r="A9" s="50">
        <v>46217</v>
      </c>
      <c r="B9" s="51">
        <v>0.03868055555555556</v>
      </c>
      <c r="C9" t="s">
        <v>165</v>
      </c>
      <c r="D9" t="s">
        <v>34</v>
      </c>
      <c r="E9" t="s">
        <v>177</v>
      </c>
      <c r="F9" t="s">
        <v>178</v>
      </c>
      <c r="G9">
        <v>-16100</v>
      </c>
      <c r="H9" t="s">
        <v>162</v>
      </c>
      <c r="I9" t="s">
        <v>169</v>
      </c>
    </row>
    <row r="10" spans="1:10">
      <c r="A10" s="50">
        <v>46217</v>
      </c>
      <c r="B10" s="51">
        <v>0.02082175925925926</v>
      </c>
      <c r="C10" t="s">
        <v>165</v>
      </c>
      <c r="D10" t="s">
        <v>34</v>
      </c>
      <c r="E10" t="s">
        <v>177</v>
      </c>
      <c r="F10" t="s">
        <v>178</v>
      </c>
      <c r="G10">
        <v>-18500</v>
      </c>
      <c r="H10" t="s">
        <v>162</v>
      </c>
      <c r="I10" t="s">
        <v>169</v>
      </c>
    </row>
    <row r="11" spans="1:10">
      <c r="A11" s="50">
        <v>46216</v>
      </c>
      <c r="B11" s="51">
        <v>0.1283796296296296</v>
      </c>
      <c r="C11" t="s">
        <v>165</v>
      </c>
      <c r="D11" t="s">
        <v>35</v>
      </c>
      <c r="E11" t="s">
        <v>179</v>
      </c>
      <c r="F11" t="s">
        <v>180</v>
      </c>
      <c r="G11">
        <v>-75287</v>
      </c>
      <c r="H11" t="s">
        <v>162</v>
      </c>
      <c r="I11" t="s">
        <v>60</v>
      </c>
    </row>
    <row r="12" spans="1:10">
      <c r="A12" s="50">
        <v>46215</v>
      </c>
      <c r="B12" s="51">
        <v>0.9867592592592592</v>
      </c>
      <c r="C12" t="s">
        <v>158</v>
      </c>
      <c r="D12" t="s">
        <v>158</v>
      </c>
      <c r="E12" t="s">
        <v>160</v>
      </c>
      <c r="F12" t="s">
        <v>181</v>
      </c>
      <c r="G12">
        <v>1</v>
      </c>
      <c r="H12" t="s">
        <v>162</v>
      </c>
      <c r="I12" t="s">
        <v>60</v>
      </c>
    </row>
    <row r="13" spans="1:10">
      <c r="A13" s="50">
        <v>46213</v>
      </c>
      <c r="B13" s="51">
        <v>0.5415740740740741</v>
      </c>
      <c r="C13" t="s">
        <v>165</v>
      </c>
      <c r="D13" t="s">
        <v>44</v>
      </c>
      <c r="E13" t="s">
        <v>182</v>
      </c>
      <c r="F13" t="s">
        <v>183</v>
      </c>
      <c r="G13">
        <v>-40000</v>
      </c>
      <c r="H13" t="s">
        <v>162</v>
      </c>
      <c r="I13" t="s">
        <v>184</v>
      </c>
    </row>
    <row r="14" spans="1:10">
      <c r="A14" s="50">
        <v>46212</v>
      </c>
      <c r="B14" s="51">
        <v>0.7830787037037037</v>
      </c>
      <c r="C14" t="s">
        <v>165</v>
      </c>
      <c r="D14" t="s">
        <v>38</v>
      </c>
      <c r="E14" t="s">
        <v>166</v>
      </c>
      <c r="F14" t="s">
        <v>185</v>
      </c>
      <c r="G14">
        <v>-31800</v>
      </c>
      <c r="H14" t="s">
        <v>162</v>
      </c>
      <c r="I14" t="s">
        <v>184</v>
      </c>
    </row>
    <row r="15" spans="1:10">
      <c r="A15" s="50">
        <v>46212</v>
      </c>
      <c r="B15" s="51">
        <v>0.7554166666666666</v>
      </c>
      <c r="C15" t="s">
        <v>165</v>
      </c>
      <c r="D15" t="s">
        <v>38</v>
      </c>
      <c r="E15" t="s">
        <v>186</v>
      </c>
      <c r="F15" t="s">
        <v>187</v>
      </c>
      <c r="G15">
        <v>-80000</v>
      </c>
      <c r="H15" t="s">
        <v>162</v>
      </c>
      <c r="I15" t="s">
        <v>184</v>
      </c>
    </row>
    <row r="16" spans="1:10">
      <c r="A16" s="50">
        <v>46212</v>
      </c>
      <c r="B16" s="51">
        <v>0.5603587962962963</v>
      </c>
      <c r="C16" t="s">
        <v>158</v>
      </c>
      <c r="D16" t="s">
        <v>158</v>
      </c>
      <c r="E16" t="s">
        <v>160</v>
      </c>
      <c r="F16" t="s">
        <v>188</v>
      </c>
      <c r="G16">
        <v>17100</v>
      </c>
      <c r="H16" t="s">
        <v>162</v>
      </c>
      <c r="I16" t="s">
        <v>189</v>
      </c>
    </row>
    <row r="17" spans="1:9">
      <c r="A17" s="50">
        <v>46212</v>
      </c>
      <c r="B17" s="51">
        <v>0.5603125</v>
      </c>
      <c r="C17" t="s">
        <v>158</v>
      </c>
      <c r="D17" t="s">
        <v>158</v>
      </c>
      <c r="E17" t="s">
        <v>160</v>
      </c>
      <c r="F17" t="s">
        <v>190</v>
      </c>
      <c r="G17">
        <v>17100</v>
      </c>
      <c r="H17" t="s">
        <v>162</v>
      </c>
      <c r="I17" t="s">
        <v>189</v>
      </c>
    </row>
    <row r="18" spans="1:9">
      <c r="A18" s="50">
        <v>46212</v>
      </c>
      <c r="B18" s="51">
        <v>0.5602546296296296</v>
      </c>
      <c r="C18" t="s">
        <v>158</v>
      </c>
      <c r="D18" t="s">
        <v>158</v>
      </c>
      <c r="E18" t="s">
        <v>160</v>
      </c>
      <c r="F18" t="s">
        <v>191</v>
      </c>
      <c r="G18">
        <v>17100</v>
      </c>
      <c r="H18" t="s">
        <v>162</v>
      </c>
      <c r="I18" t="s">
        <v>189</v>
      </c>
    </row>
    <row r="19" spans="1:9">
      <c r="A19" s="50">
        <v>46212</v>
      </c>
      <c r="B19" s="51">
        <v>0.5601851851851852</v>
      </c>
      <c r="C19" t="s">
        <v>158</v>
      </c>
      <c r="D19" t="s">
        <v>158</v>
      </c>
      <c r="E19" t="s">
        <v>160</v>
      </c>
      <c r="F19" t="s">
        <v>192</v>
      </c>
      <c r="G19">
        <v>17100</v>
      </c>
      <c r="H19" t="s">
        <v>162</v>
      </c>
      <c r="I19" t="s">
        <v>189</v>
      </c>
    </row>
    <row r="20" spans="1:9">
      <c r="A20" s="50">
        <v>46212</v>
      </c>
      <c r="B20" s="51">
        <v>0.5307407407407407</v>
      </c>
      <c r="C20" t="s">
        <v>165</v>
      </c>
      <c r="D20" t="s">
        <v>46</v>
      </c>
      <c r="E20" t="s">
        <v>193</v>
      </c>
      <c r="F20" t="s">
        <v>194</v>
      </c>
      <c r="G20">
        <v>-12500</v>
      </c>
      <c r="H20" t="s">
        <v>162</v>
      </c>
      <c r="I20" t="s">
        <v>184</v>
      </c>
    </row>
    <row r="21" spans="1:9">
      <c r="A21" s="50">
        <v>46212</v>
      </c>
      <c r="B21" s="51">
        <v>0.5270370370370371</v>
      </c>
      <c r="C21" t="s">
        <v>165</v>
      </c>
      <c r="D21" t="s">
        <v>40</v>
      </c>
      <c r="E21" t="s">
        <v>195</v>
      </c>
      <c r="F21" t="s">
        <v>196</v>
      </c>
      <c r="G21">
        <v>-71000</v>
      </c>
      <c r="H21" t="s">
        <v>162</v>
      </c>
      <c r="I21" t="s">
        <v>184</v>
      </c>
    </row>
    <row r="22" spans="1:9">
      <c r="A22" s="50">
        <v>46210</v>
      </c>
      <c r="B22" s="51">
        <v>0.5875462962962963</v>
      </c>
      <c r="C22" t="s">
        <v>165</v>
      </c>
      <c r="D22" t="s">
        <v>44</v>
      </c>
      <c r="E22" t="s">
        <v>197</v>
      </c>
      <c r="F22" t="s">
        <v>198</v>
      </c>
      <c r="G22">
        <v>-50000</v>
      </c>
      <c r="H22" t="s">
        <v>162</v>
      </c>
      <c r="I22" t="s">
        <v>173</v>
      </c>
    </row>
    <row r="23" spans="1:9">
      <c r="A23" s="50">
        <v>46209</v>
      </c>
      <c r="B23" s="51">
        <v>0.6960763888888889</v>
      </c>
      <c r="C23" t="s">
        <v>165</v>
      </c>
      <c r="D23" t="s">
        <v>37</v>
      </c>
      <c r="E23" t="s">
        <v>199</v>
      </c>
      <c r="F23" t="s">
        <v>200</v>
      </c>
      <c r="G23">
        <v>-16000</v>
      </c>
      <c r="H23" t="s">
        <v>162</v>
      </c>
      <c r="I23" t="s">
        <v>184</v>
      </c>
    </row>
    <row r="24" spans="1:9">
      <c r="A24" s="50">
        <v>46206</v>
      </c>
      <c r="B24" s="51">
        <v>0.7636226851851852</v>
      </c>
      <c r="C24" t="s">
        <v>165</v>
      </c>
      <c r="D24" t="s">
        <v>33</v>
      </c>
      <c r="E24" t="s">
        <v>201</v>
      </c>
      <c r="F24" t="s">
        <v>202</v>
      </c>
      <c r="G24">
        <v>-30000</v>
      </c>
      <c r="H24" t="s">
        <v>162</v>
      </c>
      <c r="I24" t="s">
        <v>184</v>
      </c>
    </row>
    <row r="25" spans="1:9">
      <c r="A25" s="50">
        <v>46206</v>
      </c>
      <c r="B25" s="51">
        <v>0.5421875</v>
      </c>
      <c r="C25" t="s">
        <v>165</v>
      </c>
      <c r="D25" t="s">
        <v>44</v>
      </c>
      <c r="E25" t="s">
        <v>182</v>
      </c>
      <c r="F25" t="s">
        <v>183</v>
      </c>
      <c r="G25">
        <v>-50000</v>
      </c>
      <c r="H25" t="s">
        <v>162</v>
      </c>
      <c r="I25" t="s">
        <v>184</v>
      </c>
    </row>
    <row r="26" spans="1:9">
      <c r="A26" s="50">
        <v>46205</v>
      </c>
      <c r="B26" s="51">
        <v>0.5154166666666666</v>
      </c>
      <c r="C26" t="s">
        <v>165</v>
      </c>
      <c r="D26" t="s">
        <v>46</v>
      </c>
      <c r="E26" t="s">
        <v>193</v>
      </c>
      <c r="F26" t="s">
        <v>194</v>
      </c>
      <c r="G26">
        <v>-15000</v>
      </c>
      <c r="H26" t="s">
        <v>162</v>
      </c>
      <c r="I26" t="s">
        <v>184</v>
      </c>
    </row>
    <row r="27" spans="1:9">
      <c r="A27" s="50">
        <v>46205</v>
      </c>
      <c r="B27" s="51">
        <v>0.4585648148148148</v>
      </c>
      <c r="C27" t="s">
        <v>165</v>
      </c>
      <c r="D27" t="s">
        <v>35</v>
      </c>
      <c r="E27" t="s">
        <v>174</v>
      </c>
      <c r="F27" t="s">
        <v>203</v>
      </c>
      <c r="G27">
        <v>-1100</v>
      </c>
      <c r="H27" t="s">
        <v>162</v>
      </c>
      <c r="I27" t="s">
        <v>173</v>
      </c>
    </row>
    <row r="28" spans="1:9">
      <c r="A28" s="50">
        <v>46204</v>
      </c>
      <c r="B28" s="51">
        <v>0.4281481481481482</v>
      </c>
      <c r="C28" t="s">
        <v>158</v>
      </c>
      <c r="D28" t="s">
        <v>158</v>
      </c>
      <c r="E28" t="s">
        <v>160</v>
      </c>
      <c r="F28" t="s">
        <v>204</v>
      </c>
      <c r="G28">
        <v>-300000</v>
      </c>
      <c r="H28" t="s">
        <v>162</v>
      </c>
      <c r="I28" t="s">
        <v>60</v>
      </c>
    </row>
    <row r="29" spans="1:9">
      <c r="A29" s="50">
        <v>46203</v>
      </c>
      <c r="B29" s="51">
        <v>0.6354976851851852</v>
      </c>
      <c r="C29" t="s">
        <v>165</v>
      </c>
      <c r="D29" t="s">
        <v>45</v>
      </c>
      <c r="E29" t="s">
        <v>205</v>
      </c>
      <c r="F29" t="s">
        <v>206</v>
      </c>
      <c r="G29">
        <v>-229000</v>
      </c>
      <c r="H29" t="s">
        <v>162</v>
      </c>
      <c r="I29" t="s">
        <v>173</v>
      </c>
    </row>
    <row r="30" spans="1:9">
      <c r="A30" s="50">
        <v>46203</v>
      </c>
      <c r="B30" s="51">
        <v>0.5368402777777778</v>
      </c>
      <c r="C30" t="s">
        <v>207</v>
      </c>
      <c r="D30" t="s">
        <v>30</v>
      </c>
      <c r="E30" t="s">
        <v>160</v>
      </c>
      <c r="F30" t="s">
        <v>208</v>
      </c>
      <c r="G30">
        <v>1</v>
      </c>
      <c r="H30" t="s">
        <v>162</v>
      </c>
      <c r="I30" t="s">
        <v>60</v>
      </c>
    </row>
    <row r="31" spans="1:9">
      <c r="A31" s="50">
        <v>46203</v>
      </c>
      <c r="B31" s="51">
        <v>0.4614699074074074</v>
      </c>
      <c r="C31" t="s">
        <v>158</v>
      </c>
      <c r="D31" t="s">
        <v>159</v>
      </c>
      <c r="E31" t="s">
        <v>160</v>
      </c>
      <c r="F31" t="s">
        <v>209</v>
      </c>
      <c r="G31">
        <v>-100000</v>
      </c>
      <c r="H31" t="s">
        <v>162</v>
      </c>
      <c r="I31" t="s">
        <v>60</v>
      </c>
    </row>
    <row r="32" spans="1:9">
      <c r="A32" s="50">
        <v>46203</v>
      </c>
      <c r="B32" s="51">
        <v>0.4257060185185185</v>
      </c>
      <c r="C32" t="s">
        <v>158</v>
      </c>
      <c r="D32" t="s">
        <v>159</v>
      </c>
      <c r="E32" t="s">
        <v>160</v>
      </c>
      <c r="F32" t="s">
        <v>7</v>
      </c>
      <c r="G32">
        <v>-200000</v>
      </c>
      <c r="H32" t="s">
        <v>162</v>
      </c>
      <c r="I32" t="s">
        <v>57</v>
      </c>
    </row>
    <row r="33" spans="1:9">
      <c r="A33" s="50">
        <v>46203</v>
      </c>
      <c r="B33" s="51">
        <v>0.4257060185185185</v>
      </c>
      <c r="C33" t="s">
        <v>158</v>
      </c>
      <c r="D33" t="s">
        <v>159</v>
      </c>
      <c r="E33" t="s">
        <v>160</v>
      </c>
      <c r="F33" t="s">
        <v>7</v>
      </c>
      <c r="G33">
        <v>200000</v>
      </c>
      <c r="H33" t="s">
        <v>162</v>
      </c>
      <c r="I33" t="s">
        <v>60</v>
      </c>
    </row>
    <row r="34" spans="1:9">
      <c r="A34" s="50">
        <v>46201</v>
      </c>
      <c r="B34" s="51">
        <v>0.4438310185185185</v>
      </c>
      <c r="C34" t="s">
        <v>158</v>
      </c>
      <c r="D34" t="s">
        <v>160</v>
      </c>
      <c r="E34" t="s">
        <v>160</v>
      </c>
      <c r="F34" t="s">
        <v>210</v>
      </c>
      <c r="G34">
        <v>0</v>
      </c>
      <c r="H34" t="s">
        <v>162</v>
      </c>
      <c r="I34" t="s">
        <v>59</v>
      </c>
    </row>
    <row r="35" spans="1:9">
      <c r="A35" s="50">
        <v>46200</v>
      </c>
      <c r="B35" s="51">
        <v>0.1687615740740741</v>
      </c>
      <c r="C35" t="s">
        <v>207</v>
      </c>
      <c r="D35" t="s">
        <v>28</v>
      </c>
      <c r="E35" t="s">
        <v>160</v>
      </c>
      <c r="F35" t="s">
        <v>211</v>
      </c>
      <c r="G35">
        <v>0</v>
      </c>
      <c r="H35" t="s">
        <v>162</v>
      </c>
      <c r="I35" t="s">
        <v>58</v>
      </c>
    </row>
    <row r="36" spans="1:9">
      <c r="A36" s="50">
        <v>46199</v>
      </c>
      <c r="B36" s="51">
        <v>0.9651620370370371</v>
      </c>
      <c r="C36" t="s">
        <v>158</v>
      </c>
      <c r="D36" t="s">
        <v>158</v>
      </c>
      <c r="E36" t="s">
        <v>160</v>
      </c>
      <c r="F36" t="s">
        <v>212</v>
      </c>
      <c r="G36">
        <v>7500</v>
      </c>
      <c r="H36" t="s">
        <v>162</v>
      </c>
      <c r="I36" t="s">
        <v>60</v>
      </c>
    </row>
    <row r="37" spans="1:9">
      <c r="A37" s="50">
        <v>46199</v>
      </c>
      <c r="B37" s="51">
        <v>0.9215162037037037</v>
      </c>
      <c r="C37" t="s">
        <v>165</v>
      </c>
      <c r="D37" t="s">
        <v>34</v>
      </c>
      <c r="E37" t="s">
        <v>213</v>
      </c>
      <c r="F37" t="s">
        <v>214</v>
      </c>
      <c r="G37">
        <v>-30000</v>
      </c>
      <c r="H37" t="s">
        <v>162</v>
      </c>
      <c r="I37" t="s">
        <v>173</v>
      </c>
    </row>
    <row r="38" spans="1:9">
      <c r="A38" s="50">
        <v>46199</v>
      </c>
      <c r="B38" s="51">
        <v>0.6954398148148148</v>
      </c>
      <c r="C38" t="s">
        <v>158</v>
      </c>
      <c r="D38" t="s">
        <v>158</v>
      </c>
      <c r="E38" t="s">
        <v>160</v>
      </c>
      <c r="F38" t="s">
        <v>215</v>
      </c>
      <c r="G38">
        <v>-17800</v>
      </c>
      <c r="H38" t="s">
        <v>162</v>
      </c>
      <c r="I38" t="s">
        <v>60</v>
      </c>
    </row>
    <row r="39" spans="1:9">
      <c r="A39" s="50">
        <v>46198</v>
      </c>
      <c r="B39" s="51">
        <v>0.7339930555555556</v>
      </c>
      <c r="C39" t="s">
        <v>158</v>
      </c>
      <c r="D39" t="s">
        <v>216</v>
      </c>
      <c r="E39" t="s">
        <v>160</v>
      </c>
      <c r="F39" t="s">
        <v>217</v>
      </c>
      <c r="G39">
        <v>-1206960</v>
      </c>
      <c r="H39" t="s">
        <v>162</v>
      </c>
      <c r="I39" t="s">
        <v>60</v>
      </c>
    </row>
    <row r="40" spans="1:9">
      <c r="A40" s="50">
        <v>46198</v>
      </c>
      <c r="B40" s="51">
        <v>0.7335416666666666</v>
      </c>
      <c r="C40" t="s">
        <v>165</v>
      </c>
      <c r="D40" t="s">
        <v>35</v>
      </c>
      <c r="E40" t="s">
        <v>218</v>
      </c>
      <c r="F40" t="s">
        <v>219</v>
      </c>
      <c r="G40">
        <v>-36120</v>
      </c>
      <c r="H40" t="s">
        <v>162</v>
      </c>
      <c r="I40" t="s">
        <v>60</v>
      </c>
    </row>
    <row r="41" spans="1:9">
      <c r="A41" s="50">
        <v>46198</v>
      </c>
      <c r="B41" s="51">
        <v>0.4077083333333333</v>
      </c>
      <c r="C41" t="s">
        <v>158</v>
      </c>
      <c r="D41" t="s">
        <v>159</v>
      </c>
      <c r="E41" t="s">
        <v>160</v>
      </c>
      <c r="F41" t="s">
        <v>7</v>
      </c>
      <c r="G41">
        <v>58100</v>
      </c>
      <c r="H41" t="s">
        <v>162</v>
      </c>
      <c r="I41" t="s">
        <v>60</v>
      </c>
    </row>
    <row r="42" spans="1:9">
      <c r="A42" s="50">
        <v>46198</v>
      </c>
      <c r="B42" s="51">
        <v>0.4076967592592592</v>
      </c>
      <c r="C42" t="s">
        <v>158</v>
      </c>
      <c r="D42" t="s">
        <v>159</v>
      </c>
      <c r="E42" t="s">
        <v>160</v>
      </c>
      <c r="F42" t="s">
        <v>220</v>
      </c>
      <c r="G42">
        <v>-58100</v>
      </c>
      <c r="H42" t="s">
        <v>162</v>
      </c>
      <c r="I42" t="s">
        <v>189</v>
      </c>
    </row>
    <row r="43" spans="1:9">
      <c r="A43" s="50">
        <v>46198</v>
      </c>
      <c r="B43" s="51">
        <v>0.4064699074074074</v>
      </c>
      <c r="C43" t="s">
        <v>165</v>
      </c>
      <c r="D43" t="s">
        <v>35</v>
      </c>
      <c r="E43" t="s">
        <v>221</v>
      </c>
      <c r="F43" t="s">
        <v>222</v>
      </c>
      <c r="G43">
        <v>-3000000</v>
      </c>
      <c r="H43" t="s">
        <v>162</v>
      </c>
      <c r="I43" t="s">
        <v>60</v>
      </c>
    </row>
    <row r="44" spans="1:9">
      <c r="A44" s="50">
        <v>46198</v>
      </c>
      <c r="B44" s="51">
        <v>0.3807060185185185</v>
      </c>
      <c r="C44" t="s">
        <v>207</v>
      </c>
      <c r="D44" t="s">
        <v>29</v>
      </c>
      <c r="E44" t="s">
        <v>160</v>
      </c>
      <c r="F44" t="s">
        <v>223</v>
      </c>
      <c r="G44">
        <v>4490675</v>
      </c>
      <c r="H44" t="s">
        <v>162</v>
      </c>
      <c r="I44" t="s">
        <v>60</v>
      </c>
    </row>
    <row r="45" spans="1:9">
      <c r="A45" s="50">
        <v>46197</v>
      </c>
      <c r="B45" s="51">
        <v>0.7765856481481481</v>
      </c>
      <c r="C45" t="s">
        <v>165</v>
      </c>
      <c r="D45" t="s">
        <v>45</v>
      </c>
      <c r="E45" t="s">
        <v>224</v>
      </c>
      <c r="F45" t="s">
        <v>225</v>
      </c>
      <c r="G45">
        <v>-210840</v>
      </c>
      <c r="H45" t="s">
        <v>162</v>
      </c>
      <c r="I45" t="s">
        <v>173</v>
      </c>
    </row>
    <row r="46" spans="1:9">
      <c r="A46" s="50">
        <v>46197</v>
      </c>
      <c r="B46" s="51">
        <v>0.676400462962963</v>
      </c>
      <c r="C46" t="s">
        <v>158</v>
      </c>
      <c r="D46" t="s">
        <v>158</v>
      </c>
      <c r="E46" t="s">
        <v>160</v>
      </c>
      <c r="F46" t="s">
        <v>190</v>
      </c>
      <c r="G46">
        <v>15500</v>
      </c>
      <c r="H46" t="s">
        <v>162</v>
      </c>
      <c r="I46" t="s">
        <v>189</v>
      </c>
    </row>
    <row r="47" spans="1:9">
      <c r="A47" s="50">
        <v>46197</v>
      </c>
      <c r="B47" s="51">
        <v>0.6199768518518518</v>
      </c>
      <c r="C47" t="s">
        <v>158</v>
      </c>
      <c r="D47" t="s">
        <v>158</v>
      </c>
      <c r="E47" t="s">
        <v>160</v>
      </c>
      <c r="F47" t="s">
        <v>226</v>
      </c>
      <c r="G47">
        <v>14200</v>
      </c>
      <c r="H47" t="s">
        <v>162</v>
      </c>
      <c r="I47" t="s">
        <v>189</v>
      </c>
    </row>
    <row r="48" spans="1:9">
      <c r="A48" s="50">
        <v>46197</v>
      </c>
      <c r="B48" s="51">
        <v>0.5730902777777778</v>
      </c>
      <c r="C48" t="s">
        <v>158</v>
      </c>
      <c r="D48" t="s">
        <v>158</v>
      </c>
      <c r="E48" t="s">
        <v>160</v>
      </c>
      <c r="F48" t="s">
        <v>188</v>
      </c>
      <c r="G48">
        <v>14200</v>
      </c>
      <c r="H48" t="s">
        <v>162</v>
      </c>
      <c r="I48" t="s">
        <v>189</v>
      </c>
    </row>
    <row r="49" spans="1:9">
      <c r="A49" s="50">
        <v>46197</v>
      </c>
      <c r="B49" s="51">
        <v>0.5729513888888889</v>
      </c>
      <c r="C49" t="s">
        <v>158</v>
      </c>
      <c r="D49" t="s">
        <v>158</v>
      </c>
      <c r="E49" t="s">
        <v>160</v>
      </c>
      <c r="F49" t="s">
        <v>191</v>
      </c>
      <c r="G49">
        <v>14200</v>
      </c>
      <c r="H49" t="s">
        <v>162</v>
      </c>
      <c r="I49" t="s">
        <v>189</v>
      </c>
    </row>
    <row r="50" spans="1:9">
      <c r="A50" s="50">
        <v>46195</v>
      </c>
      <c r="B50" s="51">
        <v>0.4048726851851852</v>
      </c>
      <c r="C50" t="s">
        <v>165</v>
      </c>
      <c r="D50" t="s">
        <v>45</v>
      </c>
      <c r="E50" t="s">
        <v>227</v>
      </c>
      <c r="F50" t="s">
        <v>228</v>
      </c>
      <c r="G50">
        <v>-32900</v>
      </c>
      <c r="H50" t="s">
        <v>162</v>
      </c>
      <c r="I50" t="s">
        <v>57</v>
      </c>
    </row>
    <row r="51" spans="1:9">
      <c r="A51" s="50">
        <v>46195</v>
      </c>
      <c r="B51" s="51">
        <v>0.150474537037037</v>
      </c>
      <c r="C51" t="s">
        <v>165</v>
      </c>
      <c r="D51" t="s">
        <v>35</v>
      </c>
      <c r="E51" t="s">
        <v>218</v>
      </c>
      <c r="F51" t="s">
        <v>229</v>
      </c>
      <c r="G51">
        <v>-35950</v>
      </c>
      <c r="H51" t="s">
        <v>162</v>
      </c>
      <c r="I51" t="s">
        <v>60</v>
      </c>
    </row>
    <row r="52" spans="1:9">
      <c r="A52" s="50">
        <v>46193</v>
      </c>
      <c r="B52" s="51">
        <v>0.4857291666666667</v>
      </c>
      <c r="C52" t="s">
        <v>207</v>
      </c>
      <c r="D52" t="s">
        <v>28</v>
      </c>
      <c r="E52" t="s">
        <v>160</v>
      </c>
      <c r="F52" t="s">
        <v>230</v>
      </c>
      <c r="G52">
        <v>232</v>
      </c>
      <c r="H52" t="s">
        <v>162</v>
      </c>
      <c r="I52" t="s">
        <v>60</v>
      </c>
    </row>
    <row r="53" spans="1:9">
      <c r="A53" s="50">
        <v>46192</v>
      </c>
      <c r="B53" s="51">
        <v>0.5821875</v>
      </c>
      <c r="C53" t="s">
        <v>165</v>
      </c>
      <c r="D53" t="s">
        <v>35</v>
      </c>
      <c r="E53" t="s">
        <v>231</v>
      </c>
      <c r="F53" t="s">
        <v>232</v>
      </c>
      <c r="G53">
        <v>-12000</v>
      </c>
      <c r="H53" t="s">
        <v>162</v>
      </c>
      <c r="I53" t="s">
        <v>189</v>
      </c>
    </row>
    <row r="54" spans="1:9">
      <c r="A54" s="50">
        <v>46192</v>
      </c>
      <c r="B54" s="51">
        <v>0.5821759259259259</v>
      </c>
      <c r="C54" t="s">
        <v>158</v>
      </c>
      <c r="D54" t="s">
        <v>159</v>
      </c>
      <c r="E54" t="s">
        <v>160</v>
      </c>
      <c r="F54" t="s">
        <v>233</v>
      </c>
      <c r="G54">
        <v>-11998</v>
      </c>
      <c r="H54" t="s">
        <v>162</v>
      </c>
      <c r="I54" t="s">
        <v>60</v>
      </c>
    </row>
    <row r="55" spans="1:9">
      <c r="A55" s="50">
        <v>46192</v>
      </c>
      <c r="B55" s="51">
        <v>0.5821759259259259</v>
      </c>
      <c r="C55" t="s">
        <v>158</v>
      </c>
      <c r="D55" t="s">
        <v>159</v>
      </c>
      <c r="E55" t="s">
        <v>160</v>
      </c>
      <c r="F55" t="s">
        <v>220</v>
      </c>
      <c r="G55">
        <v>11998</v>
      </c>
      <c r="H55" t="s">
        <v>162</v>
      </c>
      <c r="I55" t="s">
        <v>189</v>
      </c>
    </row>
    <row r="56" spans="1:9">
      <c r="A56" s="50">
        <v>46192</v>
      </c>
      <c r="B56" s="51">
        <v>0.5579166666666666</v>
      </c>
      <c r="C56" t="s">
        <v>165</v>
      </c>
      <c r="D56" t="s">
        <v>44</v>
      </c>
      <c r="E56" t="s">
        <v>182</v>
      </c>
      <c r="F56" t="s">
        <v>183</v>
      </c>
      <c r="G56">
        <v>-40000</v>
      </c>
      <c r="H56" t="s">
        <v>162</v>
      </c>
      <c r="I56" t="s">
        <v>184</v>
      </c>
    </row>
    <row r="57" spans="1:9">
      <c r="A57" s="50">
        <v>46191</v>
      </c>
      <c r="B57" s="51">
        <v>0.5164930555555556</v>
      </c>
      <c r="C57" t="s">
        <v>165</v>
      </c>
      <c r="D57" t="s">
        <v>46</v>
      </c>
      <c r="E57" t="s">
        <v>193</v>
      </c>
      <c r="F57" t="s">
        <v>194</v>
      </c>
      <c r="G57">
        <v>-12500</v>
      </c>
      <c r="H57" t="s">
        <v>162</v>
      </c>
      <c r="I57" t="s">
        <v>184</v>
      </c>
    </row>
    <row r="58" spans="1:9">
      <c r="A58" s="50">
        <v>46189</v>
      </c>
      <c r="B58" s="51">
        <v>0.838912037037037</v>
      </c>
      <c r="C58" t="s">
        <v>165</v>
      </c>
      <c r="D58" t="s">
        <v>46</v>
      </c>
      <c r="E58" t="s">
        <v>193</v>
      </c>
      <c r="F58" t="s">
        <v>234</v>
      </c>
      <c r="G58">
        <v>-8200</v>
      </c>
      <c r="H58" t="s">
        <v>162</v>
      </c>
      <c r="I58" t="s">
        <v>184</v>
      </c>
    </row>
    <row r="59" spans="1:9">
      <c r="A59" s="50">
        <v>46188</v>
      </c>
      <c r="B59" s="51">
        <v>0.4150462962962963</v>
      </c>
      <c r="C59" t="s">
        <v>165</v>
      </c>
      <c r="D59" t="s">
        <v>42</v>
      </c>
      <c r="E59" t="s">
        <v>171</v>
      </c>
      <c r="F59" t="s">
        <v>172</v>
      </c>
      <c r="G59">
        <v>-4000</v>
      </c>
      <c r="H59" t="s">
        <v>162</v>
      </c>
      <c r="I59" t="s">
        <v>173</v>
      </c>
    </row>
    <row r="60" spans="1:9">
      <c r="A60" s="50">
        <v>46185</v>
      </c>
      <c r="B60" s="51">
        <v>0.5197337962962963</v>
      </c>
      <c r="C60" t="s">
        <v>165</v>
      </c>
      <c r="D60" t="s">
        <v>46</v>
      </c>
      <c r="E60" t="s">
        <v>193</v>
      </c>
      <c r="F60" t="s">
        <v>194</v>
      </c>
      <c r="G60">
        <v>-7500</v>
      </c>
      <c r="H60" t="s">
        <v>162</v>
      </c>
      <c r="I60" t="s">
        <v>184</v>
      </c>
    </row>
    <row r="61" spans="1:9">
      <c r="A61" s="50">
        <v>46184</v>
      </c>
      <c r="B61" s="51">
        <v>0.1271643518518518</v>
      </c>
      <c r="C61" t="s">
        <v>165</v>
      </c>
      <c r="D61" t="s">
        <v>35</v>
      </c>
      <c r="E61" t="s">
        <v>179</v>
      </c>
      <c r="F61" t="s">
        <v>180</v>
      </c>
      <c r="G61">
        <v>-77797</v>
      </c>
      <c r="H61" t="s">
        <v>162</v>
      </c>
      <c r="I61" t="s">
        <v>60</v>
      </c>
    </row>
    <row r="62" spans="1:9">
      <c r="A62" s="50">
        <v>46183</v>
      </c>
      <c r="B62" s="51">
        <v>0.5411342592592593</v>
      </c>
      <c r="C62" t="s">
        <v>165</v>
      </c>
      <c r="D62" t="s">
        <v>44</v>
      </c>
      <c r="E62" t="s">
        <v>182</v>
      </c>
      <c r="F62" t="s">
        <v>183</v>
      </c>
      <c r="G62">
        <v>-60000</v>
      </c>
      <c r="H62" t="s">
        <v>162</v>
      </c>
      <c r="I62" t="s">
        <v>184</v>
      </c>
    </row>
    <row r="63" spans="1:9">
      <c r="A63" s="50">
        <v>46178</v>
      </c>
      <c r="B63" s="51">
        <v>0.5541319444444445</v>
      </c>
      <c r="C63" t="s">
        <v>158</v>
      </c>
      <c r="D63" t="s">
        <v>158</v>
      </c>
      <c r="E63" t="s">
        <v>160</v>
      </c>
      <c r="F63" t="s">
        <v>233</v>
      </c>
      <c r="G63">
        <v>-12500</v>
      </c>
      <c r="H63" t="s">
        <v>162</v>
      </c>
      <c r="I63" t="s">
        <v>60</v>
      </c>
    </row>
    <row r="64" spans="1:9">
      <c r="A64" s="50">
        <v>46177</v>
      </c>
      <c r="B64" s="51">
        <v>0.8391550925925926</v>
      </c>
      <c r="C64" t="s">
        <v>165</v>
      </c>
      <c r="D64" t="s">
        <v>46</v>
      </c>
      <c r="E64" t="s">
        <v>235</v>
      </c>
      <c r="F64" t="s">
        <v>236</v>
      </c>
      <c r="G64">
        <v>-4400</v>
      </c>
      <c r="H64" t="s">
        <v>162</v>
      </c>
      <c r="I64" t="s">
        <v>184</v>
      </c>
    </row>
    <row r="65" spans="1:9">
      <c r="A65" s="50">
        <v>46177</v>
      </c>
      <c r="B65" s="51">
        <v>0.7535185185185185</v>
      </c>
      <c r="C65" t="s">
        <v>165</v>
      </c>
      <c r="D65" t="s">
        <v>38</v>
      </c>
      <c r="E65" t="s">
        <v>186</v>
      </c>
      <c r="F65" t="s">
        <v>187</v>
      </c>
      <c r="G65">
        <v>-160000</v>
      </c>
      <c r="H65" t="s">
        <v>162</v>
      </c>
      <c r="I65" t="s">
        <v>184</v>
      </c>
    </row>
    <row r="66" spans="1:9">
      <c r="A66" s="50">
        <v>46177</v>
      </c>
      <c r="B66" s="51">
        <v>0.5472916666666666</v>
      </c>
      <c r="C66" t="s">
        <v>165</v>
      </c>
      <c r="D66" t="s">
        <v>35</v>
      </c>
      <c r="E66" t="s">
        <v>231</v>
      </c>
      <c r="F66" t="s">
        <v>232</v>
      </c>
      <c r="G66">
        <v>-290000</v>
      </c>
      <c r="H66" t="s">
        <v>162</v>
      </c>
      <c r="I66" t="s">
        <v>189</v>
      </c>
    </row>
    <row r="67" spans="1:9">
      <c r="A67" s="50">
        <v>46177</v>
      </c>
      <c r="B67" s="51">
        <v>0.5472800925925926</v>
      </c>
      <c r="C67" t="s">
        <v>158</v>
      </c>
      <c r="D67" t="s">
        <v>159</v>
      </c>
      <c r="E67" t="s">
        <v>160</v>
      </c>
      <c r="F67" t="s">
        <v>233</v>
      </c>
      <c r="G67">
        <v>-280199</v>
      </c>
      <c r="H67" t="s">
        <v>162</v>
      </c>
      <c r="I67" t="s">
        <v>60</v>
      </c>
    </row>
    <row r="68" spans="1:9">
      <c r="A68" s="50">
        <v>46177</v>
      </c>
      <c r="B68" s="51">
        <v>0.5472800925925926</v>
      </c>
      <c r="C68" t="s">
        <v>158</v>
      </c>
      <c r="D68" t="s">
        <v>159</v>
      </c>
      <c r="E68" t="s">
        <v>160</v>
      </c>
      <c r="F68" t="s">
        <v>220</v>
      </c>
      <c r="G68">
        <v>280199</v>
      </c>
      <c r="H68" t="s">
        <v>162</v>
      </c>
      <c r="I68" t="s">
        <v>189</v>
      </c>
    </row>
    <row r="69" spans="1:9">
      <c r="A69" s="50">
        <v>46177</v>
      </c>
      <c r="B69" s="51">
        <v>0.5276851851851851</v>
      </c>
      <c r="C69" t="s">
        <v>158</v>
      </c>
      <c r="D69" t="s">
        <v>158</v>
      </c>
      <c r="E69" t="s">
        <v>160</v>
      </c>
      <c r="F69" t="s">
        <v>170</v>
      </c>
      <c r="G69">
        <v>290000</v>
      </c>
      <c r="H69" t="s">
        <v>162</v>
      </c>
      <c r="I69" t="s">
        <v>60</v>
      </c>
    </row>
    <row r="70" spans="1:9">
      <c r="A70" s="50">
        <v>46175</v>
      </c>
      <c r="B70" s="51">
        <v>0.8485069444444444</v>
      </c>
      <c r="C70" t="s">
        <v>165</v>
      </c>
      <c r="D70" t="s">
        <v>43</v>
      </c>
      <c r="E70" t="s">
        <v>237</v>
      </c>
      <c r="F70" t="s">
        <v>238</v>
      </c>
      <c r="G70">
        <v>-52900</v>
      </c>
      <c r="H70" t="s">
        <v>162</v>
      </c>
      <c r="I70" t="s">
        <v>176</v>
      </c>
    </row>
    <row r="71" spans="1:9">
      <c r="A71" s="50">
        <v>46175</v>
      </c>
      <c r="B71" s="51">
        <v>0.4848726851851852</v>
      </c>
      <c r="C71" t="s">
        <v>165</v>
      </c>
      <c r="D71" t="s">
        <v>35</v>
      </c>
      <c r="E71" t="s">
        <v>174</v>
      </c>
      <c r="F71" t="s">
        <v>203</v>
      </c>
      <c r="G71">
        <v>-1100</v>
      </c>
      <c r="H71" t="s">
        <v>162</v>
      </c>
      <c r="I71" t="s">
        <v>173</v>
      </c>
    </row>
    <row r="72" spans="1:9">
      <c r="A72" s="50">
        <v>46174</v>
      </c>
      <c r="B72" s="51">
        <v>0.5146296296296297</v>
      </c>
      <c r="C72" t="s">
        <v>165</v>
      </c>
      <c r="D72" t="s">
        <v>46</v>
      </c>
      <c r="E72" t="s">
        <v>193</v>
      </c>
      <c r="F72" t="s">
        <v>194</v>
      </c>
      <c r="G72">
        <v>-10000</v>
      </c>
      <c r="H72" t="s">
        <v>162</v>
      </c>
      <c r="I72" t="s">
        <v>184</v>
      </c>
    </row>
    <row r="73" spans="1:9">
      <c r="A73" s="50">
        <v>46174</v>
      </c>
      <c r="B73" s="51">
        <v>0.4290046296296297</v>
      </c>
      <c r="C73" t="s">
        <v>158</v>
      </c>
      <c r="D73" t="s">
        <v>158</v>
      </c>
      <c r="E73" t="s">
        <v>160</v>
      </c>
      <c r="F73" t="s">
        <v>204</v>
      </c>
      <c r="G73">
        <v>-300000</v>
      </c>
      <c r="H73" t="s">
        <v>162</v>
      </c>
      <c r="I73" t="s">
        <v>60</v>
      </c>
    </row>
    <row r="74" spans="1:9">
      <c r="A74" s="50">
        <v>46171</v>
      </c>
      <c r="B74" s="51">
        <v>0.8625231481481481</v>
      </c>
      <c r="C74" t="s">
        <v>158</v>
      </c>
      <c r="D74" t="s">
        <v>158</v>
      </c>
      <c r="E74" t="s">
        <v>160</v>
      </c>
      <c r="F74" t="s">
        <v>170</v>
      </c>
      <c r="G74">
        <v>100000</v>
      </c>
      <c r="H74" t="s">
        <v>162</v>
      </c>
      <c r="I74" t="s">
        <v>60</v>
      </c>
    </row>
    <row r="75" spans="1:9">
      <c r="A75" s="50">
        <v>46171</v>
      </c>
      <c r="B75" s="51">
        <v>0.8100578703703704</v>
      </c>
      <c r="C75" t="s">
        <v>165</v>
      </c>
      <c r="D75" t="s">
        <v>42</v>
      </c>
      <c r="E75" t="s">
        <v>171</v>
      </c>
      <c r="F75" t="s">
        <v>239</v>
      </c>
      <c r="G75">
        <v>-1000</v>
      </c>
      <c r="H75" t="s">
        <v>162</v>
      </c>
      <c r="I75" t="s">
        <v>240</v>
      </c>
    </row>
    <row r="76" spans="1:9">
      <c r="A76" s="50">
        <v>46171</v>
      </c>
      <c r="B76" s="51">
        <v>0.8099652777777778</v>
      </c>
      <c r="C76" t="s">
        <v>158</v>
      </c>
      <c r="D76" t="s">
        <v>158</v>
      </c>
      <c r="E76" t="s">
        <v>160</v>
      </c>
      <c r="F76" t="s">
        <v>233</v>
      </c>
      <c r="G76">
        <v>-10000</v>
      </c>
      <c r="H76" t="s">
        <v>162</v>
      </c>
      <c r="I76" t="s">
        <v>60</v>
      </c>
    </row>
    <row r="77" spans="1:9">
      <c r="A77" s="50">
        <v>46171</v>
      </c>
      <c r="B77" s="51">
        <v>0.6317592592592592</v>
      </c>
      <c r="C77" t="s">
        <v>165</v>
      </c>
      <c r="D77" t="s">
        <v>45</v>
      </c>
      <c r="E77" t="s">
        <v>205</v>
      </c>
      <c r="F77" t="s">
        <v>206</v>
      </c>
      <c r="G77">
        <v>-229000</v>
      </c>
      <c r="H77" t="s">
        <v>162</v>
      </c>
      <c r="I77" t="s">
        <v>173</v>
      </c>
    </row>
    <row r="78" spans="1:9">
      <c r="A78" s="50">
        <v>46169</v>
      </c>
      <c r="B78" s="51">
        <v>0.5166087962962963</v>
      </c>
      <c r="C78" t="s">
        <v>165</v>
      </c>
      <c r="D78" t="s">
        <v>46</v>
      </c>
      <c r="E78" t="s">
        <v>193</v>
      </c>
      <c r="F78" t="s">
        <v>241</v>
      </c>
      <c r="G78">
        <v>-12500</v>
      </c>
      <c r="H78" t="s">
        <v>162</v>
      </c>
      <c r="I78" t="s">
        <v>173</v>
      </c>
    </row>
    <row r="79" spans="1:9">
      <c r="A79" s="50">
        <v>46169</v>
      </c>
      <c r="B79" s="51">
        <v>0.4589467592592593</v>
      </c>
      <c r="C79" t="s">
        <v>158</v>
      </c>
      <c r="D79" t="s">
        <v>159</v>
      </c>
      <c r="E79" t="s">
        <v>160</v>
      </c>
      <c r="F79" t="s">
        <v>209</v>
      </c>
      <c r="G79">
        <v>-500000</v>
      </c>
      <c r="H79" t="s">
        <v>162</v>
      </c>
      <c r="I79" t="s">
        <v>60</v>
      </c>
    </row>
    <row r="80" spans="1:9">
      <c r="A80" s="50">
        <v>46168</v>
      </c>
      <c r="B80" s="51">
        <v>0.7810995370370371</v>
      </c>
      <c r="C80" t="s">
        <v>165</v>
      </c>
      <c r="D80" t="s">
        <v>45</v>
      </c>
      <c r="E80" t="s">
        <v>224</v>
      </c>
      <c r="F80" t="s">
        <v>225</v>
      </c>
      <c r="G80">
        <v>-200070</v>
      </c>
      <c r="H80" t="s">
        <v>162</v>
      </c>
      <c r="I80" t="s">
        <v>173</v>
      </c>
    </row>
    <row r="81" spans="1:9">
      <c r="A81" s="50">
        <v>46168</v>
      </c>
      <c r="B81" s="51">
        <v>0.7107986111111111</v>
      </c>
      <c r="C81" t="s">
        <v>158</v>
      </c>
      <c r="D81" t="s">
        <v>158</v>
      </c>
      <c r="E81" t="s">
        <v>160</v>
      </c>
      <c r="F81" t="s">
        <v>215</v>
      </c>
      <c r="G81">
        <v>-17800</v>
      </c>
      <c r="H81" t="s">
        <v>162</v>
      </c>
      <c r="I81" t="s">
        <v>60</v>
      </c>
    </row>
    <row r="82" spans="1:9">
      <c r="A82" s="50">
        <v>46168</v>
      </c>
      <c r="B82" s="51">
        <v>0.1334953703703704</v>
      </c>
      <c r="C82" t="s">
        <v>165</v>
      </c>
      <c r="D82" t="s">
        <v>35</v>
      </c>
      <c r="E82" t="s">
        <v>218</v>
      </c>
      <c r="F82" t="s">
        <v>219</v>
      </c>
      <c r="G82">
        <v>-36120</v>
      </c>
      <c r="H82" t="s">
        <v>162</v>
      </c>
      <c r="I82" t="s">
        <v>60</v>
      </c>
    </row>
    <row r="83" spans="1:9">
      <c r="A83" s="50">
        <v>46167</v>
      </c>
      <c r="B83" s="51">
        <v>0.7279629629629629</v>
      </c>
      <c r="C83" t="s">
        <v>165</v>
      </c>
      <c r="D83" t="s">
        <v>38</v>
      </c>
      <c r="E83" t="s">
        <v>166</v>
      </c>
      <c r="F83" t="s">
        <v>242</v>
      </c>
      <c r="G83">
        <v>-5680</v>
      </c>
      <c r="H83" t="s">
        <v>162</v>
      </c>
      <c r="I83" t="s">
        <v>173</v>
      </c>
    </row>
    <row r="84" spans="1:9">
      <c r="A84" s="50">
        <v>46165</v>
      </c>
      <c r="B84" s="51">
        <v>0.1481828703703704</v>
      </c>
      <c r="C84" t="s">
        <v>207</v>
      </c>
      <c r="D84" t="s">
        <v>28</v>
      </c>
      <c r="E84" t="s">
        <v>160</v>
      </c>
      <c r="F84" t="s">
        <v>211</v>
      </c>
      <c r="G84">
        <v>0</v>
      </c>
      <c r="H84" t="s">
        <v>162</v>
      </c>
      <c r="I84" t="s">
        <v>58</v>
      </c>
    </row>
    <row r="85" spans="1:9">
      <c r="A85" s="50">
        <v>46164</v>
      </c>
      <c r="B85" s="51">
        <v>0.8561226851851852</v>
      </c>
      <c r="C85" t="s">
        <v>165</v>
      </c>
      <c r="D85" t="s">
        <v>40</v>
      </c>
      <c r="E85" t="s">
        <v>243</v>
      </c>
      <c r="F85" t="s">
        <v>244</v>
      </c>
      <c r="G85">
        <v>-119000</v>
      </c>
      <c r="H85" t="s">
        <v>162</v>
      </c>
      <c r="I85" t="s">
        <v>173</v>
      </c>
    </row>
    <row r="86" spans="1:9">
      <c r="A86" s="50">
        <v>46164</v>
      </c>
      <c r="B86" s="51">
        <v>0.7616435185185185</v>
      </c>
      <c r="C86" t="s">
        <v>165</v>
      </c>
      <c r="D86" t="s">
        <v>46</v>
      </c>
      <c r="E86" t="s">
        <v>245</v>
      </c>
      <c r="F86" t="s">
        <v>246</v>
      </c>
      <c r="G86">
        <v>-80000</v>
      </c>
      <c r="H86" t="s">
        <v>162</v>
      </c>
      <c r="I86" t="s">
        <v>173</v>
      </c>
    </row>
    <row r="87" spans="1:9">
      <c r="A87" s="50">
        <v>46164</v>
      </c>
      <c r="B87" s="51">
        <v>0.7598263888888889</v>
      </c>
      <c r="C87" t="s">
        <v>165</v>
      </c>
      <c r="D87" t="s">
        <v>42</v>
      </c>
      <c r="E87" t="s">
        <v>247</v>
      </c>
      <c r="F87" t="s">
        <v>248</v>
      </c>
      <c r="G87">
        <v>-66030</v>
      </c>
      <c r="H87" t="s">
        <v>162</v>
      </c>
      <c r="I87" t="s">
        <v>60</v>
      </c>
    </row>
    <row r="88" spans="1:9">
      <c r="A88" s="50">
        <v>46164</v>
      </c>
      <c r="B88" s="51">
        <v>0.7395023148148148</v>
      </c>
      <c r="C88" t="s">
        <v>165</v>
      </c>
      <c r="D88" t="s">
        <v>44</v>
      </c>
      <c r="E88" t="s">
        <v>182</v>
      </c>
      <c r="F88" t="s">
        <v>183</v>
      </c>
      <c r="G88">
        <v>-50000</v>
      </c>
      <c r="H88" t="s">
        <v>162</v>
      </c>
      <c r="I88" t="s">
        <v>184</v>
      </c>
    </row>
    <row r="89" spans="1:9">
      <c r="A89" s="50">
        <v>46164</v>
      </c>
      <c r="B89" s="51">
        <v>0.5174421296296297</v>
      </c>
      <c r="C89" t="s">
        <v>165</v>
      </c>
      <c r="D89" t="s">
        <v>46</v>
      </c>
      <c r="E89" t="s">
        <v>193</v>
      </c>
      <c r="F89" t="s">
        <v>194</v>
      </c>
      <c r="G89">
        <v>-12500</v>
      </c>
      <c r="H89" t="s">
        <v>162</v>
      </c>
      <c r="I89" t="s">
        <v>184</v>
      </c>
    </row>
    <row r="90" spans="1:9">
      <c r="A90" s="50">
        <v>46164</v>
      </c>
      <c r="B90" s="51">
        <v>0.4873726851851852</v>
      </c>
      <c r="C90" t="s">
        <v>165</v>
      </c>
      <c r="D90" t="s">
        <v>35</v>
      </c>
      <c r="E90" t="s">
        <v>221</v>
      </c>
      <c r="F90" t="s">
        <v>222</v>
      </c>
      <c r="G90">
        <v>-2500000</v>
      </c>
      <c r="H90" t="s">
        <v>162</v>
      </c>
      <c r="I90" t="s">
        <v>60</v>
      </c>
    </row>
    <row r="91" spans="1:9">
      <c r="A91" s="50">
        <v>46164</v>
      </c>
      <c r="B91" s="51">
        <v>0.4842245370370371</v>
      </c>
      <c r="C91" t="s">
        <v>158</v>
      </c>
      <c r="D91" t="s">
        <v>216</v>
      </c>
      <c r="E91" t="s">
        <v>160</v>
      </c>
      <c r="F91" t="s">
        <v>217</v>
      </c>
      <c r="G91">
        <v>-1261948</v>
      </c>
      <c r="H91" t="s">
        <v>162</v>
      </c>
      <c r="I91" t="s">
        <v>60</v>
      </c>
    </row>
    <row r="92" spans="1:9">
      <c r="A92" s="50">
        <v>46164</v>
      </c>
      <c r="B92" s="51">
        <v>0.3806365740740741</v>
      </c>
      <c r="C92" t="s">
        <v>207</v>
      </c>
      <c r="D92" t="s">
        <v>29</v>
      </c>
      <c r="E92" t="s">
        <v>160</v>
      </c>
      <c r="F92" t="s">
        <v>223</v>
      </c>
      <c r="G92">
        <v>4478364</v>
      </c>
      <c r="H92" t="s">
        <v>162</v>
      </c>
      <c r="I92" t="s">
        <v>60</v>
      </c>
    </row>
    <row r="93" spans="1:9">
      <c r="A93" s="50">
        <v>46163</v>
      </c>
      <c r="B93" s="51">
        <v>0.4073842592592593</v>
      </c>
      <c r="C93" t="s">
        <v>165</v>
      </c>
      <c r="D93" t="s">
        <v>45</v>
      </c>
      <c r="E93" t="s">
        <v>227</v>
      </c>
      <c r="F93" t="s">
        <v>228</v>
      </c>
      <c r="G93">
        <v>-32900</v>
      </c>
      <c r="H93" t="s">
        <v>162</v>
      </c>
      <c r="I93" t="s">
        <v>57</v>
      </c>
    </row>
    <row r="94" spans="1:9">
      <c r="A94" s="50">
        <v>46163</v>
      </c>
      <c r="B94" s="51">
        <v>0.1403009259259259</v>
      </c>
      <c r="C94" t="s">
        <v>165</v>
      </c>
      <c r="D94" t="s">
        <v>35</v>
      </c>
      <c r="E94" t="s">
        <v>218</v>
      </c>
      <c r="F94" t="s">
        <v>249</v>
      </c>
      <c r="G94">
        <v>-35950</v>
      </c>
      <c r="H94" t="s">
        <v>162</v>
      </c>
      <c r="I94" t="s">
        <v>60</v>
      </c>
    </row>
    <row r="95" spans="1:9">
      <c r="A95" s="50">
        <v>46161</v>
      </c>
      <c r="B95" s="51">
        <v>0.587025462962963</v>
      </c>
      <c r="C95" t="s">
        <v>165</v>
      </c>
      <c r="D95" t="s">
        <v>44</v>
      </c>
      <c r="E95" t="s">
        <v>197</v>
      </c>
      <c r="F95" t="s">
        <v>198</v>
      </c>
      <c r="G95">
        <v>-50000</v>
      </c>
      <c r="H95" t="s">
        <v>162</v>
      </c>
      <c r="I95" t="s">
        <v>173</v>
      </c>
    </row>
    <row r="96" spans="1:9">
      <c r="A96" s="50">
        <v>46157</v>
      </c>
      <c r="B96" s="51">
        <v>0.6376736111111111</v>
      </c>
      <c r="C96" t="s">
        <v>207</v>
      </c>
      <c r="D96" t="s">
        <v>28</v>
      </c>
      <c r="E96" t="s">
        <v>160</v>
      </c>
      <c r="F96" t="s">
        <v>250</v>
      </c>
      <c r="G96">
        <v>10142</v>
      </c>
      <c r="H96" t="s">
        <v>162</v>
      </c>
      <c r="I96" t="s">
        <v>60</v>
      </c>
    </row>
    <row r="97" spans="1:9">
      <c r="A97" s="50">
        <v>46157</v>
      </c>
      <c r="B97" s="51">
        <v>0.5052314814814814</v>
      </c>
      <c r="C97" t="s">
        <v>165</v>
      </c>
      <c r="D97" t="s">
        <v>35</v>
      </c>
      <c r="E97" t="s">
        <v>231</v>
      </c>
      <c r="F97" t="s">
        <v>232</v>
      </c>
      <c r="G97">
        <v>-9200</v>
      </c>
      <c r="H97" t="s">
        <v>162</v>
      </c>
      <c r="I97" t="s">
        <v>189</v>
      </c>
    </row>
    <row r="98" spans="1:9">
      <c r="A98" s="50">
        <v>46157</v>
      </c>
      <c r="B98" s="51">
        <v>0.5052199074074074</v>
      </c>
      <c r="C98" t="s">
        <v>158</v>
      </c>
      <c r="D98" t="s">
        <v>159</v>
      </c>
      <c r="E98" t="s">
        <v>160</v>
      </c>
      <c r="F98" t="s">
        <v>233</v>
      </c>
      <c r="G98">
        <v>-10000</v>
      </c>
      <c r="H98" t="s">
        <v>162</v>
      </c>
      <c r="I98" t="s">
        <v>60</v>
      </c>
    </row>
    <row r="99" spans="1:9">
      <c r="A99" s="50">
        <v>46157</v>
      </c>
      <c r="B99" s="51">
        <v>0.5052199074074074</v>
      </c>
      <c r="C99" t="s">
        <v>158</v>
      </c>
      <c r="D99" t="s">
        <v>159</v>
      </c>
      <c r="E99" t="s">
        <v>160</v>
      </c>
      <c r="F99" t="s">
        <v>220</v>
      </c>
      <c r="G99">
        <v>10000</v>
      </c>
      <c r="H99" t="s">
        <v>162</v>
      </c>
      <c r="I99" t="s">
        <v>189</v>
      </c>
    </row>
    <row r="100" spans="1:9">
      <c r="A100" s="50">
        <v>46157</v>
      </c>
      <c r="B100" s="51">
        <v>0.4146412037037037</v>
      </c>
      <c r="C100" t="s">
        <v>165</v>
      </c>
      <c r="D100" t="s">
        <v>42</v>
      </c>
      <c r="E100" t="s">
        <v>171</v>
      </c>
      <c r="F100" t="s">
        <v>172</v>
      </c>
      <c r="G100">
        <v>-4000</v>
      </c>
      <c r="H100" t="s">
        <v>162</v>
      </c>
      <c r="I100" t="s">
        <v>173</v>
      </c>
    </row>
    <row r="101" spans="1:9">
      <c r="A101" s="50">
        <v>46156</v>
      </c>
      <c r="B101" s="51">
        <v>0.4862384259259259</v>
      </c>
      <c r="C101" t="s">
        <v>158</v>
      </c>
      <c r="D101" t="s">
        <v>64</v>
      </c>
      <c r="E101" t="s">
        <v>160</v>
      </c>
      <c r="F101" t="s">
        <v>251</v>
      </c>
      <c r="G101">
        <v>124140</v>
      </c>
      <c r="H101" t="s">
        <v>162</v>
      </c>
      <c r="I101" t="s">
        <v>60</v>
      </c>
    </row>
    <row r="102" spans="1:9">
      <c r="A102" s="50">
        <v>46155</v>
      </c>
      <c r="B102" s="51">
        <v>0.9898611111111111</v>
      </c>
      <c r="C102" t="s">
        <v>165</v>
      </c>
      <c r="D102" t="s">
        <v>41</v>
      </c>
      <c r="E102" t="s">
        <v>252</v>
      </c>
      <c r="F102" t="s">
        <v>253</v>
      </c>
      <c r="G102">
        <v>-11916</v>
      </c>
      <c r="H102" t="s">
        <v>162</v>
      </c>
      <c r="I102" t="s">
        <v>60</v>
      </c>
    </row>
    <row r="103" spans="1:9">
      <c r="A103" s="50">
        <v>46155</v>
      </c>
      <c r="B103" s="51">
        <v>0.9870717592592593</v>
      </c>
      <c r="C103" t="s">
        <v>165</v>
      </c>
      <c r="D103" t="s">
        <v>41</v>
      </c>
      <c r="E103" t="s">
        <v>252</v>
      </c>
      <c r="F103" t="s">
        <v>253</v>
      </c>
      <c r="G103">
        <v>-333716</v>
      </c>
      <c r="H103" t="s">
        <v>162</v>
      </c>
      <c r="I103" t="s">
        <v>60</v>
      </c>
    </row>
    <row r="104" spans="1:9">
      <c r="A104" s="50">
        <v>46155</v>
      </c>
      <c r="B104" s="51">
        <v>0.9857870370370371</v>
      </c>
      <c r="C104" t="s">
        <v>158</v>
      </c>
      <c r="D104" t="s">
        <v>158</v>
      </c>
      <c r="E104" t="s">
        <v>160</v>
      </c>
      <c r="F104" t="s">
        <v>170</v>
      </c>
      <c r="G104">
        <v>500000</v>
      </c>
      <c r="H104" t="s">
        <v>162</v>
      </c>
      <c r="I104" t="s">
        <v>60</v>
      </c>
    </row>
    <row r="105" spans="1:9">
      <c r="A105" s="50">
        <v>46155</v>
      </c>
      <c r="B105" s="51">
        <v>0.8330787037037037</v>
      </c>
      <c r="C105" t="s">
        <v>165</v>
      </c>
      <c r="D105" t="s">
        <v>36</v>
      </c>
      <c r="E105" t="s">
        <v>254</v>
      </c>
      <c r="F105" t="s">
        <v>255</v>
      </c>
      <c r="G105">
        <v>-200000</v>
      </c>
      <c r="H105" t="s">
        <v>162</v>
      </c>
      <c r="I105" t="s">
        <v>184</v>
      </c>
    </row>
    <row r="106" spans="1:9">
      <c r="A106" s="50">
        <v>46155</v>
      </c>
      <c r="B106" s="51">
        <v>0.5143981481481481</v>
      </c>
      <c r="C106" t="s">
        <v>165</v>
      </c>
      <c r="D106" t="s">
        <v>46</v>
      </c>
      <c r="E106" t="s">
        <v>193</v>
      </c>
      <c r="F106" t="s">
        <v>194</v>
      </c>
      <c r="G106">
        <v>-10000</v>
      </c>
      <c r="H106" t="s">
        <v>162</v>
      </c>
      <c r="I106" t="s">
        <v>184</v>
      </c>
    </row>
    <row r="107" spans="1:9">
      <c r="A107" s="50">
        <v>46155</v>
      </c>
      <c r="B107" s="51">
        <v>0.06074074074074074</v>
      </c>
      <c r="C107" t="s">
        <v>158</v>
      </c>
      <c r="D107" t="s">
        <v>256</v>
      </c>
      <c r="E107" t="s">
        <v>160</v>
      </c>
      <c r="F107" t="s">
        <v>257</v>
      </c>
      <c r="G107">
        <v>1</v>
      </c>
      <c r="H107" t="s">
        <v>162</v>
      </c>
      <c r="I107" t="s">
        <v>60</v>
      </c>
    </row>
    <row r="108" spans="1:9">
      <c r="A108" s="50">
        <v>46155</v>
      </c>
      <c r="B108" s="51">
        <v>0.05140046296296296</v>
      </c>
      <c r="C108" t="s">
        <v>165</v>
      </c>
      <c r="D108" t="s">
        <v>41</v>
      </c>
      <c r="E108" t="s">
        <v>252</v>
      </c>
      <c r="F108" t="s">
        <v>253</v>
      </c>
      <c r="G108">
        <v>-341532</v>
      </c>
      <c r="H108" t="s">
        <v>162</v>
      </c>
      <c r="I108" t="s">
        <v>60</v>
      </c>
    </row>
    <row r="109" spans="1:9">
      <c r="A109" s="50">
        <v>46154</v>
      </c>
      <c r="B109" s="51">
        <v>0.9981597222222223</v>
      </c>
      <c r="C109" t="s">
        <v>165</v>
      </c>
      <c r="D109" t="s">
        <v>42</v>
      </c>
      <c r="E109" t="s">
        <v>171</v>
      </c>
      <c r="F109" t="s">
        <v>258</v>
      </c>
      <c r="G109">
        <v>-26900</v>
      </c>
      <c r="H109" t="s">
        <v>162</v>
      </c>
      <c r="I109" t="s">
        <v>173</v>
      </c>
    </row>
    <row r="110" spans="1:9">
      <c r="A110" s="50">
        <v>46153</v>
      </c>
      <c r="B110" s="51">
        <v>0.1289351851851852</v>
      </c>
      <c r="C110" t="s">
        <v>165</v>
      </c>
      <c r="D110" t="s">
        <v>35</v>
      </c>
      <c r="E110" t="s">
        <v>179</v>
      </c>
      <c r="F110" t="s">
        <v>180</v>
      </c>
      <c r="G110">
        <v>-75287</v>
      </c>
      <c r="H110" t="s">
        <v>162</v>
      </c>
      <c r="I110" t="s">
        <v>60</v>
      </c>
    </row>
    <row r="111" spans="1:9">
      <c r="A111" s="50">
        <v>46151</v>
      </c>
      <c r="B111" s="51">
        <v>0.4351504629629629</v>
      </c>
      <c r="C111" t="s">
        <v>158</v>
      </c>
      <c r="D111" t="s">
        <v>160</v>
      </c>
      <c r="E111" t="s">
        <v>160</v>
      </c>
      <c r="F111" t="s">
        <v>259</v>
      </c>
      <c r="G111">
        <v>-700000</v>
      </c>
      <c r="H111" t="s">
        <v>162</v>
      </c>
      <c r="I111" t="s">
        <v>57</v>
      </c>
    </row>
    <row r="112" spans="1:9">
      <c r="A112" s="50">
        <v>46151</v>
      </c>
      <c r="B112" s="51">
        <v>0.07116898148148149</v>
      </c>
      <c r="C112" t="s">
        <v>158</v>
      </c>
      <c r="D112" t="s">
        <v>160</v>
      </c>
      <c r="E112" t="s">
        <v>160</v>
      </c>
      <c r="F112" t="s">
        <v>210</v>
      </c>
      <c r="G112">
        <v>494</v>
      </c>
      <c r="H112" t="s">
        <v>162</v>
      </c>
      <c r="I112" t="s">
        <v>57</v>
      </c>
    </row>
    <row r="113" spans="1:9">
      <c r="A113" s="50">
        <v>46149</v>
      </c>
      <c r="B113" s="51">
        <v>0.7393518518518518</v>
      </c>
      <c r="C113" t="s">
        <v>165</v>
      </c>
      <c r="D113" t="s">
        <v>44</v>
      </c>
      <c r="E113" t="s">
        <v>182</v>
      </c>
      <c r="F113" t="s">
        <v>183</v>
      </c>
      <c r="G113">
        <v>-60000</v>
      </c>
      <c r="H113" t="s">
        <v>162</v>
      </c>
      <c r="I113" t="s">
        <v>184</v>
      </c>
    </row>
    <row r="114" spans="1:9">
      <c r="A114" s="50">
        <v>46149</v>
      </c>
      <c r="B114" s="51">
        <v>0.5568171296296296</v>
      </c>
      <c r="C114" t="s">
        <v>165</v>
      </c>
      <c r="D114" t="s">
        <v>35</v>
      </c>
      <c r="E114" t="s">
        <v>174</v>
      </c>
      <c r="F114" t="s">
        <v>203</v>
      </c>
      <c r="G114">
        <v>-1100</v>
      </c>
      <c r="H114" t="s">
        <v>162</v>
      </c>
      <c r="I114" t="s">
        <v>173</v>
      </c>
    </row>
    <row r="115" spans="1:9">
      <c r="A115" s="50">
        <v>46149</v>
      </c>
      <c r="B115" s="51">
        <v>0.4836689814814815</v>
      </c>
      <c r="C115" t="s">
        <v>165</v>
      </c>
      <c r="D115" t="s">
        <v>35</v>
      </c>
      <c r="E115" t="s">
        <v>260</v>
      </c>
      <c r="F115" t="s">
        <v>261</v>
      </c>
      <c r="G115">
        <v>-2545813</v>
      </c>
      <c r="H115" t="s">
        <v>162</v>
      </c>
      <c r="I115" t="s">
        <v>60</v>
      </c>
    </row>
    <row r="116" spans="1:9">
      <c r="A116" s="50">
        <v>46149</v>
      </c>
      <c r="B116" s="51">
        <v>0.4805208333333333</v>
      </c>
      <c r="C116" t="s">
        <v>158</v>
      </c>
      <c r="D116" t="s">
        <v>256</v>
      </c>
      <c r="E116" t="s">
        <v>160</v>
      </c>
      <c r="F116" t="s">
        <v>262</v>
      </c>
      <c r="G116">
        <v>831815</v>
      </c>
      <c r="H116" t="s">
        <v>162</v>
      </c>
      <c r="I116" t="s">
        <v>60</v>
      </c>
    </row>
    <row r="117" spans="1:9">
      <c r="A117" s="50">
        <v>46149</v>
      </c>
      <c r="B117" s="51">
        <v>0.4805092592592592</v>
      </c>
      <c r="C117" t="s">
        <v>158</v>
      </c>
      <c r="D117" t="s">
        <v>256</v>
      </c>
      <c r="E117" t="s">
        <v>160</v>
      </c>
      <c r="F117" t="s">
        <v>262</v>
      </c>
      <c r="G117">
        <v>794905</v>
      </c>
      <c r="H117" t="s">
        <v>162</v>
      </c>
      <c r="I117" t="s">
        <v>60</v>
      </c>
    </row>
    <row r="118" spans="1:9">
      <c r="A118" s="50">
        <v>46149</v>
      </c>
      <c r="B118" s="51">
        <v>0.4805092592592592</v>
      </c>
      <c r="C118" t="s">
        <v>158</v>
      </c>
      <c r="D118" t="s">
        <v>256</v>
      </c>
      <c r="E118" t="s">
        <v>160</v>
      </c>
      <c r="F118" t="s">
        <v>262</v>
      </c>
      <c r="G118">
        <v>919093</v>
      </c>
      <c r="H118" t="s">
        <v>162</v>
      </c>
      <c r="I118" t="s">
        <v>60</v>
      </c>
    </row>
    <row r="119" spans="1:9">
      <c r="A119" s="50">
        <v>46149</v>
      </c>
      <c r="B119" s="51">
        <v>0.007800925925925926</v>
      </c>
      <c r="C119" t="s">
        <v>165</v>
      </c>
      <c r="D119" t="s">
        <v>35</v>
      </c>
      <c r="E119" t="s">
        <v>174</v>
      </c>
      <c r="F119" t="s">
        <v>263</v>
      </c>
      <c r="G119">
        <v>-81882</v>
      </c>
      <c r="H119" t="s">
        <v>162</v>
      </c>
      <c r="I119" t="s">
        <v>176</v>
      </c>
    </row>
    <row r="120" spans="1:9">
      <c r="A120" s="50">
        <v>46148</v>
      </c>
      <c r="B120" s="51">
        <v>0.8799768518518518</v>
      </c>
      <c r="C120" t="s">
        <v>165</v>
      </c>
      <c r="D120" t="s">
        <v>38</v>
      </c>
      <c r="E120" t="s">
        <v>166</v>
      </c>
      <c r="F120" t="s">
        <v>242</v>
      </c>
      <c r="G120">
        <v>-10980</v>
      </c>
      <c r="H120" t="s">
        <v>162</v>
      </c>
      <c r="I120" t="s">
        <v>173</v>
      </c>
    </row>
    <row r="121" spans="1:9">
      <c r="A121" s="50">
        <v>46148</v>
      </c>
      <c r="B121" s="51">
        <v>0.5160763888888888</v>
      </c>
      <c r="C121" t="s">
        <v>165</v>
      </c>
      <c r="D121" t="s">
        <v>46</v>
      </c>
      <c r="E121" t="s">
        <v>193</v>
      </c>
      <c r="F121" t="s">
        <v>194</v>
      </c>
      <c r="G121">
        <v>-7500</v>
      </c>
      <c r="H121" t="s">
        <v>162</v>
      </c>
      <c r="I121" t="s">
        <v>184</v>
      </c>
    </row>
    <row r="122" spans="1:9">
      <c r="A122" s="50">
        <v>46147</v>
      </c>
      <c r="B122" s="51">
        <v>0.5788425925925926</v>
      </c>
      <c r="C122" t="s">
        <v>165</v>
      </c>
      <c r="D122" t="s">
        <v>42</v>
      </c>
      <c r="E122" t="s">
        <v>264</v>
      </c>
      <c r="F122" t="s">
        <v>265</v>
      </c>
      <c r="G122">
        <v>-8900</v>
      </c>
      <c r="H122" t="s">
        <v>162</v>
      </c>
      <c r="I122" t="s">
        <v>176</v>
      </c>
    </row>
    <row r="123" spans="1:9">
      <c r="A123" s="50">
        <v>46147</v>
      </c>
      <c r="B123" s="51">
        <v>0.5035995370370371</v>
      </c>
      <c r="C123" t="s">
        <v>165</v>
      </c>
      <c r="D123" t="s">
        <v>38</v>
      </c>
      <c r="E123" t="s">
        <v>266</v>
      </c>
      <c r="F123" t="s">
        <v>267</v>
      </c>
      <c r="G123">
        <v>-1250</v>
      </c>
      <c r="H123" t="s">
        <v>162</v>
      </c>
      <c r="I123" t="s">
        <v>173</v>
      </c>
    </row>
    <row r="124" spans="1:9">
      <c r="A124" s="50">
        <v>46145</v>
      </c>
      <c r="B124" s="51">
        <v>0.5934143518518519</v>
      </c>
      <c r="C124" t="s">
        <v>165</v>
      </c>
      <c r="D124" t="s">
        <v>35</v>
      </c>
      <c r="E124" t="s">
        <v>174</v>
      </c>
      <c r="F124" t="s">
        <v>268</v>
      </c>
      <c r="G124">
        <v>-17500</v>
      </c>
      <c r="H124" t="s">
        <v>162</v>
      </c>
      <c r="I124" t="s">
        <v>173</v>
      </c>
    </row>
    <row r="125" spans="1:9">
      <c r="A125" s="50">
        <v>46145</v>
      </c>
      <c r="B125" s="51">
        <v>0.5380092592592592</v>
      </c>
      <c r="C125" t="s">
        <v>165</v>
      </c>
      <c r="D125" t="s">
        <v>44</v>
      </c>
      <c r="E125" t="s">
        <v>182</v>
      </c>
      <c r="F125" t="s">
        <v>269</v>
      </c>
      <c r="G125">
        <v>-70000</v>
      </c>
      <c r="H125" t="s">
        <v>162</v>
      </c>
      <c r="I125" t="s">
        <v>173</v>
      </c>
    </row>
    <row r="126" spans="1:9">
      <c r="A126" s="50">
        <v>46143</v>
      </c>
      <c r="B126" s="51">
        <v>0.8629861111111111</v>
      </c>
      <c r="C126" t="s">
        <v>165</v>
      </c>
      <c r="D126" t="s">
        <v>42</v>
      </c>
      <c r="E126" t="s">
        <v>264</v>
      </c>
      <c r="F126" t="s">
        <v>270</v>
      </c>
      <c r="G126">
        <v>-100000</v>
      </c>
      <c r="H126" t="s">
        <v>162</v>
      </c>
      <c r="I126" t="s">
        <v>60</v>
      </c>
    </row>
    <row r="127" spans="1:9">
      <c r="A127" s="50">
        <v>46143</v>
      </c>
      <c r="B127" s="51">
        <v>0.4416666666666667</v>
      </c>
      <c r="C127" t="s">
        <v>158</v>
      </c>
      <c r="D127" t="s">
        <v>158</v>
      </c>
      <c r="E127" t="s">
        <v>160</v>
      </c>
      <c r="F127" t="s">
        <v>204</v>
      </c>
      <c r="G127">
        <v>-300000</v>
      </c>
      <c r="H127" t="s">
        <v>162</v>
      </c>
      <c r="I127" t="s">
        <v>60</v>
      </c>
    </row>
    <row r="128" spans="1:9">
      <c r="A128" s="50">
        <v>46142</v>
      </c>
      <c r="B128" s="51">
        <v>0.6358101851851852</v>
      </c>
      <c r="C128" t="s">
        <v>165</v>
      </c>
      <c r="D128" t="s">
        <v>45</v>
      </c>
      <c r="E128" t="s">
        <v>205</v>
      </c>
      <c r="F128" t="s">
        <v>206</v>
      </c>
      <c r="G128">
        <v>-229000</v>
      </c>
      <c r="H128" t="s">
        <v>162</v>
      </c>
      <c r="I128" t="s">
        <v>173</v>
      </c>
    </row>
    <row r="129" spans="1:9">
      <c r="A129" s="50">
        <v>46142</v>
      </c>
      <c r="B129" s="51">
        <v>0.5209606481481481</v>
      </c>
      <c r="C129" t="s">
        <v>165</v>
      </c>
      <c r="D129" t="s">
        <v>46</v>
      </c>
      <c r="E129" t="s">
        <v>193</v>
      </c>
      <c r="F129" t="s">
        <v>241</v>
      </c>
      <c r="G129">
        <v>-2500</v>
      </c>
      <c r="H129" t="s">
        <v>162</v>
      </c>
      <c r="I129" t="s">
        <v>173</v>
      </c>
    </row>
    <row r="130" spans="1:9">
      <c r="A130" s="50">
        <v>46142</v>
      </c>
      <c r="B130" s="51">
        <v>0.3197222222222222</v>
      </c>
      <c r="C130" t="s">
        <v>165</v>
      </c>
      <c r="D130" t="s">
        <v>38</v>
      </c>
      <c r="E130" t="s">
        <v>271</v>
      </c>
      <c r="F130" t="s">
        <v>272</v>
      </c>
      <c r="G130">
        <v>-37400</v>
      </c>
      <c r="H130" t="s">
        <v>162</v>
      </c>
      <c r="I130" t="s">
        <v>176</v>
      </c>
    </row>
    <row r="131" spans="1:9">
      <c r="A131" s="50">
        <v>46141</v>
      </c>
      <c r="B131" s="51">
        <v>0.8067476851851851</v>
      </c>
      <c r="C131" t="s">
        <v>165</v>
      </c>
      <c r="D131" t="s">
        <v>44</v>
      </c>
      <c r="E131" t="s">
        <v>182</v>
      </c>
      <c r="F131" t="s">
        <v>273</v>
      </c>
      <c r="G131">
        <v>-40000</v>
      </c>
      <c r="H131" t="s">
        <v>162</v>
      </c>
      <c r="I131" t="s">
        <v>173</v>
      </c>
    </row>
    <row r="132" spans="1:9">
      <c r="A132" s="50">
        <v>46140</v>
      </c>
      <c r="B132" s="51">
        <v>0.4323148148148148</v>
      </c>
      <c r="C132" t="s">
        <v>158</v>
      </c>
      <c r="D132" t="s">
        <v>159</v>
      </c>
      <c r="E132" t="s">
        <v>160</v>
      </c>
      <c r="F132" t="s">
        <v>7</v>
      </c>
      <c r="G132">
        <v>-1500000</v>
      </c>
      <c r="H132" t="s">
        <v>162</v>
      </c>
      <c r="I132" t="s">
        <v>60</v>
      </c>
    </row>
    <row r="133" spans="1:9">
      <c r="A133" s="50">
        <v>46140</v>
      </c>
      <c r="B133" s="51">
        <v>0.4318518518518519</v>
      </c>
      <c r="C133" t="s">
        <v>158</v>
      </c>
      <c r="D133" t="s">
        <v>256</v>
      </c>
      <c r="E133" t="s">
        <v>160</v>
      </c>
      <c r="F133" t="s">
        <v>274</v>
      </c>
      <c r="G133">
        <v>1500125</v>
      </c>
      <c r="H133" t="s">
        <v>162</v>
      </c>
      <c r="I133" t="s">
        <v>60</v>
      </c>
    </row>
    <row r="134" spans="1:9">
      <c r="A134" s="50">
        <v>46139</v>
      </c>
      <c r="B134" s="51">
        <v>0.7187731481481482</v>
      </c>
      <c r="C134" t="s">
        <v>158</v>
      </c>
      <c r="D134" t="s">
        <v>216</v>
      </c>
      <c r="E134" t="s">
        <v>160</v>
      </c>
      <c r="F134" t="s">
        <v>217</v>
      </c>
      <c r="G134">
        <v>-1044168</v>
      </c>
      <c r="H134" t="s">
        <v>162</v>
      </c>
      <c r="I134" t="s">
        <v>60</v>
      </c>
    </row>
    <row r="135" spans="1:9">
      <c r="A135" s="50">
        <v>46139</v>
      </c>
      <c r="B135" s="51">
        <v>0.7090972222222223</v>
      </c>
      <c r="C135" t="s">
        <v>158</v>
      </c>
      <c r="D135" t="s">
        <v>158</v>
      </c>
      <c r="E135" t="s">
        <v>160</v>
      </c>
      <c r="F135" t="s">
        <v>215</v>
      </c>
      <c r="G135">
        <v>-17800</v>
      </c>
      <c r="H135" t="s">
        <v>162</v>
      </c>
      <c r="I135" t="s">
        <v>60</v>
      </c>
    </row>
    <row r="136" spans="1:9">
      <c r="A136" s="50">
        <v>46139</v>
      </c>
      <c r="B136" s="51">
        <v>0.5146064814814815</v>
      </c>
      <c r="C136" t="s">
        <v>165</v>
      </c>
      <c r="D136" t="s">
        <v>46</v>
      </c>
      <c r="E136" t="s">
        <v>193</v>
      </c>
      <c r="F136" t="s">
        <v>241</v>
      </c>
      <c r="G136">
        <v>-7500</v>
      </c>
      <c r="H136" t="s">
        <v>162</v>
      </c>
      <c r="I136" t="s">
        <v>173</v>
      </c>
    </row>
    <row r="137" spans="1:9">
      <c r="A137" s="50">
        <v>46139</v>
      </c>
      <c r="B137" s="51">
        <v>0.4668287037037037</v>
      </c>
      <c r="C137" t="s">
        <v>158</v>
      </c>
      <c r="D137" t="s">
        <v>159</v>
      </c>
      <c r="E137" t="s">
        <v>160</v>
      </c>
      <c r="F137" t="s">
        <v>209</v>
      </c>
      <c r="G137">
        <v>-100000</v>
      </c>
      <c r="H137" t="s">
        <v>162</v>
      </c>
      <c r="I137" t="s">
        <v>60</v>
      </c>
    </row>
    <row r="138" spans="1:9">
      <c r="A138" s="50">
        <v>46139</v>
      </c>
      <c r="B138" s="51">
        <v>0.146875</v>
      </c>
      <c r="C138" t="s">
        <v>158</v>
      </c>
      <c r="D138" t="s">
        <v>159</v>
      </c>
      <c r="E138" t="s">
        <v>160</v>
      </c>
      <c r="F138" t="s">
        <v>275</v>
      </c>
      <c r="G138">
        <v>-500000</v>
      </c>
      <c r="H138" t="s">
        <v>162</v>
      </c>
      <c r="I138" t="s">
        <v>60</v>
      </c>
    </row>
    <row r="139" spans="1:9">
      <c r="A139" s="50">
        <v>46139</v>
      </c>
      <c r="B139" s="51">
        <v>0.1322222222222222</v>
      </c>
      <c r="C139" t="s">
        <v>165</v>
      </c>
      <c r="D139" t="s">
        <v>35</v>
      </c>
      <c r="E139" t="s">
        <v>218</v>
      </c>
      <c r="F139" t="s">
        <v>219</v>
      </c>
      <c r="G139">
        <v>-36120</v>
      </c>
      <c r="H139" t="s">
        <v>162</v>
      </c>
      <c r="I139" t="s">
        <v>60</v>
      </c>
    </row>
    <row r="140" spans="1:9">
      <c r="A140" s="50">
        <v>46137</v>
      </c>
      <c r="B140" s="51">
        <v>0.4972337962962963</v>
      </c>
      <c r="C140" t="s">
        <v>165</v>
      </c>
      <c r="D140" t="s">
        <v>45</v>
      </c>
      <c r="E140" t="s">
        <v>276</v>
      </c>
      <c r="F140" t="s">
        <v>277</v>
      </c>
      <c r="G140">
        <v>-30000</v>
      </c>
      <c r="H140" t="s">
        <v>162</v>
      </c>
      <c r="I140" t="s">
        <v>173</v>
      </c>
    </row>
    <row r="141" spans="1:9">
      <c r="A141" s="50">
        <v>46137</v>
      </c>
      <c r="B141" s="51">
        <v>0.1255092592592593</v>
      </c>
      <c r="C141" t="s">
        <v>207</v>
      </c>
      <c r="D141" t="s">
        <v>28</v>
      </c>
      <c r="E141" t="s">
        <v>160</v>
      </c>
      <c r="F141" t="s">
        <v>211</v>
      </c>
      <c r="G141">
        <v>0</v>
      </c>
      <c r="H141" t="s">
        <v>162</v>
      </c>
      <c r="I141" t="s">
        <v>58</v>
      </c>
    </row>
    <row r="142" spans="1:9">
      <c r="A142" s="50">
        <v>46136</v>
      </c>
      <c r="B142" s="51">
        <v>0.8835532407407407</v>
      </c>
      <c r="C142" t="s">
        <v>158</v>
      </c>
      <c r="D142" t="s">
        <v>158</v>
      </c>
      <c r="E142" t="s">
        <v>160</v>
      </c>
      <c r="F142" t="s">
        <v>233</v>
      </c>
      <c r="G142">
        <v>-150000</v>
      </c>
      <c r="H142" t="s">
        <v>162</v>
      </c>
      <c r="I142" t="s">
        <v>60</v>
      </c>
    </row>
    <row r="143" spans="1:9">
      <c r="A143" s="50">
        <v>46136</v>
      </c>
      <c r="B143" s="51">
        <v>0.7794328703703703</v>
      </c>
      <c r="C143" t="s">
        <v>165</v>
      </c>
      <c r="D143" t="s">
        <v>45</v>
      </c>
      <c r="E143" t="s">
        <v>224</v>
      </c>
      <c r="F143" t="s">
        <v>225</v>
      </c>
      <c r="G143">
        <v>-234280</v>
      </c>
      <c r="H143" t="s">
        <v>162</v>
      </c>
      <c r="I143" t="s">
        <v>173</v>
      </c>
    </row>
    <row r="144" spans="1:9">
      <c r="A144" s="50">
        <v>46136</v>
      </c>
      <c r="B144" s="51">
        <v>0.5903819444444445</v>
      </c>
      <c r="C144" t="s">
        <v>158</v>
      </c>
      <c r="D144" t="s">
        <v>158</v>
      </c>
      <c r="E144" t="s">
        <v>160</v>
      </c>
      <c r="F144" t="s">
        <v>233</v>
      </c>
      <c r="G144">
        <v>-19500</v>
      </c>
      <c r="H144" t="s">
        <v>162</v>
      </c>
      <c r="I144" t="s">
        <v>60</v>
      </c>
    </row>
    <row r="145" spans="1:9">
      <c r="A145" s="50">
        <v>46136</v>
      </c>
      <c r="B145" s="51">
        <v>0.538587962962963</v>
      </c>
      <c r="C145" t="s">
        <v>165</v>
      </c>
      <c r="D145" t="s">
        <v>46</v>
      </c>
      <c r="E145" t="s">
        <v>193</v>
      </c>
      <c r="F145" t="s">
        <v>278</v>
      </c>
      <c r="G145">
        <v>-3200</v>
      </c>
      <c r="H145" t="s">
        <v>162</v>
      </c>
      <c r="I145" t="s">
        <v>173</v>
      </c>
    </row>
    <row r="146" spans="1:9">
      <c r="A146" s="50">
        <v>46136</v>
      </c>
      <c r="B146" s="51">
        <v>0.4649652777777778</v>
      </c>
      <c r="C146" t="s">
        <v>165</v>
      </c>
      <c r="D146" t="s">
        <v>35</v>
      </c>
      <c r="E146" t="s">
        <v>218</v>
      </c>
      <c r="F146" t="s">
        <v>117</v>
      </c>
      <c r="G146">
        <v>-586710</v>
      </c>
      <c r="H146" t="s">
        <v>162</v>
      </c>
      <c r="I146" t="s">
        <v>173</v>
      </c>
    </row>
    <row r="147" spans="1:9">
      <c r="A147" s="50">
        <v>46136</v>
      </c>
      <c r="B147" s="51">
        <v>0.3895717592592592</v>
      </c>
      <c r="C147" t="s">
        <v>165</v>
      </c>
      <c r="D147" t="s">
        <v>35</v>
      </c>
      <c r="E147" t="s">
        <v>221</v>
      </c>
      <c r="F147" t="s">
        <v>222</v>
      </c>
      <c r="G147">
        <v>-14000000</v>
      </c>
      <c r="H147" t="s">
        <v>162</v>
      </c>
      <c r="I147" t="s">
        <v>60</v>
      </c>
    </row>
    <row r="148" spans="1:9">
      <c r="A148" s="50">
        <v>46136</v>
      </c>
      <c r="B148" s="51">
        <v>0.3800578703703704</v>
      </c>
      <c r="C148" t="s">
        <v>207</v>
      </c>
      <c r="D148" t="s">
        <v>29</v>
      </c>
      <c r="E148" t="s">
        <v>160</v>
      </c>
      <c r="F148" t="s">
        <v>223</v>
      </c>
      <c r="G148">
        <v>15003272</v>
      </c>
      <c r="H148" t="s">
        <v>162</v>
      </c>
      <c r="I148" t="s">
        <v>60</v>
      </c>
    </row>
    <row r="149" spans="1:9">
      <c r="A149" s="50">
        <v>46135</v>
      </c>
      <c r="B149" s="51">
        <v>0.8359027777777778</v>
      </c>
      <c r="C149" t="s">
        <v>165</v>
      </c>
      <c r="D149" t="s">
        <v>46</v>
      </c>
      <c r="E149" t="s">
        <v>193</v>
      </c>
      <c r="F149" t="s">
        <v>234</v>
      </c>
      <c r="G149">
        <v>-9500</v>
      </c>
      <c r="H149" t="s">
        <v>162</v>
      </c>
      <c r="I149" t="s">
        <v>173</v>
      </c>
    </row>
    <row r="150" spans="1:9">
      <c r="A150" s="50">
        <v>46135</v>
      </c>
      <c r="B150" s="51">
        <v>0.499375</v>
      </c>
      <c r="C150" t="s">
        <v>158</v>
      </c>
      <c r="D150" t="s">
        <v>158</v>
      </c>
      <c r="E150" t="s">
        <v>160</v>
      </c>
      <c r="F150" t="s">
        <v>279</v>
      </c>
      <c r="G150">
        <v>6000</v>
      </c>
      <c r="H150" t="s">
        <v>162</v>
      </c>
      <c r="I150" t="s">
        <v>60</v>
      </c>
    </row>
    <row r="151" spans="1:9">
      <c r="A151" s="50">
        <v>46135</v>
      </c>
      <c r="B151" s="51">
        <v>0.4988310185185185</v>
      </c>
      <c r="C151" t="s">
        <v>165</v>
      </c>
      <c r="D151" t="s">
        <v>40</v>
      </c>
      <c r="E151" t="s">
        <v>243</v>
      </c>
      <c r="F151" t="s">
        <v>280</v>
      </c>
      <c r="G151">
        <v>-13200</v>
      </c>
      <c r="H151" t="s">
        <v>162</v>
      </c>
      <c r="I151" t="s">
        <v>173</v>
      </c>
    </row>
    <row r="152" spans="1:9">
      <c r="A152" s="50">
        <v>46134</v>
      </c>
      <c r="B152" s="51">
        <v>0.6904398148148149</v>
      </c>
      <c r="C152" t="s">
        <v>158</v>
      </c>
      <c r="D152" t="s">
        <v>158</v>
      </c>
      <c r="E152" t="s">
        <v>160</v>
      </c>
      <c r="F152" t="s">
        <v>281</v>
      </c>
      <c r="G152">
        <v>1</v>
      </c>
      <c r="H152" t="s">
        <v>162</v>
      </c>
      <c r="I152" t="s">
        <v>60</v>
      </c>
    </row>
    <row r="153" spans="1:9">
      <c r="A153" s="50">
        <v>46134</v>
      </c>
      <c r="B153" s="51">
        <v>0.6888425925925926</v>
      </c>
      <c r="C153" t="s">
        <v>207</v>
      </c>
      <c r="D153" t="s">
        <v>28</v>
      </c>
      <c r="E153" t="s">
        <v>160</v>
      </c>
      <c r="F153" t="s">
        <v>282</v>
      </c>
      <c r="G153">
        <v>1</v>
      </c>
      <c r="H153" t="s">
        <v>162</v>
      </c>
      <c r="I153" t="s">
        <v>60</v>
      </c>
    </row>
    <row r="154" spans="1:9">
      <c r="A154" s="50">
        <v>46134</v>
      </c>
      <c r="B154" s="51">
        <v>0.6852893518518518</v>
      </c>
      <c r="C154" t="s">
        <v>158</v>
      </c>
      <c r="D154" t="s">
        <v>159</v>
      </c>
      <c r="E154" t="s">
        <v>160</v>
      </c>
      <c r="F154" t="s">
        <v>233</v>
      </c>
      <c r="G154">
        <v>-43990</v>
      </c>
      <c r="H154" t="s">
        <v>162</v>
      </c>
      <c r="I154" t="s">
        <v>60</v>
      </c>
    </row>
    <row r="155" spans="1:9">
      <c r="A155" s="50">
        <v>46134</v>
      </c>
      <c r="B155" s="51">
        <v>0.6852893518518518</v>
      </c>
      <c r="C155" t="s">
        <v>158</v>
      </c>
      <c r="D155" t="s">
        <v>159</v>
      </c>
      <c r="E155" t="s">
        <v>160</v>
      </c>
      <c r="F155" t="s">
        <v>220</v>
      </c>
      <c r="G155">
        <v>43990</v>
      </c>
      <c r="H155" t="s">
        <v>162</v>
      </c>
      <c r="I155" t="s">
        <v>189</v>
      </c>
    </row>
    <row r="156" spans="1:9">
      <c r="A156" s="50">
        <v>46134</v>
      </c>
      <c r="B156" s="51">
        <v>0.6852893518518518</v>
      </c>
      <c r="C156" t="s">
        <v>165</v>
      </c>
      <c r="D156" t="s">
        <v>35</v>
      </c>
      <c r="E156" t="s">
        <v>231</v>
      </c>
      <c r="F156" t="s">
        <v>232</v>
      </c>
      <c r="G156">
        <v>-44000</v>
      </c>
      <c r="H156" t="s">
        <v>162</v>
      </c>
      <c r="I156" t="s">
        <v>189</v>
      </c>
    </row>
    <row r="157" spans="1:9">
      <c r="A157" s="50">
        <v>46134</v>
      </c>
      <c r="B157" s="51">
        <v>0.6764236111111112</v>
      </c>
      <c r="C157" t="s">
        <v>158</v>
      </c>
      <c r="D157" t="s">
        <v>158</v>
      </c>
      <c r="E157" t="s">
        <v>160</v>
      </c>
      <c r="F157" t="s">
        <v>283</v>
      </c>
      <c r="G157">
        <v>44000</v>
      </c>
      <c r="H157" t="s">
        <v>162</v>
      </c>
      <c r="I157" t="s">
        <v>60</v>
      </c>
    </row>
    <row r="158" spans="1:9">
      <c r="A158" s="50">
        <v>46133</v>
      </c>
      <c r="B158" s="51">
        <v>0.8430324074074074</v>
      </c>
      <c r="C158" t="s">
        <v>165</v>
      </c>
      <c r="D158" t="s">
        <v>38</v>
      </c>
      <c r="E158" t="s">
        <v>166</v>
      </c>
      <c r="F158" t="s">
        <v>242</v>
      </c>
      <c r="G158">
        <v>-5180</v>
      </c>
      <c r="H158" t="s">
        <v>162</v>
      </c>
      <c r="I158" t="s">
        <v>173</v>
      </c>
    </row>
    <row r="159" spans="1:9">
      <c r="A159" s="50">
        <v>46133</v>
      </c>
      <c r="B159" s="51">
        <v>0.8362152777777778</v>
      </c>
      <c r="C159" t="s">
        <v>165</v>
      </c>
      <c r="D159" t="s">
        <v>42</v>
      </c>
      <c r="E159" t="s">
        <v>247</v>
      </c>
      <c r="F159" t="s">
        <v>248</v>
      </c>
      <c r="G159">
        <v>-27900</v>
      </c>
      <c r="H159" t="s">
        <v>162</v>
      </c>
      <c r="I159" t="s">
        <v>60</v>
      </c>
    </row>
    <row r="160" spans="1:9">
      <c r="A160" s="50">
        <v>46133</v>
      </c>
      <c r="B160" s="51">
        <v>0.4047800925925926</v>
      </c>
      <c r="C160" t="s">
        <v>165</v>
      </c>
      <c r="D160" t="s">
        <v>45</v>
      </c>
      <c r="E160" t="s">
        <v>227</v>
      </c>
      <c r="F160" t="s">
        <v>228</v>
      </c>
      <c r="G160">
        <v>-32900</v>
      </c>
      <c r="H160" t="s">
        <v>162</v>
      </c>
      <c r="I160" t="s">
        <v>57</v>
      </c>
    </row>
    <row r="161" spans="1:9">
      <c r="A161" s="50">
        <v>46133</v>
      </c>
      <c r="B161" s="51">
        <v>0.3453587962962963</v>
      </c>
      <c r="C161" t="s">
        <v>158</v>
      </c>
      <c r="D161" t="s">
        <v>159</v>
      </c>
      <c r="E161" t="s">
        <v>160</v>
      </c>
      <c r="F161" t="s">
        <v>284</v>
      </c>
      <c r="G161">
        <v>-5000000</v>
      </c>
      <c r="H161" t="s">
        <v>162</v>
      </c>
      <c r="I161" t="s">
        <v>60</v>
      </c>
    </row>
    <row r="162" spans="1:9">
      <c r="A162" s="50">
        <v>46133</v>
      </c>
      <c r="B162" s="51">
        <v>0.3448148148148148</v>
      </c>
      <c r="C162" t="s">
        <v>158</v>
      </c>
      <c r="D162" t="s">
        <v>159</v>
      </c>
      <c r="E162" t="s">
        <v>160</v>
      </c>
      <c r="F162" t="s">
        <v>284</v>
      </c>
      <c r="G162">
        <v>-5000000</v>
      </c>
      <c r="H162" t="s">
        <v>162</v>
      </c>
      <c r="I162" t="s">
        <v>60</v>
      </c>
    </row>
    <row r="163" spans="1:9">
      <c r="A163" s="50">
        <v>46133</v>
      </c>
      <c r="B163" s="51">
        <v>0.1414351851851852</v>
      </c>
      <c r="C163" t="s">
        <v>165</v>
      </c>
      <c r="D163" t="s">
        <v>35</v>
      </c>
      <c r="E163" t="s">
        <v>218</v>
      </c>
      <c r="F163" t="s">
        <v>285</v>
      </c>
      <c r="G163">
        <v>-35950</v>
      </c>
      <c r="H163" t="s">
        <v>162</v>
      </c>
      <c r="I163" t="s">
        <v>60</v>
      </c>
    </row>
    <row r="164" spans="1:9">
      <c r="A164" s="50">
        <v>46133</v>
      </c>
      <c r="B164" s="51">
        <v>0.06280092592592593</v>
      </c>
      <c r="C164" t="s">
        <v>158</v>
      </c>
      <c r="D164" t="s">
        <v>158</v>
      </c>
      <c r="E164" t="s">
        <v>160</v>
      </c>
      <c r="F164" t="s">
        <v>170</v>
      </c>
      <c r="G164">
        <v>10000000</v>
      </c>
      <c r="H164" t="s">
        <v>162</v>
      </c>
      <c r="I164" t="s">
        <v>60</v>
      </c>
    </row>
    <row r="165" spans="1:9">
      <c r="A165" s="50">
        <v>46132</v>
      </c>
      <c r="B165" s="51">
        <v>0.7562037037037037</v>
      </c>
      <c r="C165" t="s">
        <v>165</v>
      </c>
      <c r="D165" t="s">
        <v>44</v>
      </c>
      <c r="E165" t="s">
        <v>182</v>
      </c>
      <c r="F165" t="s">
        <v>183</v>
      </c>
      <c r="G165">
        <v>-60000</v>
      </c>
      <c r="H165" t="s">
        <v>162</v>
      </c>
      <c r="I165" t="s">
        <v>173</v>
      </c>
    </row>
    <row r="166" spans="1:9">
      <c r="A166" s="50">
        <v>46131</v>
      </c>
      <c r="B166" s="51">
        <v>0.598912037037037</v>
      </c>
      <c r="C166" t="s">
        <v>165</v>
      </c>
      <c r="D166" t="s">
        <v>42</v>
      </c>
      <c r="E166" t="s">
        <v>171</v>
      </c>
      <c r="F166" t="s">
        <v>239</v>
      </c>
      <c r="G166">
        <v>-1000</v>
      </c>
      <c r="H166" t="s">
        <v>162</v>
      </c>
      <c r="I166" t="s">
        <v>240</v>
      </c>
    </row>
    <row r="167" spans="1:9">
      <c r="A167" s="50">
        <v>46131</v>
      </c>
      <c r="B167" s="51">
        <v>0.4662962962962963</v>
      </c>
      <c r="C167" t="s">
        <v>165</v>
      </c>
      <c r="D167" t="s">
        <v>37</v>
      </c>
      <c r="E167" t="s">
        <v>199</v>
      </c>
      <c r="F167" t="s">
        <v>200</v>
      </c>
      <c r="G167">
        <v>-16000</v>
      </c>
      <c r="H167" t="s">
        <v>162</v>
      </c>
      <c r="I167" t="s">
        <v>173</v>
      </c>
    </row>
    <row r="168" spans="1:9">
      <c r="A168" s="50">
        <v>46129</v>
      </c>
      <c r="B168" s="51">
        <v>0.9954976851851852</v>
      </c>
      <c r="C168" t="s">
        <v>165</v>
      </c>
      <c r="D168" t="s">
        <v>39</v>
      </c>
      <c r="E168" t="s">
        <v>286</v>
      </c>
      <c r="F168" t="s">
        <v>287</v>
      </c>
      <c r="G168">
        <v>-44000</v>
      </c>
      <c r="H168" t="s">
        <v>162</v>
      </c>
      <c r="I168" t="s">
        <v>173</v>
      </c>
    </row>
    <row r="169" spans="1:9">
      <c r="A169" s="50">
        <v>46129</v>
      </c>
      <c r="B169" s="51">
        <v>0.9430555555555555</v>
      </c>
      <c r="C169" t="s">
        <v>165</v>
      </c>
      <c r="D169" t="s">
        <v>40</v>
      </c>
      <c r="E169" t="s">
        <v>288</v>
      </c>
      <c r="F169" t="s">
        <v>289</v>
      </c>
      <c r="G169">
        <v>-80000</v>
      </c>
      <c r="H169" t="s">
        <v>162</v>
      </c>
      <c r="I169" t="s">
        <v>173</v>
      </c>
    </row>
    <row r="170" spans="1:9">
      <c r="A170" s="50">
        <v>46129</v>
      </c>
      <c r="B170" s="51">
        <v>0.5433101851851851</v>
      </c>
      <c r="C170" t="s">
        <v>165</v>
      </c>
      <c r="D170" t="s">
        <v>40</v>
      </c>
      <c r="E170" t="s">
        <v>290</v>
      </c>
      <c r="F170" t="s">
        <v>291</v>
      </c>
      <c r="G170">
        <v>-1300</v>
      </c>
      <c r="H170" t="s">
        <v>162</v>
      </c>
      <c r="I170" t="s">
        <v>173</v>
      </c>
    </row>
    <row r="171" spans="1:9">
      <c r="A171" s="50">
        <v>46127</v>
      </c>
      <c r="B171" s="51">
        <v>0.8457175925925926</v>
      </c>
      <c r="C171" t="s">
        <v>165</v>
      </c>
      <c r="D171" t="s">
        <v>40</v>
      </c>
      <c r="E171" t="s">
        <v>292</v>
      </c>
      <c r="F171" t="s">
        <v>293</v>
      </c>
      <c r="G171">
        <v>-27800</v>
      </c>
      <c r="H171" t="s">
        <v>162</v>
      </c>
      <c r="I171" t="s">
        <v>176</v>
      </c>
    </row>
    <row r="172" spans="1:9">
      <c r="A172" s="50">
        <v>46127</v>
      </c>
      <c r="B172" s="51">
        <v>0.4152777777777778</v>
      </c>
      <c r="C172" t="s">
        <v>165</v>
      </c>
      <c r="D172" t="s">
        <v>42</v>
      </c>
      <c r="E172" t="s">
        <v>171</v>
      </c>
      <c r="F172" t="s">
        <v>172</v>
      </c>
      <c r="G172">
        <v>-4000</v>
      </c>
      <c r="H172" t="s">
        <v>162</v>
      </c>
      <c r="I172" t="s">
        <v>173</v>
      </c>
    </row>
    <row r="173" spans="1:9">
      <c r="A173" s="50">
        <v>46127</v>
      </c>
      <c r="B173" s="51">
        <v>0.08372685185185186</v>
      </c>
      <c r="C173" t="s">
        <v>165</v>
      </c>
      <c r="D173" t="s">
        <v>42</v>
      </c>
      <c r="E173" t="s">
        <v>264</v>
      </c>
      <c r="F173" t="s">
        <v>294</v>
      </c>
      <c r="G173">
        <v>-34000</v>
      </c>
      <c r="H173" t="s">
        <v>162</v>
      </c>
      <c r="I173" t="s">
        <v>173</v>
      </c>
    </row>
    <row r="174" spans="1:9">
      <c r="A174" s="50">
        <v>46126</v>
      </c>
      <c r="B174" s="51">
        <v>0.5879166666666666</v>
      </c>
      <c r="C174" t="s">
        <v>165</v>
      </c>
      <c r="D174" t="s">
        <v>44</v>
      </c>
      <c r="E174" t="s">
        <v>197</v>
      </c>
      <c r="F174" t="s">
        <v>198</v>
      </c>
      <c r="G174">
        <v>-50000</v>
      </c>
      <c r="H174" t="s">
        <v>162</v>
      </c>
      <c r="I174" t="s">
        <v>173</v>
      </c>
    </row>
    <row r="175" spans="1:9">
      <c r="A175" s="50">
        <v>46126</v>
      </c>
      <c r="B175" s="51">
        <v>0.5168402777777777</v>
      </c>
      <c r="C175" t="s">
        <v>165</v>
      </c>
      <c r="D175" t="s">
        <v>46</v>
      </c>
      <c r="E175" t="s">
        <v>193</v>
      </c>
      <c r="F175" t="s">
        <v>241</v>
      </c>
      <c r="G175">
        <v>-10000</v>
      </c>
      <c r="H175" t="s">
        <v>162</v>
      </c>
      <c r="I175" t="s">
        <v>173</v>
      </c>
    </row>
    <row r="176" spans="1:9">
      <c r="A176" s="50">
        <v>46125</v>
      </c>
      <c r="B176" s="51">
        <v>0.1273726851851852</v>
      </c>
      <c r="C176" t="s">
        <v>165</v>
      </c>
      <c r="D176" t="s">
        <v>45</v>
      </c>
      <c r="E176" t="s">
        <v>227</v>
      </c>
      <c r="F176" t="s">
        <v>180</v>
      </c>
      <c r="G176">
        <v>-77797</v>
      </c>
      <c r="H176" t="s">
        <v>162</v>
      </c>
      <c r="I176" t="s">
        <v>60</v>
      </c>
    </row>
    <row r="177" spans="1:9">
      <c r="A177" s="50">
        <v>46124</v>
      </c>
      <c r="B177" s="51">
        <v>0.6422453703703703</v>
      </c>
      <c r="C177" t="s">
        <v>165</v>
      </c>
      <c r="D177" t="s">
        <v>38</v>
      </c>
      <c r="E177" t="s">
        <v>186</v>
      </c>
      <c r="F177" t="s">
        <v>187</v>
      </c>
      <c r="G177">
        <v>-170000</v>
      </c>
      <c r="H177" t="s">
        <v>162</v>
      </c>
      <c r="I177" t="s">
        <v>184</v>
      </c>
    </row>
    <row r="178" spans="1:9">
      <c r="A178" s="50">
        <v>46124</v>
      </c>
      <c r="B178" s="51">
        <v>0.4145138888888889</v>
      </c>
      <c r="C178" t="s">
        <v>165</v>
      </c>
      <c r="D178" t="s">
        <v>44</v>
      </c>
      <c r="E178" t="s">
        <v>182</v>
      </c>
      <c r="F178" t="s">
        <v>295</v>
      </c>
      <c r="G178">
        <v>-50000</v>
      </c>
      <c r="H178" t="s">
        <v>162</v>
      </c>
      <c r="I178" t="s">
        <v>173</v>
      </c>
    </row>
    <row r="179" spans="1:9">
      <c r="A179" s="50">
        <v>46124</v>
      </c>
      <c r="B179" s="51">
        <v>0.4134953703703704</v>
      </c>
      <c r="C179" t="s">
        <v>165</v>
      </c>
      <c r="D179" t="s">
        <v>46</v>
      </c>
      <c r="E179" t="s">
        <v>296</v>
      </c>
      <c r="F179" t="s">
        <v>297</v>
      </c>
      <c r="G179">
        <v>-2600</v>
      </c>
      <c r="H179" t="s">
        <v>162</v>
      </c>
      <c r="I179" t="s">
        <v>173</v>
      </c>
    </row>
    <row r="180" spans="1:9">
      <c r="A180" s="50">
        <v>46123</v>
      </c>
      <c r="B180" s="51">
        <v>0.7735763888888889</v>
      </c>
      <c r="C180" t="s">
        <v>158</v>
      </c>
      <c r="D180" t="s">
        <v>158</v>
      </c>
      <c r="E180" t="s">
        <v>160</v>
      </c>
      <c r="F180" t="s">
        <v>233</v>
      </c>
      <c r="G180">
        <v>-301300</v>
      </c>
      <c r="H180" t="s">
        <v>162</v>
      </c>
      <c r="I180" t="s">
        <v>60</v>
      </c>
    </row>
    <row r="181" spans="1:9">
      <c r="A181" s="50">
        <v>46123</v>
      </c>
      <c r="B181" s="51">
        <v>0.7190972222222223</v>
      </c>
      <c r="C181" t="s">
        <v>165</v>
      </c>
      <c r="D181" t="s">
        <v>35</v>
      </c>
      <c r="E181" t="s">
        <v>260</v>
      </c>
      <c r="F181" t="s">
        <v>298</v>
      </c>
      <c r="G181">
        <v>-200000</v>
      </c>
      <c r="H181" t="s">
        <v>162</v>
      </c>
      <c r="I181" t="s">
        <v>60</v>
      </c>
    </row>
    <row r="182" spans="1:9">
      <c r="A182" s="50">
        <v>46123</v>
      </c>
      <c r="B182" s="51">
        <v>0.7125115740740741</v>
      </c>
      <c r="C182" t="s">
        <v>165</v>
      </c>
      <c r="D182" t="s">
        <v>35</v>
      </c>
      <c r="E182" t="s">
        <v>231</v>
      </c>
      <c r="F182" t="s">
        <v>232</v>
      </c>
      <c r="G182">
        <v>-100000</v>
      </c>
      <c r="H182" t="s">
        <v>162</v>
      </c>
      <c r="I182" t="s">
        <v>189</v>
      </c>
    </row>
    <row r="183" spans="1:9">
      <c r="A183" s="50">
        <v>46123</v>
      </c>
      <c r="B183" s="51">
        <v>0.7125</v>
      </c>
      <c r="C183" t="s">
        <v>158</v>
      </c>
      <c r="D183" t="s">
        <v>159</v>
      </c>
      <c r="E183" t="s">
        <v>160</v>
      </c>
      <c r="F183" t="s">
        <v>233</v>
      </c>
      <c r="G183">
        <v>-77083</v>
      </c>
      <c r="H183" t="s">
        <v>162</v>
      </c>
      <c r="I183" t="s">
        <v>60</v>
      </c>
    </row>
    <row r="184" spans="1:9">
      <c r="A184" s="50">
        <v>46123</v>
      </c>
      <c r="B184" s="51">
        <v>0.7125</v>
      </c>
      <c r="C184" t="s">
        <v>158</v>
      </c>
      <c r="D184" t="s">
        <v>159</v>
      </c>
      <c r="E184" t="s">
        <v>160</v>
      </c>
      <c r="F184" t="s">
        <v>220</v>
      </c>
      <c r="G184">
        <v>77083</v>
      </c>
      <c r="H184" t="s">
        <v>162</v>
      </c>
      <c r="I184" t="s">
        <v>189</v>
      </c>
    </row>
    <row r="185" spans="1:9">
      <c r="A185" s="50">
        <v>46123</v>
      </c>
      <c r="B185" s="51">
        <v>0.4096527777777778</v>
      </c>
      <c r="C185" t="s">
        <v>165</v>
      </c>
      <c r="D185" t="s">
        <v>38</v>
      </c>
      <c r="E185" t="s">
        <v>266</v>
      </c>
      <c r="F185" t="s">
        <v>299</v>
      </c>
      <c r="G185">
        <v>-2100</v>
      </c>
      <c r="H185" t="s">
        <v>162</v>
      </c>
      <c r="I185" t="s">
        <v>173</v>
      </c>
    </row>
    <row r="186" spans="1:9">
      <c r="A186" s="50">
        <v>46122</v>
      </c>
      <c r="B186" s="51">
        <v>0.7825810185185185</v>
      </c>
      <c r="C186" t="s">
        <v>165</v>
      </c>
      <c r="D186" t="s">
        <v>44</v>
      </c>
      <c r="E186" t="s">
        <v>300</v>
      </c>
      <c r="F186" t="s">
        <v>301</v>
      </c>
      <c r="G186">
        <v>-5500</v>
      </c>
      <c r="H186" t="s">
        <v>162</v>
      </c>
      <c r="I186" t="s">
        <v>173</v>
      </c>
    </row>
    <row r="187" spans="1:9">
      <c r="A187" s="50">
        <v>46121</v>
      </c>
      <c r="B187" s="51">
        <v>0.8314930555555555</v>
      </c>
      <c r="C187" t="s">
        <v>165</v>
      </c>
      <c r="D187" t="s">
        <v>47</v>
      </c>
      <c r="E187" t="s">
        <v>302</v>
      </c>
      <c r="F187" t="s">
        <v>303</v>
      </c>
      <c r="G187">
        <v>-36100</v>
      </c>
      <c r="H187" t="s">
        <v>162</v>
      </c>
      <c r="I187" t="s">
        <v>176</v>
      </c>
    </row>
    <row r="188" spans="1:9">
      <c r="A188" s="50">
        <v>46121</v>
      </c>
      <c r="B188" s="51">
        <v>0.8209143518518518</v>
      </c>
      <c r="C188" t="s">
        <v>165</v>
      </c>
      <c r="D188" t="s">
        <v>36</v>
      </c>
      <c r="E188" t="s">
        <v>254</v>
      </c>
      <c r="F188" t="s">
        <v>255</v>
      </c>
      <c r="G188">
        <v>-180000</v>
      </c>
      <c r="H188" t="s">
        <v>162</v>
      </c>
      <c r="I188" t="s">
        <v>173</v>
      </c>
    </row>
    <row r="189" spans="1:9">
      <c r="A189" s="50">
        <v>46121</v>
      </c>
      <c r="B189" s="51">
        <v>0.5411921296296296</v>
      </c>
      <c r="C189" t="s">
        <v>165</v>
      </c>
      <c r="D189" t="s">
        <v>44</v>
      </c>
      <c r="E189" t="s">
        <v>182</v>
      </c>
      <c r="F189" t="s">
        <v>183</v>
      </c>
      <c r="G189">
        <v>-40000</v>
      </c>
      <c r="H189" t="s">
        <v>162</v>
      </c>
      <c r="I189" t="s">
        <v>184</v>
      </c>
    </row>
    <row r="190" spans="1:9">
      <c r="A190" s="50">
        <v>46120</v>
      </c>
      <c r="B190" s="51">
        <v>0.6483680555555555</v>
      </c>
      <c r="C190" t="s">
        <v>158</v>
      </c>
      <c r="D190" t="s">
        <v>304</v>
      </c>
      <c r="E190" t="s">
        <v>160</v>
      </c>
      <c r="F190" t="s">
        <v>305</v>
      </c>
      <c r="G190">
        <v>50000</v>
      </c>
      <c r="H190" t="s">
        <v>162</v>
      </c>
      <c r="I190" t="s">
        <v>60</v>
      </c>
    </row>
    <row r="191" spans="1:9">
      <c r="A191" s="50">
        <v>46120</v>
      </c>
      <c r="B191" s="51">
        <v>0.5896296296296296</v>
      </c>
      <c r="C191" t="s">
        <v>158</v>
      </c>
      <c r="D191" t="s">
        <v>158</v>
      </c>
      <c r="E191" t="s">
        <v>160</v>
      </c>
      <c r="F191" t="s">
        <v>306</v>
      </c>
      <c r="G191">
        <v>-6380</v>
      </c>
      <c r="H191" t="s">
        <v>162</v>
      </c>
      <c r="I191" t="s">
        <v>189</v>
      </c>
    </row>
    <row r="192" spans="1:9">
      <c r="A192" s="50">
        <v>46119</v>
      </c>
      <c r="B192" s="51">
        <v>0.5165509259259259</v>
      </c>
      <c r="C192" t="s">
        <v>165</v>
      </c>
      <c r="D192" t="s">
        <v>40</v>
      </c>
      <c r="E192" t="s">
        <v>195</v>
      </c>
      <c r="F192" t="s">
        <v>307</v>
      </c>
      <c r="G192">
        <v>-16000</v>
      </c>
      <c r="H192" t="s">
        <v>162</v>
      </c>
      <c r="I192" t="s">
        <v>184</v>
      </c>
    </row>
    <row r="193" spans="1:9">
      <c r="A193" s="50">
        <v>46118</v>
      </c>
      <c r="B193" s="51">
        <v>0.5149768518518518</v>
      </c>
      <c r="C193" t="s">
        <v>165</v>
      </c>
      <c r="D193" t="s">
        <v>46</v>
      </c>
      <c r="E193" t="s">
        <v>193</v>
      </c>
      <c r="F193" t="s">
        <v>194</v>
      </c>
      <c r="G193">
        <v>-7500</v>
      </c>
      <c r="H193" t="s">
        <v>162</v>
      </c>
      <c r="I193" t="s">
        <v>184</v>
      </c>
    </row>
    <row r="194" spans="1:9">
      <c r="A194" s="50">
        <v>46117</v>
      </c>
      <c r="B194" s="51">
        <v>0.7654282407407408</v>
      </c>
      <c r="C194" t="s">
        <v>165</v>
      </c>
      <c r="D194" t="s">
        <v>47</v>
      </c>
      <c r="E194" t="s">
        <v>308</v>
      </c>
      <c r="F194" t="s">
        <v>309</v>
      </c>
      <c r="G194">
        <v>-225250</v>
      </c>
      <c r="H194" t="s">
        <v>162</v>
      </c>
      <c r="I194" t="s">
        <v>240</v>
      </c>
    </row>
    <row r="195" spans="1:9">
      <c r="A195" s="50">
        <v>46117</v>
      </c>
      <c r="B195" s="51">
        <v>0.7536226851851852</v>
      </c>
      <c r="C195" t="s">
        <v>158</v>
      </c>
      <c r="D195" t="s">
        <v>304</v>
      </c>
      <c r="E195" t="s">
        <v>160</v>
      </c>
      <c r="F195" t="s">
        <v>310</v>
      </c>
      <c r="G195">
        <v>500000</v>
      </c>
      <c r="H195" t="s">
        <v>162</v>
      </c>
      <c r="I195" t="s">
        <v>60</v>
      </c>
    </row>
    <row r="196" spans="1:9">
      <c r="A196" s="50">
        <v>46116</v>
      </c>
      <c r="B196" s="51">
        <v>0.7701736111111112</v>
      </c>
      <c r="C196" t="s">
        <v>165</v>
      </c>
      <c r="D196" t="s">
        <v>42</v>
      </c>
      <c r="E196" t="s">
        <v>264</v>
      </c>
      <c r="F196" t="s">
        <v>311</v>
      </c>
      <c r="G196">
        <v>-11560</v>
      </c>
      <c r="H196" t="s">
        <v>162</v>
      </c>
      <c r="I196" t="s">
        <v>176</v>
      </c>
    </row>
    <row r="197" spans="1:9">
      <c r="A197" s="50">
        <v>46116</v>
      </c>
      <c r="B197" s="51">
        <v>0.6472453703703703</v>
      </c>
      <c r="C197" t="s">
        <v>165</v>
      </c>
      <c r="D197" t="s">
        <v>36</v>
      </c>
      <c r="E197" t="s">
        <v>312</v>
      </c>
      <c r="F197" t="s">
        <v>313</v>
      </c>
      <c r="G197">
        <v>-3000</v>
      </c>
      <c r="H197" t="s">
        <v>162</v>
      </c>
      <c r="I197" t="s">
        <v>173</v>
      </c>
    </row>
    <row r="198" spans="1:9">
      <c r="A198" s="50">
        <v>46115</v>
      </c>
      <c r="B198" s="51">
        <v>0.9427893518518519</v>
      </c>
      <c r="C198" t="s">
        <v>165</v>
      </c>
      <c r="D198" t="s">
        <v>34</v>
      </c>
      <c r="E198" t="s">
        <v>213</v>
      </c>
      <c r="F198" t="s">
        <v>314</v>
      </c>
      <c r="G198">
        <v>-5980</v>
      </c>
      <c r="H198" t="s">
        <v>162</v>
      </c>
      <c r="I198" t="s">
        <v>173</v>
      </c>
    </row>
    <row r="199" spans="1:9">
      <c r="A199" s="50">
        <v>46115</v>
      </c>
      <c r="B199" s="51">
        <v>0.9379050925925926</v>
      </c>
      <c r="C199" t="s">
        <v>165</v>
      </c>
      <c r="D199" t="s">
        <v>34</v>
      </c>
      <c r="E199" t="s">
        <v>213</v>
      </c>
      <c r="F199" t="s">
        <v>315</v>
      </c>
      <c r="G199">
        <v>6000</v>
      </c>
      <c r="H199" t="s">
        <v>162</v>
      </c>
      <c r="I199" t="s">
        <v>173</v>
      </c>
    </row>
    <row r="200" spans="1:9">
      <c r="A200" s="50">
        <v>46115</v>
      </c>
      <c r="B200" s="51">
        <v>0.9378935185185185</v>
      </c>
      <c r="C200" t="s">
        <v>165</v>
      </c>
      <c r="D200" t="s">
        <v>34</v>
      </c>
      <c r="E200" t="s">
        <v>213</v>
      </c>
      <c r="F200" t="s">
        <v>315</v>
      </c>
      <c r="G200">
        <v>-6000</v>
      </c>
      <c r="H200" t="s">
        <v>162</v>
      </c>
      <c r="I200" t="s">
        <v>173</v>
      </c>
    </row>
    <row r="201" spans="1:9">
      <c r="A201" s="50">
        <v>46115</v>
      </c>
      <c r="B201" s="51">
        <v>0.7873958333333333</v>
      </c>
      <c r="C201" t="s">
        <v>165</v>
      </c>
      <c r="D201" t="s">
        <v>40</v>
      </c>
      <c r="E201" t="s">
        <v>316</v>
      </c>
      <c r="F201" t="s">
        <v>317</v>
      </c>
      <c r="G201">
        <v>-1000</v>
      </c>
      <c r="H201" t="s">
        <v>162</v>
      </c>
      <c r="I201" t="s">
        <v>173</v>
      </c>
    </row>
    <row r="202" spans="1:9">
      <c r="A202" s="50">
        <v>46115</v>
      </c>
      <c r="B202" s="51">
        <v>0.7866782407407408</v>
      </c>
      <c r="C202" t="s">
        <v>165</v>
      </c>
      <c r="D202" t="s">
        <v>40</v>
      </c>
      <c r="E202" t="s">
        <v>316</v>
      </c>
      <c r="F202" t="s">
        <v>317</v>
      </c>
      <c r="G202">
        <v>-1000</v>
      </c>
      <c r="H202" t="s">
        <v>162</v>
      </c>
      <c r="I202" t="s">
        <v>173</v>
      </c>
    </row>
    <row r="203" spans="1:9">
      <c r="A203" s="50">
        <v>46115</v>
      </c>
      <c r="B203" s="51">
        <v>0.7859953703703704</v>
      </c>
      <c r="C203" t="s">
        <v>165</v>
      </c>
      <c r="D203" t="s">
        <v>40</v>
      </c>
      <c r="E203" t="s">
        <v>316</v>
      </c>
      <c r="F203" t="s">
        <v>317</v>
      </c>
      <c r="G203">
        <v>-1000</v>
      </c>
      <c r="H203" t="s">
        <v>162</v>
      </c>
      <c r="I203" t="s">
        <v>173</v>
      </c>
    </row>
    <row r="204" spans="1:9">
      <c r="A204" s="50">
        <v>46115</v>
      </c>
      <c r="B204" s="51">
        <v>0.7821875</v>
      </c>
      <c r="C204" t="s">
        <v>165</v>
      </c>
      <c r="D204" t="s">
        <v>40</v>
      </c>
      <c r="E204" t="s">
        <v>316</v>
      </c>
      <c r="F204" t="s">
        <v>317</v>
      </c>
      <c r="G204">
        <v>-1000</v>
      </c>
      <c r="H204" t="s">
        <v>162</v>
      </c>
      <c r="I204" t="s">
        <v>173</v>
      </c>
    </row>
    <row r="205" spans="1:9">
      <c r="A205" s="50">
        <v>46115</v>
      </c>
      <c r="B205" s="51">
        <v>0.7814699074074074</v>
      </c>
      <c r="C205" t="s">
        <v>165</v>
      </c>
      <c r="D205" t="s">
        <v>40</v>
      </c>
      <c r="E205" t="s">
        <v>316</v>
      </c>
      <c r="F205" t="s">
        <v>317</v>
      </c>
      <c r="G205">
        <v>-1000</v>
      </c>
      <c r="H205" t="s">
        <v>162</v>
      </c>
      <c r="I205" t="s">
        <v>173</v>
      </c>
    </row>
    <row r="206" spans="1:9">
      <c r="A206" s="50">
        <v>46115</v>
      </c>
      <c r="B206" s="51">
        <v>0.7808564814814815</v>
      </c>
      <c r="C206" t="s">
        <v>165</v>
      </c>
      <c r="D206" t="s">
        <v>40</v>
      </c>
      <c r="E206" t="s">
        <v>316</v>
      </c>
      <c r="F206" t="s">
        <v>317</v>
      </c>
      <c r="G206">
        <v>-1000</v>
      </c>
      <c r="H206" t="s">
        <v>162</v>
      </c>
      <c r="I206" t="s">
        <v>173</v>
      </c>
    </row>
    <row r="207" spans="1:9">
      <c r="A207" s="50">
        <v>46115</v>
      </c>
      <c r="B207" s="51">
        <v>0.7800462962962963</v>
      </c>
      <c r="C207" t="s">
        <v>165</v>
      </c>
      <c r="D207" t="s">
        <v>40</v>
      </c>
      <c r="E207" t="s">
        <v>316</v>
      </c>
      <c r="F207" t="s">
        <v>317</v>
      </c>
      <c r="G207">
        <v>-1000</v>
      </c>
      <c r="H207" t="s">
        <v>162</v>
      </c>
      <c r="I207" t="s">
        <v>173</v>
      </c>
    </row>
    <row r="208" spans="1:9">
      <c r="A208" s="50">
        <v>46115</v>
      </c>
      <c r="B208" s="51">
        <v>0.5003935185185185</v>
      </c>
      <c r="C208" t="s">
        <v>165</v>
      </c>
      <c r="D208" t="s">
        <v>44</v>
      </c>
      <c r="E208" t="s">
        <v>182</v>
      </c>
      <c r="F208" t="s">
        <v>183</v>
      </c>
      <c r="G208">
        <v>-40000</v>
      </c>
      <c r="H208" t="s">
        <v>162</v>
      </c>
      <c r="I208" t="s">
        <v>184</v>
      </c>
    </row>
    <row r="209" spans="1:9">
      <c r="A209" s="50">
        <v>46114</v>
      </c>
      <c r="B209" s="51">
        <v>0.4760532407407407</v>
      </c>
      <c r="C209" t="s">
        <v>165</v>
      </c>
      <c r="D209" t="s">
        <v>35</v>
      </c>
      <c r="E209" t="s">
        <v>174</v>
      </c>
      <c r="F209" t="s">
        <v>203</v>
      </c>
      <c r="G209">
        <v>-1100</v>
      </c>
      <c r="H209" t="s">
        <v>162</v>
      </c>
      <c r="I209" t="s">
        <v>173</v>
      </c>
    </row>
    <row r="210" spans="1:9">
      <c r="A210" s="50">
        <v>46113</v>
      </c>
      <c r="B210" s="51">
        <v>0.7683449074074075</v>
      </c>
      <c r="C210" t="s">
        <v>158</v>
      </c>
      <c r="D210" t="s">
        <v>158</v>
      </c>
      <c r="E210" t="s">
        <v>160</v>
      </c>
      <c r="F210" t="s">
        <v>190</v>
      </c>
      <c r="G210">
        <v>9000</v>
      </c>
      <c r="H210" t="s">
        <v>162</v>
      </c>
      <c r="I210" t="s">
        <v>189</v>
      </c>
    </row>
    <row r="211" spans="1:9">
      <c r="A211" s="50">
        <v>46113</v>
      </c>
      <c r="B211" s="51">
        <v>0.642337962962963</v>
      </c>
      <c r="C211" t="s">
        <v>158</v>
      </c>
      <c r="D211" t="s">
        <v>158</v>
      </c>
      <c r="E211" t="s">
        <v>160</v>
      </c>
      <c r="F211" t="s">
        <v>226</v>
      </c>
      <c r="G211">
        <v>9000</v>
      </c>
      <c r="H211" t="s">
        <v>162</v>
      </c>
      <c r="I211" t="s">
        <v>189</v>
      </c>
    </row>
    <row r="212" spans="1:9">
      <c r="A212" s="50">
        <v>46113</v>
      </c>
      <c r="B212" s="51">
        <v>0.6422453703703703</v>
      </c>
      <c r="C212" t="s">
        <v>158</v>
      </c>
      <c r="D212" t="s">
        <v>158</v>
      </c>
      <c r="E212" t="s">
        <v>160</v>
      </c>
      <c r="F212" t="s">
        <v>191</v>
      </c>
      <c r="G212">
        <v>9000</v>
      </c>
      <c r="H212" t="s">
        <v>162</v>
      </c>
      <c r="I212" t="s">
        <v>189</v>
      </c>
    </row>
    <row r="213" spans="1:9">
      <c r="A213" s="50">
        <v>46113</v>
      </c>
      <c r="B213" s="51">
        <v>0.5854861111111112</v>
      </c>
      <c r="C213" t="s">
        <v>158</v>
      </c>
      <c r="D213" t="s">
        <v>158</v>
      </c>
      <c r="E213" t="s">
        <v>160</v>
      </c>
      <c r="F213" t="s">
        <v>318</v>
      </c>
      <c r="G213">
        <v>9000</v>
      </c>
      <c r="H213" t="s">
        <v>162</v>
      </c>
      <c r="I213" t="s">
        <v>189</v>
      </c>
    </row>
    <row r="214" spans="1:9">
      <c r="A214" s="50">
        <v>46113</v>
      </c>
      <c r="B214" s="51">
        <v>0.5742824074074074</v>
      </c>
      <c r="C214" t="s">
        <v>158</v>
      </c>
      <c r="D214" t="s">
        <v>158</v>
      </c>
      <c r="E214" t="s">
        <v>160</v>
      </c>
      <c r="F214" t="s">
        <v>188</v>
      </c>
      <c r="G214">
        <v>9000</v>
      </c>
      <c r="H214" t="s">
        <v>162</v>
      </c>
      <c r="I214" t="s">
        <v>189</v>
      </c>
    </row>
    <row r="215" spans="1:9">
      <c r="A215" s="50">
        <v>46113</v>
      </c>
      <c r="B215" s="51">
        <v>0.5250925925925926</v>
      </c>
      <c r="C215" t="s">
        <v>165</v>
      </c>
      <c r="D215" t="s">
        <v>40</v>
      </c>
      <c r="E215" t="s">
        <v>288</v>
      </c>
      <c r="F215" t="s">
        <v>319</v>
      </c>
      <c r="G215">
        <v>-54000</v>
      </c>
      <c r="H215" t="s">
        <v>162</v>
      </c>
      <c r="I215" t="s">
        <v>184</v>
      </c>
    </row>
    <row r="216" spans="1:9">
      <c r="A216" s="50">
        <v>46113</v>
      </c>
      <c r="B216" s="51">
        <v>0.4209837962962963</v>
      </c>
      <c r="C216" t="s">
        <v>158</v>
      </c>
      <c r="D216" t="s">
        <v>158</v>
      </c>
      <c r="E216" t="s">
        <v>160</v>
      </c>
      <c r="F216" t="s">
        <v>204</v>
      </c>
      <c r="G216">
        <v>-300000</v>
      </c>
      <c r="H216" t="s">
        <v>162</v>
      </c>
      <c r="I216" t="s">
        <v>60</v>
      </c>
    </row>
    <row r="217" spans="1:9">
      <c r="A217" s="50">
        <v>46112</v>
      </c>
      <c r="B217" s="51">
        <v>0.74375</v>
      </c>
      <c r="C217" t="s">
        <v>165</v>
      </c>
      <c r="D217" t="s">
        <v>38</v>
      </c>
      <c r="E217" t="s">
        <v>186</v>
      </c>
      <c r="F217" t="s">
        <v>320</v>
      </c>
      <c r="G217">
        <v>-2000</v>
      </c>
      <c r="H217" t="s">
        <v>162</v>
      </c>
      <c r="I217" t="s">
        <v>173</v>
      </c>
    </row>
    <row r="218" spans="1:9">
      <c r="A218" s="50">
        <v>46112</v>
      </c>
      <c r="B218" s="51">
        <v>0.6367824074074074</v>
      </c>
      <c r="C218" t="s">
        <v>165</v>
      </c>
      <c r="D218" t="s">
        <v>45</v>
      </c>
      <c r="E218" t="s">
        <v>205</v>
      </c>
      <c r="F218" t="s">
        <v>206</v>
      </c>
      <c r="G218">
        <v>-229000</v>
      </c>
      <c r="H218" t="s">
        <v>162</v>
      </c>
      <c r="I218" t="s">
        <v>173</v>
      </c>
    </row>
    <row r="219" spans="1:9">
      <c r="A219" s="50">
        <v>46112</v>
      </c>
      <c r="B219" s="51">
        <v>0.526261574074074</v>
      </c>
      <c r="C219" t="s">
        <v>158</v>
      </c>
      <c r="D219" t="s">
        <v>159</v>
      </c>
      <c r="E219" t="s">
        <v>160</v>
      </c>
      <c r="F219" t="s">
        <v>7</v>
      </c>
      <c r="G219">
        <v>-500000</v>
      </c>
      <c r="H219" t="s">
        <v>162</v>
      </c>
      <c r="I219" t="s">
        <v>57</v>
      </c>
    </row>
    <row r="220" spans="1:9">
      <c r="A220" s="50">
        <v>46112</v>
      </c>
      <c r="B220" s="51">
        <v>0.03959490740740741</v>
      </c>
      <c r="C220" t="s">
        <v>165</v>
      </c>
      <c r="D220" t="s">
        <v>42</v>
      </c>
      <c r="E220" t="s">
        <v>264</v>
      </c>
      <c r="F220" t="s">
        <v>294</v>
      </c>
      <c r="G220">
        <v>-9928</v>
      </c>
      <c r="H220" t="s">
        <v>162</v>
      </c>
      <c r="I220" t="s">
        <v>173</v>
      </c>
    </row>
    <row r="221" spans="1:9">
      <c r="A221" s="50">
        <v>46111</v>
      </c>
      <c r="B221" s="51">
        <v>0.7842013888888889</v>
      </c>
      <c r="C221" t="s">
        <v>165</v>
      </c>
      <c r="D221" t="s">
        <v>46</v>
      </c>
      <c r="E221" t="s">
        <v>245</v>
      </c>
      <c r="F221" t="s">
        <v>246</v>
      </c>
      <c r="G221">
        <v>-80000</v>
      </c>
      <c r="H221" t="s">
        <v>162</v>
      </c>
      <c r="I221" t="s">
        <v>173</v>
      </c>
    </row>
    <row r="222" spans="1:9">
      <c r="A222" s="50">
        <v>46110</v>
      </c>
      <c r="B222" s="51">
        <v>0.8892245370370371</v>
      </c>
      <c r="C222" t="s">
        <v>165</v>
      </c>
      <c r="D222" t="s">
        <v>38</v>
      </c>
      <c r="E222" t="s">
        <v>266</v>
      </c>
      <c r="F222" t="s">
        <v>267</v>
      </c>
      <c r="G222">
        <v>-7600</v>
      </c>
      <c r="H222" t="s">
        <v>162</v>
      </c>
      <c r="I222" t="s">
        <v>173</v>
      </c>
    </row>
    <row r="223" spans="1:9">
      <c r="A223" s="50">
        <v>46110</v>
      </c>
      <c r="B223" s="51">
        <v>0.451712962962963</v>
      </c>
      <c r="C223" t="s">
        <v>158</v>
      </c>
      <c r="D223" t="s">
        <v>160</v>
      </c>
      <c r="E223" t="s">
        <v>160</v>
      </c>
      <c r="F223" t="s">
        <v>210</v>
      </c>
      <c r="G223">
        <v>0</v>
      </c>
      <c r="H223" t="s">
        <v>162</v>
      </c>
      <c r="I223" t="s">
        <v>59</v>
      </c>
    </row>
    <row r="224" spans="1:9">
      <c r="A224" s="50">
        <v>46109</v>
      </c>
      <c r="B224" s="51">
        <v>0.652349537037037</v>
      </c>
      <c r="C224" t="s">
        <v>165</v>
      </c>
      <c r="D224" t="s">
        <v>46</v>
      </c>
      <c r="E224" t="s">
        <v>193</v>
      </c>
      <c r="F224" t="s">
        <v>321</v>
      </c>
      <c r="G224">
        <v>-19300</v>
      </c>
      <c r="H224" t="s">
        <v>162</v>
      </c>
      <c r="I224" t="s">
        <v>173</v>
      </c>
    </row>
    <row r="225" spans="1:9">
      <c r="A225" s="50">
        <v>46109</v>
      </c>
      <c r="B225" s="51">
        <v>0.6222569444444445</v>
      </c>
      <c r="C225" t="s">
        <v>158</v>
      </c>
      <c r="D225" t="s">
        <v>159</v>
      </c>
      <c r="E225" t="s">
        <v>160</v>
      </c>
      <c r="F225" t="s">
        <v>322</v>
      </c>
      <c r="G225">
        <v>-40000</v>
      </c>
      <c r="H225" t="s">
        <v>162</v>
      </c>
      <c r="I225" t="s">
        <v>60</v>
      </c>
    </row>
    <row r="226" spans="1:9">
      <c r="A226" s="50">
        <v>46109</v>
      </c>
      <c r="B226" s="51">
        <v>0.5878587962962963</v>
      </c>
      <c r="C226" t="s">
        <v>165</v>
      </c>
      <c r="D226" t="s">
        <v>38</v>
      </c>
      <c r="E226" t="s">
        <v>323</v>
      </c>
      <c r="F226" t="s">
        <v>324</v>
      </c>
      <c r="G226">
        <v>-11400</v>
      </c>
      <c r="H226" t="s">
        <v>162</v>
      </c>
      <c r="I226" t="s">
        <v>173</v>
      </c>
    </row>
    <row r="227" spans="1:9">
      <c r="A227" s="50">
        <v>46109</v>
      </c>
      <c r="B227" s="51">
        <v>0.5717708333333333</v>
      </c>
      <c r="C227" t="s">
        <v>165</v>
      </c>
      <c r="D227" t="s">
        <v>37</v>
      </c>
      <c r="E227" t="s">
        <v>199</v>
      </c>
      <c r="F227" t="s">
        <v>200</v>
      </c>
      <c r="G227">
        <v>-16000</v>
      </c>
      <c r="H227" t="s">
        <v>162</v>
      </c>
      <c r="I227" t="s">
        <v>173</v>
      </c>
    </row>
    <row r="228" spans="1:9">
      <c r="A228" s="50">
        <v>46109</v>
      </c>
      <c r="B228" s="51">
        <v>0.1404861111111111</v>
      </c>
      <c r="C228" t="s">
        <v>207</v>
      </c>
      <c r="D228" t="s">
        <v>28</v>
      </c>
      <c r="E228" t="s">
        <v>160</v>
      </c>
      <c r="F228" t="s">
        <v>211</v>
      </c>
      <c r="G228">
        <v>0</v>
      </c>
      <c r="H228" t="s">
        <v>162</v>
      </c>
      <c r="I228" t="s">
        <v>58</v>
      </c>
    </row>
    <row r="229" spans="1:9">
      <c r="A229" s="50">
        <v>46108</v>
      </c>
      <c r="B229" s="51">
        <v>0.4610879629629629</v>
      </c>
      <c r="C229" t="s">
        <v>158</v>
      </c>
      <c r="D229" t="s">
        <v>159</v>
      </c>
      <c r="E229" t="s">
        <v>160</v>
      </c>
      <c r="F229" t="s">
        <v>209</v>
      </c>
      <c r="G229">
        <v>-100000</v>
      </c>
      <c r="H229" t="s">
        <v>162</v>
      </c>
      <c r="I229" t="s">
        <v>60</v>
      </c>
    </row>
    <row r="230" spans="1:9">
      <c r="A230" s="50">
        <v>46107</v>
      </c>
      <c r="B230" s="51">
        <v>0.7591203703703704</v>
      </c>
      <c r="C230" t="s">
        <v>165</v>
      </c>
      <c r="D230" t="s">
        <v>40</v>
      </c>
      <c r="E230" t="s">
        <v>292</v>
      </c>
      <c r="F230" t="s">
        <v>293</v>
      </c>
      <c r="G230">
        <v>-18000</v>
      </c>
      <c r="H230" t="s">
        <v>162</v>
      </c>
      <c r="I230" t="s">
        <v>176</v>
      </c>
    </row>
    <row r="231" spans="1:9">
      <c r="A231" s="50">
        <v>46107</v>
      </c>
      <c r="B231" s="51">
        <v>0.7173611111111111</v>
      </c>
      <c r="C231" t="s">
        <v>158</v>
      </c>
      <c r="D231" t="s">
        <v>158</v>
      </c>
      <c r="E231" t="s">
        <v>160</v>
      </c>
      <c r="F231" t="s">
        <v>215</v>
      </c>
      <c r="G231">
        <v>-17800</v>
      </c>
      <c r="H231" t="s">
        <v>162</v>
      </c>
      <c r="I231" t="s">
        <v>60</v>
      </c>
    </row>
    <row r="232" spans="1:9">
      <c r="A232" s="50">
        <v>46106</v>
      </c>
      <c r="B232" s="51">
        <v>0.7797916666666667</v>
      </c>
      <c r="C232" t="s">
        <v>165</v>
      </c>
      <c r="D232" t="s">
        <v>45</v>
      </c>
      <c r="E232" t="s">
        <v>224</v>
      </c>
      <c r="F232" t="s">
        <v>225</v>
      </c>
      <c r="G232">
        <v>-261930</v>
      </c>
      <c r="H232" t="s">
        <v>162</v>
      </c>
      <c r="I232" t="s">
        <v>173</v>
      </c>
    </row>
    <row r="233" spans="1:9">
      <c r="A233" s="50">
        <v>46106</v>
      </c>
      <c r="B233" s="51">
        <v>0.7363657407407408</v>
      </c>
      <c r="C233" t="s">
        <v>158</v>
      </c>
      <c r="D233" t="s">
        <v>216</v>
      </c>
      <c r="E233" t="s">
        <v>160</v>
      </c>
      <c r="F233" t="s">
        <v>217</v>
      </c>
      <c r="G233">
        <v>-1023425</v>
      </c>
      <c r="H233" t="s">
        <v>162</v>
      </c>
      <c r="I233" t="s">
        <v>60</v>
      </c>
    </row>
    <row r="234" spans="1:9">
      <c r="A234" s="50">
        <v>46106</v>
      </c>
      <c r="B234" s="51">
        <v>0.3907407407407407</v>
      </c>
      <c r="C234" t="s">
        <v>165</v>
      </c>
      <c r="D234" t="s">
        <v>35</v>
      </c>
      <c r="E234" t="s">
        <v>221</v>
      </c>
      <c r="F234" t="s">
        <v>222</v>
      </c>
      <c r="G234">
        <v>-3000000</v>
      </c>
      <c r="H234" t="s">
        <v>162</v>
      </c>
      <c r="I234" t="s">
        <v>60</v>
      </c>
    </row>
    <row r="235" spans="1:9">
      <c r="A235" s="50">
        <v>46106</v>
      </c>
      <c r="B235" s="51">
        <v>0.3803587962962963</v>
      </c>
      <c r="C235" t="s">
        <v>207</v>
      </c>
      <c r="D235" t="s">
        <v>29</v>
      </c>
      <c r="E235" t="s">
        <v>160</v>
      </c>
      <c r="F235" t="s">
        <v>325</v>
      </c>
      <c r="G235">
        <v>4506226</v>
      </c>
      <c r="H235" t="s">
        <v>162</v>
      </c>
      <c r="I235" t="s">
        <v>60</v>
      </c>
    </row>
    <row r="236" spans="1:9">
      <c r="A236" s="50">
        <v>46106</v>
      </c>
      <c r="B236" s="51">
        <v>0.145775462962963</v>
      </c>
      <c r="C236" t="s">
        <v>158</v>
      </c>
      <c r="D236" t="s">
        <v>159</v>
      </c>
      <c r="E236" t="s">
        <v>160</v>
      </c>
      <c r="F236" t="s">
        <v>326</v>
      </c>
      <c r="G236">
        <v>-500000</v>
      </c>
      <c r="H236" t="s">
        <v>162</v>
      </c>
      <c r="I236" t="s">
        <v>60</v>
      </c>
    </row>
    <row r="237" spans="1:9">
      <c r="A237" s="50">
        <v>46106</v>
      </c>
      <c r="B237" s="51">
        <v>0.1320023148148148</v>
      </c>
      <c r="C237" t="s">
        <v>165</v>
      </c>
      <c r="D237" t="s">
        <v>35</v>
      </c>
      <c r="E237" t="s">
        <v>218</v>
      </c>
      <c r="F237" t="s">
        <v>219</v>
      </c>
      <c r="G237">
        <v>-36120</v>
      </c>
      <c r="H237" t="s">
        <v>162</v>
      </c>
      <c r="I237" t="s">
        <v>60</v>
      </c>
    </row>
    <row r="238" spans="1:9">
      <c r="A238" s="50">
        <v>46105</v>
      </c>
      <c r="B238" s="51">
        <v>0.5149421296296296</v>
      </c>
      <c r="C238" t="s">
        <v>165</v>
      </c>
      <c r="D238" t="s">
        <v>46</v>
      </c>
      <c r="E238" t="s">
        <v>193</v>
      </c>
      <c r="F238" t="s">
        <v>327</v>
      </c>
      <c r="G238">
        <v>-10000</v>
      </c>
      <c r="H238" t="s">
        <v>162</v>
      </c>
      <c r="I238" t="s">
        <v>57</v>
      </c>
    </row>
    <row r="239" spans="1:9">
      <c r="A239" s="50">
        <v>46104</v>
      </c>
      <c r="B239" s="51">
        <v>0.5403125</v>
      </c>
      <c r="C239" t="s">
        <v>165</v>
      </c>
      <c r="D239" t="s">
        <v>44</v>
      </c>
      <c r="E239" t="s">
        <v>182</v>
      </c>
      <c r="F239" t="s">
        <v>183</v>
      </c>
      <c r="G239">
        <v>-60000</v>
      </c>
      <c r="H239" t="s">
        <v>162</v>
      </c>
      <c r="I239" t="s">
        <v>173</v>
      </c>
    </row>
    <row r="240" spans="1:9">
      <c r="A240" s="50">
        <v>46104</v>
      </c>
      <c r="B240" s="51">
        <v>0.4043634259259259</v>
      </c>
      <c r="C240" t="s">
        <v>165</v>
      </c>
      <c r="D240" t="s">
        <v>45</v>
      </c>
      <c r="E240" t="s">
        <v>227</v>
      </c>
      <c r="F240" t="s">
        <v>228</v>
      </c>
      <c r="G240">
        <v>-32900</v>
      </c>
      <c r="H240" t="s">
        <v>162</v>
      </c>
      <c r="I240" t="s">
        <v>57</v>
      </c>
    </row>
    <row r="241" spans="1:9">
      <c r="A241" s="50">
        <v>46104</v>
      </c>
      <c r="B241" s="51">
        <v>0.1481712962962963</v>
      </c>
      <c r="C241" t="s">
        <v>165</v>
      </c>
      <c r="D241" t="s">
        <v>35</v>
      </c>
      <c r="E241" t="s">
        <v>218</v>
      </c>
      <c r="F241" t="s">
        <v>328</v>
      </c>
      <c r="G241">
        <v>-35950</v>
      </c>
      <c r="H241" t="s">
        <v>162</v>
      </c>
      <c r="I241" t="s">
        <v>60</v>
      </c>
    </row>
    <row r="242" spans="1:9">
      <c r="A242" s="50">
        <v>46103</v>
      </c>
      <c r="B242" s="51">
        <v>0.787337962962963</v>
      </c>
      <c r="C242" t="s">
        <v>165</v>
      </c>
      <c r="D242" t="s">
        <v>40</v>
      </c>
      <c r="E242" t="s">
        <v>243</v>
      </c>
      <c r="F242" t="s">
        <v>329</v>
      </c>
      <c r="G242">
        <v>-32300</v>
      </c>
      <c r="H242" t="s">
        <v>162</v>
      </c>
      <c r="I242" t="s">
        <v>184</v>
      </c>
    </row>
    <row r="243" spans="1:9">
      <c r="A243" s="50">
        <v>46103</v>
      </c>
      <c r="B243" s="51">
        <v>0.5918055555555556</v>
      </c>
      <c r="C243" t="s">
        <v>165</v>
      </c>
      <c r="D243" t="s">
        <v>36</v>
      </c>
      <c r="E243" t="s">
        <v>330</v>
      </c>
      <c r="F243" t="s">
        <v>331</v>
      </c>
      <c r="G243">
        <v>-2000</v>
      </c>
      <c r="H243" t="s">
        <v>162</v>
      </c>
      <c r="I243" t="s">
        <v>173</v>
      </c>
    </row>
    <row r="244" spans="1:9">
      <c r="A244" s="50">
        <v>46103</v>
      </c>
      <c r="B244" s="51">
        <v>0.5794907407407407</v>
      </c>
      <c r="C244" t="s">
        <v>165</v>
      </c>
      <c r="D244" t="s">
        <v>36</v>
      </c>
      <c r="E244" t="s">
        <v>330</v>
      </c>
      <c r="F244" t="s">
        <v>332</v>
      </c>
      <c r="G244">
        <v>-10900</v>
      </c>
      <c r="H244" t="s">
        <v>162</v>
      </c>
      <c r="I244" t="s">
        <v>173</v>
      </c>
    </row>
    <row r="245" spans="1:9">
      <c r="A245" s="50">
        <v>46102</v>
      </c>
      <c r="B245" s="51">
        <v>0.8304513888888889</v>
      </c>
      <c r="C245" t="s">
        <v>165</v>
      </c>
      <c r="D245" t="s">
        <v>38</v>
      </c>
      <c r="E245" t="s">
        <v>266</v>
      </c>
      <c r="F245" t="s">
        <v>267</v>
      </c>
      <c r="G245">
        <v>-2700</v>
      </c>
      <c r="H245" t="s">
        <v>162</v>
      </c>
      <c r="I245" t="s">
        <v>173</v>
      </c>
    </row>
    <row r="246" spans="1:9">
      <c r="A246" s="50">
        <v>46102</v>
      </c>
      <c r="B246" s="51">
        <v>0.4078125</v>
      </c>
      <c r="C246" t="s">
        <v>207</v>
      </c>
      <c r="D246" t="s">
        <v>28</v>
      </c>
      <c r="E246" t="s">
        <v>160</v>
      </c>
      <c r="F246" t="s">
        <v>230</v>
      </c>
      <c r="G246">
        <v>1900</v>
      </c>
      <c r="H246" t="s">
        <v>162</v>
      </c>
      <c r="I246" t="s">
        <v>60</v>
      </c>
    </row>
    <row r="247" spans="1:9">
      <c r="A247" s="50">
        <v>46100</v>
      </c>
      <c r="B247" s="51">
        <v>0.5557407407407408</v>
      </c>
      <c r="C247" t="s">
        <v>165</v>
      </c>
      <c r="D247" t="s">
        <v>35</v>
      </c>
      <c r="E247" t="s">
        <v>231</v>
      </c>
      <c r="F247" t="s">
        <v>232</v>
      </c>
      <c r="G247">
        <v>-12000</v>
      </c>
      <c r="H247" t="s">
        <v>162</v>
      </c>
      <c r="I247" t="s">
        <v>189</v>
      </c>
    </row>
    <row r="248" spans="1:9">
      <c r="A248" s="50">
        <v>46097</v>
      </c>
      <c r="B248" s="51">
        <v>0.4152314814814815</v>
      </c>
      <c r="C248" t="s">
        <v>165</v>
      </c>
      <c r="D248" t="s">
        <v>42</v>
      </c>
      <c r="E248" t="s">
        <v>171</v>
      </c>
      <c r="F248" t="s">
        <v>172</v>
      </c>
      <c r="G248">
        <v>-4000</v>
      </c>
      <c r="H248" t="s">
        <v>162</v>
      </c>
      <c r="I248" t="s">
        <v>173</v>
      </c>
    </row>
    <row r="249" spans="1:9">
      <c r="A249" s="50">
        <v>46097</v>
      </c>
      <c r="B249" s="51">
        <v>0.1369907407407407</v>
      </c>
      <c r="C249" t="s">
        <v>165</v>
      </c>
      <c r="D249" t="s">
        <v>35</v>
      </c>
      <c r="E249" t="s">
        <v>231</v>
      </c>
      <c r="F249" t="s">
        <v>333</v>
      </c>
      <c r="G249">
        <v>-52800</v>
      </c>
      <c r="H249" t="s">
        <v>162</v>
      </c>
      <c r="I249" t="s">
        <v>60</v>
      </c>
    </row>
    <row r="250" spans="1:9">
      <c r="A250" s="50">
        <v>46095</v>
      </c>
      <c r="B250" s="51">
        <v>0.6788657407407407</v>
      </c>
      <c r="C250" t="s">
        <v>165</v>
      </c>
      <c r="D250" t="s">
        <v>46</v>
      </c>
      <c r="E250" t="s">
        <v>245</v>
      </c>
      <c r="F250" t="s">
        <v>246</v>
      </c>
      <c r="G250">
        <v>-30000</v>
      </c>
      <c r="H250" t="s">
        <v>162</v>
      </c>
      <c r="I250" t="s">
        <v>173</v>
      </c>
    </row>
    <row r="251" spans="1:9">
      <c r="A251" s="50">
        <v>46095</v>
      </c>
      <c r="B251" s="51">
        <v>0.6787384259259259</v>
      </c>
      <c r="C251" t="s">
        <v>165</v>
      </c>
      <c r="D251" t="s">
        <v>38</v>
      </c>
      <c r="E251" t="s">
        <v>186</v>
      </c>
      <c r="F251" t="s">
        <v>187</v>
      </c>
      <c r="G251">
        <v>-130000</v>
      </c>
      <c r="H251" t="s">
        <v>162</v>
      </c>
      <c r="I251" t="s">
        <v>184</v>
      </c>
    </row>
    <row r="252" spans="1:9">
      <c r="A252" s="50">
        <v>46095</v>
      </c>
      <c r="B252" s="51">
        <v>0.6084027777777777</v>
      </c>
      <c r="C252" t="s">
        <v>165</v>
      </c>
      <c r="D252" t="s">
        <v>44</v>
      </c>
      <c r="E252" t="s">
        <v>300</v>
      </c>
      <c r="F252" t="s">
        <v>334</v>
      </c>
      <c r="G252">
        <v>-9000</v>
      </c>
      <c r="H252" t="s">
        <v>162</v>
      </c>
      <c r="I252" t="s">
        <v>173</v>
      </c>
    </row>
    <row r="253" spans="1:9">
      <c r="A253" s="50">
        <v>46094</v>
      </c>
      <c r="B253" s="51">
        <v>0.6470370370370371</v>
      </c>
      <c r="C253" t="s">
        <v>165</v>
      </c>
      <c r="D253" t="s">
        <v>45</v>
      </c>
      <c r="E253" t="s">
        <v>227</v>
      </c>
      <c r="F253" t="s">
        <v>335</v>
      </c>
      <c r="G253">
        <v>-500000</v>
      </c>
      <c r="H253" t="s">
        <v>162</v>
      </c>
      <c r="I253" t="s">
        <v>60</v>
      </c>
    </row>
    <row r="254" spans="1:9">
      <c r="A254" s="50">
        <v>46094</v>
      </c>
      <c r="B254" s="51">
        <v>0.6373148148148148</v>
      </c>
      <c r="C254" t="s">
        <v>165</v>
      </c>
      <c r="D254" t="s">
        <v>43</v>
      </c>
      <c r="E254" t="s">
        <v>237</v>
      </c>
      <c r="F254" t="s">
        <v>336</v>
      </c>
      <c r="G254">
        <v>-19000</v>
      </c>
      <c r="H254" t="s">
        <v>162</v>
      </c>
      <c r="I254" t="s">
        <v>184</v>
      </c>
    </row>
    <row r="255" spans="1:9">
      <c r="A255" s="50">
        <v>46094</v>
      </c>
      <c r="B255" s="51">
        <v>0.6154976851851852</v>
      </c>
      <c r="C255" t="s">
        <v>165</v>
      </c>
      <c r="D255" t="s">
        <v>44</v>
      </c>
      <c r="E255" t="s">
        <v>337</v>
      </c>
      <c r="F255" t="s">
        <v>338</v>
      </c>
      <c r="G255">
        <v>-60000</v>
      </c>
      <c r="H255" t="s">
        <v>162</v>
      </c>
      <c r="I255" t="s">
        <v>184</v>
      </c>
    </row>
    <row r="256" spans="1:9">
      <c r="A256" s="50">
        <v>46094</v>
      </c>
      <c r="B256" s="51">
        <v>0.5707175925925926</v>
      </c>
      <c r="C256" t="s">
        <v>165</v>
      </c>
      <c r="D256" t="s">
        <v>46</v>
      </c>
      <c r="E256" t="s">
        <v>339</v>
      </c>
      <c r="F256" t="s">
        <v>340</v>
      </c>
      <c r="G256">
        <v>-10700</v>
      </c>
      <c r="H256" t="s">
        <v>162</v>
      </c>
      <c r="I256" t="s">
        <v>184</v>
      </c>
    </row>
    <row r="257" spans="1:9">
      <c r="A257" s="50">
        <v>46093</v>
      </c>
      <c r="B257" s="51">
        <v>0.7930555555555555</v>
      </c>
      <c r="C257" t="s">
        <v>165</v>
      </c>
      <c r="D257" t="s">
        <v>40</v>
      </c>
      <c r="E257" t="s">
        <v>292</v>
      </c>
      <c r="F257" t="s">
        <v>293</v>
      </c>
      <c r="G257">
        <v>-21900</v>
      </c>
      <c r="H257" t="s">
        <v>162</v>
      </c>
      <c r="I257" t="s">
        <v>176</v>
      </c>
    </row>
    <row r="258" spans="1:9">
      <c r="A258" s="50">
        <v>46093</v>
      </c>
      <c r="B258" s="51">
        <v>0.7474884259259259</v>
      </c>
      <c r="C258" t="s">
        <v>165</v>
      </c>
      <c r="D258" t="s">
        <v>44</v>
      </c>
      <c r="E258" t="s">
        <v>182</v>
      </c>
      <c r="F258" t="s">
        <v>183</v>
      </c>
      <c r="G258">
        <v>-50000</v>
      </c>
      <c r="H258" t="s">
        <v>162</v>
      </c>
      <c r="I258" t="s">
        <v>184</v>
      </c>
    </row>
    <row r="259" spans="1:9">
      <c r="A259" s="50">
        <v>46093</v>
      </c>
      <c r="B259" s="51">
        <v>0.5170023148148148</v>
      </c>
      <c r="C259" t="s">
        <v>165</v>
      </c>
      <c r="D259" t="s">
        <v>46</v>
      </c>
      <c r="E259" t="s">
        <v>193</v>
      </c>
      <c r="F259" t="s">
        <v>194</v>
      </c>
      <c r="G259">
        <v>-2500</v>
      </c>
      <c r="H259" t="s">
        <v>162</v>
      </c>
      <c r="I259" t="s">
        <v>184</v>
      </c>
    </row>
    <row r="260" spans="1:9">
      <c r="A260" s="50">
        <v>46092</v>
      </c>
      <c r="B260" s="51">
        <v>0.5209490740740741</v>
      </c>
      <c r="C260" t="s">
        <v>165</v>
      </c>
      <c r="D260" t="s">
        <v>46</v>
      </c>
      <c r="E260" t="s">
        <v>193</v>
      </c>
      <c r="F260" t="s">
        <v>194</v>
      </c>
      <c r="G260">
        <v>-10000</v>
      </c>
      <c r="H260" t="s">
        <v>162</v>
      </c>
      <c r="I260" t="s">
        <v>184</v>
      </c>
    </row>
    <row r="261" spans="1:9">
      <c r="A261" s="50">
        <v>46092</v>
      </c>
      <c r="B261" s="51">
        <v>0.1272685185185185</v>
      </c>
      <c r="C261" t="s">
        <v>165</v>
      </c>
      <c r="D261" t="s">
        <v>45</v>
      </c>
      <c r="E261" t="s">
        <v>227</v>
      </c>
      <c r="F261" t="s">
        <v>180</v>
      </c>
      <c r="G261">
        <v>-70268</v>
      </c>
      <c r="H261" t="s">
        <v>162</v>
      </c>
      <c r="I261" t="s">
        <v>60</v>
      </c>
    </row>
    <row r="262" spans="1:9">
      <c r="A262" s="50">
        <v>46090</v>
      </c>
      <c r="B262" s="51">
        <v>0.8235300925925926</v>
      </c>
      <c r="C262" t="s">
        <v>165</v>
      </c>
      <c r="D262" t="s">
        <v>46</v>
      </c>
      <c r="E262" t="s">
        <v>193</v>
      </c>
      <c r="F262" t="s">
        <v>341</v>
      </c>
      <c r="G262">
        <v>-90000</v>
      </c>
      <c r="H262" t="s">
        <v>162</v>
      </c>
      <c r="I262" t="s">
        <v>60</v>
      </c>
    </row>
    <row r="263" spans="1:9">
      <c r="A263" s="50">
        <v>46089</v>
      </c>
      <c r="B263" s="51">
        <v>0.5386458333333334</v>
      </c>
      <c r="C263" t="s">
        <v>165</v>
      </c>
      <c r="D263" t="s">
        <v>39</v>
      </c>
      <c r="E263" t="s">
        <v>342</v>
      </c>
      <c r="F263" t="s">
        <v>343</v>
      </c>
      <c r="G263">
        <v>-4000</v>
      </c>
      <c r="H263" t="s">
        <v>162</v>
      </c>
      <c r="I263" t="s">
        <v>173</v>
      </c>
    </row>
    <row r="264" spans="1:9">
      <c r="A264" s="50">
        <v>46089</v>
      </c>
      <c r="B264" s="51">
        <v>0.5358101851851852</v>
      </c>
      <c r="C264" t="s">
        <v>165</v>
      </c>
      <c r="D264" t="s">
        <v>44</v>
      </c>
      <c r="E264" t="s">
        <v>182</v>
      </c>
      <c r="F264" t="s">
        <v>344</v>
      </c>
      <c r="G264">
        <v>70000</v>
      </c>
      <c r="H264" t="s">
        <v>162</v>
      </c>
      <c r="I264" t="s">
        <v>173</v>
      </c>
    </row>
    <row r="265" spans="1:9">
      <c r="A265" s="50">
        <v>46089</v>
      </c>
      <c r="B265" s="51">
        <v>0.535787037037037</v>
      </c>
      <c r="C265" t="s">
        <v>165</v>
      </c>
      <c r="D265" t="s">
        <v>44</v>
      </c>
      <c r="E265" t="s">
        <v>182</v>
      </c>
      <c r="F265" t="s">
        <v>344</v>
      </c>
      <c r="G265">
        <v>-65000</v>
      </c>
      <c r="H265" t="s">
        <v>162</v>
      </c>
      <c r="I265" t="s">
        <v>173</v>
      </c>
    </row>
    <row r="266" spans="1:9">
      <c r="A266" s="50">
        <v>46089</v>
      </c>
      <c r="B266" s="51">
        <v>0.5344097222222223</v>
      </c>
      <c r="C266" t="s">
        <v>165</v>
      </c>
      <c r="D266" t="s">
        <v>44</v>
      </c>
      <c r="E266" t="s">
        <v>182</v>
      </c>
      <c r="F266" t="s">
        <v>344</v>
      </c>
      <c r="G266">
        <v>-70000</v>
      </c>
      <c r="H266" t="s">
        <v>162</v>
      </c>
      <c r="I266" t="s">
        <v>173</v>
      </c>
    </row>
    <row r="267" spans="1:9">
      <c r="A267" s="50">
        <v>46088</v>
      </c>
      <c r="B267" s="51">
        <v>0.8384027777777778</v>
      </c>
      <c r="C267" t="s">
        <v>165</v>
      </c>
      <c r="D267" t="s">
        <v>34</v>
      </c>
      <c r="E267" t="s">
        <v>213</v>
      </c>
      <c r="F267" t="s">
        <v>214</v>
      </c>
      <c r="G267">
        <v>-15000</v>
      </c>
      <c r="H267" t="s">
        <v>162</v>
      </c>
      <c r="I267" t="s">
        <v>173</v>
      </c>
    </row>
    <row r="268" spans="1:9">
      <c r="A268" s="50">
        <v>46088</v>
      </c>
      <c r="B268" s="51">
        <v>0.06519675925925926</v>
      </c>
      <c r="C268" t="s">
        <v>165</v>
      </c>
      <c r="D268" t="s">
        <v>34</v>
      </c>
      <c r="E268" t="s">
        <v>213</v>
      </c>
      <c r="F268" t="s">
        <v>345</v>
      </c>
      <c r="G268">
        <v>-5590</v>
      </c>
      <c r="H268" t="s">
        <v>162</v>
      </c>
      <c r="I268" t="s">
        <v>173</v>
      </c>
    </row>
    <row r="269" spans="1:9">
      <c r="A269" s="50">
        <v>46088</v>
      </c>
      <c r="B269" s="51">
        <v>0.06190972222222222</v>
      </c>
      <c r="C269" t="s">
        <v>165</v>
      </c>
      <c r="D269" t="s">
        <v>34</v>
      </c>
      <c r="E269" t="s">
        <v>213</v>
      </c>
      <c r="F269" t="s">
        <v>315</v>
      </c>
      <c r="G269">
        <v>6000</v>
      </c>
      <c r="H269" t="s">
        <v>162</v>
      </c>
      <c r="I269" t="s">
        <v>173</v>
      </c>
    </row>
    <row r="270" spans="1:9">
      <c r="A270" s="50">
        <v>46088</v>
      </c>
      <c r="B270" s="51">
        <v>0.06190972222222222</v>
      </c>
      <c r="C270" t="s">
        <v>165</v>
      </c>
      <c r="D270" t="s">
        <v>34</v>
      </c>
      <c r="E270" t="s">
        <v>213</v>
      </c>
      <c r="F270" t="s">
        <v>315</v>
      </c>
      <c r="G270">
        <v>-6000</v>
      </c>
      <c r="H270" t="s">
        <v>162</v>
      </c>
      <c r="I270" t="s">
        <v>173</v>
      </c>
    </row>
    <row r="271" spans="1:9">
      <c r="A271" s="50">
        <v>46087</v>
      </c>
      <c r="B271" s="51">
        <v>0.9634490740740741</v>
      </c>
      <c r="C271" t="s">
        <v>165</v>
      </c>
      <c r="D271" t="s">
        <v>36</v>
      </c>
      <c r="E271" t="s">
        <v>346</v>
      </c>
      <c r="F271" t="s">
        <v>347</v>
      </c>
      <c r="G271">
        <v>-3000</v>
      </c>
      <c r="H271" t="s">
        <v>162</v>
      </c>
      <c r="I271" t="s">
        <v>173</v>
      </c>
    </row>
    <row r="272" spans="1:9">
      <c r="A272" s="50">
        <v>46087</v>
      </c>
      <c r="B272" s="51">
        <v>0.8278472222222222</v>
      </c>
      <c r="C272" t="s">
        <v>165</v>
      </c>
      <c r="D272" t="s">
        <v>42</v>
      </c>
      <c r="E272" t="s">
        <v>171</v>
      </c>
      <c r="F272" t="s">
        <v>239</v>
      </c>
      <c r="G272">
        <v>-1000</v>
      </c>
      <c r="H272" t="s">
        <v>162</v>
      </c>
      <c r="I272" t="s">
        <v>240</v>
      </c>
    </row>
    <row r="273" spans="1:9">
      <c r="A273" s="50">
        <v>46087</v>
      </c>
      <c r="B273" s="51">
        <v>0.7806944444444445</v>
      </c>
      <c r="C273" t="s">
        <v>165</v>
      </c>
      <c r="D273" t="s">
        <v>37</v>
      </c>
      <c r="E273" t="s">
        <v>199</v>
      </c>
      <c r="F273" t="s">
        <v>200</v>
      </c>
      <c r="G273">
        <v>-16000</v>
      </c>
      <c r="H273" t="s">
        <v>162</v>
      </c>
      <c r="I273" t="s">
        <v>184</v>
      </c>
    </row>
    <row r="274" spans="1:9">
      <c r="A274" s="50">
        <v>46086</v>
      </c>
      <c r="B274" s="51">
        <v>0.7511921296296297</v>
      </c>
      <c r="C274" t="s">
        <v>165</v>
      </c>
      <c r="D274" t="s">
        <v>38</v>
      </c>
      <c r="E274" t="s">
        <v>266</v>
      </c>
      <c r="F274" t="s">
        <v>348</v>
      </c>
      <c r="G274">
        <v>-9440</v>
      </c>
      <c r="H274" t="s">
        <v>162</v>
      </c>
      <c r="I274" t="s">
        <v>184</v>
      </c>
    </row>
    <row r="275" spans="1:9">
      <c r="A275" s="50">
        <v>46086</v>
      </c>
      <c r="B275" s="51">
        <v>0.7013541666666666</v>
      </c>
      <c r="C275" t="s">
        <v>165</v>
      </c>
      <c r="D275" t="s">
        <v>35</v>
      </c>
      <c r="E275" t="s">
        <v>174</v>
      </c>
      <c r="F275" t="s">
        <v>203</v>
      </c>
      <c r="G275">
        <v>-1100</v>
      </c>
      <c r="H275" t="s">
        <v>162</v>
      </c>
      <c r="I275" t="s">
        <v>173</v>
      </c>
    </row>
    <row r="276" spans="1:9">
      <c r="A276" s="50">
        <v>46086</v>
      </c>
      <c r="B276" s="51">
        <v>0.5156481481481482</v>
      </c>
      <c r="C276" t="s">
        <v>165</v>
      </c>
      <c r="D276" t="s">
        <v>46</v>
      </c>
      <c r="E276" t="s">
        <v>193</v>
      </c>
      <c r="F276" t="s">
        <v>349</v>
      </c>
      <c r="G276">
        <v>-11200</v>
      </c>
      <c r="H276" t="s">
        <v>162</v>
      </c>
      <c r="I276" t="s">
        <v>184</v>
      </c>
    </row>
    <row r="277" spans="1:9">
      <c r="A277" s="50">
        <v>46085</v>
      </c>
      <c r="B277" s="51">
        <v>0.5877314814814815</v>
      </c>
      <c r="C277" t="s">
        <v>165</v>
      </c>
      <c r="D277" t="s">
        <v>44</v>
      </c>
      <c r="E277" t="s">
        <v>197</v>
      </c>
      <c r="F277" t="s">
        <v>198</v>
      </c>
      <c r="G277">
        <v>-50000</v>
      </c>
      <c r="H277" t="s">
        <v>162</v>
      </c>
      <c r="I277" t="s">
        <v>173</v>
      </c>
    </row>
    <row r="278" spans="1:9">
      <c r="A278" s="50">
        <v>46084</v>
      </c>
      <c r="B278" s="51">
        <v>0.4225</v>
      </c>
      <c r="C278" t="s">
        <v>158</v>
      </c>
      <c r="D278" t="s">
        <v>159</v>
      </c>
      <c r="E278" t="s">
        <v>160</v>
      </c>
      <c r="F278" t="s">
        <v>7</v>
      </c>
      <c r="G278">
        <v>1000000</v>
      </c>
      <c r="H278" t="s">
        <v>162</v>
      </c>
      <c r="I278" t="s">
        <v>60</v>
      </c>
    </row>
    <row r="279" spans="1:9">
      <c r="A279" s="50">
        <v>46084</v>
      </c>
      <c r="B279" s="51">
        <v>0.4224884259259259</v>
      </c>
      <c r="C279" t="s">
        <v>158</v>
      </c>
      <c r="D279" t="s">
        <v>159</v>
      </c>
      <c r="E279" t="s">
        <v>160</v>
      </c>
      <c r="F279" t="s">
        <v>7</v>
      </c>
      <c r="G279">
        <v>-1000000</v>
      </c>
      <c r="H279" t="s">
        <v>162</v>
      </c>
      <c r="I279" t="s">
        <v>57</v>
      </c>
    </row>
    <row r="280" spans="1:9">
      <c r="A280" s="50">
        <v>46084</v>
      </c>
      <c r="B280" s="51">
        <v>0.4218634259259259</v>
      </c>
      <c r="C280" t="s">
        <v>158</v>
      </c>
      <c r="D280" t="s">
        <v>158</v>
      </c>
      <c r="E280" t="s">
        <v>160</v>
      </c>
      <c r="F280" t="s">
        <v>204</v>
      </c>
      <c r="G280">
        <v>-300000</v>
      </c>
      <c r="H280" t="s">
        <v>162</v>
      </c>
      <c r="I280" t="s">
        <v>60</v>
      </c>
    </row>
    <row r="281" spans="1:9">
      <c r="A281" s="50">
        <v>46083</v>
      </c>
      <c r="B281" s="51">
        <v>0.4685185185185185</v>
      </c>
      <c r="C281" t="s">
        <v>165</v>
      </c>
      <c r="D281" t="s">
        <v>43</v>
      </c>
      <c r="E281" t="s">
        <v>350</v>
      </c>
      <c r="F281" t="s">
        <v>351</v>
      </c>
      <c r="G281">
        <v>-50000</v>
      </c>
      <c r="H281" t="s">
        <v>162</v>
      </c>
      <c r="I281" t="s">
        <v>173</v>
      </c>
    </row>
    <row r="282" spans="1:9">
      <c r="A282" s="50">
        <v>46082</v>
      </c>
      <c r="B282" s="51">
        <v>0.8757060185185185</v>
      </c>
      <c r="C282" t="s">
        <v>158</v>
      </c>
      <c r="D282" t="s">
        <v>158</v>
      </c>
      <c r="E282" t="s">
        <v>160</v>
      </c>
      <c r="F282" t="s">
        <v>352</v>
      </c>
      <c r="G282">
        <v>40000</v>
      </c>
      <c r="H282" t="s">
        <v>162</v>
      </c>
      <c r="I282" t="s">
        <v>189</v>
      </c>
    </row>
    <row r="283" spans="1:9">
      <c r="A283" s="50">
        <v>46082</v>
      </c>
      <c r="B283" s="51">
        <v>0.7830787037037037</v>
      </c>
      <c r="C283" t="s">
        <v>165</v>
      </c>
      <c r="D283" t="s">
        <v>44</v>
      </c>
      <c r="E283" t="s">
        <v>182</v>
      </c>
      <c r="F283" t="s">
        <v>353</v>
      </c>
      <c r="G283">
        <v>-60000</v>
      </c>
      <c r="H283" t="s">
        <v>162</v>
      </c>
      <c r="I283" t="s">
        <v>173</v>
      </c>
    </row>
    <row r="284" spans="1:9">
      <c r="A284" s="50">
        <v>46082</v>
      </c>
      <c r="B284" s="51">
        <v>0.6125347222222223</v>
      </c>
      <c r="C284" t="s">
        <v>165</v>
      </c>
      <c r="D284" t="s">
        <v>46</v>
      </c>
      <c r="E284" t="s">
        <v>296</v>
      </c>
      <c r="F284" t="s">
        <v>354</v>
      </c>
      <c r="G284">
        <v>-9500</v>
      </c>
      <c r="H284" t="s">
        <v>162</v>
      </c>
      <c r="I284" t="s">
        <v>173</v>
      </c>
    </row>
    <row r="285" spans="1:9">
      <c r="A285" s="50">
        <v>46082</v>
      </c>
      <c r="B285" s="51">
        <v>0.6110648148148148</v>
      </c>
      <c r="C285" t="s">
        <v>165</v>
      </c>
      <c r="D285" t="s">
        <v>46</v>
      </c>
      <c r="E285" t="s">
        <v>296</v>
      </c>
      <c r="F285" t="s">
        <v>354</v>
      </c>
      <c r="G285">
        <v>-79000</v>
      </c>
      <c r="H285" t="s">
        <v>162</v>
      </c>
      <c r="I285" t="s">
        <v>173</v>
      </c>
    </row>
    <row r="286" spans="1:9">
      <c r="A286" s="50">
        <v>46081</v>
      </c>
      <c r="B286" s="51">
        <v>0.6211342592592592</v>
      </c>
      <c r="C286" t="s">
        <v>158</v>
      </c>
      <c r="D286" t="s">
        <v>158</v>
      </c>
      <c r="E286" t="s">
        <v>160</v>
      </c>
      <c r="F286" t="s">
        <v>355</v>
      </c>
      <c r="G286">
        <v>70000</v>
      </c>
      <c r="H286" t="s">
        <v>162</v>
      </c>
      <c r="I286" t="s">
        <v>60</v>
      </c>
    </row>
    <row r="287" spans="1:9">
      <c r="A287" s="50">
        <v>46081</v>
      </c>
      <c r="B287" s="51">
        <v>0.1746990740740741</v>
      </c>
      <c r="C287" t="s">
        <v>207</v>
      </c>
      <c r="D287" t="s">
        <v>28</v>
      </c>
      <c r="E287" t="s">
        <v>160</v>
      </c>
      <c r="F287" t="s">
        <v>211</v>
      </c>
      <c r="G287">
        <v>0</v>
      </c>
      <c r="H287" t="s">
        <v>162</v>
      </c>
      <c r="I287" t="s">
        <v>58</v>
      </c>
    </row>
    <row r="288" spans="1:9">
      <c r="A288" s="50">
        <v>46080</v>
      </c>
      <c r="B288" s="51">
        <v>0.7648842592592593</v>
      </c>
      <c r="C288" t="s">
        <v>165</v>
      </c>
      <c r="D288" t="s">
        <v>38</v>
      </c>
      <c r="E288" t="s">
        <v>166</v>
      </c>
      <c r="F288" t="s">
        <v>356</v>
      </c>
      <c r="G288">
        <v>-1000</v>
      </c>
      <c r="H288" t="s">
        <v>162</v>
      </c>
      <c r="I288" t="s">
        <v>173</v>
      </c>
    </row>
    <row r="289" spans="1:9">
      <c r="A289" s="50">
        <v>46080</v>
      </c>
      <c r="B289" s="51">
        <v>0.752824074074074</v>
      </c>
      <c r="C289" t="s">
        <v>165</v>
      </c>
      <c r="D289" t="s">
        <v>38</v>
      </c>
      <c r="E289" t="s">
        <v>166</v>
      </c>
      <c r="F289" t="s">
        <v>357</v>
      </c>
      <c r="G289">
        <v>-1280</v>
      </c>
      <c r="H289" t="s">
        <v>162</v>
      </c>
      <c r="I289" t="s">
        <v>57</v>
      </c>
    </row>
    <row r="290" spans="1:9">
      <c r="A290" s="50">
        <v>46080</v>
      </c>
      <c r="B290" s="51">
        <v>0.7502893518518519</v>
      </c>
      <c r="C290" t="s">
        <v>165</v>
      </c>
      <c r="D290" t="s">
        <v>46</v>
      </c>
      <c r="E290" t="s">
        <v>245</v>
      </c>
      <c r="F290" t="s">
        <v>246</v>
      </c>
      <c r="G290">
        <v>-80000</v>
      </c>
      <c r="H290" t="s">
        <v>162</v>
      </c>
      <c r="I290" t="s">
        <v>173</v>
      </c>
    </row>
    <row r="291" spans="1:9">
      <c r="A291" s="50">
        <v>46080</v>
      </c>
      <c r="B291" s="51">
        <v>0.6348842592592593</v>
      </c>
      <c r="C291" t="s">
        <v>165</v>
      </c>
      <c r="D291" t="s">
        <v>45</v>
      </c>
      <c r="E291" t="s">
        <v>205</v>
      </c>
      <c r="F291" t="s">
        <v>206</v>
      </c>
      <c r="G291">
        <v>-278100</v>
      </c>
      <c r="H291" t="s">
        <v>162</v>
      </c>
      <c r="I291" t="s">
        <v>173</v>
      </c>
    </row>
    <row r="292" spans="1:9">
      <c r="A292" s="50">
        <v>46080</v>
      </c>
      <c r="B292" s="51">
        <v>0.518425925925926</v>
      </c>
      <c r="C292" t="s">
        <v>165</v>
      </c>
      <c r="D292" t="s">
        <v>46</v>
      </c>
      <c r="E292" t="s">
        <v>193</v>
      </c>
      <c r="F292" t="s">
        <v>194</v>
      </c>
      <c r="G292">
        <v>-15000</v>
      </c>
      <c r="H292" t="s">
        <v>162</v>
      </c>
      <c r="I292" t="s">
        <v>184</v>
      </c>
    </row>
    <row r="293" spans="1:9">
      <c r="A293" s="50">
        <v>46080</v>
      </c>
      <c r="B293" s="51">
        <v>0.4827314814814815</v>
      </c>
      <c r="C293" t="s">
        <v>158</v>
      </c>
      <c r="D293" t="s">
        <v>64</v>
      </c>
      <c r="E293" t="s">
        <v>160</v>
      </c>
      <c r="F293" t="s">
        <v>251</v>
      </c>
      <c r="G293">
        <v>113110</v>
      </c>
      <c r="H293" t="s">
        <v>162</v>
      </c>
      <c r="I293" t="s">
        <v>60</v>
      </c>
    </row>
    <row r="294" spans="1:9">
      <c r="A294" s="50">
        <v>46080</v>
      </c>
      <c r="B294" s="51">
        <v>0.4615277777777778</v>
      </c>
      <c r="C294" t="s">
        <v>158</v>
      </c>
      <c r="D294" t="s">
        <v>159</v>
      </c>
      <c r="E294" t="s">
        <v>160</v>
      </c>
      <c r="F294" t="s">
        <v>209</v>
      </c>
      <c r="G294">
        <v>-100000</v>
      </c>
      <c r="H294" t="s">
        <v>162</v>
      </c>
      <c r="I294" t="s">
        <v>60</v>
      </c>
    </row>
    <row r="295" spans="1:9">
      <c r="A295" s="50">
        <v>46079</v>
      </c>
      <c r="B295" s="51">
        <v>0.7180902777777778</v>
      </c>
      <c r="C295" t="s">
        <v>158</v>
      </c>
      <c r="D295" t="s">
        <v>158</v>
      </c>
      <c r="E295" t="s">
        <v>160</v>
      </c>
      <c r="F295" t="s">
        <v>215</v>
      </c>
      <c r="G295">
        <v>-17800</v>
      </c>
      <c r="H295" t="s">
        <v>162</v>
      </c>
      <c r="I295" t="s">
        <v>60</v>
      </c>
    </row>
    <row r="296" spans="1:9">
      <c r="A296" s="50">
        <v>46079</v>
      </c>
      <c r="B296" s="51">
        <v>0</v>
      </c>
      <c r="C296" t="s">
        <v>165</v>
      </c>
      <c r="D296" t="s">
        <v>42</v>
      </c>
      <c r="E296" t="s">
        <v>264</v>
      </c>
      <c r="F296" t="s">
        <v>358</v>
      </c>
      <c r="G296">
        <v>68930</v>
      </c>
      <c r="H296" t="s">
        <v>162</v>
      </c>
      <c r="I296" t="s">
        <v>173</v>
      </c>
    </row>
    <row r="297" spans="1:9">
      <c r="A297" s="50">
        <v>46078</v>
      </c>
      <c r="B297" s="51">
        <v>0.7358101851851852</v>
      </c>
      <c r="C297" t="s">
        <v>158</v>
      </c>
      <c r="D297" t="s">
        <v>216</v>
      </c>
      <c r="E297" t="s">
        <v>160</v>
      </c>
      <c r="F297" t="s">
        <v>217</v>
      </c>
      <c r="G297">
        <v>-921674</v>
      </c>
      <c r="H297" t="s">
        <v>162</v>
      </c>
      <c r="I297" t="s">
        <v>60</v>
      </c>
    </row>
    <row r="298" spans="1:9">
      <c r="A298" s="50">
        <v>46078</v>
      </c>
      <c r="B298" s="51">
        <v>0.4649421296296296</v>
      </c>
      <c r="C298" t="s">
        <v>165</v>
      </c>
      <c r="D298" t="s">
        <v>42</v>
      </c>
      <c r="E298" t="s">
        <v>264</v>
      </c>
      <c r="F298" t="s">
        <v>359</v>
      </c>
      <c r="G298">
        <v>68930</v>
      </c>
      <c r="H298" t="s">
        <v>162</v>
      </c>
      <c r="I298" t="s">
        <v>176</v>
      </c>
    </row>
    <row r="299" spans="1:9">
      <c r="A299" s="50">
        <v>46078</v>
      </c>
      <c r="B299" s="51">
        <v>0.4646643518518518</v>
      </c>
      <c r="C299" t="s">
        <v>165</v>
      </c>
      <c r="D299" t="s">
        <v>35</v>
      </c>
      <c r="E299" t="s">
        <v>221</v>
      </c>
      <c r="F299" t="s">
        <v>222</v>
      </c>
      <c r="G299">
        <v>-3000000</v>
      </c>
      <c r="H299" t="s">
        <v>162</v>
      </c>
      <c r="I299" t="s">
        <v>60</v>
      </c>
    </row>
    <row r="300" spans="1:9">
      <c r="A300" s="50">
        <v>46078</v>
      </c>
      <c r="B300" s="51">
        <v>0.3808217592592593</v>
      </c>
      <c r="C300" t="s">
        <v>207</v>
      </c>
      <c r="D300" t="s">
        <v>29</v>
      </c>
      <c r="E300" t="s">
        <v>160</v>
      </c>
      <c r="F300" t="s">
        <v>325</v>
      </c>
      <c r="G300">
        <v>3412077</v>
      </c>
      <c r="H300" t="s">
        <v>162</v>
      </c>
      <c r="I300" t="s">
        <v>60</v>
      </c>
    </row>
    <row r="301" spans="1:9">
      <c r="A301" s="50">
        <v>46078</v>
      </c>
      <c r="B301" s="51">
        <v>0.1334722222222222</v>
      </c>
      <c r="C301" t="s">
        <v>165</v>
      </c>
      <c r="D301" t="s">
        <v>35</v>
      </c>
      <c r="E301" t="s">
        <v>218</v>
      </c>
      <c r="F301" t="s">
        <v>219</v>
      </c>
      <c r="G301">
        <v>-36120</v>
      </c>
      <c r="H301" t="s">
        <v>162</v>
      </c>
      <c r="I301" t="s">
        <v>60</v>
      </c>
    </row>
    <row r="302" spans="1:9">
      <c r="A302" s="50">
        <v>46077</v>
      </c>
      <c r="B302" s="51">
        <v>0.7860532407407408</v>
      </c>
      <c r="C302" t="s">
        <v>165</v>
      </c>
      <c r="D302" t="s">
        <v>45</v>
      </c>
      <c r="E302" t="s">
        <v>224</v>
      </c>
      <c r="F302" t="s">
        <v>225</v>
      </c>
      <c r="G302">
        <v>-168740</v>
      </c>
      <c r="H302" t="s">
        <v>162</v>
      </c>
      <c r="I302" t="s">
        <v>173</v>
      </c>
    </row>
    <row r="303" spans="1:9">
      <c r="A303" s="50">
        <v>46077</v>
      </c>
      <c r="B303" s="51">
        <v>0.5093518518518518</v>
      </c>
      <c r="C303" t="s">
        <v>165</v>
      </c>
      <c r="D303" t="s">
        <v>41</v>
      </c>
      <c r="E303" t="s">
        <v>360</v>
      </c>
      <c r="F303" t="s">
        <v>361</v>
      </c>
      <c r="G303">
        <v>-10000</v>
      </c>
      <c r="H303" t="s">
        <v>162</v>
      </c>
      <c r="I303" t="s">
        <v>184</v>
      </c>
    </row>
    <row r="304" spans="1:9">
      <c r="A304" s="50">
        <v>46077</v>
      </c>
      <c r="B304" s="51">
        <v>0.4531828703703704</v>
      </c>
      <c r="C304" t="s">
        <v>158</v>
      </c>
      <c r="D304" t="s">
        <v>159</v>
      </c>
      <c r="E304" t="s">
        <v>160</v>
      </c>
      <c r="F304" t="s">
        <v>7</v>
      </c>
      <c r="G304">
        <v>1000000</v>
      </c>
      <c r="H304" t="s">
        <v>162</v>
      </c>
      <c r="I304" t="s">
        <v>60</v>
      </c>
    </row>
    <row r="305" spans="1:9">
      <c r="A305" s="50">
        <v>46077</v>
      </c>
      <c r="B305" s="51">
        <v>0.4531828703703704</v>
      </c>
      <c r="C305" t="s">
        <v>158</v>
      </c>
      <c r="D305" t="s">
        <v>159</v>
      </c>
      <c r="E305" t="s">
        <v>160</v>
      </c>
      <c r="F305" t="s">
        <v>7</v>
      </c>
      <c r="G305">
        <v>-1000000</v>
      </c>
      <c r="H305" t="s">
        <v>162</v>
      </c>
      <c r="I305" t="s">
        <v>57</v>
      </c>
    </row>
    <row r="306" spans="1:9">
      <c r="A306" s="50">
        <v>46077</v>
      </c>
      <c r="B306" s="51">
        <v>0.3603125</v>
      </c>
      <c r="C306" t="s">
        <v>165</v>
      </c>
      <c r="D306" t="s">
        <v>38</v>
      </c>
      <c r="E306" t="s">
        <v>266</v>
      </c>
      <c r="F306" t="s">
        <v>267</v>
      </c>
      <c r="G306">
        <v>-7740</v>
      </c>
      <c r="H306" t="s">
        <v>162</v>
      </c>
      <c r="I306" t="s">
        <v>173</v>
      </c>
    </row>
    <row r="307" spans="1:9">
      <c r="A307" s="50">
        <v>46076</v>
      </c>
      <c r="B307" s="51">
        <v>0.4761689814814815</v>
      </c>
      <c r="C307" t="s">
        <v>158</v>
      </c>
      <c r="D307" t="s">
        <v>159</v>
      </c>
      <c r="E307" t="s">
        <v>160</v>
      </c>
      <c r="F307" t="s">
        <v>7</v>
      </c>
      <c r="G307">
        <v>1000000</v>
      </c>
      <c r="H307" t="s">
        <v>162</v>
      </c>
      <c r="I307" t="s">
        <v>60</v>
      </c>
    </row>
    <row r="308" spans="1:9">
      <c r="A308" s="50">
        <v>46076</v>
      </c>
      <c r="B308" s="51">
        <v>0.4761689814814815</v>
      </c>
      <c r="C308" t="s">
        <v>158</v>
      </c>
      <c r="D308" t="s">
        <v>159</v>
      </c>
      <c r="E308" t="s">
        <v>160</v>
      </c>
      <c r="F308" t="s">
        <v>7</v>
      </c>
      <c r="G308">
        <v>-1000000</v>
      </c>
      <c r="H308" t="s">
        <v>162</v>
      </c>
      <c r="I308" t="s">
        <v>57</v>
      </c>
    </row>
    <row r="309" spans="1:9">
      <c r="A309" s="50">
        <v>46076</v>
      </c>
      <c r="B309" s="51">
        <v>0.4736111111111111</v>
      </c>
      <c r="C309" t="s">
        <v>165</v>
      </c>
      <c r="D309" t="s">
        <v>35</v>
      </c>
      <c r="E309" t="s">
        <v>231</v>
      </c>
      <c r="F309" t="s">
        <v>362</v>
      </c>
      <c r="G309">
        <v>-500000</v>
      </c>
      <c r="H309" t="s">
        <v>162</v>
      </c>
      <c r="I309" t="s">
        <v>60</v>
      </c>
    </row>
    <row r="310" spans="1:9">
      <c r="A310" s="50">
        <v>46076</v>
      </c>
      <c r="B310" s="51">
        <v>0.4060532407407407</v>
      </c>
      <c r="C310" t="s">
        <v>165</v>
      </c>
      <c r="D310" t="s">
        <v>45</v>
      </c>
      <c r="E310" t="s">
        <v>227</v>
      </c>
      <c r="F310" t="s">
        <v>228</v>
      </c>
      <c r="G310">
        <v>-41590</v>
      </c>
      <c r="H310" t="s">
        <v>162</v>
      </c>
      <c r="I310" t="s">
        <v>57</v>
      </c>
    </row>
    <row r="311" spans="1:9">
      <c r="A311" s="50">
        <v>46076</v>
      </c>
      <c r="B311" s="51">
        <v>0.144224537037037</v>
      </c>
      <c r="C311" t="s">
        <v>165</v>
      </c>
      <c r="D311" t="s">
        <v>44</v>
      </c>
      <c r="E311" t="s">
        <v>363</v>
      </c>
      <c r="F311" t="s">
        <v>364</v>
      </c>
      <c r="G311">
        <v>-35950</v>
      </c>
      <c r="H311" t="s">
        <v>162</v>
      </c>
      <c r="I311" t="s">
        <v>60</v>
      </c>
    </row>
    <row r="312" spans="1:9">
      <c r="A312" s="50">
        <v>46073</v>
      </c>
      <c r="B312" s="51">
        <v>0.4783101851851852</v>
      </c>
      <c r="C312" t="s">
        <v>165</v>
      </c>
      <c r="D312" t="s">
        <v>38</v>
      </c>
      <c r="E312" t="s">
        <v>266</v>
      </c>
      <c r="F312" t="s">
        <v>267</v>
      </c>
      <c r="G312">
        <v>-3000</v>
      </c>
      <c r="H312" t="s">
        <v>162</v>
      </c>
      <c r="I312" t="s">
        <v>173</v>
      </c>
    </row>
    <row r="313" spans="1:9">
      <c r="A313" s="50">
        <v>46072</v>
      </c>
      <c r="B313" s="51">
        <v>0.6037847222222222</v>
      </c>
      <c r="C313" t="s">
        <v>165</v>
      </c>
      <c r="D313" t="s">
        <v>45</v>
      </c>
      <c r="E313" t="s">
        <v>276</v>
      </c>
      <c r="F313" t="s">
        <v>365</v>
      </c>
      <c r="G313">
        <v>-60000</v>
      </c>
      <c r="H313" t="s">
        <v>162</v>
      </c>
      <c r="I313" t="s">
        <v>173</v>
      </c>
    </row>
    <row r="314" spans="1:9">
      <c r="A314" s="50">
        <v>46072</v>
      </c>
      <c r="B314" s="51">
        <v>0.415625</v>
      </c>
      <c r="C314" t="s">
        <v>165</v>
      </c>
      <c r="D314" t="s">
        <v>42</v>
      </c>
      <c r="E314" t="s">
        <v>171</v>
      </c>
      <c r="F314" t="s">
        <v>172</v>
      </c>
      <c r="G314">
        <v>-4000</v>
      </c>
      <c r="H314" t="s">
        <v>162</v>
      </c>
      <c r="I314" t="s">
        <v>173</v>
      </c>
    </row>
    <row r="315" spans="1:9">
      <c r="A315" s="50">
        <v>46072</v>
      </c>
      <c r="B315" s="51">
        <v>0.1434143518518519</v>
      </c>
      <c r="C315" t="s">
        <v>165</v>
      </c>
      <c r="D315" t="s">
        <v>35</v>
      </c>
      <c r="E315" t="s">
        <v>231</v>
      </c>
      <c r="F315" t="s">
        <v>333</v>
      </c>
      <c r="G315">
        <v>-16500</v>
      </c>
      <c r="H315" t="s">
        <v>162</v>
      </c>
      <c r="I315" t="s">
        <v>60</v>
      </c>
    </row>
    <row r="316" spans="1:9">
      <c r="A316" s="50">
        <v>46070</v>
      </c>
      <c r="B316" s="51">
        <v>0.6728472222222223</v>
      </c>
      <c r="C316" t="s">
        <v>165</v>
      </c>
      <c r="D316" t="s">
        <v>46</v>
      </c>
      <c r="E316" t="s">
        <v>193</v>
      </c>
      <c r="F316" t="s">
        <v>366</v>
      </c>
      <c r="G316">
        <v>-15800</v>
      </c>
      <c r="H316" t="s">
        <v>162</v>
      </c>
      <c r="I316" t="s">
        <v>173</v>
      </c>
    </row>
    <row r="317" spans="1:9">
      <c r="A317" s="50">
        <v>46070</v>
      </c>
      <c r="B317" s="51">
        <v>0.3644791666666667</v>
      </c>
      <c r="C317" t="s">
        <v>158</v>
      </c>
      <c r="D317" t="s">
        <v>159</v>
      </c>
      <c r="E317" t="s">
        <v>160</v>
      </c>
      <c r="F317" t="s">
        <v>259</v>
      </c>
      <c r="G317">
        <v>-3679453</v>
      </c>
      <c r="H317" t="s">
        <v>162</v>
      </c>
      <c r="I317" t="s">
        <v>367</v>
      </c>
    </row>
    <row r="318" spans="1:9">
      <c r="A318" s="50">
        <v>46070</v>
      </c>
      <c r="B318" s="51">
        <v>0.3644791666666667</v>
      </c>
      <c r="C318" t="s">
        <v>158</v>
      </c>
      <c r="D318" t="s">
        <v>159</v>
      </c>
      <c r="E318" t="s">
        <v>160</v>
      </c>
      <c r="F318" t="s">
        <v>368</v>
      </c>
      <c r="G318">
        <v>3679453</v>
      </c>
      <c r="H318" t="s">
        <v>162</v>
      </c>
      <c r="I318" t="s">
        <v>57</v>
      </c>
    </row>
    <row r="319" spans="1:9">
      <c r="A319" s="50">
        <v>46068</v>
      </c>
      <c r="B319" s="51">
        <v>0.6064236111111111</v>
      </c>
      <c r="C319" t="s">
        <v>165</v>
      </c>
      <c r="D319" t="s">
        <v>44</v>
      </c>
      <c r="E319" t="s">
        <v>182</v>
      </c>
      <c r="F319" t="s">
        <v>369</v>
      </c>
      <c r="G319">
        <v>-60000</v>
      </c>
      <c r="H319" t="s">
        <v>162</v>
      </c>
      <c r="I319" t="s">
        <v>173</v>
      </c>
    </row>
    <row r="320" spans="1:9">
      <c r="A320" s="50">
        <v>46067</v>
      </c>
      <c r="B320" s="51">
        <v>0.6340162037037037</v>
      </c>
      <c r="C320" t="s">
        <v>165</v>
      </c>
      <c r="D320" t="s">
        <v>35</v>
      </c>
      <c r="E320" t="s">
        <v>179</v>
      </c>
      <c r="F320" t="s">
        <v>370</v>
      </c>
      <c r="G320">
        <v>-100000</v>
      </c>
      <c r="H320" t="s">
        <v>162</v>
      </c>
      <c r="I320" t="s">
        <v>60</v>
      </c>
    </row>
    <row r="321" spans="1:9">
      <c r="A321" s="50">
        <v>46067</v>
      </c>
      <c r="B321" s="51">
        <v>0.6331597222222223</v>
      </c>
      <c r="C321" t="s">
        <v>158</v>
      </c>
      <c r="D321" t="s">
        <v>64</v>
      </c>
      <c r="E321" t="s">
        <v>160</v>
      </c>
      <c r="F321" t="s">
        <v>371</v>
      </c>
      <c r="G321">
        <v>-300000</v>
      </c>
      <c r="H321" t="s">
        <v>162</v>
      </c>
      <c r="I321" t="s">
        <v>60</v>
      </c>
    </row>
    <row r="322" spans="1:9">
      <c r="A322" s="50">
        <v>46067</v>
      </c>
      <c r="B322" s="51">
        <v>0.06550925925925925</v>
      </c>
      <c r="C322" t="s">
        <v>158</v>
      </c>
      <c r="D322" t="s">
        <v>160</v>
      </c>
      <c r="E322" t="s">
        <v>160</v>
      </c>
      <c r="F322" t="s">
        <v>210</v>
      </c>
      <c r="G322">
        <v>487</v>
      </c>
      <c r="H322" t="s">
        <v>162</v>
      </c>
      <c r="I322" t="s">
        <v>57</v>
      </c>
    </row>
    <row r="323" spans="1:9">
      <c r="A323" s="50">
        <v>46066</v>
      </c>
      <c r="B323" s="51">
        <v>0.9667939814814814</v>
      </c>
      <c r="C323" t="s">
        <v>165</v>
      </c>
      <c r="D323" t="s">
        <v>35</v>
      </c>
      <c r="E323" t="s">
        <v>260</v>
      </c>
      <c r="F323" t="s">
        <v>298</v>
      </c>
      <c r="G323">
        <v>-12000000</v>
      </c>
      <c r="H323" t="s">
        <v>162</v>
      </c>
      <c r="I323" t="s">
        <v>60</v>
      </c>
    </row>
    <row r="324" spans="1:9">
      <c r="A324" s="50">
        <v>46066</v>
      </c>
      <c r="B324" s="51">
        <v>0.724212962962963</v>
      </c>
      <c r="C324" t="s">
        <v>165</v>
      </c>
      <c r="D324" t="s">
        <v>38</v>
      </c>
      <c r="E324" t="s">
        <v>186</v>
      </c>
      <c r="F324" t="s">
        <v>187</v>
      </c>
      <c r="G324">
        <v>-45000</v>
      </c>
      <c r="H324" t="s">
        <v>162</v>
      </c>
      <c r="I324" t="s">
        <v>184</v>
      </c>
    </row>
    <row r="325" spans="1:9">
      <c r="A325" s="50">
        <v>46066</v>
      </c>
      <c r="B325" s="51">
        <v>0.5530671296296297</v>
      </c>
      <c r="C325" t="s">
        <v>165</v>
      </c>
      <c r="D325" t="s">
        <v>35</v>
      </c>
      <c r="E325" t="s">
        <v>231</v>
      </c>
      <c r="F325" t="s">
        <v>232</v>
      </c>
      <c r="G325">
        <v>-14000</v>
      </c>
      <c r="H325" t="s">
        <v>162</v>
      </c>
      <c r="I325" t="s">
        <v>189</v>
      </c>
    </row>
    <row r="326" spans="1:9">
      <c r="A326" s="50">
        <v>46066</v>
      </c>
      <c r="B326" s="51">
        <v>0.4804050925925926</v>
      </c>
      <c r="C326" t="s">
        <v>158</v>
      </c>
      <c r="D326" t="s">
        <v>256</v>
      </c>
      <c r="E326" t="s">
        <v>160</v>
      </c>
      <c r="F326" t="s">
        <v>372</v>
      </c>
      <c r="G326">
        <v>8000000</v>
      </c>
      <c r="H326" t="s">
        <v>162</v>
      </c>
      <c r="I326" t="s">
        <v>60</v>
      </c>
    </row>
    <row r="327" spans="1:9">
      <c r="A327" s="50">
        <v>46065</v>
      </c>
      <c r="B327" s="51">
        <v>0.8833101851851852</v>
      </c>
      <c r="C327" t="s">
        <v>165</v>
      </c>
      <c r="D327" t="s">
        <v>42</v>
      </c>
      <c r="E327" t="s">
        <v>264</v>
      </c>
      <c r="F327" t="s">
        <v>359</v>
      </c>
      <c r="G327">
        <v>-68930</v>
      </c>
      <c r="H327" t="s">
        <v>162</v>
      </c>
      <c r="I327" t="s">
        <v>176</v>
      </c>
    </row>
    <row r="328" spans="1:9">
      <c r="A328" s="50">
        <v>46065</v>
      </c>
      <c r="B328" s="51">
        <v>0.591087962962963</v>
      </c>
      <c r="C328" t="s">
        <v>165</v>
      </c>
      <c r="D328" t="s">
        <v>46</v>
      </c>
      <c r="E328" t="s">
        <v>193</v>
      </c>
      <c r="F328" t="s">
        <v>373</v>
      </c>
      <c r="G328">
        <v>-2200</v>
      </c>
      <c r="H328" t="s">
        <v>162</v>
      </c>
      <c r="I328" t="s">
        <v>173</v>
      </c>
    </row>
    <row r="329" spans="1:9">
      <c r="A329" s="50">
        <v>46065</v>
      </c>
      <c r="B329" s="51">
        <v>0.4833564814814815</v>
      </c>
      <c r="C329" t="s">
        <v>165</v>
      </c>
      <c r="D329" t="s">
        <v>40</v>
      </c>
      <c r="E329" t="s">
        <v>288</v>
      </c>
      <c r="F329" t="s">
        <v>374</v>
      </c>
      <c r="G329">
        <v>-7700</v>
      </c>
      <c r="H329" t="s">
        <v>162</v>
      </c>
      <c r="I329" t="s">
        <v>173</v>
      </c>
    </row>
    <row r="330" spans="1:9">
      <c r="A330" s="50">
        <v>46064</v>
      </c>
      <c r="B330" s="51">
        <v>0.7771875</v>
      </c>
      <c r="C330" t="s">
        <v>165</v>
      </c>
      <c r="D330" t="s">
        <v>44</v>
      </c>
      <c r="E330" t="s">
        <v>182</v>
      </c>
      <c r="F330" t="s">
        <v>183</v>
      </c>
      <c r="G330">
        <v>-50000</v>
      </c>
      <c r="H330" t="s">
        <v>162</v>
      </c>
      <c r="I330" t="s">
        <v>184</v>
      </c>
    </row>
    <row r="331" spans="1:9">
      <c r="A331" s="50">
        <v>46064</v>
      </c>
      <c r="B331" s="51">
        <v>0.5166666666666667</v>
      </c>
      <c r="C331" t="s">
        <v>165</v>
      </c>
      <c r="D331" t="s">
        <v>46</v>
      </c>
      <c r="E331" t="s">
        <v>193</v>
      </c>
      <c r="F331" t="s">
        <v>194</v>
      </c>
      <c r="G331">
        <v>-12500</v>
      </c>
      <c r="H331" t="s">
        <v>162</v>
      </c>
      <c r="I331" t="s">
        <v>184</v>
      </c>
    </row>
    <row r="332" spans="1:9">
      <c r="A332" s="50">
        <v>46064</v>
      </c>
      <c r="B332" s="51">
        <v>0.4411342592592593</v>
      </c>
      <c r="C332" t="s">
        <v>158</v>
      </c>
      <c r="D332" t="s">
        <v>159</v>
      </c>
      <c r="E332" t="s">
        <v>160</v>
      </c>
      <c r="F332" t="s">
        <v>284</v>
      </c>
      <c r="G332">
        <v>-4000000</v>
      </c>
      <c r="H332" t="s">
        <v>162</v>
      </c>
      <c r="I332" t="s">
        <v>60</v>
      </c>
    </row>
    <row r="333" spans="1:9">
      <c r="A333" s="50">
        <v>46064</v>
      </c>
      <c r="B333" s="51">
        <v>0.4030787037037037</v>
      </c>
      <c r="C333" t="s">
        <v>158</v>
      </c>
      <c r="D333" t="s">
        <v>159</v>
      </c>
      <c r="E333" t="s">
        <v>160</v>
      </c>
      <c r="F333" t="s">
        <v>375</v>
      </c>
      <c r="G333">
        <v>-21000000</v>
      </c>
      <c r="H333" t="s">
        <v>162</v>
      </c>
      <c r="I333" t="s">
        <v>60</v>
      </c>
    </row>
    <row r="334" spans="1:9">
      <c r="A334" s="50">
        <v>46064</v>
      </c>
      <c r="B334" s="51">
        <v>0.4008912037037037</v>
      </c>
      <c r="C334" t="s">
        <v>158</v>
      </c>
      <c r="D334" t="s">
        <v>256</v>
      </c>
      <c r="E334" t="s">
        <v>160</v>
      </c>
      <c r="F334" t="s">
        <v>274</v>
      </c>
      <c r="G334">
        <v>9989070</v>
      </c>
      <c r="H334" t="s">
        <v>162</v>
      </c>
      <c r="I334" t="s">
        <v>60</v>
      </c>
    </row>
    <row r="335" spans="1:9">
      <c r="A335" s="50">
        <v>46064</v>
      </c>
      <c r="B335" s="51">
        <v>0.3790277777777778</v>
      </c>
      <c r="C335" t="s">
        <v>207</v>
      </c>
      <c r="D335" t="s">
        <v>29</v>
      </c>
      <c r="E335" t="s">
        <v>160</v>
      </c>
      <c r="F335" t="s">
        <v>376</v>
      </c>
      <c r="G335">
        <v>200000</v>
      </c>
      <c r="H335" t="s">
        <v>162</v>
      </c>
      <c r="I335" t="s">
        <v>60</v>
      </c>
    </row>
    <row r="336" spans="1:9">
      <c r="A336" s="50">
        <v>46064</v>
      </c>
      <c r="B336" s="51">
        <v>0.2506712962962963</v>
      </c>
      <c r="C336" t="s">
        <v>165</v>
      </c>
      <c r="D336" t="s">
        <v>35</v>
      </c>
      <c r="E336" t="s">
        <v>221</v>
      </c>
      <c r="F336" t="s">
        <v>377</v>
      </c>
      <c r="G336">
        <v>-7220</v>
      </c>
      <c r="H336" t="s">
        <v>162</v>
      </c>
      <c r="I336" t="s">
        <v>60</v>
      </c>
    </row>
    <row r="337" spans="1:9">
      <c r="A337" s="50">
        <v>46064</v>
      </c>
      <c r="B337" s="51">
        <v>0.2506712962962963</v>
      </c>
      <c r="C337" t="s">
        <v>207</v>
      </c>
      <c r="D337" t="s">
        <v>31</v>
      </c>
      <c r="E337" t="s">
        <v>160</v>
      </c>
      <c r="F337" t="s">
        <v>378</v>
      </c>
      <c r="G337">
        <v>20000000</v>
      </c>
      <c r="H337" t="s">
        <v>162</v>
      </c>
      <c r="I337" t="s">
        <v>60</v>
      </c>
    </row>
    <row r="338" spans="1:9">
      <c r="A338" s="50">
        <v>46059</v>
      </c>
      <c r="B338" s="51">
        <v>0.7854282407407407</v>
      </c>
      <c r="C338" t="s">
        <v>165</v>
      </c>
      <c r="D338" t="s">
        <v>40</v>
      </c>
      <c r="E338" t="s">
        <v>292</v>
      </c>
      <c r="F338" t="s">
        <v>293</v>
      </c>
      <c r="G338">
        <v>-63500</v>
      </c>
      <c r="H338" t="s">
        <v>162</v>
      </c>
      <c r="I338" t="s">
        <v>176</v>
      </c>
    </row>
    <row r="339" spans="1:9">
      <c r="A339" s="50">
        <v>46059</v>
      </c>
      <c r="B339" s="51">
        <v>0.7813194444444445</v>
      </c>
      <c r="C339" t="s">
        <v>165</v>
      </c>
      <c r="D339" t="s">
        <v>38</v>
      </c>
      <c r="E339" t="s">
        <v>166</v>
      </c>
      <c r="F339" t="s">
        <v>356</v>
      </c>
      <c r="G339">
        <v>-11000</v>
      </c>
      <c r="H339" t="s">
        <v>162</v>
      </c>
      <c r="I339" t="s">
        <v>173</v>
      </c>
    </row>
    <row r="340" spans="1:9">
      <c r="A340" s="50">
        <v>46059</v>
      </c>
      <c r="B340" s="51">
        <v>0.6757175925925926</v>
      </c>
      <c r="C340" t="s">
        <v>158</v>
      </c>
      <c r="D340" t="s">
        <v>158</v>
      </c>
      <c r="E340" t="s">
        <v>160</v>
      </c>
      <c r="F340" t="s">
        <v>379</v>
      </c>
      <c r="G340">
        <v>10000</v>
      </c>
      <c r="H340" t="s">
        <v>162</v>
      </c>
      <c r="I340" t="s">
        <v>60</v>
      </c>
    </row>
    <row r="341" spans="1:9">
      <c r="A341" s="50">
        <v>46058</v>
      </c>
      <c r="B341" s="51">
        <v>0.7928703703703703</v>
      </c>
      <c r="C341" t="s">
        <v>165</v>
      </c>
      <c r="D341" t="s">
        <v>35</v>
      </c>
      <c r="E341" t="s">
        <v>179</v>
      </c>
      <c r="F341" t="s">
        <v>380</v>
      </c>
      <c r="G341">
        <v>-2480000</v>
      </c>
      <c r="H341" t="s">
        <v>162</v>
      </c>
      <c r="I341" t="s">
        <v>60</v>
      </c>
    </row>
    <row r="342" spans="1:9">
      <c r="A342" s="50">
        <v>46058</v>
      </c>
      <c r="B342" s="51">
        <v>0.02928240740740741</v>
      </c>
      <c r="C342" t="s">
        <v>158</v>
      </c>
      <c r="D342" t="s">
        <v>158</v>
      </c>
      <c r="E342" t="s">
        <v>160</v>
      </c>
      <c r="F342" t="s">
        <v>170</v>
      </c>
      <c r="G342">
        <v>1000000</v>
      </c>
      <c r="H342" t="s">
        <v>162</v>
      </c>
      <c r="I342" t="s">
        <v>60</v>
      </c>
    </row>
    <row r="343" spans="1:9">
      <c r="A343" s="50">
        <v>46057</v>
      </c>
      <c r="B343" s="51">
        <v>0.7646180555555555</v>
      </c>
      <c r="C343" t="s">
        <v>165</v>
      </c>
      <c r="D343" t="s">
        <v>38</v>
      </c>
      <c r="E343" t="s">
        <v>186</v>
      </c>
      <c r="F343" t="s">
        <v>187</v>
      </c>
      <c r="G343">
        <v>-160000</v>
      </c>
      <c r="H343" t="s">
        <v>162</v>
      </c>
      <c r="I343" t="s">
        <v>184</v>
      </c>
    </row>
    <row r="344" spans="1:9">
      <c r="A344" s="50">
        <v>46056</v>
      </c>
      <c r="B344" s="51">
        <v>0.7612731481481482</v>
      </c>
      <c r="C344" t="s">
        <v>165</v>
      </c>
      <c r="D344" t="s">
        <v>38</v>
      </c>
      <c r="E344" t="s">
        <v>186</v>
      </c>
      <c r="F344" t="s">
        <v>320</v>
      </c>
      <c r="G344">
        <v>-9000</v>
      </c>
      <c r="H344" t="s">
        <v>162</v>
      </c>
      <c r="I344" t="s">
        <v>173</v>
      </c>
    </row>
    <row r="345" spans="1:9">
      <c r="A345" s="50">
        <v>46056</v>
      </c>
      <c r="B345" s="51">
        <v>0.05790509259259259</v>
      </c>
      <c r="C345" t="s">
        <v>158</v>
      </c>
      <c r="D345" t="s">
        <v>159</v>
      </c>
      <c r="E345" t="s">
        <v>160</v>
      </c>
      <c r="F345" t="s">
        <v>375</v>
      </c>
      <c r="G345">
        <v>-60000000</v>
      </c>
      <c r="H345" t="s">
        <v>162</v>
      </c>
      <c r="I345" t="s">
        <v>60</v>
      </c>
    </row>
    <row r="346" spans="1:9">
      <c r="A346" s="50">
        <v>46056</v>
      </c>
      <c r="B346" s="51">
        <v>0.05506944444444444</v>
      </c>
      <c r="C346" t="s">
        <v>158</v>
      </c>
      <c r="D346" t="s">
        <v>158</v>
      </c>
      <c r="E346" t="s">
        <v>160</v>
      </c>
      <c r="F346" t="s">
        <v>170</v>
      </c>
      <c r="G346">
        <v>45000000</v>
      </c>
      <c r="H346" t="s">
        <v>162</v>
      </c>
      <c r="I346" t="s">
        <v>60</v>
      </c>
    </row>
    <row r="347" spans="1:9">
      <c r="A347" s="50">
        <v>46055</v>
      </c>
      <c r="B347" s="51">
        <v>0.6560416666666666</v>
      </c>
      <c r="C347" t="s">
        <v>165</v>
      </c>
      <c r="D347" t="s">
        <v>35</v>
      </c>
      <c r="E347" t="s">
        <v>174</v>
      </c>
      <c r="F347" t="s">
        <v>381</v>
      </c>
      <c r="G347">
        <v>-49000</v>
      </c>
      <c r="H347" t="s">
        <v>162</v>
      </c>
      <c r="I347" t="s">
        <v>173</v>
      </c>
    </row>
    <row r="348" spans="1:9">
      <c r="A348" s="50">
        <v>46055</v>
      </c>
      <c r="B348" s="51">
        <v>0.5783564814814814</v>
      </c>
      <c r="C348" t="s">
        <v>165</v>
      </c>
      <c r="D348" t="s">
        <v>35</v>
      </c>
      <c r="E348" t="s">
        <v>174</v>
      </c>
      <c r="F348" t="s">
        <v>203</v>
      </c>
      <c r="G348">
        <v>-1100</v>
      </c>
      <c r="H348" t="s">
        <v>162</v>
      </c>
      <c r="I348" t="s">
        <v>173</v>
      </c>
    </row>
    <row r="349" spans="1:9">
      <c r="A349" s="50">
        <v>46055</v>
      </c>
      <c r="B349" s="51">
        <v>0.5160532407407408</v>
      </c>
      <c r="C349" t="s">
        <v>165</v>
      </c>
      <c r="D349" t="s">
        <v>46</v>
      </c>
      <c r="E349" t="s">
        <v>193</v>
      </c>
      <c r="F349" t="s">
        <v>194</v>
      </c>
      <c r="G349">
        <v>-15000</v>
      </c>
      <c r="H349" t="s">
        <v>162</v>
      </c>
      <c r="I349" t="s">
        <v>184</v>
      </c>
    </row>
    <row r="350" spans="1:9">
      <c r="A350" s="50">
        <v>46055</v>
      </c>
      <c r="B350" s="51">
        <v>0.07034722222222223</v>
      </c>
      <c r="C350" t="s">
        <v>165</v>
      </c>
      <c r="D350" t="s">
        <v>42</v>
      </c>
      <c r="E350" t="s">
        <v>264</v>
      </c>
      <c r="F350" t="s">
        <v>382</v>
      </c>
      <c r="G350">
        <v>-12900</v>
      </c>
      <c r="H350" t="s">
        <v>162</v>
      </c>
      <c r="I350" t="s">
        <v>176</v>
      </c>
    </row>
    <row r="351" spans="1:9">
      <c r="A351" s="50">
        <v>46054</v>
      </c>
      <c r="B351" s="51">
        <v>0.8566087962962963</v>
      </c>
      <c r="C351" t="s">
        <v>158</v>
      </c>
      <c r="D351" t="s">
        <v>158</v>
      </c>
      <c r="E351" t="s">
        <v>160</v>
      </c>
      <c r="F351" t="s">
        <v>204</v>
      </c>
      <c r="G351">
        <v>-300000</v>
      </c>
      <c r="H351" t="s">
        <v>162</v>
      </c>
      <c r="I351" t="s">
        <v>60</v>
      </c>
    </row>
    <row r="352" spans="1:9">
      <c r="A352" s="50">
        <v>46054</v>
      </c>
      <c r="B352" s="51">
        <v>0.444525462962963</v>
      </c>
      <c r="C352" t="s">
        <v>158</v>
      </c>
      <c r="D352" t="s">
        <v>64</v>
      </c>
      <c r="E352" t="s">
        <v>160</v>
      </c>
      <c r="F352" t="s">
        <v>383</v>
      </c>
      <c r="G352">
        <v>-40000</v>
      </c>
      <c r="H352" t="s">
        <v>162</v>
      </c>
      <c r="I352" t="s">
        <v>60</v>
      </c>
    </row>
    <row r="353" spans="1:9">
      <c r="A353" s="50">
        <v>46053</v>
      </c>
      <c r="B353" s="51">
        <v>0.8190625</v>
      </c>
      <c r="C353" t="s">
        <v>158</v>
      </c>
      <c r="D353" t="s">
        <v>64</v>
      </c>
      <c r="E353" t="s">
        <v>160</v>
      </c>
      <c r="F353" t="s">
        <v>383</v>
      </c>
      <c r="G353">
        <v>-100000</v>
      </c>
      <c r="H353" t="s">
        <v>162</v>
      </c>
      <c r="I353" t="s">
        <v>60</v>
      </c>
    </row>
    <row r="354" spans="1:9">
      <c r="A354" s="50">
        <v>46053</v>
      </c>
      <c r="B354" s="51">
        <v>0.6454398148148148</v>
      </c>
      <c r="C354" t="s">
        <v>165</v>
      </c>
      <c r="D354" t="s">
        <v>38</v>
      </c>
      <c r="E354" t="s">
        <v>266</v>
      </c>
      <c r="F354" t="s">
        <v>267</v>
      </c>
      <c r="G354">
        <v>-6000</v>
      </c>
      <c r="H354" t="s">
        <v>162</v>
      </c>
      <c r="I354" t="s">
        <v>173</v>
      </c>
    </row>
    <row r="355" spans="1:9">
      <c r="A355" s="50">
        <v>46053</v>
      </c>
      <c r="B355" s="51">
        <v>0.5761689814814814</v>
      </c>
      <c r="C355" t="s">
        <v>165</v>
      </c>
      <c r="D355" t="s">
        <v>38</v>
      </c>
      <c r="E355" t="s">
        <v>266</v>
      </c>
      <c r="F355" t="s">
        <v>267</v>
      </c>
      <c r="G355">
        <v>-5760</v>
      </c>
      <c r="H355" t="s">
        <v>162</v>
      </c>
      <c r="I355" t="s">
        <v>173</v>
      </c>
    </row>
    <row r="356" spans="1:9">
      <c r="A356" s="50">
        <v>46053</v>
      </c>
      <c r="B356" s="51">
        <v>0.3983449074074074</v>
      </c>
      <c r="C356" t="s">
        <v>165</v>
      </c>
      <c r="D356" t="s">
        <v>46</v>
      </c>
      <c r="E356" t="s">
        <v>296</v>
      </c>
      <c r="F356" t="s">
        <v>384</v>
      </c>
      <c r="G356">
        <v>-7800</v>
      </c>
      <c r="H356" t="s">
        <v>162</v>
      </c>
      <c r="I356" t="s">
        <v>173</v>
      </c>
    </row>
    <row r="357" spans="1:9">
      <c r="A357" s="50">
        <v>46053</v>
      </c>
      <c r="B357" s="51">
        <v>0.3970486111111111</v>
      </c>
      <c r="C357" t="s">
        <v>165</v>
      </c>
      <c r="D357" t="s">
        <v>46</v>
      </c>
      <c r="E357" t="s">
        <v>193</v>
      </c>
      <c r="F357" t="s">
        <v>385</v>
      </c>
      <c r="G357">
        <v>-17600</v>
      </c>
      <c r="H357" t="s">
        <v>162</v>
      </c>
      <c r="I357" t="s">
        <v>173</v>
      </c>
    </row>
    <row r="358" spans="1:9">
      <c r="A358" s="50">
        <v>46053</v>
      </c>
      <c r="B358" s="51">
        <v>0.3849652777777778</v>
      </c>
      <c r="C358" t="s">
        <v>165</v>
      </c>
      <c r="D358" t="s">
        <v>35</v>
      </c>
      <c r="E358" t="s">
        <v>174</v>
      </c>
      <c r="F358" t="s">
        <v>381</v>
      </c>
      <c r="G358">
        <v>-49000</v>
      </c>
      <c r="H358" t="s">
        <v>162</v>
      </c>
      <c r="I358" t="s">
        <v>173</v>
      </c>
    </row>
    <row r="359" spans="1:9">
      <c r="A359" s="50">
        <v>46053</v>
      </c>
      <c r="B359" s="51">
        <v>0.3471296296296296</v>
      </c>
      <c r="C359" t="s">
        <v>165</v>
      </c>
      <c r="D359" t="s">
        <v>35</v>
      </c>
      <c r="E359" t="s">
        <v>174</v>
      </c>
      <c r="F359" t="s">
        <v>381</v>
      </c>
      <c r="G359">
        <v>-37700</v>
      </c>
      <c r="H359" t="s">
        <v>162</v>
      </c>
      <c r="I359" t="s">
        <v>173</v>
      </c>
    </row>
    <row r="360" spans="1:9">
      <c r="A360" s="50">
        <v>46052</v>
      </c>
      <c r="B360" s="51">
        <v>0.7529861111111111</v>
      </c>
      <c r="C360" t="s">
        <v>158</v>
      </c>
      <c r="D360" t="s">
        <v>158</v>
      </c>
      <c r="E360" t="s">
        <v>160</v>
      </c>
      <c r="F360" t="s">
        <v>386</v>
      </c>
      <c r="G360">
        <v>-450000</v>
      </c>
      <c r="H360" t="s">
        <v>162</v>
      </c>
      <c r="I360" t="s">
        <v>60</v>
      </c>
    </row>
    <row r="361" spans="1:9">
      <c r="A361" s="50">
        <v>46052</v>
      </c>
      <c r="B361" s="51">
        <v>0.04694444444444444</v>
      </c>
      <c r="C361" t="s">
        <v>165</v>
      </c>
      <c r="D361" t="s">
        <v>38</v>
      </c>
      <c r="E361" t="s">
        <v>271</v>
      </c>
      <c r="F361" t="s">
        <v>387</v>
      </c>
      <c r="G361">
        <v>-5720</v>
      </c>
      <c r="H361" t="s">
        <v>162</v>
      </c>
      <c r="I361" t="s">
        <v>176</v>
      </c>
    </row>
    <row r="362" spans="1:9">
      <c r="A362" s="50">
        <v>46050</v>
      </c>
      <c r="B362" s="51">
        <v>0.5181018518518519</v>
      </c>
      <c r="C362" t="s">
        <v>165</v>
      </c>
      <c r="D362" t="s">
        <v>46</v>
      </c>
      <c r="E362" t="s">
        <v>193</v>
      </c>
      <c r="F362" t="s">
        <v>194</v>
      </c>
      <c r="G362">
        <v>-12500</v>
      </c>
      <c r="H362" t="s">
        <v>162</v>
      </c>
      <c r="I362" t="s">
        <v>184</v>
      </c>
    </row>
    <row r="363" spans="1:9">
      <c r="A363" s="50">
        <v>46049</v>
      </c>
      <c r="B363" s="51">
        <v>0.4603472222222222</v>
      </c>
      <c r="C363" t="s">
        <v>158</v>
      </c>
      <c r="D363" t="s">
        <v>159</v>
      </c>
      <c r="E363" t="s">
        <v>160</v>
      </c>
      <c r="F363" t="s">
        <v>209</v>
      </c>
      <c r="G363">
        <v>-100000</v>
      </c>
      <c r="H363" t="s">
        <v>162</v>
      </c>
      <c r="I363" t="s">
        <v>60</v>
      </c>
    </row>
    <row r="364" spans="1:9">
      <c r="A364" s="50">
        <v>46048</v>
      </c>
      <c r="B364" s="51">
        <v>0.8729513888888889</v>
      </c>
      <c r="C364" t="s">
        <v>158</v>
      </c>
      <c r="D364" t="s">
        <v>159</v>
      </c>
      <c r="E364" t="s">
        <v>160</v>
      </c>
      <c r="F364" t="s">
        <v>388</v>
      </c>
      <c r="G364">
        <v>-300000</v>
      </c>
      <c r="H364" t="s">
        <v>162</v>
      </c>
      <c r="I364" t="s">
        <v>57</v>
      </c>
    </row>
    <row r="365" spans="1:9">
      <c r="A365" s="50">
        <v>46048</v>
      </c>
      <c r="B365" s="51">
        <v>0.8729513888888889</v>
      </c>
      <c r="C365" t="s">
        <v>158</v>
      </c>
      <c r="D365" t="s">
        <v>159</v>
      </c>
      <c r="E365" t="s">
        <v>160</v>
      </c>
      <c r="F365" t="s">
        <v>210</v>
      </c>
      <c r="G365">
        <v>300000</v>
      </c>
      <c r="H365" t="s">
        <v>162</v>
      </c>
      <c r="I365" t="s">
        <v>367</v>
      </c>
    </row>
    <row r="366" spans="1:9">
      <c r="A366" s="50">
        <v>46048</v>
      </c>
      <c r="B366" s="51">
        <v>0.7916435185185186</v>
      </c>
      <c r="C366" t="s">
        <v>158</v>
      </c>
      <c r="D366" t="s">
        <v>158</v>
      </c>
      <c r="E366" t="s">
        <v>160</v>
      </c>
      <c r="F366" t="s">
        <v>389</v>
      </c>
      <c r="G366">
        <v>-309280</v>
      </c>
      <c r="H366" t="s">
        <v>162</v>
      </c>
      <c r="I366" t="s">
        <v>60</v>
      </c>
    </row>
    <row r="367" spans="1:9">
      <c r="A367" s="50">
        <v>46048</v>
      </c>
      <c r="B367" s="51">
        <v>0.7358564814814815</v>
      </c>
      <c r="C367" t="s">
        <v>158</v>
      </c>
      <c r="D367" t="s">
        <v>216</v>
      </c>
      <c r="E367" t="s">
        <v>160</v>
      </c>
      <c r="F367" t="s">
        <v>217</v>
      </c>
      <c r="G367">
        <v>-498376</v>
      </c>
      <c r="H367" t="s">
        <v>162</v>
      </c>
      <c r="I367" t="s">
        <v>60</v>
      </c>
    </row>
    <row r="368" spans="1:9">
      <c r="A368" s="50">
        <v>46048</v>
      </c>
      <c r="B368" s="51">
        <v>0.7077199074074074</v>
      </c>
      <c r="C368" t="s">
        <v>158</v>
      </c>
      <c r="D368" t="s">
        <v>158</v>
      </c>
      <c r="E368" t="s">
        <v>160</v>
      </c>
      <c r="F368" t="s">
        <v>215</v>
      </c>
      <c r="G368">
        <v>-17800</v>
      </c>
      <c r="H368" t="s">
        <v>162</v>
      </c>
      <c r="I368" t="s">
        <v>60</v>
      </c>
    </row>
    <row r="369" spans="1:9">
      <c r="A369" s="50">
        <v>46048</v>
      </c>
      <c r="B369" s="51">
        <v>0.1300925925925926</v>
      </c>
      <c r="C369" t="s">
        <v>165</v>
      </c>
      <c r="D369" t="s">
        <v>35</v>
      </c>
      <c r="E369" t="s">
        <v>218</v>
      </c>
      <c r="F369" t="s">
        <v>219</v>
      </c>
      <c r="G369">
        <v>-36120</v>
      </c>
      <c r="H369" t="s">
        <v>162</v>
      </c>
      <c r="I369" t="s">
        <v>60</v>
      </c>
    </row>
    <row r="370" spans="1:9">
      <c r="A370" s="50">
        <v>46047</v>
      </c>
      <c r="B370" s="51">
        <v>0.4582175925925926</v>
      </c>
      <c r="C370" t="s">
        <v>165</v>
      </c>
      <c r="D370" t="s">
        <v>44</v>
      </c>
      <c r="E370" t="s">
        <v>300</v>
      </c>
      <c r="F370" t="s">
        <v>390</v>
      </c>
      <c r="G370">
        <v>-82150</v>
      </c>
      <c r="H370" t="s">
        <v>162</v>
      </c>
      <c r="I370" t="s">
        <v>176</v>
      </c>
    </row>
    <row r="371" spans="1:9">
      <c r="A371" s="50">
        <v>46046</v>
      </c>
      <c r="B371" s="51">
        <v>0.6915046296296297</v>
      </c>
      <c r="C371" t="s">
        <v>165</v>
      </c>
      <c r="D371" t="s">
        <v>35</v>
      </c>
      <c r="E371" t="s">
        <v>179</v>
      </c>
      <c r="F371" t="s">
        <v>391</v>
      </c>
      <c r="G371">
        <v>-100000</v>
      </c>
      <c r="H371" t="s">
        <v>162</v>
      </c>
      <c r="I371" t="s">
        <v>60</v>
      </c>
    </row>
    <row r="372" spans="1:9">
      <c r="A372" s="50">
        <v>46046</v>
      </c>
      <c r="B372" s="51">
        <v>0.6905902777777778</v>
      </c>
      <c r="C372" t="s">
        <v>165</v>
      </c>
      <c r="D372" t="s">
        <v>35</v>
      </c>
      <c r="E372" t="s">
        <v>179</v>
      </c>
      <c r="F372" t="s">
        <v>392</v>
      </c>
      <c r="G372">
        <v>-300000</v>
      </c>
      <c r="H372" t="s">
        <v>162</v>
      </c>
      <c r="I372" t="s">
        <v>60</v>
      </c>
    </row>
    <row r="373" spans="1:9">
      <c r="A373" s="50">
        <v>46046</v>
      </c>
      <c r="B373" s="51">
        <v>0.1972337962962963</v>
      </c>
      <c r="C373" t="s">
        <v>207</v>
      </c>
      <c r="D373" t="s">
        <v>28</v>
      </c>
      <c r="E373" t="s">
        <v>160</v>
      </c>
      <c r="F373" t="s">
        <v>211</v>
      </c>
      <c r="G373">
        <v>0</v>
      </c>
      <c r="H373" t="s">
        <v>162</v>
      </c>
      <c r="I373" t="s">
        <v>58</v>
      </c>
    </row>
    <row r="374" spans="1:9">
      <c r="A374" s="50">
        <v>46045</v>
      </c>
      <c r="B374" s="51">
        <v>0.8363773148148148</v>
      </c>
      <c r="C374" t="s">
        <v>158</v>
      </c>
      <c r="D374" t="s">
        <v>216</v>
      </c>
      <c r="E374" t="s">
        <v>160</v>
      </c>
      <c r="F374" t="s">
        <v>393</v>
      </c>
      <c r="G374">
        <v>-25070</v>
      </c>
      <c r="H374" t="s">
        <v>162</v>
      </c>
      <c r="I374" t="s">
        <v>60</v>
      </c>
    </row>
    <row r="375" spans="1:9">
      <c r="A375" s="50">
        <v>46045</v>
      </c>
      <c r="B375" s="51">
        <v>0.8331944444444445</v>
      </c>
      <c r="C375" t="s">
        <v>158</v>
      </c>
      <c r="D375" t="s">
        <v>159</v>
      </c>
      <c r="E375" t="s">
        <v>160</v>
      </c>
      <c r="F375" t="s">
        <v>394</v>
      </c>
      <c r="G375">
        <v>-676140</v>
      </c>
      <c r="H375" t="s">
        <v>162</v>
      </c>
      <c r="I375" t="s">
        <v>60</v>
      </c>
    </row>
    <row r="376" spans="1:9">
      <c r="A376" s="50">
        <v>46045</v>
      </c>
      <c r="B376" s="51">
        <v>0.5399074074074074</v>
      </c>
      <c r="C376" t="s">
        <v>165</v>
      </c>
      <c r="D376" t="s">
        <v>46</v>
      </c>
      <c r="E376" t="s">
        <v>296</v>
      </c>
      <c r="F376" t="s">
        <v>395</v>
      </c>
      <c r="G376">
        <v>-5500</v>
      </c>
      <c r="H376" t="s">
        <v>162</v>
      </c>
      <c r="I376" t="s">
        <v>184</v>
      </c>
    </row>
    <row r="377" spans="1:9">
      <c r="A377" s="50">
        <v>46045</v>
      </c>
      <c r="B377" s="51">
        <v>0.3847685185185185</v>
      </c>
      <c r="C377" t="s">
        <v>207</v>
      </c>
      <c r="D377" t="s">
        <v>29</v>
      </c>
      <c r="E377" t="s">
        <v>160</v>
      </c>
      <c r="F377" t="s">
        <v>325</v>
      </c>
      <c r="G377">
        <v>5788617</v>
      </c>
      <c r="H377" t="s">
        <v>162</v>
      </c>
      <c r="I377" t="s">
        <v>60</v>
      </c>
    </row>
    <row r="378" spans="1:9">
      <c r="A378" s="50">
        <v>46044</v>
      </c>
      <c r="B378" s="51">
        <v>0.63375</v>
      </c>
      <c r="C378" t="s">
        <v>158</v>
      </c>
      <c r="D378" t="s">
        <v>158</v>
      </c>
      <c r="E378" t="s">
        <v>160</v>
      </c>
      <c r="F378" t="s">
        <v>190</v>
      </c>
      <c r="G378">
        <v>13666</v>
      </c>
      <c r="H378" t="s">
        <v>162</v>
      </c>
      <c r="I378" t="s">
        <v>189</v>
      </c>
    </row>
    <row r="379" spans="1:9">
      <c r="A379" s="50">
        <v>46044</v>
      </c>
      <c r="B379" s="51">
        <v>0.5857175925925926</v>
      </c>
      <c r="C379" t="s">
        <v>158</v>
      </c>
      <c r="D379" t="s">
        <v>158</v>
      </c>
      <c r="E379" t="s">
        <v>160</v>
      </c>
      <c r="F379" t="s">
        <v>396</v>
      </c>
      <c r="G379">
        <v>13666</v>
      </c>
      <c r="H379" t="s">
        <v>162</v>
      </c>
      <c r="I379" t="s">
        <v>189</v>
      </c>
    </row>
    <row r="380" spans="1:9">
      <c r="A380" s="50">
        <v>46044</v>
      </c>
      <c r="B380" s="51">
        <v>0.5855092592592592</v>
      </c>
      <c r="C380" t="s">
        <v>158</v>
      </c>
      <c r="D380" t="s">
        <v>158</v>
      </c>
      <c r="E380" t="s">
        <v>160</v>
      </c>
      <c r="F380" t="s">
        <v>226</v>
      </c>
      <c r="G380">
        <v>13666</v>
      </c>
      <c r="H380" t="s">
        <v>162</v>
      </c>
      <c r="I380" t="s">
        <v>189</v>
      </c>
    </row>
    <row r="381" spans="1:9">
      <c r="A381" s="50">
        <v>46044</v>
      </c>
      <c r="B381" s="51">
        <v>0.5854398148148148</v>
      </c>
      <c r="C381" t="s">
        <v>158</v>
      </c>
      <c r="D381" t="s">
        <v>158</v>
      </c>
      <c r="E381" t="s">
        <v>160</v>
      </c>
      <c r="F381" t="s">
        <v>188</v>
      </c>
      <c r="G381">
        <v>13666</v>
      </c>
      <c r="H381" t="s">
        <v>162</v>
      </c>
      <c r="I381" t="s">
        <v>189</v>
      </c>
    </row>
    <row r="382" spans="1:9">
      <c r="A382" s="50">
        <v>46044</v>
      </c>
      <c r="B382" s="51">
        <v>0.5853819444444445</v>
      </c>
      <c r="C382" t="s">
        <v>158</v>
      </c>
      <c r="D382" t="s">
        <v>158</v>
      </c>
      <c r="E382" t="s">
        <v>160</v>
      </c>
      <c r="F382" t="s">
        <v>191</v>
      </c>
      <c r="G382">
        <v>11666</v>
      </c>
      <c r="H382" t="s">
        <v>162</v>
      </c>
      <c r="I382" t="s">
        <v>189</v>
      </c>
    </row>
    <row r="383" spans="1:9">
      <c r="A383" s="50">
        <v>46044</v>
      </c>
      <c r="B383" s="51">
        <v>0.5238078703703704</v>
      </c>
      <c r="C383" t="s">
        <v>165</v>
      </c>
      <c r="D383" t="s">
        <v>40</v>
      </c>
      <c r="E383" t="s">
        <v>195</v>
      </c>
      <c r="F383" t="s">
        <v>196</v>
      </c>
      <c r="G383">
        <v>-80000</v>
      </c>
      <c r="H383" t="s">
        <v>162</v>
      </c>
      <c r="I383" t="s">
        <v>184</v>
      </c>
    </row>
    <row r="384" spans="1:9">
      <c r="A384" s="50">
        <v>46043</v>
      </c>
      <c r="B384" s="51">
        <v>0.9997337962962963</v>
      </c>
      <c r="C384" t="s">
        <v>158</v>
      </c>
      <c r="D384" t="s">
        <v>158</v>
      </c>
      <c r="E384" t="s">
        <v>160</v>
      </c>
      <c r="F384" t="s">
        <v>191</v>
      </c>
      <c r="G384">
        <v>41750</v>
      </c>
      <c r="H384" t="s">
        <v>162</v>
      </c>
      <c r="I384" t="s">
        <v>189</v>
      </c>
    </row>
    <row r="385" spans="1:9">
      <c r="A385" s="50">
        <v>46043</v>
      </c>
      <c r="B385" s="51">
        <v>0.9490856481481481</v>
      </c>
      <c r="C385" t="s">
        <v>158</v>
      </c>
      <c r="D385" t="s">
        <v>158</v>
      </c>
      <c r="E385" t="s">
        <v>160</v>
      </c>
      <c r="F385" t="s">
        <v>318</v>
      </c>
      <c r="G385">
        <v>41750</v>
      </c>
      <c r="H385" t="s">
        <v>162</v>
      </c>
      <c r="I385" t="s">
        <v>189</v>
      </c>
    </row>
    <row r="386" spans="1:9">
      <c r="A386" s="50">
        <v>46043</v>
      </c>
      <c r="B386" s="51">
        <v>0.9490046296296296</v>
      </c>
      <c r="C386" t="s">
        <v>158</v>
      </c>
      <c r="D386" t="s">
        <v>158</v>
      </c>
      <c r="E386" t="s">
        <v>160</v>
      </c>
      <c r="F386" t="s">
        <v>397</v>
      </c>
      <c r="G386">
        <v>41750</v>
      </c>
      <c r="H386" t="s">
        <v>162</v>
      </c>
      <c r="I386" t="s">
        <v>189</v>
      </c>
    </row>
    <row r="387" spans="1:9">
      <c r="A387" s="50">
        <v>46043</v>
      </c>
      <c r="B387" s="51">
        <v>0.921238425925926</v>
      </c>
      <c r="C387" t="s">
        <v>165</v>
      </c>
      <c r="D387" t="s">
        <v>40</v>
      </c>
      <c r="E387" t="s">
        <v>288</v>
      </c>
      <c r="F387" t="s">
        <v>398</v>
      </c>
      <c r="G387">
        <v>-40000</v>
      </c>
      <c r="H387" t="s">
        <v>162</v>
      </c>
      <c r="I387" t="s">
        <v>184</v>
      </c>
    </row>
    <row r="388" spans="1:9">
      <c r="A388" s="50">
        <v>46043</v>
      </c>
      <c r="B388" s="51">
        <v>0.824849537037037</v>
      </c>
      <c r="C388" t="s">
        <v>165</v>
      </c>
      <c r="D388" t="s">
        <v>40</v>
      </c>
      <c r="E388" t="s">
        <v>243</v>
      </c>
      <c r="F388" t="s">
        <v>244</v>
      </c>
      <c r="G388">
        <v>-127000</v>
      </c>
      <c r="H388" t="s">
        <v>162</v>
      </c>
      <c r="I388" t="s">
        <v>184</v>
      </c>
    </row>
    <row r="389" spans="1:9">
      <c r="A389" s="50">
        <v>46043</v>
      </c>
      <c r="B389" s="51">
        <v>0.404224537037037</v>
      </c>
      <c r="C389" t="s">
        <v>165</v>
      </c>
      <c r="D389" t="s">
        <v>45</v>
      </c>
      <c r="E389" t="s">
        <v>227</v>
      </c>
      <c r="F389" t="s">
        <v>228</v>
      </c>
      <c r="G389">
        <v>-41160</v>
      </c>
      <c r="H389" t="s">
        <v>162</v>
      </c>
      <c r="I389" t="s">
        <v>57</v>
      </c>
    </row>
    <row r="390" spans="1:9">
      <c r="A390" s="50">
        <v>46043</v>
      </c>
      <c r="B390" s="51">
        <v>0.1424074074074074</v>
      </c>
      <c r="C390" t="s">
        <v>165</v>
      </c>
      <c r="D390" t="s">
        <v>44</v>
      </c>
      <c r="E390" t="s">
        <v>363</v>
      </c>
      <c r="F390" t="s">
        <v>399</v>
      </c>
      <c r="G390">
        <v>-35950</v>
      </c>
      <c r="H390" t="s">
        <v>162</v>
      </c>
      <c r="I390" t="s">
        <v>60</v>
      </c>
    </row>
    <row r="391" spans="1:9">
      <c r="A391" s="50">
        <v>46042</v>
      </c>
      <c r="B391" s="51">
        <v>0.5884953703703704</v>
      </c>
      <c r="C391" t="s">
        <v>165</v>
      </c>
      <c r="D391" t="s">
        <v>44</v>
      </c>
      <c r="E391" t="s">
        <v>197</v>
      </c>
      <c r="F391" t="s">
        <v>198</v>
      </c>
      <c r="G391">
        <v>-50000</v>
      </c>
      <c r="H391" t="s">
        <v>162</v>
      </c>
      <c r="I391" t="s">
        <v>173</v>
      </c>
    </row>
    <row r="392" spans="1:9">
      <c r="A392" s="50">
        <v>46042</v>
      </c>
      <c r="B392" s="51">
        <v>0.5396412037037037</v>
      </c>
      <c r="C392" t="s">
        <v>165</v>
      </c>
      <c r="D392" t="s">
        <v>38</v>
      </c>
      <c r="E392" t="s">
        <v>186</v>
      </c>
      <c r="F392" t="s">
        <v>400</v>
      </c>
      <c r="G392">
        <v>-1800</v>
      </c>
      <c r="H392" t="s">
        <v>162</v>
      </c>
      <c r="I392" t="s">
        <v>184</v>
      </c>
    </row>
    <row r="393" spans="1:9">
      <c r="A393" s="50">
        <v>46042</v>
      </c>
      <c r="B393" s="51">
        <v>0.5163541666666667</v>
      </c>
      <c r="C393" t="s">
        <v>165</v>
      </c>
      <c r="D393" t="s">
        <v>46</v>
      </c>
      <c r="E393" t="s">
        <v>193</v>
      </c>
      <c r="F393" t="s">
        <v>194</v>
      </c>
      <c r="G393">
        <v>-7500</v>
      </c>
      <c r="H393" t="s">
        <v>162</v>
      </c>
      <c r="I393" t="s">
        <v>184</v>
      </c>
    </row>
    <row r="394" spans="1:9">
      <c r="A394" s="50">
        <v>46042</v>
      </c>
      <c r="B394" s="51">
        <v>0.4075810185185185</v>
      </c>
      <c r="C394" t="s">
        <v>165</v>
      </c>
      <c r="D394" t="s">
        <v>40</v>
      </c>
      <c r="E394" t="s">
        <v>288</v>
      </c>
      <c r="F394" t="s">
        <v>401</v>
      </c>
      <c r="G394">
        <v>-16500</v>
      </c>
      <c r="H394" t="s">
        <v>162</v>
      </c>
      <c r="I394" t="s">
        <v>176</v>
      </c>
    </row>
    <row r="395" spans="1:9">
      <c r="A395" s="50">
        <v>46042</v>
      </c>
      <c r="B395" s="51">
        <v>0</v>
      </c>
      <c r="C395" t="s">
        <v>165</v>
      </c>
      <c r="D395" t="s">
        <v>34</v>
      </c>
      <c r="E395" t="s">
        <v>402</v>
      </c>
      <c r="F395" t="s">
        <v>403</v>
      </c>
      <c r="G395">
        <v>27800</v>
      </c>
      <c r="H395" t="s">
        <v>162</v>
      </c>
      <c r="I395" t="s">
        <v>173</v>
      </c>
    </row>
    <row r="396" spans="1:9">
      <c r="A396" s="50">
        <v>46040</v>
      </c>
      <c r="B396" s="51">
        <v>0.5125347222222222</v>
      </c>
      <c r="C396" t="s">
        <v>165</v>
      </c>
      <c r="D396" t="s">
        <v>34</v>
      </c>
      <c r="E396" t="s">
        <v>404</v>
      </c>
      <c r="F396" t="s">
        <v>405</v>
      </c>
      <c r="G396">
        <v>27800</v>
      </c>
      <c r="H396" t="s">
        <v>162</v>
      </c>
      <c r="I396" t="s">
        <v>176</v>
      </c>
    </row>
    <row r="397" spans="1:9">
      <c r="A397" s="50">
        <v>46040</v>
      </c>
      <c r="B397" s="51">
        <v>0.5125347222222222</v>
      </c>
      <c r="C397" t="s">
        <v>165</v>
      </c>
      <c r="D397" t="s">
        <v>34</v>
      </c>
      <c r="E397" t="s">
        <v>404</v>
      </c>
      <c r="F397" t="s">
        <v>405</v>
      </c>
      <c r="G397">
        <v>-27800</v>
      </c>
      <c r="H397" t="s">
        <v>162</v>
      </c>
      <c r="I397" t="s">
        <v>176</v>
      </c>
    </row>
    <row r="398" spans="1:9">
      <c r="A398" s="50">
        <v>46040</v>
      </c>
      <c r="B398" s="51">
        <v>0.4454050925925926</v>
      </c>
      <c r="C398" t="s">
        <v>165</v>
      </c>
      <c r="D398" t="s">
        <v>34</v>
      </c>
      <c r="E398" t="s">
        <v>213</v>
      </c>
      <c r="F398" t="s">
        <v>406</v>
      </c>
      <c r="G398">
        <v>-10000</v>
      </c>
      <c r="H398" t="s">
        <v>162</v>
      </c>
      <c r="I398" t="s">
        <v>173</v>
      </c>
    </row>
    <row r="399" spans="1:9">
      <c r="A399" s="50">
        <v>46040</v>
      </c>
      <c r="B399" s="51">
        <v>0.4295717592592593</v>
      </c>
      <c r="C399" t="s">
        <v>165</v>
      </c>
      <c r="D399" t="s">
        <v>38</v>
      </c>
      <c r="E399" t="s">
        <v>266</v>
      </c>
      <c r="F399" t="s">
        <v>407</v>
      </c>
      <c r="G399">
        <v>-4100</v>
      </c>
      <c r="H399" t="s">
        <v>162</v>
      </c>
      <c r="I399" t="s">
        <v>173</v>
      </c>
    </row>
    <row r="400" spans="1:9">
      <c r="A400" s="50">
        <v>46039</v>
      </c>
      <c r="B400" s="51">
        <v>0.4649421296296296</v>
      </c>
      <c r="C400" t="s">
        <v>165</v>
      </c>
      <c r="D400" t="s">
        <v>46</v>
      </c>
      <c r="E400" t="s">
        <v>296</v>
      </c>
      <c r="F400" t="s">
        <v>408</v>
      </c>
      <c r="G400">
        <v>-22250</v>
      </c>
      <c r="H400" t="s">
        <v>162</v>
      </c>
      <c r="I400" t="s">
        <v>173</v>
      </c>
    </row>
    <row r="401" spans="1:9">
      <c r="A401" s="50">
        <v>46038</v>
      </c>
      <c r="B401" s="51">
        <v>0.5150578703703703</v>
      </c>
      <c r="C401" t="s">
        <v>165</v>
      </c>
      <c r="D401" t="s">
        <v>44</v>
      </c>
      <c r="E401" t="s">
        <v>182</v>
      </c>
      <c r="F401" t="s">
        <v>183</v>
      </c>
      <c r="G401">
        <v>-60000</v>
      </c>
      <c r="H401" t="s">
        <v>162</v>
      </c>
      <c r="I401" t="s">
        <v>184</v>
      </c>
    </row>
    <row r="402" spans="1:9">
      <c r="A402" s="50">
        <v>46037</v>
      </c>
      <c r="B402" s="51">
        <v>0.4545023148148148</v>
      </c>
      <c r="C402" t="s">
        <v>158</v>
      </c>
      <c r="D402" t="s">
        <v>158</v>
      </c>
      <c r="E402" t="s">
        <v>160</v>
      </c>
      <c r="F402" t="s">
        <v>204</v>
      </c>
      <c r="G402">
        <v>-300000</v>
      </c>
      <c r="H402" t="s">
        <v>162</v>
      </c>
      <c r="I402" t="s">
        <v>60</v>
      </c>
    </row>
    <row r="403" spans="1:9">
      <c r="A403" s="50">
        <v>46037</v>
      </c>
      <c r="B403" s="51">
        <v>0.4154861111111111</v>
      </c>
      <c r="C403" t="s">
        <v>165</v>
      </c>
      <c r="D403" t="s">
        <v>42</v>
      </c>
      <c r="E403" t="s">
        <v>171</v>
      </c>
      <c r="F403" t="s">
        <v>172</v>
      </c>
      <c r="G403">
        <v>-4000</v>
      </c>
      <c r="H403" t="s">
        <v>162</v>
      </c>
      <c r="I403" t="s">
        <v>173</v>
      </c>
    </row>
    <row r="404" spans="1:9">
      <c r="A404" s="50">
        <v>46037</v>
      </c>
      <c r="B404" s="51">
        <v>0.1342476851851852</v>
      </c>
      <c r="C404" t="s">
        <v>165</v>
      </c>
      <c r="D404" t="s">
        <v>35</v>
      </c>
      <c r="E404" t="s">
        <v>231</v>
      </c>
      <c r="F404" t="s">
        <v>333</v>
      </c>
      <c r="G404">
        <v>-16500</v>
      </c>
      <c r="H404" t="s">
        <v>162</v>
      </c>
      <c r="I404" t="s">
        <v>60</v>
      </c>
    </row>
    <row r="405" spans="1:9">
      <c r="A405" s="50">
        <v>46036</v>
      </c>
      <c r="B405" s="51">
        <v>0.7491087962962963</v>
      </c>
      <c r="C405" t="s">
        <v>165</v>
      </c>
      <c r="D405" t="s">
        <v>38</v>
      </c>
      <c r="E405" t="s">
        <v>186</v>
      </c>
      <c r="F405" t="s">
        <v>187</v>
      </c>
      <c r="G405">
        <v>-80000</v>
      </c>
      <c r="H405" t="s">
        <v>162</v>
      </c>
      <c r="I405" t="s">
        <v>184</v>
      </c>
    </row>
    <row r="406" spans="1:9">
      <c r="A406" s="50">
        <v>46036</v>
      </c>
      <c r="B406" s="51">
        <v>0.5327893518518518</v>
      </c>
      <c r="C406" t="s">
        <v>158</v>
      </c>
      <c r="D406" t="s">
        <v>158</v>
      </c>
      <c r="E406" t="s">
        <v>160</v>
      </c>
      <c r="F406" t="s">
        <v>409</v>
      </c>
      <c r="G406">
        <v>-145050</v>
      </c>
      <c r="H406" t="s">
        <v>162</v>
      </c>
      <c r="I406" t="s">
        <v>60</v>
      </c>
    </row>
    <row r="407" spans="1:9">
      <c r="A407" s="50">
        <v>46035</v>
      </c>
      <c r="B407" s="51">
        <v>0.8719444444444444</v>
      </c>
      <c r="C407" t="s">
        <v>165</v>
      </c>
      <c r="D407" t="s">
        <v>38</v>
      </c>
      <c r="E407" t="s">
        <v>266</v>
      </c>
      <c r="F407" t="s">
        <v>267</v>
      </c>
      <c r="G407">
        <v>-2200</v>
      </c>
      <c r="H407" t="s">
        <v>162</v>
      </c>
      <c r="I407" t="s">
        <v>173</v>
      </c>
    </row>
    <row r="408" spans="1:9">
      <c r="A408" s="50">
        <v>46035</v>
      </c>
      <c r="B408" s="51">
        <v>0.7437962962962963</v>
      </c>
      <c r="C408" t="s">
        <v>165</v>
      </c>
      <c r="D408" t="s">
        <v>44</v>
      </c>
      <c r="E408" t="s">
        <v>337</v>
      </c>
      <c r="F408" t="s">
        <v>410</v>
      </c>
      <c r="G408">
        <v>-400000</v>
      </c>
      <c r="H408" t="s">
        <v>162</v>
      </c>
      <c r="I408" t="s">
        <v>173</v>
      </c>
    </row>
    <row r="409" spans="1:9">
      <c r="A409" s="50">
        <v>46034</v>
      </c>
      <c r="B409" s="51">
        <v>0.5154166666666666</v>
      </c>
      <c r="C409" t="s">
        <v>165</v>
      </c>
      <c r="D409" t="s">
        <v>46</v>
      </c>
      <c r="E409" t="s">
        <v>193</v>
      </c>
      <c r="F409" t="s">
        <v>194</v>
      </c>
      <c r="G409">
        <v>-10000</v>
      </c>
      <c r="H409" t="s">
        <v>162</v>
      </c>
      <c r="I409" t="s">
        <v>184</v>
      </c>
    </row>
    <row r="410" spans="1:9">
      <c r="A410" s="50">
        <v>46034</v>
      </c>
      <c r="B410" s="51">
        <v>0.4020138888888889</v>
      </c>
      <c r="C410" t="s">
        <v>165</v>
      </c>
      <c r="D410" t="s">
        <v>34</v>
      </c>
      <c r="E410" t="s">
        <v>404</v>
      </c>
      <c r="F410" t="s">
        <v>405</v>
      </c>
      <c r="G410">
        <v>-27800</v>
      </c>
      <c r="H410" t="s">
        <v>162</v>
      </c>
      <c r="I410" t="s">
        <v>176</v>
      </c>
    </row>
    <row r="411" spans="1:9">
      <c r="A411" s="50">
        <v>46034</v>
      </c>
      <c r="B411" s="51">
        <v>0.3994328703703704</v>
      </c>
      <c r="C411" t="s">
        <v>165</v>
      </c>
      <c r="D411" t="s">
        <v>34</v>
      </c>
      <c r="E411" t="s">
        <v>404</v>
      </c>
      <c r="F411" t="s">
        <v>405</v>
      </c>
      <c r="G411">
        <v>-27800</v>
      </c>
      <c r="H411" t="s">
        <v>162</v>
      </c>
      <c r="I411" t="s">
        <v>176</v>
      </c>
    </row>
    <row r="412" spans="1:9">
      <c r="A412" s="50">
        <v>46033</v>
      </c>
      <c r="B412" s="51">
        <v>0.7748611111111111</v>
      </c>
      <c r="C412" t="s">
        <v>165</v>
      </c>
      <c r="D412" t="s">
        <v>40</v>
      </c>
      <c r="E412" t="s">
        <v>411</v>
      </c>
      <c r="F412" t="s">
        <v>412</v>
      </c>
      <c r="G412">
        <v>-3000</v>
      </c>
      <c r="H412" t="s">
        <v>162</v>
      </c>
      <c r="I412" t="s">
        <v>240</v>
      </c>
    </row>
    <row r="413" spans="1:9">
      <c r="A413" s="50">
        <v>46033</v>
      </c>
      <c r="B413" s="51">
        <v>0.6116666666666667</v>
      </c>
      <c r="C413" t="s">
        <v>165</v>
      </c>
      <c r="D413" t="s">
        <v>38</v>
      </c>
      <c r="E413" t="s">
        <v>266</v>
      </c>
      <c r="F413" t="s">
        <v>267</v>
      </c>
      <c r="G413">
        <v>-1440</v>
      </c>
      <c r="H413" t="s">
        <v>162</v>
      </c>
      <c r="I413" t="s">
        <v>173</v>
      </c>
    </row>
    <row r="414" spans="1:9">
      <c r="A414" s="50">
        <v>46032</v>
      </c>
      <c r="B414" s="51">
        <v>0.7898958333333334</v>
      </c>
      <c r="C414" t="s">
        <v>158</v>
      </c>
      <c r="D414" t="s">
        <v>158</v>
      </c>
      <c r="E414" t="s">
        <v>160</v>
      </c>
      <c r="F414" t="s">
        <v>413</v>
      </c>
      <c r="G414">
        <v>200000</v>
      </c>
      <c r="H414" t="s">
        <v>162</v>
      </c>
      <c r="I414" t="s">
        <v>60</v>
      </c>
    </row>
    <row r="415" spans="1:9">
      <c r="A415" s="50">
        <v>46032</v>
      </c>
      <c r="B415" s="51">
        <v>0.7698263888888889</v>
      </c>
      <c r="C415" t="s">
        <v>165</v>
      </c>
      <c r="D415" t="s">
        <v>37</v>
      </c>
      <c r="E415" t="s">
        <v>414</v>
      </c>
      <c r="F415" t="s">
        <v>415</v>
      </c>
      <c r="G415">
        <v>-20000</v>
      </c>
      <c r="H415" t="s">
        <v>162</v>
      </c>
      <c r="I415" t="s">
        <v>176</v>
      </c>
    </row>
    <row r="416" spans="1:9">
      <c r="A416" s="50">
        <v>46032</v>
      </c>
      <c r="B416" s="51">
        <v>0.5435532407407407</v>
      </c>
      <c r="C416" t="s">
        <v>158</v>
      </c>
      <c r="D416" t="s">
        <v>64</v>
      </c>
      <c r="E416" t="s">
        <v>160</v>
      </c>
      <c r="F416" t="s">
        <v>383</v>
      </c>
      <c r="G416">
        <v>-350000</v>
      </c>
      <c r="H416" t="s">
        <v>162</v>
      </c>
      <c r="I416" t="s">
        <v>60</v>
      </c>
    </row>
    <row r="417" spans="1:9">
      <c r="A417" s="50">
        <v>46032</v>
      </c>
      <c r="B417" s="51">
        <v>0.4357986111111111</v>
      </c>
      <c r="C417" t="s">
        <v>165</v>
      </c>
      <c r="D417" t="s">
        <v>42</v>
      </c>
      <c r="E417" t="s">
        <v>171</v>
      </c>
      <c r="F417" t="s">
        <v>239</v>
      </c>
      <c r="G417">
        <v>-1000</v>
      </c>
      <c r="H417" t="s">
        <v>162</v>
      </c>
      <c r="I417" t="s">
        <v>240</v>
      </c>
    </row>
    <row r="418" spans="1:9">
      <c r="A418" s="50">
        <v>46030</v>
      </c>
      <c r="B418" s="51">
        <v>0.6448611111111111</v>
      </c>
      <c r="C418" t="s">
        <v>158</v>
      </c>
      <c r="D418" t="s">
        <v>158</v>
      </c>
      <c r="E418" t="s">
        <v>160</v>
      </c>
      <c r="F418" t="s">
        <v>188</v>
      </c>
      <c r="G418">
        <v>2500</v>
      </c>
      <c r="H418" t="s">
        <v>162</v>
      </c>
      <c r="I418" t="s">
        <v>189</v>
      </c>
    </row>
    <row r="419" spans="1:9">
      <c r="A419" s="50">
        <v>46030</v>
      </c>
      <c r="B419" s="51">
        <v>0.5161805555555555</v>
      </c>
      <c r="C419" t="s">
        <v>165</v>
      </c>
      <c r="D419" t="s">
        <v>46</v>
      </c>
      <c r="E419" t="s">
        <v>193</v>
      </c>
      <c r="F419" t="s">
        <v>194</v>
      </c>
      <c r="G419">
        <v>-5000</v>
      </c>
      <c r="H419" t="s">
        <v>162</v>
      </c>
      <c r="I419" t="s">
        <v>184</v>
      </c>
    </row>
    <row r="420" spans="1:9">
      <c r="A420" s="50">
        <v>46029</v>
      </c>
      <c r="B420" s="51">
        <v>0.6479861111111112</v>
      </c>
      <c r="C420" t="s">
        <v>165</v>
      </c>
      <c r="D420" t="s">
        <v>45</v>
      </c>
      <c r="E420" t="s">
        <v>227</v>
      </c>
      <c r="F420" t="s">
        <v>416</v>
      </c>
      <c r="G420">
        <v>-8000946</v>
      </c>
      <c r="H420" t="s">
        <v>162</v>
      </c>
      <c r="I420" t="s">
        <v>60</v>
      </c>
    </row>
    <row r="421" spans="1:9">
      <c r="A421" s="50">
        <v>46029</v>
      </c>
      <c r="B421" s="51">
        <v>0.6212962962962963</v>
      </c>
      <c r="C421" t="s">
        <v>207</v>
      </c>
      <c r="D421" t="s">
        <v>31</v>
      </c>
      <c r="E421" t="s">
        <v>160</v>
      </c>
      <c r="F421" t="s">
        <v>378</v>
      </c>
      <c r="G421">
        <v>8000000</v>
      </c>
      <c r="H421" t="s">
        <v>162</v>
      </c>
      <c r="I421" t="s">
        <v>60</v>
      </c>
    </row>
    <row r="422" spans="1:9">
      <c r="A422" s="50">
        <v>46029</v>
      </c>
      <c r="B422" s="51">
        <v>0.5657291666666666</v>
      </c>
      <c r="C422" t="s">
        <v>165</v>
      </c>
      <c r="D422" t="s">
        <v>35</v>
      </c>
      <c r="E422" t="s">
        <v>260</v>
      </c>
      <c r="F422" t="s">
        <v>417</v>
      </c>
      <c r="G422">
        <v>-2040272</v>
      </c>
      <c r="H422" t="s">
        <v>162</v>
      </c>
      <c r="I422" t="s">
        <v>60</v>
      </c>
    </row>
    <row r="423" spans="1:9">
      <c r="A423" s="50">
        <v>46029</v>
      </c>
      <c r="B423" s="51">
        <v>0.482037037037037</v>
      </c>
      <c r="C423" t="s">
        <v>158</v>
      </c>
      <c r="D423" t="s">
        <v>256</v>
      </c>
      <c r="E423" t="s">
        <v>160</v>
      </c>
      <c r="F423" t="s">
        <v>418</v>
      </c>
      <c r="G423">
        <v>2040272</v>
      </c>
      <c r="H423" t="s">
        <v>162</v>
      </c>
      <c r="I423" t="s">
        <v>60</v>
      </c>
    </row>
    <row r="424" spans="1:9">
      <c r="A424" s="50">
        <v>46028</v>
      </c>
      <c r="B424" s="51">
        <v>0.5604166666666667</v>
      </c>
      <c r="C424" t="s">
        <v>158</v>
      </c>
      <c r="D424" t="s">
        <v>158</v>
      </c>
      <c r="E424" t="s">
        <v>160</v>
      </c>
      <c r="F424" t="s">
        <v>188</v>
      </c>
      <c r="G424">
        <v>2500</v>
      </c>
      <c r="H424" t="s">
        <v>162</v>
      </c>
      <c r="I424" t="s">
        <v>189</v>
      </c>
    </row>
    <row r="425" spans="1:9">
      <c r="A425" s="50">
        <v>46028</v>
      </c>
      <c r="B425" s="51">
        <v>0.5216782407407408</v>
      </c>
      <c r="C425" t="s">
        <v>165</v>
      </c>
      <c r="D425" t="s">
        <v>46</v>
      </c>
      <c r="E425" t="s">
        <v>193</v>
      </c>
      <c r="F425" t="s">
        <v>194</v>
      </c>
      <c r="G425">
        <v>-5000</v>
      </c>
      <c r="H425" t="s">
        <v>162</v>
      </c>
      <c r="I425" t="s">
        <v>184</v>
      </c>
    </row>
    <row r="426" spans="1:9">
      <c r="A426" s="50">
        <v>46027</v>
      </c>
      <c r="B426" s="51">
        <v>0.5595370370370371</v>
      </c>
      <c r="C426" t="s">
        <v>158</v>
      </c>
      <c r="D426" t="s">
        <v>158</v>
      </c>
      <c r="E426" t="s">
        <v>160</v>
      </c>
      <c r="F426" t="s">
        <v>233</v>
      </c>
      <c r="G426">
        <v>-13500</v>
      </c>
      <c r="H426" t="s">
        <v>162</v>
      </c>
      <c r="I426" t="s">
        <v>60</v>
      </c>
    </row>
    <row r="427" spans="1:9">
      <c r="A427" s="50">
        <v>46026</v>
      </c>
      <c r="B427" s="51">
        <v>0.4928125</v>
      </c>
      <c r="C427" t="s">
        <v>165</v>
      </c>
      <c r="D427" t="s">
        <v>44</v>
      </c>
      <c r="E427" t="s">
        <v>182</v>
      </c>
      <c r="F427" t="s">
        <v>419</v>
      </c>
      <c r="G427">
        <v>-60000</v>
      </c>
      <c r="H427" t="s">
        <v>162</v>
      </c>
      <c r="I427" t="s">
        <v>173</v>
      </c>
    </row>
    <row r="428" spans="1:9">
      <c r="A428" s="50">
        <v>46022</v>
      </c>
      <c r="B428" s="51">
        <v>0.5832407407407407</v>
      </c>
      <c r="C428" t="s">
        <v>165</v>
      </c>
      <c r="D428" t="s">
        <v>35</v>
      </c>
      <c r="E428" t="s">
        <v>231</v>
      </c>
      <c r="F428" t="s">
        <v>232</v>
      </c>
      <c r="G428">
        <v>-13000</v>
      </c>
      <c r="H428" t="s">
        <v>162</v>
      </c>
      <c r="I428" t="s">
        <v>189</v>
      </c>
    </row>
    <row r="429" spans="1:9">
      <c r="A429" s="50">
        <v>46022</v>
      </c>
      <c r="B429" s="51">
        <v>0.5832291666666667</v>
      </c>
      <c r="C429" t="s">
        <v>158</v>
      </c>
      <c r="D429" t="s">
        <v>159</v>
      </c>
      <c r="E429" t="s">
        <v>160</v>
      </c>
      <c r="F429" t="s">
        <v>233</v>
      </c>
      <c r="G429">
        <v>-10500</v>
      </c>
      <c r="H429" t="s">
        <v>162</v>
      </c>
      <c r="I429" t="s">
        <v>60</v>
      </c>
    </row>
    <row r="430" spans="1:9">
      <c r="A430" s="50">
        <v>46022</v>
      </c>
      <c r="B430" s="51">
        <v>0.5832175925925925</v>
      </c>
      <c r="C430" t="s">
        <v>158</v>
      </c>
      <c r="D430" t="s">
        <v>159</v>
      </c>
      <c r="E430" t="s">
        <v>160</v>
      </c>
      <c r="F430" t="s">
        <v>220</v>
      </c>
      <c r="G430">
        <v>10500</v>
      </c>
      <c r="H430" t="s">
        <v>162</v>
      </c>
      <c r="I430" t="s">
        <v>189</v>
      </c>
    </row>
    <row r="431" spans="1:9">
      <c r="A431" s="50">
        <v>46021</v>
      </c>
      <c r="B431" s="51">
        <v>0.6225810185185185</v>
      </c>
      <c r="C431" t="s">
        <v>158</v>
      </c>
      <c r="D431" t="s">
        <v>158</v>
      </c>
      <c r="E431" t="s">
        <v>160</v>
      </c>
      <c r="F431" t="s">
        <v>188</v>
      </c>
      <c r="G431">
        <v>2500</v>
      </c>
      <c r="H431" t="s">
        <v>162</v>
      </c>
      <c r="I431" t="s">
        <v>189</v>
      </c>
    </row>
    <row r="432" spans="1:9">
      <c r="A432" s="50">
        <v>46021</v>
      </c>
      <c r="B432" s="51">
        <v>0.5291319444444444</v>
      </c>
      <c r="C432" t="s">
        <v>165</v>
      </c>
      <c r="D432" t="s">
        <v>35</v>
      </c>
      <c r="E432" t="s">
        <v>221</v>
      </c>
      <c r="F432" t="s">
        <v>420</v>
      </c>
      <c r="G432">
        <v>-4444000</v>
      </c>
      <c r="H432" t="s">
        <v>162</v>
      </c>
      <c r="I432" t="s">
        <v>60</v>
      </c>
    </row>
    <row r="433" spans="1:9">
      <c r="A433" s="50">
        <v>46020</v>
      </c>
      <c r="B433" s="51">
        <v>0.9178356481481481</v>
      </c>
      <c r="C433" t="s">
        <v>165</v>
      </c>
      <c r="D433" t="s">
        <v>35</v>
      </c>
      <c r="E433" t="s">
        <v>179</v>
      </c>
      <c r="F433" t="s">
        <v>380</v>
      </c>
      <c r="G433">
        <v>-500000</v>
      </c>
      <c r="H433" t="s">
        <v>162</v>
      </c>
      <c r="I433" t="s">
        <v>60</v>
      </c>
    </row>
    <row r="434" spans="1:9">
      <c r="A434" s="50">
        <v>46020</v>
      </c>
      <c r="B434" s="51">
        <v>0.4610648148148148</v>
      </c>
      <c r="C434" t="s">
        <v>158</v>
      </c>
      <c r="D434" t="s">
        <v>159</v>
      </c>
      <c r="E434" t="s">
        <v>160</v>
      </c>
      <c r="F434" t="s">
        <v>209</v>
      </c>
      <c r="G434">
        <v>-100000</v>
      </c>
      <c r="H434" t="s">
        <v>162</v>
      </c>
      <c r="I434" t="s">
        <v>60</v>
      </c>
    </row>
    <row r="435" spans="1:9">
      <c r="A435" s="50">
        <v>46019</v>
      </c>
      <c r="B435" s="51">
        <v>0.8374537037037038</v>
      </c>
      <c r="C435" t="s">
        <v>165</v>
      </c>
      <c r="D435" t="s">
        <v>38</v>
      </c>
      <c r="E435" t="s">
        <v>421</v>
      </c>
      <c r="F435" t="s">
        <v>422</v>
      </c>
      <c r="G435">
        <v>-180</v>
      </c>
      <c r="H435" t="s">
        <v>162</v>
      </c>
      <c r="I435" t="s">
        <v>57</v>
      </c>
    </row>
    <row r="436" spans="1:9">
      <c r="A436" s="50">
        <v>46019</v>
      </c>
      <c r="B436" s="51">
        <v>0.8058217592592593</v>
      </c>
      <c r="C436" t="s">
        <v>158</v>
      </c>
      <c r="D436" t="s">
        <v>216</v>
      </c>
      <c r="E436" t="s">
        <v>160</v>
      </c>
      <c r="F436" t="s">
        <v>423</v>
      </c>
      <c r="G436">
        <v>-100000</v>
      </c>
      <c r="H436" t="s">
        <v>162</v>
      </c>
      <c r="I436" t="s">
        <v>60</v>
      </c>
    </row>
    <row r="437" spans="1:9">
      <c r="A437" s="50">
        <v>46019</v>
      </c>
      <c r="B437" s="51">
        <v>0.4115625</v>
      </c>
      <c r="C437" t="s">
        <v>158</v>
      </c>
      <c r="D437" t="s">
        <v>160</v>
      </c>
      <c r="E437" t="s">
        <v>160</v>
      </c>
      <c r="F437" t="s">
        <v>210</v>
      </c>
      <c r="G437">
        <v>0</v>
      </c>
      <c r="H437" t="s">
        <v>162</v>
      </c>
      <c r="I437" t="s">
        <v>59</v>
      </c>
    </row>
    <row r="438" spans="1:9">
      <c r="A438" s="50">
        <v>46018</v>
      </c>
      <c r="B438" s="51">
        <v>0.1416550925925926</v>
      </c>
      <c r="C438" t="s">
        <v>207</v>
      </c>
      <c r="D438" t="s">
        <v>28</v>
      </c>
      <c r="E438" t="s">
        <v>160</v>
      </c>
      <c r="F438" t="s">
        <v>211</v>
      </c>
      <c r="G438">
        <v>0</v>
      </c>
      <c r="H438" t="s">
        <v>162</v>
      </c>
      <c r="I438" t="s">
        <v>58</v>
      </c>
    </row>
    <row r="439" spans="1:9">
      <c r="A439" s="50">
        <v>46017</v>
      </c>
      <c r="B439" s="51">
        <v>0.8681712962962963</v>
      </c>
      <c r="C439" t="s">
        <v>158</v>
      </c>
      <c r="D439" t="s">
        <v>159</v>
      </c>
      <c r="E439" t="s">
        <v>160</v>
      </c>
      <c r="F439" t="s">
        <v>424</v>
      </c>
      <c r="G439">
        <v>-300000</v>
      </c>
      <c r="H439" t="s">
        <v>162</v>
      </c>
      <c r="I439" t="s">
        <v>57</v>
      </c>
    </row>
    <row r="440" spans="1:9">
      <c r="A440" s="50">
        <v>46017</v>
      </c>
      <c r="B440" s="51">
        <v>0.8681712962962963</v>
      </c>
      <c r="C440" t="s">
        <v>158</v>
      </c>
      <c r="D440" t="s">
        <v>159</v>
      </c>
      <c r="E440" t="s">
        <v>160</v>
      </c>
      <c r="F440" t="s">
        <v>210</v>
      </c>
      <c r="G440">
        <v>300000</v>
      </c>
      <c r="H440" t="s">
        <v>162</v>
      </c>
      <c r="I440" t="s">
        <v>367</v>
      </c>
    </row>
    <row r="441" spans="1:9">
      <c r="A441" s="50">
        <v>46017</v>
      </c>
      <c r="B441" s="51">
        <v>0.7147106481481481</v>
      </c>
      <c r="C441" t="s">
        <v>158</v>
      </c>
      <c r="D441" t="s">
        <v>216</v>
      </c>
      <c r="E441" t="s">
        <v>160</v>
      </c>
      <c r="F441" t="s">
        <v>217</v>
      </c>
      <c r="G441">
        <v>-611125</v>
      </c>
      <c r="H441" t="s">
        <v>162</v>
      </c>
      <c r="I441" t="s">
        <v>60</v>
      </c>
    </row>
    <row r="442" spans="1:9">
      <c r="A442" s="50">
        <v>46017</v>
      </c>
      <c r="B442" s="51">
        <v>0.7087037037037037</v>
      </c>
      <c r="C442" t="s">
        <v>158</v>
      </c>
      <c r="D442" t="s">
        <v>158</v>
      </c>
      <c r="E442" t="s">
        <v>160</v>
      </c>
      <c r="F442" t="s">
        <v>215</v>
      </c>
      <c r="G442">
        <v>-17800</v>
      </c>
      <c r="H442" t="s">
        <v>162</v>
      </c>
      <c r="I442" t="s">
        <v>60</v>
      </c>
    </row>
    <row r="443" spans="1:9">
      <c r="A443" s="50">
        <v>46017</v>
      </c>
      <c r="B443" s="51">
        <v>0.4256481481481482</v>
      </c>
      <c r="C443" t="s">
        <v>158</v>
      </c>
      <c r="D443" t="s">
        <v>159</v>
      </c>
      <c r="E443" t="s">
        <v>160</v>
      </c>
      <c r="F443" t="s">
        <v>394</v>
      </c>
      <c r="G443">
        <v>-40376000</v>
      </c>
      <c r="H443" t="s">
        <v>162</v>
      </c>
      <c r="I443" t="s">
        <v>60</v>
      </c>
    </row>
    <row r="444" spans="1:9">
      <c r="A444" s="50">
        <v>46017</v>
      </c>
      <c r="B444" s="51">
        <v>0.3917708333333333</v>
      </c>
      <c r="C444" t="s">
        <v>165</v>
      </c>
      <c r="D444" t="s">
        <v>35</v>
      </c>
      <c r="E444" t="s">
        <v>260</v>
      </c>
      <c r="F444" t="s">
        <v>298</v>
      </c>
      <c r="G444">
        <v>-2000000</v>
      </c>
      <c r="H444" t="s">
        <v>162</v>
      </c>
      <c r="I444" t="s">
        <v>60</v>
      </c>
    </row>
    <row r="445" spans="1:9">
      <c r="A445" s="50">
        <v>46017</v>
      </c>
      <c r="B445" s="51">
        <v>0.3902893518518519</v>
      </c>
      <c r="C445" t="s">
        <v>158</v>
      </c>
      <c r="D445" t="s">
        <v>158</v>
      </c>
      <c r="E445" t="s">
        <v>160</v>
      </c>
      <c r="F445" t="s">
        <v>170</v>
      </c>
      <c r="G445">
        <v>22000000</v>
      </c>
      <c r="H445" t="s">
        <v>162</v>
      </c>
      <c r="I445" t="s">
        <v>60</v>
      </c>
    </row>
    <row r="446" spans="1:9">
      <c r="A446" s="50">
        <v>46017</v>
      </c>
      <c r="B446" s="51">
        <v>0.1307986111111111</v>
      </c>
      <c r="C446" t="s">
        <v>165</v>
      </c>
      <c r="D446" t="s">
        <v>35</v>
      </c>
      <c r="E446" t="s">
        <v>218</v>
      </c>
      <c r="F446" t="s">
        <v>219</v>
      </c>
      <c r="G446">
        <v>-36120</v>
      </c>
      <c r="H446" t="s">
        <v>162</v>
      </c>
      <c r="I446" t="s">
        <v>60</v>
      </c>
    </row>
    <row r="447" spans="1:9">
      <c r="A447" s="50">
        <v>46015</v>
      </c>
      <c r="B447" s="51">
        <v>0.7814236111111111</v>
      </c>
      <c r="C447" t="s">
        <v>165</v>
      </c>
      <c r="D447" t="s">
        <v>40</v>
      </c>
      <c r="E447" t="s">
        <v>292</v>
      </c>
      <c r="F447" t="s">
        <v>293</v>
      </c>
      <c r="G447">
        <v>-34000</v>
      </c>
      <c r="H447" t="s">
        <v>162</v>
      </c>
      <c r="I447" t="s">
        <v>176</v>
      </c>
    </row>
    <row r="448" spans="1:9">
      <c r="A448" s="50">
        <v>46015</v>
      </c>
      <c r="B448" s="51">
        <v>0.7641550925925926</v>
      </c>
      <c r="C448" t="s">
        <v>165</v>
      </c>
      <c r="D448" t="s">
        <v>45</v>
      </c>
      <c r="E448" t="s">
        <v>224</v>
      </c>
      <c r="F448" t="s">
        <v>225</v>
      </c>
      <c r="G448">
        <v>-226980</v>
      </c>
      <c r="H448" t="s">
        <v>162</v>
      </c>
      <c r="I448" t="s">
        <v>173</v>
      </c>
    </row>
    <row r="449" spans="1:9">
      <c r="A449" s="50">
        <v>46015</v>
      </c>
      <c r="B449" s="51">
        <v>0.5827314814814815</v>
      </c>
      <c r="C449" t="s">
        <v>158</v>
      </c>
      <c r="D449" t="s">
        <v>159</v>
      </c>
      <c r="E449" t="s">
        <v>160</v>
      </c>
      <c r="F449" t="s">
        <v>233</v>
      </c>
      <c r="G449">
        <v>-12481</v>
      </c>
      <c r="H449" t="s">
        <v>162</v>
      </c>
      <c r="I449" t="s">
        <v>60</v>
      </c>
    </row>
    <row r="450" spans="1:9">
      <c r="A450" s="50">
        <v>46015</v>
      </c>
      <c r="B450" s="51">
        <v>0.5827314814814815</v>
      </c>
      <c r="C450" t="s">
        <v>165</v>
      </c>
      <c r="D450" t="s">
        <v>35</v>
      </c>
      <c r="E450" t="s">
        <v>231</v>
      </c>
      <c r="F450" t="s">
        <v>232</v>
      </c>
      <c r="G450">
        <v>-15200</v>
      </c>
      <c r="H450" t="s">
        <v>162</v>
      </c>
      <c r="I450" t="s">
        <v>189</v>
      </c>
    </row>
    <row r="451" spans="1:9">
      <c r="A451" s="50">
        <v>46015</v>
      </c>
      <c r="B451" s="51">
        <v>0.5827199074074074</v>
      </c>
      <c r="C451" t="s">
        <v>158</v>
      </c>
      <c r="D451" t="s">
        <v>159</v>
      </c>
      <c r="E451" t="s">
        <v>160</v>
      </c>
      <c r="F451" t="s">
        <v>220</v>
      </c>
      <c r="G451">
        <v>12481</v>
      </c>
      <c r="H451" t="s">
        <v>162</v>
      </c>
      <c r="I451" t="s">
        <v>189</v>
      </c>
    </row>
    <row r="452" spans="1:9">
      <c r="A452" s="50">
        <v>46015</v>
      </c>
      <c r="B452" s="51">
        <v>0.4813541666666667</v>
      </c>
      <c r="C452" t="s">
        <v>165</v>
      </c>
      <c r="D452" t="s">
        <v>45</v>
      </c>
      <c r="E452" t="s">
        <v>227</v>
      </c>
      <c r="F452" t="s">
        <v>425</v>
      </c>
      <c r="G452">
        <v>-8000762</v>
      </c>
      <c r="H452" t="s">
        <v>162</v>
      </c>
      <c r="I452" t="s">
        <v>60</v>
      </c>
    </row>
    <row r="453" spans="1:9">
      <c r="A453" s="50">
        <v>46015</v>
      </c>
      <c r="B453" s="51">
        <v>0.456412037037037</v>
      </c>
      <c r="C453" t="s">
        <v>207</v>
      </c>
      <c r="D453" t="s">
        <v>31</v>
      </c>
      <c r="E453" t="s">
        <v>160</v>
      </c>
      <c r="F453" t="s">
        <v>378</v>
      </c>
      <c r="G453">
        <v>8000000</v>
      </c>
      <c r="H453" t="s">
        <v>162</v>
      </c>
      <c r="I453" t="s">
        <v>60</v>
      </c>
    </row>
    <row r="454" spans="1:9">
      <c r="A454" s="50">
        <v>46015</v>
      </c>
      <c r="B454" s="51">
        <v>0.3843981481481482</v>
      </c>
      <c r="C454" t="s">
        <v>207</v>
      </c>
      <c r="D454" t="s">
        <v>29</v>
      </c>
      <c r="E454" t="s">
        <v>160</v>
      </c>
      <c r="F454" t="s">
        <v>325</v>
      </c>
      <c r="G454">
        <v>4201485</v>
      </c>
      <c r="H454" t="s">
        <v>162</v>
      </c>
      <c r="I454" t="s">
        <v>60</v>
      </c>
    </row>
    <row r="455" spans="1:9">
      <c r="A455" s="50">
        <v>46015</v>
      </c>
      <c r="B455" s="51">
        <v>0.3787731481481482</v>
      </c>
      <c r="C455" t="s">
        <v>158</v>
      </c>
      <c r="D455" t="s">
        <v>159</v>
      </c>
      <c r="E455" t="s">
        <v>160</v>
      </c>
      <c r="F455" t="s">
        <v>426</v>
      </c>
      <c r="G455">
        <v>30812160</v>
      </c>
      <c r="H455" t="s">
        <v>162</v>
      </c>
      <c r="I455" t="s">
        <v>60</v>
      </c>
    </row>
    <row r="456" spans="1:9">
      <c r="A456" s="50">
        <v>46015</v>
      </c>
      <c r="B456" s="51">
        <v>0.3761574074074074</v>
      </c>
      <c r="C456" t="s">
        <v>158</v>
      </c>
      <c r="D456" t="s">
        <v>159</v>
      </c>
      <c r="E456" t="s">
        <v>160</v>
      </c>
      <c r="F456" t="s">
        <v>427</v>
      </c>
      <c r="G456">
        <v>6095530</v>
      </c>
      <c r="H456" t="s">
        <v>162</v>
      </c>
      <c r="I456" t="s">
        <v>60</v>
      </c>
    </row>
    <row r="457" spans="1:9">
      <c r="A457" s="50">
        <v>46013</v>
      </c>
      <c r="B457" s="51">
        <v>0.5886574074074075</v>
      </c>
      <c r="C457" t="s">
        <v>165</v>
      </c>
      <c r="D457" t="s">
        <v>35</v>
      </c>
      <c r="E457" t="s">
        <v>221</v>
      </c>
      <c r="F457" t="s">
        <v>420</v>
      </c>
      <c r="G457">
        <v>-1000000</v>
      </c>
      <c r="H457" t="s">
        <v>162</v>
      </c>
      <c r="I457" t="s">
        <v>60</v>
      </c>
    </row>
    <row r="458" spans="1:9">
      <c r="A458" s="50">
        <v>46013</v>
      </c>
      <c r="B458" s="51">
        <v>0.5863888888888888</v>
      </c>
      <c r="C458" t="s">
        <v>158</v>
      </c>
      <c r="D458" t="s">
        <v>158</v>
      </c>
      <c r="E458" t="s">
        <v>160</v>
      </c>
      <c r="F458" t="s">
        <v>170</v>
      </c>
      <c r="G458">
        <v>1000000</v>
      </c>
      <c r="H458" t="s">
        <v>162</v>
      </c>
      <c r="I458" t="s">
        <v>60</v>
      </c>
    </row>
    <row r="459" spans="1:9">
      <c r="A459" s="50">
        <v>46013</v>
      </c>
      <c r="B459" s="51">
        <v>0.4050115740740741</v>
      </c>
      <c r="C459" t="s">
        <v>165</v>
      </c>
      <c r="D459" t="s">
        <v>45</v>
      </c>
      <c r="E459" t="s">
        <v>227</v>
      </c>
      <c r="F459" t="s">
        <v>228</v>
      </c>
      <c r="G459">
        <v>-40490</v>
      </c>
      <c r="H459" t="s">
        <v>162</v>
      </c>
      <c r="I459" t="s">
        <v>57</v>
      </c>
    </row>
    <row r="460" spans="1:9">
      <c r="A460" s="50">
        <v>46013</v>
      </c>
      <c r="B460" s="51">
        <v>0.1514236111111111</v>
      </c>
      <c r="C460" t="s">
        <v>165</v>
      </c>
      <c r="D460" t="s">
        <v>44</v>
      </c>
      <c r="E460" t="s">
        <v>363</v>
      </c>
      <c r="F460" t="s">
        <v>428</v>
      </c>
      <c r="G460">
        <v>-35950</v>
      </c>
      <c r="H460" t="s">
        <v>162</v>
      </c>
      <c r="I460" t="s">
        <v>60</v>
      </c>
    </row>
    <row r="461" spans="1:9">
      <c r="A461" s="50">
        <v>46011</v>
      </c>
      <c r="B461" s="51">
        <v>0.7803935185185186</v>
      </c>
      <c r="C461" t="s">
        <v>165</v>
      </c>
      <c r="D461" t="s">
        <v>40</v>
      </c>
      <c r="E461" t="s">
        <v>292</v>
      </c>
      <c r="F461" t="s">
        <v>429</v>
      </c>
      <c r="G461">
        <v>-20900</v>
      </c>
      <c r="H461" t="s">
        <v>162</v>
      </c>
      <c r="I461" t="s">
        <v>173</v>
      </c>
    </row>
    <row r="462" spans="1:9">
      <c r="A462" s="50">
        <v>46011</v>
      </c>
      <c r="B462" s="51">
        <v>0.4550694444444445</v>
      </c>
      <c r="C462" t="s">
        <v>207</v>
      </c>
      <c r="D462" t="s">
        <v>28</v>
      </c>
      <c r="E462" t="s">
        <v>160</v>
      </c>
      <c r="F462" t="s">
        <v>230</v>
      </c>
      <c r="G462">
        <v>189</v>
      </c>
      <c r="H462" t="s">
        <v>162</v>
      </c>
      <c r="I462" t="s">
        <v>60</v>
      </c>
    </row>
    <row r="463" spans="1:9">
      <c r="A463" s="50">
        <v>46011</v>
      </c>
      <c r="B463" s="51">
        <v>0.2269560185185185</v>
      </c>
      <c r="C463" t="s">
        <v>158</v>
      </c>
      <c r="D463" t="s">
        <v>160</v>
      </c>
      <c r="E463" t="s">
        <v>160</v>
      </c>
      <c r="F463" t="s">
        <v>210</v>
      </c>
      <c r="G463">
        <v>0</v>
      </c>
      <c r="H463" t="s">
        <v>162</v>
      </c>
      <c r="I463" t="s">
        <v>60</v>
      </c>
    </row>
    <row r="464" spans="1:9">
      <c r="A464" s="50">
        <v>46010</v>
      </c>
      <c r="B464" s="51">
        <v>0.8020717592592592</v>
      </c>
      <c r="C464" t="s">
        <v>165</v>
      </c>
      <c r="D464" t="s">
        <v>41</v>
      </c>
      <c r="E464" t="s">
        <v>430</v>
      </c>
      <c r="F464" t="s">
        <v>431</v>
      </c>
      <c r="G464">
        <v>-1000</v>
      </c>
      <c r="H464" t="s">
        <v>162</v>
      </c>
      <c r="I464" t="s">
        <v>173</v>
      </c>
    </row>
    <row r="465" spans="1:9">
      <c r="A465" s="50">
        <v>46010</v>
      </c>
      <c r="B465" s="51">
        <v>0.8007986111111111</v>
      </c>
      <c r="C465" t="s">
        <v>165</v>
      </c>
      <c r="D465" t="s">
        <v>41</v>
      </c>
      <c r="E465" t="s">
        <v>430</v>
      </c>
      <c r="F465" t="s">
        <v>431</v>
      </c>
      <c r="G465">
        <v>-1000</v>
      </c>
      <c r="H465" t="s">
        <v>162</v>
      </c>
      <c r="I465" t="s">
        <v>173</v>
      </c>
    </row>
    <row r="466" spans="1:9">
      <c r="A466" s="50">
        <v>46010</v>
      </c>
      <c r="B466" s="51">
        <v>0.6285069444444444</v>
      </c>
      <c r="C466" t="s">
        <v>165</v>
      </c>
      <c r="D466" t="s">
        <v>35</v>
      </c>
      <c r="E466" t="s">
        <v>231</v>
      </c>
      <c r="F466" t="s">
        <v>232</v>
      </c>
      <c r="G466">
        <v>-17500</v>
      </c>
      <c r="H466" t="s">
        <v>162</v>
      </c>
      <c r="I466" t="s">
        <v>189</v>
      </c>
    </row>
    <row r="467" spans="1:9">
      <c r="A467" s="50">
        <v>46009</v>
      </c>
      <c r="B467" s="51">
        <v>0.7539699074074074</v>
      </c>
      <c r="C467" t="s">
        <v>165</v>
      </c>
      <c r="D467" t="s">
        <v>42</v>
      </c>
      <c r="E467" t="s">
        <v>171</v>
      </c>
      <c r="F467" t="s">
        <v>239</v>
      </c>
      <c r="G467">
        <v>-1000</v>
      </c>
      <c r="H467" t="s">
        <v>162</v>
      </c>
      <c r="I467" t="s">
        <v>240</v>
      </c>
    </row>
    <row r="468" spans="1:9">
      <c r="A468" s="50">
        <v>46008</v>
      </c>
      <c r="B468" s="51">
        <v>0.6330555555555556</v>
      </c>
      <c r="C468" t="s">
        <v>165</v>
      </c>
      <c r="D468" t="s">
        <v>42</v>
      </c>
      <c r="E468" t="s">
        <v>264</v>
      </c>
      <c r="F468" t="s">
        <v>432</v>
      </c>
      <c r="G468">
        <v>-33300</v>
      </c>
      <c r="H468" t="s">
        <v>162</v>
      </c>
      <c r="I468" t="s">
        <v>240</v>
      </c>
    </row>
    <row r="469" spans="1:9">
      <c r="A469" s="50">
        <v>46008</v>
      </c>
      <c r="B469" s="51">
        <v>0.6214120370370371</v>
      </c>
      <c r="C469" t="s">
        <v>158</v>
      </c>
      <c r="D469" t="s">
        <v>159</v>
      </c>
      <c r="E469" t="s">
        <v>160</v>
      </c>
      <c r="F469" t="s">
        <v>394</v>
      </c>
      <c r="G469">
        <v>-10094000</v>
      </c>
      <c r="H469" t="s">
        <v>162</v>
      </c>
      <c r="I469" t="s">
        <v>60</v>
      </c>
    </row>
    <row r="470" spans="1:9">
      <c r="A470" s="50">
        <v>46008</v>
      </c>
      <c r="B470" s="51">
        <v>0.6111226851851852</v>
      </c>
      <c r="C470" t="s">
        <v>158</v>
      </c>
      <c r="D470" t="s">
        <v>158</v>
      </c>
      <c r="E470" t="s">
        <v>160</v>
      </c>
      <c r="F470" t="s">
        <v>170</v>
      </c>
      <c r="G470">
        <v>10000000</v>
      </c>
      <c r="H470" t="s">
        <v>162</v>
      </c>
      <c r="I470" t="s">
        <v>60</v>
      </c>
    </row>
    <row r="471" spans="1:9">
      <c r="A471" s="50">
        <v>46008</v>
      </c>
      <c r="B471" s="51">
        <v>0.5350578703703703</v>
      </c>
      <c r="C471" t="s">
        <v>158</v>
      </c>
      <c r="D471" t="s">
        <v>64</v>
      </c>
      <c r="E471" t="s">
        <v>160</v>
      </c>
      <c r="F471" t="s">
        <v>251</v>
      </c>
      <c r="G471">
        <v>112700</v>
      </c>
      <c r="H471" t="s">
        <v>162</v>
      </c>
      <c r="I471" t="s">
        <v>60</v>
      </c>
    </row>
    <row r="472" spans="1:9">
      <c r="A472" s="50">
        <v>46007</v>
      </c>
      <c r="B472" s="51">
        <v>0.8203819444444445</v>
      </c>
      <c r="C472" t="s">
        <v>165</v>
      </c>
      <c r="D472" t="s">
        <v>46</v>
      </c>
      <c r="E472" t="s">
        <v>245</v>
      </c>
      <c r="F472" t="s">
        <v>246</v>
      </c>
      <c r="G472">
        <v>-80000</v>
      </c>
      <c r="H472" t="s">
        <v>162</v>
      </c>
      <c r="I472" t="s">
        <v>173</v>
      </c>
    </row>
    <row r="473" spans="1:9">
      <c r="A473" s="50">
        <v>46006</v>
      </c>
      <c r="B473" s="51">
        <v>0.8213773148148148</v>
      </c>
      <c r="C473" t="s">
        <v>158</v>
      </c>
      <c r="D473" t="s">
        <v>158</v>
      </c>
      <c r="E473" t="s">
        <v>160</v>
      </c>
      <c r="F473" t="s">
        <v>190</v>
      </c>
      <c r="G473">
        <v>2500</v>
      </c>
      <c r="H473" t="s">
        <v>162</v>
      </c>
      <c r="I473" t="s">
        <v>189</v>
      </c>
    </row>
    <row r="474" spans="1:9">
      <c r="A474" s="50">
        <v>46006</v>
      </c>
      <c r="B474" s="51">
        <v>0.7977314814814814</v>
      </c>
      <c r="C474" t="s">
        <v>165</v>
      </c>
      <c r="D474" t="s">
        <v>38</v>
      </c>
      <c r="E474" t="s">
        <v>166</v>
      </c>
      <c r="F474" t="s">
        <v>356</v>
      </c>
      <c r="G474">
        <v>-6500</v>
      </c>
      <c r="H474" t="s">
        <v>162</v>
      </c>
      <c r="I474" t="s">
        <v>173</v>
      </c>
    </row>
    <row r="475" spans="1:9">
      <c r="A475" s="50">
        <v>46006</v>
      </c>
      <c r="B475" s="51">
        <v>0.7928009259259259</v>
      </c>
      <c r="C475" t="s">
        <v>165</v>
      </c>
      <c r="D475" t="s">
        <v>43</v>
      </c>
      <c r="E475" t="s">
        <v>433</v>
      </c>
      <c r="F475" t="s">
        <v>434</v>
      </c>
      <c r="G475">
        <v>-6000</v>
      </c>
      <c r="H475" t="s">
        <v>162</v>
      </c>
      <c r="I475" t="s">
        <v>173</v>
      </c>
    </row>
    <row r="476" spans="1:9">
      <c r="A476" s="50">
        <v>46006</v>
      </c>
      <c r="B476" s="51">
        <v>0.6329629629629629</v>
      </c>
      <c r="C476" t="s">
        <v>158</v>
      </c>
      <c r="D476" t="s">
        <v>158</v>
      </c>
      <c r="E476" t="s">
        <v>160</v>
      </c>
      <c r="F476" t="s">
        <v>226</v>
      </c>
      <c r="G476">
        <v>2500</v>
      </c>
      <c r="H476" t="s">
        <v>162</v>
      </c>
      <c r="I476" t="s">
        <v>189</v>
      </c>
    </row>
    <row r="477" spans="1:9">
      <c r="A477" s="50">
        <v>46006</v>
      </c>
      <c r="B477" s="51">
        <v>0.5819560185185185</v>
      </c>
      <c r="C477" t="s">
        <v>158</v>
      </c>
      <c r="D477" t="s">
        <v>158</v>
      </c>
      <c r="E477" t="s">
        <v>160</v>
      </c>
      <c r="F477" t="s">
        <v>188</v>
      </c>
      <c r="G477">
        <v>2500</v>
      </c>
      <c r="H477" t="s">
        <v>162</v>
      </c>
      <c r="I477" t="s">
        <v>189</v>
      </c>
    </row>
    <row r="478" spans="1:9">
      <c r="A478" s="50">
        <v>46006</v>
      </c>
      <c r="B478" s="51">
        <v>0.5669097222222222</v>
      </c>
      <c r="C478" t="s">
        <v>158</v>
      </c>
      <c r="D478" t="s">
        <v>158</v>
      </c>
      <c r="E478" t="s">
        <v>160</v>
      </c>
      <c r="F478" t="s">
        <v>435</v>
      </c>
      <c r="G478">
        <v>2500</v>
      </c>
      <c r="H478" t="s">
        <v>162</v>
      </c>
      <c r="I478" t="s">
        <v>189</v>
      </c>
    </row>
    <row r="479" spans="1:9">
      <c r="A479" s="50">
        <v>46006</v>
      </c>
      <c r="B479" s="51">
        <v>0.5167592592592593</v>
      </c>
      <c r="C479" t="s">
        <v>165</v>
      </c>
      <c r="D479" t="s">
        <v>46</v>
      </c>
      <c r="E479" t="s">
        <v>193</v>
      </c>
      <c r="F479" t="s">
        <v>194</v>
      </c>
      <c r="G479">
        <v>-12500</v>
      </c>
      <c r="H479" t="s">
        <v>162</v>
      </c>
      <c r="I479" t="s">
        <v>184</v>
      </c>
    </row>
    <row r="480" spans="1:9">
      <c r="A480" s="50">
        <v>46006</v>
      </c>
      <c r="B480" s="51">
        <v>0.4269675925925926</v>
      </c>
      <c r="C480" t="s">
        <v>165</v>
      </c>
      <c r="D480" t="s">
        <v>42</v>
      </c>
      <c r="E480" t="s">
        <v>171</v>
      </c>
      <c r="F480" t="s">
        <v>172</v>
      </c>
      <c r="G480">
        <v>-4000</v>
      </c>
      <c r="H480" t="s">
        <v>162</v>
      </c>
      <c r="I480" t="s">
        <v>173</v>
      </c>
    </row>
    <row r="481" spans="1:9">
      <c r="A481" s="50">
        <v>46006</v>
      </c>
      <c r="B481" s="51">
        <v>0.1377662037037037</v>
      </c>
      <c r="C481" t="s">
        <v>165</v>
      </c>
      <c r="D481" t="s">
        <v>35</v>
      </c>
      <c r="E481" t="s">
        <v>231</v>
      </c>
      <c r="F481" t="s">
        <v>333</v>
      </c>
      <c r="G481">
        <v>-16500</v>
      </c>
      <c r="H481" t="s">
        <v>162</v>
      </c>
      <c r="I481" t="s">
        <v>60</v>
      </c>
    </row>
    <row r="482" spans="1:9">
      <c r="A482" s="50">
        <v>46003</v>
      </c>
      <c r="B482" s="51">
        <v>0.5171875</v>
      </c>
      <c r="C482" t="s">
        <v>165</v>
      </c>
      <c r="D482" t="s">
        <v>46</v>
      </c>
      <c r="E482" t="s">
        <v>193</v>
      </c>
      <c r="F482" t="s">
        <v>194</v>
      </c>
      <c r="G482">
        <v>-10000</v>
      </c>
      <c r="H482" t="s">
        <v>162</v>
      </c>
      <c r="I482" t="s">
        <v>184</v>
      </c>
    </row>
    <row r="483" spans="1:9">
      <c r="A483" s="50">
        <v>46000</v>
      </c>
      <c r="B483" s="51">
        <v>0.5670949074074074</v>
      </c>
      <c r="C483" t="s">
        <v>165</v>
      </c>
      <c r="D483" t="s">
        <v>42</v>
      </c>
      <c r="E483" t="s">
        <v>264</v>
      </c>
      <c r="F483" t="s">
        <v>432</v>
      </c>
      <c r="G483">
        <v>-9900</v>
      </c>
      <c r="H483" t="s">
        <v>162</v>
      </c>
      <c r="I483" t="s">
        <v>240</v>
      </c>
    </row>
    <row r="484" spans="1:9">
      <c r="A484" s="50">
        <v>46000</v>
      </c>
      <c r="B484" s="51">
        <v>0.5235300925925926</v>
      </c>
      <c r="C484" t="s">
        <v>165</v>
      </c>
      <c r="D484" t="s">
        <v>46</v>
      </c>
      <c r="E484" t="s">
        <v>193</v>
      </c>
      <c r="F484" t="s">
        <v>194</v>
      </c>
      <c r="G484">
        <v>-6500</v>
      </c>
      <c r="H484" t="s">
        <v>162</v>
      </c>
      <c r="I484" t="s">
        <v>184</v>
      </c>
    </row>
    <row r="485" spans="1:9">
      <c r="A485" s="50">
        <v>45999</v>
      </c>
      <c r="B485" s="51">
        <v>0.5173842592592592</v>
      </c>
      <c r="C485" t="s">
        <v>165</v>
      </c>
      <c r="D485" t="s">
        <v>46</v>
      </c>
      <c r="E485" t="s">
        <v>193</v>
      </c>
      <c r="F485" t="s">
        <v>194</v>
      </c>
      <c r="G485">
        <v>-10000</v>
      </c>
      <c r="H485" t="s">
        <v>162</v>
      </c>
      <c r="I485" t="s">
        <v>184</v>
      </c>
    </row>
    <row r="486" spans="1:9">
      <c r="A486" s="50">
        <v>45998</v>
      </c>
      <c r="B486" s="51">
        <v>0.7486805555555556</v>
      </c>
      <c r="C486" t="s">
        <v>165</v>
      </c>
      <c r="D486" t="s">
        <v>44</v>
      </c>
      <c r="E486" t="s">
        <v>182</v>
      </c>
      <c r="F486" t="s">
        <v>436</v>
      </c>
      <c r="G486">
        <v>-60000</v>
      </c>
      <c r="H486" t="s">
        <v>162</v>
      </c>
      <c r="I486" t="s">
        <v>184</v>
      </c>
    </row>
    <row r="487" spans="1:9">
      <c r="A487" s="50">
        <v>45996</v>
      </c>
      <c r="B487" s="51">
        <v>0.5543171296296296</v>
      </c>
      <c r="C487" t="s">
        <v>165</v>
      </c>
      <c r="D487" t="s">
        <v>42</v>
      </c>
      <c r="E487" t="s">
        <v>264</v>
      </c>
      <c r="F487" t="s">
        <v>432</v>
      </c>
      <c r="G487">
        <v>-11900</v>
      </c>
      <c r="H487" t="s">
        <v>162</v>
      </c>
      <c r="I487" t="s">
        <v>240</v>
      </c>
    </row>
    <row r="488" spans="1:9">
      <c r="A488" s="50">
        <v>45995</v>
      </c>
      <c r="B488" s="51">
        <v>0.7893981481481481</v>
      </c>
      <c r="C488" t="s">
        <v>165</v>
      </c>
      <c r="D488" t="s">
        <v>40</v>
      </c>
      <c r="E488" t="s">
        <v>288</v>
      </c>
      <c r="F488" t="s">
        <v>437</v>
      </c>
      <c r="G488">
        <v>-24000</v>
      </c>
      <c r="H488" t="s">
        <v>162</v>
      </c>
      <c r="I488" t="s">
        <v>184</v>
      </c>
    </row>
    <row r="489" spans="1:9">
      <c r="A489" s="50">
        <v>45995</v>
      </c>
      <c r="B489" s="51">
        <v>0.5752546296296296</v>
      </c>
      <c r="C489" t="s">
        <v>165</v>
      </c>
      <c r="D489" t="s">
        <v>35</v>
      </c>
      <c r="E489" t="s">
        <v>231</v>
      </c>
      <c r="F489" t="s">
        <v>232</v>
      </c>
      <c r="G489">
        <v>-12400</v>
      </c>
      <c r="H489" t="s">
        <v>162</v>
      </c>
      <c r="I489" t="s">
        <v>189</v>
      </c>
    </row>
    <row r="490" spans="1:9">
      <c r="A490" s="50">
        <v>45994</v>
      </c>
      <c r="B490" s="51">
        <v>0.8250925925925926</v>
      </c>
      <c r="C490" t="s">
        <v>165</v>
      </c>
      <c r="D490" t="s">
        <v>38</v>
      </c>
      <c r="E490" t="s">
        <v>186</v>
      </c>
      <c r="F490" t="s">
        <v>187</v>
      </c>
      <c r="G490">
        <v>-10000</v>
      </c>
      <c r="H490" t="s">
        <v>162</v>
      </c>
      <c r="I490" t="s">
        <v>184</v>
      </c>
    </row>
    <row r="491" spans="1:9">
      <c r="A491" s="50">
        <v>45993</v>
      </c>
      <c r="B491" s="51">
        <v>0.5185300925925926</v>
      </c>
      <c r="C491" t="s">
        <v>165</v>
      </c>
      <c r="D491" t="s">
        <v>46</v>
      </c>
      <c r="E491" t="s">
        <v>193</v>
      </c>
      <c r="F491" t="s">
        <v>194</v>
      </c>
      <c r="G491">
        <v>-2500</v>
      </c>
      <c r="H491" t="s">
        <v>162</v>
      </c>
      <c r="I491" t="s">
        <v>184</v>
      </c>
    </row>
    <row r="492" spans="1:9">
      <c r="A492" s="50">
        <v>45991</v>
      </c>
      <c r="B492" s="51">
        <v>0</v>
      </c>
      <c r="C492" t="s">
        <v>165</v>
      </c>
      <c r="D492" t="s">
        <v>34</v>
      </c>
      <c r="E492" t="s">
        <v>404</v>
      </c>
      <c r="F492" t="s">
        <v>438</v>
      </c>
      <c r="G492">
        <v>-3200</v>
      </c>
      <c r="H492" t="s">
        <v>162</v>
      </c>
      <c r="I492" t="s">
        <v>173</v>
      </c>
    </row>
    <row r="493" spans="1:9">
      <c r="A493" s="50">
        <v>45991</v>
      </c>
      <c r="B493" s="51">
        <v>0</v>
      </c>
      <c r="C493" t="s">
        <v>165</v>
      </c>
      <c r="D493" t="s">
        <v>34</v>
      </c>
      <c r="E493" t="s">
        <v>404</v>
      </c>
      <c r="F493" t="s">
        <v>439</v>
      </c>
      <c r="G493">
        <v>-7750</v>
      </c>
      <c r="H493" t="s">
        <v>162</v>
      </c>
      <c r="I493" t="s">
        <v>173</v>
      </c>
    </row>
    <row r="494" spans="1:9">
      <c r="A494" s="50">
        <v>45989</v>
      </c>
      <c r="B494" s="51">
        <v>0.8269444444444445</v>
      </c>
      <c r="C494" t="s">
        <v>165</v>
      </c>
      <c r="D494" t="s">
        <v>40</v>
      </c>
      <c r="E494" t="s">
        <v>243</v>
      </c>
      <c r="F494" t="s">
        <v>440</v>
      </c>
      <c r="G494">
        <v>-65900</v>
      </c>
      <c r="H494" t="s">
        <v>162</v>
      </c>
      <c r="I494" t="s">
        <v>173</v>
      </c>
    </row>
    <row r="495" spans="1:9">
      <c r="A495" s="50">
        <v>45988</v>
      </c>
      <c r="B495" s="51">
        <v>0.4598032407407407</v>
      </c>
      <c r="C495" t="s">
        <v>158</v>
      </c>
      <c r="D495" t="s">
        <v>159</v>
      </c>
      <c r="E495" t="s">
        <v>160</v>
      </c>
      <c r="F495" t="s">
        <v>209</v>
      </c>
      <c r="G495">
        <v>-100000</v>
      </c>
      <c r="H495" t="s">
        <v>162</v>
      </c>
      <c r="I495" t="s">
        <v>60</v>
      </c>
    </row>
    <row r="496" spans="1:9">
      <c r="A496" s="50">
        <v>45987</v>
      </c>
      <c r="B496" s="51">
        <v>0.833599537037037</v>
      </c>
      <c r="C496" t="s">
        <v>158</v>
      </c>
      <c r="D496" t="s">
        <v>159</v>
      </c>
      <c r="E496" t="s">
        <v>160</v>
      </c>
      <c r="F496" t="s">
        <v>210</v>
      </c>
      <c r="G496">
        <v>300000</v>
      </c>
      <c r="H496" t="s">
        <v>162</v>
      </c>
      <c r="I496" t="s">
        <v>367</v>
      </c>
    </row>
    <row r="497" spans="1:9">
      <c r="A497" s="50">
        <v>45987</v>
      </c>
      <c r="B497" s="51">
        <v>0.833599537037037</v>
      </c>
      <c r="C497" t="s">
        <v>158</v>
      </c>
      <c r="D497" t="s">
        <v>159</v>
      </c>
      <c r="E497" t="s">
        <v>160</v>
      </c>
      <c r="F497" t="s">
        <v>441</v>
      </c>
      <c r="G497">
        <v>-300000</v>
      </c>
      <c r="H497" t="s">
        <v>162</v>
      </c>
      <c r="I497" t="s">
        <v>57</v>
      </c>
    </row>
    <row r="498" spans="1:9">
      <c r="A498" s="50">
        <v>45987</v>
      </c>
      <c r="B498" s="51">
        <v>0.7789467592592593</v>
      </c>
      <c r="C498" t="s">
        <v>165</v>
      </c>
      <c r="D498" t="s">
        <v>44</v>
      </c>
      <c r="E498" t="s">
        <v>182</v>
      </c>
      <c r="F498" t="s">
        <v>183</v>
      </c>
      <c r="G498">
        <v>-60000</v>
      </c>
      <c r="H498" t="s">
        <v>162</v>
      </c>
      <c r="I498" t="s">
        <v>184</v>
      </c>
    </row>
    <row r="499" spans="1:9">
      <c r="A499" s="50">
        <v>45987</v>
      </c>
      <c r="B499" s="51">
        <v>0.7168402777777778</v>
      </c>
      <c r="C499" t="s">
        <v>158</v>
      </c>
      <c r="D499" t="s">
        <v>158</v>
      </c>
      <c r="E499" t="s">
        <v>160</v>
      </c>
      <c r="F499" t="s">
        <v>215</v>
      </c>
      <c r="G499">
        <v>-17800</v>
      </c>
      <c r="H499" t="s">
        <v>162</v>
      </c>
      <c r="I499" t="s">
        <v>60</v>
      </c>
    </row>
    <row r="500" spans="1:9">
      <c r="A500" s="50">
        <v>45987</v>
      </c>
      <c r="B500" s="51">
        <v>0.1372685185185185</v>
      </c>
      <c r="C500" t="s">
        <v>158</v>
      </c>
      <c r="D500" t="s">
        <v>159</v>
      </c>
      <c r="E500" t="s">
        <v>160</v>
      </c>
      <c r="F500" t="s">
        <v>442</v>
      </c>
      <c r="G500">
        <v>-100000</v>
      </c>
      <c r="H500" t="s">
        <v>162</v>
      </c>
      <c r="I500" t="s">
        <v>60</v>
      </c>
    </row>
    <row r="501" spans="1:9">
      <c r="A501" s="50">
        <v>45987</v>
      </c>
      <c r="B501" s="51">
        <v>0.1372685185185185</v>
      </c>
      <c r="C501" t="s">
        <v>158</v>
      </c>
      <c r="D501" t="s">
        <v>159</v>
      </c>
      <c r="E501" t="s">
        <v>160</v>
      </c>
      <c r="F501" t="s">
        <v>210</v>
      </c>
      <c r="G501">
        <v>100000</v>
      </c>
      <c r="H501" t="s">
        <v>162</v>
      </c>
      <c r="I501" t="s">
        <v>443</v>
      </c>
    </row>
    <row r="502" spans="1:9">
      <c r="A502" s="50">
        <v>45986</v>
      </c>
      <c r="B502" s="51">
        <v>0.8051157407407408</v>
      </c>
      <c r="C502" t="s">
        <v>165</v>
      </c>
      <c r="D502" t="s">
        <v>46</v>
      </c>
      <c r="E502" t="s">
        <v>444</v>
      </c>
      <c r="F502" t="s">
        <v>445</v>
      </c>
      <c r="G502">
        <v>-1100</v>
      </c>
      <c r="H502" t="s">
        <v>162</v>
      </c>
      <c r="I502" t="s">
        <v>184</v>
      </c>
    </row>
    <row r="503" spans="1:9">
      <c r="A503" s="50">
        <v>45986</v>
      </c>
      <c r="B503" s="51">
        <v>0.7631018518518519</v>
      </c>
      <c r="C503" t="s">
        <v>165</v>
      </c>
      <c r="D503" t="s">
        <v>45</v>
      </c>
      <c r="E503" t="s">
        <v>224</v>
      </c>
      <c r="F503" t="s">
        <v>225</v>
      </c>
      <c r="G503">
        <v>-225660</v>
      </c>
      <c r="H503" t="s">
        <v>162</v>
      </c>
      <c r="I503" t="s">
        <v>173</v>
      </c>
    </row>
    <row r="504" spans="1:9">
      <c r="A504" s="50">
        <v>45986</v>
      </c>
      <c r="B504" s="51">
        <v>0.7427430555555555</v>
      </c>
      <c r="C504" t="s">
        <v>158</v>
      </c>
      <c r="D504" t="s">
        <v>159</v>
      </c>
      <c r="E504" t="s">
        <v>160</v>
      </c>
      <c r="F504" t="s">
        <v>446</v>
      </c>
      <c r="G504">
        <v>-500000</v>
      </c>
      <c r="H504" t="s">
        <v>162</v>
      </c>
      <c r="I504" t="s">
        <v>60</v>
      </c>
    </row>
    <row r="505" spans="1:9">
      <c r="A505" s="50">
        <v>45986</v>
      </c>
      <c r="B505" s="51">
        <v>0.7427430555555555</v>
      </c>
      <c r="C505" t="s">
        <v>158</v>
      </c>
      <c r="D505" t="s">
        <v>159</v>
      </c>
      <c r="E505" t="s">
        <v>160</v>
      </c>
      <c r="F505" t="s">
        <v>210</v>
      </c>
      <c r="G505">
        <v>500000</v>
      </c>
      <c r="H505" t="s">
        <v>162</v>
      </c>
      <c r="I505" t="s">
        <v>447</v>
      </c>
    </row>
    <row r="506" spans="1:9">
      <c r="A506" s="50">
        <v>45986</v>
      </c>
      <c r="B506" s="51">
        <v>0.7058333333333333</v>
      </c>
      <c r="C506" t="s">
        <v>158</v>
      </c>
      <c r="D506" t="s">
        <v>216</v>
      </c>
      <c r="E506" t="s">
        <v>160</v>
      </c>
      <c r="F506" t="s">
        <v>217</v>
      </c>
      <c r="G506">
        <v>-783230</v>
      </c>
      <c r="H506" t="s">
        <v>162</v>
      </c>
      <c r="I506" t="s">
        <v>60</v>
      </c>
    </row>
    <row r="507" spans="1:9">
      <c r="A507" s="50">
        <v>45986</v>
      </c>
      <c r="B507" s="51">
        <v>0.5151273148148148</v>
      </c>
      <c r="C507" t="s">
        <v>165</v>
      </c>
      <c r="D507" t="s">
        <v>46</v>
      </c>
      <c r="E507" t="s">
        <v>193</v>
      </c>
      <c r="F507" t="s">
        <v>448</v>
      </c>
      <c r="G507">
        <v>-10900</v>
      </c>
      <c r="H507" t="s">
        <v>162</v>
      </c>
      <c r="I507" t="s">
        <v>173</v>
      </c>
    </row>
    <row r="508" spans="1:9">
      <c r="A508" s="50">
        <v>45986</v>
      </c>
      <c r="B508" s="51">
        <v>0.3867013888888889</v>
      </c>
      <c r="C508" t="s">
        <v>165</v>
      </c>
      <c r="D508" t="s">
        <v>35</v>
      </c>
      <c r="E508" t="s">
        <v>221</v>
      </c>
      <c r="F508" t="s">
        <v>222</v>
      </c>
      <c r="G508">
        <v>-3000000</v>
      </c>
      <c r="H508" t="s">
        <v>162</v>
      </c>
      <c r="I508" t="s">
        <v>60</v>
      </c>
    </row>
    <row r="509" spans="1:9">
      <c r="A509" s="50">
        <v>45986</v>
      </c>
      <c r="B509" s="51">
        <v>0.3834143518518519</v>
      </c>
      <c r="C509" t="s">
        <v>207</v>
      </c>
      <c r="D509" t="s">
        <v>29</v>
      </c>
      <c r="E509" t="s">
        <v>160</v>
      </c>
      <c r="F509" t="s">
        <v>325</v>
      </c>
      <c r="G509">
        <v>4201135</v>
      </c>
      <c r="H509" t="s">
        <v>162</v>
      </c>
      <c r="I509" t="s">
        <v>60</v>
      </c>
    </row>
    <row r="510" spans="1:9">
      <c r="A510" s="50">
        <v>45986</v>
      </c>
      <c r="B510" s="51">
        <v>0.1305324074074074</v>
      </c>
      <c r="C510" t="s">
        <v>165</v>
      </c>
      <c r="D510" t="s">
        <v>35</v>
      </c>
      <c r="E510" t="s">
        <v>218</v>
      </c>
      <c r="F510" t="s">
        <v>219</v>
      </c>
      <c r="G510">
        <v>-36120</v>
      </c>
      <c r="H510" t="s">
        <v>162</v>
      </c>
      <c r="I510" t="s">
        <v>60</v>
      </c>
    </row>
    <row r="511" spans="1:9">
      <c r="A511" s="50">
        <v>45985</v>
      </c>
      <c r="B511" s="51">
        <v>0.786238425925926</v>
      </c>
      <c r="C511" t="s">
        <v>158</v>
      </c>
      <c r="D511" t="s">
        <v>158</v>
      </c>
      <c r="E511" t="s">
        <v>160</v>
      </c>
      <c r="F511" t="s">
        <v>188</v>
      </c>
      <c r="G511">
        <v>2500</v>
      </c>
      <c r="H511" t="s">
        <v>162</v>
      </c>
      <c r="I511" t="s">
        <v>189</v>
      </c>
    </row>
    <row r="512" spans="1:9">
      <c r="A512" s="50">
        <v>45985</v>
      </c>
      <c r="B512" s="51">
        <v>0.7828935185185185</v>
      </c>
      <c r="C512" t="s">
        <v>165</v>
      </c>
      <c r="D512" t="s">
        <v>40</v>
      </c>
      <c r="E512" t="s">
        <v>449</v>
      </c>
      <c r="F512" t="s">
        <v>450</v>
      </c>
      <c r="G512">
        <v>-16000</v>
      </c>
      <c r="H512" t="s">
        <v>162</v>
      </c>
      <c r="I512" t="s">
        <v>184</v>
      </c>
    </row>
    <row r="513" spans="1:9">
      <c r="A513" s="50">
        <v>45985</v>
      </c>
      <c r="B513" s="51">
        <v>0.7788888888888889</v>
      </c>
      <c r="C513" t="s">
        <v>165</v>
      </c>
      <c r="D513" t="s">
        <v>43</v>
      </c>
      <c r="E513" t="s">
        <v>433</v>
      </c>
      <c r="F513" t="s">
        <v>434</v>
      </c>
      <c r="G513">
        <v>-10000</v>
      </c>
      <c r="H513" t="s">
        <v>162</v>
      </c>
      <c r="I513" t="s">
        <v>184</v>
      </c>
    </row>
    <row r="514" spans="1:9">
      <c r="A514" s="50">
        <v>45985</v>
      </c>
      <c r="B514" s="51">
        <v>0.514525462962963</v>
      </c>
      <c r="C514" t="s">
        <v>165</v>
      </c>
      <c r="D514" t="s">
        <v>46</v>
      </c>
      <c r="E514" t="s">
        <v>193</v>
      </c>
      <c r="F514" t="s">
        <v>241</v>
      </c>
      <c r="G514">
        <v>-5000</v>
      </c>
      <c r="H514" t="s">
        <v>162</v>
      </c>
      <c r="I514" t="s">
        <v>451</v>
      </c>
    </row>
    <row r="515" spans="1:9">
      <c r="A515" s="50">
        <v>45984</v>
      </c>
      <c r="B515" s="51">
        <v>0.7730787037037037</v>
      </c>
      <c r="C515" t="s">
        <v>165</v>
      </c>
      <c r="D515" t="s">
        <v>42</v>
      </c>
      <c r="E515" t="s">
        <v>264</v>
      </c>
      <c r="F515" t="s">
        <v>452</v>
      </c>
      <c r="G515">
        <v>-7000</v>
      </c>
      <c r="H515" t="s">
        <v>162</v>
      </c>
      <c r="I515" t="s">
        <v>173</v>
      </c>
    </row>
    <row r="516" spans="1:9">
      <c r="A516" s="50">
        <v>45984</v>
      </c>
      <c r="B516" s="51">
        <v>0.6460069444444444</v>
      </c>
      <c r="C516" t="s">
        <v>165</v>
      </c>
      <c r="D516" t="s">
        <v>44</v>
      </c>
      <c r="E516" t="s">
        <v>300</v>
      </c>
      <c r="F516" t="s">
        <v>453</v>
      </c>
      <c r="G516">
        <v>-9750</v>
      </c>
      <c r="H516" t="s">
        <v>162</v>
      </c>
      <c r="I516" t="s">
        <v>173</v>
      </c>
    </row>
    <row r="517" spans="1:9">
      <c r="A517" s="50">
        <v>45983</v>
      </c>
      <c r="B517" s="51">
        <v>0.2244444444444444</v>
      </c>
      <c r="C517" t="s">
        <v>207</v>
      </c>
      <c r="D517" t="s">
        <v>28</v>
      </c>
      <c r="E517" t="s">
        <v>160</v>
      </c>
      <c r="F517" t="s">
        <v>211</v>
      </c>
      <c r="G517">
        <v>0</v>
      </c>
      <c r="H517" t="s">
        <v>162</v>
      </c>
      <c r="I517" t="s">
        <v>58</v>
      </c>
    </row>
    <row r="518" spans="1:9">
      <c r="A518" s="50">
        <v>45982</v>
      </c>
      <c r="B518" s="51">
        <v>0.9236111111111112</v>
      </c>
      <c r="C518" t="s">
        <v>165</v>
      </c>
      <c r="D518" t="s">
        <v>34</v>
      </c>
      <c r="E518" t="s">
        <v>213</v>
      </c>
      <c r="F518" t="s">
        <v>345</v>
      </c>
      <c r="G518">
        <v>-5850</v>
      </c>
      <c r="H518" t="s">
        <v>162</v>
      </c>
      <c r="I518" t="s">
        <v>173</v>
      </c>
    </row>
    <row r="519" spans="1:9">
      <c r="A519" s="50">
        <v>45982</v>
      </c>
      <c r="B519" s="51">
        <v>0.9189930555555555</v>
      </c>
      <c r="C519" t="s">
        <v>165</v>
      </c>
      <c r="D519" t="s">
        <v>34</v>
      </c>
      <c r="E519" t="s">
        <v>213</v>
      </c>
      <c r="F519" t="s">
        <v>315</v>
      </c>
      <c r="G519">
        <v>6000</v>
      </c>
      <c r="H519" t="s">
        <v>162</v>
      </c>
      <c r="I519" t="s">
        <v>173</v>
      </c>
    </row>
    <row r="520" spans="1:9">
      <c r="A520" s="50">
        <v>45982</v>
      </c>
      <c r="B520" s="51">
        <v>0.9189814814814815</v>
      </c>
      <c r="C520" t="s">
        <v>165</v>
      </c>
      <c r="D520" t="s">
        <v>34</v>
      </c>
      <c r="E520" t="s">
        <v>213</v>
      </c>
      <c r="F520" t="s">
        <v>315</v>
      </c>
      <c r="G520">
        <v>-6000</v>
      </c>
      <c r="H520" t="s">
        <v>162</v>
      </c>
      <c r="I520" t="s">
        <v>173</v>
      </c>
    </row>
    <row r="521" spans="1:9">
      <c r="A521" s="50">
        <v>45982</v>
      </c>
      <c r="B521" s="51">
        <v>0.8779861111111111</v>
      </c>
      <c r="C521" t="s">
        <v>165</v>
      </c>
      <c r="D521" t="s">
        <v>36</v>
      </c>
      <c r="E521" t="s">
        <v>454</v>
      </c>
      <c r="F521" t="s">
        <v>455</v>
      </c>
      <c r="G521">
        <v>-1000</v>
      </c>
      <c r="H521" t="s">
        <v>162</v>
      </c>
      <c r="I521" t="s">
        <v>173</v>
      </c>
    </row>
    <row r="522" spans="1:9">
      <c r="A522" s="50">
        <v>45982</v>
      </c>
      <c r="B522" s="51">
        <v>0.8773611111111111</v>
      </c>
      <c r="C522" t="s">
        <v>165</v>
      </c>
      <c r="D522" t="s">
        <v>36</v>
      </c>
      <c r="E522" t="s">
        <v>346</v>
      </c>
      <c r="F522" t="s">
        <v>347</v>
      </c>
      <c r="G522">
        <v>-5000</v>
      </c>
      <c r="H522" t="s">
        <v>162</v>
      </c>
      <c r="I522" t="s">
        <v>173</v>
      </c>
    </row>
    <row r="523" spans="1:9">
      <c r="A523" s="50">
        <v>45982</v>
      </c>
      <c r="B523" s="51">
        <v>0.404375</v>
      </c>
      <c r="C523" t="s">
        <v>165</v>
      </c>
      <c r="D523" t="s">
        <v>45</v>
      </c>
      <c r="E523" t="s">
        <v>227</v>
      </c>
      <c r="F523" t="s">
        <v>228</v>
      </c>
      <c r="G523">
        <v>-40490</v>
      </c>
      <c r="H523" t="s">
        <v>162</v>
      </c>
      <c r="I523" t="s">
        <v>451</v>
      </c>
    </row>
    <row r="524" spans="1:9">
      <c r="A524" s="50">
        <v>45982</v>
      </c>
      <c r="B524" s="51">
        <v>0.1424421296296296</v>
      </c>
      <c r="C524" t="s">
        <v>165</v>
      </c>
      <c r="D524" t="s">
        <v>44</v>
      </c>
      <c r="E524" t="s">
        <v>363</v>
      </c>
      <c r="F524" t="s">
        <v>456</v>
      </c>
      <c r="G524">
        <v>-35950</v>
      </c>
      <c r="H524" t="s">
        <v>162</v>
      </c>
      <c r="I524" t="s">
        <v>60</v>
      </c>
    </row>
    <row r="525" spans="1:9">
      <c r="A525" s="50">
        <v>45979</v>
      </c>
      <c r="B525" s="51">
        <v>0.7730324074074074</v>
      </c>
      <c r="C525" t="s">
        <v>165</v>
      </c>
      <c r="D525" t="s">
        <v>44</v>
      </c>
      <c r="E525" t="s">
        <v>182</v>
      </c>
      <c r="F525" t="s">
        <v>183</v>
      </c>
      <c r="G525">
        <v>-60000</v>
      </c>
      <c r="H525" t="s">
        <v>162</v>
      </c>
      <c r="I525" t="s">
        <v>184</v>
      </c>
    </row>
    <row r="526" spans="1:9">
      <c r="A526" s="50">
        <v>45978</v>
      </c>
      <c r="B526" s="51">
        <v>0.510636574074074</v>
      </c>
      <c r="C526" t="s">
        <v>158</v>
      </c>
      <c r="D526" t="s">
        <v>158</v>
      </c>
      <c r="E526" t="s">
        <v>160</v>
      </c>
      <c r="F526" t="s">
        <v>457</v>
      </c>
      <c r="G526">
        <v>-20000</v>
      </c>
      <c r="H526" t="s">
        <v>162</v>
      </c>
      <c r="I526" t="s">
        <v>60</v>
      </c>
    </row>
    <row r="527" spans="1:9">
      <c r="A527" s="50">
        <v>45978</v>
      </c>
      <c r="B527" s="51">
        <v>0.4960763888888889</v>
      </c>
      <c r="C527" t="s">
        <v>165</v>
      </c>
      <c r="D527" t="s">
        <v>40</v>
      </c>
      <c r="E527" t="s">
        <v>288</v>
      </c>
      <c r="F527" t="s">
        <v>458</v>
      </c>
      <c r="G527">
        <v>-25000</v>
      </c>
      <c r="H527" t="s">
        <v>162</v>
      </c>
      <c r="I527" t="s">
        <v>173</v>
      </c>
    </row>
    <row r="528" spans="1:9">
      <c r="A528" s="50">
        <v>45978</v>
      </c>
      <c r="B528" s="51">
        <v>0.4272337962962963</v>
      </c>
      <c r="C528" t="s">
        <v>165</v>
      </c>
      <c r="D528" t="s">
        <v>42</v>
      </c>
      <c r="E528" t="s">
        <v>171</v>
      </c>
      <c r="F528" t="s">
        <v>172</v>
      </c>
      <c r="G528">
        <v>-4000</v>
      </c>
      <c r="H528" t="s">
        <v>162</v>
      </c>
      <c r="I528" t="s">
        <v>173</v>
      </c>
    </row>
    <row r="529" spans="1:9">
      <c r="A529" s="50">
        <v>45978</v>
      </c>
      <c r="B529" s="51">
        <v>0.1357060185185185</v>
      </c>
      <c r="C529" t="s">
        <v>165</v>
      </c>
      <c r="D529" t="s">
        <v>35</v>
      </c>
      <c r="E529" t="s">
        <v>231</v>
      </c>
      <c r="F529" t="s">
        <v>333</v>
      </c>
      <c r="G529">
        <v>-16500</v>
      </c>
      <c r="H529" t="s">
        <v>162</v>
      </c>
      <c r="I529" t="s">
        <v>60</v>
      </c>
    </row>
    <row r="530" spans="1:9">
      <c r="A530" s="50">
        <v>45977</v>
      </c>
      <c r="B530" s="51">
        <v>0.8937037037037037</v>
      </c>
      <c r="C530" t="s">
        <v>165</v>
      </c>
      <c r="D530" t="s">
        <v>38</v>
      </c>
      <c r="E530" t="s">
        <v>266</v>
      </c>
      <c r="F530" t="s">
        <v>459</v>
      </c>
      <c r="G530">
        <v>-2200</v>
      </c>
      <c r="H530" t="s">
        <v>162</v>
      </c>
      <c r="I530" t="s">
        <v>173</v>
      </c>
    </row>
    <row r="531" spans="1:9">
      <c r="A531" s="50">
        <v>45977</v>
      </c>
      <c r="B531" s="51">
        <v>0.840625</v>
      </c>
      <c r="C531" t="s">
        <v>165</v>
      </c>
      <c r="D531" t="s">
        <v>38</v>
      </c>
      <c r="E531" t="s">
        <v>266</v>
      </c>
      <c r="F531" t="s">
        <v>460</v>
      </c>
      <c r="G531">
        <v>-15000</v>
      </c>
      <c r="H531" t="s">
        <v>162</v>
      </c>
      <c r="I531" t="s">
        <v>173</v>
      </c>
    </row>
    <row r="532" spans="1:9">
      <c r="A532" s="50">
        <v>45977</v>
      </c>
      <c r="B532" s="51">
        <v>0.8177777777777778</v>
      </c>
      <c r="C532" t="s">
        <v>165</v>
      </c>
      <c r="D532" t="s">
        <v>40</v>
      </c>
      <c r="E532" t="s">
        <v>288</v>
      </c>
      <c r="F532" t="s">
        <v>461</v>
      </c>
      <c r="G532">
        <v>-70000</v>
      </c>
      <c r="H532" t="s">
        <v>162</v>
      </c>
      <c r="I532" t="s">
        <v>173</v>
      </c>
    </row>
    <row r="533" spans="1:9">
      <c r="A533" s="50">
        <v>45977</v>
      </c>
      <c r="B533" s="51">
        <v>0.7265046296296296</v>
      </c>
      <c r="C533" t="s">
        <v>165</v>
      </c>
      <c r="D533" t="s">
        <v>34</v>
      </c>
      <c r="E533" t="s">
        <v>213</v>
      </c>
      <c r="F533" t="s">
        <v>462</v>
      </c>
      <c r="G533">
        <v>-17700</v>
      </c>
      <c r="H533" t="s">
        <v>162</v>
      </c>
      <c r="I533" t="s">
        <v>173</v>
      </c>
    </row>
    <row r="534" spans="1:9">
      <c r="A534" s="50">
        <v>45977</v>
      </c>
      <c r="B534" s="51">
        <v>0.7043865740740741</v>
      </c>
      <c r="C534" t="s">
        <v>165</v>
      </c>
      <c r="D534" t="s">
        <v>34</v>
      </c>
      <c r="E534" t="s">
        <v>213</v>
      </c>
      <c r="F534" t="s">
        <v>463</v>
      </c>
      <c r="G534">
        <v>15900</v>
      </c>
      <c r="H534" t="s">
        <v>162</v>
      </c>
      <c r="I534" t="s">
        <v>173</v>
      </c>
    </row>
    <row r="535" spans="1:9">
      <c r="A535" s="50">
        <v>45977</v>
      </c>
      <c r="B535" s="51">
        <v>0.7043865740740741</v>
      </c>
      <c r="C535" t="s">
        <v>165</v>
      </c>
      <c r="D535" t="s">
        <v>34</v>
      </c>
      <c r="E535" t="s">
        <v>213</v>
      </c>
      <c r="F535" t="s">
        <v>463</v>
      </c>
      <c r="G535">
        <v>-15900</v>
      </c>
      <c r="H535" t="s">
        <v>162</v>
      </c>
      <c r="I535" t="s">
        <v>173</v>
      </c>
    </row>
    <row r="536" spans="1:9">
      <c r="A536" s="50">
        <v>45977</v>
      </c>
      <c r="B536" s="51">
        <v>0.5385416666666667</v>
      </c>
      <c r="C536" t="s">
        <v>165</v>
      </c>
      <c r="D536" t="s">
        <v>46</v>
      </c>
      <c r="E536" t="s">
        <v>339</v>
      </c>
      <c r="F536" t="s">
        <v>464</v>
      </c>
      <c r="G536">
        <v>-45000</v>
      </c>
      <c r="H536" t="s">
        <v>162</v>
      </c>
      <c r="I536" t="s">
        <v>173</v>
      </c>
    </row>
    <row r="537" spans="1:9">
      <c r="A537" s="50">
        <v>45977</v>
      </c>
      <c r="B537" s="51">
        <v>0.5234143518518518</v>
      </c>
      <c r="C537" t="s">
        <v>165</v>
      </c>
      <c r="D537" t="s">
        <v>40</v>
      </c>
      <c r="E537" t="s">
        <v>288</v>
      </c>
      <c r="F537" t="s">
        <v>465</v>
      </c>
      <c r="G537">
        <v>-19000</v>
      </c>
      <c r="H537" t="s">
        <v>162</v>
      </c>
      <c r="I537" t="s">
        <v>173</v>
      </c>
    </row>
    <row r="538" spans="1:9">
      <c r="A538" s="50">
        <v>45976</v>
      </c>
      <c r="B538" s="51">
        <v>0.7547685185185186</v>
      </c>
      <c r="C538" t="s">
        <v>165</v>
      </c>
      <c r="D538" t="s">
        <v>46</v>
      </c>
      <c r="E538" t="s">
        <v>193</v>
      </c>
      <c r="F538" t="s">
        <v>466</v>
      </c>
      <c r="G538">
        <v>-2400</v>
      </c>
      <c r="H538" t="s">
        <v>162</v>
      </c>
      <c r="I538" t="s">
        <v>173</v>
      </c>
    </row>
    <row r="539" spans="1:9">
      <c r="A539" s="50">
        <v>45976</v>
      </c>
      <c r="B539" s="51">
        <v>0.6468055555555555</v>
      </c>
      <c r="C539" t="s">
        <v>165</v>
      </c>
      <c r="D539" t="s">
        <v>40</v>
      </c>
      <c r="E539" t="s">
        <v>467</v>
      </c>
      <c r="F539" t="s">
        <v>468</v>
      </c>
      <c r="G539">
        <v>-1500</v>
      </c>
      <c r="H539" t="s">
        <v>162</v>
      </c>
      <c r="I539" t="s">
        <v>173</v>
      </c>
    </row>
    <row r="540" spans="1:9">
      <c r="A540" s="50">
        <v>45976</v>
      </c>
      <c r="B540" s="51">
        <v>0.6423263888888889</v>
      </c>
      <c r="C540" t="s">
        <v>165</v>
      </c>
      <c r="D540" t="s">
        <v>40</v>
      </c>
      <c r="E540" t="s">
        <v>467</v>
      </c>
      <c r="F540" t="s">
        <v>468</v>
      </c>
      <c r="G540">
        <v>-38800</v>
      </c>
      <c r="H540" t="s">
        <v>162</v>
      </c>
      <c r="I540" t="s">
        <v>173</v>
      </c>
    </row>
    <row r="541" spans="1:9">
      <c r="A541" s="50">
        <v>45976</v>
      </c>
      <c r="B541" s="51">
        <v>0.07262731481481481</v>
      </c>
      <c r="C541" t="s">
        <v>158</v>
      </c>
      <c r="D541" t="s">
        <v>160</v>
      </c>
      <c r="E541" t="s">
        <v>160</v>
      </c>
      <c r="F541" t="s">
        <v>210</v>
      </c>
      <c r="G541">
        <v>816</v>
      </c>
      <c r="H541" t="s">
        <v>162</v>
      </c>
      <c r="I541" t="s">
        <v>57</v>
      </c>
    </row>
    <row r="542" spans="1:9">
      <c r="A542" s="50">
        <v>45976</v>
      </c>
      <c r="B542" s="51">
        <v>0</v>
      </c>
      <c r="C542" t="s">
        <v>165</v>
      </c>
      <c r="D542" t="s">
        <v>34</v>
      </c>
      <c r="E542" t="s">
        <v>177</v>
      </c>
      <c r="F542" t="s">
        <v>469</v>
      </c>
      <c r="G542">
        <v>75200</v>
      </c>
      <c r="H542" t="s">
        <v>162</v>
      </c>
      <c r="I542" t="s">
        <v>173</v>
      </c>
    </row>
    <row r="543" spans="1:9">
      <c r="A543" s="50">
        <v>45975</v>
      </c>
      <c r="B543" s="51">
        <v>0.7744675925925926</v>
      </c>
      <c r="C543" t="s">
        <v>165</v>
      </c>
      <c r="D543" t="s">
        <v>40</v>
      </c>
      <c r="E543" t="s">
        <v>316</v>
      </c>
      <c r="F543" t="s">
        <v>470</v>
      </c>
      <c r="G543">
        <v>-49000</v>
      </c>
      <c r="H543" t="s">
        <v>162</v>
      </c>
      <c r="I543" t="s">
        <v>184</v>
      </c>
    </row>
    <row r="544" spans="1:9">
      <c r="A544" s="50">
        <v>45975</v>
      </c>
      <c r="B544" s="51">
        <v>0.7731944444444444</v>
      </c>
      <c r="C544" t="s">
        <v>165</v>
      </c>
      <c r="D544" t="s">
        <v>38</v>
      </c>
      <c r="E544" t="s">
        <v>266</v>
      </c>
      <c r="F544" t="s">
        <v>471</v>
      </c>
      <c r="G544">
        <v>-10900</v>
      </c>
      <c r="H544" t="s">
        <v>162</v>
      </c>
      <c r="I544" t="s">
        <v>173</v>
      </c>
    </row>
    <row r="545" spans="1:9">
      <c r="A545" s="50">
        <v>45975</v>
      </c>
      <c r="B545" s="51">
        <v>0.7727662037037037</v>
      </c>
      <c r="C545" t="s">
        <v>165</v>
      </c>
      <c r="D545" t="s">
        <v>34</v>
      </c>
      <c r="E545" t="s">
        <v>177</v>
      </c>
      <c r="F545" t="s">
        <v>472</v>
      </c>
      <c r="G545">
        <v>37600</v>
      </c>
      <c r="H545" t="s">
        <v>162</v>
      </c>
      <c r="I545" t="s">
        <v>176</v>
      </c>
    </row>
    <row r="546" spans="1:9">
      <c r="A546" s="50">
        <v>45975</v>
      </c>
      <c r="B546" s="51">
        <v>0.7727662037037037</v>
      </c>
      <c r="C546" t="s">
        <v>165</v>
      </c>
      <c r="D546" t="s">
        <v>34</v>
      </c>
      <c r="E546" t="s">
        <v>177</v>
      </c>
      <c r="F546" t="s">
        <v>472</v>
      </c>
      <c r="G546">
        <v>37600</v>
      </c>
      <c r="H546" t="s">
        <v>162</v>
      </c>
      <c r="I546" t="s">
        <v>176</v>
      </c>
    </row>
    <row r="547" spans="1:9">
      <c r="A547" s="50">
        <v>45975</v>
      </c>
      <c r="B547" s="51">
        <v>0.5738425925925926</v>
      </c>
      <c r="C547" t="s">
        <v>165</v>
      </c>
      <c r="D547" t="s">
        <v>35</v>
      </c>
      <c r="E547" t="s">
        <v>231</v>
      </c>
      <c r="F547" t="s">
        <v>232</v>
      </c>
      <c r="G547">
        <v>-2900</v>
      </c>
      <c r="H547" t="s">
        <v>162</v>
      </c>
      <c r="I547" t="s">
        <v>189</v>
      </c>
    </row>
    <row r="548" spans="1:9">
      <c r="A548" s="50">
        <v>45975</v>
      </c>
      <c r="B548" s="51">
        <v>0</v>
      </c>
      <c r="C548" t="s">
        <v>165</v>
      </c>
      <c r="D548" t="s">
        <v>34</v>
      </c>
      <c r="E548" t="s">
        <v>177</v>
      </c>
      <c r="F548" t="s">
        <v>473</v>
      </c>
      <c r="G548">
        <v>-3800</v>
      </c>
      <c r="H548" t="s">
        <v>162</v>
      </c>
      <c r="I548" t="s">
        <v>173</v>
      </c>
    </row>
    <row r="549" spans="1:9">
      <c r="A549" s="50">
        <v>45974</v>
      </c>
      <c r="B549" s="51">
        <v>0.5830671296296296</v>
      </c>
      <c r="C549" t="s">
        <v>158</v>
      </c>
      <c r="D549" t="s">
        <v>158</v>
      </c>
      <c r="E549" t="s">
        <v>160</v>
      </c>
      <c r="F549" t="s">
        <v>474</v>
      </c>
      <c r="G549">
        <v>7700</v>
      </c>
      <c r="H549" t="s">
        <v>162</v>
      </c>
      <c r="I549" t="s">
        <v>189</v>
      </c>
    </row>
    <row r="550" spans="1:9">
      <c r="A550" s="50">
        <v>45974</v>
      </c>
      <c r="B550" s="51">
        <v>0.5185069444444445</v>
      </c>
      <c r="C550" t="s">
        <v>165</v>
      </c>
      <c r="D550" t="s">
        <v>40</v>
      </c>
      <c r="E550" t="s">
        <v>288</v>
      </c>
      <c r="F550" t="s">
        <v>374</v>
      </c>
      <c r="G550">
        <v>-15400</v>
      </c>
      <c r="H550" t="s">
        <v>162</v>
      </c>
      <c r="I550" t="s">
        <v>173</v>
      </c>
    </row>
    <row r="551" spans="1:9">
      <c r="A551" s="50">
        <v>45973</v>
      </c>
      <c r="B551" s="51">
        <v>0.7531134259259259</v>
      </c>
      <c r="C551" t="s">
        <v>165</v>
      </c>
      <c r="D551" t="s">
        <v>35</v>
      </c>
      <c r="E551" t="s">
        <v>174</v>
      </c>
      <c r="F551" t="s">
        <v>263</v>
      </c>
      <c r="G551">
        <v>-1000</v>
      </c>
      <c r="H551" t="s">
        <v>162</v>
      </c>
      <c r="I551" t="s">
        <v>176</v>
      </c>
    </row>
    <row r="552" spans="1:9">
      <c r="A552" s="50">
        <v>45973</v>
      </c>
      <c r="B552" s="51">
        <v>0.5997916666666666</v>
      </c>
      <c r="C552" t="s">
        <v>158</v>
      </c>
      <c r="D552" t="s">
        <v>158</v>
      </c>
      <c r="E552" t="s">
        <v>160</v>
      </c>
      <c r="F552" t="s">
        <v>188</v>
      </c>
      <c r="G552">
        <v>2500</v>
      </c>
      <c r="H552" t="s">
        <v>162</v>
      </c>
      <c r="I552" t="s">
        <v>189</v>
      </c>
    </row>
    <row r="553" spans="1:9">
      <c r="A553" s="50">
        <v>45973</v>
      </c>
      <c r="B553" s="51">
        <v>0.5359027777777777</v>
      </c>
      <c r="C553" t="s">
        <v>165</v>
      </c>
      <c r="D553" t="s">
        <v>46</v>
      </c>
      <c r="E553" t="s">
        <v>193</v>
      </c>
      <c r="F553" t="s">
        <v>194</v>
      </c>
      <c r="G553">
        <v>-5000</v>
      </c>
      <c r="H553" t="s">
        <v>162</v>
      </c>
      <c r="I553" t="s">
        <v>184</v>
      </c>
    </row>
    <row r="554" spans="1:9">
      <c r="A554" s="50">
        <v>45972</v>
      </c>
      <c r="B554" s="51">
        <v>0.6109490740740741</v>
      </c>
      <c r="C554" t="s">
        <v>158</v>
      </c>
      <c r="D554" t="s">
        <v>158</v>
      </c>
      <c r="E554" t="s">
        <v>160</v>
      </c>
      <c r="F554" t="s">
        <v>188</v>
      </c>
      <c r="G554">
        <v>2500</v>
      </c>
      <c r="H554" t="s">
        <v>162</v>
      </c>
      <c r="I554" t="s">
        <v>189</v>
      </c>
    </row>
    <row r="555" spans="1:9">
      <c r="A555" s="50">
        <v>45972</v>
      </c>
      <c r="B555" s="51">
        <v>0.5869328703703703</v>
      </c>
      <c r="C555" t="s">
        <v>165</v>
      </c>
      <c r="D555" t="s">
        <v>44</v>
      </c>
      <c r="E555" t="s">
        <v>197</v>
      </c>
      <c r="F555" t="s">
        <v>198</v>
      </c>
      <c r="G555">
        <v>-50000</v>
      </c>
      <c r="H555" t="s">
        <v>162</v>
      </c>
      <c r="I555" t="s">
        <v>173</v>
      </c>
    </row>
    <row r="556" spans="1:9">
      <c r="A556" s="50">
        <v>45972</v>
      </c>
      <c r="B556" s="51">
        <v>0.5198726851851851</v>
      </c>
      <c r="C556" t="s">
        <v>165</v>
      </c>
      <c r="D556" t="s">
        <v>46</v>
      </c>
      <c r="E556" t="s">
        <v>193</v>
      </c>
      <c r="F556" t="s">
        <v>194</v>
      </c>
      <c r="G556">
        <v>-5000</v>
      </c>
      <c r="H556" t="s">
        <v>162</v>
      </c>
      <c r="I556" t="s">
        <v>184</v>
      </c>
    </row>
    <row r="557" spans="1:9">
      <c r="A557" s="50">
        <v>45971</v>
      </c>
      <c r="B557" s="51">
        <v>0.7955092592592593</v>
      </c>
      <c r="C557" t="s">
        <v>165</v>
      </c>
      <c r="D557" t="s">
        <v>40</v>
      </c>
      <c r="E557" t="s">
        <v>475</v>
      </c>
      <c r="F557" t="s">
        <v>476</v>
      </c>
      <c r="G557">
        <v>-21800</v>
      </c>
      <c r="H557" t="s">
        <v>162</v>
      </c>
      <c r="I557" t="s">
        <v>173</v>
      </c>
    </row>
    <row r="558" spans="1:9">
      <c r="A558" s="50">
        <v>45971</v>
      </c>
      <c r="B558" s="51">
        <v>0.5180092592592592</v>
      </c>
      <c r="C558" t="s">
        <v>165</v>
      </c>
      <c r="D558" t="s">
        <v>46</v>
      </c>
      <c r="E558" t="s">
        <v>193</v>
      </c>
      <c r="F558" t="s">
        <v>194</v>
      </c>
      <c r="G558">
        <v>-2500</v>
      </c>
      <c r="H558" t="s">
        <v>162</v>
      </c>
      <c r="I558" t="s">
        <v>184</v>
      </c>
    </row>
    <row r="559" spans="1:9">
      <c r="A559" s="50">
        <v>45969</v>
      </c>
      <c r="B559" s="51">
        <v>0.752824074074074</v>
      </c>
      <c r="C559" t="s">
        <v>165</v>
      </c>
      <c r="D559" t="s">
        <v>40</v>
      </c>
      <c r="E559" t="s">
        <v>292</v>
      </c>
      <c r="F559" t="s">
        <v>477</v>
      </c>
      <c r="G559">
        <v>-19900</v>
      </c>
      <c r="H559" t="s">
        <v>162</v>
      </c>
      <c r="I559" t="s">
        <v>184</v>
      </c>
    </row>
    <row r="560" spans="1:9">
      <c r="A560" s="50">
        <v>45969</v>
      </c>
      <c r="B560" s="51">
        <v>0.6055555555555555</v>
      </c>
      <c r="C560" t="s">
        <v>165</v>
      </c>
      <c r="D560" t="s">
        <v>44</v>
      </c>
      <c r="E560" t="s">
        <v>300</v>
      </c>
      <c r="F560" t="s">
        <v>453</v>
      </c>
      <c r="G560">
        <v>-9750</v>
      </c>
      <c r="H560" t="s">
        <v>162</v>
      </c>
      <c r="I560" t="s">
        <v>173</v>
      </c>
    </row>
    <row r="561" spans="1:9">
      <c r="A561" s="50">
        <v>45969</v>
      </c>
      <c r="B561" s="51">
        <v>0.3902314814814815</v>
      </c>
      <c r="C561" t="s">
        <v>165</v>
      </c>
      <c r="D561" t="s">
        <v>46</v>
      </c>
      <c r="E561" t="s">
        <v>193</v>
      </c>
      <c r="F561" t="s">
        <v>385</v>
      </c>
      <c r="G561">
        <v>-2000</v>
      </c>
      <c r="H561" t="s">
        <v>162</v>
      </c>
      <c r="I561" t="s">
        <v>451</v>
      </c>
    </row>
    <row r="562" spans="1:9">
      <c r="A562" s="50">
        <v>45969</v>
      </c>
      <c r="B562" s="51">
        <v>0.387962962962963</v>
      </c>
      <c r="C562" t="s">
        <v>165</v>
      </c>
      <c r="D562" t="s">
        <v>46</v>
      </c>
      <c r="E562" t="s">
        <v>193</v>
      </c>
      <c r="F562" t="s">
        <v>385</v>
      </c>
      <c r="G562">
        <v>-2000</v>
      </c>
      <c r="H562" t="s">
        <v>162</v>
      </c>
      <c r="I562" t="s">
        <v>451</v>
      </c>
    </row>
    <row r="563" spans="1:9">
      <c r="A563" s="50">
        <v>45968</v>
      </c>
      <c r="B563" s="51">
        <v>0.5815046296296297</v>
      </c>
      <c r="C563" t="s">
        <v>158</v>
      </c>
      <c r="D563" t="s">
        <v>158</v>
      </c>
      <c r="E563" t="s">
        <v>160</v>
      </c>
      <c r="F563" t="s">
        <v>188</v>
      </c>
      <c r="G563">
        <v>2500</v>
      </c>
      <c r="H563" t="s">
        <v>162</v>
      </c>
      <c r="I563" t="s">
        <v>189</v>
      </c>
    </row>
    <row r="564" spans="1:9">
      <c r="A564" s="50">
        <v>45968</v>
      </c>
      <c r="B564" s="51">
        <v>0.5410532407407408</v>
      </c>
      <c r="C564" t="s">
        <v>165</v>
      </c>
      <c r="D564" t="s">
        <v>44</v>
      </c>
      <c r="E564" t="s">
        <v>182</v>
      </c>
      <c r="F564" t="s">
        <v>183</v>
      </c>
      <c r="G564">
        <v>-50000</v>
      </c>
      <c r="H564" t="s">
        <v>162</v>
      </c>
      <c r="I564" t="s">
        <v>184</v>
      </c>
    </row>
    <row r="565" spans="1:9">
      <c r="A565" s="50">
        <v>45968</v>
      </c>
      <c r="B565" s="51">
        <v>0.5159837962962963</v>
      </c>
      <c r="C565" t="s">
        <v>165</v>
      </c>
      <c r="D565" t="s">
        <v>46</v>
      </c>
      <c r="E565" t="s">
        <v>193</v>
      </c>
      <c r="F565" t="s">
        <v>194</v>
      </c>
      <c r="G565">
        <v>-5000</v>
      </c>
      <c r="H565" t="s">
        <v>162</v>
      </c>
      <c r="I565" t="s">
        <v>184</v>
      </c>
    </row>
    <row r="566" spans="1:9">
      <c r="A566" s="50">
        <v>45967</v>
      </c>
      <c r="B566" s="51">
        <v>0.5964583333333333</v>
      </c>
      <c r="C566" t="s">
        <v>158</v>
      </c>
      <c r="D566" t="s">
        <v>158</v>
      </c>
      <c r="E566" t="s">
        <v>160</v>
      </c>
      <c r="F566" t="s">
        <v>188</v>
      </c>
      <c r="G566">
        <v>2500</v>
      </c>
      <c r="H566" t="s">
        <v>162</v>
      </c>
      <c r="I566" t="s">
        <v>189</v>
      </c>
    </row>
    <row r="567" spans="1:9">
      <c r="A567" s="50">
        <v>45967</v>
      </c>
      <c r="B567" s="51">
        <v>0.5163541666666667</v>
      </c>
      <c r="C567" t="s">
        <v>165</v>
      </c>
      <c r="D567" t="s">
        <v>46</v>
      </c>
      <c r="E567" t="s">
        <v>193</v>
      </c>
      <c r="F567" t="s">
        <v>194</v>
      </c>
      <c r="G567">
        <v>-5000</v>
      </c>
      <c r="H567" t="s">
        <v>162</v>
      </c>
      <c r="I567" t="s">
        <v>184</v>
      </c>
    </row>
    <row r="568" spans="1:9">
      <c r="A568" s="50">
        <v>45966</v>
      </c>
      <c r="B568" s="51">
        <v>0.7881828703703704</v>
      </c>
      <c r="C568" t="s">
        <v>165</v>
      </c>
      <c r="D568" t="s">
        <v>38</v>
      </c>
      <c r="E568" t="s">
        <v>166</v>
      </c>
      <c r="F568" t="s">
        <v>478</v>
      </c>
      <c r="G568">
        <v>-40900</v>
      </c>
      <c r="H568" t="s">
        <v>162</v>
      </c>
      <c r="I568" t="s">
        <v>173</v>
      </c>
    </row>
    <row r="569" spans="1:9">
      <c r="A569" s="50">
        <v>45966</v>
      </c>
      <c r="B569" s="51">
        <v>0.5476851851851852</v>
      </c>
      <c r="C569" t="s">
        <v>158</v>
      </c>
      <c r="D569" t="s">
        <v>158</v>
      </c>
      <c r="E569" t="s">
        <v>160</v>
      </c>
      <c r="F569" t="s">
        <v>188</v>
      </c>
      <c r="G569">
        <v>2500</v>
      </c>
      <c r="H569" t="s">
        <v>162</v>
      </c>
      <c r="I569" t="s">
        <v>189</v>
      </c>
    </row>
    <row r="570" spans="1:9">
      <c r="A570" s="50">
        <v>45966</v>
      </c>
      <c r="B570" s="51">
        <v>0.5163194444444444</v>
      </c>
      <c r="C570" t="s">
        <v>165</v>
      </c>
      <c r="D570" t="s">
        <v>46</v>
      </c>
      <c r="E570" t="s">
        <v>193</v>
      </c>
      <c r="F570" t="s">
        <v>194</v>
      </c>
      <c r="G570">
        <v>-5000</v>
      </c>
      <c r="H570" t="s">
        <v>162</v>
      </c>
      <c r="I570" t="s">
        <v>184</v>
      </c>
    </row>
    <row r="571" spans="1:9">
      <c r="A571" s="50">
        <v>45966</v>
      </c>
      <c r="B571" s="51">
        <v>0.3949537037037037</v>
      </c>
      <c r="C571" t="s">
        <v>165</v>
      </c>
      <c r="D571" t="s">
        <v>42</v>
      </c>
      <c r="E571" t="s">
        <v>171</v>
      </c>
      <c r="F571" t="s">
        <v>172</v>
      </c>
      <c r="G571">
        <v>-4000</v>
      </c>
      <c r="H571" t="s">
        <v>162</v>
      </c>
      <c r="I571" t="s">
        <v>173</v>
      </c>
    </row>
    <row r="572" spans="1:9">
      <c r="A572" s="50">
        <v>45965</v>
      </c>
      <c r="B572" s="51">
        <v>0.5608449074074074</v>
      </c>
      <c r="C572" t="s">
        <v>158</v>
      </c>
      <c r="D572" t="s">
        <v>158</v>
      </c>
      <c r="E572" t="s">
        <v>160</v>
      </c>
      <c r="F572" t="s">
        <v>188</v>
      </c>
      <c r="G572">
        <v>2500</v>
      </c>
      <c r="H572" t="s">
        <v>162</v>
      </c>
      <c r="I572" t="s">
        <v>189</v>
      </c>
    </row>
    <row r="573" spans="1:9">
      <c r="A573" s="50">
        <v>45965</v>
      </c>
      <c r="B573" s="51">
        <v>0.5167708333333333</v>
      </c>
      <c r="C573" t="s">
        <v>165</v>
      </c>
      <c r="D573" t="s">
        <v>46</v>
      </c>
      <c r="E573" t="s">
        <v>193</v>
      </c>
      <c r="F573" t="s">
        <v>194</v>
      </c>
      <c r="G573">
        <v>-5000</v>
      </c>
      <c r="H573" t="s">
        <v>162</v>
      </c>
      <c r="I573" t="s">
        <v>184</v>
      </c>
    </row>
    <row r="574" spans="1:9">
      <c r="A574" s="50">
        <v>45964</v>
      </c>
      <c r="B574" s="51">
        <v>0.6811111111111111</v>
      </c>
      <c r="C574" t="s">
        <v>165</v>
      </c>
      <c r="D574" t="s">
        <v>37</v>
      </c>
      <c r="E574" t="s">
        <v>414</v>
      </c>
      <c r="F574" t="s">
        <v>415</v>
      </c>
      <c r="G574">
        <v>-10000</v>
      </c>
      <c r="H574" t="s">
        <v>162</v>
      </c>
      <c r="I574" t="s">
        <v>176</v>
      </c>
    </row>
    <row r="575" spans="1:9">
      <c r="A575" s="50">
        <v>45964</v>
      </c>
      <c r="B575" s="51">
        <v>0.6224652777777778</v>
      </c>
      <c r="C575" t="s">
        <v>165</v>
      </c>
      <c r="D575" t="s">
        <v>38</v>
      </c>
      <c r="E575" t="s">
        <v>421</v>
      </c>
      <c r="F575" t="s">
        <v>479</v>
      </c>
      <c r="G575">
        <v>-100</v>
      </c>
      <c r="H575" t="s">
        <v>162</v>
      </c>
      <c r="I575" t="s">
        <v>173</v>
      </c>
    </row>
    <row r="576" spans="1:9">
      <c r="A576" s="50">
        <v>45964</v>
      </c>
      <c r="B576" s="51">
        <v>0.6224537037037037</v>
      </c>
      <c r="C576" t="s">
        <v>165</v>
      </c>
      <c r="D576" t="s">
        <v>38</v>
      </c>
      <c r="E576" t="s">
        <v>421</v>
      </c>
      <c r="F576" t="s">
        <v>479</v>
      </c>
      <c r="G576">
        <v>-4040</v>
      </c>
      <c r="H576" t="s">
        <v>162</v>
      </c>
      <c r="I576" t="s">
        <v>173</v>
      </c>
    </row>
    <row r="577" spans="1:9">
      <c r="A577" s="50">
        <v>45962</v>
      </c>
      <c r="B577" s="51">
        <v>0.4300810185185185</v>
      </c>
      <c r="C577" t="s">
        <v>165</v>
      </c>
      <c r="D577" t="s">
        <v>42</v>
      </c>
      <c r="E577" t="s">
        <v>264</v>
      </c>
      <c r="F577" t="s">
        <v>480</v>
      </c>
      <c r="G577">
        <v>-300000</v>
      </c>
      <c r="H577" t="s">
        <v>162</v>
      </c>
      <c r="I577" t="s">
        <v>60</v>
      </c>
    </row>
    <row r="578" spans="1:9">
      <c r="A578" s="50">
        <v>45962</v>
      </c>
      <c r="B578" s="51">
        <v>0.4299421296296296</v>
      </c>
      <c r="C578" t="s">
        <v>165</v>
      </c>
      <c r="D578" t="s">
        <v>46</v>
      </c>
      <c r="E578" t="s">
        <v>193</v>
      </c>
      <c r="F578" t="s">
        <v>385</v>
      </c>
      <c r="G578">
        <v>-100</v>
      </c>
      <c r="H578" t="s">
        <v>162</v>
      </c>
      <c r="I578" t="s">
        <v>173</v>
      </c>
    </row>
    <row r="579" spans="1:9">
      <c r="A579" s="50">
        <v>45962</v>
      </c>
      <c r="B579" s="51">
        <v>0.3778587962962963</v>
      </c>
      <c r="C579" t="s">
        <v>158</v>
      </c>
      <c r="D579" t="s">
        <v>159</v>
      </c>
      <c r="E579" t="s">
        <v>160</v>
      </c>
      <c r="F579" t="s">
        <v>7</v>
      </c>
      <c r="G579">
        <v>300000</v>
      </c>
      <c r="H579" t="s">
        <v>162</v>
      </c>
      <c r="I579" t="s">
        <v>60</v>
      </c>
    </row>
    <row r="580" spans="1:9">
      <c r="A580" s="50">
        <v>45962</v>
      </c>
      <c r="B580" s="51">
        <v>0.3778587962962963</v>
      </c>
      <c r="C580" t="s">
        <v>158</v>
      </c>
      <c r="D580" t="s">
        <v>159</v>
      </c>
      <c r="E580" t="s">
        <v>160</v>
      </c>
      <c r="F580" t="s">
        <v>7</v>
      </c>
      <c r="G580">
        <v>-300000</v>
      </c>
      <c r="H580" t="s">
        <v>162</v>
      </c>
      <c r="I580" t="s">
        <v>57</v>
      </c>
    </row>
    <row r="581" spans="1:9">
      <c r="A581" s="50">
        <v>45961</v>
      </c>
      <c r="B581" s="51">
        <v>0.9506712962962963</v>
      </c>
      <c r="C581" t="s">
        <v>165</v>
      </c>
      <c r="D581" t="s">
        <v>35</v>
      </c>
      <c r="E581" t="s">
        <v>260</v>
      </c>
      <c r="F581" t="s">
        <v>481</v>
      </c>
      <c r="G581">
        <v>-990000</v>
      </c>
      <c r="H581" t="s">
        <v>162</v>
      </c>
      <c r="I581" t="s">
        <v>60</v>
      </c>
    </row>
    <row r="582" spans="1:9">
      <c r="A582" s="50">
        <v>45961</v>
      </c>
      <c r="B582" s="51">
        <v>0.792974537037037</v>
      </c>
      <c r="C582" t="s">
        <v>165</v>
      </c>
      <c r="D582" t="s">
        <v>40</v>
      </c>
      <c r="E582" t="s">
        <v>288</v>
      </c>
      <c r="F582" t="s">
        <v>482</v>
      </c>
      <c r="G582">
        <v>-26000</v>
      </c>
      <c r="H582" t="s">
        <v>162</v>
      </c>
      <c r="I582" t="s">
        <v>173</v>
      </c>
    </row>
    <row r="583" spans="1:9">
      <c r="A583" s="50">
        <v>45961</v>
      </c>
      <c r="B583" s="51">
        <v>0.7705324074074074</v>
      </c>
      <c r="C583" t="s">
        <v>165</v>
      </c>
      <c r="D583" t="s">
        <v>44</v>
      </c>
      <c r="E583" t="s">
        <v>300</v>
      </c>
      <c r="F583" t="s">
        <v>453</v>
      </c>
      <c r="G583">
        <v>-13000</v>
      </c>
      <c r="H583" t="s">
        <v>162</v>
      </c>
      <c r="I583" t="s">
        <v>173</v>
      </c>
    </row>
    <row r="584" spans="1:9">
      <c r="A584" s="50">
        <v>45960</v>
      </c>
      <c r="B584" s="51">
        <v>0.7807986111111112</v>
      </c>
      <c r="C584" t="s">
        <v>165</v>
      </c>
      <c r="D584" t="s">
        <v>46</v>
      </c>
      <c r="E584" t="s">
        <v>245</v>
      </c>
      <c r="F584" t="s">
        <v>246</v>
      </c>
      <c r="G584">
        <v>-80000</v>
      </c>
      <c r="H584" t="s">
        <v>162</v>
      </c>
      <c r="I584" t="s">
        <v>173</v>
      </c>
    </row>
    <row r="585" spans="1:9">
      <c r="A585" s="50">
        <v>45960</v>
      </c>
      <c r="B585" s="51">
        <v>0.5661226851851852</v>
      </c>
      <c r="C585" t="s">
        <v>158</v>
      </c>
      <c r="D585" t="s">
        <v>158</v>
      </c>
      <c r="E585" t="s">
        <v>160</v>
      </c>
      <c r="F585" t="s">
        <v>188</v>
      </c>
      <c r="G585">
        <v>2500</v>
      </c>
      <c r="H585" t="s">
        <v>162</v>
      </c>
      <c r="I585" t="s">
        <v>189</v>
      </c>
    </row>
    <row r="586" spans="1:9">
      <c r="A586" s="50">
        <v>45960</v>
      </c>
      <c r="B586" s="51">
        <v>0.5422569444444445</v>
      </c>
      <c r="C586" t="s">
        <v>165</v>
      </c>
      <c r="D586" t="s">
        <v>44</v>
      </c>
      <c r="E586" t="s">
        <v>182</v>
      </c>
      <c r="F586" t="s">
        <v>183</v>
      </c>
      <c r="G586">
        <v>-60000</v>
      </c>
      <c r="H586" t="s">
        <v>162</v>
      </c>
      <c r="I586" t="s">
        <v>173</v>
      </c>
    </row>
    <row r="587" spans="1:9">
      <c r="A587" s="50">
        <v>45960</v>
      </c>
      <c r="B587" s="51">
        <v>0.5202314814814815</v>
      </c>
      <c r="C587" t="s">
        <v>165</v>
      </c>
      <c r="D587" t="s">
        <v>46</v>
      </c>
      <c r="E587" t="s">
        <v>193</v>
      </c>
      <c r="F587" t="s">
        <v>194</v>
      </c>
      <c r="G587">
        <v>-5000</v>
      </c>
      <c r="H587" t="s">
        <v>162</v>
      </c>
      <c r="I587" t="s">
        <v>184</v>
      </c>
    </row>
    <row r="588" spans="1:9">
      <c r="A588" s="50">
        <v>45959</v>
      </c>
      <c r="B588" s="51">
        <v>0.3492708333333333</v>
      </c>
      <c r="C588" t="s">
        <v>165</v>
      </c>
      <c r="D588" t="s">
        <v>42</v>
      </c>
      <c r="E588" t="s">
        <v>264</v>
      </c>
      <c r="F588" t="s">
        <v>432</v>
      </c>
      <c r="G588">
        <v>-73800</v>
      </c>
      <c r="H588" t="s">
        <v>162</v>
      </c>
      <c r="I588" t="s">
        <v>240</v>
      </c>
    </row>
    <row r="589" spans="1:9">
      <c r="A589" s="50">
        <v>45959</v>
      </c>
      <c r="B589" s="51">
        <v>0.3476851851851852</v>
      </c>
      <c r="C589" t="s">
        <v>165</v>
      </c>
      <c r="D589" t="s">
        <v>47</v>
      </c>
      <c r="E589" t="s">
        <v>308</v>
      </c>
      <c r="F589" t="s">
        <v>483</v>
      </c>
      <c r="G589">
        <v>-82880</v>
      </c>
      <c r="H589" t="s">
        <v>162</v>
      </c>
      <c r="I589" t="s">
        <v>173</v>
      </c>
    </row>
    <row r="590" spans="1:9">
      <c r="A590" s="50">
        <v>45958</v>
      </c>
      <c r="B590" s="51">
        <v>0.4636574074074074</v>
      </c>
      <c r="C590" t="s">
        <v>158</v>
      </c>
      <c r="D590" t="s">
        <v>158</v>
      </c>
      <c r="E590" t="s">
        <v>160</v>
      </c>
      <c r="F590" t="s">
        <v>318</v>
      </c>
      <c r="G590">
        <v>2500</v>
      </c>
      <c r="H590" t="s">
        <v>162</v>
      </c>
      <c r="I590" t="s">
        <v>189</v>
      </c>
    </row>
    <row r="591" spans="1:9">
      <c r="A591" s="50">
        <v>45958</v>
      </c>
      <c r="B591" s="51">
        <v>0.4264236111111111</v>
      </c>
      <c r="C591" t="s">
        <v>158</v>
      </c>
      <c r="D591" t="s">
        <v>158</v>
      </c>
      <c r="E591" t="s">
        <v>160</v>
      </c>
      <c r="F591" t="s">
        <v>188</v>
      </c>
      <c r="G591">
        <v>2500</v>
      </c>
      <c r="H591" t="s">
        <v>162</v>
      </c>
      <c r="I591" t="s">
        <v>189</v>
      </c>
    </row>
    <row r="592" spans="1:9">
      <c r="A592" s="50">
        <v>45957</v>
      </c>
      <c r="B592" s="51">
        <v>0.8776273148148148</v>
      </c>
      <c r="C592" t="s">
        <v>158</v>
      </c>
      <c r="D592" t="s">
        <v>159</v>
      </c>
      <c r="E592" t="s">
        <v>160</v>
      </c>
      <c r="F592" t="s">
        <v>210</v>
      </c>
      <c r="G592">
        <v>300000</v>
      </c>
      <c r="H592" t="s">
        <v>162</v>
      </c>
      <c r="I592" t="s">
        <v>367</v>
      </c>
    </row>
    <row r="593" spans="1:9">
      <c r="A593" s="50">
        <v>45957</v>
      </c>
      <c r="B593" s="51">
        <v>0.8776273148148148</v>
      </c>
      <c r="C593" t="s">
        <v>158</v>
      </c>
      <c r="D593" t="s">
        <v>159</v>
      </c>
      <c r="E593" t="s">
        <v>160</v>
      </c>
      <c r="F593" t="s">
        <v>484</v>
      </c>
      <c r="G593">
        <v>-300000</v>
      </c>
      <c r="H593" t="s">
        <v>162</v>
      </c>
      <c r="I593" t="s">
        <v>57</v>
      </c>
    </row>
    <row r="594" spans="1:9">
      <c r="A594" s="50">
        <v>45957</v>
      </c>
      <c r="B594" s="51">
        <v>0.7645833333333333</v>
      </c>
      <c r="C594" t="s">
        <v>165</v>
      </c>
      <c r="D594" t="s">
        <v>45</v>
      </c>
      <c r="E594" t="s">
        <v>224</v>
      </c>
      <c r="F594" t="s">
        <v>225</v>
      </c>
      <c r="G594">
        <v>-225460</v>
      </c>
      <c r="H594" t="s">
        <v>162</v>
      </c>
      <c r="I594" t="s">
        <v>173</v>
      </c>
    </row>
    <row r="595" spans="1:9">
      <c r="A595" s="50">
        <v>45957</v>
      </c>
      <c r="B595" s="51">
        <v>0.7271759259259259</v>
      </c>
      <c r="C595" t="s">
        <v>158</v>
      </c>
      <c r="D595" t="s">
        <v>216</v>
      </c>
      <c r="E595" t="s">
        <v>160</v>
      </c>
      <c r="F595" t="s">
        <v>217</v>
      </c>
      <c r="G595">
        <v>-541549</v>
      </c>
      <c r="H595" t="s">
        <v>162</v>
      </c>
      <c r="I595" t="s">
        <v>60</v>
      </c>
    </row>
    <row r="596" spans="1:9">
      <c r="A596" s="50">
        <v>45957</v>
      </c>
      <c r="B596" s="51">
        <v>0.7061921296296296</v>
      </c>
      <c r="C596" t="s">
        <v>158</v>
      </c>
      <c r="D596" t="s">
        <v>158</v>
      </c>
      <c r="E596" t="s">
        <v>160</v>
      </c>
      <c r="F596" t="s">
        <v>215</v>
      </c>
      <c r="G596">
        <v>-17800</v>
      </c>
      <c r="H596" t="s">
        <v>162</v>
      </c>
      <c r="I596" t="s">
        <v>60</v>
      </c>
    </row>
    <row r="597" spans="1:9">
      <c r="A597" s="50">
        <v>45957</v>
      </c>
      <c r="B597" s="51">
        <v>0.5193865740740741</v>
      </c>
      <c r="C597" t="s">
        <v>165</v>
      </c>
      <c r="D597" t="s">
        <v>46</v>
      </c>
      <c r="E597" t="s">
        <v>193</v>
      </c>
      <c r="F597" t="s">
        <v>194</v>
      </c>
      <c r="G597">
        <v>-7500</v>
      </c>
      <c r="H597" t="s">
        <v>162</v>
      </c>
      <c r="I597" t="s">
        <v>184</v>
      </c>
    </row>
    <row r="598" spans="1:9">
      <c r="A598" s="50">
        <v>45957</v>
      </c>
      <c r="B598" s="51">
        <v>0.4628356481481481</v>
      </c>
      <c r="C598" t="s">
        <v>158</v>
      </c>
      <c r="D598" t="s">
        <v>159</v>
      </c>
      <c r="E598" t="s">
        <v>160</v>
      </c>
      <c r="F598" t="s">
        <v>209</v>
      </c>
      <c r="G598">
        <v>-100000</v>
      </c>
      <c r="H598" t="s">
        <v>162</v>
      </c>
      <c r="I598" t="s">
        <v>60</v>
      </c>
    </row>
    <row r="599" spans="1:9">
      <c r="A599" s="50">
        <v>45957</v>
      </c>
      <c r="B599" s="51">
        <v>0.146875</v>
      </c>
      <c r="C599" t="s">
        <v>158</v>
      </c>
      <c r="D599" t="s">
        <v>159</v>
      </c>
      <c r="E599" t="s">
        <v>160</v>
      </c>
      <c r="F599" t="s">
        <v>485</v>
      </c>
      <c r="G599">
        <v>-500000</v>
      </c>
      <c r="H599" t="s">
        <v>162</v>
      </c>
      <c r="I599" t="s">
        <v>60</v>
      </c>
    </row>
    <row r="600" spans="1:9">
      <c r="A600" s="50">
        <v>45957</v>
      </c>
      <c r="B600" s="51">
        <v>0.146875</v>
      </c>
      <c r="C600" t="s">
        <v>158</v>
      </c>
      <c r="D600" t="s">
        <v>159</v>
      </c>
      <c r="E600" t="s">
        <v>160</v>
      </c>
      <c r="F600" t="s">
        <v>210</v>
      </c>
      <c r="G600">
        <v>500000</v>
      </c>
      <c r="H600" t="s">
        <v>162</v>
      </c>
      <c r="I600" t="s">
        <v>447</v>
      </c>
    </row>
    <row r="601" spans="1:9">
      <c r="A601" s="50">
        <v>45957</v>
      </c>
      <c r="B601" s="51">
        <v>0.1454398148148148</v>
      </c>
      <c r="C601" t="s">
        <v>158</v>
      </c>
      <c r="D601" t="s">
        <v>159</v>
      </c>
      <c r="E601" t="s">
        <v>160</v>
      </c>
      <c r="F601" t="s">
        <v>486</v>
      </c>
      <c r="G601">
        <v>-100000</v>
      </c>
      <c r="H601" t="s">
        <v>162</v>
      </c>
      <c r="I601" t="s">
        <v>60</v>
      </c>
    </row>
    <row r="602" spans="1:9">
      <c r="A602" s="50">
        <v>45957</v>
      </c>
      <c r="B602" s="51">
        <v>0.1454398148148148</v>
      </c>
      <c r="C602" t="s">
        <v>158</v>
      </c>
      <c r="D602" t="s">
        <v>159</v>
      </c>
      <c r="E602" t="s">
        <v>160</v>
      </c>
      <c r="F602" t="s">
        <v>210</v>
      </c>
      <c r="G602">
        <v>100000</v>
      </c>
      <c r="H602" t="s">
        <v>162</v>
      </c>
      <c r="I602" t="s">
        <v>443</v>
      </c>
    </row>
    <row r="603" spans="1:9">
      <c r="A603" s="50">
        <v>45957</v>
      </c>
      <c r="B603" s="51">
        <v>0.1289583333333333</v>
      </c>
      <c r="C603" t="s">
        <v>165</v>
      </c>
      <c r="D603" t="s">
        <v>35</v>
      </c>
      <c r="E603" t="s">
        <v>218</v>
      </c>
      <c r="F603" t="s">
        <v>219</v>
      </c>
      <c r="G603">
        <v>-36120</v>
      </c>
      <c r="H603" t="s">
        <v>162</v>
      </c>
      <c r="I603" t="s">
        <v>60</v>
      </c>
    </row>
    <row r="604" spans="1:9">
      <c r="A604" s="50">
        <v>45955</v>
      </c>
      <c r="B604" s="51">
        <v>0.2625</v>
      </c>
      <c r="C604" t="s">
        <v>207</v>
      </c>
      <c r="D604" t="s">
        <v>28</v>
      </c>
      <c r="E604" t="s">
        <v>160</v>
      </c>
      <c r="F604" t="s">
        <v>211</v>
      </c>
      <c r="G604">
        <v>0</v>
      </c>
      <c r="H604" t="s">
        <v>162</v>
      </c>
      <c r="I604" t="s">
        <v>58</v>
      </c>
    </row>
    <row r="605" spans="1:9">
      <c r="A605" s="50">
        <v>45954</v>
      </c>
      <c r="B605" s="51">
        <v>0.8737615740740741</v>
      </c>
      <c r="C605" t="s">
        <v>165</v>
      </c>
      <c r="D605" t="s">
        <v>36</v>
      </c>
      <c r="E605" t="s">
        <v>454</v>
      </c>
      <c r="F605" t="s">
        <v>455</v>
      </c>
      <c r="G605">
        <v>-1000</v>
      </c>
      <c r="H605" t="s">
        <v>162</v>
      </c>
      <c r="I605" t="s">
        <v>173</v>
      </c>
    </row>
    <row r="606" spans="1:9">
      <c r="A606" s="50">
        <v>45954</v>
      </c>
      <c r="B606" s="51">
        <v>0.8726273148148148</v>
      </c>
      <c r="C606" t="s">
        <v>165</v>
      </c>
      <c r="D606" t="s">
        <v>36</v>
      </c>
      <c r="E606" t="s">
        <v>346</v>
      </c>
      <c r="F606" t="s">
        <v>347</v>
      </c>
      <c r="G606">
        <v>-5000</v>
      </c>
      <c r="H606" t="s">
        <v>162</v>
      </c>
      <c r="I606" t="s">
        <v>173</v>
      </c>
    </row>
    <row r="607" spans="1:9">
      <c r="A607" s="50">
        <v>45954</v>
      </c>
      <c r="B607" s="51">
        <v>0.6119212962962963</v>
      </c>
      <c r="C607" t="s">
        <v>165</v>
      </c>
      <c r="D607" t="s">
        <v>35</v>
      </c>
      <c r="E607" t="s">
        <v>221</v>
      </c>
      <c r="F607" t="s">
        <v>222</v>
      </c>
      <c r="G607">
        <v>-3000000</v>
      </c>
      <c r="H607" t="s">
        <v>162</v>
      </c>
      <c r="I607" t="s">
        <v>60</v>
      </c>
    </row>
    <row r="608" spans="1:9">
      <c r="A608" s="50">
        <v>45954</v>
      </c>
      <c r="B608" s="51">
        <v>0.3820833333333333</v>
      </c>
      <c r="C608" t="s">
        <v>207</v>
      </c>
      <c r="D608" t="s">
        <v>29</v>
      </c>
      <c r="E608" t="s">
        <v>160</v>
      </c>
      <c r="F608" t="s">
        <v>325</v>
      </c>
      <c r="G608">
        <v>4316710</v>
      </c>
      <c r="H608" t="s">
        <v>162</v>
      </c>
      <c r="I608" t="s">
        <v>60</v>
      </c>
    </row>
    <row r="609" spans="1:9">
      <c r="A609" s="50">
        <v>45953</v>
      </c>
      <c r="B609" s="51">
        <v>0.5560416666666667</v>
      </c>
      <c r="C609" t="s">
        <v>158</v>
      </c>
      <c r="D609" t="s">
        <v>158</v>
      </c>
      <c r="E609" t="s">
        <v>160</v>
      </c>
      <c r="F609" t="s">
        <v>188</v>
      </c>
      <c r="G609">
        <v>2500</v>
      </c>
      <c r="H609" t="s">
        <v>162</v>
      </c>
      <c r="I609" t="s">
        <v>189</v>
      </c>
    </row>
    <row r="610" spans="1:9">
      <c r="A610" s="50">
        <v>45953</v>
      </c>
      <c r="B610" s="51">
        <v>0.5183680555555555</v>
      </c>
      <c r="C610" t="s">
        <v>165</v>
      </c>
      <c r="D610" t="s">
        <v>46</v>
      </c>
      <c r="E610" t="s">
        <v>193</v>
      </c>
      <c r="F610" t="s">
        <v>194</v>
      </c>
      <c r="G610">
        <v>-7500</v>
      </c>
      <c r="H610" t="s">
        <v>162</v>
      </c>
      <c r="I610" t="s">
        <v>184</v>
      </c>
    </row>
    <row r="611" spans="1:9">
      <c r="A611" s="50">
        <v>45952</v>
      </c>
      <c r="B611" s="51">
        <v>0.6468171296296297</v>
      </c>
      <c r="C611" t="s">
        <v>165</v>
      </c>
      <c r="D611" t="s">
        <v>40</v>
      </c>
      <c r="E611" t="s">
        <v>290</v>
      </c>
      <c r="F611" t="s">
        <v>291</v>
      </c>
      <c r="G611">
        <v>-3900</v>
      </c>
      <c r="H611" t="s">
        <v>162</v>
      </c>
      <c r="I611" t="s">
        <v>451</v>
      </c>
    </row>
    <row r="612" spans="1:9">
      <c r="A612" s="50">
        <v>45951</v>
      </c>
      <c r="B612" s="51">
        <v>0.6763425925925926</v>
      </c>
      <c r="C612" t="s">
        <v>158</v>
      </c>
      <c r="D612" t="s">
        <v>158</v>
      </c>
      <c r="E612" t="s">
        <v>160</v>
      </c>
      <c r="F612" t="s">
        <v>318</v>
      </c>
      <c r="G612">
        <v>2500</v>
      </c>
      <c r="H612" t="s">
        <v>162</v>
      </c>
      <c r="I612" t="s">
        <v>189</v>
      </c>
    </row>
    <row r="613" spans="1:9">
      <c r="A613" s="50">
        <v>45951</v>
      </c>
      <c r="B613" s="51">
        <v>0.5189236111111111</v>
      </c>
      <c r="C613" t="s">
        <v>165</v>
      </c>
      <c r="D613" t="s">
        <v>46</v>
      </c>
      <c r="E613" t="s">
        <v>193</v>
      </c>
      <c r="F613" t="s">
        <v>194</v>
      </c>
      <c r="G613">
        <v>-5000</v>
      </c>
      <c r="H613" t="s">
        <v>162</v>
      </c>
      <c r="I613" t="s">
        <v>184</v>
      </c>
    </row>
    <row r="614" spans="1:9">
      <c r="A614" s="50">
        <v>45951</v>
      </c>
      <c r="B614" s="51">
        <v>0.470162037037037</v>
      </c>
      <c r="C614" t="s">
        <v>165</v>
      </c>
      <c r="D614" t="s">
        <v>45</v>
      </c>
      <c r="E614" t="s">
        <v>227</v>
      </c>
      <c r="F614" t="s">
        <v>228</v>
      </c>
      <c r="G614">
        <v>-40490</v>
      </c>
      <c r="H614" t="s">
        <v>162</v>
      </c>
      <c r="I614" t="s">
        <v>451</v>
      </c>
    </row>
    <row r="615" spans="1:9">
      <c r="A615" s="50">
        <v>45951</v>
      </c>
      <c r="B615" s="51">
        <v>0.1430439814814815</v>
      </c>
      <c r="C615" t="s">
        <v>165</v>
      </c>
      <c r="D615" t="s">
        <v>44</v>
      </c>
      <c r="E615" t="s">
        <v>363</v>
      </c>
      <c r="F615" t="s">
        <v>487</v>
      </c>
      <c r="G615">
        <v>-35950</v>
      </c>
      <c r="H615" t="s">
        <v>162</v>
      </c>
      <c r="I615" t="s">
        <v>60</v>
      </c>
    </row>
    <row r="616" spans="1:9">
      <c r="A616" s="50">
        <v>45951</v>
      </c>
      <c r="B616" s="51">
        <v>0.0383449074074074</v>
      </c>
      <c r="C616" t="s">
        <v>165</v>
      </c>
      <c r="D616" t="s">
        <v>34</v>
      </c>
      <c r="E616" t="s">
        <v>177</v>
      </c>
      <c r="F616" t="s">
        <v>472</v>
      </c>
      <c r="G616">
        <v>-75200</v>
      </c>
      <c r="H616" t="s">
        <v>162</v>
      </c>
      <c r="I616" t="s">
        <v>176</v>
      </c>
    </row>
    <row r="617" spans="1:9">
      <c r="A617" s="50">
        <v>45951</v>
      </c>
      <c r="B617" s="51">
        <v>0.03833333333333333</v>
      </c>
      <c r="C617" t="s">
        <v>165</v>
      </c>
      <c r="D617" t="s">
        <v>34</v>
      </c>
      <c r="E617" t="s">
        <v>177</v>
      </c>
      <c r="F617" t="s">
        <v>472</v>
      </c>
      <c r="G617">
        <v>-74400</v>
      </c>
      <c r="H617" t="s">
        <v>162</v>
      </c>
      <c r="I617" t="s">
        <v>176</v>
      </c>
    </row>
    <row r="618" spans="1:9">
      <c r="A618" s="50">
        <v>45951</v>
      </c>
      <c r="B618" s="51">
        <v>0.03694444444444445</v>
      </c>
      <c r="C618" t="s">
        <v>165</v>
      </c>
      <c r="D618" t="s">
        <v>34</v>
      </c>
      <c r="E618" t="s">
        <v>177</v>
      </c>
      <c r="F618" t="s">
        <v>488</v>
      </c>
      <c r="G618">
        <v>-74400</v>
      </c>
      <c r="H618" t="s">
        <v>162</v>
      </c>
      <c r="I618" t="s">
        <v>173</v>
      </c>
    </row>
    <row r="619" spans="1:9">
      <c r="A619" s="50">
        <v>45950</v>
      </c>
      <c r="B619" s="51">
        <v>0.7003125</v>
      </c>
      <c r="C619" t="s">
        <v>158</v>
      </c>
      <c r="D619" t="s">
        <v>158</v>
      </c>
      <c r="E619" t="s">
        <v>160</v>
      </c>
      <c r="F619" t="s">
        <v>188</v>
      </c>
      <c r="G619">
        <v>2500</v>
      </c>
      <c r="H619" t="s">
        <v>162</v>
      </c>
      <c r="I619" t="s">
        <v>189</v>
      </c>
    </row>
    <row r="620" spans="1:9">
      <c r="A620" s="50">
        <v>45950</v>
      </c>
      <c r="B620" s="51">
        <v>0.5800810185185186</v>
      </c>
      <c r="C620" t="s">
        <v>158</v>
      </c>
      <c r="D620" t="s">
        <v>159</v>
      </c>
      <c r="E620" t="s">
        <v>160</v>
      </c>
      <c r="F620" t="s">
        <v>489</v>
      </c>
      <c r="G620">
        <v>200</v>
      </c>
      <c r="H620" t="s">
        <v>162</v>
      </c>
      <c r="I620" t="s">
        <v>60</v>
      </c>
    </row>
    <row r="621" spans="1:9">
      <c r="A621" s="50">
        <v>45950</v>
      </c>
      <c r="B621" s="51">
        <v>0.5161689814814815</v>
      </c>
      <c r="C621" t="s">
        <v>165</v>
      </c>
      <c r="D621" t="s">
        <v>46</v>
      </c>
      <c r="E621" t="s">
        <v>193</v>
      </c>
      <c r="F621" t="s">
        <v>194</v>
      </c>
      <c r="G621">
        <v>-5000</v>
      </c>
      <c r="H621" t="s">
        <v>162</v>
      </c>
      <c r="I621" t="s">
        <v>184</v>
      </c>
    </row>
    <row r="622" spans="1:9">
      <c r="A622" s="50">
        <v>45949</v>
      </c>
      <c r="B622" s="51">
        <v>0.7000810185185186</v>
      </c>
      <c r="C622" t="s">
        <v>165</v>
      </c>
      <c r="D622" t="s">
        <v>35</v>
      </c>
      <c r="E622" t="s">
        <v>174</v>
      </c>
      <c r="F622" t="s">
        <v>263</v>
      </c>
      <c r="G622">
        <v>-1000</v>
      </c>
      <c r="H622" t="s">
        <v>162</v>
      </c>
      <c r="I622" t="s">
        <v>176</v>
      </c>
    </row>
    <row r="623" spans="1:9">
      <c r="A623" s="50">
        <v>45948</v>
      </c>
      <c r="B623" s="51">
        <v>0.7848726851851852</v>
      </c>
      <c r="C623" t="s">
        <v>165</v>
      </c>
      <c r="D623" t="s">
        <v>38</v>
      </c>
      <c r="E623" t="s">
        <v>166</v>
      </c>
      <c r="F623" t="s">
        <v>490</v>
      </c>
      <c r="G623">
        <v>-900</v>
      </c>
      <c r="H623" t="s">
        <v>162</v>
      </c>
      <c r="I623" t="s">
        <v>184</v>
      </c>
    </row>
    <row r="624" spans="1:9">
      <c r="A624" s="50">
        <v>45948</v>
      </c>
      <c r="B624" s="51">
        <v>0.7737268518518519</v>
      </c>
      <c r="C624" t="s">
        <v>165</v>
      </c>
      <c r="D624" t="s">
        <v>38</v>
      </c>
      <c r="E624" t="s">
        <v>186</v>
      </c>
      <c r="F624" t="s">
        <v>187</v>
      </c>
      <c r="G624">
        <v>-160000</v>
      </c>
      <c r="H624" t="s">
        <v>162</v>
      </c>
      <c r="I624" t="s">
        <v>184</v>
      </c>
    </row>
    <row r="625" spans="1:9">
      <c r="A625" s="50">
        <v>45947</v>
      </c>
      <c r="B625" s="51">
        <v>0.783425925925926</v>
      </c>
      <c r="C625" t="s">
        <v>165</v>
      </c>
      <c r="D625" t="s">
        <v>43</v>
      </c>
      <c r="E625" t="s">
        <v>433</v>
      </c>
      <c r="F625" t="s">
        <v>491</v>
      </c>
      <c r="G625">
        <v>-7600</v>
      </c>
      <c r="H625" t="s">
        <v>162</v>
      </c>
      <c r="I625" t="s">
        <v>184</v>
      </c>
    </row>
    <row r="626" spans="1:9">
      <c r="A626" s="50">
        <v>45947</v>
      </c>
      <c r="B626" s="51">
        <v>0.7827893518518518</v>
      </c>
      <c r="C626" t="s">
        <v>165</v>
      </c>
      <c r="D626" t="s">
        <v>43</v>
      </c>
      <c r="E626" t="s">
        <v>492</v>
      </c>
      <c r="F626" t="s">
        <v>493</v>
      </c>
      <c r="G626">
        <v>-10200</v>
      </c>
      <c r="H626" t="s">
        <v>162</v>
      </c>
      <c r="I626" t="s">
        <v>184</v>
      </c>
    </row>
    <row r="627" spans="1:9">
      <c r="A627" s="50">
        <v>45947</v>
      </c>
      <c r="B627" s="51">
        <v>0.7061689814814814</v>
      </c>
      <c r="C627" t="s">
        <v>207</v>
      </c>
      <c r="D627" t="s">
        <v>30</v>
      </c>
      <c r="E627" t="s">
        <v>160</v>
      </c>
      <c r="F627" t="s">
        <v>494</v>
      </c>
      <c r="G627">
        <v>1</v>
      </c>
      <c r="H627" t="s">
        <v>162</v>
      </c>
      <c r="I627" t="s">
        <v>60</v>
      </c>
    </row>
    <row r="628" spans="1:9">
      <c r="A628" s="50">
        <v>45947</v>
      </c>
      <c r="B628" s="51">
        <v>0.6243402777777778</v>
      </c>
      <c r="C628" t="s">
        <v>165</v>
      </c>
      <c r="D628" t="s">
        <v>35</v>
      </c>
      <c r="E628" t="s">
        <v>231</v>
      </c>
      <c r="F628" t="s">
        <v>232</v>
      </c>
      <c r="G628">
        <v>-2500</v>
      </c>
      <c r="H628" t="s">
        <v>162</v>
      </c>
      <c r="I628" t="s">
        <v>189</v>
      </c>
    </row>
    <row r="629" spans="1:9">
      <c r="A629" s="50">
        <v>45946</v>
      </c>
      <c r="B629" s="51">
        <v>0.9476967592592592</v>
      </c>
      <c r="C629" t="s">
        <v>165</v>
      </c>
      <c r="D629" t="s">
        <v>35</v>
      </c>
      <c r="E629" t="s">
        <v>231</v>
      </c>
      <c r="F629" t="s">
        <v>232</v>
      </c>
      <c r="G629">
        <v>-5000</v>
      </c>
      <c r="H629" t="s">
        <v>162</v>
      </c>
      <c r="I629" t="s">
        <v>189</v>
      </c>
    </row>
    <row r="630" spans="1:9">
      <c r="A630" s="50">
        <v>45946</v>
      </c>
      <c r="B630" s="51">
        <v>0.5392129629629629</v>
      </c>
      <c r="C630" t="s">
        <v>165</v>
      </c>
      <c r="D630" t="s">
        <v>44</v>
      </c>
      <c r="E630" t="s">
        <v>182</v>
      </c>
      <c r="F630" t="s">
        <v>183</v>
      </c>
      <c r="G630">
        <v>-60000</v>
      </c>
      <c r="H630" t="s">
        <v>162</v>
      </c>
      <c r="I630" t="s">
        <v>184</v>
      </c>
    </row>
    <row r="631" spans="1:9">
      <c r="A631" s="50">
        <v>45945</v>
      </c>
      <c r="B631" s="51">
        <v>0.6015046296296296</v>
      </c>
      <c r="C631" t="s">
        <v>158</v>
      </c>
      <c r="D631" t="s">
        <v>256</v>
      </c>
      <c r="E631" t="s">
        <v>160</v>
      </c>
      <c r="F631" t="s">
        <v>495</v>
      </c>
      <c r="G631">
        <v>3000</v>
      </c>
      <c r="H631" t="s">
        <v>162</v>
      </c>
      <c r="I631" t="s">
        <v>60</v>
      </c>
    </row>
    <row r="632" spans="1:9">
      <c r="A632" s="50">
        <v>45945</v>
      </c>
      <c r="B632" s="51">
        <v>0.1343518518518519</v>
      </c>
      <c r="C632" t="s">
        <v>165</v>
      </c>
      <c r="D632" t="s">
        <v>35</v>
      </c>
      <c r="E632" t="s">
        <v>231</v>
      </c>
      <c r="F632" t="s">
        <v>333</v>
      </c>
      <c r="G632">
        <v>-16500</v>
      </c>
      <c r="H632" t="s">
        <v>162</v>
      </c>
      <c r="I632" t="s">
        <v>60</v>
      </c>
    </row>
    <row r="633" spans="1:9">
      <c r="A633" s="50">
        <v>45944</v>
      </c>
      <c r="B633" s="51">
        <v>0.6467476851851852</v>
      </c>
      <c r="C633" t="s">
        <v>158</v>
      </c>
      <c r="D633" t="s">
        <v>158</v>
      </c>
      <c r="E633" t="s">
        <v>160</v>
      </c>
      <c r="F633" t="s">
        <v>191</v>
      </c>
      <c r="G633">
        <v>2500</v>
      </c>
      <c r="H633" t="s">
        <v>162</v>
      </c>
      <c r="I633" t="s">
        <v>189</v>
      </c>
    </row>
    <row r="634" spans="1:9">
      <c r="A634" s="50">
        <v>45944</v>
      </c>
      <c r="B634" s="51">
        <v>0.6467476851851852</v>
      </c>
      <c r="C634" t="s">
        <v>158</v>
      </c>
      <c r="D634" t="s">
        <v>158</v>
      </c>
      <c r="E634" t="s">
        <v>160</v>
      </c>
      <c r="F634" t="s">
        <v>397</v>
      </c>
      <c r="G634">
        <v>2500</v>
      </c>
      <c r="H634" t="s">
        <v>162</v>
      </c>
      <c r="I634" t="s">
        <v>189</v>
      </c>
    </row>
    <row r="635" spans="1:9">
      <c r="A635" s="50">
        <v>45944</v>
      </c>
      <c r="B635" s="51">
        <v>0.6467476851851852</v>
      </c>
      <c r="C635" t="s">
        <v>158</v>
      </c>
      <c r="D635" t="s">
        <v>158</v>
      </c>
      <c r="E635" t="s">
        <v>160</v>
      </c>
      <c r="F635" t="s">
        <v>188</v>
      </c>
      <c r="G635">
        <v>2500</v>
      </c>
      <c r="H635" t="s">
        <v>162</v>
      </c>
      <c r="I635" t="s">
        <v>189</v>
      </c>
    </row>
    <row r="636" spans="1:9">
      <c r="A636" s="50">
        <v>45944</v>
      </c>
      <c r="B636" s="51">
        <v>0.5960763888888889</v>
      </c>
      <c r="C636" t="s">
        <v>158</v>
      </c>
      <c r="D636" t="s">
        <v>158</v>
      </c>
      <c r="E636" t="s">
        <v>160</v>
      </c>
      <c r="F636" t="s">
        <v>233</v>
      </c>
      <c r="G636">
        <v>-10000</v>
      </c>
      <c r="H636" t="s">
        <v>162</v>
      </c>
      <c r="I636" t="s">
        <v>60</v>
      </c>
    </row>
    <row r="637" spans="1:9">
      <c r="A637" s="50">
        <v>45944</v>
      </c>
      <c r="B637" s="51">
        <v>0.5960763888888889</v>
      </c>
      <c r="C637" t="s">
        <v>165</v>
      </c>
      <c r="D637" t="s">
        <v>35</v>
      </c>
      <c r="E637" t="s">
        <v>231</v>
      </c>
      <c r="F637" t="s">
        <v>232</v>
      </c>
      <c r="G637">
        <v>-8000</v>
      </c>
      <c r="H637" t="s">
        <v>162</v>
      </c>
      <c r="I637" t="s">
        <v>189</v>
      </c>
    </row>
    <row r="638" spans="1:9">
      <c r="A638" s="50">
        <v>45944</v>
      </c>
      <c r="B638" s="51">
        <v>0.5960648148148148</v>
      </c>
      <c r="C638" t="s">
        <v>158</v>
      </c>
      <c r="D638" t="s">
        <v>159</v>
      </c>
      <c r="E638" t="s">
        <v>160</v>
      </c>
      <c r="F638" t="s">
        <v>220</v>
      </c>
      <c r="G638">
        <v>10000</v>
      </c>
      <c r="H638" t="s">
        <v>162</v>
      </c>
      <c r="I638" t="s">
        <v>189</v>
      </c>
    </row>
    <row r="639" spans="1:9">
      <c r="A639" s="50">
        <v>45944</v>
      </c>
      <c r="B639" s="51">
        <v>0.5238888888888888</v>
      </c>
      <c r="C639" t="s">
        <v>165</v>
      </c>
      <c r="D639" t="s">
        <v>46</v>
      </c>
      <c r="E639" t="s">
        <v>193</v>
      </c>
      <c r="F639" t="s">
        <v>194</v>
      </c>
      <c r="G639">
        <v>-10000</v>
      </c>
      <c r="H639" t="s">
        <v>162</v>
      </c>
      <c r="I639" t="s">
        <v>184</v>
      </c>
    </row>
    <row r="640" spans="1:9">
      <c r="A640" s="50">
        <v>45943</v>
      </c>
      <c r="B640" s="51">
        <v>0.5723263888888889</v>
      </c>
      <c r="C640" t="s">
        <v>158</v>
      </c>
      <c r="D640" t="s">
        <v>158</v>
      </c>
      <c r="E640" t="s">
        <v>160</v>
      </c>
      <c r="F640" t="s">
        <v>188</v>
      </c>
      <c r="G640">
        <v>2500</v>
      </c>
      <c r="H640" t="s">
        <v>162</v>
      </c>
      <c r="I640" t="s">
        <v>189</v>
      </c>
    </row>
    <row r="641" spans="1:9">
      <c r="A641" s="50">
        <v>45943</v>
      </c>
      <c r="B641" s="51">
        <v>0.5723263888888889</v>
      </c>
      <c r="C641" t="s">
        <v>158</v>
      </c>
      <c r="D641" t="s">
        <v>158</v>
      </c>
      <c r="E641" t="s">
        <v>160</v>
      </c>
      <c r="F641" t="s">
        <v>191</v>
      </c>
      <c r="G641">
        <v>2500</v>
      </c>
      <c r="H641" t="s">
        <v>162</v>
      </c>
      <c r="I641" t="s">
        <v>189</v>
      </c>
    </row>
    <row r="642" spans="1:9">
      <c r="A642" s="50">
        <v>45943</v>
      </c>
      <c r="B642" s="51">
        <v>0.5171180555555556</v>
      </c>
      <c r="C642" t="s">
        <v>165</v>
      </c>
      <c r="D642" t="s">
        <v>46</v>
      </c>
      <c r="E642" t="s">
        <v>193</v>
      </c>
      <c r="F642" t="s">
        <v>194</v>
      </c>
      <c r="G642">
        <v>-7500</v>
      </c>
      <c r="H642" t="s">
        <v>162</v>
      </c>
      <c r="I642" t="s">
        <v>184</v>
      </c>
    </row>
    <row r="643" spans="1:9">
      <c r="A643" s="50">
        <v>45939</v>
      </c>
      <c r="B643" s="51">
        <v>0.843761574074074</v>
      </c>
      <c r="C643" t="s">
        <v>158</v>
      </c>
      <c r="D643" t="s">
        <v>159</v>
      </c>
      <c r="E643" t="s">
        <v>160</v>
      </c>
      <c r="F643" t="s">
        <v>233</v>
      </c>
      <c r="G643">
        <v>-61295</v>
      </c>
      <c r="H643" t="s">
        <v>162</v>
      </c>
      <c r="I643" t="s">
        <v>60</v>
      </c>
    </row>
    <row r="644" spans="1:9">
      <c r="A644" s="50">
        <v>45939</v>
      </c>
      <c r="B644" s="51">
        <v>0.843761574074074</v>
      </c>
      <c r="C644" t="s">
        <v>165</v>
      </c>
      <c r="D644" t="s">
        <v>35</v>
      </c>
      <c r="E644" t="s">
        <v>231</v>
      </c>
      <c r="F644" t="s">
        <v>232</v>
      </c>
      <c r="G644">
        <v>-500000</v>
      </c>
      <c r="H644" t="s">
        <v>162</v>
      </c>
      <c r="I644" t="s">
        <v>189</v>
      </c>
    </row>
    <row r="645" spans="1:9">
      <c r="A645" s="50">
        <v>45939</v>
      </c>
      <c r="B645" s="51">
        <v>0.84375</v>
      </c>
      <c r="C645" t="s">
        <v>158</v>
      </c>
      <c r="D645" t="s">
        <v>159</v>
      </c>
      <c r="E645" t="s">
        <v>160</v>
      </c>
      <c r="F645" t="s">
        <v>220</v>
      </c>
      <c r="G645">
        <v>61295</v>
      </c>
      <c r="H645" t="s">
        <v>162</v>
      </c>
      <c r="I645" t="s">
        <v>189</v>
      </c>
    </row>
    <row r="646" spans="1:9">
      <c r="A646" s="50">
        <v>45939</v>
      </c>
      <c r="B646" s="51">
        <v>0.8428587962962963</v>
      </c>
      <c r="C646" t="s">
        <v>158</v>
      </c>
      <c r="D646" t="s">
        <v>158</v>
      </c>
      <c r="E646" t="s">
        <v>160</v>
      </c>
      <c r="F646" t="s">
        <v>496</v>
      </c>
      <c r="G646">
        <v>200000</v>
      </c>
      <c r="H646" t="s">
        <v>162</v>
      </c>
      <c r="I646" t="s">
        <v>189</v>
      </c>
    </row>
    <row r="647" spans="1:9">
      <c r="A647" s="50">
        <v>45939</v>
      </c>
      <c r="B647" s="51">
        <v>0.8427314814814815</v>
      </c>
      <c r="C647" t="s">
        <v>158</v>
      </c>
      <c r="D647" t="s">
        <v>158</v>
      </c>
      <c r="E647" t="s">
        <v>160</v>
      </c>
      <c r="F647" t="s">
        <v>352</v>
      </c>
      <c r="G647">
        <v>230000</v>
      </c>
      <c r="H647" t="s">
        <v>162</v>
      </c>
      <c r="I647" t="s">
        <v>189</v>
      </c>
    </row>
    <row r="648" spans="1:9">
      <c r="A648" s="50">
        <v>45939</v>
      </c>
      <c r="B648" s="51">
        <v>0.5350925925925926</v>
      </c>
      <c r="C648" t="s">
        <v>165</v>
      </c>
      <c r="D648" t="s">
        <v>46</v>
      </c>
      <c r="E648" t="s">
        <v>245</v>
      </c>
      <c r="F648" t="s">
        <v>497</v>
      </c>
      <c r="G648">
        <v>-19000</v>
      </c>
      <c r="H648" t="s">
        <v>162</v>
      </c>
      <c r="I648" t="s">
        <v>173</v>
      </c>
    </row>
    <row r="649" spans="1:9">
      <c r="A649" s="50">
        <v>45939</v>
      </c>
      <c r="B649" s="51">
        <v>0.5287152777777778</v>
      </c>
      <c r="C649" t="s">
        <v>165</v>
      </c>
      <c r="D649" t="s">
        <v>46</v>
      </c>
      <c r="E649" t="s">
        <v>245</v>
      </c>
      <c r="F649" t="s">
        <v>497</v>
      </c>
      <c r="G649">
        <v>-2000</v>
      </c>
      <c r="H649" t="s">
        <v>162</v>
      </c>
      <c r="I649" t="s">
        <v>173</v>
      </c>
    </row>
    <row r="650" spans="1:9">
      <c r="A650" s="50">
        <v>45938</v>
      </c>
      <c r="B650" s="51">
        <v>0.4911574074074074</v>
      </c>
      <c r="C650" t="s">
        <v>165</v>
      </c>
      <c r="D650" t="s">
        <v>41</v>
      </c>
      <c r="E650" t="s">
        <v>360</v>
      </c>
      <c r="F650" t="s">
        <v>498</v>
      </c>
      <c r="G650">
        <v>-25000</v>
      </c>
      <c r="H650" t="s">
        <v>162</v>
      </c>
      <c r="I650" t="s">
        <v>173</v>
      </c>
    </row>
    <row r="651" spans="1:9">
      <c r="A651" s="50">
        <v>45938</v>
      </c>
      <c r="B651" s="51">
        <v>0.4741782407407407</v>
      </c>
      <c r="C651" t="s">
        <v>165</v>
      </c>
      <c r="D651" t="s">
        <v>41</v>
      </c>
      <c r="E651" t="s">
        <v>360</v>
      </c>
      <c r="F651" t="s">
        <v>498</v>
      </c>
      <c r="G651">
        <v>-13000</v>
      </c>
      <c r="H651" t="s">
        <v>162</v>
      </c>
      <c r="I651" t="s">
        <v>173</v>
      </c>
    </row>
    <row r="652" spans="1:9">
      <c r="A652" s="50">
        <v>45937</v>
      </c>
      <c r="B652" s="51">
        <v>0.8301041666666666</v>
      </c>
      <c r="C652" t="s">
        <v>165</v>
      </c>
      <c r="D652" t="s">
        <v>34</v>
      </c>
      <c r="E652" t="s">
        <v>213</v>
      </c>
      <c r="F652" t="s">
        <v>499</v>
      </c>
      <c r="G652">
        <v>-6400</v>
      </c>
      <c r="H652" t="s">
        <v>162</v>
      </c>
      <c r="I652" t="s">
        <v>173</v>
      </c>
    </row>
    <row r="653" spans="1:9">
      <c r="A653" s="50">
        <v>45937</v>
      </c>
      <c r="B653" s="51">
        <v>0.7185532407407408</v>
      </c>
      <c r="C653" t="s">
        <v>165</v>
      </c>
      <c r="D653" t="s">
        <v>36</v>
      </c>
      <c r="E653" t="s">
        <v>500</v>
      </c>
      <c r="F653" t="s">
        <v>501</v>
      </c>
      <c r="G653">
        <v>192000</v>
      </c>
      <c r="H653" t="s">
        <v>162</v>
      </c>
      <c r="I653" t="s">
        <v>176</v>
      </c>
    </row>
    <row r="654" spans="1:9">
      <c r="A654" s="50">
        <v>45937</v>
      </c>
      <c r="B654" s="51">
        <v>0.5479050925925926</v>
      </c>
      <c r="C654" t="s">
        <v>165</v>
      </c>
      <c r="D654" t="s">
        <v>44</v>
      </c>
      <c r="E654" t="s">
        <v>182</v>
      </c>
      <c r="F654" t="s">
        <v>502</v>
      </c>
      <c r="G654">
        <v>-40000</v>
      </c>
      <c r="H654" t="s">
        <v>162</v>
      </c>
      <c r="I654" t="s">
        <v>173</v>
      </c>
    </row>
    <row r="655" spans="1:9">
      <c r="A655" s="50">
        <v>45937</v>
      </c>
      <c r="B655" s="51">
        <v>0.07512731481481481</v>
      </c>
      <c r="C655" t="s">
        <v>165</v>
      </c>
      <c r="D655" t="s">
        <v>36</v>
      </c>
      <c r="E655" t="s">
        <v>500</v>
      </c>
      <c r="F655" t="s">
        <v>501</v>
      </c>
      <c r="G655">
        <v>-192000</v>
      </c>
      <c r="H655" t="s">
        <v>162</v>
      </c>
      <c r="I655" t="s">
        <v>176</v>
      </c>
    </row>
    <row r="656" spans="1:9">
      <c r="A656" s="50">
        <v>45934</v>
      </c>
      <c r="B656" s="51">
        <v>0.7722106481481481</v>
      </c>
      <c r="C656" t="s">
        <v>165</v>
      </c>
      <c r="D656" t="s">
        <v>45</v>
      </c>
      <c r="E656" t="s">
        <v>227</v>
      </c>
      <c r="F656" t="s">
        <v>503</v>
      </c>
      <c r="G656">
        <v>-200000</v>
      </c>
      <c r="H656" t="s">
        <v>162</v>
      </c>
      <c r="I656" t="s">
        <v>60</v>
      </c>
    </row>
    <row r="657" spans="1:9">
      <c r="A657" s="50">
        <v>45934</v>
      </c>
      <c r="B657" s="51">
        <v>0.7561226851851852</v>
      </c>
      <c r="C657" t="s">
        <v>165</v>
      </c>
      <c r="D657" t="s">
        <v>44</v>
      </c>
      <c r="E657" t="s">
        <v>182</v>
      </c>
      <c r="F657" t="s">
        <v>504</v>
      </c>
      <c r="G657">
        <v>-60000</v>
      </c>
      <c r="H657" t="s">
        <v>162</v>
      </c>
      <c r="I657" t="s">
        <v>173</v>
      </c>
    </row>
    <row r="658" spans="1:9">
      <c r="A658" s="50">
        <v>45934</v>
      </c>
      <c r="B658" s="51">
        <v>0.7507060185185185</v>
      </c>
      <c r="C658" t="s">
        <v>165</v>
      </c>
      <c r="D658" t="s">
        <v>38</v>
      </c>
      <c r="E658" t="s">
        <v>186</v>
      </c>
      <c r="F658" t="s">
        <v>187</v>
      </c>
      <c r="G658">
        <v>-80000</v>
      </c>
      <c r="H658" t="s">
        <v>162</v>
      </c>
      <c r="I658" t="s">
        <v>184</v>
      </c>
    </row>
    <row r="659" spans="1:9">
      <c r="A659" s="50">
        <v>45932</v>
      </c>
      <c r="B659" s="51">
        <v>0.599212962962963</v>
      </c>
      <c r="C659" t="s">
        <v>158</v>
      </c>
      <c r="D659" t="s">
        <v>158</v>
      </c>
      <c r="E659" t="s">
        <v>160</v>
      </c>
      <c r="F659" t="s">
        <v>188</v>
      </c>
      <c r="G659">
        <v>2500</v>
      </c>
      <c r="H659" t="s">
        <v>162</v>
      </c>
      <c r="I659" t="s">
        <v>189</v>
      </c>
    </row>
    <row r="660" spans="1:9">
      <c r="A660" s="50">
        <v>45932</v>
      </c>
      <c r="B660" s="51">
        <v>0.5165740740740741</v>
      </c>
      <c r="C660" t="s">
        <v>165</v>
      </c>
      <c r="D660" t="s">
        <v>46</v>
      </c>
      <c r="E660" t="s">
        <v>193</v>
      </c>
      <c r="F660" t="s">
        <v>194</v>
      </c>
      <c r="G660">
        <v>-5000</v>
      </c>
      <c r="H660" t="s">
        <v>162</v>
      </c>
      <c r="I660" t="s">
        <v>184</v>
      </c>
    </row>
    <row r="661" spans="1:9">
      <c r="A661" s="50">
        <v>45931</v>
      </c>
      <c r="B661" s="51">
        <v>0.5170138888888889</v>
      </c>
      <c r="C661" t="s">
        <v>165</v>
      </c>
      <c r="D661" t="s">
        <v>46</v>
      </c>
      <c r="E661" t="s">
        <v>193</v>
      </c>
      <c r="F661" t="s">
        <v>194</v>
      </c>
      <c r="G661">
        <v>-10000</v>
      </c>
      <c r="H661" t="s">
        <v>162</v>
      </c>
      <c r="I661" t="s">
        <v>184</v>
      </c>
    </row>
    <row r="662" spans="1:9">
      <c r="A662" s="50">
        <v>45931</v>
      </c>
      <c r="B662" s="51">
        <v>0.4479166666666667</v>
      </c>
      <c r="C662" t="s">
        <v>165</v>
      </c>
      <c r="D662" t="s">
        <v>42</v>
      </c>
      <c r="E662" t="s">
        <v>264</v>
      </c>
      <c r="F662" t="s">
        <v>480</v>
      </c>
      <c r="G662">
        <v>-300000</v>
      </c>
      <c r="H662" t="s">
        <v>162</v>
      </c>
      <c r="I662" t="s">
        <v>60</v>
      </c>
    </row>
    <row r="663" spans="1:9">
      <c r="A663" s="50">
        <v>45930</v>
      </c>
      <c r="B663" s="51">
        <v>0</v>
      </c>
      <c r="C663" t="s">
        <v>165</v>
      </c>
      <c r="D663" t="s">
        <v>34</v>
      </c>
      <c r="E663" t="s">
        <v>404</v>
      </c>
      <c r="F663" t="s">
        <v>505</v>
      </c>
      <c r="G663">
        <v>-3000</v>
      </c>
      <c r="H663" t="s">
        <v>162</v>
      </c>
      <c r="I663" t="s">
        <v>173</v>
      </c>
    </row>
    <row r="664" spans="1:9">
      <c r="A664" s="50">
        <v>45930</v>
      </c>
      <c r="B664" s="51">
        <v>0</v>
      </c>
      <c r="C664" t="s">
        <v>165</v>
      </c>
      <c r="D664" t="s">
        <v>34</v>
      </c>
      <c r="E664" t="s">
        <v>404</v>
      </c>
      <c r="F664" t="s">
        <v>506</v>
      </c>
      <c r="G664">
        <v>-3100</v>
      </c>
      <c r="H664" t="s">
        <v>162</v>
      </c>
      <c r="I664" t="s">
        <v>173</v>
      </c>
    </row>
    <row r="665" spans="1:9">
      <c r="A665" s="50">
        <v>45929</v>
      </c>
      <c r="B665" s="51">
        <v>0.6406944444444445</v>
      </c>
      <c r="C665" t="s">
        <v>158</v>
      </c>
      <c r="D665" t="s">
        <v>158</v>
      </c>
      <c r="E665" t="s">
        <v>160</v>
      </c>
      <c r="F665" t="s">
        <v>188</v>
      </c>
      <c r="G665">
        <v>2500</v>
      </c>
      <c r="H665" t="s">
        <v>162</v>
      </c>
      <c r="I665" t="s">
        <v>189</v>
      </c>
    </row>
    <row r="666" spans="1:9">
      <c r="A666" s="50">
        <v>45929</v>
      </c>
      <c r="B666" s="51">
        <v>0.5398148148148149</v>
      </c>
      <c r="C666" t="s">
        <v>165</v>
      </c>
      <c r="D666" t="s">
        <v>44</v>
      </c>
      <c r="E666" t="s">
        <v>182</v>
      </c>
      <c r="F666" t="s">
        <v>183</v>
      </c>
      <c r="G666">
        <v>-50000</v>
      </c>
      <c r="H666" t="s">
        <v>162</v>
      </c>
      <c r="I666" t="s">
        <v>184</v>
      </c>
    </row>
    <row r="667" spans="1:9">
      <c r="A667" s="50">
        <v>45929</v>
      </c>
      <c r="B667" s="51">
        <v>0.5145486111111112</v>
      </c>
      <c r="C667" t="s">
        <v>165</v>
      </c>
      <c r="D667" t="s">
        <v>46</v>
      </c>
      <c r="E667" t="s">
        <v>193</v>
      </c>
      <c r="F667" t="s">
        <v>194</v>
      </c>
      <c r="G667">
        <v>-5000</v>
      </c>
      <c r="H667" t="s">
        <v>162</v>
      </c>
      <c r="I667" t="s">
        <v>184</v>
      </c>
    </row>
    <row r="668" spans="1:9">
      <c r="A668" s="50">
        <v>45929</v>
      </c>
      <c r="B668" s="51">
        <v>0.4590972222222222</v>
      </c>
      <c r="C668" t="s">
        <v>158</v>
      </c>
      <c r="D668" t="s">
        <v>159</v>
      </c>
      <c r="E668" t="s">
        <v>160</v>
      </c>
      <c r="F668" t="s">
        <v>209</v>
      </c>
      <c r="G668">
        <v>-100000</v>
      </c>
      <c r="H668" t="s">
        <v>162</v>
      </c>
      <c r="I668" t="s">
        <v>60</v>
      </c>
    </row>
    <row r="669" spans="1:9">
      <c r="A669" s="50">
        <v>45929</v>
      </c>
      <c r="B669" s="51">
        <v>0.3793402777777778</v>
      </c>
      <c r="C669" t="s">
        <v>207</v>
      </c>
      <c r="D669" t="s">
        <v>29</v>
      </c>
      <c r="E669" t="s">
        <v>160</v>
      </c>
      <c r="F669" t="s">
        <v>507</v>
      </c>
      <c r="G669">
        <v>1961384</v>
      </c>
      <c r="H669" t="s">
        <v>162</v>
      </c>
      <c r="I669" t="s">
        <v>60</v>
      </c>
    </row>
    <row r="670" spans="1:9">
      <c r="A670" s="50">
        <v>45928</v>
      </c>
      <c r="B670" s="51">
        <v>0.7040740740740741</v>
      </c>
      <c r="C670" t="s">
        <v>158</v>
      </c>
      <c r="D670" t="s">
        <v>158</v>
      </c>
      <c r="E670" t="s">
        <v>160</v>
      </c>
      <c r="F670" t="s">
        <v>508</v>
      </c>
      <c r="G670">
        <v>-100000</v>
      </c>
      <c r="H670" t="s">
        <v>162</v>
      </c>
      <c r="I670" t="s">
        <v>60</v>
      </c>
    </row>
    <row r="671" spans="1:9">
      <c r="A671" s="50">
        <v>45928</v>
      </c>
      <c r="B671" s="51">
        <v>0.5320833333333334</v>
      </c>
      <c r="C671" t="s">
        <v>165</v>
      </c>
      <c r="D671" t="s">
        <v>34</v>
      </c>
      <c r="E671" t="s">
        <v>404</v>
      </c>
      <c r="F671" t="s">
        <v>405</v>
      </c>
      <c r="G671">
        <v>36000</v>
      </c>
      <c r="H671" t="s">
        <v>162</v>
      </c>
      <c r="I671" t="s">
        <v>176</v>
      </c>
    </row>
    <row r="672" spans="1:9">
      <c r="A672" s="50">
        <v>45928</v>
      </c>
      <c r="B672" s="51">
        <v>0.5308680555555556</v>
      </c>
      <c r="C672" t="s">
        <v>165</v>
      </c>
      <c r="D672" t="s">
        <v>34</v>
      </c>
      <c r="E672" t="s">
        <v>404</v>
      </c>
      <c r="F672" t="s">
        <v>405</v>
      </c>
      <c r="G672">
        <v>-36000</v>
      </c>
      <c r="H672" t="s">
        <v>162</v>
      </c>
      <c r="I672" t="s">
        <v>176</v>
      </c>
    </row>
    <row r="673" spans="1:9">
      <c r="A673" s="50">
        <v>45928</v>
      </c>
      <c r="B673" s="51">
        <v>0.4019675925925926</v>
      </c>
      <c r="C673" t="s">
        <v>158</v>
      </c>
      <c r="D673" t="s">
        <v>160</v>
      </c>
      <c r="E673" t="s">
        <v>160</v>
      </c>
      <c r="F673" t="s">
        <v>210</v>
      </c>
      <c r="G673">
        <v>0</v>
      </c>
      <c r="H673" t="s">
        <v>162</v>
      </c>
      <c r="I673" t="s">
        <v>59</v>
      </c>
    </row>
    <row r="674" spans="1:9">
      <c r="A674" s="50">
        <v>45927</v>
      </c>
      <c r="B674" s="51">
        <v>0.6174652777777778</v>
      </c>
      <c r="C674" t="s">
        <v>165</v>
      </c>
      <c r="D674" t="s">
        <v>35</v>
      </c>
      <c r="E674" t="s">
        <v>231</v>
      </c>
      <c r="F674" t="s">
        <v>232</v>
      </c>
      <c r="G674">
        <v>-1300</v>
      </c>
      <c r="H674" t="s">
        <v>162</v>
      </c>
      <c r="I674" t="s">
        <v>189</v>
      </c>
    </row>
    <row r="675" spans="1:9">
      <c r="A675" s="50">
        <v>45927</v>
      </c>
      <c r="B675" s="51">
        <v>0.2615509259259259</v>
      </c>
      <c r="C675" t="s">
        <v>207</v>
      </c>
      <c r="D675" t="s">
        <v>28</v>
      </c>
      <c r="E675" t="s">
        <v>160</v>
      </c>
      <c r="F675" t="s">
        <v>211</v>
      </c>
      <c r="G675">
        <v>0</v>
      </c>
      <c r="H675" t="s">
        <v>162</v>
      </c>
      <c r="I675" t="s">
        <v>58</v>
      </c>
    </row>
    <row r="676" spans="1:9">
      <c r="A676" s="50">
        <v>45926</v>
      </c>
      <c r="B676" s="51">
        <v>0.8340162037037037</v>
      </c>
      <c r="C676" t="s">
        <v>158</v>
      </c>
      <c r="D676" t="s">
        <v>159</v>
      </c>
      <c r="E676" t="s">
        <v>160</v>
      </c>
      <c r="F676" t="s">
        <v>210</v>
      </c>
      <c r="G676">
        <v>300000</v>
      </c>
      <c r="H676" t="s">
        <v>162</v>
      </c>
      <c r="I676" t="s">
        <v>367</v>
      </c>
    </row>
    <row r="677" spans="1:9">
      <c r="A677" s="50">
        <v>45926</v>
      </c>
      <c r="B677" s="51">
        <v>0.8340162037037037</v>
      </c>
      <c r="C677" t="s">
        <v>158</v>
      </c>
      <c r="D677" t="s">
        <v>159</v>
      </c>
      <c r="E677" t="s">
        <v>160</v>
      </c>
      <c r="F677" t="s">
        <v>509</v>
      </c>
      <c r="G677">
        <v>-300000</v>
      </c>
      <c r="H677" t="s">
        <v>162</v>
      </c>
      <c r="I677" t="s">
        <v>57</v>
      </c>
    </row>
    <row r="678" spans="1:9">
      <c r="A678" s="50">
        <v>45926</v>
      </c>
      <c r="B678" s="51">
        <v>0.7166435185185185</v>
      </c>
      <c r="C678" t="s">
        <v>158</v>
      </c>
      <c r="D678" t="s">
        <v>158</v>
      </c>
      <c r="E678" t="s">
        <v>160</v>
      </c>
      <c r="F678" t="s">
        <v>215</v>
      </c>
      <c r="G678">
        <v>-17800</v>
      </c>
      <c r="H678" t="s">
        <v>162</v>
      </c>
      <c r="I678" t="s">
        <v>60</v>
      </c>
    </row>
    <row r="679" spans="1:9">
      <c r="A679" s="50">
        <v>45926</v>
      </c>
      <c r="B679" s="51">
        <v>0.5853472222222222</v>
      </c>
      <c r="C679" t="s">
        <v>165</v>
      </c>
      <c r="D679" t="s">
        <v>37</v>
      </c>
      <c r="E679" t="s">
        <v>199</v>
      </c>
      <c r="F679" t="s">
        <v>510</v>
      </c>
      <c r="G679">
        <v>-19000</v>
      </c>
      <c r="H679" t="s">
        <v>162</v>
      </c>
      <c r="I679" t="s">
        <v>173</v>
      </c>
    </row>
    <row r="680" spans="1:9">
      <c r="A680" s="50">
        <v>45926</v>
      </c>
      <c r="B680" s="51">
        <v>0.4620486111111111</v>
      </c>
      <c r="C680" t="s">
        <v>165</v>
      </c>
      <c r="D680" t="s">
        <v>45</v>
      </c>
      <c r="E680" t="s">
        <v>227</v>
      </c>
      <c r="F680" t="s">
        <v>511</v>
      </c>
      <c r="G680">
        <v>-1000000</v>
      </c>
      <c r="H680" t="s">
        <v>162</v>
      </c>
      <c r="I680" t="s">
        <v>60</v>
      </c>
    </row>
    <row r="681" spans="1:9">
      <c r="A681" s="50">
        <v>45926</v>
      </c>
      <c r="B681" s="51">
        <v>0.4491666666666667</v>
      </c>
      <c r="C681" t="s">
        <v>165</v>
      </c>
      <c r="D681" t="s">
        <v>38</v>
      </c>
      <c r="E681" t="s">
        <v>421</v>
      </c>
      <c r="F681" t="s">
        <v>512</v>
      </c>
      <c r="G681">
        <v>-5000</v>
      </c>
      <c r="H681" t="s">
        <v>162</v>
      </c>
      <c r="I681" t="s">
        <v>173</v>
      </c>
    </row>
    <row r="682" spans="1:9">
      <c r="A682" s="50">
        <v>45926</v>
      </c>
      <c r="B682" s="51">
        <v>0.1388773148148148</v>
      </c>
      <c r="C682" t="s">
        <v>158</v>
      </c>
      <c r="D682" t="s">
        <v>159</v>
      </c>
      <c r="E682" t="s">
        <v>160</v>
      </c>
      <c r="F682" t="s">
        <v>513</v>
      </c>
      <c r="G682">
        <v>-100000</v>
      </c>
      <c r="H682" t="s">
        <v>162</v>
      </c>
      <c r="I682" t="s">
        <v>60</v>
      </c>
    </row>
    <row r="683" spans="1:9">
      <c r="A683" s="50">
        <v>45926</v>
      </c>
      <c r="B683" s="51">
        <v>0.1388773148148148</v>
      </c>
      <c r="C683" t="s">
        <v>158</v>
      </c>
      <c r="D683" t="s">
        <v>159</v>
      </c>
      <c r="E683" t="s">
        <v>160</v>
      </c>
      <c r="F683" t="s">
        <v>210</v>
      </c>
      <c r="G683">
        <v>100000</v>
      </c>
      <c r="H683" t="s">
        <v>162</v>
      </c>
      <c r="I683" t="s">
        <v>443</v>
      </c>
    </row>
    <row r="684" spans="1:9">
      <c r="A684" s="50">
        <v>45925</v>
      </c>
      <c r="B684" s="51">
        <v>0.7362384259259259</v>
      </c>
      <c r="C684" t="s">
        <v>158</v>
      </c>
      <c r="D684" t="s">
        <v>159</v>
      </c>
      <c r="E684" t="s">
        <v>160</v>
      </c>
      <c r="F684" t="s">
        <v>514</v>
      </c>
      <c r="G684">
        <v>-500000</v>
      </c>
      <c r="H684" t="s">
        <v>162</v>
      </c>
      <c r="I684" t="s">
        <v>60</v>
      </c>
    </row>
    <row r="685" spans="1:9">
      <c r="A685" s="50">
        <v>45925</v>
      </c>
      <c r="B685" s="51">
        <v>0.7362384259259259</v>
      </c>
      <c r="C685" t="s">
        <v>158</v>
      </c>
      <c r="D685" t="s">
        <v>159</v>
      </c>
      <c r="E685" t="s">
        <v>160</v>
      </c>
      <c r="F685" t="s">
        <v>210</v>
      </c>
      <c r="G685">
        <v>500000</v>
      </c>
      <c r="H685" t="s">
        <v>162</v>
      </c>
      <c r="I685" t="s">
        <v>447</v>
      </c>
    </row>
    <row r="686" spans="1:9">
      <c r="A686" s="50">
        <v>45925</v>
      </c>
      <c r="B686" s="51">
        <v>0.7038657407407407</v>
      </c>
      <c r="C686" t="s">
        <v>158</v>
      </c>
      <c r="D686" t="s">
        <v>216</v>
      </c>
      <c r="E686" t="s">
        <v>160</v>
      </c>
      <c r="F686" t="s">
        <v>217</v>
      </c>
      <c r="G686">
        <v>-493968</v>
      </c>
      <c r="H686" t="s">
        <v>162</v>
      </c>
      <c r="I686" t="s">
        <v>60</v>
      </c>
    </row>
    <row r="687" spans="1:9">
      <c r="A687" s="50">
        <v>45925</v>
      </c>
      <c r="B687" s="51">
        <v>0.4829513888888889</v>
      </c>
      <c r="C687" t="s">
        <v>165</v>
      </c>
      <c r="D687" t="s">
        <v>35</v>
      </c>
      <c r="E687" t="s">
        <v>221</v>
      </c>
      <c r="F687" t="s">
        <v>222</v>
      </c>
      <c r="G687">
        <v>-2500000</v>
      </c>
      <c r="H687" t="s">
        <v>162</v>
      </c>
      <c r="I687" t="s">
        <v>60</v>
      </c>
    </row>
    <row r="688" spans="1:9">
      <c r="A688" s="50">
        <v>45925</v>
      </c>
      <c r="B688" s="51">
        <v>0.4821990740740741</v>
      </c>
      <c r="C688" t="s">
        <v>165</v>
      </c>
      <c r="D688" t="s">
        <v>34</v>
      </c>
      <c r="E688" t="s">
        <v>177</v>
      </c>
      <c r="F688" t="s">
        <v>178</v>
      </c>
      <c r="G688">
        <v>18100</v>
      </c>
      <c r="H688" t="s">
        <v>162</v>
      </c>
      <c r="I688" t="s">
        <v>169</v>
      </c>
    </row>
    <row r="689" spans="1:9">
      <c r="A689" s="50">
        <v>45925</v>
      </c>
      <c r="B689" s="51">
        <v>0.4821990740740741</v>
      </c>
      <c r="C689" t="s">
        <v>165</v>
      </c>
      <c r="D689" t="s">
        <v>34</v>
      </c>
      <c r="E689" t="s">
        <v>177</v>
      </c>
      <c r="F689" t="s">
        <v>178</v>
      </c>
      <c r="G689">
        <v>18100</v>
      </c>
      <c r="H689" t="s">
        <v>162</v>
      </c>
      <c r="I689" t="s">
        <v>169</v>
      </c>
    </row>
    <row r="690" spans="1:9">
      <c r="A690" s="50">
        <v>45925</v>
      </c>
      <c r="B690" s="51">
        <v>0.3829166666666667</v>
      </c>
      <c r="C690" t="s">
        <v>207</v>
      </c>
      <c r="D690" t="s">
        <v>29</v>
      </c>
      <c r="E690" t="s">
        <v>160</v>
      </c>
      <c r="F690" t="s">
        <v>515</v>
      </c>
      <c r="G690">
        <v>4562510</v>
      </c>
      <c r="H690" t="s">
        <v>162</v>
      </c>
      <c r="I690" t="s">
        <v>60</v>
      </c>
    </row>
    <row r="691" spans="1:9">
      <c r="A691" s="50">
        <v>45925</v>
      </c>
      <c r="B691" s="51">
        <v>0.1303819444444445</v>
      </c>
      <c r="C691" t="s">
        <v>165</v>
      </c>
      <c r="D691" t="s">
        <v>35</v>
      </c>
      <c r="E691" t="s">
        <v>218</v>
      </c>
      <c r="F691" t="s">
        <v>219</v>
      </c>
      <c r="G691">
        <v>-36120</v>
      </c>
      <c r="H691" t="s">
        <v>162</v>
      </c>
      <c r="I691" t="s">
        <v>60</v>
      </c>
    </row>
    <row r="692" spans="1:9">
      <c r="A692" s="50">
        <v>45925</v>
      </c>
      <c r="B692" s="51">
        <v>0.115162037037037</v>
      </c>
      <c r="C692" t="s">
        <v>158</v>
      </c>
      <c r="D692" t="s">
        <v>216</v>
      </c>
      <c r="E692" t="s">
        <v>160</v>
      </c>
      <c r="F692" t="s">
        <v>516</v>
      </c>
      <c r="G692">
        <v>-3300</v>
      </c>
      <c r="H692" t="s">
        <v>162</v>
      </c>
      <c r="I692" t="s">
        <v>60</v>
      </c>
    </row>
    <row r="693" spans="1:9">
      <c r="A693" s="50">
        <v>45924</v>
      </c>
      <c r="B693" s="51">
        <v>0.7589467592592593</v>
      </c>
      <c r="C693" t="s">
        <v>165</v>
      </c>
      <c r="D693" t="s">
        <v>45</v>
      </c>
      <c r="E693" t="s">
        <v>224</v>
      </c>
      <c r="F693" t="s">
        <v>225</v>
      </c>
      <c r="G693">
        <v>-257740</v>
      </c>
      <c r="H693" t="s">
        <v>162</v>
      </c>
      <c r="I693" t="s">
        <v>173</v>
      </c>
    </row>
    <row r="694" spans="1:9">
      <c r="A694" s="50">
        <v>45924</v>
      </c>
      <c r="B694" s="51">
        <v>0.5744444444444444</v>
      </c>
      <c r="C694" t="s">
        <v>158</v>
      </c>
      <c r="D694" t="s">
        <v>158</v>
      </c>
      <c r="E694" t="s">
        <v>160</v>
      </c>
      <c r="F694" t="s">
        <v>188</v>
      </c>
      <c r="G694">
        <v>2500</v>
      </c>
      <c r="H694" t="s">
        <v>162</v>
      </c>
      <c r="I694" t="s">
        <v>189</v>
      </c>
    </row>
    <row r="695" spans="1:9">
      <c r="A695" s="50">
        <v>45924</v>
      </c>
      <c r="B695" s="51">
        <v>0.5162268518518518</v>
      </c>
      <c r="C695" t="s">
        <v>165</v>
      </c>
      <c r="D695" t="s">
        <v>46</v>
      </c>
      <c r="E695" t="s">
        <v>193</v>
      </c>
      <c r="F695" t="s">
        <v>194</v>
      </c>
      <c r="G695">
        <v>-5000</v>
      </c>
      <c r="H695" t="s">
        <v>162</v>
      </c>
      <c r="I695" t="s">
        <v>184</v>
      </c>
    </row>
    <row r="696" spans="1:9">
      <c r="A696" s="50">
        <v>45923</v>
      </c>
      <c r="B696" s="51">
        <v>0.614363425925926</v>
      </c>
      <c r="C696" t="s">
        <v>165</v>
      </c>
      <c r="D696" t="s">
        <v>42</v>
      </c>
      <c r="E696" t="s">
        <v>264</v>
      </c>
      <c r="F696" t="s">
        <v>517</v>
      </c>
      <c r="G696">
        <v>-60</v>
      </c>
      <c r="H696" t="s">
        <v>162</v>
      </c>
      <c r="I696" t="s">
        <v>168</v>
      </c>
    </row>
    <row r="697" spans="1:9">
      <c r="A697" s="50">
        <v>45923</v>
      </c>
      <c r="B697" s="51">
        <v>0.614363425925926</v>
      </c>
      <c r="C697" t="s">
        <v>165</v>
      </c>
      <c r="D697" t="s">
        <v>42</v>
      </c>
      <c r="E697" t="s">
        <v>264</v>
      </c>
      <c r="F697" t="s">
        <v>517</v>
      </c>
      <c r="G697">
        <v>-33460</v>
      </c>
      <c r="H697" t="s">
        <v>162</v>
      </c>
      <c r="I697" t="s">
        <v>176</v>
      </c>
    </row>
    <row r="698" spans="1:9">
      <c r="A698" s="50">
        <v>45923</v>
      </c>
      <c r="B698" s="51">
        <v>0.5929629629629629</v>
      </c>
      <c r="C698" t="s">
        <v>158</v>
      </c>
      <c r="D698" t="s">
        <v>158</v>
      </c>
      <c r="E698" t="s">
        <v>160</v>
      </c>
      <c r="F698" t="s">
        <v>188</v>
      </c>
      <c r="G698">
        <v>2500</v>
      </c>
      <c r="H698" t="s">
        <v>162</v>
      </c>
      <c r="I698" t="s">
        <v>189</v>
      </c>
    </row>
    <row r="699" spans="1:9">
      <c r="A699" s="50">
        <v>45923</v>
      </c>
      <c r="B699" s="51">
        <v>0.5192129629629629</v>
      </c>
      <c r="C699" t="s">
        <v>165</v>
      </c>
      <c r="D699" t="s">
        <v>46</v>
      </c>
      <c r="E699" t="s">
        <v>193</v>
      </c>
      <c r="F699" t="s">
        <v>194</v>
      </c>
      <c r="G699">
        <v>-5000</v>
      </c>
      <c r="H699" t="s">
        <v>162</v>
      </c>
      <c r="I699" t="s">
        <v>184</v>
      </c>
    </row>
    <row r="700" spans="1:9">
      <c r="A700" s="50">
        <v>45922</v>
      </c>
      <c r="B700" s="51">
        <v>0.5543055555555556</v>
      </c>
      <c r="C700" t="s">
        <v>158</v>
      </c>
      <c r="D700" t="s">
        <v>159</v>
      </c>
      <c r="E700" t="s">
        <v>160</v>
      </c>
      <c r="F700" t="s">
        <v>233</v>
      </c>
      <c r="G700">
        <v>-10488</v>
      </c>
      <c r="H700" t="s">
        <v>162</v>
      </c>
      <c r="I700" t="s">
        <v>60</v>
      </c>
    </row>
    <row r="701" spans="1:9">
      <c r="A701" s="50">
        <v>45922</v>
      </c>
      <c r="B701" s="51">
        <v>0.5543055555555556</v>
      </c>
      <c r="C701" t="s">
        <v>158</v>
      </c>
      <c r="D701" t="s">
        <v>159</v>
      </c>
      <c r="E701" t="s">
        <v>160</v>
      </c>
      <c r="F701" t="s">
        <v>220</v>
      </c>
      <c r="G701">
        <v>10488</v>
      </c>
      <c r="H701" t="s">
        <v>162</v>
      </c>
      <c r="I701" t="s">
        <v>189</v>
      </c>
    </row>
    <row r="702" spans="1:9">
      <c r="A702" s="50">
        <v>45922</v>
      </c>
      <c r="B702" s="51">
        <v>0.5543055555555556</v>
      </c>
      <c r="C702" t="s">
        <v>165</v>
      </c>
      <c r="D702" t="s">
        <v>42</v>
      </c>
      <c r="E702" t="s">
        <v>264</v>
      </c>
      <c r="F702" t="s">
        <v>432</v>
      </c>
      <c r="G702">
        <v>-25500</v>
      </c>
      <c r="H702" t="s">
        <v>162</v>
      </c>
      <c r="I702" t="s">
        <v>240</v>
      </c>
    </row>
    <row r="703" spans="1:9">
      <c r="A703" s="50">
        <v>45922</v>
      </c>
      <c r="B703" s="51">
        <v>0.5174421296296297</v>
      </c>
      <c r="C703" t="s">
        <v>165</v>
      </c>
      <c r="D703" t="s">
        <v>46</v>
      </c>
      <c r="E703" t="s">
        <v>193</v>
      </c>
      <c r="F703" t="s">
        <v>194</v>
      </c>
      <c r="G703">
        <v>-2500</v>
      </c>
      <c r="H703" t="s">
        <v>162</v>
      </c>
      <c r="I703" t="s">
        <v>184</v>
      </c>
    </row>
    <row r="704" spans="1:9">
      <c r="A704" s="50">
        <v>45922</v>
      </c>
      <c r="B704" s="51">
        <v>0.4025</v>
      </c>
      <c r="C704" t="s">
        <v>165</v>
      </c>
      <c r="D704" t="s">
        <v>45</v>
      </c>
      <c r="E704" t="s">
        <v>227</v>
      </c>
      <c r="F704" t="s">
        <v>228</v>
      </c>
      <c r="G704">
        <v>-40490</v>
      </c>
      <c r="H704" t="s">
        <v>162</v>
      </c>
      <c r="I704" t="s">
        <v>451</v>
      </c>
    </row>
    <row r="705" spans="1:9">
      <c r="A705" s="50">
        <v>45922</v>
      </c>
      <c r="B705" s="51">
        <v>0.151087962962963</v>
      </c>
      <c r="C705" t="s">
        <v>165</v>
      </c>
      <c r="D705" t="s">
        <v>44</v>
      </c>
      <c r="E705" t="s">
        <v>363</v>
      </c>
      <c r="F705" t="s">
        <v>518</v>
      </c>
      <c r="G705">
        <v>-35950</v>
      </c>
      <c r="H705" t="s">
        <v>162</v>
      </c>
      <c r="I705" t="s">
        <v>60</v>
      </c>
    </row>
    <row r="706" spans="1:9">
      <c r="A706" s="50">
        <v>45921</v>
      </c>
      <c r="B706" s="51">
        <v>0.723113425925926</v>
      </c>
      <c r="C706" t="s">
        <v>165</v>
      </c>
      <c r="D706" t="s">
        <v>46</v>
      </c>
      <c r="E706" t="s">
        <v>444</v>
      </c>
      <c r="F706" t="s">
        <v>519</v>
      </c>
      <c r="G706">
        <v>-5500</v>
      </c>
      <c r="H706" t="s">
        <v>162</v>
      </c>
      <c r="I706" t="s">
        <v>184</v>
      </c>
    </row>
    <row r="707" spans="1:9">
      <c r="A707" s="50">
        <v>45920</v>
      </c>
      <c r="B707" s="51">
        <v>0.7618634259259259</v>
      </c>
      <c r="C707" t="s">
        <v>165</v>
      </c>
      <c r="D707" t="s">
        <v>40</v>
      </c>
      <c r="E707" t="s">
        <v>292</v>
      </c>
      <c r="F707" t="s">
        <v>293</v>
      </c>
      <c r="G707">
        <v>-6000</v>
      </c>
      <c r="H707" t="s">
        <v>162</v>
      </c>
      <c r="I707" t="s">
        <v>169</v>
      </c>
    </row>
    <row r="708" spans="1:9">
      <c r="A708" s="50">
        <v>45920</v>
      </c>
      <c r="B708" s="51">
        <v>0.7618634259259259</v>
      </c>
      <c r="C708" t="s">
        <v>165</v>
      </c>
      <c r="D708" t="s">
        <v>40</v>
      </c>
      <c r="E708" t="s">
        <v>292</v>
      </c>
      <c r="F708" t="s">
        <v>293</v>
      </c>
      <c r="G708">
        <v>-42000</v>
      </c>
      <c r="H708" t="s">
        <v>162</v>
      </c>
      <c r="I708" t="s">
        <v>176</v>
      </c>
    </row>
    <row r="709" spans="1:9">
      <c r="A709" s="50">
        <v>45920</v>
      </c>
      <c r="B709" s="51">
        <v>0.4773148148148148</v>
      </c>
      <c r="C709" t="s">
        <v>207</v>
      </c>
      <c r="D709" t="s">
        <v>28</v>
      </c>
      <c r="E709" t="s">
        <v>160</v>
      </c>
      <c r="F709" t="s">
        <v>230</v>
      </c>
      <c r="G709">
        <v>442</v>
      </c>
      <c r="H709" t="s">
        <v>162</v>
      </c>
      <c r="I709" t="s">
        <v>60</v>
      </c>
    </row>
    <row r="710" spans="1:9">
      <c r="A710" s="50">
        <v>45920</v>
      </c>
      <c r="B710" s="51">
        <v>0.2075</v>
      </c>
      <c r="C710" t="s">
        <v>158</v>
      </c>
      <c r="D710" t="s">
        <v>160</v>
      </c>
      <c r="E710" t="s">
        <v>160</v>
      </c>
      <c r="F710" t="s">
        <v>210</v>
      </c>
      <c r="G710">
        <v>0</v>
      </c>
      <c r="H710" t="s">
        <v>162</v>
      </c>
      <c r="I710" t="s">
        <v>60</v>
      </c>
    </row>
    <row r="711" spans="1:9">
      <c r="A711" s="50">
        <v>45919</v>
      </c>
      <c r="B711" s="51">
        <v>0.9429513888888889</v>
      </c>
      <c r="C711" t="s">
        <v>165</v>
      </c>
      <c r="D711" t="s">
        <v>34</v>
      </c>
      <c r="E711" t="s">
        <v>213</v>
      </c>
      <c r="F711" t="s">
        <v>314</v>
      </c>
      <c r="G711">
        <v>-6110</v>
      </c>
      <c r="H711" t="s">
        <v>162</v>
      </c>
      <c r="I711" t="s">
        <v>173</v>
      </c>
    </row>
    <row r="712" spans="1:9">
      <c r="A712" s="50">
        <v>45919</v>
      </c>
      <c r="B712" s="51">
        <v>0.9381944444444444</v>
      </c>
      <c r="C712" t="s">
        <v>165</v>
      </c>
      <c r="D712" t="s">
        <v>34</v>
      </c>
      <c r="E712" t="s">
        <v>213</v>
      </c>
      <c r="F712" t="s">
        <v>315</v>
      </c>
      <c r="G712">
        <v>6100</v>
      </c>
      <c r="H712" t="s">
        <v>162</v>
      </c>
      <c r="I712" t="s">
        <v>173</v>
      </c>
    </row>
    <row r="713" spans="1:9">
      <c r="A713" s="50">
        <v>45919</v>
      </c>
      <c r="B713" s="51">
        <v>0.9381944444444444</v>
      </c>
      <c r="C713" t="s">
        <v>165</v>
      </c>
      <c r="D713" t="s">
        <v>34</v>
      </c>
      <c r="E713" t="s">
        <v>213</v>
      </c>
      <c r="F713" t="s">
        <v>315</v>
      </c>
      <c r="G713">
        <v>-6100</v>
      </c>
      <c r="H713" t="s">
        <v>162</v>
      </c>
      <c r="I713" t="s">
        <v>173</v>
      </c>
    </row>
    <row r="714" spans="1:9">
      <c r="A714" s="50">
        <v>45919</v>
      </c>
      <c r="B714" s="51">
        <v>0.8848726851851851</v>
      </c>
      <c r="C714" t="s">
        <v>165</v>
      </c>
      <c r="D714" t="s">
        <v>36</v>
      </c>
      <c r="E714" t="s">
        <v>454</v>
      </c>
      <c r="F714" t="s">
        <v>455</v>
      </c>
      <c r="G714">
        <v>-1000</v>
      </c>
      <c r="H714" t="s">
        <v>162</v>
      </c>
      <c r="I714" t="s">
        <v>173</v>
      </c>
    </row>
    <row r="715" spans="1:9">
      <c r="A715" s="50">
        <v>45919</v>
      </c>
      <c r="B715" s="51">
        <v>0.5190509259259259</v>
      </c>
      <c r="C715" t="s">
        <v>165</v>
      </c>
      <c r="D715" t="s">
        <v>46</v>
      </c>
      <c r="E715" t="s">
        <v>193</v>
      </c>
      <c r="F715" t="s">
        <v>194</v>
      </c>
      <c r="G715">
        <v>-5000</v>
      </c>
      <c r="H715" t="s">
        <v>162</v>
      </c>
      <c r="I715" t="s">
        <v>184</v>
      </c>
    </row>
    <row r="716" spans="1:9">
      <c r="A716" s="50">
        <v>45918</v>
      </c>
      <c r="B716" s="51">
        <v>0.5628125</v>
      </c>
      <c r="C716" t="s">
        <v>158</v>
      </c>
      <c r="D716" t="s">
        <v>158</v>
      </c>
      <c r="E716" t="s">
        <v>160</v>
      </c>
      <c r="F716" t="s">
        <v>188</v>
      </c>
      <c r="G716">
        <v>2500</v>
      </c>
      <c r="H716" t="s">
        <v>162</v>
      </c>
      <c r="I716" t="s">
        <v>189</v>
      </c>
    </row>
    <row r="717" spans="1:9">
      <c r="A717" s="50">
        <v>45918</v>
      </c>
      <c r="B717" s="51">
        <v>0.5176967592592593</v>
      </c>
      <c r="C717" t="s">
        <v>165</v>
      </c>
      <c r="D717" t="s">
        <v>46</v>
      </c>
      <c r="E717" t="s">
        <v>193</v>
      </c>
      <c r="F717" t="s">
        <v>194</v>
      </c>
      <c r="G717">
        <v>-5000</v>
      </c>
      <c r="H717" t="s">
        <v>162</v>
      </c>
      <c r="I717" t="s">
        <v>184</v>
      </c>
    </row>
    <row r="718" spans="1:9">
      <c r="A718" s="50">
        <v>45917</v>
      </c>
      <c r="B718" s="51">
        <v>0.5576851851851852</v>
      </c>
      <c r="C718" t="s">
        <v>158</v>
      </c>
      <c r="D718" t="s">
        <v>158</v>
      </c>
      <c r="E718" t="s">
        <v>160</v>
      </c>
      <c r="F718" t="s">
        <v>188</v>
      </c>
      <c r="G718">
        <v>2500</v>
      </c>
      <c r="H718" t="s">
        <v>162</v>
      </c>
      <c r="I718" t="s">
        <v>189</v>
      </c>
    </row>
    <row r="719" spans="1:9">
      <c r="A719" s="50">
        <v>45917</v>
      </c>
      <c r="B719" s="51">
        <v>0.5157175925925926</v>
      </c>
      <c r="C719" t="s">
        <v>165</v>
      </c>
      <c r="D719" t="s">
        <v>46</v>
      </c>
      <c r="E719" t="s">
        <v>193</v>
      </c>
      <c r="F719" t="s">
        <v>194</v>
      </c>
      <c r="G719">
        <v>-5000</v>
      </c>
      <c r="H719" t="s">
        <v>162</v>
      </c>
      <c r="I719" t="s">
        <v>184</v>
      </c>
    </row>
    <row r="720" spans="1:9">
      <c r="A720" s="50">
        <v>45916</v>
      </c>
      <c r="B720" s="51">
        <v>0.6073032407407407</v>
      </c>
      <c r="C720" t="s">
        <v>158</v>
      </c>
      <c r="D720" t="s">
        <v>158</v>
      </c>
      <c r="E720" t="s">
        <v>160</v>
      </c>
      <c r="F720" t="s">
        <v>188</v>
      </c>
      <c r="G720">
        <v>2500</v>
      </c>
      <c r="H720" t="s">
        <v>162</v>
      </c>
      <c r="I720" t="s">
        <v>189</v>
      </c>
    </row>
    <row r="721" spans="1:9">
      <c r="A721" s="50">
        <v>45916</v>
      </c>
      <c r="B721" s="51">
        <v>0.5397685185185185</v>
      </c>
      <c r="C721" t="s">
        <v>165</v>
      </c>
      <c r="D721" t="s">
        <v>44</v>
      </c>
      <c r="E721" t="s">
        <v>182</v>
      </c>
      <c r="F721" t="s">
        <v>183</v>
      </c>
      <c r="G721">
        <v>-60000</v>
      </c>
      <c r="H721" t="s">
        <v>162</v>
      </c>
      <c r="I721" t="s">
        <v>184</v>
      </c>
    </row>
    <row r="722" spans="1:9">
      <c r="A722" s="50">
        <v>45916</v>
      </c>
      <c r="B722" s="51">
        <v>0.5192013888888889</v>
      </c>
      <c r="C722" t="s">
        <v>165</v>
      </c>
      <c r="D722" t="s">
        <v>46</v>
      </c>
      <c r="E722" t="s">
        <v>193</v>
      </c>
      <c r="F722" t="s">
        <v>194</v>
      </c>
      <c r="G722">
        <v>-5000</v>
      </c>
      <c r="H722" t="s">
        <v>162</v>
      </c>
      <c r="I722" t="s">
        <v>184</v>
      </c>
    </row>
    <row r="723" spans="1:9">
      <c r="A723" s="50">
        <v>45915</v>
      </c>
      <c r="B723" s="51">
        <v>0.6537731481481481</v>
      </c>
      <c r="C723" t="s">
        <v>158</v>
      </c>
      <c r="D723" t="s">
        <v>158</v>
      </c>
      <c r="E723" t="s">
        <v>160</v>
      </c>
      <c r="F723" t="s">
        <v>191</v>
      </c>
      <c r="G723">
        <v>2500</v>
      </c>
      <c r="H723" t="s">
        <v>162</v>
      </c>
      <c r="I723" t="s">
        <v>189</v>
      </c>
    </row>
    <row r="724" spans="1:9">
      <c r="A724" s="50">
        <v>45915</v>
      </c>
      <c r="B724" s="51">
        <v>0.5805324074074074</v>
      </c>
      <c r="C724" t="s">
        <v>158</v>
      </c>
      <c r="D724" t="s">
        <v>158</v>
      </c>
      <c r="E724" t="s">
        <v>160</v>
      </c>
      <c r="F724" t="s">
        <v>318</v>
      </c>
      <c r="G724">
        <v>2500</v>
      </c>
      <c r="H724" t="s">
        <v>162</v>
      </c>
      <c r="I724" t="s">
        <v>189</v>
      </c>
    </row>
    <row r="725" spans="1:9">
      <c r="A725" s="50">
        <v>45915</v>
      </c>
      <c r="B725" s="51">
        <v>0.580462962962963</v>
      </c>
      <c r="C725" t="s">
        <v>158</v>
      </c>
      <c r="D725" t="s">
        <v>158</v>
      </c>
      <c r="E725" t="s">
        <v>160</v>
      </c>
      <c r="F725" t="s">
        <v>188</v>
      </c>
      <c r="G725">
        <v>2500</v>
      </c>
      <c r="H725" t="s">
        <v>162</v>
      </c>
      <c r="I725" t="s">
        <v>189</v>
      </c>
    </row>
    <row r="726" spans="1:9">
      <c r="A726" s="50">
        <v>45915</v>
      </c>
      <c r="B726" s="51">
        <v>0.5174537037037037</v>
      </c>
      <c r="C726" t="s">
        <v>165</v>
      </c>
      <c r="D726" t="s">
        <v>46</v>
      </c>
      <c r="E726" t="s">
        <v>193</v>
      </c>
      <c r="F726" t="s">
        <v>194</v>
      </c>
      <c r="G726">
        <v>-10000</v>
      </c>
      <c r="H726" t="s">
        <v>162</v>
      </c>
      <c r="I726" t="s">
        <v>184</v>
      </c>
    </row>
    <row r="727" spans="1:9">
      <c r="A727" s="50">
        <v>45915</v>
      </c>
      <c r="B727" s="51">
        <v>0.1373032407407407</v>
      </c>
      <c r="C727" t="s">
        <v>165</v>
      </c>
      <c r="D727" t="s">
        <v>35</v>
      </c>
      <c r="E727" t="s">
        <v>231</v>
      </c>
      <c r="F727" t="s">
        <v>333</v>
      </c>
      <c r="G727">
        <v>-16500</v>
      </c>
      <c r="H727" t="s">
        <v>162</v>
      </c>
      <c r="I727" t="s">
        <v>60</v>
      </c>
    </row>
    <row r="728" spans="1:9">
      <c r="A728" s="50">
        <v>45914</v>
      </c>
      <c r="B728" s="51">
        <v>0.8707986111111111</v>
      </c>
      <c r="C728" t="s">
        <v>165</v>
      </c>
      <c r="D728" t="s">
        <v>35</v>
      </c>
      <c r="E728" t="s">
        <v>231</v>
      </c>
      <c r="F728" t="s">
        <v>232</v>
      </c>
      <c r="G728">
        <v>-335000</v>
      </c>
      <c r="H728" t="s">
        <v>162</v>
      </c>
      <c r="I728" t="s">
        <v>189</v>
      </c>
    </row>
    <row r="729" spans="1:9">
      <c r="A729" s="50">
        <v>45914</v>
      </c>
      <c r="B729" s="51">
        <v>0.8707870370370371</v>
      </c>
      <c r="C729" t="s">
        <v>158</v>
      </c>
      <c r="D729" t="s">
        <v>159</v>
      </c>
      <c r="E729" t="s">
        <v>160</v>
      </c>
      <c r="F729" t="s">
        <v>233</v>
      </c>
      <c r="G729">
        <v>-314994</v>
      </c>
      <c r="H729" t="s">
        <v>162</v>
      </c>
      <c r="I729" t="s">
        <v>60</v>
      </c>
    </row>
    <row r="730" spans="1:9">
      <c r="A730" s="50">
        <v>45914</v>
      </c>
      <c r="B730" s="51">
        <v>0.8707870370370371</v>
      </c>
      <c r="C730" t="s">
        <v>158</v>
      </c>
      <c r="D730" t="s">
        <v>159</v>
      </c>
      <c r="E730" t="s">
        <v>160</v>
      </c>
      <c r="F730" t="s">
        <v>220</v>
      </c>
      <c r="G730">
        <v>314994</v>
      </c>
      <c r="H730" t="s">
        <v>162</v>
      </c>
      <c r="I730" t="s">
        <v>189</v>
      </c>
    </row>
    <row r="731" spans="1:9">
      <c r="A731" s="50">
        <v>45913</v>
      </c>
      <c r="B731" s="51">
        <v>0.8055787037037037</v>
      </c>
      <c r="C731" t="s">
        <v>165</v>
      </c>
      <c r="D731" t="s">
        <v>38</v>
      </c>
      <c r="E731" t="s">
        <v>266</v>
      </c>
      <c r="F731" t="s">
        <v>520</v>
      </c>
      <c r="G731">
        <v>-1500</v>
      </c>
      <c r="H731" t="s">
        <v>162</v>
      </c>
      <c r="I731" t="s">
        <v>173</v>
      </c>
    </row>
    <row r="732" spans="1:9">
      <c r="A732" s="50">
        <v>45912</v>
      </c>
      <c r="B732" s="51">
        <v>0.5635185185185185</v>
      </c>
      <c r="C732" t="s">
        <v>158</v>
      </c>
      <c r="D732" t="s">
        <v>158</v>
      </c>
      <c r="E732" t="s">
        <v>160</v>
      </c>
      <c r="F732" t="s">
        <v>188</v>
      </c>
      <c r="G732">
        <v>2500</v>
      </c>
      <c r="H732" t="s">
        <v>162</v>
      </c>
      <c r="I732" t="s">
        <v>189</v>
      </c>
    </row>
    <row r="733" spans="1:9">
      <c r="A733" s="50">
        <v>45912</v>
      </c>
      <c r="B733" s="51">
        <v>0.5193055555555556</v>
      </c>
      <c r="C733" t="s">
        <v>165</v>
      </c>
      <c r="D733" t="s">
        <v>46</v>
      </c>
      <c r="E733" t="s">
        <v>193</v>
      </c>
      <c r="F733" t="s">
        <v>194</v>
      </c>
      <c r="G733">
        <v>-5000</v>
      </c>
      <c r="H733" t="s">
        <v>162</v>
      </c>
      <c r="I733" t="s">
        <v>184</v>
      </c>
    </row>
    <row r="734" spans="1:9">
      <c r="A734" s="50">
        <v>45911</v>
      </c>
      <c r="B734" s="51">
        <v>0.5489004629629629</v>
      </c>
      <c r="C734" t="s">
        <v>158</v>
      </c>
      <c r="D734" t="s">
        <v>158</v>
      </c>
      <c r="E734" t="s">
        <v>160</v>
      </c>
      <c r="F734" t="s">
        <v>188</v>
      </c>
      <c r="G734">
        <v>2500</v>
      </c>
      <c r="H734" t="s">
        <v>162</v>
      </c>
      <c r="I734" t="s">
        <v>189</v>
      </c>
    </row>
    <row r="735" spans="1:9">
      <c r="A735" s="50">
        <v>45911</v>
      </c>
      <c r="B735" s="51">
        <v>0.5184375</v>
      </c>
      <c r="C735" t="s">
        <v>165</v>
      </c>
      <c r="D735" t="s">
        <v>46</v>
      </c>
      <c r="E735" t="s">
        <v>193</v>
      </c>
      <c r="F735" t="s">
        <v>194</v>
      </c>
      <c r="G735">
        <v>-5000</v>
      </c>
      <c r="H735" t="s">
        <v>162</v>
      </c>
      <c r="I735" t="s">
        <v>184</v>
      </c>
    </row>
    <row r="736" spans="1:9">
      <c r="A736" s="50">
        <v>45910</v>
      </c>
      <c r="B736" s="51">
        <v>0.5560648148148148</v>
      </c>
      <c r="C736" t="s">
        <v>158</v>
      </c>
      <c r="D736" t="s">
        <v>158</v>
      </c>
      <c r="E736" t="s">
        <v>160</v>
      </c>
      <c r="F736" t="s">
        <v>188</v>
      </c>
      <c r="G736">
        <v>2500</v>
      </c>
      <c r="H736" t="s">
        <v>162</v>
      </c>
      <c r="I736" t="s">
        <v>189</v>
      </c>
    </row>
    <row r="737" spans="1:9">
      <c r="A737" s="50">
        <v>45910</v>
      </c>
      <c r="B737" s="51">
        <v>0.5176967592592593</v>
      </c>
      <c r="C737" t="s">
        <v>165</v>
      </c>
      <c r="D737" t="s">
        <v>46</v>
      </c>
      <c r="E737" t="s">
        <v>193</v>
      </c>
      <c r="F737" t="s">
        <v>194</v>
      </c>
      <c r="G737">
        <v>-5000</v>
      </c>
      <c r="H737" t="s">
        <v>162</v>
      </c>
      <c r="I737" t="s">
        <v>184</v>
      </c>
    </row>
    <row r="738" spans="1:9">
      <c r="A738" s="50">
        <v>45909</v>
      </c>
      <c r="B738" s="51">
        <v>0.5511342592592593</v>
      </c>
      <c r="C738" t="s">
        <v>158</v>
      </c>
      <c r="D738" t="s">
        <v>158</v>
      </c>
      <c r="E738" t="s">
        <v>160</v>
      </c>
      <c r="F738" t="s">
        <v>188</v>
      </c>
      <c r="G738">
        <v>2500</v>
      </c>
      <c r="H738" t="s">
        <v>162</v>
      </c>
      <c r="I738" t="s">
        <v>189</v>
      </c>
    </row>
    <row r="739" spans="1:9">
      <c r="A739" s="50">
        <v>45909</v>
      </c>
      <c r="B739" s="51">
        <v>0.5171412037037038</v>
      </c>
      <c r="C739" t="s">
        <v>165</v>
      </c>
      <c r="D739" t="s">
        <v>46</v>
      </c>
      <c r="E739" t="s">
        <v>193</v>
      </c>
      <c r="F739" t="s">
        <v>194</v>
      </c>
      <c r="G739">
        <v>-5000</v>
      </c>
      <c r="H739" t="s">
        <v>162</v>
      </c>
      <c r="I739" t="s">
        <v>184</v>
      </c>
    </row>
    <row r="740" spans="1:9">
      <c r="A740" s="50">
        <v>45907</v>
      </c>
      <c r="B740" s="51">
        <v>0.9689583333333334</v>
      </c>
      <c r="C740" t="s">
        <v>165</v>
      </c>
      <c r="D740" t="s">
        <v>35</v>
      </c>
      <c r="E740" t="s">
        <v>174</v>
      </c>
      <c r="F740" t="s">
        <v>521</v>
      </c>
      <c r="G740">
        <v>-140000</v>
      </c>
      <c r="H740" t="s">
        <v>162</v>
      </c>
      <c r="I740" t="s">
        <v>60</v>
      </c>
    </row>
    <row r="741" spans="1:9">
      <c r="A741" s="50">
        <v>45907</v>
      </c>
      <c r="B741" s="51">
        <v>0.6089236111111112</v>
      </c>
      <c r="C741" t="s">
        <v>165</v>
      </c>
      <c r="D741" t="s">
        <v>38</v>
      </c>
      <c r="E741" t="s">
        <v>186</v>
      </c>
      <c r="F741" t="s">
        <v>320</v>
      </c>
      <c r="G741">
        <v>-5000</v>
      </c>
      <c r="H741" t="s">
        <v>162</v>
      </c>
      <c r="I741" t="s">
        <v>173</v>
      </c>
    </row>
    <row r="742" spans="1:9">
      <c r="A742" s="50">
        <v>45907</v>
      </c>
      <c r="B742" s="51">
        <v>0.4010185185185185</v>
      </c>
      <c r="C742" t="s">
        <v>165</v>
      </c>
      <c r="D742" t="s">
        <v>38</v>
      </c>
      <c r="E742" t="s">
        <v>266</v>
      </c>
      <c r="F742" t="s">
        <v>522</v>
      </c>
      <c r="G742">
        <v>-9600</v>
      </c>
      <c r="H742" t="s">
        <v>162</v>
      </c>
      <c r="I742" t="s">
        <v>173</v>
      </c>
    </row>
    <row r="743" spans="1:9">
      <c r="A743" s="50">
        <v>45905</v>
      </c>
      <c r="B743" s="51">
        <v>0.7956481481481481</v>
      </c>
      <c r="C743" t="s">
        <v>165</v>
      </c>
      <c r="D743" t="s">
        <v>40</v>
      </c>
      <c r="E743" t="s">
        <v>411</v>
      </c>
      <c r="F743" t="s">
        <v>523</v>
      </c>
      <c r="G743">
        <v>-23500</v>
      </c>
      <c r="H743" t="s">
        <v>162</v>
      </c>
      <c r="I743" t="s">
        <v>184</v>
      </c>
    </row>
    <row r="744" spans="1:9">
      <c r="A744" s="50">
        <v>45905</v>
      </c>
      <c r="B744" s="51">
        <v>0.6806481481481481</v>
      </c>
      <c r="C744" t="s">
        <v>165</v>
      </c>
      <c r="D744" t="s">
        <v>43</v>
      </c>
      <c r="E744" t="s">
        <v>433</v>
      </c>
      <c r="F744" t="s">
        <v>524</v>
      </c>
      <c r="G744">
        <v>-3000</v>
      </c>
      <c r="H744" t="s">
        <v>162</v>
      </c>
      <c r="I744" t="s">
        <v>173</v>
      </c>
    </row>
    <row r="745" spans="1:9">
      <c r="A745" s="50">
        <v>45905</v>
      </c>
      <c r="B745" s="51">
        <v>0.6777430555555556</v>
      </c>
      <c r="C745" t="s">
        <v>165</v>
      </c>
      <c r="D745" t="s">
        <v>43</v>
      </c>
      <c r="E745" t="s">
        <v>525</v>
      </c>
      <c r="F745" t="s">
        <v>526</v>
      </c>
      <c r="G745">
        <v>-35700</v>
      </c>
      <c r="H745" t="s">
        <v>162</v>
      </c>
      <c r="I745" t="s">
        <v>173</v>
      </c>
    </row>
    <row r="746" spans="1:9">
      <c r="A746" s="50">
        <v>45905</v>
      </c>
      <c r="B746" s="51">
        <v>0.5613541666666667</v>
      </c>
      <c r="C746" t="s">
        <v>165</v>
      </c>
      <c r="D746" t="s">
        <v>35</v>
      </c>
      <c r="E746" t="s">
        <v>231</v>
      </c>
      <c r="F746" t="s">
        <v>232</v>
      </c>
      <c r="G746">
        <v>-2500</v>
      </c>
      <c r="H746" t="s">
        <v>162</v>
      </c>
      <c r="I746" t="s">
        <v>189</v>
      </c>
    </row>
    <row r="747" spans="1:9">
      <c r="A747" s="50">
        <v>45905</v>
      </c>
      <c r="B747" s="51">
        <v>0.545150462962963</v>
      </c>
      <c r="C747" t="s">
        <v>165</v>
      </c>
      <c r="D747" t="s">
        <v>44</v>
      </c>
      <c r="E747" t="s">
        <v>182</v>
      </c>
      <c r="F747" t="s">
        <v>183</v>
      </c>
      <c r="G747">
        <v>-50000</v>
      </c>
      <c r="H747" t="s">
        <v>162</v>
      </c>
      <c r="I747" t="s">
        <v>184</v>
      </c>
    </row>
    <row r="748" spans="1:9">
      <c r="A748" s="50">
        <v>45904</v>
      </c>
      <c r="B748" s="51">
        <v>0.7814236111111111</v>
      </c>
      <c r="C748" t="s">
        <v>165</v>
      </c>
      <c r="D748" t="s">
        <v>38</v>
      </c>
      <c r="E748" t="s">
        <v>421</v>
      </c>
      <c r="F748" t="s">
        <v>527</v>
      </c>
      <c r="G748">
        <v>-18000</v>
      </c>
      <c r="H748" t="s">
        <v>162</v>
      </c>
      <c r="I748" t="s">
        <v>184</v>
      </c>
    </row>
    <row r="749" spans="1:9">
      <c r="A749" s="50">
        <v>45903</v>
      </c>
      <c r="B749" s="51">
        <v>0.7836689814814815</v>
      </c>
      <c r="C749" t="s">
        <v>165</v>
      </c>
      <c r="D749" t="s">
        <v>38</v>
      </c>
      <c r="E749" t="s">
        <v>421</v>
      </c>
      <c r="F749" t="s">
        <v>527</v>
      </c>
      <c r="G749">
        <v>-10000</v>
      </c>
      <c r="H749" t="s">
        <v>162</v>
      </c>
      <c r="I749" t="s">
        <v>184</v>
      </c>
    </row>
    <row r="750" spans="1:9">
      <c r="A750" s="50">
        <v>45903</v>
      </c>
      <c r="B750" s="51">
        <v>0.7650115740740741</v>
      </c>
      <c r="C750" t="s">
        <v>165</v>
      </c>
      <c r="D750" t="s">
        <v>40</v>
      </c>
      <c r="E750" t="s">
        <v>475</v>
      </c>
      <c r="F750" t="s">
        <v>528</v>
      </c>
      <c r="G750">
        <v>-6800</v>
      </c>
      <c r="H750" t="s">
        <v>162</v>
      </c>
      <c r="I750" t="s">
        <v>173</v>
      </c>
    </row>
    <row r="751" spans="1:9">
      <c r="A751" s="50">
        <v>45903</v>
      </c>
      <c r="B751" s="51">
        <v>0.5499652777777778</v>
      </c>
      <c r="C751" t="s">
        <v>158</v>
      </c>
      <c r="D751" t="s">
        <v>158</v>
      </c>
      <c r="E751" t="s">
        <v>160</v>
      </c>
      <c r="F751" t="s">
        <v>188</v>
      </c>
      <c r="G751">
        <v>2500</v>
      </c>
      <c r="H751" t="s">
        <v>162</v>
      </c>
      <c r="I751" t="s">
        <v>189</v>
      </c>
    </row>
    <row r="752" spans="1:9">
      <c r="A752" s="50">
        <v>45903</v>
      </c>
      <c r="B752" s="51">
        <v>0.5231828703703704</v>
      </c>
      <c r="C752" t="s">
        <v>165</v>
      </c>
      <c r="D752" t="s">
        <v>46</v>
      </c>
      <c r="E752" t="s">
        <v>193</v>
      </c>
      <c r="F752" t="s">
        <v>194</v>
      </c>
      <c r="G752">
        <v>-5000</v>
      </c>
      <c r="H752" t="s">
        <v>162</v>
      </c>
      <c r="I752" t="s">
        <v>184</v>
      </c>
    </row>
    <row r="753" spans="1:9">
      <c r="A753" s="50">
        <v>45902</v>
      </c>
      <c r="B753" s="51">
        <v>0.6652430555555555</v>
      </c>
      <c r="C753" t="s">
        <v>165</v>
      </c>
      <c r="D753" t="s">
        <v>42</v>
      </c>
      <c r="E753" t="s">
        <v>247</v>
      </c>
      <c r="F753" t="s">
        <v>529</v>
      </c>
      <c r="G753">
        <v>170</v>
      </c>
      <c r="H753" t="s">
        <v>162</v>
      </c>
      <c r="I753" t="s">
        <v>173</v>
      </c>
    </row>
    <row r="754" spans="1:9">
      <c r="A754" s="50">
        <v>45902</v>
      </c>
      <c r="B754" s="51">
        <v>0.6652430555555555</v>
      </c>
      <c r="C754" t="s">
        <v>165</v>
      </c>
      <c r="D754" t="s">
        <v>42</v>
      </c>
      <c r="E754" t="s">
        <v>247</v>
      </c>
      <c r="F754" t="s">
        <v>529</v>
      </c>
      <c r="G754">
        <v>-170</v>
      </c>
      <c r="H754" t="s">
        <v>162</v>
      </c>
      <c r="I754" t="s">
        <v>173</v>
      </c>
    </row>
    <row r="755" spans="1:9">
      <c r="A755" s="50">
        <v>45902</v>
      </c>
      <c r="B755" s="51">
        <v>0.557662037037037</v>
      </c>
      <c r="C755" t="s">
        <v>158</v>
      </c>
      <c r="D755" t="s">
        <v>158</v>
      </c>
      <c r="E755" t="s">
        <v>160</v>
      </c>
      <c r="F755" t="s">
        <v>188</v>
      </c>
      <c r="G755">
        <v>2500</v>
      </c>
      <c r="H755" t="s">
        <v>162</v>
      </c>
      <c r="I755" t="s">
        <v>189</v>
      </c>
    </row>
    <row r="756" spans="1:9">
      <c r="A756" s="50">
        <v>45902</v>
      </c>
      <c r="B756" s="51">
        <v>0.5272222222222223</v>
      </c>
      <c r="C756" t="s">
        <v>165</v>
      </c>
      <c r="D756" t="s">
        <v>42</v>
      </c>
      <c r="E756" t="s">
        <v>264</v>
      </c>
      <c r="F756" t="s">
        <v>480</v>
      </c>
      <c r="G756">
        <v>-300000</v>
      </c>
      <c r="H756" t="s">
        <v>162</v>
      </c>
      <c r="I756" t="s">
        <v>60</v>
      </c>
    </row>
    <row r="757" spans="1:9">
      <c r="A757" s="50">
        <v>45902</v>
      </c>
      <c r="B757" s="51">
        <v>0.5179861111111111</v>
      </c>
      <c r="C757" t="s">
        <v>165</v>
      </c>
      <c r="D757" t="s">
        <v>46</v>
      </c>
      <c r="E757" t="s">
        <v>193</v>
      </c>
      <c r="F757" t="s">
        <v>194</v>
      </c>
      <c r="G757">
        <v>-5000</v>
      </c>
      <c r="H757" t="s">
        <v>162</v>
      </c>
      <c r="I757" t="s">
        <v>184</v>
      </c>
    </row>
    <row r="758" spans="1:9">
      <c r="A758" s="50">
        <v>45901</v>
      </c>
      <c r="B758" s="51">
        <v>0.6547106481481482</v>
      </c>
      <c r="C758" t="s">
        <v>158</v>
      </c>
      <c r="D758" t="s">
        <v>159</v>
      </c>
      <c r="E758" t="s">
        <v>160</v>
      </c>
      <c r="F758" t="s">
        <v>7</v>
      </c>
      <c r="G758">
        <v>-1</v>
      </c>
      <c r="H758" t="s">
        <v>162</v>
      </c>
      <c r="I758" t="s">
        <v>57</v>
      </c>
    </row>
    <row r="759" spans="1:9">
      <c r="A759" s="50">
        <v>45901</v>
      </c>
      <c r="B759" s="51">
        <v>0.6547106481481482</v>
      </c>
      <c r="C759" t="s">
        <v>158</v>
      </c>
      <c r="D759" t="s">
        <v>159</v>
      </c>
      <c r="E759" t="s">
        <v>160</v>
      </c>
      <c r="F759" t="s">
        <v>7</v>
      </c>
      <c r="G759">
        <v>1</v>
      </c>
      <c r="H759" t="s">
        <v>162</v>
      </c>
      <c r="I759" t="s">
        <v>60</v>
      </c>
    </row>
    <row r="760" spans="1:9">
      <c r="A760" s="50">
        <v>45901</v>
      </c>
      <c r="B760" s="51">
        <v>0.5536574074074074</v>
      </c>
      <c r="C760" t="s">
        <v>158</v>
      </c>
      <c r="D760" t="s">
        <v>158</v>
      </c>
      <c r="E760" t="s">
        <v>160</v>
      </c>
      <c r="F760" t="s">
        <v>188</v>
      </c>
      <c r="G760">
        <v>2500</v>
      </c>
      <c r="H760" t="s">
        <v>162</v>
      </c>
      <c r="I760" t="s">
        <v>189</v>
      </c>
    </row>
    <row r="761" spans="1:9">
      <c r="A761" s="50">
        <v>45901</v>
      </c>
      <c r="B761" s="51">
        <v>0.553599537037037</v>
      </c>
      <c r="C761" t="s">
        <v>158</v>
      </c>
      <c r="D761" t="s">
        <v>158</v>
      </c>
      <c r="E761" t="s">
        <v>160</v>
      </c>
      <c r="F761" t="s">
        <v>191</v>
      </c>
      <c r="G761">
        <v>2500</v>
      </c>
      <c r="H761" t="s">
        <v>162</v>
      </c>
      <c r="I761" t="s">
        <v>189</v>
      </c>
    </row>
    <row r="762" spans="1:9">
      <c r="A762" s="50">
        <v>45901</v>
      </c>
      <c r="B762" s="51">
        <v>0.5175925925925926</v>
      </c>
      <c r="C762" t="s">
        <v>165</v>
      </c>
      <c r="D762" t="s">
        <v>46</v>
      </c>
      <c r="E762" t="s">
        <v>193</v>
      </c>
      <c r="F762" t="s">
        <v>241</v>
      </c>
      <c r="G762">
        <v>-7500</v>
      </c>
      <c r="H762" t="s">
        <v>162</v>
      </c>
      <c r="I762" t="s">
        <v>451</v>
      </c>
    </row>
    <row r="763" spans="1:9">
      <c r="A763" s="50">
        <v>45901</v>
      </c>
      <c r="B763" s="51">
        <v>0.4321875</v>
      </c>
      <c r="C763" t="s">
        <v>165</v>
      </c>
      <c r="D763" t="s">
        <v>35</v>
      </c>
      <c r="E763" t="s">
        <v>179</v>
      </c>
      <c r="F763" t="s">
        <v>530</v>
      </c>
      <c r="G763">
        <v>-100000</v>
      </c>
      <c r="H763" t="s">
        <v>162</v>
      </c>
      <c r="I763" t="s">
        <v>60</v>
      </c>
    </row>
    <row r="764" spans="1:9">
      <c r="A764" s="50">
        <v>45900</v>
      </c>
      <c r="B764" s="51">
        <v>0.8469097222222223</v>
      </c>
      <c r="C764" t="s">
        <v>165</v>
      </c>
      <c r="D764" t="s">
        <v>38</v>
      </c>
      <c r="E764" t="s">
        <v>266</v>
      </c>
      <c r="F764" t="s">
        <v>531</v>
      </c>
      <c r="G764">
        <v>-13500</v>
      </c>
      <c r="H764" t="s">
        <v>162</v>
      </c>
      <c r="I764" t="s">
        <v>173</v>
      </c>
    </row>
    <row r="765" spans="1:9">
      <c r="A765" s="50">
        <v>45900</v>
      </c>
      <c r="B765" s="51">
        <v>0</v>
      </c>
      <c r="C765" t="s">
        <v>165</v>
      </c>
      <c r="D765" t="s">
        <v>34</v>
      </c>
      <c r="E765" t="s">
        <v>404</v>
      </c>
      <c r="F765" t="s">
        <v>532</v>
      </c>
      <c r="G765">
        <v>-4400</v>
      </c>
      <c r="H765" t="s">
        <v>162</v>
      </c>
      <c r="I765" t="s">
        <v>173</v>
      </c>
    </row>
    <row r="766" spans="1:9">
      <c r="A766" s="50">
        <v>45899</v>
      </c>
      <c r="B766" s="51">
        <v>0.820324074074074</v>
      </c>
      <c r="C766" t="s">
        <v>165</v>
      </c>
      <c r="D766" t="s">
        <v>40</v>
      </c>
      <c r="E766" t="s">
        <v>288</v>
      </c>
      <c r="F766" t="s">
        <v>533</v>
      </c>
      <c r="G766">
        <v>-26000</v>
      </c>
      <c r="H766" t="s">
        <v>162</v>
      </c>
      <c r="I766" t="s">
        <v>184</v>
      </c>
    </row>
    <row r="767" spans="1:9">
      <c r="A767" s="50">
        <v>45899</v>
      </c>
      <c r="B767" s="51">
        <v>0.7576736111111111</v>
      </c>
      <c r="C767" t="s">
        <v>165</v>
      </c>
      <c r="D767" t="s">
        <v>47</v>
      </c>
      <c r="E767" t="s">
        <v>534</v>
      </c>
      <c r="F767" t="s">
        <v>535</v>
      </c>
      <c r="G767">
        <v>-131400</v>
      </c>
      <c r="H767" t="s">
        <v>162</v>
      </c>
      <c r="I767" t="s">
        <v>173</v>
      </c>
    </row>
    <row r="768" spans="1:9">
      <c r="A768" s="50">
        <v>45899</v>
      </c>
      <c r="B768" s="51">
        <v>0.7164467592592593</v>
      </c>
      <c r="C768" t="s">
        <v>165</v>
      </c>
      <c r="D768" t="s">
        <v>47</v>
      </c>
      <c r="E768" t="s">
        <v>534</v>
      </c>
      <c r="F768" t="s">
        <v>535</v>
      </c>
      <c r="G768">
        <v>-68800</v>
      </c>
      <c r="H768" t="s">
        <v>162</v>
      </c>
      <c r="I768" t="s">
        <v>173</v>
      </c>
    </row>
    <row r="769" spans="1:9">
      <c r="A769" s="50">
        <v>45898</v>
      </c>
      <c r="B769" s="51">
        <v>0.7832754629629629</v>
      </c>
      <c r="C769" t="s">
        <v>165</v>
      </c>
      <c r="D769" t="s">
        <v>42</v>
      </c>
      <c r="E769" t="s">
        <v>171</v>
      </c>
      <c r="F769" t="s">
        <v>239</v>
      </c>
      <c r="G769">
        <v>-1000</v>
      </c>
      <c r="H769" t="s">
        <v>162</v>
      </c>
      <c r="I769" t="s">
        <v>240</v>
      </c>
    </row>
    <row r="770" spans="1:9">
      <c r="A770" s="50">
        <v>45898</v>
      </c>
      <c r="B770" s="51">
        <v>0.5208564814814814</v>
      </c>
      <c r="C770" t="s">
        <v>165</v>
      </c>
      <c r="D770" t="s">
        <v>35</v>
      </c>
      <c r="E770" t="s">
        <v>231</v>
      </c>
      <c r="F770" t="s">
        <v>232</v>
      </c>
      <c r="G770">
        <v>-5000</v>
      </c>
      <c r="H770" t="s">
        <v>162</v>
      </c>
      <c r="I770" t="s">
        <v>189</v>
      </c>
    </row>
    <row r="771" spans="1:9">
      <c r="A771" s="50">
        <v>45897</v>
      </c>
      <c r="B771" s="51">
        <v>0.9643981481481482</v>
      </c>
      <c r="C771" t="s">
        <v>165</v>
      </c>
      <c r="D771" t="s">
        <v>34</v>
      </c>
      <c r="E771" t="s">
        <v>404</v>
      </c>
      <c r="F771" t="s">
        <v>405</v>
      </c>
      <c r="G771">
        <v>-27800</v>
      </c>
      <c r="H771" t="s">
        <v>162</v>
      </c>
      <c r="I771" t="s">
        <v>176</v>
      </c>
    </row>
    <row r="772" spans="1:9">
      <c r="A772" s="50">
        <v>45897</v>
      </c>
      <c r="B772" s="51">
        <v>0.9633333333333334</v>
      </c>
      <c r="C772" t="s">
        <v>165</v>
      </c>
      <c r="D772" t="s">
        <v>34</v>
      </c>
      <c r="E772" t="s">
        <v>404</v>
      </c>
      <c r="F772" t="s">
        <v>405</v>
      </c>
      <c r="G772">
        <v>-27800</v>
      </c>
      <c r="H772" t="s">
        <v>162</v>
      </c>
      <c r="I772" t="s">
        <v>176</v>
      </c>
    </row>
    <row r="773" spans="1:9">
      <c r="A773" s="50">
        <v>45897</v>
      </c>
      <c r="B773" s="51">
        <v>0.9599884259259259</v>
      </c>
      <c r="C773" t="s">
        <v>165</v>
      </c>
      <c r="D773" t="s">
        <v>34</v>
      </c>
      <c r="E773" t="s">
        <v>177</v>
      </c>
      <c r="F773" t="s">
        <v>178</v>
      </c>
      <c r="G773">
        <v>-37000</v>
      </c>
      <c r="H773" t="s">
        <v>162</v>
      </c>
      <c r="I773" t="s">
        <v>169</v>
      </c>
    </row>
    <row r="774" spans="1:9">
      <c r="A774" s="50">
        <v>45897</v>
      </c>
      <c r="B774" s="51">
        <v>0.9599768518518519</v>
      </c>
      <c r="C774" t="s">
        <v>158</v>
      </c>
      <c r="D774" t="s">
        <v>159</v>
      </c>
      <c r="E774" t="s">
        <v>160</v>
      </c>
      <c r="F774" t="s">
        <v>161</v>
      </c>
      <c r="G774">
        <v>40000</v>
      </c>
      <c r="H774" t="s">
        <v>162</v>
      </c>
      <c r="I774" t="s">
        <v>163</v>
      </c>
    </row>
    <row r="775" spans="1:9">
      <c r="A775" s="50">
        <v>45897</v>
      </c>
      <c r="B775" s="51">
        <v>0.9599768518518519</v>
      </c>
      <c r="C775" t="s">
        <v>158</v>
      </c>
      <c r="D775" t="s">
        <v>159</v>
      </c>
      <c r="E775" t="s">
        <v>160</v>
      </c>
      <c r="F775" t="s">
        <v>164</v>
      </c>
      <c r="G775">
        <v>-40000</v>
      </c>
      <c r="H775" t="s">
        <v>162</v>
      </c>
      <c r="I775" t="s">
        <v>60</v>
      </c>
    </row>
    <row r="776" spans="1:9">
      <c r="A776" s="50">
        <v>45897</v>
      </c>
      <c r="B776" s="51">
        <v>0.9576388888888889</v>
      </c>
      <c r="C776" t="s">
        <v>158</v>
      </c>
      <c r="D776" t="s">
        <v>159</v>
      </c>
      <c r="E776" t="s">
        <v>160</v>
      </c>
      <c r="F776" t="s">
        <v>161</v>
      </c>
      <c r="G776">
        <v>40000</v>
      </c>
      <c r="H776" t="s">
        <v>162</v>
      </c>
      <c r="I776" t="s">
        <v>163</v>
      </c>
    </row>
    <row r="777" spans="1:9">
      <c r="A777" s="50">
        <v>45897</v>
      </c>
      <c r="B777" s="51">
        <v>0.9576388888888889</v>
      </c>
      <c r="C777" t="s">
        <v>165</v>
      </c>
      <c r="D777" t="s">
        <v>34</v>
      </c>
      <c r="E777" t="s">
        <v>177</v>
      </c>
      <c r="F777" t="s">
        <v>178</v>
      </c>
      <c r="G777">
        <v>-37000</v>
      </c>
      <c r="H777" t="s">
        <v>162</v>
      </c>
      <c r="I777" t="s">
        <v>169</v>
      </c>
    </row>
    <row r="778" spans="1:9">
      <c r="A778" s="50">
        <v>45897</v>
      </c>
      <c r="B778" s="51">
        <v>0.9576273148148148</v>
      </c>
      <c r="C778" t="s">
        <v>158</v>
      </c>
      <c r="D778" t="s">
        <v>159</v>
      </c>
      <c r="E778" t="s">
        <v>160</v>
      </c>
      <c r="F778" t="s">
        <v>164</v>
      </c>
      <c r="G778">
        <v>-40000</v>
      </c>
      <c r="H778" t="s">
        <v>162</v>
      </c>
      <c r="I778" t="s">
        <v>60</v>
      </c>
    </row>
    <row r="779" spans="1:9">
      <c r="A779" s="50">
        <v>45896</v>
      </c>
      <c r="B779" s="51">
        <v>0.5286689814814814</v>
      </c>
      <c r="C779" t="s">
        <v>158</v>
      </c>
      <c r="D779" t="s">
        <v>256</v>
      </c>
      <c r="E779" t="s">
        <v>160</v>
      </c>
      <c r="F779" t="s">
        <v>536</v>
      </c>
      <c r="G779">
        <v>7452</v>
      </c>
      <c r="H779" t="s">
        <v>162</v>
      </c>
      <c r="I779" t="s">
        <v>60</v>
      </c>
    </row>
    <row r="780" spans="1:9">
      <c r="A780" s="50">
        <v>45896</v>
      </c>
      <c r="B780" s="51">
        <v>0.4596064814814815</v>
      </c>
      <c r="C780" t="s">
        <v>158</v>
      </c>
      <c r="D780" t="s">
        <v>159</v>
      </c>
      <c r="E780" t="s">
        <v>160</v>
      </c>
      <c r="F780" t="s">
        <v>209</v>
      </c>
      <c r="G780">
        <v>-100000</v>
      </c>
      <c r="H780" t="s">
        <v>162</v>
      </c>
      <c r="I780" t="s">
        <v>60</v>
      </c>
    </row>
    <row r="781" spans="1:9">
      <c r="A781" s="50">
        <v>45895</v>
      </c>
      <c r="B781" s="51">
        <v>0.8340856481481481</v>
      </c>
      <c r="C781" t="s">
        <v>158</v>
      </c>
      <c r="D781" t="s">
        <v>159</v>
      </c>
      <c r="E781" t="s">
        <v>160</v>
      </c>
      <c r="F781" t="s">
        <v>210</v>
      </c>
      <c r="G781">
        <v>300000</v>
      </c>
      <c r="H781" t="s">
        <v>162</v>
      </c>
      <c r="I781" t="s">
        <v>367</v>
      </c>
    </row>
    <row r="782" spans="1:9">
      <c r="A782" s="50">
        <v>45895</v>
      </c>
      <c r="B782" s="51">
        <v>0.8340856481481481</v>
      </c>
      <c r="C782" t="s">
        <v>158</v>
      </c>
      <c r="D782" t="s">
        <v>159</v>
      </c>
      <c r="E782" t="s">
        <v>160</v>
      </c>
      <c r="F782" t="s">
        <v>537</v>
      </c>
      <c r="G782">
        <v>-300000</v>
      </c>
      <c r="H782" t="s">
        <v>162</v>
      </c>
      <c r="I782" t="s">
        <v>57</v>
      </c>
    </row>
    <row r="783" spans="1:9">
      <c r="A783" s="50">
        <v>45895</v>
      </c>
      <c r="B783" s="51">
        <v>0.7184143518518519</v>
      </c>
      <c r="C783" t="s">
        <v>158</v>
      </c>
      <c r="D783" t="s">
        <v>158</v>
      </c>
      <c r="E783" t="s">
        <v>160</v>
      </c>
      <c r="F783" t="s">
        <v>215</v>
      </c>
      <c r="G783">
        <v>-17800</v>
      </c>
      <c r="H783" t="s">
        <v>162</v>
      </c>
      <c r="I783" t="s">
        <v>60</v>
      </c>
    </row>
    <row r="784" spans="1:9">
      <c r="A784" s="50">
        <v>45895</v>
      </c>
      <c r="B784" s="51">
        <v>0.4262731481481482</v>
      </c>
      <c r="C784" t="s">
        <v>165</v>
      </c>
      <c r="D784" t="s">
        <v>35</v>
      </c>
      <c r="E784" t="s">
        <v>231</v>
      </c>
      <c r="F784" t="s">
        <v>232</v>
      </c>
      <c r="G784">
        <v>-2500</v>
      </c>
      <c r="H784" t="s">
        <v>162</v>
      </c>
      <c r="I784" t="s">
        <v>189</v>
      </c>
    </row>
    <row r="785" spans="1:9">
      <c r="A785" s="50">
        <v>45895</v>
      </c>
      <c r="B785" s="51">
        <v>0.4262615740740741</v>
      </c>
      <c r="C785" t="s">
        <v>158</v>
      </c>
      <c r="D785" t="s">
        <v>159</v>
      </c>
      <c r="E785" t="s">
        <v>160</v>
      </c>
      <c r="F785" t="s">
        <v>233</v>
      </c>
      <c r="G785">
        <v>-10000</v>
      </c>
      <c r="H785" t="s">
        <v>162</v>
      </c>
      <c r="I785" t="s">
        <v>60</v>
      </c>
    </row>
    <row r="786" spans="1:9">
      <c r="A786" s="50">
        <v>45895</v>
      </c>
      <c r="B786" s="51">
        <v>0.42625</v>
      </c>
      <c r="C786" t="s">
        <v>158</v>
      </c>
      <c r="D786" t="s">
        <v>159</v>
      </c>
      <c r="E786" t="s">
        <v>160</v>
      </c>
      <c r="F786" t="s">
        <v>220</v>
      </c>
      <c r="G786">
        <v>10000</v>
      </c>
      <c r="H786" t="s">
        <v>162</v>
      </c>
      <c r="I786" t="s">
        <v>189</v>
      </c>
    </row>
    <row r="787" spans="1:9">
      <c r="A787" s="50">
        <v>45895</v>
      </c>
      <c r="B787" s="51">
        <v>0.1440277777777778</v>
      </c>
      <c r="C787" t="s">
        <v>158</v>
      </c>
      <c r="D787" t="s">
        <v>159</v>
      </c>
      <c r="E787" t="s">
        <v>160</v>
      </c>
      <c r="F787" t="s">
        <v>538</v>
      </c>
      <c r="G787">
        <v>-100000</v>
      </c>
      <c r="H787" t="s">
        <v>162</v>
      </c>
      <c r="I787" t="s">
        <v>60</v>
      </c>
    </row>
    <row r="788" spans="1:9">
      <c r="A788" s="50">
        <v>45895</v>
      </c>
      <c r="B788" s="51">
        <v>0.1440277777777778</v>
      </c>
      <c r="C788" t="s">
        <v>158</v>
      </c>
      <c r="D788" t="s">
        <v>159</v>
      </c>
      <c r="E788" t="s">
        <v>160</v>
      </c>
      <c r="F788" t="s">
        <v>210</v>
      </c>
      <c r="G788">
        <v>100000</v>
      </c>
      <c r="H788" t="s">
        <v>162</v>
      </c>
      <c r="I788" t="s">
        <v>443</v>
      </c>
    </row>
    <row r="789" spans="1:9">
      <c r="A789" s="50">
        <v>45895</v>
      </c>
      <c r="B789" s="51">
        <v>0</v>
      </c>
      <c r="C789" t="s">
        <v>165</v>
      </c>
      <c r="D789" t="s">
        <v>34</v>
      </c>
      <c r="E789" t="s">
        <v>402</v>
      </c>
      <c r="F789" t="s">
        <v>539</v>
      </c>
      <c r="G789">
        <v>12500</v>
      </c>
      <c r="H789" t="s">
        <v>162</v>
      </c>
      <c r="I789" t="s">
        <v>173</v>
      </c>
    </row>
    <row r="790" spans="1:9">
      <c r="A790" s="50">
        <v>45894</v>
      </c>
      <c r="B790" s="51">
        <v>0.6158564814814815</v>
      </c>
      <c r="C790" t="s">
        <v>165</v>
      </c>
      <c r="D790" t="s">
        <v>35</v>
      </c>
      <c r="E790" t="s">
        <v>231</v>
      </c>
      <c r="F790" t="s">
        <v>232</v>
      </c>
      <c r="G790">
        <v>-100421</v>
      </c>
      <c r="H790" t="s">
        <v>162</v>
      </c>
      <c r="I790" t="s">
        <v>189</v>
      </c>
    </row>
    <row r="791" spans="1:9">
      <c r="A791" s="50">
        <v>45894</v>
      </c>
      <c r="B791" s="51">
        <v>0.6158449074074074</v>
      </c>
      <c r="C791" t="s">
        <v>158</v>
      </c>
      <c r="D791" t="s">
        <v>159</v>
      </c>
      <c r="E791" t="s">
        <v>160</v>
      </c>
      <c r="F791" t="s">
        <v>233</v>
      </c>
      <c r="G791">
        <v>-98416</v>
      </c>
      <c r="H791" t="s">
        <v>162</v>
      </c>
      <c r="I791" t="s">
        <v>60</v>
      </c>
    </row>
    <row r="792" spans="1:9">
      <c r="A792" s="50">
        <v>45894</v>
      </c>
      <c r="B792" s="51">
        <v>0.6158333333333333</v>
      </c>
      <c r="C792" t="s">
        <v>158</v>
      </c>
      <c r="D792" t="s">
        <v>159</v>
      </c>
      <c r="E792" t="s">
        <v>160</v>
      </c>
      <c r="F792" t="s">
        <v>220</v>
      </c>
      <c r="G792">
        <v>98416</v>
      </c>
      <c r="H792" t="s">
        <v>162</v>
      </c>
      <c r="I792" t="s">
        <v>189</v>
      </c>
    </row>
    <row r="793" spans="1:9">
      <c r="A793" s="50">
        <v>45894</v>
      </c>
      <c r="B793" s="51">
        <v>0.6027083333333333</v>
      </c>
      <c r="C793" t="s">
        <v>207</v>
      </c>
      <c r="D793" t="s">
        <v>28</v>
      </c>
      <c r="E793" t="s">
        <v>160</v>
      </c>
      <c r="F793" t="s">
        <v>540</v>
      </c>
      <c r="G793">
        <v>2608</v>
      </c>
      <c r="H793" t="s">
        <v>162</v>
      </c>
      <c r="I793" t="s">
        <v>60</v>
      </c>
    </row>
    <row r="794" spans="1:9">
      <c r="A794" s="50">
        <v>45894</v>
      </c>
      <c r="B794" s="51">
        <v>0.5363657407407407</v>
      </c>
      <c r="C794" t="s">
        <v>165</v>
      </c>
      <c r="D794" t="s">
        <v>46</v>
      </c>
      <c r="E794" t="s">
        <v>193</v>
      </c>
      <c r="F794" t="s">
        <v>194</v>
      </c>
      <c r="G794">
        <v>-5000</v>
      </c>
      <c r="H794" t="s">
        <v>162</v>
      </c>
      <c r="I794" t="s">
        <v>184</v>
      </c>
    </row>
    <row r="795" spans="1:9">
      <c r="A795" s="50">
        <v>45894</v>
      </c>
      <c r="B795" s="51">
        <v>0.4615740740740741</v>
      </c>
      <c r="C795" t="s">
        <v>165</v>
      </c>
      <c r="D795" t="s">
        <v>35</v>
      </c>
      <c r="E795" t="s">
        <v>221</v>
      </c>
      <c r="F795" t="s">
        <v>222</v>
      </c>
      <c r="G795">
        <v>-3000000</v>
      </c>
      <c r="H795" t="s">
        <v>162</v>
      </c>
      <c r="I795" t="s">
        <v>60</v>
      </c>
    </row>
    <row r="796" spans="1:9">
      <c r="A796" s="50">
        <v>45894</v>
      </c>
      <c r="B796" s="51">
        <v>0.3863194444444444</v>
      </c>
      <c r="C796" t="s">
        <v>207</v>
      </c>
      <c r="D796" t="s">
        <v>29</v>
      </c>
      <c r="E796" t="s">
        <v>160</v>
      </c>
      <c r="F796" t="s">
        <v>515</v>
      </c>
      <c r="G796">
        <v>4200663</v>
      </c>
      <c r="H796" t="s">
        <v>162</v>
      </c>
      <c r="I796" t="s">
        <v>60</v>
      </c>
    </row>
    <row r="797" spans="1:9">
      <c r="A797" s="50">
        <v>45894</v>
      </c>
      <c r="B797" s="51">
        <v>0.1678009259259259</v>
      </c>
      <c r="C797" t="s">
        <v>158</v>
      </c>
      <c r="D797" t="s">
        <v>159</v>
      </c>
      <c r="E797" t="s">
        <v>160</v>
      </c>
      <c r="F797" t="s">
        <v>210</v>
      </c>
      <c r="G797">
        <v>500000</v>
      </c>
      <c r="H797" t="s">
        <v>162</v>
      </c>
      <c r="I797" t="s">
        <v>447</v>
      </c>
    </row>
    <row r="798" spans="1:9">
      <c r="A798" s="50">
        <v>45894</v>
      </c>
      <c r="B798" s="51">
        <v>0.1678009259259259</v>
      </c>
      <c r="C798" t="s">
        <v>158</v>
      </c>
      <c r="D798" t="s">
        <v>159</v>
      </c>
      <c r="E798" t="s">
        <v>160</v>
      </c>
      <c r="F798" t="s">
        <v>541</v>
      </c>
      <c r="G798">
        <v>-500000</v>
      </c>
      <c r="H798" t="s">
        <v>162</v>
      </c>
      <c r="I798" t="s">
        <v>60</v>
      </c>
    </row>
    <row r="799" spans="1:9">
      <c r="A799" s="50">
        <v>45894</v>
      </c>
      <c r="B799" s="51">
        <v>0.1433333333333333</v>
      </c>
      <c r="C799" t="s">
        <v>165</v>
      </c>
      <c r="D799" t="s">
        <v>35</v>
      </c>
      <c r="E799" t="s">
        <v>218</v>
      </c>
      <c r="F799" t="s">
        <v>219</v>
      </c>
      <c r="G799">
        <v>-36120</v>
      </c>
      <c r="H799" t="s">
        <v>162</v>
      </c>
      <c r="I799" t="s">
        <v>60</v>
      </c>
    </row>
    <row r="800" spans="1:9">
      <c r="A800" s="50">
        <v>45894</v>
      </c>
      <c r="B800" s="51">
        <v>0.05106481481481481</v>
      </c>
      <c r="C800" t="s">
        <v>207</v>
      </c>
      <c r="D800" t="s">
        <v>31</v>
      </c>
      <c r="E800" t="s">
        <v>160</v>
      </c>
      <c r="F800" t="s">
        <v>542</v>
      </c>
      <c r="G800">
        <v>1</v>
      </c>
      <c r="H800" t="s">
        <v>162</v>
      </c>
      <c r="I800" t="s">
        <v>60</v>
      </c>
    </row>
    <row r="801" spans="1:9">
      <c r="A801" s="50">
        <v>45894</v>
      </c>
      <c r="B801" s="51">
        <v>0.04827546296296296</v>
      </c>
      <c r="C801" t="s">
        <v>207</v>
      </c>
      <c r="D801" t="s">
        <v>29</v>
      </c>
      <c r="E801" t="s">
        <v>160</v>
      </c>
      <c r="F801" t="s">
        <v>543</v>
      </c>
      <c r="G801">
        <v>193046</v>
      </c>
      <c r="H801" t="s">
        <v>162</v>
      </c>
      <c r="I801" t="s">
        <v>60</v>
      </c>
    </row>
    <row r="802" spans="1:9">
      <c r="A802" s="50">
        <v>45893</v>
      </c>
      <c r="B802" s="51">
        <v>0.5585532407407408</v>
      </c>
      <c r="C802" t="s">
        <v>165</v>
      </c>
      <c r="D802" t="s">
        <v>44</v>
      </c>
      <c r="E802" t="s">
        <v>182</v>
      </c>
      <c r="F802" t="s">
        <v>544</v>
      </c>
      <c r="G802">
        <v>-50000</v>
      </c>
      <c r="H802" t="s">
        <v>162</v>
      </c>
      <c r="I802" t="s">
        <v>173</v>
      </c>
    </row>
    <row r="803" spans="1:9">
      <c r="A803" s="50">
        <v>45893</v>
      </c>
      <c r="B803" s="51">
        <v>0.5544791666666666</v>
      </c>
      <c r="C803" t="s">
        <v>165</v>
      </c>
      <c r="D803" t="s">
        <v>38</v>
      </c>
      <c r="E803" t="s">
        <v>186</v>
      </c>
      <c r="F803" t="s">
        <v>187</v>
      </c>
      <c r="G803">
        <v>-80000</v>
      </c>
      <c r="H803" t="s">
        <v>162</v>
      </c>
      <c r="I803" t="s">
        <v>184</v>
      </c>
    </row>
    <row r="804" spans="1:9">
      <c r="A804" s="50">
        <v>45893</v>
      </c>
      <c r="B804" s="51">
        <v>0.4790046296296296</v>
      </c>
      <c r="C804" t="s">
        <v>158</v>
      </c>
      <c r="D804" t="s">
        <v>159</v>
      </c>
      <c r="E804" t="s">
        <v>160</v>
      </c>
      <c r="F804" t="s">
        <v>545</v>
      </c>
      <c r="G804">
        <v>-40000</v>
      </c>
      <c r="H804" t="s">
        <v>162</v>
      </c>
      <c r="I804" t="s">
        <v>60</v>
      </c>
    </row>
    <row r="805" spans="1:9">
      <c r="A805" s="50">
        <v>45893</v>
      </c>
      <c r="B805" s="51">
        <v>0.4724421296296296</v>
      </c>
      <c r="C805" t="s">
        <v>165</v>
      </c>
      <c r="D805" t="s">
        <v>38</v>
      </c>
      <c r="E805" t="s">
        <v>266</v>
      </c>
      <c r="F805" t="s">
        <v>546</v>
      </c>
      <c r="G805">
        <v>-2000</v>
      </c>
      <c r="H805" t="s">
        <v>162</v>
      </c>
      <c r="I805" t="s">
        <v>173</v>
      </c>
    </row>
    <row r="806" spans="1:9">
      <c r="A806" s="50">
        <v>45893</v>
      </c>
      <c r="B806" s="51">
        <v>0.4658564814814815</v>
      </c>
      <c r="C806" t="s">
        <v>165</v>
      </c>
      <c r="D806" t="s">
        <v>34</v>
      </c>
      <c r="E806" t="s">
        <v>404</v>
      </c>
      <c r="F806" t="s">
        <v>405</v>
      </c>
      <c r="G806">
        <v>-13900</v>
      </c>
      <c r="H806" t="s">
        <v>162</v>
      </c>
      <c r="I806" t="s">
        <v>176</v>
      </c>
    </row>
    <row r="807" spans="1:9">
      <c r="A807" s="50">
        <v>45893</v>
      </c>
      <c r="B807" s="51">
        <v>0.426099537037037</v>
      </c>
      <c r="C807" t="s">
        <v>165</v>
      </c>
      <c r="D807" t="s">
        <v>34</v>
      </c>
      <c r="E807" t="s">
        <v>404</v>
      </c>
      <c r="F807" t="s">
        <v>405</v>
      </c>
      <c r="G807">
        <v>12500</v>
      </c>
      <c r="H807" t="s">
        <v>162</v>
      </c>
      <c r="I807" t="s">
        <v>176</v>
      </c>
    </row>
    <row r="808" spans="1:9">
      <c r="A808" s="50">
        <v>45892</v>
      </c>
      <c r="B808" s="51">
        <v>0.7497916666666666</v>
      </c>
      <c r="C808" t="s">
        <v>165</v>
      </c>
      <c r="D808" t="s">
        <v>36</v>
      </c>
      <c r="E808" t="s">
        <v>346</v>
      </c>
      <c r="F808" t="s">
        <v>547</v>
      </c>
      <c r="G808">
        <v>-3000</v>
      </c>
      <c r="H808" t="s">
        <v>162</v>
      </c>
      <c r="I808" t="s">
        <v>173</v>
      </c>
    </row>
    <row r="809" spans="1:9">
      <c r="A809" s="50">
        <v>45892</v>
      </c>
      <c r="B809" s="51">
        <v>0.2558912037037037</v>
      </c>
      <c r="C809" t="s">
        <v>207</v>
      </c>
      <c r="D809" t="s">
        <v>28</v>
      </c>
      <c r="E809" t="s">
        <v>160</v>
      </c>
      <c r="F809" t="s">
        <v>211</v>
      </c>
      <c r="G809">
        <v>0</v>
      </c>
      <c r="H809" t="s">
        <v>162</v>
      </c>
      <c r="I809" t="s">
        <v>58</v>
      </c>
    </row>
    <row r="810" spans="1:9">
      <c r="A810" s="50">
        <v>45891</v>
      </c>
      <c r="B810" s="51">
        <v>0.7782175925925926</v>
      </c>
      <c r="C810" t="s">
        <v>165</v>
      </c>
      <c r="D810" t="s">
        <v>38</v>
      </c>
      <c r="E810" t="s">
        <v>266</v>
      </c>
      <c r="F810" t="s">
        <v>531</v>
      </c>
      <c r="G810">
        <v>-3100</v>
      </c>
      <c r="H810" t="s">
        <v>162</v>
      </c>
      <c r="I810" t="s">
        <v>173</v>
      </c>
    </row>
    <row r="811" spans="1:9">
      <c r="A811" s="50">
        <v>45891</v>
      </c>
      <c r="B811" s="51">
        <v>0.5760879629629629</v>
      </c>
      <c r="C811" t="s">
        <v>165</v>
      </c>
      <c r="D811" t="s">
        <v>35</v>
      </c>
      <c r="E811" t="s">
        <v>231</v>
      </c>
      <c r="F811" t="s">
        <v>232</v>
      </c>
      <c r="G811">
        <v>-17500</v>
      </c>
      <c r="H811" t="s">
        <v>162</v>
      </c>
      <c r="I811" t="s">
        <v>189</v>
      </c>
    </row>
    <row r="812" spans="1:9">
      <c r="A812" s="50">
        <v>45891</v>
      </c>
      <c r="B812" s="51">
        <v>0.5760763888888889</v>
      </c>
      <c r="C812" t="s">
        <v>158</v>
      </c>
      <c r="D812" t="s">
        <v>159</v>
      </c>
      <c r="E812" t="s">
        <v>160</v>
      </c>
      <c r="F812" t="s">
        <v>233</v>
      </c>
      <c r="G812">
        <v>-10000</v>
      </c>
      <c r="H812" t="s">
        <v>162</v>
      </c>
      <c r="I812" t="s">
        <v>60</v>
      </c>
    </row>
    <row r="813" spans="1:9">
      <c r="A813" s="50">
        <v>45891</v>
      </c>
      <c r="B813" s="51">
        <v>0.5760763888888889</v>
      </c>
      <c r="C813" t="s">
        <v>158</v>
      </c>
      <c r="D813" t="s">
        <v>159</v>
      </c>
      <c r="E813" t="s">
        <v>160</v>
      </c>
      <c r="F813" t="s">
        <v>220</v>
      </c>
      <c r="G813">
        <v>10000</v>
      </c>
      <c r="H813" t="s">
        <v>162</v>
      </c>
      <c r="I813" t="s">
        <v>189</v>
      </c>
    </row>
    <row r="814" spans="1:9">
      <c r="A814" s="50">
        <v>45890</v>
      </c>
      <c r="B814" s="51">
        <v>0.5947800925925926</v>
      </c>
      <c r="C814" t="s">
        <v>165</v>
      </c>
      <c r="D814" t="s">
        <v>35</v>
      </c>
      <c r="E814" t="s">
        <v>231</v>
      </c>
      <c r="F814" t="s">
        <v>232</v>
      </c>
      <c r="G814">
        <v>-13000</v>
      </c>
      <c r="H814" t="s">
        <v>162</v>
      </c>
      <c r="I814" t="s">
        <v>189</v>
      </c>
    </row>
    <row r="815" spans="1:9">
      <c r="A815" s="50">
        <v>45890</v>
      </c>
      <c r="B815" s="51">
        <v>0.5947685185185185</v>
      </c>
      <c r="C815" t="s">
        <v>158</v>
      </c>
      <c r="D815" t="s">
        <v>159</v>
      </c>
      <c r="E815" t="s">
        <v>160</v>
      </c>
      <c r="F815" t="s">
        <v>233</v>
      </c>
      <c r="G815">
        <v>-10000</v>
      </c>
      <c r="H815" t="s">
        <v>162</v>
      </c>
      <c r="I815" t="s">
        <v>60</v>
      </c>
    </row>
    <row r="816" spans="1:9">
      <c r="A816" s="50">
        <v>45890</v>
      </c>
      <c r="B816" s="51">
        <v>0.5947685185185185</v>
      </c>
      <c r="C816" t="s">
        <v>158</v>
      </c>
      <c r="D816" t="s">
        <v>159</v>
      </c>
      <c r="E816" t="s">
        <v>160</v>
      </c>
      <c r="F816" t="s">
        <v>220</v>
      </c>
      <c r="G816">
        <v>10000</v>
      </c>
      <c r="H816" t="s">
        <v>162</v>
      </c>
      <c r="I816" t="s">
        <v>189</v>
      </c>
    </row>
    <row r="817" spans="1:9">
      <c r="A817" s="50">
        <v>45890</v>
      </c>
      <c r="B817" s="51">
        <v>0.4203009259259259</v>
      </c>
      <c r="C817" t="s">
        <v>165</v>
      </c>
      <c r="D817" t="s">
        <v>45</v>
      </c>
      <c r="E817" t="s">
        <v>227</v>
      </c>
      <c r="F817" t="s">
        <v>228</v>
      </c>
      <c r="G817">
        <v>-40490</v>
      </c>
      <c r="H817" t="s">
        <v>162</v>
      </c>
      <c r="I817" t="s">
        <v>451</v>
      </c>
    </row>
    <row r="818" spans="1:9">
      <c r="A818" s="50">
        <v>45890</v>
      </c>
      <c r="B818" s="51">
        <v>0.1496064814814815</v>
      </c>
      <c r="C818" t="s">
        <v>165</v>
      </c>
      <c r="D818" t="s">
        <v>44</v>
      </c>
      <c r="E818" t="s">
        <v>363</v>
      </c>
      <c r="F818" t="s">
        <v>548</v>
      </c>
      <c r="G818">
        <v>-35950</v>
      </c>
      <c r="H818" t="s">
        <v>162</v>
      </c>
      <c r="I818" t="s">
        <v>60</v>
      </c>
    </row>
    <row r="819" spans="1:9">
      <c r="A819" s="50">
        <v>45889</v>
      </c>
      <c r="B819" s="51">
        <v>0.9136574074074074</v>
      </c>
      <c r="C819" t="s">
        <v>165</v>
      </c>
      <c r="D819" t="s">
        <v>44</v>
      </c>
      <c r="E819" t="s">
        <v>337</v>
      </c>
      <c r="F819" t="s">
        <v>549</v>
      </c>
      <c r="G819">
        <v>-5460</v>
      </c>
      <c r="H819" t="s">
        <v>162</v>
      </c>
      <c r="I819" t="s">
        <v>168</v>
      </c>
    </row>
    <row r="820" spans="1:9">
      <c r="A820" s="50">
        <v>45889</v>
      </c>
      <c r="B820" s="51">
        <v>0.9136574074074074</v>
      </c>
      <c r="C820" t="s">
        <v>165</v>
      </c>
      <c r="D820" t="s">
        <v>44</v>
      </c>
      <c r="E820" t="s">
        <v>337</v>
      </c>
      <c r="F820" t="s">
        <v>549</v>
      </c>
      <c r="G820">
        <v>-36007</v>
      </c>
      <c r="H820" t="s">
        <v>162</v>
      </c>
      <c r="I820" t="s">
        <v>169</v>
      </c>
    </row>
    <row r="821" spans="1:9">
      <c r="A821" s="50">
        <v>45889</v>
      </c>
      <c r="B821" s="51">
        <v>0.9136574074074074</v>
      </c>
      <c r="C821" t="s">
        <v>165</v>
      </c>
      <c r="D821" t="s">
        <v>44</v>
      </c>
      <c r="E821" t="s">
        <v>337</v>
      </c>
      <c r="F821" t="s">
        <v>549</v>
      </c>
      <c r="G821">
        <v>-12533</v>
      </c>
      <c r="H821" t="s">
        <v>162</v>
      </c>
      <c r="I821" t="s">
        <v>176</v>
      </c>
    </row>
    <row r="822" spans="1:9">
      <c r="A822" s="50">
        <v>45889</v>
      </c>
      <c r="B822" s="51">
        <v>0.7585995370370371</v>
      </c>
      <c r="C822" t="s">
        <v>165</v>
      </c>
      <c r="D822" t="s">
        <v>40</v>
      </c>
      <c r="E822" t="s">
        <v>292</v>
      </c>
      <c r="F822" t="s">
        <v>477</v>
      </c>
      <c r="G822">
        <v>-9600</v>
      </c>
      <c r="H822" t="s">
        <v>162</v>
      </c>
      <c r="I822" t="s">
        <v>184</v>
      </c>
    </row>
    <row r="823" spans="1:9">
      <c r="A823" s="50">
        <v>45889</v>
      </c>
      <c r="B823" s="51">
        <v>0.6469907407407407</v>
      </c>
      <c r="C823" t="s">
        <v>158</v>
      </c>
      <c r="D823" t="s">
        <v>158</v>
      </c>
      <c r="E823" t="s">
        <v>160</v>
      </c>
      <c r="F823" t="s">
        <v>188</v>
      </c>
      <c r="G823">
        <v>2500</v>
      </c>
      <c r="H823" t="s">
        <v>162</v>
      </c>
      <c r="I823" t="s">
        <v>189</v>
      </c>
    </row>
    <row r="824" spans="1:9">
      <c r="A824" s="50">
        <v>45889</v>
      </c>
      <c r="B824" s="51">
        <v>0.6469212962962962</v>
      </c>
      <c r="C824" t="s">
        <v>158</v>
      </c>
      <c r="D824" t="s">
        <v>158</v>
      </c>
      <c r="E824" t="s">
        <v>160</v>
      </c>
      <c r="F824" t="s">
        <v>318</v>
      </c>
      <c r="G824">
        <v>2500</v>
      </c>
      <c r="H824" t="s">
        <v>162</v>
      </c>
      <c r="I824" t="s">
        <v>189</v>
      </c>
    </row>
    <row r="825" spans="1:9">
      <c r="A825" s="50">
        <v>45889</v>
      </c>
      <c r="B825" s="51">
        <v>0.5857986111111111</v>
      </c>
      <c r="C825" t="s">
        <v>165</v>
      </c>
      <c r="D825" t="s">
        <v>44</v>
      </c>
      <c r="E825" t="s">
        <v>197</v>
      </c>
      <c r="F825" t="s">
        <v>198</v>
      </c>
      <c r="G825">
        <v>-50000</v>
      </c>
      <c r="H825" t="s">
        <v>162</v>
      </c>
      <c r="I825" t="s">
        <v>173</v>
      </c>
    </row>
    <row r="826" spans="1:9">
      <c r="A826" s="50">
        <v>45889</v>
      </c>
      <c r="B826" s="51">
        <v>0.5476504629629629</v>
      </c>
      <c r="C826" t="s">
        <v>158</v>
      </c>
      <c r="D826" t="s">
        <v>216</v>
      </c>
      <c r="E826" t="s">
        <v>160</v>
      </c>
      <c r="F826" t="s">
        <v>550</v>
      </c>
      <c r="G826">
        <v>-1400</v>
      </c>
      <c r="H826" t="s">
        <v>162</v>
      </c>
      <c r="I826" t="s">
        <v>60</v>
      </c>
    </row>
    <row r="827" spans="1:9">
      <c r="A827" s="50">
        <v>45889</v>
      </c>
      <c r="B827" s="51">
        <v>0.5183680555555555</v>
      </c>
      <c r="C827" t="s">
        <v>165</v>
      </c>
      <c r="D827" t="s">
        <v>46</v>
      </c>
      <c r="E827" t="s">
        <v>193</v>
      </c>
      <c r="F827" t="s">
        <v>194</v>
      </c>
      <c r="G827">
        <v>-7500</v>
      </c>
      <c r="H827" t="s">
        <v>162</v>
      </c>
      <c r="I827" t="s">
        <v>184</v>
      </c>
    </row>
    <row r="828" spans="1:9">
      <c r="A828" s="50">
        <v>45888</v>
      </c>
      <c r="B828" s="51">
        <v>0.9277430555555556</v>
      </c>
      <c r="C828" t="s">
        <v>158</v>
      </c>
      <c r="D828" t="s">
        <v>216</v>
      </c>
      <c r="E828" t="s">
        <v>160</v>
      </c>
      <c r="F828" t="s">
        <v>551</v>
      </c>
      <c r="G828">
        <v>-10000</v>
      </c>
      <c r="H828" t="s">
        <v>162</v>
      </c>
      <c r="I828" t="s">
        <v>60</v>
      </c>
    </row>
    <row r="829" spans="1:9">
      <c r="A829" s="50">
        <v>45888</v>
      </c>
      <c r="B829" s="51">
        <v>0.7519328703703704</v>
      </c>
      <c r="C829" t="s">
        <v>165</v>
      </c>
      <c r="D829" t="s">
        <v>40</v>
      </c>
      <c r="E829" t="s">
        <v>292</v>
      </c>
      <c r="F829" t="s">
        <v>552</v>
      </c>
      <c r="G829">
        <v>-24900</v>
      </c>
      <c r="H829" t="s">
        <v>162</v>
      </c>
      <c r="I829" t="s">
        <v>184</v>
      </c>
    </row>
    <row r="830" spans="1:9">
      <c r="A830" s="50">
        <v>45888</v>
      </c>
      <c r="B830" s="51">
        <v>0.5561921296296296</v>
      </c>
      <c r="C830" t="s">
        <v>158</v>
      </c>
      <c r="D830" t="s">
        <v>158</v>
      </c>
      <c r="E830" t="s">
        <v>160</v>
      </c>
      <c r="F830" t="s">
        <v>188</v>
      </c>
      <c r="G830">
        <v>2500</v>
      </c>
      <c r="H830" t="s">
        <v>162</v>
      </c>
      <c r="I830" t="s">
        <v>189</v>
      </c>
    </row>
    <row r="831" spans="1:9">
      <c r="A831" s="50">
        <v>45888</v>
      </c>
      <c r="B831" s="51">
        <v>0.549525462962963</v>
      </c>
      <c r="C831" t="s">
        <v>158</v>
      </c>
      <c r="D831" t="s">
        <v>304</v>
      </c>
      <c r="E831" t="s">
        <v>160</v>
      </c>
      <c r="F831" t="s">
        <v>553</v>
      </c>
      <c r="G831">
        <v>1</v>
      </c>
      <c r="H831" t="s">
        <v>162</v>
      </c>
      <c r="I831" t="s">
        <v>60</v>
      </c>
    </row>
    <row r="832" spans="1:9">
      <c r="A832" s="50">
        <v>45888</v>
      </c>
      <c r="B832" s="51">
        <v>0.5487962962962963</v>
      </c>
      <c r="C832" t="s">
        <v>207</v>
      </c>
      <c r="D832" t="s">
        <v>28</v>
      </c>
      <c r="E832" t="s">
        <v>160</v>
      </c>
      <c r="F832" t="s">
        <v>554</v>
      </c>
      <c r="G832">
        <v>1</v>
      </c>
      <c r="H832" t="s">
        <v>162</v>
      </c>
      <c r="I832" t="s">
        <v>60</v>
      </c>
    </row>
    <row r="833" spans="1:9">
      <c r="A833" s="50">
        <v>45888</v>
      </c>
      <c r="B833" s="51">
        <v>0.5481944444444444</v>
      </c>
      <c r="C833" t="s">
        <v>207</v>
      </c>
      <c r="D833" t="s">
        <v>28</v>
      </c>
      <c r="E833" t="s">
        <v>160</v>
      </c>
      <c r="F833" t="s">
        <v>555</v>
      </c>
      <c r="G833">
        <v>1</v>
      </c>
      <c r="H833" t="s">
        <v>162</v>
      </c>
      <c r="I833" t="s">
        <v>60</v>
      </c>
    </row>
    <row r="834" spans="1:9">
      <c r="A834" s="50">
        <v>45888</v>
      </c>
      <c r="B834" s="51">
        <v>0.5176273148148148</v>
      </c>
      <c r="C834" t="s">
        <v>165</v>
      </c>
      <c r="D834" t="s">
        <v>46</v>
      </c>
      <c r="E834" t="s">
        <v>193</v>
      </c>
      <c r="F834" t="s">
        <v>194</v>
      </c>
      <c r="G834">
        <v>-5000</v>
      </c>
      <c r="H834" t="s">
        <v>162</v>
      </c>
      <c r="I834" t="s">
        <v>184</v>
      </c>
    </row>
    <row r="835" spans="1:9">
      <c r="A835" s="50">
        <v>45888</v>
      </c>
      <c r="B835" s="51">
        <v>0.3847916666666666</v>
      </c>
      <c r="C835" t="s">
        <v>158</v>
      </c>
      <c r="D835" t="s">
        <v>158</v>
      </c>
      <c r="E835" t="s">
        <v>160</v>
      </c>
      <c r="F835" t="s">
        <v>556</v>
      </c>
      <c r="G835">
        <v>1</v>
      </c>
      <c r="H835" t="s">
        <v>162</v>
      </c>
      <c r="I835" t="s">
        <v>60</v>
      </c>
    </row>
    <row r="836" spans="1:9">
      <c r="A836" s="50">
        <v>45887</v>
      </c>
      <c r="B836" s="51">
        <v>0.6541319444444444</v>
      </c>
      <c r="C836" t="s">
        <v>158</v>
      </c>
      <c r="D836" t="s">
        <v>159</v>
      </c>
      <c r="E836" t="s">
        <v>160</v>
      </c>
      <c r="F836" t="s">
        <v>284</v>
      </c>
      <c r="G836">
        <v>-900000</v>
      </c>
      <c r="H836" t="s">
        <v>162</v>
      </c>
      <c r="I836" t="s">
        <v>60</v>
      </c>
    </row>
    <row r="837" spans="1:9">
      <c r="A837" s="50">
        <v>45887</v>
      </c>
      <c r="B837" s="51">
        <v>0.6014699074074074</v>
      </c>
      <c r="C837" t="s">
        <v>158</v>
      </c>
      <c r="D837" t="s">
        <v>158</v>
      </c>
      <c r="E837" t="s">
        <v>160</v>
      </c>
      <c r="F837" t="s">
        <v>188</v>
      </c>
      <c r="G837">
        <v>2500</v>
      </c>
      <c r="H837" t="s">
        <v>162</v>
      </c>
      <c r="I837" t="s">
        <v>189</v>
      </c>
    </row>
    <row r="838" spans="1:9">
      <c r="A838" s="50">
        <v>45887</v>
      </c>
      <c r="B838" s="51">
        <v>0.5713194444444445</v>
      </c>
      <c r="C838" t="s">
        <v>165</v>
      </c>
      <c r="D838" t="s">
        <v>34</v>
      </c>
      <c r="E838" t="s">
        <v>404</v>
      </c>
      <c r="F838" t="s">
        <v>405</v>
      </c>
      <c r="G838">
        <v>-14700</v>
      </c>
      <c r="H838" t="s">
        <v>162</v>
      </c>
      <c r="I838" t="s">
        <v>176</v>
      </c>
    </row>
    <row r="839" spans="1:9">
      <c r="A839" s="50">
        <v>45887</v>
      </c>
      <c r="B839" s="51">
        <v>0.5696064814814815</v>
      </c>
      <c r="C839" t="s">
        <v>165</v>
      </c>
      <c r="D839" t="s">
        <v>34</v>
      </c>
      <c r="E839" t="s">
        <v>404</v>
      </c>
      <c r="F839" t="s">
        <v>405</v>
      </c>
      <c r="G839">
        <v>-14700</v>
      </c>
      <c r="H839" t="s">
        <v>162</v>
      </c>
      <c r="I839" t="s">
        <v>176</v>
      </c>
    </row>
    <row r="840" spans="1:9">
      <c r="A840" s="50">
        <v>45887</v>
      </c>
      <c r="B840" s="51">
        <v>0.5184606481481482</v>
      </c>
      <c r="C840" t="s">
        <v>165</v>
      </c>
      <c r="D840" t="s">
        <v>46</v>
      </c>
      <c r="E840" t="s">
        <v>193</v>
      </c>
      <c r="F840" t="s">
        <v>194</v>
      </c>
      <c r="G840">
        <v>-5000</v>
      </c>
      <c r="H840" t="s">
        <v>162</v>
      </c>
      <c r="I840" t="s">
        <v>184</v>
      </c>
    </row>
    <row r="841" spans="1:9">
      <c r="A841" s="50">
        <v>45887</v>
      </c>
      <c r="B841" s="51">
        <v>0.1394675925925926</v>
      </c>
      <c r="C841" t="s">
        <v>165</v>
      </c>
      <c r="D841" t="s">
        <v>35</v>
      </c>
      <c r="E841" t="s">
        <v>231</v>
      </c>
      <c r="F841" t="s">
        <v>333</v>
      </c>
      <c r="G841">
        <v>-16500</v>
      </c>
      <c r="H841" t="s">
        <v>162</v>
      </c>
      <c r="I841" t="s">
        <v>60</v>
      </c>
    </row>
    <row r="842" spans="1:9">
      <c r="A842" s="50">
        <v>45885</v>
      </c>
      <c r="B842" s="51">
        <v>0.6886805555555555</v>
      </c>
      <c r="C842" t="s">
        <v>165</v>
      </c>
      <c r="D842" t="s">
        <v>44</v>
      </c>
      <c r="E842" t="s">
        <v>182</v>
      </c>
      <c r="F842" t="s">
        <v>557</v>
      </c>
      <c r="G842">
        <v>-60000</v>
      </c>
      <c r="H842" t="s">
        <v>162</v>
      </c>
      <c r="I842" t="s">
        <v>558</v>
      </c>
    </row>
    <row r="843" spans="1:9">
      <c r="A843" s="50">
        <v>45884</v>
      </c>
      <c r="B843" s="51">
        <v>0.7931712962962963</v>
      </c>
      <c r="C843" t="s">
        <v>165</v>
      </c>
      <c r="D843" t="s">
        <v>40</v>
      </c>
      <c r="E843" t="s">
        <v>288</v>
      </c>
      <c r="F843" t="s">
        <v>559</v>
      </c>
      <c r="G843">
        <v>-6000</v>
      </c>
      <c r="H843" t="s">
        <v>162</v>
      </c>
      <c r="I843" t="s">
        <v>558</v>
      </c>
    </row>
    <row r="844" spans="1:9">
      <c r="A844" s="50">
        <v>45884</v>
      </c>
      <c r="B844" s="51">
        <v>0.7886342592592592</v>
      </c>
      <c r="C844" t="s">
        <v>165</v>
      </c>
      <c r="D844" t="s">
        <v>40</v>
      </c>
      <c r="E844" t="s">
        <v>288</v>
      </c>
      <c r="F844" t="s">
        <v>560</v>
      </c>
      <c r="G844">
        <v>-10000</v>
      </c>
      <c r="H844" t="s">
        <v>162</v>
      </c>
      <c r="I844" t="s">
        <v>558</v>
      </c>
    </row>
    <row r="845" spans="1:9">
      <c r="A845" s="50">
        <v>45884</v>
      </c>
      <c r="B845" s="51">
        <v>0.774525462962963</v>
      </c>
      <c r="C845" t="s">
        <v>165</v>
      </c>
      <c r="D845" t="s">
        <v>37</v>
      </c>
      <c r="E845" t="s">
        <v>414</v>
      </c>
      <c r="F845" t="s">
        <v>561</v>
      </c>
      <c r="G845">
        <v>-6000</v>
      </c>
      <c r="H845" t="s">
        <v>162</v>
      </c>
      <c r="I845" t="s">
        <v>558</v>
      </c>
    </row>
    <row r="846" spans="1:9">
      <c r="A846" s="50">
        <v>45884</v>
      </c>
      <c r="B846" s="51">
        <v>0.5152430555555556</v>
      </c>
      <c r="C846" t="s">
        <v>158</v>
      </c>
      <c r="D846" t="s">
        <v>158</v>
      </c>
      <c r="E846" t="s">
        <v>160</v>
      </c>
      <c r="F846" t="s">
        <v>318</v>
      </c>
      <c r="G846">
        <v>2500</v>
      </c>
      <c r="H846" t="s">
        <v>162</v>
      </c>
      <c r="I846" t="s">
        <v>189</v>
      </c>
    </row>
    <row r="847" spans="1:9">
      <c r="A847" s="50">
        <v>45884</v>
      </c>
      <c r="B847" s="51">
        <v>0.4900810185185185</v>
      </c>
      <c r="C847" t="s">
        <v>207</v>
      </c>
      <c r="D847" t="s">
        <v>30</v>
      </c>
      <c r="E847" t="s">
        <v>160</v>
      </c>
      <c r="F847" t="s">
        <v>562</v>
      </c>
      <c r="G847">
        <v>1</v>
      </c>
      <c r="H847" t="s">
        <v>162</v>
      </c>
      <c r="I847" t="s">
        <v>60</v>
      </c>
    </row>
    <row r="848" spans="1:9">
      <c r="A848" s="50">
        <v>45884</v>
      </c>
      <c r="B848" s="51">
        <v>0.4849421296296296</v>
      </c>
      <c r="C848" t="s">
        <v>165</v>
      </c>
      <c r="D848" t="s">
        <v>37</v>
      </c>
      <c r="E848" t="s">
        <v>199</v>
      </c>
      <c r="F848" t="s">
        <v>563</v>
      </c>
      <c r="G848">
        <v>-20000</v>
      </c>
      <c r="H848" t="s">
        <v>162</v>
      </c>
      <c r="I848" t="s">
        <v>184</v>
      </c>
    </row>
    <row r="849" spans="1:9">
      <c r="A849" s="50">
        <v>45883</v>
      </c>
      <c r="B849" s="51">
        <v>0.8319791666666667</v>
      </c>
      <c r="C849" t="s">
        <v>165</v>
      </c>
      <c r="D849" t="s">
        <v>35</v>
      </c>
      <c r="E849" t="s">
        <v>221</v>
      </c>
      <c r="F849" t="s">
        <v>222</v>
      </c>
      <c r="G849">
        <v>-1000000</v>
      </c>
      <c r="H849" t="s">
        <v>162</v>
      </c>
      <c r="I849" t="s">
        <v>60</v>
      </c>
    </row>
    <row r="850" spans="1:9">
      <c r="A850" s="50">
        <v>45883</v>
      </c>
      <c r="B850" s="51">
        <v>0.8250810185185186</v>
      </c>
      <c r="C850" t="s">
        <v>165</v>
      </c>
      <c r="D850" t="s">
        <v>40</v>
      </c>
      <c r="E850" t="s">
        <v>292</v>
      </c>
      <c r="F850" t="s">
        <v>552</v>
      </c>
      <c r="G850">
        <v>-16900</v>
      </c>
      <c r="H850" t="s">
        <v>162</v>
      </c>
      <c r="I850" t="s">
        <v>184</v>
      </c>
    </row>
    <row r="851" spans="1:9">
      <c r="A851" s="50">
        <v>45883</v>
      </c>
      <c r="B851" s="51">
        <v>0.7110763888888889</v>
      </c>
      <c r="C851" t="s">
        <v>165</v>
      </c>
      <c r="D851" t="s">
        <v>35</v>
      </c>
      <c r="E851" t="s">
        <v>231</v>
      </c>
      <c r="F851" t="s">
        <v>232</v>
      </c>
      <c r="G851">
        <v>-50000</v>
      </c>
      <c r="H851" t="s">
        <v>162</v>
      </c>
      <c r="I851" t="s">
        <v>189</v>
      </c>
    </row>
    <row r="852" spans="1:9">
      <c r="A852" s="50">
        <v>45883</v>
      </c>
      <c r="B852" s="51">
        <v>0.7110648148148148</v>
      </c>
      <c r="C852" t="s">
        <v>158</v>
      </c>
      <c r="D852" t="s">
        <v>159</v>
      </c>
      <c r="E852" t="s">
        <v>160</v>
      </c>
      <c r="F852" t="s">
        <v>220</v>
      </c>
      <c r="G852">
        <v>39994</v>
      </c>
      <c r="H852" t="s">
        <v>162</v>
      </c>
      <c r="I852" t="s">
        <v>189</v>
      </c>
    </row>
    <row r="853" spans="1:9">
      <c r="A853" s="50">
        <v>45883</v>
      </c>
      <c r="B853" s="51">
        <v>0.7110648148148148</v>
      </c>
      <c r="C853" t="s">
        <v>158</v>
      </c>
      <c r="D853" t="s">
        <v>159</v>
      </c>
      <c r="E853" t="s">
        <v>160</v>
      </c>
      <c r="F853" t="s">
        <v>233</v>
      </c>
      <c r="G853">
        <v>-39994</v>
      </c>
      <c r="H853" t="s">
        <v>162</v>
      </c>
      <c r="I853" t="s">
        <v>60</v>
      </c>
    </row>
    <row r="854" spans="1:9">
      <c r="A854" s="50">
        <v>45883</v>
      </c>
      <c r="B854" s="51">
        <v>0.6138888888888889</v>
      </c>
      <c r="C854" t="s">
        <v>165</v>
      </c>
      <c r="D854" t="s">
        <v>42</v>
      </c>
      <c r="E854" t="s">
        <v>264</v>
      </c>
      <c r="F854" t="s">
        <v>564</v>
      </c>
      <c r="G854">
        <v>-26590</v>
      </c>
      <c r="H854" t="s">
        <v>162</v>
      </c>
      <c r="I854" t="s">
        <v>558</v>
      </c>
    </row>
    <row r="855" spans="1:9">
      <c r="A855" s="50">
        <v>45883</v>
      </c>
      <c r="B855" s="51">
        <v>0.5760300925925926</v>
      </c>
      <c r="C855" t="s">
        <v>158</v>
      </c>
      <c r="D855" t="s">
        <v>158</v>
      </c>
      <c r="E855" t="s">
        <v>160</v>
      </c>
      <c r="F855" t="s">
        <v>188</v>
      </c>
      <c r="G855">
        <v>2500</v>
      </c>
      <c r="H855" t="s">
        <v>162</v>
      </c>
      <c r="I855" t="s">
        <v>189</v>
      </c>
    </row>
    <row r="856" spans="1:9">
      <c r="A856" s="50">
        <v>45883</v>
      </c>
      <c r="B856" s="51">
        <v>0.5174537037037037</v>
      </c>
      <c r="C856" t="s">
        <v>165</v>
      </c>
      <c r="D856" t="s">
        <v>46</v>
      </c>
      <c r="E856" t="s">
        <v>193</v>
      </c>
      <c r="F856" t="s">
        <v>194</v>
      </c>
      <c r="G856">
        <v>-7500</v>
      </c>
      <c r="H856" t="s">
        <v>162</v>
      </c>
      <c r="I856" t="s">
        <v>184</v>
      </c>
    </row>
    <row r="857" spans="1:9">
      <c r="A857" s="50">
        <v>45881</v>
      </c>
      <c r="B857" s="51">
        <v>0.7638310185185185</v>
      </c>
      <c r="C857" t="s">
        <v>165</v>
      </c>
      <c r="D857" t="s">
        <v>40</v>
      </c>
      <c r="E857" t="s">
        <v>475</v>
      </c>
      <c r="F857" t="s">
        <v>565</v>
      </c>
      <c r="G857">
        <v>-6800</v>
      </c>
      <c r="H857" t="s">
        <v>162</v>
      </c>
      <c r="I857" t="s">
        <v>558</v>
      </c>
    </row>
    <row r="858" spans="1:9">
      <c r="A858" s="50">
        <v>45881</v>
      </c>
      <c r="B858" s="51">
        <v>0.5194444444444445</v>
      </c>
      <c r="C858" t="s">
        <v>165</v>
      </c>
      <c r="D858" t="s">
        <v>35</v>
      </c>
      <c r="E858" t="s">
        <v>231</v>
      </c>
      <c r="F858" t="s">
        <v>232</v>
      </c>
      <c r="G858">
        <v>-5000</v>
      </c>
      <c r="H858" t="s">
        <v>162</v>
      </c>
      <c r="I858" t="s">
        <v>189</v>
      </c>
    </row>
    <row r="859" spans="1:9">
      <c r="A859" s="50">
        <v>45880</v>
      </c>
      <c r="B859" s="51">
        <v>0.7648611111111111</v>
      </c>
      <c r="C859" t="s">
        <v>165</v>
      </c>
      <c r="D859" t="s">
        <v>38</v>
      </c>
      <c r="E859" t="s">
        <v>186</v>
      </c>
      <c r="F859" t="s">
        <v>187</v>
      </c>
      <c r="G859">
        <v>-20000</v>
      </c>
      <c r="H859" t="s">
        <v>162</v>
      </c>
      <c r="I859" t="s">
        <v>60</v>
      </c>
    </row>
    <row r="860" spans="1:9">
      <c r="A860" s="50">
        <v>45880</v>
      </c>
      <c r="B860" s="51">
        <v>0.7648495370370371</v>
      </c>
      <c r="C860" t="s">
        <v>165</v>
      </c>
      <c r="D860" t="s">
        <v>38</v>
      </c>
      <c r="E860" t="s">
        <v>186</v>
      </c>
      <c r="F860" t="s">
        <v>187</v>
      </c>
      <c r="G860">
        <v>-160000</v>
      </c>
      <c r="H860" t="s">
        <v>162</v>
      </c>
      <c r="I860" t="s">
        <v>558</v>
      </c>
    </row>
    <row r="861" spans="1:9">
      <c r="A861" s="50">
        <v>45880</v>
      </c>
      <c r="B861" s="51">
        <v>0</v>
      </c>
      <c r="C861" t="s">
        <v>165</v>
      </c>
      <c r="D861" t="s">
        <v>34</v>
      </c>
      <c r="E861" t="s">
        <v>404</v>
      </c>
      <c r="F861" t="s">
        <v>566</v>
      </c>
      <c r="G861">
        <v>-1400</v>
      </c>
      <c r="H861" t="s">
        <v>162</v>
      </c>
      <c r="I861" t="s">
        <v>558</v>
      </c>
    </row>
    <row r="862" spans="1:9">
      <c r="A862" s="50">
        <v>45878</v>
      </c>
      <c r="B862" s="51">
        <v>0.07833333333333334</v>
      </c>
      <c r="C862" t="s">
        <v>158</v>
      </c>
      <c r="D862" t="s">
        <v>160</v>
      </c>
      <c r="E862" t="s">
        <v>160</v>
      </c>
      <c r="F862" t="s">
        <v>210</v>
      </c>
      <c r="G862">
        <v>992</v>
      </c>
      <c r="H862" t="s">
        <v>162</v>
      </c>
      <c r="I862" t="s">
        <v>57</v>
      </c>
    </row>
    <row r="863" spans="1:9">
      <c r="A863" s="50">
        <v>45877</v>
      </c>
      <c r="B863" s="51">
        <v>0.9878125</v>
      </c>
      <c r="C863" t="s">
        <v>165</v>
      </c>
      <c r="D863" t="s">
        <v>34</v>
      </c>
      <c r="E863" t="s">
        <v>213</v>
      </c>
      <c r="F863" t="s">
        <v>567</v>
      </c>
      <c r="G863">
        <v>-5590</v>
      </c>
      <c r="H863" t="s">
        <v>162</v>
      </c>
      <c r="I863" t="s">
        <v>558</v>
      </c>
    </row>
    <row r="864" spans="1:9">
      <c r="A864" s="50">
        <v>45877</v>
      </c>
      <c r="B864" s="51">
        <v>0.9823958333333334</v>
      </c>
      <c r="C864" t="s">
        <v>165</v>
      </c>
      <c r="D864" t="s">
        <v>34</v>
      </c>
      <c r="E864" t="s">
        <v>213</v>
      </c>
      <c r="F864" t="s">
        <v>315</v>
      </c>
      <c r="G864">
        <v>6200</v>
      </c>
      <c r="H864" t="s">
        <v>162</v>
      </c>
      <c r="I864" t="s">
        <v>558</v>
      </c>
    </row>
    <row r="865" spans="1:9">
      <c r="A865" s="50">
        <v>45877</v>
      </c>
      <c r="B865" s="51">
        <v>0.9823842592592592</v>
      </c>
      <c r="C865" t="s">
        <v>165</v>
      </c>
      <c r="D865" t="s">
        <v>34</v>
      </c>
      <c r="E865" t="s">
        <v>213</v>
      </c>
      <c r="F865" t="s">
        <v>315</v>
      </c>
      <c r="G865">
        <v>-6200</v>
      </c>
      <c r="H865" t="s">
        <v>162</v>
      </c>
      <c r="I865" t="s">
        <v>558</v>
      </c>
    </row>
    <row r="866" spans="1:9">
      <c r="A866" s="50">
        <v>45877</v>
      </c>
      <c r="B866" s="51">
        <v>0.5510416666666667</v>
      </c>
      <c r="C866" t="s">
        <v>158</v>
      </c>
      <c r="D866" t="s">
        <v>158</v>
      </c>
      <c r="E866" t="s">
        <v>160</v>
      </c>
      <c r="F866" t="s">
        <v>188</v>
      </c>
      <c r="G866">
        <v>2500</v>
      </c>
      <c r="H866" t="s">
        <v>162</v>
      </c>
      <c r="I866" t="s">
        <v>189</v>
      </c>
    </row>
    <row r="867" spans="1:9">
      <c r="A867" s="50">
        <v>45877</v>
      </c>
      <c r="B867" s="51">
        <v>0.5128935185185185</v>
      </c>
      <c r="C867" t="s">
        <v>165</v>
      </c>
      <c r="D867" t="s">
        <v>46</v>
      </c>
      <c r="E867" t="s">
        <v>193</v>
      </c>
      <c r="F867" t="s">
        <v>194</v>
      </c>
      <c r="G867">
        <v>-5000</v>
      </c>
      <c r="H867" t="s">
        <v>162</v>
      </c>
      <c r="I867" t="s">
        <v>184</v>
      </c>
    </row>
    <row r="868" spans="1:9">
      <c r="A868" s="50">
        <v>45876</v>
      </c>
      <c r="B868" s="51">
        <v>0.7764004629629629</v>
      </c>
      <c r="C868" t="s">
        <v>165</v>
      </c>
      <c r="D868" t="s">
        <v>40</v>
      </c>
      <c r="E868" t="s">
        <v>288</v>
      </c>
      <c r="F868" t="s">
        <v>289</v>
      </c>
      <c r="G868">
        <v>-40000</v>
      </c>
      <c r="H868" t="s">
        <v>162</v>
      </c>
      <c r="I868" t="s">
        <v>558</v>
      </c>
    </row>
    <row r="869" spans="1:9">
      <c r="A869" s="50">
        <v>45875</v>
      </c>
      <c r="B869" s="51">
        <v>0.5561226851851852</v>
      </c>
      <c r="C869" t="s">
        <v>158</v>
      </c>
      <c r="D869" t="s">
        <v>158</v>
      </c>
      <c r="E869" t="s">
        <v>160</v>
      </c>
      <c r="F869" t="s">
        <v>188</v>
      </c>
      <c r="G869">
        <v>2500</v>
      </c>
      <c r="H869" t="s">
        <v>162</v>
      </c>
      <c r="I869" t="s">
        <v>189</v>
      </c>
    </row>
    <row r="870" spans="1:9">
      <c r="A870" s="50">
        <v>45875</v>
      </c>
      <c r="B870" s="51">
        <v>0.5148611111111111</v>
      </c>
      <c r="C870" t="s">
        <v>165</v>
      </c>
      <c r="D870" t="s">
        <v>46</v>
      </c>
      <c r="E870" t="s">
        <v>193</v>
      </c>
      <c r="F870" t="s">
        <v>194</v>
      </c>
      <c r="G870">
        <v>-5000</v>
      </c>
      <c r="H870" t="s">
        <v>162</v>
      </c>
      <c r="I870" t="s">
        <v>184</v>
      </c>
    </row>
    <row r="871" spans="1:9">
      <c r="A871" s="50">
        <v>45873</v>
      </c>
      <c r="B871" s="51">
        <v>0.7876041666666667</v>
      </c>
      <c r="C871" t="s">
        <v>158</v>
      </c>
      <c r="D871" t="s">
        <v>158</v>
      </c>
      <c r="E871" t="s">
        <v>160</v>
      </c>
      <c r="F871" t="s">
        <v>191</v>
      </c>
      <c r="G871">
        <v>2500</v>
      </c>
      <c r="H871" t="s">
        <v>162</v>
      </c>
      <c r="I871" t="s">
        <v>189</v>
      </c>
    </row>
    <row r="872" spans="1:9">
      <c r="A872" s="50">
        <v>45873</v>
      </c>
      <c r="B872" s="51">
        <v>0.6525925925925926</v>
      </c>
      <c r="C872" t="s">
        <v>158</v>
      </c>
      <c r="D872" t="s">
        <v>158</v>
      </c>
      <c r="E872" t="s">
        <v>160</v>
      </c>
      <c r="F872" t="s">
        <v>188</v>
      </c>
      <c r="G872">
        <v>2500</v>
      </c>
      <c r="H872" t="s">
        <v>162</v>
      </c>
      <c r="I872" t="s">
        <v>189</v>
      </c>
    </row>
    <row r="873" spans="1:9">
      <c r="A873" s="50">
        <v>45873</v>
      </c>
      <c r="B873" s="51">
        <v>0.6525115740740741</v>
      </c>
      <c r="C873" t="s">
        <v>158</v>
      </c>
      <c r="D873" t="s">
        <v>158</v>
      </c>
      <c r="E873" t="s">
        <v>160</v>
      </c>
      <c r="F873" t="s">
        <v>318</v>
      </c>
      <c r="G873">
        <v>2500</v>
      </c>
      <c r="H873" t="s">
        <v>162</v>
      </c>
      <c r="I873" t="s">
        <v>189</v>
      </c>
    </row>
    <row r="874" spans="1:9">
      <c r="A874" s="50">
        <v>45873</v>
      </c>
      <c r="B874" s="51">
        <v>0.5198495370370371</v>
      </c>
      <c r="C874" t="s">
        <v>165</v>
      </c>
      <c r="D874" t="s">
        <v>46</v>
      </c>
      <c r="E874" t="s">
        <v>193</v>
      </c>
      <c r="F874" t="s">
        <v>194</v>
      </c>
      <c r="G874">
        <v>-10000</v>
      </c>
      <c r="H874" t="s">
        <v>162</v>
      </c>
      <c r="I874" t="s">
        <v>184</v>
      </c>
    </row>
    <row r="875" spans="1:9">
      <c r="A875" s="50">
        <v>45872</v>
      </c>
      <c r="B875" s="51">
        <v>0.9855902777777777</v>
      </c>
      <c r="C875" t="s">
        <v>165</v>
      </c>
      <c r="D875" t="s">
        <v>34</v>
      </c>
      <c r="E875" t="s">
        <v>177</v>
      </c>
      <c r="F875" t="s">
        <v>178</v>
      </c>
      <c r="G875">
        <v>-37000</v>
      </c>
      <c r="H875" t="s">
        <v>162</v>
      </c>
      <c r="I875" t="s">
        <v>189</v>
      </c>
    </row>
    <row r="876" spans="1:9">
      <c r="A876" s="50">
        <v>45872</v>
      </c>
      <c r="B876" s="51">
        <v>0.9855787037037037</v>
      </c>
      <c r="C876" t="s">
        <v>165</v>
      </c>
      <c r="D876" t="s">
        <v>34</v>
      </c>
      <c r="E876" t="s">
        <v>177</v>
      </c>
      <c r="F876" t="s">
        <v>178</v>
      </c>
      <c r="G876">
        <v>-37000</v>
      </c>
      <c r="H876" t="s">
        <v>162</v>
      </c>
      <c r="I876" t="s">
        <v>240</v>
      </c>
    </row>
    <row r="877" spans="1:9">
      <c r="A877" s="50">
        <v>45872</v>
      </c>
      <c r="B877" s="51">
        <v>0.9846412037037037</v>
      </c>
      <c r="C877" t="s">
        <v>165</v>
      </c>
      <c r="D877" t="s">
        <v>34</v>
      </c>
      <c r="E877" t="s">
        <v>177</v>
      </c>
      <c r="F877" t="s">
        <v>178</v>
      </c>
      <c r="G877">
        <v>-37000</v>
      </c>
      <c r="H877" t="s">
        <v>162</v>
      </c>
      <c r="I877" t="s">
        <v>240</v>
      </c>
    </row>
    <row r="878" spans="1:9">
      <c r="A878" s="50">
        <v>45872</v>
      </c>
      <c r="B878" s="51">
        <v>0.9845949074074074</v>
      </c>
      <c r="C878" t="s">
        <v>158</v>
      </c>
      <c r="D878" t="s">
        <v>158</v>
      </c>
      <c r="E878" t="s">
        <v>160</v>
      </c>
      <c r="F878" t="s">
        <v>233</v>
      </c>
      <c r="G878">
        <v>-31067</v>
      </c>
      <c r="H878" t="s">
        <v>162</v>
      </c>
      <c r="I878" t="s">
        <v>60</v>
      </c>
    </row>
    <row r="879" spans="1:9">
      <c r="A879" s="50">
        <v>45872</v>
      </c>
      <c r="B879" s="51">
        <v>0.1015856481481481</v>
      </c>
      <c r="C879" t="s">
        <v>165</v>
      </c>
      <c r="D879" t="s">
        <v>41</v>
      </c>
      <c r="E879" t="s">
        <v>568</v>
      </c>
      <c r="F879" t="s">
        <v>569</v>
      </c>
      <c r="G879">
        <v>27000</v>
      </c>
      <c r="H879" t="s">
        <v>162</v>
      </c>
      <c r="I879" t="s">
        <v>169</v>
      </c>
    </row>
    <row r="880" spans="1:9">
      <c r="A880" s="50">
        <v>45871</v>
      </c>
      <c r="B880" s="51">
        <v>0.8013194444444445</v>
      </c>
      <c r="C880" t="s">
        <v>165</v>
      </c>
      <c r="D880" t="s">
        <v>34</v>
      </c>
      <c r="E880" t="s">
        <v>213</v>
      </c>
      <c r="F880" t="s">
        <v>345</v>
      </c>
      <c r="G880">
        <v>-10690</v>
      </c>
      <c r="H880" t="s">
        <v>162</v>
      </c>
      <c r="I880" t="s">
        <v>558</v>
      </c>
    </row>
    <row r="881" spans="1:9">
      <c r="A881" s="50">
        <v>45871</v>
      </c>
      <c r="B881" s="51">
        <v>0.792337962962963</v>
      </c>
      <c r="C881" t="s">
        <v>165</v>
      </c>
      <c r="D881" t="s">
        <v>34</v>
      </c>
      <c r="E881" t="s">
        <v>213</v>
      </c>
      <c r="F881" t="s">
        <v>315</v>
      </c>
      <c r="G881">
        <v>10000</v>
      </c>
      <c r="H881" t="s">
        <v>162</v>
      </c>
      <c r="I881" t="s">
        <v>558</v>
      </c>
    </row>
    <row r="882" spans="1:9">
      <c r="A882" s="50">
        <v>45871</v>
      </c>
      <c r="B882" s="51">
        <v>0.7923263888888888</v>
      </c>
      <c r="C882" t="s">
        <v>165</v>
      </c>
      <c r="D882" t="s">
        <v>34</v>
      </c>
      <c r="E882" t="s">
        <v>213</v>
      </c>
      <c r="F882" t="s">
        <v>315</v>
      </c>
      <c r="G882">
        <v>-10000</v>
      </c>
      <c r="H882" t="s">
        <v>162</v>
      </c>
      <c r="I882" t="s">
        <v>558</v>
      </c>
    </row>
    <row r="883" spans="1:9">
      <c r="A883" s="50">
        <v>45870</v>
      </c>
      <c r="B883" s="51">
        <v>0.9861921296296297</v>
      </c>
      <c r="C883" t="s">
        <v>165</v>
      </c>
      <c r="D883" t="s">
        <v>38</v>
      </c>
      <c r="E883" t="s">
        <v>266</v>
      </c>
      <c r="F883" t="s">
        <v>570</v>
      </c>
      <c r="G883">
        <v>-6480</v>
      </c>
      <c r="H883" t="s">
        <v>162</v>
      </c>
      <c r="I883" t="s">
        <v>558</v>
      </c>
    </row>
    <row r="884" spans="1:9">
      <c r="A884" s="50">
        <v>45870</v>
      </c>
      <c r="B884" s="51">
        <v>0.8006018518518518</v>
      </c>
      <c r="C884" t="s">
        <v>165</v>
      </c>
      <c r="D884" t="s">
        <v>40</v>
      </c>
      <c r="E884" t="s">
        <v>571</v>
      </c>
      <c r="F884" t="s">
        <v>572</v>
      </c>
      <c r="G884">
        <v>-59800</v>
      </c>
      <c r="H884" t="s">
        <v>162</v>
      </c>
      <c r="I884" t="s">
        <v>558</v>
      </c>
    </row>
    <row r="885" spans="1:9">
      <c r="A885" s="50">
        <v>45870</v>
      </c>
      <c r="B885" s="51">
        <v>0.7894907407407408</v>
      </c>
      <c r="C885" t="s">
        <v>165</v>
      </c>
      <c r="D885" t="s">
        <v>40</v>
      </c>
      <c r="E885" t="s">
        <v>571</v>
      </c>
      <c r="F885" t="s">
        <v>572</v>
      </c>
      <c r="G885">
        <v>-36650</v>
      </c>
      <c r="H885" t="s">
        <v>162</v>
      </c>
      <c r="I885" t="s">
        <v>558</v>
      </c>
    </row>
    <row r="886" spans="1:9">
      <c r="A886" s="50">
        <v>45870</v>
      </c>
      <c r="B886" s="51">
        <v>0.529074074074074</v>
      </c>
      <c r="C886" t="s">
        <v>165</v>
      </c>
      <c r="D886" t="s">
        <v>46</v>
      </c>
      <c r="E886" t="s">
        <v>193</v>
      </c>
      <c r="F886" t="s">
        <v>573</v>
      </c>
      <c r="G886">
        <v>-4000</v>
      </c>
      <c r="H886" t="s">
        <v>162</v>
      </c>
      <c r="I886" t="s">
        <v>558</v>
      </c>
    </row>
    <row r="887" spans="1:9">
      <c r="A887" s="50">
        <v>45870</v>
      </c>
      <c r="B887" s="51">
        <v>0.4407754629629629</v>
      </c>
      <c r="C887" t="s">
        <v>165</v>
      </c>
      <c r="D887" t="s">
        <v>42</v>
      </c>
      <c r="E887" t="s">
        <v>264</v>
      </c>
      <c r="F887" t="s">
        <v>480</v>
      </c>
      <c r="G887">
        <v>-300000</v>
      </c>
      <c r="H887" t="s">
        <v>162</v>
      </c>
      <c r="I887" t="s">
        <v>60</v>
      </c>
    </row>
    <row r="888" spans="1:9">
      <c r="A888" s="50">
        <v>45869</v>
      </c>
      <c r="B888" s="51">
        <v>0.7436921296296296</v>
      </c>
      <c r="C888" t="s">
        <v>165</v>
      </c>
      <c r="D888" t="s">
        <v>34</v>
      </c>
      <c r="E888" t="s">
        <v>213</v>
      </c>
      <c r="F888" t="s">
        <v>574</v>
      </c>
      <c r="G888">
        <v>-4300</v>
      </c>
      <c r="H888" t="s">
        <v>162</v>
      </c>
      <c r="I888" t="s">
        <v>558</v>
      </c>
    </row>
    <row r="889" spans="1:9">
      <c r="A889" s="50">
        <v>45869</v>
      </c>
      <c r="B889" s="51">
        <v>0.7392361111111111</v>
      </c>
      <c r="C889" t="s">
        <v>165</v>
      </c>
      <c r="D889" t="s">
        <v>34</v>
      </c>
      <c r="E889" t="s">
        <v>213</v>
      </c>
      <c r="F889" t="s">
        <v>463</v>
      </c>
      <c r="G889">
        <v>4900</v>
      </c>
      <c r="H889" t="s">
        <v>162</v>
      </c>
      <c r="I889" t="s">
        <v>558</v>
      </c>
    </row>
    <row r="890" spans="1:9">
      <c r="A890" s="50">
        <v>45869</v>
      </c>
      <c r="B890" s="51">
        <v>0.7392245370370371</v>
      </c>
      <c r="C890" t="s">
        <v>165</v>
      </c>
      <c r="D890" t="s">
        <v>34</v>
      </c>
      <c r="E890" t="s">
        <v>213</v>
      </c>
      <c r="F890" t="s">
        <v>463</v>
      </c>
      <c r="G890">
        <v>-4900</v>
      </c>
      <c r="H890" t="s">
        <v>162</v>
      </c>
      <c r="I890" t="s">
        <v>558</v>
      </c>
    </row>
    <row r="891" spans="1:9">
      <c r="A891" s="50">
        <v>45869</v>
      </c>
      <c r="B891" s="51">
        <v>0.6726620370370371</v>
      </c>
      <c r="C891" t="s">
        <v>165</v>
      </c>
      <c r="D891" t="s">
        <v>44</v>
      </c>
      <c r="E891" t="s">
        <v>300</v>
      </c>
      <c r="F891" t="s">
        <v>575</v>
      </c>
      <c r="G891">
        <v>-3000</v>
      </c>
      <c r="H891" t="s">
        <v>162</v>
      </c>
      <c r="I891" t="s">
        <v>558</v>
      </c>
    </row>
    <row r="892" spans="1:9">
      <c r="A892" s="50">
        <v>45868</v>
      </c>
      <c r="B892" s="51">
        <v>0.5448495370370371</v>
      </c>
      <c r="C892" t="s">
        <v>165</v>
      </c>
      <c r="D892" t="s">
        <v>46</v>
      </c>
      <c r="E892" t="s">
        <v>193</v>
      </c>
      <c r="F892" t="s">
        <v>576</v>
      </c>
      <c r="G892">
        <v>-19000</v>
      </c>
      <c r="H892" t="s">
        <v>162</v>
      </c>
      <c r="I892" t="s">
        <v>558</v>
      </c>
    </row>
    <row r="893" spans="1:9">
      <c r="A893" s="50">
        <v>45868</v>
      </c>
      <c r="B893" s="51">
        <v>0.5415277777777778</v>
      </c>
      <c r="C893" t="s">
        <v>165</v>
      </c>
      <c r="D893" t="s">
        <v>46</v>
      </c>
      <c r="E893" t="s">
        <v>193</v>
      </c>
      <c r="F893" t="s">
        <v>576</v>
      </c>
      <c r="G893">
        <v>-12600</v>
      </c>
      <c r="H893" t="s">
        <v>162</v>
      </c>
      <c r="I893" t="s">
        <v>558</v>
      </c>
    </row>
    <row r="894" spans="1:9">
      <c r="A894" s="50">
        <v>45867</v>
      </c>
      <c r="B894" s="51">
        <v>0.9240393518518518</v>
      </c>
      <c r="C894" t="s">
        <v>165</v>
      </c>
      <c r="D894" t="s">
        <v>38</v>
      </c>
      <c r="E894" t="s">
        <v>266</v>
      </c>
      <c r="F894" t="s">
        <v>577</v>
      </c>
      <c r="G894">
        <v>-7200</v>
      </c>
      <c r="H894" t="s">
        <v>162</v>
      </c>
      <c r="I894" t="s">
        <v>558</v>
      </c>
    </row>
    <row r="895" spans="1:9">
      <c r="A895" s="50">
        <v>45866</v>
      </c>
      <c r="B895" s="51">
        <v>0.8375810185185185</v>
      </c>
      <c r="C895" t="s">
        <v>158</v>
      </c>
      <c r="D895" t="s">
        <v>159</v>
      </c>
      <c r="E895" t="s">
        <v>160</v>
      </c>
      <c r="F895" t="s">
        <v>578</v>
      </c>
      <c r="G895">
        <v>-300000</v>
      </c>
      <c r="H895" t="s">
        <v>162</v>
      </c>
      <c r="I895" t="s">
        <v>57</v>
      </c>
    </row>
    <row r="896" spans="1:9">
      <c r="A896" s="50">
        <v>45866</v>
      </c>
      <c r="B896" s="51">
        <v>0.8375810185185185</v>
      </c>
      <c r="C896" t="s">
        <v>158</v>
      </c>
      <c r="D896" t="s">
        <v>159</v>
      </c>
      <c r="E896" t="s">
        <v>160</v>
      </c>
      <c r="F896" t="s">
        <v>210</v>
      </c>
      <c r="G896">
        <v>300000</v>
      </c>
      <c r="H896" t="s">
        <v>162</v>
      </c>
      <c r="I896" t="s">
        <v>367</v>
      </c>
    </row>
    <row r="897" spans="1:9">
      <c r="A897" s="50">
        <v>45866</v>
      </c>
      <c r="B897" s="51">
        <v>0.721574074074074</v>
      </c>
      <c r="C897" t="s">
        <v>158</v>
      </c>
      <c r="D897" t="s">
        <v>158</v>
      </c>
      <c r="E897" t="s">
        <v>160</v>
      </c>
      <c r="F897" t="s">
        <v>215</v>
      </c>
      <c r="G897">
        <v>-17800</v>
      </c>
      <c r="H897" t="s">
        <v>162</v>
      </c>
      <c r="I897" t="s">
        <v>60</v>
      </c>
    </row>
    <row r="898" spans="1:9">
      <c r="A898" s="50">
        <v>45866</v>
      </c>
      <c r="B898" s="51">
        <v>0.46625</v>
      </c>
      <c r="C898" t="s">
        <v>158</v>
      </c>
      <c r="D898" t="s">
        <v>159</v>
      </c>
      <c r="E898" t="s">
        <v>160</v>
      </c>
      <c r="F898" t="s">
        <v>209</v>
      </c>
      <c r="G898">
        <v>-100000</v>
      </c>
      <c r="H898" t="s">
        <v>162</v>
      </c>
      <c r="I898" t="s">
        <v>60</v>
      </c>
    </row>
    <row r="899" spans="1:9">
      <c r="A899" s="50">
        <v>45866</v>
      </c>
      <c r="B899" s="51">
        <v>0.1510069444444445</v>
      </c>
      <c r="C899" t="s">
        <v>158</v>
      </c>
      <c r="D899" t="s">
        <v>159</v>
      </c>
      <c r="E899" t="s">
        <v>160</v>
      </c>
      <c r="F899" t="s">
        <v>579</v>
      </c>
      <c r="G899">
        <v>-100000</v>
      </c>
      <c r="H899" t="s">
        <v>162</v>
      </c>
      <c r="I899" t="s">
        <v>60</v>
      </c>
    </row>
    <row r="900" spans="1:9">
      <c r="A900" s="50">
        <v>45866</v>
      </c>
      <c r="B900" s="51">
        <v>0.1510069444444445</v>
      </c>
      <c r="C900" t="s">
        <v>158</v>
      </c>
      <c r="D900" t="s">
        <v>159</v>
      </c>
      <c r="E900" t="s">
        <v>160</v>
      </c>
      <c r="F900" t="s">
        <v>210</v>
      </c>
      <c r="G900">
        <v>100000</v>
      </c>
      <c r="H900" t="s">
        <v>162</v>
      </c>
      <c r="I900" t="s">
        <v>443</v>
      </c>
    </row>
    <row r="901" spans="1:9">
      <c r="A901" s="50">
        <v>45864</v>
      </c>
      <c r="B901" s="51">
        <v>0.6852777777777778</v>
      </c>
      <c r="C901" t="s">
        <v>165</v>
      </c>
      <c r="D901" t="s">
        <v>36</v>
      </c>
      <c r="E901" t="s">
        <v>454</v>
      </c>
      <c r="F901" t="s">
        <v>580</v>
      </c>
      <c r="G901">
        <v>-50000</v>
      </c>
      <c r="H901" t="s">
        <v>162</v>
      </c>
      <c r="I901" t="s">
        <v>558</v>
      </c>
    </row>
    <row r="902" spans="1:9">
      <c r="A902" s="50">
        <v>45864</v>
      </c>
      <c r="B902" s="51">
        <v>0.3353819444444445</v>
      </c>
      <c r="C902" t="s">
        <v>165</v>
      </c>
      <c r="D902" t="s">
        <v>34</v>
      </c>
      <c r="E902" t="s">
        <v>213</v>
      </c>
      <c r="F902" t="s">
        <v>567</v>
      </c>
      <c r="G902">
        <v>-11150</v>
      </c>
      <c r="H902" t="s">
        <v>162</v>
      </c>
      <c r="I902" t="s">
        <v>558</v>
      </c>
    </row>
    <row r="903" spans="1:9">
      <c r="A903" s="50">
        <v>45864</v>
      </c>
      <c r="B903" s="51">
        <v>0.3245486111111111</v>
      </c>
      <c r="C903" t="s">
        <v>165</v>
      </c>
      <c r="D903" t="s">
        <v>34</v>
      </c>
      <c r="E903" t="s">
        <v>213</v>
      </c>
      <c r="F903" t="s">
        <v>315</v>
      </c>
      <c r="G903">
        <v>9300</v>
      </c>
      <c r="H903" t="s">
        <v>162</v>
      </c>
      <c r="I903" t="s">
        <v>558</v>
      </c>
    </row>
    <row r="904" spans="1:9">
      <c r="A904" s="50">
        <v>45864</v>
      </c>
      <c r="B904" s="51">
        <v>0.324537037037037</v>
      </c>
      <c r="C904" t="s">
        <v>165</v>
      </c>
      <c r="D904" t="s">
        <v>34</v>
      </c>
      <c r="E904" t="s">
        <v>213</v>
      </c>
      <c r="F904" t="s">
        <v>315</v>
      </c>
      <c r="G904">
        <v>-9300</v>
      </c>
      <c r="H904" t="s">
        <v>162</v>
      </c>
      <c r="I904" t="s">
        <v>558</v>
      </c>
    </row>
    <row r="905" spans="1:9">
      <c r="A905" s="50">
        <v>45864</v>
      </c>
      <c r="B905" s="51">
        <v>0.2391087962962963</v>
      </c>
      <c r="C905" t="s">
        <v>207</v>
      </c>
      <c r="D905" t="s">
        <v>28</v>
      </c>
      <c r="E905" t="s">
        <v>160</v>
      </c>
      <c r="F905" t="s">
        <v>211</v>
      </c>
      <c r="G905">
        <v>0</v>
      </c>
      <c r="H905" t="s">
        <v>162</v>
      </c>
      <c r="I905" t="s">
        <v>58</v>
      </c>
    </row>
    <row r="906" spans="1:9">
      <c r="A906" s="50">
        <v>45863</v>
      </c>
      <c r="B906" s="51">
        <v>0.7500810185185185</v>
      </c>
      <c r="C906" t="s">
        <v>165</v>
      </c>
      <c r="D906" t="s">
        <v>38</v>
      </c>
      <c r="E906" t="s">
        <v>186</v>
      </c>
      <c r="F906" t="s">
        <v>187</v>
      </c>
      <c r="G906">
        <v>-80000</v>
      </c>
      <c r="H906" t="s">
        <v>162</v>
      </c>
      <c r="I906" t="s">
        <v>558</v>
      </c>
    </row>
    <row r="907" spans="1:9">
      <c r="A907" s="50">
        <v>45863</v>
      </c>
      <c r="B907" s="51">
        <v>0.604386574074074</v>
      </c>
      <c r="C907" t="s">
        <v>165</v>
      </c>
      <c r="D907" t="s">
        <v>35</v>
      </c>
      <c r="E907" t="s">
        <v>221</v>
      </c>
      <c r="F907" t="s">
        <v>222</v>
      </c>
      <c r="G907">
        <v>-3000000</v>
      </c>
      <c r="H907" t="s">
        <v>162</v>
      </c>
      <c r="I907" t="s">
        <v>60</v>
      </c>
    </row>
    <row r="908" spans="1:9">
      <c r="A908" s="50">
        <v>45863</v>
      </c>
      <c r="B908" s="51">
        <v>0.3859375</v>
      </c>
      <c r="C908" t="s">
        <v>207</v>
      </c>
      <c r="D908" t="s">
        <v>29</v>
      </c>
      <c r="E908" t="s">
        <v>160</v>
      </c>
      <c r="F908" t="s">
        <v>515</v>
      </c>
      <c r="G908">
        <v>4200724</v>
      </c>
      <c r="H908" t="s">
        <v>162</v>
      </c>
      <c r="I908" t="s">
        <v>60</v>
      </c>
    </row>
    <row r="909" spans="1:9">
      <c r="A909" s="50">
        <v>45863</v>
      </c>
      <c r="B909" s="51">
        <v>0.1638194444444444</v>
      </c>
      <c r="C909" t="s">
        <v>158</v>
      </c>
      <c r="D909" t="s">
        <v>159</v>
      </c>
      <c r="E909" t="s">
        <v>160</v>
      </c>
      <c r="F909" t="s">
        <v>581</v>
      </c>
      <c r="G909">
        <v>-500000</v>
      </c>
      <c r="H909" t="s">
        <v>162</v>
      </c>
      <c r="I909" t="s">
        <v>60</v>
      </c>
    </row>
    <row r="910" spans="1:9">
      <c r="A910" s="50">
        <v>45863</v>
      </c>
      <c r="B910" s="51">
        <v>0.1638194444444444</v>
      </c>
      <c r="C910" t="s">
        <v>158</v>
      </c>
      <c r="D910" t="s">
        <v>159</v>
      </c>
      <c r="E910" t="s">
        <v>160</v>
      </c>
      <c r="F910" t="s">
        <v>210</v>
      </c>
      <c r="G910">
        <v>500000</v>
      </c>
      <c r="H910" t="s">
        <v>162</v>
      </c>
      <c r="I910" t="s">
        <v>447</v>
      </c>
    </row>
    <row r="911" spans="1:9">
      <c r="A911" s="50">
        <v>45863</v>
      </c>
      <c r="B911" s="51">
        <v>0.1413194444444444</v>
      </c>
      <c r="C911" t="s">
        <v>165</v>
      </c>
      <c r="D911" t="s">
        <v>35</v>
      </c>
      <c r="E911" t="s">
        <v>218</v>
      </c>
      <c r="F911" t="s">
        <v>219</v>
      </c>
      <c r="G911">
        <v>-36120</v>
      </c>
      <c r="H911" t="s">
        <v>162</v>
      </c>
      <c r="I911" t="s">
        <v>60</v>
      </c>
    </row>
    <row r="912" spans="1:9">
      <c r="A912" s="50">
        <v>45862</v>
      </c>
      <c r="B912" s="51">
        <v>0.6593287037037037</v>
      </c>
      <c r="C912" t="s">
        <v>165</v>
      </c>
      <c r="D912" t="s">
        <v>35</v>
      </c>
      <c r="E912" t="s">
        <v>231</v>
      </c>
      <c r="F912" t="s">
        <v>232</v>
      </c>
      <c r="G912">
        <v>-13375</v>
      </c>
      <c r="H912" t="s">
        <v>162</v>
      </c>
      <c r="I912" t="s">
        <v>189</v>
      </c>
    </row>
    <row r="913" spans="1:9">
      <c r="A913" s="50">
        <v>45862</v>
      </c>
      <c r="B913" s="51">
        <v>0.6593171296296296</v>
      </c>
      <c r="C913" t="s">
        <v>158</v>
      </c>
      <c r="D913" t="s">
        <v>159</v>
      </c>
      <c r="E913" t="s">
        <v>160</v>
      </c>
      <c r="F913" t="s">
        <v>233</v>
      </c>
      <c r="G913">
        <v>-10000</v>
      </c>
      <c r="H913" t="s">
        <v>162</v>
      </c>
      <c r="I913" t="s">
        <v>60</v>
      </c>
    </row>
    <row r="914" spans="1:9">
      <c r="A914" s="50">
        <v>45862</v>
      </c>
      <c r="B914" s="51">
        <v>0.6593055555555556</v>
      </c>
      <c r="C914" t="s">
        <v>158</v>
      </c>
      <c r="D914" t="s">
        <v>159</v>
      </c>
      <c r="E914" t="s">
        <v>160</v>
      </c>
      <c r="F914" t="s">
        <v>220</v>
      </c>
      <c r="G914">
        <v>10000</v>
      </c>
      <c r="H914" t="s">
        <v>162</v>
      </c>
      <c r="I914" t="s">
        <v>189</v>
      </c>
    </row>
    <row r="915" spans="1:9">
      <c r="A915" s="50">
        <v>45862</v>
      </c>
      <c r="B915" s="51">
        <v>0.6552199074074074</v>
      </c>
      <c r="C915" t="s">
        <v>158</v>
      </c>
      <c r="D915" t="s">
        <v>158</v>
      </c>
      <c r="E915" t="s">
        <v>160</v>
      </c>
      <c r="F915" t="s">
        <v>318</v>
      </c>
      <c r="G915">
        <v>2500</v>
      </c>
      <c r="H915" t="s">
        <v>162</v>
      </c>
      <c r="I915" t="s">
        <v>189</v>
      </c>
    </row>
    <row r="916" spans="1:9">
      <c r="A916" s="50">
        <v>45862</v>
      </c>
      <c r="B916" s="51">
        <v>0.5331597222222222</v>
      </c>
      <c r="C916" t="s">
        <v>165</v>
      </c>
      <c r="D916" t="s">
        <v>38</v>
      </c>
      <c r="E916" t="s">
        <v>166</v>
      </c>
      <c r="F916" t="s">
        <v>582</v>
      </c>
      <c r="G916">
        <v>-60000</v>
      </c>
      <c r="H916" t="s">
        <v>162</v>
      </c>
      <c r="I916" t="s">
        <v>60</v>
      </c>
    </row>
    <row r="917" spans="1:9">
      <c r="A917" s="50">
        <v>45862</v>
      </c>
      <c r="B917" s="51">
        <v>0.05171296296296296</v>
      </c>
      <c r="C917" t="s">
        <v>165</v>
      </c>
      <c r="D917" t="s">
        <v>35</v>
      </c>
      <c r="E917" t="s">
        <v>231</v>
      </c>
      <c r="F917" t="s">
        <v>232</v>
      </c>
      <c r="G917">
        <v>-63700</v>
      </c>
      <c r="H917" t="s">
        <v>162</v>
      </c>
      <c r="I917" t="s">
        <v>189</v>
      </c>
    </row>
    <row r="918" spans="1:9">
      <c r="A918" s="50">
        <v>45862</v>
      </c>
      <c r="B918" s="51">
        <v>0.05170138888888889</v>
      </c>
      <c r="C918" t="s">
        <v>158</v>
      </c>
      <c r="D918" t="s">
        <v>159</v>
      </c>
      <c r="E918" t="s">
        <v>160</v>
      </c>
      <c r="F918" t="s">
        <v>220</v>
      </c>
      <c r="G918">
        <v>10000</v>
      </c>
      <c r="H918" t="s">
        <v>162</v>
      </c>
      <c r="I918" t="s">
        <v>189</v>
      </c>
    </row>
    <row r="919" spans="1:9">
      <c r="A919" s="50">
        <v>45862</v>
      </c>
      <c r="B919" s="51">
        <v>0.05170138888888889</v>
      </c>
      <c r="C919" t="s">
        <v>158</v>
      </c>
      <c r="D919" t="s">
        <v>159</v>
      </c>
      <c r="E919" t="s">
        <v>160</v>
      </c>
      <c r="F919" t="s">
        <v>233</v>
      </c>
      <c r="G919">
        <v>-10000</v>
      </c>
      <c r="H919" t="s">
        <v>162</v>
      </c>
      <c r="I919" t="s">
        <v>60</v>
      </c>
    </row>
    <row r="920" spans="1:9">
      <c r="A920" s="50">
        <v>45861</v>
      </c>
      <c r="B920" s="51">
        <v>0.7626157407407408</v>
      </c>
      <c r="C920" t="s">
        <v>165</v>
      </c>
      <c r="D920" t="s">
        <v>42</v>
      </c>
      <c r="E920" t="s">
        <v>171</v>
      </c>
      <c r="F920" t="s">
        <v>239</v>
      </c>
      <c r="G920">
        <v>-1000</v>
      </c>
      <c r="H920" t="s">
        <v>162</v>
      </c>
      <c r="I920" t="s">
        <v>240</v>
      </c>
    </row>
    <row r="921" spans="1:9">
      <c r="A921" s="50">
        <v>45861</v>
      </c>
      <c r="B921" s="51">
        <v>0.6094560185185185</v>
      </c>
      <c r="C921" t="s">
        <v>158</v>
      </c>
      <c r="D921" t="s">
        <v>158</v>
      </c>
      <c r="E921" t="s">
        <v>160</v>
      </c>
      <c r="F921" t="s">
        <v>188</v>
      </c>
      <c r="G921">
        <v>2500</v>
      </c>
      <c r="H921" t="s">
        <v>162</v>
      </c>
      <c r="I921" t="s">
        <v>189</v>
      </c>
    </row>
    <row r="922" spans="1:9">
      <c r="A922" s="50">
        <v>45861</v>
      </c>
      <c r="B922" s="51">
        <v>0.5192708333333333</v>
      </c>
      <c r="C922" t="s">
        <v>165</v>
      </c>
      <c r="D922" t="s">
        <v>46</v>
      </c>
      <c r="E922" t="s">
        <v>193</v>
      </c>
      <c r="F922" t="s">
        <v>194</v>
      </c>
      <c r="G922">
        <v>-7500</v>
      </c>
      <c r="H922" t="s">
        <v>162</v>
      </c>
      <c r="I922" t="s">
        <v>184</v>
      </c>
    </row>
    <row r="923" spans="1:9">
      <c r="A923" s="50">
        <v>45861</v>
      </c>
      <c r="B923" s="51">
        <v>0.3798958333333333</v>
      </c>
      <c r="C923" t="s">
        <v>207</v>
      </c>
      <c r="D923" t="s">
        <v>29</v>
      </c>
      <c r="E923" t="s">
        <v>160</v>
      </c>
      <c r="F923" t="s">
        <v>507</v>
      </c>
      <c r="G923">
        <v>2227604</v>
      </c>
      <c r="H923" t="s">
        <v>162</v>
      </c>
      <c r="I923" t="s">
        <v>60</v>
      </c>
    </row>
    <row r="924" spans="1:9">
      <c r="A924" s="50">
        <v>45860</v>
      </c>
      <c r="B924" s="51">
        <v>0.6201851851851852</v>
      </c>
      <c r="C924" t="s">
        <v>158</v>
      </c>
      <c r="D924" t="s">
        <v>158</v>
      </c>
      <c r="E924" t="s">
        <v>160</v>
      </c>
      <c r="F924" t="s">
        <v>318</v>
      </c>
      <c r="G924">
        <v>2500</v>
      </c>
      <c r="H924" t="s">
        <v>162</v>
      </c>
      <c r="I924" t="s">
        <v>189</v>
      </c>
    </row>
    <row r="925" spans="1:9">
      <c r="A925" s="50">
        <v>45860</v>
      </c>
      <c r="B925" s="51">
        <v>0.5483564814814815</v>
      </c>
      <c r="C925" t="s">
        <v>158</v>
      </c>
      <c r="D925" t="s">
        <v>158</v>
      </c>
      <c r="E925" t="s">
        <v>160</v>
      </c>
      <c r="F925" t="s">
        <v>188</v>
      </c>
      <c r="G925">
        <v>2500</v>
      </c>
      <c r="H925" t="s">
        <v>162</v>
      </c>
      <c r="I925" t="s">
        <v>189</v>
      </c>
    </row>
    <row r="926" spans="1:9">
      <c r="A926" s="50">
        <v>45860</v>
      </c>
      <c r="B926" s="51">
        <v>0.5159837962962963</v>
      </c>
      <c r="C926" t="s">
        <v>165</v>
      </c>
      <c r="D926" t="s">
        <v>46</v>
      </c>
      <c r="E926" t="s">
        <v>193</v>
      </c>
      <c r="F926" t="s">
        <v>194</v>
      </c>
      <c r="G926">
        <v>-7500</v>
      </c>
      <c r="H926" t="s">
        <v>162</v>
      </c>
      <c r="I926" t="s">
        <v>184</v>
      </c>
    </row>
    <row r="927" spans="1:9">
      <c r="A927" s="50">
        <v>45860</v>
      </c>
      <c r="B927" s="51">
        <v>0.4563541666666667</v>
      </c>
      <c r="C927" t="s">
        <v>158</v>
      </c>
      <c r="D927" t="s">
        <v>256</v>
      </c>
      <c r="E927" t="s">
        <v>160</v>
      </c>
      <c r="F927" t="s">
        <v>583</v>
      </c>
      <c r="G927">
        <v>70</v>
      </c>
      <c r="H927" t="s">
        <v>162</v>
      </c>
      <c r="I927" t="s">
        <v>60</v>
      </c>
    </row>
    <row r="928" spans="1:9">
      <c r="A928" s="50">
        <v>45859</v>
      </c>
      <c r="B928" s="51">
        <v>0.6059953703703703</v>
      </c>
      <c r="C928" t="s">
        <v>158</v>
      </c>
      <c r="D928" t="s">
        <v>158</v>
      </c>
      <c r="E928" t="s">
        <v>160</v>
      </c>
      <c r="F928" t="s">
        <v>188</v>
      </c>
      <c r="G928">
        <v>2800</v>
      </c>
      <c r="H928" t="s">
        <v>162</v>
      </c>
      <c r="I928" t="s">
        <v>189</v>
      </c>
    </row>
    <row r="929" spans="1:9">
      <c r="A929" s="50">
        <v>45859</v>
      </c>
      <c r="B929" s="51">
        <v>0.6059143518518518</v>
      </c>
      <c r="C929" t="s">
        <v>158</v>
      </c>
      <c r="D929" t="s">
        <v>158</v>
      </c>
      <c r="E929" t="s">
        <v>160</v>
      </c>
      <c r="F929" t="s">
        <v>318</v>
      </c>
      <c r="G929">
        <v>2800</v>
      </c>
      <c r="H929" t="s">
        <v>162</v>
      </c>
      <c r="I929" t="s">
        <v>189</v>
      </c>
    </row>
    <row r="930" spans="1:9">
      <c r="A930" s="50">
        <v>45859</v>
      </c>
      <c r="B930" s="51">
        <v>0.5204050925925926</v>
      </c>
      <c r="C930" t="s">
        <v>165</v>
      </c>
      <c r="D930" t="s">
        <v>46</v>
      </c>
      <c r="E930" t="s">
        <v>193</v>
      </c>
      <c r="F930" t="s">
        <v>584</v>
      </c>
      <c r="G930">
        <v>-8400</v>
      </c>
      <c r="H930" t="s">
        <v>162</v>
      </c>
      <c r="I930" t="s">
        <v>184</v>
      </c>
    </row>
    <row r="931" spans="1:9">
      <c r="A931" s="50">
        <v>45859</v>
      </c>
      <c r="B931" s="51">
        <v>0.4244444444444445</v>
      </c>
      <c r="C931" t="s">
        <v>165</v>
      </c>
      <c r="D931" t="s">
        <v>45</v>
      </c>
      <c r="E931" t="s">
        <v>227</v>
      </c>
      <c r="F931" t="s">
        <v>228</v>
      </c>
      <c r="G931">
        <v>-40490</v>
      </c>
      <c r="H931" t="s">
        <v>162</v>
      </c>
      <c r="I931" t="s">
        <v>451</v>
      </c>
    </row>
    <row r="932" spans="1:9">
      <c r="A932" s="50">
        <v>45859</v>
      </c>
      <c r="B932" s="51">
        <v>0.1537268518518519</v>
      </c>
      <c r="C932" t="s">
        <v>165</v>
      </c>
      <c r="D932" t="s">
        <v>44</v>
      </c>
      <c r="E932" t="s">
        <v>363</v>
      </c>
      <c r="F932" t="s">
        <v>585</v>
      </c>
      <c r="G932">
        <v>-35950</v>
      </c>
      <c r="H932" t="s">
        <v>162</v>
      </c>
      <c r="I932" t="s">
        <v>60</v>
      </c>
    </row>
    <row r="933" spans="1:9">
      <c r="A933" s="50">
        <v>45858</v>
      </c>
      <c r="B933" s="51">
        <v>0.5836689814814815</v>
      </c>
      <c r="C933" t="s">
        <v>165</v>
      </c>
      <c r="D933" t="s">
        <v>37</v>
      </c>
      <c r="E933" t="s">
        <v>199</v>
      </c>
      <c r="F933" t="s">
        <v>586</v>
      </c>
      <c r="G933">
        <v>-20000</v>
      </c>
      <c r="H933" t="s">
        <v>162</v>
      </c>
      <c r="I933" t="s">
        <v>558</v>
      </c>
    </row>
    <row r="934" spans="1:9">
      <c r="A934" s="50">
        <v>45857</v>
      </c>
      <c r="B934" s="51">
        <v>0.09260416666666667</v>
      </c>
      <c r="C934" t="s">
        <v>165</v>
      </c>
      <c r="D934" t="s">
        <v>34</v>
      </c>
      <c r="E934" t="s">
        <v>213</v>
      </c>
      <c r="F934" t="s">
        <v>567</v>
      </c>
      <c r="G934">
        <v>-16900</v>
      </c>
      <c r="H934" t="s">
        <v>162</v>
      </c>
      <c r="I934" t="s">
        <v>558</v>
      </c>
    </row>
    <row r="935" spans="1:9">
      <c r="A935" s="50">
        <v>45857</v>
      </c>
      <c r="B935" s="51">
        <v>0.08335648148148148</v>
      </c>
      <c r="C935" t="s">
        <v>165</v>
      </c>
      <c r="D935" t="s">
        <v>34</v>
      </c>
      <c r="E935" t="s">
        <v>213</v>
      </c>
      <c r="F935" t="s">
        <v>315</v>
      </c>
      <c r="G935">
        <v>17000</v>
      </c>
      <c r="H935" t="s">
        <v>162</v>
      </c>
      <c r="I935" t="s">
        <v>558</v>
      </c>
    </row>
    <row r="936" spans="1:9">
      <c r="A936" s="50">
        <v>45857</v>
      </c>
      <c r="B936" s="51">
        <v>0.08334490740740741</v>
      </c>
      <c r="C936" t="s">
        <v>165</v>
      </c>
      <c r="D936" t="s">
        <v>34</v>
      </c>
      <c r="E936" t="s">
        <v>213</v>
      </c>
      <c r="F936" t="s">
        <v>315</v>
      </c>
      <c r="G936">
        <v>-17000</v>
      </c>
      <c r="H936" t="s">
        <v>162</v>
      </c>
      <c r="I936" t="s">
        <v>558</v>
      </c>
    </row>
    <row r="937" spans="1:9">
      <c r="A937" s="50">
        <v>45856</v>
      </c>
      <c r="B937" s="51">
        <v>0.7496180555555556</v>
      </c>
      <c r="C937" t="s">
        <v>165</v>
      </c>
      <c r="D937" t="s">
        <v>38</v>
      </c>
      <c r="E937" t="s">
        <v>266</v>
      </c>
      <c r="F937" t="s">
        <v>587</v>
      </c>
      <c r="G937">
        <v>-19000</v>
      </c>
      <c r="H937" t="s">
        <v>162</v>
      </c>
      <c r="I937" t="s">
        <v>558</v>
      </c>
    </row>
    <row r="938" spans="1:9">
      <c r="A938" s="50">
        <v>45856</v>
      </c>
      <c r="B938" s="51">
        <v>0.7304050925925926</v>
      </c>
      <c r="C938" t="s">
        <v>165</v>
      </c>
      <c r="D938" t="s">
        <v>34</v>
      </c>
      <c r="E938" t="s">
        <v>213</v>
      </c>
      <c r="F938" t="s">
        <v>567</v>
      </c>
      <c r="G938">
        <v>-15200</v>
      </c>
      <c r="H938" t="s">
        <v>162</v>
      </c>
      <c r="I938" t="s">
        <v>558</v>
      </c>
    </row>
    <row r="939" spans="1:9">
      <c r="A939" s="50">
        <v>45856</v>
      </c>
      <c r="B939" s="51">
        <v>0.7192592592592593</v>
      </c>
      <c r="C939" t="s">
        <v>165</v>
      </c>
      <c r="D939" t="s">
        <v>34</v>
      </c>
      <c r="E939" t="s">
        <v>213</v>
      </c>
      <c r="F939" t="s">
        <v>315</v>
      </c>
      <c r="G939">
        <v>15800</v>
      </c>
      <c r="H939" t="s">
        <v>162</v>
      </c>
      <c r="I939" t="s">
        <v>558</v>
      </c>
    </row>
    <row r="940" spans="1:9">
      <c r="A940" s="50">
        <v>45856</v>
      </c>
      <c r="B940" s="51">
        <v>0.719224537037037</v>
      </c>
      <c r="C940" t="s">
        <v>165</v>
      </c>
      <c r="D940" t="s">
        <v>34</v>
      </c>
      <c r="E940" t="s">
        <v>213</v>
      </c>
      <c r="F940" t="s">
        <v>315</v>
      </c>
      <c r="G940">
        <v>-15800</v>
      </c>
      <c r="H940" t="s">
        <v>162</v>
      </c>
      <c r="I940" t="s">
        <v>558</v>
      </c>
    </row>
    <row r="941" spans="1:9">
      <c r="A941" s="50">
        <v>45856</v>
      </c>
      <c r="B941" s="51">
        <v>0.4569328703703704</v>
      </c>
      <c r="C941" t="s">
        <v>158</v>
      </c>
      <c r="D941" t="s">
        <v>159</v>
      </c>
      <c r="E941" t="s">
        <v>160</v>
      </c>
      <c r="F941" t="s">
        <v>489</v>
      </c>
      <c r="G941">
        <v>15600</v>
      </c>
      <c r="H941" t="s">
        <v>162</v>
      </c>
      <c r="I941" t="s">
        <v>60</v>
      </c>
    </row>
    <row r="942" spans="1:9">
      <c r="A942" s="50">
        <v>45855</v>
      </c>
      <c r="B942" s="51">
        <v>0.7628819444444445</v>
      </c>
      <c r="C942" t="s">
        <v>165</v>
      </c>
      <c r="D942" t="s">
        <v>38</v>
      </c>
      <c r="E942" t="s">
        <v>166</v>
      </c>
      <c r="F942" t="s">
        <v>185</v>
      </c>
      <c r="G942">
        <v>-25900</v>
      </c>
      <c r="H942" t="s">
        <v>162</v>
      </c>
      <c r="I942" t="s">
        <v>184</v>
      </c>
    </row>
    <row r="943" spans="1:9">
      <c r="A943" s="50">
        <v>45855</v>
      </c>
      <c r="B943" s="51">
        <v>0.6734953703703703</v>
      </c>
      <c r="C943" t="s">
        <v>165</v>
      </c>
      <c r="D943" t="s">
        <v>43</v>
      </c>
      <c r="E943" t="s">
        <v>433</v>
      </c>
      <c r="F943" t="s">
        <v>491</v>
      </c>
      <c r="G943">
        <v>-3200</v>
      </c>
      <c r="H943" t="s">
        <v>162</v>
      </c>
      <c r="I943" t="s">
        <v>558</v>
      </c>
    </row>
    <row r="944" spans="1:9">
      <c r="A944" s="50">
        <v>45855</v>
      </c>
      <c r="B944" s="51">
        <v>0.6723148148148148</v>
      </c>
      <c r="C944" t="s">
        <v>165</v>
      </c>
      <c r="D944" t="s">
        <v>43</v>
      </c>
      <c r="E944" t="s">
        <v>492</v>
      </c>
      <c r="F944" t="s">
        <v>493</v>
      </c>
      <c r="G944">
        <v>-25600</v>
      </c>
      <c r="H944" t="s">
        <v>162</v>
      </c>
      <c r="I944" t="s">
        <v>558</v>
      </c>
    </row>
    <row r="945" spans="1:9">
      <c r="A945" s="50">
        <v>45854</v>
      </c>
      <c r="B945" s="51">
        <v>0.5895138888888889</v>
      </c>
      <c r="C945" t="s">
        <v>158</v>
      </c>
      <c r="D945" t="s">
        <v>158</v>
      </c>
      <c r="E945" t="s">
        <v>160</v>
      </c>
      <c r="F945" t="s">
        <v>188</v>
      </c>
      <c r="G945">
        <v>2500</v>
      </c>
      <c r="H945" t="s">
        <v>162</v>
      </c>
      <c r="I945" t="s">
        <v>189</v>
      </c>
    </row>
    <row r="946" spans="1:9">
      <c r="A946" s="50">
        <v>45854</v>
      </c>
      <c r="B946" s="51">
        <v>0.5894560185185185</v>
      </c>
      <c r="C946" t="s">
        <v>158</v>
      </c>
      <c r="D946" t="s">
        <v>158</v>
      </c>
      <c r="E946" t="s">
        <v>160</v>
      </c>
      <c r="F946" t="s">
        <v>318</v>
      </c>
      <c r="G946">
        <v>2500</v>
      </c>
      <c r="H946" t="s">
        <v>162</v>
      </c>
      <c r="I946" t="s">
        <v>189</v>
      </c>
    </row>
    <row r="947" spans="1:9">
      <c r="A947" s="50">
        <v>45854</v>
      </c>
      <c r="B947" s="51">
        <v>0.52</v>
      </c>
      <c r="C947" t="s">
        <v>165</v>
      </c>
      <c r="D947" t="s">
        <v>46</v>
      </c>
      <c r="E947" t="s">
        <v>193</v>
      </c>
      <c r="F947" t="s">
        <v>194</v>
      </c>
      <c r="G947">
        <v>-7500</v>
      </c>
      <c r="H947" t="s">
        <v>162</v>
      </c>
      <c r="I947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2026-07-15T16:19:03Z</dcterms:created>
  <dcterms:modified xsi:type="dcterms:W3CDTF">2026-07-15T16:19:03Z</dcterms:modified>
</cp:coreProperties>
</file>