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csw\others\급여\"/>
    </mc:Choice>
  </mc:AlternateContent>
  <xr:revisionPtr revIDLastSave="0" documentId="13_ncr:1_{C6BF87B4-471C-4B6A-890E-B17666FB83A2}" xr6:coauthVersionLast="47" xr6:coauthVersionMax="47" xr10:uidLastSave="{00000000-0000-0000-0000-000000000000}"/>
  <bookViews>
    <workbookView xWindow="-120" yWindow="-120" windowWidth="29040" windowHeight="15840" xr2:uid="{EC0B668B-FCDA-4ECD-9209-E5C8818E2784}"/>
  </bookViews>
  <sheets>
    <sheet name="정리" sheetId="2" r:id="rId1"/>
    <sheet name="명세서" sheetId="1" r:id="rId2"/>
    <sheet name="보너스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3" i="2" l="1"/>
  <c r="P3" i="2"/>
  <c r="O3" i="2"/>
  <c r="P2" i="2"/>
  <c r="N16" i="2" l="1"/>
  <c r="M16" i="2"/>
  <c r="L16" i="2"/>
  <c r="K16" i="2"/>
  <c r="J16" i="2"/>
  <c r="I16" i="2"/>
  <c r="H16" i="2"/>
  <c r="G16" i="2"/>
  <c r="F16" i="2"/>
  <c r="E16" i="2"/>
  <c r="D16" i="2"/>
  <c r="C16" i="2"/>
  <c r="K17" i="1"/>
  <c r="K18" i="1" s="1"/>
  <c r="AB7" i="2"/>
  <c r="O7" i="2"/>
  <c r="AC7" i="2" s="1"/>
  <c r="O47" i="2"/>
  <c r="AB47" i="2"/>
  <c r="AB25" i="2"/>
  <c r="AB24" i="2"/>
  <c r="AB8" i="2"/>
  <c r="AB6" i="2"/>
  <c r="O6" i="2"/>
  <c r="AC6" i="2" s="1"/>
  <c r="AA16" i="2"/>
  <c r="Z16" i="2"/>
  <c r="Y16" i="2"/>
  <c r="X16" i="2"/>
  <c r="W16" i="2"/>
  <c r="V16" i="2"/>
  <c r="U16" i="2"/>
  <c r="T16" i="2"/>
  <c r="S16" i="2"/>
  <c r="R16" i="2"/>
  <c r="Q16" i="2"/>
  <c r="P16" i="2"/>
  <c r="K12" i="1"/>
  <c r="K13" i="1" s="1"/>
  <c r="K4" i="1"/>
  <c r="K3" i="1"/>
  <c r="O18" i="2"/>
  <c r="O19" i="2"/>
  <c r="O20" i="2"/>
  <c r="O21" i="2"/>
  <c r="O22" i="2"/>
  <c r="O23" i="2"/>
  <c r="O24" i="2"/>
  <c r="AC24" i="2" s="1"/>
  <c r="O25" i="2"/>
  <c r="AC25" i="2" s="1"/>
  <c r="O26" i="2"/>
  <c r="O27" i="2"/>
  <c r="O28" i="2"/>
  <c r="O29" i="2"/>
  <c r="O30" i="2"/>
  <c r="O8" i="2"/>
  <c r="AC8" i="2" s="1"/>
  <c r="O9" i="2"/>
  <c r="O10" i="2"/>
  <c r="O11" i="2"/>
  <c r="O12" i="2"/>
  <c r="O13" i="2"/>
  <c r="O14" i="2"/>
  <c r="O15" i="2"/>
  <c r="AA48" i="2" l="1"/>
  <c r="Z48" i="2"/>
  <c r="Y48" i="2"/>
  <c r="X48" i="2"/>
  <c r="W48" i="2"/>
  <c r="V48" i="2"/>
  <c r="U48" i="2"/>
  <c r="T48" i="2"/>
  <c r="S48" i="2"/>
  <c r="R48" i="2"/>
  <c r="Q48" i="2"/>
  <c r="P48" i="2"/>
  <c r="N48" i="2"/>
  <c r="M48" i="2"/>
  <c r="L48" i="2"/>
  <c r="K48" i="2"/>
  <c r="J48" i="2"/>
  <c r="I48" i="2"/>
  <c r="H48" i="2"/>
  <c r="G48" i="2"/>
  <c r="F48" i="2"/>
  <c r="E48" i="2"/>
  <c r="D48" i="2"/>
  <c r="C48" i="2"/>
  <c r="AC47" i="2"/>
  <c r="AB46" i="2"/>
  <c r="O46" i="2"/>
  <c r="AB45" i="2"/>
  <c r="O45" i="2"/>
  <c r="AB44" i="2"/>
  <c r="O44" i="2"/>
  <c r="AC44" i="2" s="1"/>
  <c r="AB43" i="2"/>
  <c r="O43" i="2"/>
  <c r="AB42" i="2"/>
  <c r="O42" i="2"/>
  <c r="AB41" i="2"/>
  <c r="O41" i="2"/>
  <c r="AB40" i="2"/>
  <c r="O40" i="2"/>
  <c r="AC40" i="2" s="1"/>
  <c r="AB39" i="2"/>
  <c r="O39" i="2"/>
  <c r="AC39" i="2" s="1"/>
  <c r="AB38" i="2"/>
  <c r="O38" i="2"/>
  <c r="AB37" i="2"/>
  <c r="O37" i="2"/>
  <c r="AB36" i="2"/>
  <c r="O36" i="2"/>
  <c r="AB35" i="2"/>
  <c r="O35" i="2"/>
  <c r="AB34" i="2"/>
  <c r="O34" i="2"/>
  <c r="AC34" i="2" s="1"/>
  <c r="AB33" i="2"/>
  <c r="O33" i="2"/>
  <c r="AA31" i="2"/>
  <c r="Z31" i="2"/>
  <c r="Y31" i="2"/>
  <c r="X31" i="2"/>
  <c r="W31" i="2"/>
  <c r="V31" i="2"/>
  <c r="U31" i="2"/>
  <c r="T31" i="2"/>
  <c r="S31" i="2"/>
  <c r="R31" i="2"/>
  <c r="Q31" i="2"/>
  <c r="P31" i="2"/>
  <c r="N31" i="2"/>
  <c r="M31" i="2"/>
  <c r="L31" i="2"/>
  <c r="K31" i="2"/>
  <c r="J31" i="2"/>
  <c r="I31" i="2"/>
  <c r="H31" i="2"/>
  <c r="G31" i="2"/>
  <c r="F31" i="2"/>
  <c r="E31" i="2"/>
  <c r="D31" i="2"/>
  <c r="C31" i="2"/>
  <c r="AB30" i="2"/>
  <c r="AB29" i="2"/>
  <c r="AB28" i="2"/>
  <c r="AC28" i="2" s="1"/>
  <c r="AB27" i="2"/>
  <c r="AB26" i="2"/>
  <c r="AB23" i="2"/>
  <c r="AB22" i="2"/>
  <c r="AC22" i="2" s="1"/>
  <c r="AB21" i="2"/>
  <c r="AB20" i="2"/>
  <c r="AB19" i="2"/>
  <c r="AC19" i="2"/>
  <c r="AB18" i="2"/>
  <c r="AB17" i="2"/>
  <c r="O17" i="2"/>
  <c r="AA32" i="2"/>
  <c r="AB15" i="2"/>
  <c r="AC15" i="2" s="1"/>
  <c r="AB14" i="2"/>
  <c r="AB13" i="2"/>
  <c r="AC13" i="2" s="1"/>
  <c r="AB12" i="2"/>
  <c r="AC12" i="2" s="1"/>
  <c r="AB11" i="2"/>
  <c r="AC11" i="2" s="1"/>
  <c r="AB10" i="2"/>
  <c r="AB9" i="2"/>
  <c r="AB5" i="2"/>
  <c r="O5" i="2"/>
  <c r="AC5" i="2" s="1"/>
  <c r="AC46" i="2" l="1"/>
  <c r="U32" i="2"/>
  <c r="U49" i="2" s="1"/>
  <c r="D32" i="2"/>
  <c r="D49" i="2" s="1"/>
  <c r="AC10" i="2"/>
  <c r="AC41" i="2"/>
  <c r="L32" i="2"/>
  <c r="L49" i="2" s="1"/>
  <c r="H32" i="2"/>
  <c r="H49" i="2" s="1"/>
  <c r="Y32" i="2"/>
  <c r="Y49" i="2" s="1"/>
  <c r="N32" i="2"/>
  <c r="N49" i="2" s="1"/>
  <c r="G32" i="2"/>
  <c r="G49" i="2" s="1"/>
  <c r="AC30" i="2"/>
  <c r="AC29" i="2"/>
  <c r="C32" i="2"/>
  <c r="C49" i="2" s="1"/>
  <c r="AC18" i="2"/>
  <c r="AA49" i="2"/>
  <c r="P32" i="2"/>
  <c r="P49" i="2" s="1"/>
  <c r="Q32" i="2"/>
  <c r="Q49" i="2" s="1"/>
  <c r="R32" i="2"/>
  <c r="R49" i="2" s="1"/>
  <c r="AC20" i="2"/>
  <c r="AC38" i="2"/>
  <c r="AC14" i="2"/>
  <c r="AC26" i="2"/>
  <c r="AC27" i="2"/>
  <c r="AC33" i="2"/>
  <c r="AB48" i="2"/>
  <c r="F32" i="2"/>
  <c r="F49" i="2" s="1"/>
  <c r="W32" i="2"/>
  <c r="W49" i="2" s="1"/>
  <c r="AC42" i="2"/>
  <c r="AC9" i="2"/>
  <c r="X32" i="2"/>
  <c r="X49" i="2" s="1"/>
  <c r="AC35" i="2"/>
  <c r="E32" i="2"/>
  <c r="E49" i="2" s="1"/>
  <c r="V32" i="2"/>
  <c r="V49" i="2" s="1"/>
  <c r="AC23" i="2"/>
  <c r="AC37" i="2"/>
  <c r="AC45" i="2"/>
  <c r="Z32" i="2"/>
  <c r="Z49" i="2" s="1"/>
  <c r="K32" i="2"/>
  <c r="K49" i="2" s="1"/>
  <c r="AC17" i="2"/>
  <c r="AB31" i="2"/>
  <c r="M32" i="2"/>
  <c r="M49" i="2" s="1"/>
  <c r="AC21" i="2"/>
  <c r="S32" i="2"/>
  <c r="S49" i="2" s="1"/>
  <c r="O48" i="2"/>
  <c r="T32" i="2"/>
  <c r="T49" i="2" s="1"/>
  <c r="AC36" i="2"/>
  <c r="AC43" i="2"/>
  <c r="J32" i="2"/>
  <c r="J49" i="2" s="1"/>
  <c r="I32" i="2"/>
  <c r="I49" i="2" s="1"/>
  <c r="O31" i="2"/>
  <c r="AB16" i="2"/>
  <c r="O16" i="2"/>
  <c r="AC48" i="2" l="1"/>
  <c r="AB49" i="2"/>
  <c r="AC31" i="2"/>
  <c r="AC16" i="2"/>
  <c r="AB32" i="2"/>
  <c r="O49" i="2"/>
  <c r="O32" i="2"/>
  <c r="AC32" i="2" s="1"/>
  <c r="AC49" i="2" l="1"/>
</calcChain>
</file>

<file path=xl/sharedStrings.xml><?xml version="1.0" encoding="utf-8"?>
<sst xmlns="http://schemas.openxmlformats.org/spreadsheetml/2006/main" count="210" uniqueCount="131">
  <si>
    <t>잔액</t>
    <phoneticPr fontId="2" type="noConversion"/>
  </si>
  <si>
    <t>비용총액</t>
    <phoneticPr fontId="2" type="noConversion"/>
  </si>
  <si>
    <t>대출이자</t>
    <phoneticPr fontId="2" type="noConversion"/>
  </si>
  <si>
    <t>자동차보험</t>
    <phoneticPr fontId="2" type="noConversion"/>
  </si>
  <si>
    <t>핸드폰</t>
    <phoneticPr fontId="2" type="noConversion"/>
  </si>
  <si>
    <t>현금</t>
    <phoneticPr fontId="2" type="noConversion"/>
  </si>
  <si>
    <t>체크카드</t>
    <phoneticPr fontId="2" type="noConversion"/>
  </si>
  <si>
    <t>신용카드(c)</t>
    <phoneticPr fontId="2" type="noConversion"/>
  </si>
  <si>
    <t>신용카드(b)</t>
    <phoneticPr fontId="2" type="noConversion"/>
  </si>
  <si>
    <t>신용카드(a)</t>
    <phoneticPr fontId="2" type="noConversion"/>
  </si>
  <si>
    <t>방값/관리비</t>
    <phoneticPr fontId="2" type="noConversion"/>
  </si>
  <si>
    <t>자율적금</t>
    <phoneticPr fontId="2" type="noConversion"/>
  </si>
  <si>
    <t>실비보험</t>
    <phoneticPr fontId="2" type="noConversion"/>
  </si>
  <si>
    <t>연금보험</t>
    <phoneticPr fontId="2" type="noConversion"/>
  </si>
  <si>
    <t>&lt;Expense&gt;</t>
    <phoneticPr fontId="2" type="noConversion"/>
  </si>
  <si>
    <t>증가금액</t>
    <phoneticPr fontId="2" type="noConversion"/>
  </si>
  <si>
    <t>연봉</t>
    <phoneticPr fontId="2" type="noConversion"/>
  </si>
  <si>
    <t>실지급액</t>
    <phoneticPr fontId="2" type="noConversion"/>
  </si>
  <si>
    <t>공제총액</t>
    <phoneticPr fontId="2" type="noConversion"/>
  </si>
  <si>
    <t>건보료 연말정산</t>
    <phoneticPr fontId="2" type="noConversion"/>
  </si>
  <si>
    <t>연말기부금</t>
    <phoneticPr fontId="2" type="noConversion"/>
  </si>
  <si>
    <t>연금저축(회사)</t>
    <phoneticPr fontId="2" type="noConversion"/>
  </si>
  <si>
    <t>복지기금이자</t>
    <phoneticPr fontId="2" type="noConversion"/>
  </si>
  <si>
    <t>복지기금원금</t>
    <phoneticPr fontId="2" type="noConversion"/>
  </si>
  <si>
    <t>상조회비</t>
    <phoneticPr fontId="2" type="noConversion"/>
  </si>
  <si>
    <t>노인장기요양보험</t>
    <phoneticPr fontId="2" type="noConversion"/>
  </si>
  <si>
    <t>고용보험</t>
    <phoneticPr fontId="2" type="noConversion"/>
  </si>
  <si>
    <t>건강보험</t>
    <phoneticPr fontId="2" type="noConversion"/>
  </si>
  <si>
    <t>국민연금</t>
    <phoneticPr fontId="2" type="noConversion"/>
  </si>
  <si>
    <t>지방소득세</t>
    <phoneticPr fontId="2" type="noConversion"/>
  </si>
  <si>
    <t>소득세</t>
    <phoneticPr fontId="2" type="noConversion"/>
  </si>
  <si>
    <t>지급총액</t>
    <phoneticPr fontId="2" type="noConversion"/>
  </si>
  <si>
    <t>연말정산</t>
    <phoneticPr fontId="2" type="noConversion"/>
  </si>
  <si>
    <t>휴가비</t>
    <phoneticPr fontId="2" type="noConversion"/>
  </si>
  <si>
    <t>연차수당</t>
    <phoneticPr fontId="2" type="noConversion"/>
  </si>
  <si>
    <t>특근</t>
    <phoneticPr fontId="2" type="noConversion"/>
  </si>
  <si>
    <t>특별상여</t>
    <phoneticPr fontId="2" type="noConversion"/>
  </si>
  <si>
    <t>정기상여</t>
    <phoneticPr fontId="2" type="noConversion"/>
  </si>
  <si>
    <t>월봉</t>
    <phoneticPr fontId="2" type="noConversion"/>
  </si>
  <si>
    <t>SUM</t>
    <phoneticPr fontId="2" type="noConversion"/>
  </si>
  <si>
    <t>Dec</t>
  </si>
  <si>
    <t>Nov</t>
  </si>
  <si>
    <t>Oct</t>
  </si>
  <si>
    <t>Sep</t>
  </si>
  <si>
    <t>Aug</t>
  </si>
  <si>
    <t>Jul</t>
  </si>
  <si>
    <t>Jun</t>
  </si>
  <si>
    <t>May</t>
  </si>
  <si>
    <t>Apr</t>
  </si>
  <si>
    <t>Mar</t>
  </si>
  <si>
    <t>Feb</t>
  </si>
  <si>
    <t>Jan</t>
    <phoneticPr fontId="2" type="noConversion"/>
  </si>
  <si>
    <t>&lt;Revenue&gt;</t>
    <phoneticPr fontId="2" type="noConversion"/>
  </si>
  <si>
    <t>TOTAL</t>
    <phoneticPr fontId="2" type="noConversion"/>
  </si>
  <si>
    <t>인상률</t>
    <phoneticPr fontId="2" type="noConversion"/>
  </si>
  <si>
    <t>년</t>
    <phoneticPr fontId="2" type="noConversion"/>
  </si>
  <si>
    <t>월</t>
    <phoneticPr fontId="2" type="noConversion"/>
  </si>
  <si>
    <t>현재 가능한 항목들 (이 외 리스트는 추가 필요)</t>
    <phoneticPr fontId="2" type="noConversion"/>
  </si>
  <si>
    <t>정산소득세</t>
    <phoneticPr fontId="2" type="noConversion"/>
  </si>
  <si>
    <t>정산지방소득세</t>
    <phoneticPr fontId="2" type="noConversion"/>
  </si>
  <si>
    <t>성과급/STI</t>
    <phoneticPr fontId="2" type="noConversion"/>
  </si>
  <si>
    <t>정기상여</t>
  </si>
  <si>
    <t>특별상여</t>
  </si>
  <si>
    <t>CIM/특허</t>
    <phoneticPr fontId="2" type="noConversion"/>
  </si>
  <si>
    <t>☞ Remark :</t>
  </si>
  <si>
    <t xml:space="preserve">Thank you for your hard work, it is greatly appreciated. </t>
  </si>
  <si>
    <t>기 본 사 항</t>
  </si>
  <si>
    <t>입사일자</t>
  </si>
  <si>
    <t>2018.01.01</t>
  </si>
  <si>
    <t>직위/CG</t>
  </si>
  <si>
    <t>통상일급</t>
  </si>
  <si>
    <t>유급일수</t>
  </si>
  <si>
    <t>휴일근로일수</t>
  </si>
  <si>
    <t>총 공제시간</t>
  </si>
  <si>
    <t>총 근로시간</t>
  </si>
  <si>
    <t>대출잔액 (급여에만 잔액표시됨)</t>
  </si>
  <si>
    <t>주택융자</t>
  </si>
  <si>
    <t>근로복지</t>
  </si>
  <si>
    <t>구분</t>
  </si>
  <si>
    <t>항목이름</t>
  </si>
  <si>
    <t>계산방법</t>
  </si>
  <si>
    <t>지급항목</t>
  </si>
  <si>
    <t>정기상여금 400%÷12개월</t>
  </si>
  <si>
    <t>특별상여금 200%÷12개월</t>
  </si>
  <si>
    <t>Path</t>
    <phoneticPr fontId="2" type="noConversion"/>
  </si>
  <si>
    <t>Copy Path</t>
    <phoneticPr fontId="2" type="noConversion"/>
  </si>
  <si>
    <t>temp Path</t>
    <phoneticPr fontId="2" type="noConversion"/>
  </si>
  <si>
    <t>사번</t>
  </si>
  <si>
    <t>P18014</t>
  </si>
  <si>
    <t>성명</t>
  </si>
  <si>
    <t>천세원</t>
  </si>
  <si>
    <t>부서</t>
  </si>
  <si>
    <t>SW CH3</t>
  </si>
  <si>
    <t>지 급 명 세</t>
  </si>
  <si>
    <t>월봉</t>
  </si>
  <si>
    <t>지급총액</t>
  </si>
  <si>
    <t>공 제 명 세</t>
  </si>
  <si>
    <t>소득세</t>
  </si>
  <si>
    <t>지방소득세</t>
  </si>
  <si>
    <t>고용보험</t>
  </si>
  <si>
    <t>공제총액</t>
  </si>
  <si>
    <t>은행명</t>
  </si>
  <si>
    <t>계좌번호</t>
  </si>
  <si>
    <t>실지급액</t>
  </si>
  <si>
    <t>우리은행</t>
  </si>
  <si>
    <t>100***5918234</t>
  </si>
  <si>
    <t>귀하의 노고에 감사드립니다.</t>
  </si>
  <si>
    <t>file:///C:/Users/uidk3743/AppData/Local/Microsoft/Windows/INetCache/Content.Outlook/17RQU6BN/salary.htm</t>
  </si>
  <si>
    <t>국민연금</t>
  </si>
  <si>
    <t>건강보험</t>
  </si>
  <si>
    <t>노인장기요양보험</t>
  </si>
  <si>
    <t>상조회비</t>
  </si>
  <si>
    <t>복지기금원금</t>
  </si>
  <si>
    <t>복지기금이자</t>
  </si>
  <si>
    <t>근 태 사 항</t>
  </si>
  <si>
    <t>출근일수</t>
  </si>
  <si>
    <t>주차일수</t>
  </si>
  <si>
    <r>
      <t xml:space="preserve">2022년 01월 급여 명세서         </t>
    </r>
    <r>
      <rPr>
        <b/>
        <u/>
        <sz val="11"/>
        <color rgb="FFFF0000"/>
        <rFont val="맑은 고딕"/>
        <family val="3"/>
        <charset val="129"/>
        <scheme val="minor"/>
      </rPr>
      <t>( Confidential )</t>
    </r>
  </si>
  <si>
    <t>( 지급일자 : 2022.01.25 )</t>
  </si>
  <si>
    <t>연차수당</t>
  </si>
  <si>
    <t xml:space="preserve">* 2022년 1월 1일부로 귀하의 연봉이 54,708,910원으로 조정되었습니다. </t>
  </si>
  <si>
    <t>대리/CG 10</t>
  </si>
  <si>
    <t>통상일급x30÷226x8x잔여개수</t>
  </si>
  <si>
    <t>Emergency work</t>
  </si>
  <si>
    <t>휴일근로수당</t>
    <phoneticPr fontId="2" type="noConversion"/>
  </si>
  <si>
    <t>Special Bonus</t>
    <phoneticPr fontId="2" type="noConversion"/>
  </si>
  <si>
    <r>
      <t xml:space="preserve">2022년 09월 급여 명세서         </t>
    </r>
    <r>
      <rPr>
        <b/>
        <u/>
        <sz val="11"/>
        <color rgb="FFFF0000"/>
        <rFont val="맑은 고딕"/>
        <family val="3"/>
        <charset val="129"/>
        <scheme val="minor"/>
      </rPr>
      <t>( Confidential )</t>
    </r>
  </si>
  <si>
    <t>( 지급일자 : 2022.09.25 )</t>
  </si>
  <si>
    <t>Copy Table</t>
    <phoneticPr fontId="2" type="noConversion"/>
  </si>
  <si>
    <t>Salary</t>
    <phoneticPr fontId="2" type="noConversion"/>
  </si>
  <si>
    <t>Bonus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</si>
</sst>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43" formatCode="_-* #,##0.00_-;\-* #,##0.00_-;_-* &quot;-&quot;??_-;_-@_-"/>
    <numFmt numFmtId="176" formatCode="_-* #,##0.0000_-;\-* #,##0.0000_-;_-* &quot;-&quot;??_-;_-@_-"/>
    <numFmt numFmtId="177" formatCode="_-* #,##0.00000_-;\-* #,##0.00000_-;_-* &quot;-&quot;??_-;_-@_-"/>
  </numFmts>
  <fonts count="20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9"/>
      <color theme="1"/>
      <name val="굴림체 Arial"/>
      <family val="3"/>
      <charset val="129"/>
    </font>
    <font>
      <sz val="10"/>
      <color theme="1"/>
      <name val="Malgun Gothic Semilight"/>
      <family val="2"/>
      <charset val="129"/>
    </font>
    <font>
      <sz val="10"/>
      <color theme="1"/>
      <name val="Malgun Gothic Semilight"/>
      <family val="3"/>
      <charset val="129"/>
    </font>
    <font>
      <b/>
      <sz val="10"/>
      <color theme="9"/>
      <name val="Malgun Gothic Semilight"/>
      <family val="2"/>
      <charset val="129"/>
    </font>
    <font>
      <b/>
      <sz val="11"/>
      <color rgb="FF000000"/>
      <name val="맑은 고딕"/>
      <family val="3"/>
      <charset val="129"/>
      <scheme val="minor"/>
    </font>
    <font>
      <b/>
      <u/>
      <sz val="11"/>
      <color rgb="FF6868A8"/>
      <name val="맑은 고딕"/>
      <family val="3"/>
      <charset val="129"/>
      <scheme val="minor"/>
    </font>
    <font>
      <sz val="11"/>
      <color rgb="FF000000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u/>
      <sz val="10"/>
      <color rgb="FF000000"/>
      <name val="맑은 고딕"/>
      <family val="3"/>
      <charset val="129"/>
      <scheme val="minor"/>
    </font>
    <font>
      <b/>
      <sz val="11"/>
      <color rgb="FF0000FF"/>
      <name val="맑은 고딕"/>
      <family val="3"/>
      <charset val="129"/>
      <scheme val="minor"/>
    </font>
    <font>
      <b/>
      <u/>
      <sz val="10"/>
      <color rgb="FFFF0000"/>
      <name val="맑은 고딕"/>
      <family val="3"/>
      <charset val="129"/>
      <scheme val="minor"/>
    </font>
    <font>
      <b/>
      <sz val="10"/>
      <color rgb="FF0000FF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b/>
      <u/>
      <sz val="11"/>
      <color rgb="FFFF0000"/>
      <name val="맑은 고딕"/>
      <family val="3"/>
      <charset val="129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0CCB8"/>
        <bgColor indexed="64"/>
      </patternFill>
    </fill>
    <fill>
      <patternFill patternType="solid">
        <fgColor rgb="FFFFFBE6"/>
        <bgColor indexed="64"/>
      </patternFill>
    </fill>
    <fill>
      <patternFill patternType="solid">
        <fgColor rgb="FFC8C5A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/>
        <bgColor indexed="64"/>
      </patternFill>
    </fill>
  </fills>
  <borders count="30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rgb="FF808080"/>
      </right>
      <top style="thin">
        <color rgb="FF80808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4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</cellStyleXfs>
  <cellXfs count="96">
    <xf numFmtId="0" fontId="0" fillId="0" borderId="0" xfId="0">
      <alignment vertical="center"/>
    </xf>
    <xf numFmtId="41" fontId="0" fillId="0" borderId="0" xfId="1" applyFont="1">
      <alignment vertical="center"/>
    </xf>
    <xf numFmtId="41" fontId="3" fillId="2" borderId="1" xfId="0" applyNumberFormat="1" applyFont="1" applyFill="1" applyBorder="1">
      <alignment vertical="center"/>
    </xf>
    <xf numFmtId="41" fontId="3" fillId="2" borderId="2" xfId="1" applyFont="1" applyFill="1" applyBorder="1">
      <alignment vertical="center"/>
    </xf>
    <xf numFmtId="41" fontId="3" fillId="2" borderId="0" xfId="1" applyFont="1" applyFill="1">
      <alignment vertical="center"/>
    </xf>
    <xf numFmtId="41" fontId="3" fillId="2" borderId="3" xfId="1" applyFont="1" applyFill="1" applyBorder="1">
      <alignment vertical="center"/>
    </xf>
    <xf numFmtId="0" fontId="3" fillId="3" borderId="0" xfId="0" applyFont="1" applyFill="1" applyAlignment="1">
      <alignment horizontal="center" vertical="center"/>
    </xf>
    <xf numFmtId="41" fontId="3" fillId="4" borderId="4" xfId="0" applyNumberFormat="1" applyFont="1" applyFill="1" applyBorder="1">
      <alignment vertical="center"/>
    </xf>
    <xf numFmtId="41" fontId="3" fillId="4" borderId="5" xfId="1" applyFont="1" applyFill="1" applyBorder="1">
      <alignment vertical="center"/>
    </xf>
    <xf numFmtId="41" fontId="0" fillId="4" borderId="0" xfId="1" applyFont="1" applyFill="1">
      <alignment vertical="center"/>
    </xf>
    <xf numFmtId="41" fontId="3" fillId="4" borderId="6" xfId="1" applyFont="1" applyFill="1" applyBorder="1">
      <alignment vertical="center"/>
    </xf>
    <xf numFmtId="41" fontId="0" fillId="5" borderId="4" xfId="0" applyNumberFormat="1" applyFill="1" applyBorder="1">
      <alignment vertical="center"/>
    </xf>
    <xf numFmtId="41" fontId="0" fillId="6" borderId="5" xfId="1" applyFont="1" applyFill="1" applyBorder="1">
      <alignment vertical="center"/>
    </xf>
    <xf numFmtId="41" fontId="0" fillId="6" borderId="6" xfId="1" applyFont="1" applyFill="1" applyBorder="1">
      <alignment vertical="center"/>
    </xf>
    <xf numFmtId="0" fontId="0" fillId="3" borderId="0" xfId="0" applyFill="1" applyAlignment="1">
      <alignment horizontal="center" vertical="center"/>
    </xf>
    <xf numFmtId="41" fontId="0" fillId="0" borderId="0" xfId="1" applyFont="1" applyFill="1" applyBorder="1">
      <alignment vertical="center"/>
    </xf>
    <xf numFmtId="0" fontId="4" fillId="3" borderId="0" xfId="0" applyFont="1" applyFill="1" applyAlignment="1">
      <alignment horizontal="center" vertical="center"/>
    </xf>
    <xf numFmtId="43" fontId="0" fillId="0" borderId="0" xfId="0" applyNumberFormat="1">
      <alignment vertical="center"/>
    </xf>
    <xf numFmtId="41" fontId="0" fillId="7" borderId="0" xfId="1" applyFont="1" applyFill="1">
      <alignment vertical="center"/>
    </xf>
    <xf numFmtId="41" fontId="3" fillId="8" borderId="4" xfId="0" applyNumberFormat="1" applyFont="1" applyFill="1" applyBorder="1">
      <alignment vertical="center"/>
    </xf>
    <xf numFmtId="41" fontId="3" fillId="8" borderId="5" xfId="1" applyFont="1" applyFill="1" applyBorder="1">
      <alignment vertical="center"/>
    </xf>
    <xf numFmtId="41" fontId="3" fillId="8" borderId="0" xfId="1" applyFont="1" applyFill="1">
      <alignment vertical="center"/>
    </xf>
    <xf numFmtId="41" fontId="3" fillId="8" borderId="6" xfId="1" applyFont="1" applyFill="1" applyBorder="1">
      <alignment vertical="center"/>
    </xf>
    <xf numFmtId="41" fontId="0" fillId="4" borderId="4" xfId="0" applyNumberFormat="1" applyFill="1" applyBorder="1">
      <alignment vertical="center"/>
    </xf>
    <xf numFmtId="41" fontId="0" fillId="4" borderId="5" xfId="1" applyFont="1" applyFill="1" applyBorder="1">
      <alignment vertical="center"/>
    </xf>
    <xf numFmtId="41" fontId="0" fillId="4" borderId="6" xfId="1" applyFont="1" applyFill="1" applyBorder="1">
      <alignment vertical="center"/>
    </xf>
    <xf numFmtId="0" fontId="3" fillId="0" borderId="0" xfId="0" applyFont="1">
      <alignment vertical="center"/>
    </xf>
    <xf numFmtId="3" fontId="0" fillId="0" borderId="0" xfId="0" applyNumberFormat="1">
      <alignment vertical="center"/>
    </xf>
    <xf numFmtId="41" fontId="0" fillId="0" borderId="0" xfId="0" applyNumberFormat="1">
      <alignment vertical="center"/>
    </xf>
    <xf numFmtId="41" fontId="3" fillId="9" borderId="7" xfId="1" applyFont="1" applyFill="1" applyBorder="1" applyAlignment="1">
      <alignment horizontal="center" vertical="center"/>
    </xf>
    <xf numFmtId="41" fontId="3" fillId="6" borderId="8" xfId="1" applyFont="1" applyFill="1" applyBorder="1" applyAlignment="1">
      <alignment horizontal="center" vertical="center"/>
    </xf>
    <xf numFmtId="41" fontId="3" fillId="10" borderId="0" xfId="1" applyFont="1" applyFill="1" applyAlignment="1">
      <alignment horizontal="center" vertical="center"/>
    </xf>
    <xf numFmtId="41" fontId="3" fillId="6" borderId="9" xfId="1" applyFont="1" applyFill="1" applyBorder="1" applyAlignment="1">
      <alignment horizontal="center" vertical="center"/>
    </xf>
    <xf numFmtId="0" fontId="0" fillId="11" borderId="0" xfId="1" applyNumberFormat="1" applyFont="1" applyFill="1" applyAlignment="1">
      <alignment horizontal="center" vertical="center"/>
    </xf>
    <xf numFmtId="176" fontId="0" fillId="0" borderId="0" xfId="0" applyNumberFormat="1">
      <alignment vertical="center"/>
    </xf>
    <xf numFmtId="0" fontId="3" fillId="0" borderId="0" xfId="2" applyNumberFormat="1" applyFont="1" applyAlignment="1">
      <alignment horizontal="center" vertical="center"/>
    </xf>
    <xf numFmtId="177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12" borderId="15" xfId="0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6" fillId="0" borderId="0" xfId="0" applyFont="1" applyBorder="1" applyAlignment="1">
      <alignment horizontal="left" vertical="center"/>
    </xf>
    <xf numFmtId="0" fontId="6" fillId="13" borderId="0" xfId="0" applyFont="1" applyFill="1" applyBorder="1" applyAlignment="1">
      <alignment horizontal="left" vertical="center"/>
    </xf>
    <xf numFmtId="0" fontId="7" fillId="13" borderId="0" xfId="0" applyFont="1" applyFill="1" applyBorder="1" applyAlignment="1">
      <alignment horizontal="left" vertical="center" wrapText="1"/>
    </xf>
    <xf numFmtId="0" fontId="8" fillId="13" borderId="0" xfId="0" applyFont="1" applyFill="1" applyBorder="1" applyAlignment="1">
      <alignment horizontal="left" vertical="center"/>
    </xf>
    <xf numFmtId="0" fontId="0" fillId="14" borderId="16" xfId="0" applyFill="1" applyBorder="1">
      <alignment vertical="center"/>
    </xf>
    <xf numFmtId="0" fontId="0" fillId="14" borderId="17" xfId="0" applyFill="1" applyBorder="1">
      <alignment vertical="center"/>
    </xf>
    <xf numFmtId="0" fontId="0" fillId="14" borderId="18" xfId="0" applyFill="1" applyBorder="1">
      <alignment vertical="center"/>
    </xf>
    <xf numFmtId="0" fontId="0" fillId="14" borderId="19" xfId="0" applyFill="1" applyBorder="1">
      <alignment vertical="center"/>
    </xf>
    <xf numFmtId="3" fontId="5" fillId="16" borderId="13" xfId="0" applyNumberFormat="1" applyFont="1" applyFill="1" applyBorder="1" applyAlignment="1">
      <alignment horizontal="center" vertical="center" wrapText="1"/>
    </xf>
    <xf numFmtId="0" fontId="9" fillId="0" borderId="0" xfId="0" applyFont="1">
      <alignment vertical="center"/>
    </xf>
    <xf numFmtId="0" fontId="10" fillId="18" borderId="0" xfId="0" applyFont="1" applyFill="1" applyAlignment="1">
      <alignment horizontal="center" vertical="center" wrapText="1"/>
    </xf>
    <xf numFmtId="0" fontId="12" fillId="18" borderId="0" xfId="0" applyFont="1" applyFill="1" applyAlignment="1">
      <alignment horizontal="center" vertical="center" wrapText="1"/>
    </xf>
    <xf numFmtId="0" fontId="13" fillId="15" borderId="13" xfId="0" applyFont="1" applyFill="1" applyBorder="1" applyAlignment="1">
      <alignment horizontal="center" vertical="center" wrapText="1"/>
    </xf>
    <xf numFmtId="0" fontId="13" fillId="16" borderId="13" xfId="0" applyFont="1" applyFill="1" applyBorder="1" applyAlignment="1">
      <alignment horizontal="center" vertical="center" wrapText="1"/>
    </xf>
    <xf numFmtId="0" fontId="11" fillId="18" borderId="22" xfId="0" applyFont="1" applyFill="1" applyBorder="1">
      <alignment vertical="center"/>
    </xf>
    <xf numFmtId="0" fontId="11" fillId="18" borderId="14" xfId="0" applyFont="1" applyFill="1" applyBorder="1">
      <alignment vertical="center"/>
    </xf>
    <xf numFmtId="3" fontId="13" fillId="16" borderId="13" xfId="0" applyNumberFormat="1" applyFont="1" applyFill="1" applyBorder="1" applyAlignment="1">
      <alignment horizontal="center" vertical="center" wrapText="1"/>
    </xf>
    <xf numFmtId="0" fontId="16" fillId="18" borderId="0" xfId="0" applyFont="1" applyFill="1">
      <alignment vertical="center"/>
    </xf>
    <xf numFmtId="0" fontId="9" fillId="17" borderId="13" xfId="0" applyFont="1" applyFill="1" applyBorder="1" applyAlignment="1">
      <alignment horizontal="center" vertical="center" wrapText="1"/>
    </xf>
    <xf numFmtId="0" fontId="11" fillId="18" borderId="0" xfId="0" applyFont="1" applyFill="1">
      <alignment vertical="center"/>
    </xf>
    <xf numFmtId="0" fontId="0" fillId="12" borderId="3" xfId="0" applyFill="1" applyBorder="1" applyAlignment="1">
      <alignment horizontal="center" vertical="center"/>
    </xf>
    <xf numFmtId="0" fontId="0" fillId="7" borderId="23" xfId="0" applyFill="1" applyBorder="1" applyAlignment="1">
      <alignment horizontal="center" vertical="center"/>
    </xf>
    <xf numFmtId="0" fontId="18" fillId="0" borderId="25" xfId="3" applyBorder="1" applyAlignment="1">
      <alignment vertical="center"/>
    </xf>
    <xf numFmtId="0" fontId="18" fillId="0" borderId="26" xfId="3" applyBorder="1" applyAlignment="1">
      <alignment vertical="center"/>
    </xf>
    <xf numFmtId="0" fontId="18" fillId="19" borderId="27" xfId="3" applyFill="1" applyBorder="1" applyAlignment="1">
      <alignment vertical="center"/>
    </xf>
    <xf numFmtId="0" fontId="18" fillId="19" borderId="28" xfId="3" applyFill="1" applyBorder="1" applyAlignment="1">
      <alignment vertical="center"/>
    </xf>
    <xf numFmtId="0" fontId="0" fillId="0" borderId="24" xfId="0" applyFill="1" applyBorder="1">
      <alignment vertical="center"/>
    </xf>
    <xf numFmtId="0" fontId="0" fillId="12" borderId="9" xfId="0" applyFill="1" applyBorder="1" applyAlignment="1">
      <alignment horizontal="center" vertical="center"/>
    </xf>
    <xf numFmtId="0" fontId="18" fillId="19" borderId="0" xfId="3" applyFill="1" applyBorder="1" applyAlignment="1">
      <alignment vertical="center"/>
    </xf>
    <xf numFmtId="0" fontId="18" fillId="19" borderId="29" xfId="3" applyFill="1" applyBorder="1" applyAlignment="1">
      <alignment vertical="center"/>
    </xf>
    <xf numFmtId="0" fontId="0" fillId="11" borderId="0" xfId="1" applyNumberFormat="1" applyFont="1" applyFill="1" applyAlignment="1">
      <alignment horizontal="center" vertical="center"/>
    </xf>
    <xf numFmtId="0" fontId="13" fillId="16" borderId="10" xfId="0" applyFont="1" applyFill="1" applyBorder="1" applyAlignment="1">
      <alignment horizontal="left" vertical="center" wrapText="1"/>
    </xf>
    <xf numFmtId="0" fontId="13" fillId="16" borderId="12" xfId="0" applyFont="1" applyFill="1" applyBorder="1" applyAlignment="1">
      <alignment horizontal="left" vertical="center" wrapText="1"/>
    </xf>
    <xf numFmtId="0" fontId="3" fillId="14" borderId="20" xfId="0" applyFont="1" applyFill="1" applyBorder="1" applyAlignment="1">
      <alignment horizontal="center" vertical="center"/>
    </xf>
    <xf numFmtId="0" fontId="3" fillId="14" borderId="21" xfId="0" applyFont="1" applyFill="1" applyBorder="1" applyAlignment="1">
      <alignment horizontal="center" vertical="center"/>
    </xf>
    <xf numFmtId="0" fontId="3" fillId="20" borderId="24" xfId="0" applyFont="1" applyFill="1" applyBorder="1" applyAlignment="1">
      <alignment horizontal="center" vertical="center"/>
    </xf>
    <xf numFmtId="0" fontId="3" fillId="20" borderId="25" xfId="0" applyFont="1" applyFill="1" applyBorder="1" applyAlignment="1">
      <alignment horizontal="center" vertical="center"/>
    </xf>
    <xf numFmtId="0" fontId="3" fillId="20" borderId="26" xfId="0" applyFont="1" applyFill="1" applyBorder="1" applyAlignment="1">
      <alignment horizontal="center" vertical="center"/>
    </xf>
    <xf numFmtId="0" fontId="9" fillId="17" borderId="10" xfId="0" applyFont="1" applyFill="1" applyBorder="1" applyAlignment="1">
      <alignment horizontal="center" vertical="center" wrapText="1"/>
    </xf>
    <xf numFmtId="0" fontId="9" fillId="17" borderId="12" xfId="0" applyFont="1" applyFill="1" applyBorder="1" applyAlignment="1">
      <alignment horizontal="center" vertical="center" wrapText="1"/>
    </xf>
    <xf numFmtId="0" fontId="13" fillId="16" borderId="10" xfId="0" applyFont="1" applyFill="1" applyBorder="1" applyAlignment="1">
      <alignment horizontal="center" vertical="center" wrapText="1"/>
    </xf>
    <xf numFmtId="0" fontId="13" fillId="16" borderId="12" xfId="0" applyFont="1" applyFill="1" applyBorder="1" applyAlignment="1">
      <alignment horizontal="center" vertical="center" wrapText="1"/>
    </xf>
    <xf numFmtId="0" fontId="9" fillId="17" borderId="11" xfId="0" applyFont="1" applyFill="1" applyBorder="1" applyAlignment="1">
      <alignment horizontal="center" vertical="center" wrapText="1"/>
    </xf>
    <xf numFmtId="0" fontId="17" fillId="18" borderId="0" xfId="0" applyFont="1" applyFill="1" applyAlignment="1">
      <alignment horizontal="center" vertical="center" wrapText="1"/>
    </xf>
    <xf numFmtId="0" fontId="11" fillId="18" borderId="0" xfId="0" applyFont="1" applyFill="1">
      <alignment vertical="center"/>
    </xf>
    <xf numFmtId="0" fontId="13" fillId="15" borderId="10" xfId="0" applyFont="1" applyFill="1" applyBorder="1" applyAlignment="1">
      <alignment horizontal="center" vertical="center" wrapText="1"/>
    </xf>
    <xf numFmtId="0" fontId="13" fillId="15" borderId="12" xfId="0" applyFont="1" applyFill="1" applyBorder="1" applyAlignment="1">
      <alignment horizontal="center" vertical="center" wrapText="1"/>
    </xf>
    <xf numFmtId="0" fontId="13" fillId="18" borderId="10" xfId="0" applyFont="1" applyFill="1" applyBorder="1" applyAlignment="1">
      <alignment vertical="center" wrapText="1"/>
    </xf>
    <xf numFmtId="0" fontId="13" fillId="18" borderId="11" xfId="0" applyFont="1" applyFill="1" applyBorder="1" applyAlignment="1">
      <alignment vertical="center" wrapText="1"/>
    </xf>
    <xf numFmtId="0" fontId="13" fillId="18" borderId="12" xfId="0" applyFont="1" applyFill="1" applyBorder="1" applyAlignment="1">
      <alignment vertical="center" wrapText="1"/>
    </xf>
    <xf numFmtId="0" fontId="14" fillId="18" borderId="10" xfId="0" applyFont="1" applyFill="1" applyBorder="1" applyAlignment="1">
      <alignment horizontal="center" vertical="center" wrapText="1"/>
    </xf>
    <xf numFmtId="0" fontId="14" fillId="18" borderId="11" xfId="0" applyFont="1" applyFill="1" applyBorder="1" applyAlignment="1">
      <alignment horizontal="center" vertical="center" wrapText="1"/>
    </xf>
    <xf numFmtId="0" fontId="14" fillId="18" borderId="12" xfId="0" applyFont="1" applyFill="1" applyBorder="1" applyAlignment="1">
      <alignment horizontal="center" vertical="center" wrapText="1"/>
    </xf>
    <xf numFmtId="0" fontId="15" fillId="15" borderId="10" xfId="0" applyFont="1" applyFill="1" applyBorder="1" applyAlignment="1">
      <alignment horizontal="center" vertical="center" wrapText="1"/>
    </xf>
    <xf numFmtId="0" fontId="15" fillId="15" borderId="11" xfId="0" applyFont="1" applyFill="1" applyBorder="1" applyAlignment="1">
      <alignment horizontal="center" vertical="center" wrapText="1"/>
    </xf>
    <xf numFmtId="0" fontId="15" fillId="15" borderId="12" xfId="0" applyFont="1" applyFill="1" applyBorder="1" applyAlignment="1">
      <alignment horizontal="center" vertical="center" wrapText="1"/>
    </xf>
  </cellXfs>
  <cellStyles count="4">
    <cellStyle name="백분율" xfId="2" builtinId="5"/>
    <cellStyle name="쉼표 [0]" xfId="1" builtinId="6"/>
    <cellStyle name="표준" xfId="0" builtinId="0"/>
    <cellStyle name="하이퍼링크" xfId="3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sv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238125</xdr:colOff>
      <xdr:row>21</xdr:row>
      <xdr:rowOff>38100</xdr:rowOff>
    </xdr:from>
    <xdr:to>
      <xdr:col>10</xdr:col>
      <xdr:colOff>361950</xdr:colOff>
      <xdr:row>25</xdr:row>
      <xdr:rowOff>114300</xdr:rowOff>
    </xdr:to>
    <xdr:pic macro="[0]!CopyDataToAnotherSheet">
      <xdr:nvPicPr>
        <xdr:cNvPr id="3" name="그래픽 2" descr="돈 봉투 단색으로 채워진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467475" y="1095375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</xdr:row>
      <xdr:rowOff>0</xdr:rowOff>
    </xdr:from>
    <xdr:to>
      <xdr:col>19</xdr:col>
      <xdr:colOff>353154</xdr:colOff>
      <xdr:row>3</xdr:row>
      <xdr:rowOff>171503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972550" y="419100"/>
          <a:ext cx="5220429" cy="38105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676275</xdr:colOff>
          <xdr:row>4</xdr:row>
          <xdr:rowOff>200025</xdr:rowOff>
        </xdr:from>
        <xdr:to>
          <xdr:col>11</xdr:col>
          <xdr:colOff>114300</xdr:colOff>
          <xdr:row>7</xdr:row>
          <xdr:rowOff>200025</xdr:rowOff>
        </xdr:to>
        <xdr:sp macro="" textlink="">
          <xdr:nvSpPr>
            <xdr:cNvPr id="1025" name="LoadHTM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5</xdr:row>
          <xdr:rowOff>0</xdr:rowOff>
        </xdr:from>
        <xdr:to>
          <xdr:col>13</xdr:col>
          <xdr:colOff>923925</xdr:colOff>
          <xdr:row>8</xdr:row>
          <xdr:rowOff>0</xdr:rowOff>
        </xdr:to>
        <xdr:sp macro="" textlink="">
          <xdr:nvSpPr>
            <xdr:cNvPr id="1028" name="AddHTM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7C953-A78C-40E3-B541-0D8A619AE6B5}">
  <sheetPr codeName="Sheet2"/>
  <dimension ref="B1:AI70"/>
  <sheetViews>
    <sheetView showGridLines="0" tabSelected="1" zoomScaleNormal="100" workbookViewId="0">
      <pane xSplit="2" ySplit="4" topLeftCell="N5" activePane="bottomRight" state="frozen"/>
      <selection pane="topRight" activeCell="O1" sqref="O1"/>
      <selection pane="bottomLeft" activeCell="A5" sqref="A5"/>
      <selection pane="bottomRight" activeCell="AC3" sqref="AC3"/>
    </sheetView>
  </sheetViews>
  <sheetFormatPr defaultRowHeight="16.5" outlineLevelCol="1"/>
  <cols>
    <col min="1" max="1" width="3.25" customWidth="1"/>
    <col min="2" max="2" width="17.25" bestFit="1" customWidth="1"/>
    <col min="3" max="4" width="13" customWidth="1" outlineLevel="1"/>
    <col min="5" max="6" width="12.375" customWidth="1" outlineLevel="1"/>
    <col min="7" max="7" width="12.375" style="1" customWidth="1" outlineLevel="1"/>
    <col min="8" max="14" width="12.375" customWidth="1" outlineLevel="1"/>
    <col min="15" max="15" width="13.625" style="1" bestFit="1" customWidth="1"/>
    <col min="16" max="17" width="13" customWidth="1"/>
    <col min="18" max="19" width="12.375" customWidth="1"/>
    <col min="20" max="20" width="12.375" style="1" customWidth="1"/>
    <col min="21" max="27" width="12.375" customWidth="1"/>
    <col min="28" max="28" width="13.625" style="1" bestFit="1" customWidth="1"/>
    <col min="29" max="29" width="14.875" bestFit="1" customWidth="1"/>
    <col min="30" max="30" width="14.625" bestFit="1" customWidth="1"/>
    <col min="31" max="31" width="14.25" bestFit="1" customWidth="1"/>
    <col min="32" max="32" width="11.75" bestFit="1" customWidth="1"/>
    <col min="33" max="35" width="13" bestFit="1" customWidth="1"/>
  </cols>
  <sheetData>
    <row r="1" spans="2:35">
      <c r="C1" s="37"/>
      <c r="P1" s="37" t="s">
        <v>54</v>
      </c>
    </row>
    <row r="2" spans="2:35">
      <c r="C2" s="36"/>
      <c r="D2" s="34"/>
      <c r="E2" s="34"/>
      <c r="P2" s="35">
        <f>IFERROR((-(C33-P33)/C33)*100,0)</f>
        <v>13.699943939661749</v>
      </c>
      <c r="Q2" s="34"/>
      <c r="R2" s="34"/>
    </row>
    <row r="3" spans="2:35" ht="17.25" thickBot="1">
      <c r="B3" s="14"/>
      <c r="C3" s="70">
        <v>2022</v>
      </c>
      <c r="D3" s="70"/>
      <c r="E3" s="70"/>
      <c r="F3" s="70"/>
      <c r="G3" s="70"/>
      <c r="H3" s="70"/>
      <c r="I3" s="70"/>
      <c r="J3" s="70"/>
      <c r="K3" s="70"/>
      <c r="L3" s="70"/>
      <c r="M3" s="70"/>
      <c r="N3" s="70"/>
      <c r="O3" s="33">
        <f>C3</f>
        <v>2022</v>
      </c>
      <c r="P3" s="70">
        <f>C3+1</f>
        <v>2023</v>
      </c>
      <c r="Q3" s="70"/>
      <c r="R3" s="70"/>
      <c r="S3" s="70"/>
      <c r="T3" s="70"/>
      <c r="U3" s="70"/>
      <c r="V3" s="70"/>
      <c r="W3" s="70"/>
      <c r="X3" s="70"/>
      <c r="Y3" s="70"/>
      <c r="Z3" s="70"/>
      <c r="AA3" s="70"/>
      <c r="AB3" s="33">
        <f>P3</f>
        <v>2023</v>
      </c>
      <c r="AC3" t="s">
        <v>53</v>
      </c>
    </row>
    <row r="4" spans="2:35" ht="17.25">
      <c r="B4" s="16" t="s">
        <v>52</v>
      </c>
      <c r="C4" s="31" t="s">
        <v>51</v>
      </c>
      <c r="D4" s="31" t="s">
        <v>50</v>
      </c>
      <c r="E4" s="31" t="s">
        <v>49</v>
      </c>
      <c r="F4" s="31" t="s">
        <v>48</v>
      </c>
      <c r="G4" s="31" t="s">
        <v>47</v>
      </c>
      <c r="H4" s="31" t="s">
        <v>46</v>
      </c>
      <c r="I4" s="31" t="s">
        <v>45</v>
      </c>
      <c r="J4" s="31" t="s">
        <v>44</v>
      </c>
      <c r="K4" s="31" t="s">
        <v>43</v>
      </c>
      <c r="L4" s="31" t="s">
        <v>42</v>
      </c>
      <c r="M4" s="31" t="s">
        <v>41</v>
      </c>
      <c r="N4" s="31" t="s">
        <v>40</v>
      </c>
      <c r="O4" s="32" t="s">
        <v>39</v>
      </c>
      <c r="P4" s="31" t="s">
        <v>51</v>
      </c>
      <c r="Q4" s="31" t="s">
        <v>50</v>
      </c>
      <c r="R4" s="31" t="s">
        <v>49</v>
      </c>
      <c r="S4" s="31" t="s">
        <v>48</v>
      </c>
      <c r="T4" s="31" t="s">
        <v>47</v>
      </c>
      <c r="U4" s="31" t="s">
        <v>46</v>
      </c>
      <c r="V4" s="31" t="s">
        <v>45</v>
      </c>
      <c r="W4" s="31" t="s">
        <v>44</v>
      </c>
      <c r="X4" s="31" t="s">
        <v>43</v>
      </c>
      <c r="Y4" s="31" t="s">
        <v>42</v>
      </c>
      <c r="Z4" s="31" t="s">
        <v>41</v>
      </c>
      <c r="AA4" s="31" t="s">
        <v>40</v>
      </c>
      <c r="AB4" s="30" t="s">
        <v>39</v>
      </c>
      <c r="AC4" s="29" t="s">
        <v>39</v>
      </c>
    </row>
    <row r="5" spans="2:35">
      <c r="B5" s="14" t="s">
        <v>38</v>
      </c>
      <c r="C5" s="56">
        <v>4208378</v>
      </c>
      <c r="D5" s="56">
        <v>2805585</v>
      </c>
      <c r="E5" s="56">
        <v>2805585</v>
      </c>
      <c r="F5" s="56">
        <v>2805585</v>
      </c>
      <c r="G5" s="56">
        <v>2805585</v>
      </c>
      <c r="H5" s="56">
        <v>2805585</v>
      </c>
      <c r="I5" s="56">
        <v>4208378</v>
      </c>
      <c r="J5" s="56">
        <v>4208378</v>
      </c>
      <c r="K5" s="56">
        <v>5611170</v>
      </c>
      <c r="L5" s="56">
        <v>2805585</v>
      </c>
      <c r="M5" s="56">
        <v>2805585</v>
      </c>
      <c r="N5" s="56">
        <v>2805585</v>
      </c>
      <c r="O5" s="13">
        <f t="shared" ref="O5:O15" si="0">SUM(C5:N5)</f>
        <v>40680984</v>
      </c>
      <c r="P5" s="48">
        <v>4784924</v>
      </c>
      <c r="Q5" s="48">
        <v>3189949</v>
      </c>
      <c r="R5" s="48">
        <v>3189949</v>
      </c>
      <c r="S5" s="48">
        <v>3189949</v>
      </c>
      <c r="T5" s="48">
        <v>3189949</v>
      </c>
      <c r="U5" s="48">
        <v>3189949</v>
      </c>
      <c r="V5" s="56">
        <v>4784924</v>
      </c>
      <c r="W5" s="48">
        <v>3189949</v>
      </c>
      <c r="X5" s="48">
        <v>4784924</v>
      </c>
      <c r="Y5" s="48">
        <v>3189949</v>
      </c>
      <c r="Z5" s="48">
        <v>3189949</v>
      </c>
      <c r="AA5" s="56">
        <v>3189949</v>
      </c>
      <c r="AB5" s="12">
        <f t="shared" ref="AB5:AB15" si="1">SUM(P5:AA5)</f>
        <v>43064313</v>
      </c>
      <c r="AC5" s="11">
        <f>SUM(O5,AB5)</f>
        <v>83745297</v>
      </c>
      <c r="AD5" s="17"/>
      <c r="AE5" s="17"/>
      <c r="AF5" s="17"/>
      <c r="AG5" s="17"/>
      <c r="AH5" s="17"/>
      <c r="AI5" s="17"/>
    </row>
    <row r="6" spans="2:35">
      <c r="B6" s="14" t="s">
        <v>124</v>
      </c>
      <c r="C6" s="56"/>
      <c r="D6" s="56"/>
      <c r="E6" s="56"/>
      <c r="F6" s="56"/>
      <c r="G6" s="56">
        <v>187040</v>
      </c>
      <c r="H6" s="56"/>
      <c r="I6" s="56"/>
      <c r="J6" s="56"/>
      <c r="K6" s="56"/>
      <c r="L6" s="56"/>
      <c r="M6" s="56"/>
      <c r="N6" s="56"/>
      <c r="O6" s="13">
        <f t="shared" ref="O6:O7" si="2">SUM(C6:N6)</f>
        <v>187040</v>
      </c>
      <c r="P6" s="48"/>
      <c r="Q6" s="48"/>
      <c r="R6" s="48"/>
      <c r="S6" s="48"/>
      <c r="T6" s="48"/>
      <c r="U6" s="48"/>
      <c r="V6" s="56"/>
      <c r="W6" s="48"/>
      <c r="X6" s="48"/>
      <c r="Y6" s="48"/>
      <c r="Z6" s="48"/>
      <c r="AA6" s="56"/>
      <c r="AB6" s="12">
        <f t="shared" si="1"/>
        <v>0</v>
      </c>
      <c r="AC6" s="11">
        <f t="shared" ref="AC6:AC49" si="3">SUM(O6,AB6)</f>
        <v>187040</v>
      </c>
      <c r="AD6" s="17"/>
      <c r="AE6" s="17"/>
      <c r="AF6" s="17"/>
      <c r="AG6" s="17"/>
      <c r="AH6" s="17"/>
      <c r="AI6" s="17"/>
    </row>
    <row r="7" spans="2:35">
      <c r="B7" s="14" t="s">
        <v>125</v>
      </c>
      <c r="C7" s="56"/>
      <c r="D7" s="56"/>
      <c r="E7" s="56"/>
      <c r="F7" s="56"/>
      <c r="G7" s="56"/>
      <c r="H7" s="56"/>
      <c r="I7" s="56"/>
      <c r="J7" s="56">
        <v>2805585</v>
      </c>
      <c r="K7" s="56"/>
      <c r="L7" s="56"/>
      <c r="M7" s="56"/>
      <c r="N7" s="56"/>
      <c r="O7" s="13">
        <f t="shared" si="2"/>
        <v>2805585</v>
      </c>
      <c r="P7" s="48"/>
      <c r="Q7" s="48"/>
      <c r="R7" s="48"/>
      <c r="S7" s="48"/>
      <c r="T7" s="48"/>
      <c r="U7" s="48"/>
      <c r="V7" s="56"/>
      <c r="W7" s="48"/>
      <c r="X7" s="48"/>
      <c r="Y7" s="48"/>
      <c r="Z7" s="48"/>
      <c r="AA7" s="56"/>
      <c r="AB7" s="12">
        <f t="shared" ref="AB7" si="4">SUM(P7:AA7)</f>
        <v>0</v>
      </c>
      <c r="AC7" s="11">
        <f t="shared" ref="AC7" si="5">SUM(O7,AB7)</f>
        <v>2805585</v>
      </c>
      <c r="AD7" s="17"/>
      <c r="AE7" s="17"/>
      <c r="AF7" s="17"/>
      <c r="AG7" s="17"/>
      <c r="AH7" s="17"/>
      <c r="AI7" s="17"/>
    </row>
    <row r="8" spans="2:35">
      <c r="B8" s="14" t="s">
        <v>37</v>
      </c>
      <c r="C8" s="56">
        <v>935195</v>
      </c>
      <c r="D8" s="56">
        <v>935195</v>
      </c>
      <c r="E8" s="56">
        <v>935195</v>
      </c>
      <c r="F8" s="56">
        <v>935195</v>
      </c>
      <c r="G8" s="56">
        <v>935195</v>
      </c>
      <c r="H8" s="56">
        <v>935195</v>
      </c>
      <c r="I8" s="56">
        <v>935195</v>
      </c>
      <c r="J8" s="56">
        <v>935195</v>
      </c>
      <c r="K8" s="56">
        <v>935195</v>
      </c>
      <c r="L8" s="56">
        <v>935195</v>
      </c>
      <c r="M8" s="56">
        <v>935195</v>
      </c>
      <c r="N8" s="56">
        <v>935195</v>
      </c>
      <c r="O8" s="13">
        <f t="shared" si="0"/>
        <v>11222340</v>
      </c>
      <c r="P8" s="48">
        <v>1063317</v>
      </c>
      <c r="Q8" s="48">
        <v>1063317</v>
      </c>
      <c r="R8" s="48">
        <v>1063317</v>
      </c>
      <c r="S8" s="48">
        <v>1063317</v>
      </c>
      <c r="T8" s="48">
        <v>1063317</v>
      </c>
      <c r="U8" s="48">
        <v>1063317</v>
      </c>
      <c r="V8" s="56">
        <v>1063317</v>
      </c>
      <c r="W8" s="48">
        <v>1063317</v>
      </c>
      <c r="X8" s="48">
        <v>1063317</v>
      </c>
      <c r="Y8" s="48">
        <v>1063317</v>
      </c>
      <c r="Z8" s="48">
        <v>1063317</v>
      </c>
      <c r="AA8" s="56">
        <v>1063317</v>
      </c>
      <c r="AB8" s="12">
        <f t="shared" si="1"/>
        <v>12759804</v>
      </c>
      <c r="AC8" s="11">
        <f t="shared" si="3"/>
        <v>23982144</v>
      </c>
      <c r="AD8" s="17"/>
      <c r="AE8" s="17"/>
      <c r="AF8" s="17"/>
      <c r="AG8" s="17"/>
      <c r="AH8" s="17"/>
      <c r="AI8" s="17"/>
    </row>
    <row r="9" spans="2:35">
      <c r="B9" s="14" t="s">
        <v>36</v>
      </c>
      <c r="C9" s="56">
        <v>467598</v>
      </c>
      <c r="D9" s="56">
        <v>467598</v>
      </c>
      <c r="E9" s="56">
        <v>467598</v>
      </c>
      <c r="F9" s="56">
        <v>467598</v>
      </c>
      <c r="G9" s="56">
        <v>467598</v>
      </c>
      <c r="H9" s="56">
        <v>467598</v>
      </c>
      <c r="I9" s="56">
        <v>467598</v>
      </c>
      <c r="J9" s="56">
        <v>467598</v>
      </c>
      <c r="K9" s="56">
        <v>935196</v>
      </c>
      <c r="L9" s="56">
        <v>467598</v>
      </c>
      <c r="M9" s="56">
        <v>467598</v>
      </c>
      <c r="N9" s="56">
        <v>467598</v>
      </c>
      <c r="O9" s="13">
        <f t="shared" si="0"/>
        <v>6078774</v>
      </c>
      <c r="P9" s="48">
        <v>531659</v>
      </c>
      <c r="Q9" s="48">
        <v>531659</v>
      </c>
      <c r="R9" s="48">
        <v>531659</v>
      </c>
      <c r="S9" s="48">
        <v>531659</v>
      </c>
      <c r="T9" s="48">
        <v>531659</v>
      </c>
      <c r="U9" s="48">
        <v>531659</v>
      </c>
      <c r="V9" s="56">
        <v>531659</v>
      </c>
      <c r="W9" s="48">
        <v>531659</v>
      </c>
      <c r="X9" s="48">
        <v>531659</v>
      </c>
      <c r="Y9" s="48">
        <v>531659</v>
      </c>
      <c r="Z9" s="48">
        <v>531659</v>
      </c>
      <c r="AA9" s="56">
        <v>531659</v>
      </c>
      <c r="AB9" s="12">
        <f t="shared" si="1"/>
        <v>6379908</v>
      </c>
      <c r="AC9" s="11">
        <f t="shared" si="3"/>
        <v>12458682</v>
      </c>
    </row>
    <row r="10" spans="2:35">
      <c r="B10" s="14" t="s">
        <v>35</v>
      </c>
      <c r="C10" s="56"/>
      <c r="D10" s="56"/>
      <c r="E10" s="56"/>
      <c r="F10" s="56">
        <v>20000</v>
      </c>
      <c r="G10" s="56"/>
      <c r="H10" s="56"/>
      <c r="I10" s="56">
        <v>20000</v>
      </c>
      <c r="J10" s="56">
        <v>100000</v>
      </c>
      <c r="K10" s="56">
        <v>60000</v>
      </c>
      <c r="L10" s="56">
        <v>90000</v>
      </c>
      <c r="M10" s="56"/>
      <c r="N10" s="56">
        <v>60000</v>
      </c>
      <c r="O10" s="13">
        <f t="shared" si="0"/>
        <v>350000</v>
      </c>
      <c r="P10" s="1"/>
      <c r="Q10" s="1"/>
      <c r="R10" s="1"/>
      <c r="S10" s="1"/>
      <c r="T10" s="48">
        <v>30000</v>
      </c>
      <c r="U10" s="1"/>
      <c r="V10" s="1"/>
      <c r="W10" s="1"/>
      <c r="X10" s="1"/>
      <c r="Y10" s="1"/>
      <c r="Z10" s="1"/>
      <c r="AA10" s="1"/>
      <c r="AB10" s="12">
        <f t="shared" si="1"/>
        <v>30000</v>
      </c>
      <c r="AC10" s="11">
        <f t="shared" si="3"/>
        <v>380000</v>
      </c>
      <c r="AD10" s="17"/>
      <c r="AE10" s="17"/>
      <c r="AF10" s="17"/>
      <c r="AG10" s="17"/>
      <c r="AH10" s="17"/>
      <c r="AI10" s="17"/>
    </row>
    <row r="11" spans="2:35">
      <c r="B11" s="14" t="s">
        <v>63</v>
      </c>
      <c r="C11" s="56"/>
      <c r="D11" s="56"/>
      <c r="E11" s="56"/>
      <c r="F11" s="56"/>
      <c r="G11" s="56"/>
      <c r="H11" s="56"/>
      <c r="I11" s="56"/>
      <c r="J11" s="56">
        <v>2000</v>
      </c>
      <c r="K11" s="56"/>
      <c r="L11" s="56"/>
      <c r="M11" s="56">
        <v>18000</v>
      </c>
      <c r="N11" s="56"/>
      <c r="O11" s="13">
        <f t="shared" si="0"/>
        <v>20000</v>
      </c>
      <c r="P11" s="1"/>
      <c r="Q11" s="1"/>
      <c r="R11" s="1"/>
      <c r="S11" s="1"/>
      <c r="U11" s="1"/>
      <c r="V11" s="56">
        <v>8000</v>
      </c>
      <c r="W11" s="48">
        <v>27000</v>
      </c>
      <c r="X11" s="1"/>
      <c r="Y11" s="1"/>
      <c r="Z11" s="1"/>
      <c r="AA11" s="1"/>
      <c r="AB11" s="12">
        <f t="shared" si="1"/>
        <v>35000</v>
      </c>
      <c r="AC11" s="11">
        <f t="shared" si="3"/>
        <v>55000</v>
      </c>
    </row>
    <row r="12" spans="2:35">
      <c r="B12" s="14" t="s">
        <v>60</v>
      </c>
      <c r="C12" s="56"/>
      <c r="D12" s="56"/>
      <c r="E12" s="56"/>
      <c r="F12" s="56">
        <v>4000000</v>
      </c>
      <c r="G12" s="56"/>
      <c r="H12" s="56"/>
      <c r="I12" s="56"/>
      <c r="J12" s="56"/>
      <c r="K12" s="56"/>
      <c r="L12" s="56"/>
      <c r="M12" s="56"/>
      <c r="N12" s="56"/>
      <c r="O12" s="13">
        <f t="shared" si="0"/>
        <v>4000000</v>
      </c>
      <c r="P12" s="1"/>
      <c r="Q12" s="1"/>
      <c r="R12" s="1"/>
      <c r="S12" s="48">
        <v>6926039</v>
      </c>
      <c r="U12" s="1"/>
      <c r="V12" s="1"/>
      <c r="W12" s="1"/>
      <c r="X12" s="1"/>
      <c r="Y12" s="1"/>
      <c r="Z12" s="1"/>
      <c r="AA12" s="1"/>
      <c r="AB12" s="12">
        <f t="shared" si="1"/>
        <v>6926039</v>
      </c>
      <c r="AC12" s="11">
        <f t="shared" si="3"/>
        <v>10926039</v>
      </c>
    </row>
    <row r="13" spans="2:35">
      <c r="B13" s="14" t="s">
        <v>34</v>
      </c>
      <c r="C13" s="56">
        <v>490836</v>
      </c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13">
        <f t="shared" si="0"/>
        <v>490836</v>
      </c>
      <c r="P13" s="48">
        <v>1324173</v>
      </c>
      <c r="Q13" s="1"/>
      <c r="R13" s="1"/>
      <c r="S13" s="1"/>
      <c r="U13" s="1"/>
      <c r="V13" s="1"/>
      <c r="W13" s="1"/>
      <c r="X13" s="1"/>
      <c r="Y13" s="1"/>
      <c r="Z13" s="1"/>
      <c r="AA13" s="1"/>
      <c r="AB13" s="12">
        <f t="shared" si="1"/>
        <v>1324173</v>
      </c>
      <c r="AC13" s="11">
        <f t="shared" si="3"/>
        <v>1815009</v>
      </c>
    </row>
    <row r="14" spans="2:35">
      <c r="B14" s="14" t="s">
        <v>33</v>
      </c>
      <c r="C14" s="56">
        <v>200000</v>
      </c>
      <c r="D14" s="56"/>
      <c r="E14" s="56"/>
      <c r="F14" s="56"/>
      <c r="G14" s="56"/>
      <c r="H14" s="56"/>
      <c r="I14" s="56">
        <v>500000</v>
      </c>
      <c r="J14" s="56">
        <v>500000</v>
      </c>
      <c r="K14" s="56"/>
      <c r="L14" s="56"/>
      <c r="M14" s="56"/>
      <c r="N14" s="56"/>
      <c r="O14" s="13">
        <f t="shared" si="0"/>
        <v>1200000</v>
      </c>
      <c r="P14" s="48">
        <v>200000</v>
      </c>
      <c r="Q14" s="27"/>
      <c r="R14" s="1"/>
      <c r="S14" s="1"/>
      <c r="U14" s="1"/>
      <c r="V14" s="56">
        <v>500000</v>
      </c>
      <c r="W14" s="1"/>
      <c r="X14" s="48">
        <v>200000</v>
      </c>
      <c r="Z14" s="1"/>
      <c r="AA14" s="1"/>
      <c r="AB14" s="12">
        <f t="shared" si="1"/>
        <v>900000</v>
      </c>
      <c r="AC14" s="11">
        <f t="shared" si="3"/>
        <v>2100000</v>
      </c>
    </row>
    <row r="15" spans="2:35">
      <c r="B15" s="14" t="s">
        <v>32</v>
      </c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13">
        <f t="shared" si="0"/>
        <v>0</v>
      </c>
      <c r="P15" s="1"/>
      <c r="Q15" s="27"/>
      <c r="R15" s="1"/>
      <c r="S15" s="1"/>
      <c r="U15" s="1"/>
      <c r="V15" s="1"/>
      <c r="W15" s="1"/>
      <c r="X15" s="1"/>
      <c r="Y15" s="1"/>
      <c r="Z15" s="1"/>
      <c r="AA15" s="1"/>
      <c r="AB15" s="12">
        <f t="shared" si="1"/>
        <v>0</v>
      </c>
      <c r="AC15" s="11">
        <f t="shared" si="3"/>
        <v>0</v>
      </c>
    </row>
    <row r="16" spans="2:35">
      <c r="B16" s="6" t="s">
        <v>31</v>
      </c>
      <c r="C16" s="9">
        <f t="shared" ref="C16:N16" si="6">SUM(C5:C15)</f>
        <v>6302007</v>
      </c>
      <c r="D16" s="9">
        <f t="shared" si="6"/>
        <v>4208378</v>
      </c>
      <c r="E16" s="9">
        <f t="shared" si="6"/>
        <v>4208378</v>
      </c>
      <c r="F16" s="9">
        <f t="shared" si="6"/>
        <v>8228378</v>
      </c>
      <c r="G16" s="9">
        <f t="shared" si="6"/>
        <v>4395418</v>
      </c>
      <c r="H16" s="9">
        <f t="shared" si="6"/>
        <v>4208378</v>
      </c>
      <c r="I16" s="9">
        <f t="shared" si="6"/>
        <v>6131171</v>
      </c>
      <c r="J16" s="9">
        <f t="shared" si="6"/>
        <v>9018756</v>
      </c>
      <c r="K16" s="9">
        <f t="shared" si="6"/>
        <v>7541561</v>
      </c>
      <c r="L16" s="9">
        <f t="shared" si="6"/>
        <v>4298378</v>
      </c>
      <c r="M16" s="9">
        <f t="shared" si="6"/>
        <v>4226378</v>
      </c>
      <c r="N16" s="9">
        <f t="shared" si="6"/>
        <v>4268378</v>
      </c>
      <c r="O16" s="10">
        <f t="shared" ref="O16:AB16" si="7">SUM(O5:O15)</f>
        <v>67035559</v>
      </c>
      <c r="P16" s="9">
        <f t="shared" ref="P16:AA16" si="8">SUM(P5:P15)</f>
        <v>7904073</v>
      </c>
      <c r="Q16" s="9">
        <f t="shared" si="8"/>
        <v>4784925</v>
      </c>
      <c r="R16" s="9">
        <f t="shared" si="8"/>
        <v>4784925</v>
      </c>
      <c r="S16" s="9">
        <f t="shared" si="8"/>
        <v>11710964</v>
      </c>
      <c r="T16" s="9">
        <f t="shared" si="8"/>
        <v>4814925</v>
      </c>
      <c r="U16" s="9">
        <f t="shared" si="8"/>
        <v>4784925</v>
      </c>
      <c r="V16" s="9">
        <f t="shared" si="8"/>
        <v>6887900</v>
      </c>
      <c r="W16" s="9">
        <f t="shared" si="8"/>
        <v>4811925</v>
      </c>
      <c r="X16" s="9">
        <f t="shared" si="8"/>
        <v>6579900</v>
      </c>
      <c r="Y16" s="9">
        <f t="shared" si="8"/>
        <v>4784925</v>
      </c>
      <c r="Z16" s="9">
        <f t="shared" si="8"/>
        <v>4784925</v>
      </c>
      <c r="AA16" s="9">
        <f t="shared" si="8"/>
        <v>4784925</v>
      </c>
      <c r="AB16" s="8">
        <f t="shared" si="7"/>
        <v>71419237</v>
      </c>
      <c r="AC16" s="7">
        <f t="shared" si="3"/>
        <v>138454796</v>
      </c>
      <c r="AD16" s="28"/>
    </row>
    <row r="17" spans="2:30">
      <c r="B17" s="14" t="s">
        <v>30</v>
      </c>
      <c r="C17" s="56">
        <v>246850</v>
      </c>
      <c r="D17" s="56">
        <v>308950</v>
      </c>
      <c r="E17" s="56">
        <v>308950</v>
      </c>
      <c r="F17" s="56">
        <v>675280</v>
      </c>
      <c r="G17" s="56">
        <v>287850</v>
      </c>
      <c r="H17" s="56">
        <v>308950</v>
      </c>
      <c r="I17" s="56">
        <v>363960</v>
      </c>
      <c r="J17" s="56">
        <v>611800</v>
      </c>
      <c r="K17" s="56">
        <v>589600</v>
      </c>
      <c r="L17" s="56">
        <v>340790</v>
      </c>
      <c r="M17" s="56">
        <v>312420</v>
      </c>
      <c r="N17" s="56">
        <v>336090</v>
      </c>
      <c r="O17" s="13">
        <f t="shared" ref="O17:O47" si="9">SUM(C17:N17)</f>
        <v>4691490</v>
      </c>
      <c r="P17" s="48">
        <v>364970</v>
      </c>
      <c r="Q17" s="48">
        <v>319610</v>
      </c>
      <c r="R17" s="48">
        <v>383530</v>
      </c>
      <c r="S17" s="48">
        <v>990860</v>
      </c>
      <c r="T17" s="48">
        <v>368900</v>
      </c>
      <c r="U17" s="48">
        <v>365530</v>
      </c>
      <c r="V17" s="56">
        <v>409520</v>
      </c>
      <c r="W17" s="48">
        <v>368900</v>
      </c>
      <c r="X17" s="48">
        <v>395350</v>
      </c>
      <c r="Y17" s="48">
        <v>365530</v>
      </c>
      <c r="Z17" s="48">
        <v>365530</v>
      </c>
      <c r="AA17" s="56">
        <v>365530</v>
      </c>
      <c r="AB17" s="12">
        <f t="shared" ref="AB17:AB47" si="10">SUM(P17:AA17)</f>
        <v>5063760</v>
      </c>
      <c r="AC17" s="11">
        <f t="shared" si="3"/>
        <v>9755250</v>
      </c>
    </row>
    <row r="18" spans="2:30">
      <c r="B18" s="14" t="s">
        <v>29</v>
      </c>
      <c r="C18" s="56">
        <v>24680</v>
      </c>
      <c r="D18" s="56">
        <v>30890</v>
      </c>
      <c r="E18" s="56">
        <v>30890</v>
      </c>
      <c r="F18" s="56">
        <v>67520</v>
      </c>
      <c r="G18" s="56">
        <v>28780</v>
      </c>
      <c r="H18" s="56">
        <v>30890</v>
      </c>
      <c r="I18" s="56">
        <v>36390</v>
      </c>
      <c r="J18" s="56">
        <v>61170</v>
      </c>
      <c r="K18" s="56">
        <v>58960</v>
      </c>
      <c r="L18" s="56">
        <v>34070</v>
      </c>
      <c r="M18" s="56">
        <v>31240</v>
      </c>
      <c r="N18" s="56">
        <v>33600</v>
      </c>
      <c r="O18" s="13">
        <f t="shared" si="9"/>
        <v>469080</v>
      </c>
      <c r="P18" s="48">
        <v>36490</v>
      </c>
      <c r="Q18" s="48">
        <v>31960</v>
      </c>
      <c r="R18" s="48">
        <v>38350</v>
      </c>
      <c r="S18" s="48">
        <v>99080</v>
      </c>
      <c r="T18" s="48">
        <v>36890</v>
      </c>
      <c r="U18" s="48">
        <v>36550</v>
      </c>
      <c r="V18" s="56">
        <v>40940</v>
      </c>
      <c r="W18" s="48">
        <v>36890</v>
      </c>
      <c r="X18" s="48">
        <v>39530</v>
      </c>
      <c r="Y18" s="48">
        <v>36550</v>
      </c>
      <c r="Z18" s="48">
        <v>36550</v>
      </c>
      <c r="AA18" s="56">
        <v>36550</v>
      </c>
      <c r="AB18" s="12">
        <f t="shared" si="10"/>
        <v>506330</v>
      </c>
      <c r="AC18" s="11">
        <f t="shared" si="3"/>
        <v>975410</v>
      </c>
    </row>
    <row r="19" spans="2:30">
      <c r="B19" s="14" t="s">
        <v>28</v>
      </c>
      <c r="C19" s="56">
        <v>203850</v>
      </c>
      <c r="D19" s="56">
        <v>203850</v>
      </c>
      <c r="E19" s="56">
        <v>203850</v>
      </c>
      <c r="F19" s="56">
        <v>203850</v>
      </c>
      <c r="G19" s="56">
        <v>203850</v>
      </c>
      <c r="H19" s="56">
        <v>203850</v>
      </c>
      <c r="I19" s="56">
        <v>202770</v>
      </c>
      <c r="J19" s="56">
        <v>202770</v>
      </c>
      <c r="K19" s="56">
        <v>202770</v>
      </c>
      <c r="L19" s="56">
        <v>202770</v>
      </c>
      <c r="M19" s="56">
        <v>202770</v>
      </c>
      <c r="N19" s="56">
        <v>202770</v>
      </c>
      <c r="O19" s="13">
        <f t="shared" si="9"/>
        <v>2439720</v>
      </c>
      <c r="P19" s="48">
        <v>202770</v>
      </c>
      <c r="Q19" s="48">
        <v>202770</v>
      </c>
      <c r="R19" s="48">
        <v>202770</v>
      </c>
      <c r="S19" s="48">
        <v>202770</v>
      </c>
      <c r="T19" s="48">
        <v>202770</v>
      </c>
      <c r="U19" s="48">
        <v>202770</v>
      </c>
      <c r="V19" s="56">
        <v>234720</v>
      </c>
      <c r="W19" s="48">
        <v>234720</v>
      </c>
      <c r="X19" s="48">
        <v>234720</v>
      </c>
      <c r="Y19" s="48">
        <v>234720</v>
      </c>
      <c r="Z19" s="48">
        <v>234720</v>
      </c>
      <c r="AA19" s="56">
        <v>234720</v>
      </c>
      <c r="AB19" s="12">
        <f t="shared" si="10"/>
        <v>2624940</v>
      </c>
      <c r="AC19" s="11">
        <f t="shared" si="3"/>
        <v>5064660</v>
      </c>
    </row>
    <row r="20" spans="2:30">
      <c r="B20" s="14" t="s">
        <v>27</v>
      </c>
      <c r="C20" s="56">
        <v>156570</v>
      </c>
      <c r="D20" s="56">
        <v>156570</v>
      </c>
      <c r="E20" s="56">
        <v>156570</v>
      </c>
      <c r="F20" s="56">
        <v>159670</v>
      </c>
      <c r="G20" s="56">
        <v>159670</v>
      </c>
      <c r="H20" s="56">
        <v>159670</v>
      </c>
      <c r="I20" s="56">
        <v>159670</v>
      </c>
      <c r="J20" s="56">
        <v>159670</v>
      </c>
      <c r="K20" s="56">
        <v>159670</v>
      </c>
      <c r="L20" s="56">
        <v>159670</v>
      </c>
      <c r="M20" s="56">
        <v>159670</v>
      </c>
      <c r="N20" s="56">
        <v>159670</v>
      </c>
      <c r="O20" s="13">
        <f t="shared" si="9"/>
        <v>1906740</v>
      </c>
      <c r="P20" s="48">
        <v>161950</v>
      </c>
      <c r="Q20" s="48">
        <v>161950</v>
      </c>
      <c r="R20" s="48">
        <v>161950</v>
      </c>
      <c r="S20" s="48">
        <v>187470</v>
      </c>
      <c r="T20" s="48">
        <v>187470</v>
      </c>
      <c r="U20" s="48">
        <v>187470</v>
      </c>
      <c r="V20" s="56">
        <v>187470</v>
      </c>
      <c r="W20" s="48">
        <v>187470</v>
      </c>
      <c r="X20" s="48">
        <v>187470</v>
      </c>
      <c r="Y20" s="48">
        <v>187470</v>
      </c>
      <c r="Z20" s="48">
        <v>187470</v>
      </c>
      <c r="AA20" s="56">
        <v>187470</v>
      </c>
      <c r="AB20" s="12">
        <f t="shared" si="10"/>
        <v>2173080</v>
      </c>
      <c r="AC20" s="11">
        <f t="shared" si="3"/>
        <v>4079820</v>
      </c>
    </row>
    <row r="21" spans="2:30">
      <c r="B21" s="14" t="s">
        <v>26</v>
      </c>
      <c r="C21" s="56">
        <v>50410</v>
      </c>
      <c r="D21" s="56">
        <v>33660</v>
      </c>
      <c r="E21" s="56">
        <v>33660</v>
      </c>
      <c r="F21" s="56">
        <v>65820</v>
      </c>
      <c r="G21" s="56">
        <v>35160</v>
      </c>
      <c r="H21" s="56">
        <v>33660</v>
      </c>
      <c r="I21" s="56">
        <v>55170</v>
      </c>
      <c r="J21" s="56">
        <v>81160</v>
      </c>
      <c r="K21" s="56">
        <v>76820</v>
      </c>
      <c r="L21" s="56">
        <v>38680</v>
      </c>
      <c r="M21" s="56">
        <v>38030</v>
      </c>
      <c r="N21" s="56">
        <v>38410</v>
      </c>
      <c r="O21" s="13">
        <f t="shared" si="9"/>
        <v>580640</v>
      </c>
      <c r="P21" s="48">
        <v>71970</v>
      </c>
      <c r="Q21" s="48">
        <v>43060</v>
      </c>
      <c r="R21" s="48">
        <v>43060</v>
      </c>
      <c r="S21" s="48">
        <v>105390</v>
      </c>
      <c r="T21" s="48">
        <v>43330</v>
      </c>
      <c r="U21" s="48">
        <v>43060</v>
      </c>
      <c r="V21" s="56">
        <v>61980</v>
      </c>
      <c r="W21" s="48">
        <v>43300</v>
      </c>
      <c r="X21" s="48">
        <v>59210</v>
      </c>
      <c r="Y21" s="48">
        <v>43060</v>
      </c>
      <c r="Z21" s="48">
        <v>43060</v>
      </c>
      <c r="AA21" s="56">
        <v>43060</v>
      </c>
      <c r="AB21" s="12">
        <f t="shared" si="10"/>
        <v>643540</v>
      </c>
      <c r="AC21" s="11">
        <f t="shared" si="3"/>
        <v>1224180</v>
      </c>
    </row>
    <row r="22" spans="2:30">
      <c r="B22" s="14" t="s">
        <v>25</v>
      </c>
      <c r="C22" s="56">
        <v>19210</v>
      </c>
      <c r="D22" s="56">
        <v>19210</v>
      </c>
      <c r="E22" s="56">
        <v>19210</v>
      </c>
      <c r="F22" s="56">
        <v>19590</v>
      </c>
      <c r="G22" s="56">
        <v>19590</v>
      </c>
      <c r="H22" s="56">
        <v>19590</v>
      </c>
      <c r="I22" s="56">
        <v>19590</v>
      </c>
      <c r="J22" s="56">
        <v>19590</v>
      </c>
      <c r="K22" s="56">
        <v>19590</v>
      </c>
      <c r="L22" s="56">
        <v>19590</v>
      </c>
      <c r="M22" s="56">
        <v>19590</v>
      </c>
      <c r="N22" s="56">
        <v>19590</v>
      </c>
      <c r="O22" s="13">
        <f t="shared" si="9"/>
        <v>233940</v>
      </c>
      <c r="P22" s="48">
        <v>20740</v>
      </c>
      <c r="Q22" s="48">
        <v>20740</v>
      </c>
      <c r="R22" s="48">
        <v>20740</v>
      </c>
      <c r="S22" s="48">
        <v>24010</v>
      </c>
      <c r="T22" s="48">
        <v>24010</v>
      </c>
      <c r="U22" s="48">
        <v>24010</v>
      </c>
      <c r="V22" s="56">
        <v>24010</v>
      </c>
      <c r="W22" s="48">
        <v>24010</v>
      </c>
      <c r="X22" s="48">
        <v>24010</v>
      </c>
      <c r="Y22" s="48">
        <v>24010</v>
      </c>
      <c r="Z22" s="48">
        <v>24010</v>
      </c>
      <c r="AA22" s="56">
        <v>24010</v>
      </c>
      <c r="AB22" s="12">
        <f t="shared" si="10"/>
        <v>278310</v>
      </c>
      <c r="AC22" s="11">
        <f t="shared" si="3"/>
        <v>512250</v>
      </c>
    </row>
    <row r="23" spans="2:30">
      <c r="B23" s="14" t="s">
        <v>24</v>
      </c>
      <c r="C23" s="56">
        <v>6500</v>
      </c>
      <c r="D23" s="56">
        <v>6500</v>
      </c>
      <c r="E23" s="56">
        <v>6500</v>
      </c>
      <c r="F23" s="56">
        <v>6500</v>
      </c>
      <c r="G23" s="56">
        <v>6500</v>
      </c>
      <c r="H23" s="56">
        <v>6500</v>
      </c>
      <c r="I23" s="56">
        <v>6500</v>
      </c>
      <c r="J23" s="56">
        <v>6500</v>
      </c>
      <c r="K23" s="56">
        <v>6500</v>
      </c>
      <c r="L23" s="56">
        <v>6500</v>
      </c>
      <c r="M23" s="56">
        <v>6500</v>
      </c>
      <c r="N23" s="56">
        <v>6500</v>
      </c>
      <c r="O23" s="13">
        <f t="shared" si="9"/>
        <v>78000</v>
      </c>
      <c r="P23" s="48">
        <v>6500</v>
      </c>
      <c r="Q23" s="48">
        <v>6500</v>
      </c>
      <c r="R23" s="48">
        <v>6500</v>
      </c>
      <c r="S23" s="48">
        <v>6500</v>
      </c>
      <c r="T23" s="48">
        <v>6500</v>
      </c>
      <c r="U23" s="48">
        <v>6500</v>
      </c>
      <c r="V23" s="56">
        <v>6500</v>
      </c>
      <c r="W23" s="48">
        <v>6500</v>
      </c>
      <c r="X23" s="48">
        <v>6500</v>
      </c>
      <c r="Y23" s="48">
        <v>6500</v>
      </c>
      <c r="Z23" s="48">
        <v>6500</v>
      </c>
      <c r="AA23" s="56">
        <v>6500</v>
      </c>
      <c r="AB23" s="12">
        <f t="shared" si="10"/>
        <v>78000</v>
      </c>
      <c r="AC23" s="11">
        <f t="shared" si="3"/>
        <v>156000</v>
      </c>
    </row>
    <row r="24" spans="2:30">
      <c r="B24" s="14" t="s">
        <v>58</v>
      </c>
      <c r="C24" s="1"/>
      <c r="D24" s="56">
        <v>100540</v>
      </c>
      <c r="E24" s="1"/>
      <c r="F24" s="1"/>
      <c r="H24" s="1"/>
      <c r="I24" s="1"/>
      <c r="J24" s="1"/>
      <c r="K24" s="1"/>
      <c r="L24" s="1"/>
      <c r="M24" s="1"/>
      <c r="N24" s="1"/>
      <c r="O24" s="13">
        <f t="shared" si="9"/>
        <v>100540</v>
      </c>
      <c r="P24" s="1"/>
      <c r="Q24" s="48">
        <v>48060</v>
      </c>
      <c r="R24" s="1"/>
      <c r="S24" s="1"/>
      <c r="U24" s="1"/>
      <c r="V24" s="1"/>
      <c r="W24" s="1"/>
      <c r="X24" s="1"/>
      <c r="Y24" s="1"/>
      <c r="Z24" s="1"/>
      <c r="AA24" s="1"/>
      <c r="AB24" s="12">
        <f t="shared" si="10"/>
        <v>48060</v>
      </c>
      <c r="AC24" s="11">
        <f t="shared" si="3"/>
        <v>148600</v>
      </c>
    </row>
    <row r="25" spans="2:30">
      <c r="B25" s="14" t="s">
        <v>59</v>
      </c>
      <c r="C25" s="1"/>
      <c r="D25" s="56">
        <v>10130</v>
      </c>
      <c r="E25" s="1"/>
      <c r="F25" s="1"/>
      <c r="H25" s="1"/>
      <c r="I25" s="1"/>
      <c r="J25" s="1"/>
      <c r="K25" s="1"/>
      <c r="L25" s="1"/>
      <c r="M25" s="1"/>
      <c r="N25" s="1"/>
      <c r="O25" s="13">
        <f t="shared" si="9"/>
        <v>10130</v>
      </c>
      <c r="P25" s="1"/>
      <c r="Q25" s="48">
        <v>4870</v>
      </c>
      <c r="R25" s="1"/>
      <c r="S25" s="1"/>
      <c r="U25" s="1"/>
      <c r="V25" s="1"/>
      <c r="W25" s="1"/>
      <c r="X25" s="1"/>
      <c r="Y25" s="1"/>
      <c r="Z25" s="1"/>
      <c r="AA25" s="1"/>
      <c r="AB25" s="12">
        <f t="shared" si="10"/>
        <v>4870</v>
      </c>
      <c r="AC25" s="11">
        <f t="shared" si="3"/>
        <v>15000</v>
      </c>
    </row>
    <row r="26" spans="2:30">
      <c r="B26" s="14" t="s">
        <v>23</v>
      </c>
      <c r="C26" s="56">
        <v>185185</v>
      </c>
      <c r="D26" s="56">
        <v>185185</v>
      </c>
      <c r="E26" s="56">
        <v>185185</v>
      </c>
      <c r="F26" s="56">
        <v>185185</v>
      </c>
      <c r="G26" s="56">
        <v>185185</v>
      </c>
      <c r="H26" s="56">
        <v>185185</v>
      </c>
      <c r="I26" s="56">
        <v>185185</v>
      </c>
      <c r="J26" s="56">
        <v>185185</v>
      </c>
      <c r="K26" s="56">
        <v>185185</v>
      </c>
      <c r="L26" s="56">
        <v>185185</v>
      </c>
      <c r="M26" s="56">
        <v>185185</v>
      </c>
      <c r="N26" s="56">
        <v>185185</v>
      </c>
      <c r="O26" s="13">
        <f t="shared" si="9"/>
        <v>2222220</v>
      </c>
      <c r="P26" s="48">
        <v>185185</v>
      </c>
      <c r="Q26" s="48">
        <v>185185</v>
      </c>
      <c r="R26" s="48">
        <v>185185</v>
      </c>
      <c r="S26" s="48">
        <v>185185</v>
      </c>
      <c r="T26" s="48">
        <v>185185</v>
      </c>
      <c r="U26" s="48">
        <v>185185</v>
      </c>
      <c r="V26" s="56">
        <v>185185</v>
      </c>
      <c r="W26" s="48">
        <v>185185</v>
      </c>
      <c r="X26" s="48">
        <v>185185</v>
      </c>
      <c r="Y26" s="48">
        <v>185185</v>
      </c>
      <c r="Z26" s="48">
        <v>185185</v>
      </c>
      <c r="AA26" s="56">
        <v>185185</v>
      </c>
      <c r="AB26" s="12">
        <f t="shared" si="10"/>
        <v>2222220</v>
      </c>
      <c r="AC26" s="11">
        <f t="shared" si="3"/>
        <v>4444440</v>
      </c>
    </row>
    <row r="27" spans="2:30">
      <c r="B27" s="14" t="s">
        <v>22</v>
      </c>
      <c r="C27" s="56">
        <v>13368</v>
      </c>
      <c r="D27" s="56">
        <v>13211</v>
      </c>
      <c r="E27" s="56">
        <v>11790</v>
      </c>
      <c r="F27" s="56">
        <v>12897</v>
      </c>
      <c r="G27" s="56">
        <v>12328</v>
      </c>
      <c r="H27" s="56">
        <v>12582</v>
      </c>
      <c r="I27" s="56">
        <v>12024</v>
      </c>
      <c r="J27" s="56">
        <v>12267</v>
      </c>
      <c r="K27" s="56">
        <v>12110</v>
      </c>
      <c r="L27" s="56">
        <v>11567</v>
      </c>
      <c r="M27" s="56">
        <v>11796</v>
      </c>
      <c r="N27" s="56">
        <v>11263</v>
      </c>
      <c r="O27" s="13">
        <f t="shared" si="9"/>
        <v>147203</v>
      </c>
      <c r="P27" s="48">
        <v>11481</v>
      </c>
      <c r="Q27" s="48">
        <v>11324</v>
      </c>
      <c r="R27" s="48">
        <v>10086</v>
      </c>
      <c r="S27" s="48">
        <v>11009</v>
      </c>
      <c r="T27" s="48">
        <v>10502</v>
      </c>
      <c r="U27" s="48">
        <v>10695</v>
      </c>
      <c r="V27" s="56">
        <v>10197</v>
      </c>
      <c r="W27" s="48">
        <v>10380</v>
      </c>
      <c r="X27" s="48">
        <v>10223</v>
      </c>
      <c r="Y27" s="48">
        <v>9741</v>
      </c>
      <c r="Z27" s="48">
        <v>9908</v>
      </c>
      <c r="AA27" s="56">
        <v>9436</v>
      </c>
      <c r="AB27" s="12">
        <f t="shared" si="10"/>
        <v>124982</v>
      </c>
      <c r="AC27" s="11">
        <f t="shared" si="3"/>
        <v>272185</v>
      </c>
      <c r="AD27" s="26"/>
    </row>
    <row r="28" spans="2:30">
      <c r="B28" s="14" t="s">
        <v>21</v>
      </c>
      <c r="C28" s="1"/>
      <c r="D28" s="1"/>
      <c r="E28" s="1"/>
      <c r="F28" s="1"/>
      <c r="H28" s="1"/>
      <c r="I28" s="1"/>
      <c r="J28" s="1"/>
      <c r="K28" s="1"/>
      <c r="L28" s="1"/>
      <c r="M28" s="27"/>
      <c r="N28" s="1"/>
      <c r="O28" s="13">
        <f t="shared" si="9"/>
        <v>0</v>
      </c>
      <c r="P28" s="1"/>
      <c r="Q28" s="1"/>
      <c r="R28" s="1"/>
      <c r="S28" s="1"/>
      <c r="U28" s="1"/>
      <c r="V28" s="1"/>
      <c r="W28" s="1"/>
      <c r="X28" s="1"/>
      <c r="Y28" s="1"/>
      <c r="Z28" s="27"/>
      <c r="AA28" s="1"/>
      <c r="AB28" s="12">
        <f t="shared" si="10"/>
        <v>0</v>
      </c>
      <c r="AC28" s="11">
        <f t="shared" si="3"/>
        <v>0</v>
      </c>
      <c r="AD28" s="26"/>
    </row>
    <row r="29" spans="2:30">
      <c r="B29" s="14" t="s">
        <v>20</v>
      </c>
      <c r="C29" s="1"/>
      <c r="D29" s="1"/>
      <c r="E29" s="1"/>
      <c r="F29" s="1"/>
      <c r="H29" s="1"/>
      <c r="I29" s="1"/>
      <c r="J29" s="1"/>
      <c r="K29" s="1"/>
      <c r="L29" s="1"/>
      <c r="M29" s="1"/>
      <c r="N29" s="56">
        <v>20000</v>
      </c>
      <c r="O29" s="13">
        <f t="shared" si="9"/>
        <v>20000</v>
      </c>
      <c r="P29" s="1"/>
      <c r="Q29" s="1"/>
      <c r="R29" s="1"/>
      <c r="S29" s="1"/>
      <c r="U29" s="1"/>
      <c r="V29" s="1"/>
      <c r="W29" s="1"/>
      <c r="X29" s="1"/>
      <c r="Y29" s="1"/>
      <c r="Z29" s="1"/>
      <c r="AA29" s="56">
        <v>30000</v>
      </c>
      <c r="AB29" s="12">
        <f t="shared" si="10"/>
        <v>30000</v>
      </c>
      <c r="AC29" s="11">
        <f t="shared" si="3"/>
        <v>50000</v>
      </c>
    </row>
    <row r="30" spans="2:30">
      <c r="B30" s="14" t="s">
        <v>19</v>
      </c>
      <c r="C30" s="1"/>
      <c r="D30" s="1"/>
      <c r="E30" s="1"/>
      <c r="F30" s="56">
        <v>54270</v>
      </c>
      <c r="H30" s="1"/>
      <c r="K30" s="1"/>
      <c r="L30" s="1"/>
      <c r="M30" s="1"/>
      <c r="N30" s="1"/>
      <c r="O30" s="13">
        <f t="shared" si="9"/>
        <v>54270</v>
      </c>
      <c r="P30" s="1"/>
      <c r="Q30" s="1"/>
      <c r="R30" s="1"/>
      <c r="S30" s="48">
        <v>349320</v>
      </c>
      <c r="U30" s="1"/>
      <c r="X30" s="1"/>
      <c r="Y30" s="1"/>
      <c r="Z30" s="1"/>
      <c r="AA30" s="1"/>
      <c r="AB30" s="12">
        <f t="shared" si="10"/>
        <v>349320</v>
      </c>
      <c r="AC30" s="11">
        <f t="shared" si="3"/>
        <v>403590</v>
      </c>
    </row>
    <row r="31" spans="2:30">
      <c r="B31" s="6" t="s">
        <v>18</v>
      </c>
      <c r="C31" s="9">
        <f>SUM(C17:C30)</f>
        <v>906623</v>
      </c>
      <c r="D31" s="9">
        <f>SUM(D17:D30)</f>
        <v>1068696</v>
      </c>
      <c r="E31" s="9">
        <f>SUM(E17:E30)</f>
        <v>956605</v>
      </c>
      <c r="F31" s="9">
        <f>SUM(F17:F30)</f>
        <v>1450582</v>
      </c>
      <c r="G31" s="9">
        <f>SUM(G18:G30)</f>
        <v>651063</v>
      </c>
      <c r="H31" s="9">
        <f t="shared" ref="H31:N31" si="11">SUM(H17:H30)</f>
        <v>960877</v>
      </c>
      <c r="I31" s="9">
        <f t="shared" si="11"/>
        <v>1041259</v>
      </c>
      <c r="J31" s="9">
        <f t="shared" si="11"/>
        <v>1340112</v>
      </c>
      <c r="K31" s="9">
        <f t="shared" si="11"/>
        <v>1311205</v>
      </c>
      <c r="L31" s="9">
        <f t="shared" si="11"/>
        <v>998822</v>
      </c>
      <c r="M31" s="9">
        <f t="shared" si="11"/>
        <v>967201</v>
      </c>
      <c r="N31" s="9">
        <f t="shared" si="11"/>
        <v>1013078</v>
      </c>
      <c r="O31" s="25">
        <f t="shared" si="9"/>
        <v>12666123</v>
      </c>
      <c r="P31" s="9">
        <f>SUM(P17:P30)</f>
        <v>1062056</v>
      </c>
      <c r="Q31" s="9">
        <f>SUM(Q17:Q30)</f>
        <v>1036029</v>
      </c>
      <c r="R31" s="9">
        <f>SUM(R17:R30)</f>
        <v>1052171</v>
      </c>
      <c r="S31" s="9">
        <f>SUM(S17:S30)</f>
        <v>2161594</v>
      </c>
      <c r="T31" s="9">
        <f>SUM(T18:T30)</f>
        <v>696657</v>
      </c>
      <c r="U31" s="9">
        <f t="shared" ref="U31:AA31" si="12">SUM(U17:U30)</f>
        <v>1061770</v>
      </c>
      <c r="V31" s="9">
        <f t="shared" si="12"/>
        <v>1160522</v>
      </c>
      <c r="W31" s="9">
        <f t="shared" si="12"/>
        <v>1097355</v>
      </c>
      <c r="X31" s="9">
        <f t="shared" si="12"/>
        <v>1142198</v>
      </c>
      <c r="Y31" s="9">
        <f t="shared" si="12"/>
        <v>1092766</v>
      </c>
      <c r="Z31" s="9">
        <f t="shared" si="12"/>
        <v>1092933</v>
      </c>
      <c r="AA31" s="9">
        <f t="shared" si="12"/>
        <v>1122461</v>
      </c>
      <c r="AB31" s="24">
        <f t="shared" si="10"/>
        <v>13778512</v>
      </c>
      <c r="AC31" s="23">
        <f t="shared" si="3"/>
        <v>26444635</v>
      </c>
    </row>
    <row r="32" spans="2:30">
      <c r="B32" s="6" t="s">
        <v>17</v>
      </c>
      <c r="C32" s="21">
        <f t="shared" ref="C32:N32" si="13">C16-C31</f>
        <v>5395384</v>
      </c>
      <c r="D32" s="21">
        <f t="shared" si="13"/>
        <v>3139682</v>
      </c>
      <c r="E32" s="21">
        <f t="shared" si="13"/>
        <v>3251773</v>
      </c>
      <c r="F32" s="21">
        <f t="shared" si="13"/>
        <v>6777796</v>
      </c>
      <c r="G32" s="21">
        <f t="shared" si="13"/>
        <v>3744355</v>
      </c>
      <c r="H32" s="21">
        <f t="shared" si="13"/>
        <v>3247501</v>
      </c>
      <c r="I32" s="21">
        <f t="shared" si="13"/>
        <v>5089912</v>
      </c>
      <c r="J32" s="21">
        <f t="shared" si="13"/>
        <v>7678644</v>
      </c>
      <c r="K32" s="21">
        <f t="shared" si="13"/>
        <v>6230356</v>
      </c>
      <c r="L32" s="21">
        <f t="shared" si="13"/>
        <v>3299556</v>
      </c>
      <c r="M32" s="21">
        <f t="shared" si="13"/>
        <v>3259177</v>
      </c>
      <c r="N32" s="21">
        <f t="shared" si="13"/>
        <v>3255300</v>
      </c>
      <c r="O32" s="22">
        <f t="shared" si="9"/>
        <v>54369436</v>
      </c>
      <c r="P32" s="21">
        <f t="shared" ref="P32:AA32" si="14">P16-P31</f>
        <v>6842017</v>
      </c>
      <c r="Q32" s="21">
        <f t="shared" si="14"/>
        <v>3748896</v>
      </c>
      <c r="R32" s="21">
        <f t="shared" si="14"/>
        <v>3732754</v>
      </c>
      <c r="S32" s="21">
        <f t="shared" si="14"/>
        <v>9549370</v>
      </c>
      <c r="T32" s="21">
        <f t="shared" si="14"/>
        <v>4118268</v>
      </c>
      <c r="U32" s="21">
        <f t="shared" si="14"/>
        <v>3723155</v>
      </c>
      <c r="V32" s="21">
        <f t="shared" si="14"/>
        <v>5727378</v>
      </c>
      <c r="W32" s="21">
        <f t="shared" si="14"/>
        <v>3714570</v>
      </c>
      <c r="X32" s="21">
        <f t="shared" si="14"/>
        <v>5437702</v>
      </c>
      <c r="Y32" s="21">
        <f t="shared" si="14"/>
        <v>3692159</v>
      </c>
      <c r="Z32" s="21">
        <f t="shared" si="14"/>
        <v>3691992</v>
      </c>
      <c r="AA32" s="21">
        <f t="shared" si="14"/>
        <v>3662464</v>
      </c>
      <c r="AB32" s="20">
        <f t="shared" si="10"/>
        <v>57640725</v>
      </c>
      <c r="AC32" s="19">
        <f t="shared" si="3"/>
        <v>112010161</v>
      </c>
    </row>
    <row r="33" spans="2:30">
      <c r="B33" s="14" t="s">
        <v>16</v>
      </c>
      <c r="C33" s="18">
        <v>54708910</v>
      </c>
      <c r="D33" s="1"/>
      <c r="O33" s="13">
        <f t="shared" si="9"/>
        <v>54708910</v>
      </c>
      <c r="P33" s="18">
        <v>62204000</v>
      </c>
      <c r="Q33" s="1"/>
      <c r="AB33" s="12">
        <f t="shared" si="10"/>
        <v>62204000</v>
      </c>
      <c r="AC33" s="11">
        <f t="shared" si="3"/>
        <v>116912910</v>
      </c>
      <c r="AD33" s="17"/>
    </row>
    <row r="34" spans="2:30">
      <c r="B34" s="14" t="s">
        <v>15</v>
      </c>
      <c r="C34" s="1"/>
      <c r="D34" s="1"/>
      <c r="O34" s="13">
        <f t="shared" si="9"/>
        <v>0</v>
      </c>
      <c r="P34" s="1"/>
      <c r="Q34" s="1"/>
      <c r="AB34" s="12">
        <f t="shared" si="10"/>
        <v>0</v>
      </c>
      <c r="AC34" s="11">
        <f t="shared" si="3"/>
        <v>0</v>
      </c>
    </row>
    <row r="35" spans="2:30" ht="17.25">
      <c r="B35" s="16" t="s">
        <v>14</v>
      </c>
      <c r="C35" s="1"/>
      <c r="D35" s="1"/>
      <c r="O35" s="13">
        <f t="shared" si="9"/>
        <v>0</v>
      </c>
      <c r="P35" s="1"/>
      <c r="Q35" s="1"/>
      <c r="AB35" s="12">
        <f t="shared" si="10"/>
        <v>0</v>
      </c>
      <c r="AC35" s="11">
        <f t="shared" si="3"/>
        <v>0</v>
      </c>
    </row>
    <row r="36" spans="2:30">
      <c r="B36" s="14" t="s">
        <v>13</v>
      </c>
      <c r="C36" s="1"/>
      <c r="D36" s="1"/>
      <c r="E36" s="1"/>
      <c r="F36" s="1"/>
      <c r="H36" s="1"/>
      <c r="I36" s="1"/>
      <c r="J36" s="1"/>
      <c r="K36" s="1"/>
      <c r="L36" s="1"/>
      <c r="M36" s="1"/>
      <c r="N36" s="1"/>
      <c r="O36" s="13">
        <f t="shared" si="9"/>
        <v>0</v>
      </c>
      <c r="P36" s="1"/>
      <c r="Q36" s="1"/>
      <c r="R36" s="1"/>
      <c r="S36" s="1"/>
      <c r="U36" s="1"/>
      <c r="V36" s="1"/>
      <c r="W36" s="1"/>
      <c r="X36" s="1"/>
      <c r="Y36" s="1"/>
      <c r="Z36" s="1"/>
      <c r="AA36" s="1"/>
      <c r="AB36" s="12">
        <f t="shared" si="10"/>
        <v>0</v>
      </c>
      <c r="AC36" s="11">
        <f t="shared" si="3"/>
        <v>0</v>
      </c>
    </row>
    <row r="37" spans="2:30">
      <c r="B37" s="14" t="s">
        <v>12</v>
      </c>
      <c r="C37" s="1"/>
      <c r="D37" s="1"/>
      <c r="E37" s="1"/>
      <c r="F37" s="1"/>
      <c r="H37" s="1"/>
      <c r="I37" s="1"/>
      <c r="J37" s="1"/>
      <c r="K37" s="1"/>
      <c r="L37" s="1"/>
      <c r="M37" s="1"/>
      <c r="N37" s="1"/>
      <c r="O37" s="13">
        <f t="shared" si="9"/>
        <v>0</v>
      </c>
      <c r="P37" s="1"/>
      <c r="Q37" s="1"/>
      <c r="R37" s="1"/>
      <c r="S37" s="1"/>
      <c r="U37" s="1"/>
      <c r="V37" s="1"/>
      <c r="W37" s="1"/>
      <c r="X37" s="1"/>
      <c r="Y37" s="1"/>
      <c r="Z37" s="1"/>
      <c r="AA37" s="1"/>
      <c r="AB37" s="12">
        <f t="shared" si="10"/>
        <v>0</v>
      </c>
      <c r="AC37" s="11">
        <f t="shared" si="3"/>
        <v>0</v>
      </c>
    </row>
    <row r="38" spans="2:30">
      <c r="B38" s="14" t="s">
        <v>11</v>
      </c>
      <c r="C38" s="1"/>
      <c r="D38" s="1"/>
      <c r="E38" s="1"/>
      <c r="F38" s="1"/>
      <c r="H38" s="1"/>
      <c r="I38" s="1"/>
      <c r="J38" s="1"/>
      <c r="K38" s="1"/>
      <c r="L38" s="1"/>
      <c r="M38" s="1"/>
      <c r="N38" s="1"/>
      <c r="O38" s="13">
        <f t="shared" si="9"/>
        <v>0</v>
      </c>
      <c r="P38" s="1"/>
      <c r="Q38" s="1"/>
      <c r="R38" s="1"/>
      <c r="S38" s="1"/>
      <c r="U38" s="1"/>
      <c r="V38" s="1"/>
      <c r="W38" s="1"/>
      <c r="X38" s="1"/>
      <c r="Y38" s="1"/>
      <c r="Z38" s="1"/>
      <c r="AA38" s="1"/>
      <c r="AB38" s="12">
        <f t="shared" si="10"/>
        <v>0</v>
      </c>
      <c r="AC38" s="11">
        <f t="shared" si="3"/>
        <v>0</v>
      </c>
    </row>
    <row r="39" spans="2:30">
      <c r="B39" s="14" t="s">
        <v>10</v>
      </c>
      <c r="C39" s="1"/>
      <c r="D39" s="1"/>
      <c r="E39" s="1"/>
      <c r="F39" s="1"/>
      <c r="H39" s="1"/>
      <c r="I39" s="1"/>
      <c r="J39" s="1"/>
      <c r="K39" s="1"/>
      <c r="L39" s="1"/>
      <c r="M39" s="1"/>
      <c r="N39" s="1"/>
      <c r="O39" s="13">
        <f t="shared" si="9"/>
        <v>0</v>
      </c>
      <c r="P39" s="1"/>
      <c r="Q39" s="1"/>
      <c r="R39" s="1"/>
      <c r="S39" s="1"/>
      <c r="U39" s="1"/>
      <c r="V39" s="1"/>
      <c r="W39" s="1"/>
      <c r="X39" s="1"/>
      <c r="Y39" s="1"/>
      <c r="Z39" s="1"/>
      <c r="AA39" s="1"/>
      <c r="AB39" s="12">
        <f t="shared" si="10"/>
        <v>0</v>
      </c>
      <c r="AC39" s="11">
        <f t="shared" si="3"/>
        <v>0</v>
      </c>
    </row>
    <row r="40" spans="2:30">
      <c r="B40" s="14" t="s">
        <v>9</v>
      </c>
      <c r="C40" s="1"/>
      <c r="D40" s="1"/>
      <c r="E40" s="15"/>
      <c r="F40" s="15"/>
      <c r="H40" s="1"/>
      <c r="I40" s="15"/>
      <c r="J40" s="15"/>
      <c r="K40" s="15"/>
      <c r="L40" s="15"/>
      <c r="M40" s="15"/>
      <c r="N40" s="15"/>
      <c r="O40" s="13">
        <f t="shared" si="9"/>
        <v>0</v>
      </c>
      <c r="P40" s="1"/>
      <c r="Q40" s="1"/>
      <c r="R40" s="15"/>
      <c r="S40" s="15"/>
      <c r="U40" s="1"/>
      <c r="V40" s="15"/>
      <c r="W40" s="15"/>
      <c r="X40" s="15"/>
      <c r="Y40" s="15"/>
      <c r="Z40" s="15"/>
      <c r="AA40" s="15"/>
      <c r="AB40" s="12">
        <f t="shared" si="10"/>
        <v>0</v>
      </c>
      <c r="AC40" s="11">
        <f t="shared" si="3"/>
        <v>0</v>
      </c>
    </row>
    <row r="41" spans="2:30">
      <c r="B41" s="14" t="s">
        <v>8</v>
      </c>
      <c r="C41" s="1"/>
      <c r="D41" s="1"/>
      <c r="E41" s="15"/>
      <c r="F41" s="15"/>
      <c r="H41" s="15"/>
      <c r="I41" s="15"/>
      <c r="J41" s="15"/>
      <c r="K41" s="15"/>
      <c r="L41" s="15"/>
      <c r="M41" s="15"/>
      <c r="N41" s="15"/>
      <c r="O41" s="13">
        <f t="shared" si="9"/>
        <v>0</v>
      </c>
      <c r="P41" s="1"/>
      <c r="Q41" s="1"/>
      <c r="R41" s="15"/>
      <c r="S41" s="15"/>
      <c r="U41" s="15"/>
      <c r="V41" s="15"/>
      <c r="W41" s="15"/>
      <c r="X41" s="15"/>
      <c r="Y41" s="15"/>
      <c r="Z41" s="15"/>
      <c r="AA41" s="15"/>
      <c r="AB41" s="12">
        <f t="shared" si="10"/>
        <v>0</v>
      </c>
      <c r="AC41" s="11">
        <f t="shared" si="3"/>
        <v>0</v>
      </c>
    </row>
    <row r="42" spans="2:30">
      <c r="B42" s="14" t="s">
        <v>7</v>
      </c>
      <c r="C42" s="1"/>
      <c r="D42" s="1"/>
      <c r="E42" s="15"/>
      <c r="F42" s="15"/>
      <c r="I42" s="15"/>
      <c r="J42" s="15"/>
      <c r="K42" s="15"/>
      <c r="L42" s="15"/>
      <c r="M42" s="15"/>
      <c r="N42" s="15"/>
      <c r="O42" s="13">
        <f t="shared" si="9"/>
        <v>0</v>
      </c>
      <c r="P42" s="1"/>
      <c r="Q42" s="1"/>
      <c r="R42" s="15"/>
      <c r="S42" s="15"/>
      <c r="V42" s="15"/>
      <c r="W42" s="15"/>
      <c r="X42" s="15"/>
      <c r="Y42" s="15"/>
      <c r="Z42" s="15"/>
      <c r="AA42" s="15"/>
      <c r="AB42" s="12">
        <f t="shared" si="10"/>
        <v>0</v>
      </c>
      <c r="AC42" s="11">
        <f t="shared" si="3"/>
        <v>0</v>
      </c>
    </row>
    <row r="43" spans="2:30">
      <c r="B43" s="14" t="s">
        <v>6</v>
      </c>
      <c r="C43" s="1"/>
      <c r="D43" s="1"/>
      <c r="O43" s="13">
        <f t="shared" si="9"/>
        <v>0</v>
      </c>
      <c r="P43" s="1"/>
      <c r="Q43" s="1"/>
      <c r="AB43" s="12">
        <f t="shared" si="10"/>
        <v>0</v>
      </c>
      <c r="AC43" s="11">
        <f t="shared" si="3"/>
        <v>0</v>
      </c>
    </row>
    <row r="44" spans="2:30">
      <c r="B44" s="14" t="s">
        <v>5</v>
      </c>
      <c r="C44" s="1"/>
      <c r="D44" s="1"/>
      <c r="O44" s="13">
        <f t="shared" si="9"/>
        <v>0</v>
      </c>
      <c r="P44" s="1"/>
      <c r="Q44" s="1"/>
      <c r="AB44" s="12">
        <f t="shared" si="10"/>
        <v>0</v>
      </c>
      <c r="AC44" s="11">
        <f t="shared" si="3"/>
        <v>0</v>
      </c>
    </row>
    <row r="45" spans="2:30">
      <c r="B45" s="14" t="s">
        <v>4</v>
      </c>
      <c r="C45" s="1"/>
      <c r="D45" s="1"/>
      <c r="O45" s="13">
        <f t="shared" si="9"/>
        <v>0</v>
      </c>
      <c r="P45" s="1"/>
      <c r="Q45" s="1"/>
      <c r="AB45" s="12">
        <f t="shared" si="10"/>
        <v>0</v>
      </c>
      <c r="AC45" s="11">
        <f t="shared" si="3"/>
        <v>0</v>
      </c>
    </row>
    <row r="46" spans="2:30">
      <c r="B46" s="14" t="s">
        <v>3</v>
      </c>
      <c r="C46" s="1"/>
      <c r="D46" s="1"/>
      <c r="O46" s="13">
        <f t="shared" si="9"/>
        <v>0</v>
      </c>
      <c r="P46" s="1"/>
      <c r="Q46" s="1"/>
      <c r="AB46" s="12">
        <f t="shared" si="10"/>
        <v>0</v>
      </c>
      <c r="AC46" s="11">
        <f t="shared" si="3"/>
        <v>0</v>
      </c>
    </row>
    <row r="47" spans="2:30">
      <c r="B47" s="14" t="s">
        <v>2</v>
      </c>
      <c r="C47" s="1"/>
      <c r="D47" s="1"/>
      <c r="E47" s="1"/>
      <c r="F47" s="1"/>
      <c r="H47" s="1"/>
      <c r="I47" s="1"/>
      <c r="J47" s="1"/>
      <c r="K47" s="1"/>
      <c r="L47" s="1"/>
      <c r="M47" s="1"/>
      <c r="N47" s="1"/>
      <c r="O47" s="13">
        <f t="shared" si="9"/>
        <v>0</v>
      </c>
      <c r="P47" s="1"/>
      <c r="Q47" s="1"/>
      <c r="R47" s="1"/>
      <c r="S47" s="1"/>
      <c r="U47" s="1"/>
      <c r="V47" s="1"/>
      <c r="W47" s="1"/>
      <c r="X47" s="1"/>
      <c r="Y47" s="1"/>
      <c r="Z47" s="1"/>
      <c r="AA47" s="1"/>
      <c r="AB47" s="12">
        <f t="shared" si="10"/>
        <v>0</v>
      </c>
      <c r="AC47" s="11">
        <f t="shared" si="3"/>
        <v>0</v>
      </c>
    </row>
    <row r="48" spans="2:30">
      <c r="B48" s="6" t="s">
        <v>1</v>
      </c>
      <c r="C48" s="9">
        <f t="shared" ref="C48:N48" si="15">SUM(C35:C47)</f>
        <v>0</v>
      </c>
      <c r="D48" s="9">
        <f t="shared" si="15"/>
        <v>0</v>
      </c>
      <c r="E48" s="9">
        <f t="shared" si="15"/>
        <v>0</v>
      </c>
      <c r="F48" s="9">
        <f t="shared" si="15"/>
        <v>0</v>
      </c>
      <c r="G48" s="9">
        <f t="shared" si="15"/>
        <v>0</v>
      </c>
      <c r="H48" s="9">
        <f t="shared" si="15"/>
        <v>0</v>
      </c>
      <c r="I48" s="9">
        <f t="shared" si="15"/>
        <v>0</v>
      </c>
      <c r="J48" s="9">
        <f t="shared" si="15"/>
        <v>0</v>
      </c>
      <c r="K48" s="9">
        <f t="shared" si="15"/>
        <v>0</v>
      </c>
      <c r="L48" s="9">
        <f t="shared" si="15"/>
        <v>0</v>
      </c>
      <c r="M48" s="9">
        <f t="shared" si="15"/>
        <v>0</v>
      </c>
      <c r="N48" s="9">
        <f t="shared" si="15"/>
        <v>0</v>
      </c>
      <c r="O48" s="10">
        <f t="shared" ref="O48:O49" si="16">SUM(C48:N48)</f>
        <v>0</v>
      </c>
      <c r="P48" s="9">
        <f t="shared" ref="P48:AA48" si="17">SUM(P35:P47)</f>
        <v>0</v>
      </c>
      <c r="Q48" s="9">
        <f t="shared" si="17"/>
        <v>0</v>
      </c>
      <c r="R48" s="9">
        <f t="shared" si="17"/>
        <v>0</v>
      </c>
      <c r="S48" s="9">
        <f t="shared" si="17"/>
        <v>0</v>
      </c>
      <c r="T48" s="9">
        <f t="shared" si="17"/>
        <v>0</v>
      </c>
      <c r="U48" s="9">
        <f t="shared" si="17"/>
        <v>0</v>
      </c>
      <c r="V48" s="9">
        <f t="shared" si="17"/>
        <v>0</v>
      </c>
      <c r="W48" s="9">
        <f t="shared" si="17"/>
        <v>0</v>
      </c>
      <c r="X48" s="9">
        <f t="shared" si="17"/>
        <v>0</v>
      </c>
      <c r="Y48" s="9">
        <f t="shared" si="17"/>
        <v>0</v>
      </c>
      <c r="Z48" s="9">
        <f t="shared" si="17"/>
        <v>0</v>
      </c>
      <c r="AA48" s="9">
        <f t="shared" si="17"/>
        <v>0</v>
      </c>
      <c r="AB48" s="8">
        <f t="shared" ref="AB48:AB49" si="18">SUM(P48:AA48)</f>
        <v>0</v>
      </c>
      <c r="AC48" s="7">
        <f t="shared" si="3"/>
        <v>0</v>
      </c>
    </row>
    <row r="49" spans="2:29" ht="17.25" thickBot="1">
      <c r="B49" s="6" t="s">
        <v>0</v>
      </c>
      <c r="C49" s="4">
        <f t="shared" ref="C49:N49" si="19">C32-C48</f>
        <v>5395384</v>
      </c>
      <c r="D49" s="4">
        <f t="shared" si="19"/>
        <v>3139682</v>
      </c>
      <c r="E49" s="4">
        <f t="shared" si="19"/>
        <v>3251773</v>
      </c>
      <c r="F49" s="4">
        <f t="shared" si="19"/>
        <v>6777796</v>
      </c>
      <c r="G49" s="4">
        <f t="shared" si="19"/>
        <v>3744355</v>
      </c>
      <c r="H49" s="4">
        <f t="shared" si="19"/>
        <v>3247501</v>
      </c>
      <c r="I49" s="4">
        <f t="shared" si="19"/>
        <v>5089912</v>
      </c>
      <c r="J49" s="4">
        <f t="shared" si="19"/>
        <v>7678644</v>
      </c>
      <c r="K49" s="4">
        <f t="shared" si="19"/>
        <v>6230356</v>
      </c>
      <c r="L49" s="4">
        <f t="shared" si="19"/>
        <v>3299556</v>
      </c>
      <c r="M49" s="4">
        <f t="shared" si="19"/>
        <v>3259177</v>
      </c>
      <c r="N49" s="4">
        <f t="shared" si="19"/>
        <v>3255300</v>
      </c>
      <c r="O49" s="5">
        <f t="shared" si="16"/>
        <v>54369436</v>
      </c>
      <c r="P49" s="4">
        <f t="shared" ref="P49:AA49" si="20">P32-P48</f>
        <v>6842017</v>
      </c>
      <c r="Q49" s="4">
        <f t="shared" si="20"/>
        <v>3748896</v>
      </c>
      <c r="R49" s="4">
        <f t="shared" si="20"/>
        <v>3732754</v>
      </c>
      <c r="S49" s="4">
        <f t="shared" si="20"/>
        <v>9549370</v>
      </c>
      <c r="T49" s="4">
        <f t="shared" si="20"/>
        <v>4118268</v>
      </c>
      <c r="U49" s="4">
        <f t="shared" si="20"/>
        <v>3723155</v>
      </c>
      <c r="V49" s="4">
        <f t="shared" si="20"/>
        <v>5727378</v>
      </c>
      <c r="W49" s="4">
        <f t="shared" si="20"/>
        <v>3714570</v>
      </c>
      <c r="X49" s="4">
        <f t="shared" si="20"/>
        <v>5437702</v>
      </c>
      <c r="Y49" s="4">
        <f t="shared" si="20"/>
        <v>3692159</v>
      </c>
      <c r="Z49" s="4">
        <f t="shared" si="20"/>
        <v>3691992</v>
      </c>
      <c r="AA49" s="4">
        <f t="shared" si="20"/>
        <v>3662464</v>
      </c>
      <c r="AB49" s="3">
        <f t="shared" si="18"/>
        <v>57640725</v>
      </c>
      <c r="AC49" s="2">
        <f t="shared" si="3"/>
        <v>112010161</v>
      </c>
    </row>
    <row r="50" spans="2:29">
      <c r="C50" s="1"/>
      <c r="P50" s="1"/>
    </row>
    <row r="51" spans="2:29">
      <c r="C51" s="1"/>
      <c r="P51" s="1"/>
    </row>
    <row r="52" spans="2:29">
      <c r="C52" s="1"/>
      <c r="P52" s="1"/>
    </row>
    <row r="53" spans="2:29">
      <c r="C53" s="1"/>
      <c r="P53" s="1"/>
    </row>
    <row r="54" spans="2:29">
      <c r="C54" s="1"/>
      <c r="P54" s="1"/>
    </row>
    <row r="55" spans="2:29">
      <c r="C55" s="1"/>
      <c r="P55" s="1"/>
    </row>
    <row r="56" spans="2:29">
      <c r="C56" s="1"/>
      <c r="P56" s="1"/>
    </row>
    <row r="57" spans="2:29">
      <c r="C57" s="1"/>
      <c r="P57" s="1"/>
    </row>
    <row r="58" spans="2:29">
      <c r="C58" s="1"/>
      <c r="P58" s="1"/>
    </row>
    <row r="59" spans="2:29">
      <c r="C59" s="1"/>
      <c r="P59" s="1"/>
    </row>
    <row r="60" spans="2:29">
      <c r="C60" s="1"/>
      <c r="P60" s="1"/>
    </row>
    <row r="61" spans="2:29">
      <c r="C61" s="1"/>
      <c r="P61" s="1"/>
    </row>
    <row r="62" spans="2:29">
      <c r="C62" s="1"/>
      <c r="P62" s="1"/>
    </row>
    <row r="63" spans="2:29">
      <c r="C63" s="1"/>
      <c r="P63" s="1"/>
    </row>
    <row r="64" spans="2:29">
      <c r="C64" s="1"/>
      <c r="P64" s="1"/>
    </row>
    <row r="65" spans="3:16">
      <c r="C65" s="1"/>
      <c r="P65" s="1"/>
    </row>
    <row r="66" spans="3:16">
      <c r="C66" s="1"/>
      <c r="P66" s="1"/>
    </row>
    <row r="67" spans="3:16">
      <c r="C67" s="1"/>
      <c r="P67" s="1"/>
    </row>
    <row r="68" spans="3:16">
      <c r="C68" s="1"/>
      <c r="P68" s="1"/>
    </row>
    <row r="69" spans="3:16">
      <c r="C69" s="1"/>
      <c r="P69" s="1"/>
    </row>
    <row r="70" spans="3:16">
      <c r="C70" s="1"/>
      <c r="P70" s="1"/>
    </row>
  </sheetData>
  <mergeCells count="2">
    <mergeCell ref="C3:N3"/>
    <mergeCell ref="P3:AA3"/>
  </mergeCells>
  <phoneticPr fontId="2" type="noConversion"/>
  <pageMargins left="0.7" right="0.7" top="0.75" bottom="0.75" header="0.3" footer="0.3"/>
  <pageSetup paperSize="9" orientation="portrait" r:id="rId1"/>
  <headerFooter>
    <oddFooter>&amp;C_x000D_&amp;1#&amp;"Arial"&amp;8&amp;K000000 Internal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5C9E9-71B2-460B-85CA-7968F06A979E}">
  <sheetPr codeName="Sheet1"/>
  <dimension ref="A1:U135"/>
  <sheetViews>
    <sheetView workbookViewId="0">
      <selection activeCell="N24" sqref="N24"/>
    </sheetView>
  </sheetViews>
  <sheetFormatPr defaultRowHeight="16.5"/>
  <cols>
    <col min="1" max="1" width="11.375" bestFit="1" customWidth="1"/>
    <col min="6" max="6" width="9.25" bestFit="1" customWidth="1"/>
    <col min="7" max="7" width="9.75" bestFit="1" customWidth="1"/>
    <col min="10" max="10" width="10.375" bestFit="1" customWidth="1"/>
    <col min="11" max="13" width="9.25" bestFit="1" customWidth="1"/>
    <col min="14" max="14" width="12.25" customWidth="1"/>
    <col min="18" max="18" width="9.25" bestFit="1" customWidth="1"/>
    <col min="19" max="19" width="15.375" customWidth="1"/>
  </cols>
  <sheetData>
    <row r="1" spans="1:21" ht="16.5" customHeight="1">
      <c r="A1" s="50" t="s">
        <v>117</v>
      </c>
      <c r="B1" s="59"/>
      <c r="C1" s="59"/>
      <c r="D1" s="59"/>
      <c r="E1" s="59"/>
      <c r="F1" s="59"/>
      <c r="G1" s="59"/>
      <c r="H1" s="59"/>
    </row>
    <row r="2" spans="1:21" ht="54" customHeight="1">
      <c r="A2" s="51" t="s">
        <v>118</v>
      </c>
      <c r="B2" s="59"/>
      <c r="C2" s="59"/>
      <c r="D2" s="59"/>
      <c r="E2" s="59"/>
      <c r="F2" s="59"/>
      <c r="G2" s="59"/>
      <c r="H2" s="59"/>
      <c r="N2" s="43" t="s">
        <v>57</v>
      </c>
      <c r="O2" s="41"/>
      <c r="P2" s="41"/>
      <c r="Q2" s="41"/>
      <c r="R2" s="41"/>
      <c r="S2" s="41"/>
      <c r="T2" s="41"/>
      <c r="U2" s="40"/>
    </row>
    <row r="3" spans="1:21" ht="16.5" customHeight="1">
      <c r="A3" s="59"/>
      <c r="B3" s="59"/>
      <c r="C3" s="59"/>
      <c r="D3" s="59"/>
      <c r="E3" s="59"/>
      <c r="F3" s="59"/>
      <c r="G3" s="59"/>
      <c r="H3" s="59"/>
      <c r="J3" s="38" t="s">
        <v>55</v>
      </c>
      <c r="K3" s="39" t="str">
        <f>MID(A2,9,5)</f>
        <v xml:space="preserve"> 2022</v>
      </c>
      <c r="N3" s="41"/>
      <c r="O3" s="41"/>
      <c r="P3" s="41"/>
      <c r="Q3" s="41"/>
      <c r="R3" s="41"/>
      <c r="S3" s="41"/>
      <c r="T3" s="41"/>
      <c r="U3" s="40"/>
    </row>
    <row r="4" spans="1:21">
      <c r="A4" s="59"/>
      <c r="B4" s="59"/>
      <c r="C4" s="59"/>
      <c r="D4" s="59"/>
      <c r="E4" s="59"/>
      <c r="F4" s="59"/>
      <c r="G4" s="59"/>
      <c r="H4" s="59"/>
      <c r="J4" s="38" t="s">
        <v>56</v>
      </c>
      <c r="K4" s="39" t="str">
        <f>MID(A2,15,2)</f>
        <v>01</v>
      </c>
      <c r="N4" s="42"/>
      <c r="O4" s="42"/>
      <c r="P4" s="42"/>
      <c r="Q4" s="42"/>
      <c r="R4" s="42"/>
      <c r="S4" s="42"/>
      <c r="T4" s="42"/>
      <c r="U4" s="40"/>
    </row>
    <row r="5" spans="1:21">
      <c r="A5" s="52" t="s">
        <v>87</v>
      </c>
      <c r="B5" s="53" t="s">
        <v>88</v>
      </c>
      <c r="C5" s="52" t="s">
        <v>89</v>
      </c>
      <c r="D5" s="53" t="s">
        <v>90</v>
      </c>
      <c r="E5" s="52" t="s">
        <v>91</v>
      </c>
      <c r="F5" s="80" t="s">
        <v>92</v>
      </c>
      <c r="G5" s="81"/>
      <c r="H5" s="54"/>
    </row>
    <row r="6" spans="1:21" ht="16.5" customHeight="1">
      <c r="A6" s="78" t="s">
        <v>93</v>
      </c>
      <c r="B6" s="82"/>
      <c r="C6" s="82"/>
      <c r="D6" s="82"/>
      <c r="E6" s="82"/>
      <c r="F6" s="82"/>
      <c r="G6" s="82"/>
      <c r="H6" s="79"/>
    </row>
    <row r="7" spans="1:21">
      <c r="A7" s="52" t="s">
        <v>94</v>
      </c>
      <c r="B7" s="52" t="s">
        <v>119</v>
      </c>
      <c r="C7" s="52" t="s">
        <v>61</v>
      </c>
      <c r="D7" s="52" t="s">
        <v>62</v>
      </c>
      <c r="E7" s="52"/>
      <c r="F7" s="52"/>
      <c r="G7" s="52"/>
      <c r="H7" s="55"/>
    </row>
    <row r="8" spans="1:21">
      <c r="A8" s="56">
        <v>2805585</v>
      </c>
      <c r="B8" s="56">
        <v>490836</v>
      </c>
      <c r="C8" s="56">
        <v>935195</v>
      </c>
      <c r="D8" s="56">
        <v>467598</v>
      </c>
      <c r="E8" s="53"/>
      <c r="F8" s="53"/>
      <c r="G8" s="53"/>
      <c r="H8" s="55"/>
    </row>
    <row r="9" spans="1:21" ht="17.25" thickBot="1">
      <c r="A9" s="52"/>
      <c r="B9" s="52"/>
      <c r="C9" s="52"/>
      <c r="D9" s="52"/>
      <c r="E9" s="52"/>
      <c r="F9" s="52"/>
      <c r="G9" s="52"/>
      <c r="H9" s="55"/>
    </row>
    <row r="10" spans="1:21" ht="17.25" customHeight="1" thickBot="1">
      <c r="A10" s="53"/>
      <c r="B10" s="53"/>
      <c r="C10" s="53"/>
      <c r="D10" s="53"/>
      <c r="E10" s="53"/>
      <c r="F10" s="53"/>
      <c r="G10" s="53"/>
      <c r="H10" s="55"/>
      <c r="J10" s="75" t="s">
        <v>129</v>
      </c>
      <c r="K10" s="76"/>
      <c r="L10" s="76"/>
      <c r="M10" s="76"/>
      <c r="N10" s="76"/>
      <c r="O10" s="76"/>
      <c r="P10" s="76"/>
      <c r="Q10" s="76"/>
      <c r="R10" s="76"/>
      <c r="S10" s="76"/>
      <c r="T10" s="76"/>
      <c r="U10" s="77"/>
    </row>
    <row r="11" spans="1:21" ht="16.5" customHeight="1" thickBot="1">
      <c r="A11" s="52"/>
      <c r="B11" s="52"/>
      <c r="C11" s="52"/>
      <c r="D11" s="52"/>
      <c r="E11" s="52"/>
      <c r="F11" s="52"/>
      <c r="G11" s="52"/>
      <c r="H11" s="55"/>
      <c r="J11" s="61" t="s">
        <v>85</v>
      </c>
      <c r="K11" s="66" t="s">
        <v>107</v>
      </c>
      <c r="L11" s="62"/>
      <c r="M11" s="62"/>
      <c r="N11" s="62"/>
      <c r="O11" s="62"/>
      <c r="P11" s="62"/>
      <c r="Q11" s="62"/>
      <c r="R11" s="62"/>
      <c r="S11" s="62"/>
      <c r="T11" s="62"/>
      <c r="U11" s="63"/>
    </row>
    <row r="12" spans="1:21" ht="16.5" customHeight="1">
      <c r="A12" s="53"/>
      <c r="B12" s="53"/>
      <c r="C12" s="53"/>
      <c r="D12" s="53"/>
      <c r="E12" s="53"/>
      <c r="F12" s="53"/>
      <c r="G12" s="53"/>
      <c r="H12" s="55"/>
      <c r="J12" s="60" t="s">
        <v>86</v>
      </c>
      <c r="K12" s="64" t="str">
        <f>SUBSTITUTE(K11,"file:///","")</f>
        <v>C:/Users/uidk3743/AppData/Local/Microsoft/Windows/INetCache/Content.Outlook/17RQU6BN/salary.htm</v>
      </c>
      <c r="L12" s="64"/>
      <c r="M12" s="64"/>
      <c r="N12" s="64"/>
      <c r="O12" s="64"/>
      <c r="P12" s="64"/>
      <c r="Q12" s="64"/>
      <c r="R12" s="64"/>
      <c r="S12" s="64"/>
      <c r="T12" s="64"/>
      <c r="U12" s="65"/>
    </row>
    <row r="13" spans="1:21" ht="16.5" customHeight="1">
      <c r="A13" s="52"/>
      <c r="B13" s="52"/>
      <c r="C13" s="52"/>
      <c r="D13" s="52"/>
      <c r="E13" s="52"/>
      <c r="F13" s="52"/>
      <c r="G13" s="52" t="s">
        <v>95</v>
      </c>
      <c r="H13" s="55"/>
      <c r="J13" s="67" t="s">
        <v>84</v>
      </c>
      <c r="K13" s="68" t="str">
        <f>SUBSTITUTE(K12,"/","\")</f>
        <v>C:\Users\uidk3743\AppData\Local\Microsoft\Windows\INetCache\Content.Outlook\17RQU6BN\salary.htm</v>
      </c>
      <c r="L13" s="68"/>
      <c r="M13" s="68"/>
      <c r="N13" s="68"/>
      <c r="O13" s="68"/>
      <c r="P13" s="68"/>
      <c r="Q13" s="68"/>
      <c r="R13" s="68"/>
      <c r="S13" s="68"/>
      <c r="T13" s="68"/>
      <c r="U13" s="69"/>
    </row>
    <row r="14" spans="1:21" ht="17.25" thickBot="1">
      <c r="A14" s="53"/>
      <c r="B14" s="53"/>
      <c r="C14" s="53"/>
      <c r="D14" s="53"/>
      <c r="E14" s="53"/>
      <c r="F14" s="53"/>
      <c r="G14" s="56">
        <v>4699214</v>
      </c>
      <c r="H14" s="55"/>
    </row>
    <row r="15" spans="1:21" ht="16.5" customHeight="1" thickBot="1">
      <c r="A15" s="78" t="s">
        <v>96</v>
      </c>
      <c r="B15" s="82"/>
      <c r="C15" s="82"/>
      <c r="D15" s="82"/>
      <c r="E15" s="82"/>
      <c r="F15" s="82"/>
      <c r="G15" s="82"/>
      <c r="H15" s="79"/>
      <c r="J15" s="75" t="s">
        <v>130</v>
      </c>
      <c r="K15" s="76"/>
      <c r="L15" s="76"/>
      <c r="M15" s="76"/>
      <c r="N15" s="76"/>
      <c r="O15" s="76"/>
      <c r="P15" s="76"/>
      <c r="Q15" s="76"/>
      <c r="R15" s="76"/>
      <c r="S15" s="76"/>
      <c r="T15" s="76"/>
      <c r="U15" s="77"/>
    </row>
    <row r="16" spans="1:21" ht="33.75" thickBot="1">
      <c r="A16" s="52" t="s">
        <v>97</v>
      </c>
      <c r="B16" s="52" t="s">
        <v>98</v>
      </c>
      <c r="C16" s="52" t="s">
        <v>108</v>
      </c>
      <c r="D16" s="52" t="s">
        <v>109</v>
      </c>
      <c r="E16" s="52" t="s">
        <v>99</v>
      </c>
      <c r="F16" s="52" t="s">
        <v>110</v>
      </c>
      <c r="G16" s="52" t="s">
        <v>111</v>
      </c>
      <c r="H16" s="55"/>
      <c r="J16" s="61" t="s">
        <v>85</v>
      </c>
      <c r="K16" s="66" t="s">
        <v>107</v>
      </c>
      <c r="L16" s="62"/>
      <c r="M16" s="62"/>
      <c r="N16" s="62"/>
      <c r="O16" s="62"/>
      <c r="P16" s="62"/>
      <c r="Q16" s="62"/>
      <c r="R16" s="62"/>
      <c r="S16" s="62"/>
      <c r="T16" s="62"/>
      <c r="U16" s="63"/>
    </row>
    <row r="17" spans="1:21">
      <c r="A17" s="56">
        <v>213910</v>
      </c>
      <c r="B17" s="56">
        <v>21390</v>
      </c>
      <c r="C17" s="56">
        <v>203850</v>
      </c>
      <c r="D17" s="56">
        <v>156570</v>
      </c>
      <c r="E17" s="56">
        <v>37590</v>
      </c>
      <c r="F17" s="56">
        <v>19210</v>
      </c>
      <c r="G17" s="56">
        <v>6500</v>
      </c>
      <c r="H17" s="55"/>
      <c r="J17" s="60" t="s">
        <v>86</v>
      </c>
      <c r="K17" s="64" t="str">
        <f>SUBSTITUTE(K16,"file:///","")</f>
        <v>C:/Users/uidk3743/AppData/Local/Microsoft/Windows/INetCache/Content.Outlook/17RQU6BN/salary.htm</v>
      </c>
      <c r="L17" s="64"/>
      <c r="M17" s="64"/>
      <c r="N17" s="64"/>
      <c r="O17" s="64"/>
      <c r="P17" s="64"/>
      <c r="Q17" s="64"/>
      <c r="R17" s="64"/>
      <c r="S17" s="64"/>
      <c r="T17" s="64"/>
      <c r="U17" s="65"/>
    </row>
    <row r="18" spans="1:21" ht="33">
      <c r="A18" s="52" t="s">
        <v>112</v>
      </c>
      <c r="B18" s="52" t="s">
        <v>113</v>
      </c>
      <c r="C18" s="52"/>
      <c r="D18" s="52"/>
      <c r="E18" s="52"/>
      <c r="F18" s="52"/>
      <c r="G18" s="52"/>
      <c r="H18" s="55"/>
      <c r="J18" s="38" t="s">
        <v>84</v>
      </c>
      <c r="K18" s="64" t="str">
        <f>SUBSTITUTE(K17,"/","\")</f>
        <v>C:\Users\uidk3743\AppData\Local\Microsoft\Windows\INetCache\Content.Outlook\17RQU6BN\salary.htm</v>
      </c>
      <c r="L18" s="64"/>
      <c r="M18" s="64"/>
      <c r="N18" s="64"/>
      <c r="O18" s="64"/>
      <c r="P18" s="64"/>
      <c r="Q18" s="64"/>
      <c r="R18" s="64"/>
      <c r="S18" s="64"/>
      <c r="T18" s="64"/>
      <c r="U18" s="65"/>
    </row>
    <row r="19" spans="1:21">
      <c r="A19" s="56">
        <v>185185</v>
      </c>
      <c r="B19" s="56">
        <v>13368</v>
      </c>
      <c r="C19" s="53"/>
      <c r="D19" s="53"/>
      <c r="E19" s="53"/>
      <c r="F19" s="53"/>
      <c r="G19" s="53"/>
      <c r="H19" s="55"/>
    </row>
    <row r="20" spans="1:21" ht="16.5" customHeight="1">
      <c r="A20" s="52"/>
      <c r="B20" s="52"/>
      <c r="C20" s="52"/>
      <c r="D20" s="52"/>
      <c r="E20" s="52"/>
      <c r="F20" s="52"/>
      <c r="G20" s="52"/>
      <c r="H20" s="55"/>
    </row>
    <row r="21" spans="1:21" ht="16.5" customHeight="1" thickBot="1">
      <c r="A21" s="53"/>
      <c r="B21" s="53"/>
      <c r="C21" s="53"/>
      <c r="D21" s="53"/>
      <c r="E21" s="53"/>
      <c r="F21" s="53"/>
      <c r="G21" s="53"/>
      <c r="H21" s="55"/>
    </row>
    <row r="22" spans="1:21">
      <c r="A22" s="52"/>
      <c r="B22" s="52"/>
      <c r="C22" s="52"/>
      <c r="D22" s="52"/>
      <c r="E22" s="52"/>
      <c r="F22" s="52"/>
      <c r="G22" s="52" t="s">
        <v>100</v>
      </c>
      <c r="H22" s="55"/>
      <c r="J22" s="44"/>
      <c r="K22" s="45"/>
    </row>
    <row r="23" spans="1:21">
      <c r="A23" s="53"/>
      <c r="B23" s="53"/>
      <c r="C23" s="53"/>
      <c r="D23" s="53"/>
      <c r="E23" s="53"/>
      <c r="F23" s="53"/>
      <c r="G23" s="56">
        <v>857573</v>
      </c>
      <c r="H23" s="55"/>
      <c r="J23" s="46"/>
      <c r="K23" s="47"/>
    </row>
    <row r="24" spans="1:21">
      <c r="A24" s="52" t="s">
        <v>101</v>
      </c>
      <c r="B24" s="85" t="s">
        <v>102</v>
      </c>
      <c r="C24" s="86"/>
      <c r="D24" s="87"/>
      <c r="E24" s="88"/>
      <c r="F24" s="89"/>
      <c r="G24" s="52" t="s">
        <v>103</v>
      </c>
      <c r="H24" s="55"/>
      <c r="J24" s="46"/>
      <c r="K24" s="47"/>
    </row>
    <row r="25" spans="1:21" ht="16.5" customHeight="1">
      <c r="A25" s="53" t="s">
        <v>104</v>
      </c>
      <c r="B25" s="80" t="s">
        <v>105</v>
      </c>
      <c r="C25" s="81"/>
      <c r="D25" s="90" t="s">
        <v>106</v>
      </c>
      <c r="E25" s="91"/>
      <c r="F25" s="92"/>
      <c r="G25" s="56">
        <v>3841641</v>
      </c>
      <c r="H25" s="55"/>
      <c r="J25" s="46"/>
      <c r="K25" s="47"/>
    </row>
    <row r="26" spans="1:21" ht="16.5" customHeight="1" thickBot="1">
      <c r="A26" s="93" t="s">
        <v>120</v>
      </c>
      <c r="B26" s="94"/>
      <c r="C26" s="94"/>
      <c r="D26" s="94"/>
      <c r="E26" s="94"/>
      <c r="F26" s="94"/>
      <c r="G26" s="94"/>
      <c r="H26" s="95"/>
      <c r="J26" s="73" t="s">
        <v>128</v>
      </c>
      <c r="K26" s="74"/>
    </row>
    <row r="27" spans="1:21">
      <c r="A27" s="59"/>
      <c r="B27" s="59"/>
      <c r="C27" s="59"/>
      <c r="D27" s="59"/>
      <c r="E27" s="59"/>
      <c r="F27" s="59"/>
      <c r="G27" s="59"/>
      <c r="H27" s="59"/>
    </row>
    <row r="28" spans="1:21">
      <c r="A28" s="59"/>
      <c r="B28" s="59"/>
      <c r="C28" s="59"/>
      <c r="D28" s="59"/>
      <c r="E28" s="59"/>
      <c r="F28" s="59"/>
      <c r="G28" s="59"/>
      <c r="H28" s="59"/>
    </row>
    <row r="29" spans="1:21">
      <c r="A29" s="57" t="s">
        <v>64</v>
      </c>
      <c r="B29" s="59"/>
      <c r="C29" s="59"/>
      <c r="D29" s="59"/>
      <c r="E29" s="59"/>
      <c r="F29" s="59"/>
      <c r="G29" s="59"/>
      <c r="H29" s="59"/>
    </row>
    <row r="30" spans="1:21">
      <c r="A30" s="59"/>
      <c r="B30" s="59"/>
      <c r="C30" s="59"/>
      <c r="D30" s="59"/>
      <c r="E30" s="59"/>
      <c r="F30" s="59"/>
      <c r="G30" s="59"/>
      <c r="H30" s="59"/>
    </row>
    <row r="31" spans="1:21" ht="16.5" customHeight="1">
      <c r="A31" s="83" t="s">
        <v>65</v>
      </c>
      <c r="B31" s="84"/>
      <c r="C31" s="84"/>
      <c r="D31" s="84"/>
      <c r="E31" s="84"/>
      <c r="F31" s="84"/>
      <c r="G31" s="84"/>
      <c r="H31" s="84"/>
    </row>
    <row r="32" spans="1:21">
      <c r="A32" s="59"/>
      <c r="B32" s="59"/>
      <c r="C32" s="59"/>
      <c r="D32" s="59"/>
      <c r="E32" s="59"/>
      <c r="F32" s="59"/>
      <c r="G32" s="59"/>
      <c r="H32" s="59"/>
    </row>
    <row r="33" spans="1:8">
      <c r="A33" s="59"/>
      <c r="B33" s="59"/>
      <c r="C33" s="59"/>
      <c r="D33" s="59"/>
      <c r="E33" s="59"/>
      <c r="F33" s="59"/>
      <c r="G33" s="59"/>
      <c r="H33" s="59"/>
    </row>
    <row r="34" spans="1:8">
      <c r="A34" s="59"/>
      <c r="B34" s="59"/>
      <c r="C34" s="59"/>
      <c r="D34" s="59"/>
      <c r="E34" s="59"/>
      <c r="F34" s="59"/>
      <c r="G34" s="59"/>
      <c r="H34" s="59"/>
    </row>
    <row r="35" spans="1:8" ht="16.5" customHeight="1">
      <c r="A35" s="78" t="s">
        <v>66</v>
      </c>
      <c r="B35" s="82"/>
      <c r="C35" s="82"/>
      <c r="D35" s="79"/>
      <c r="E35" s="59"/>
      <c r="F35" s="59"/>
      <c r="G35" s="59"/>
      <c r="H35" s="59"/>
    </row>
    <row r="36" spans="1:8" ht="33">
      <c r="A36" s="52" t="s">
        <v>67</v>
      </c>
      <c r="B36" s="53" t="s">
        <v>68</v>
      </c>
      <c r="C36" s="52" t="s">
        <v>69</v>
      </c>
      <c r="D36" s="53" t="s">
        <v>121</v>
      </c>
      <c r="E36" s="59"/>
      <c r="F36" s="59"/>
      <c r="G36" s="59"/>
      <c r="H36" s="59"/>
    </row>
    <row r="37" spans="1:8" ht="16.5" customHeight="1">
      <c r="A37" s="52" t="s">
        <v>70</v>
      </c>
      <c r="B37" s="56">
        <v>124693</v>
      </c>
      <c r="C37" s="52"/>
      <c r="D37" s="53"/>
      <c r="E37" s="59"/>
      <c r="F37" s="59"/>
      <c r="G37" s="59"/>
      <c r="H37" s="59"/>
    </row>
    <row r="38" spans="1:8">
      <c r="A38" s="59"/>
      <c r="B38" s="59"/>
      <c r="C38" s="59"/>
      <c r="D38" s="59"/>
      <c r="E38" s="59"/>
      <c r="F38" s="59"/>
      <c r="G38" s="59"/>
      <c r="H38" s="59"/>
    </row>
    <row r="39" spans="1:8" ht="16.5" customHeight="1">
      <c r="A39" s="78" t="s">
        <v>114</v>
      </c>
      <c r="B39" s="82"/>
      <c r="C39" s="82"/>
      <c r="D39" s="79"/>
      <c r="E39" s="59"/>
      <c r="F39" s="59"/>
      <c r="G39" s="59"/>
      <c r="H39" s="59"/>
    </row>
    <row r="40" spans="1:8">
      <c r="A40" s="52" t="s">
        <v>115</v>
      </c>
      <c r="B40" s="53">
        <v>20</v>
      </c>
      <c r="C40" s="52" t="s">
        <v>116</v>
      </c>
      <c r="D40" s="53">
        <v>5</v>
      </c>
      <c r="E40" s="59"/>
      <c r="F40" s="59"/>
      <c r="G40" s="59"/>
      <c r="H40" s="59"/>
    </row>
    <row r="41" spans="1:8" ht="16.5" customHeight="1">
      <c r="A41" s="52" t="s">
        <v>71</v>
      </c>
      <c r="B41" s="53">
        <v>6</v>
      </c>
      <c r="C41" s="52" t="s">
        <v>72</v>
      </c>
      <c r="D41" s="53">
        <v>0</v>
      </c>
      <c r="E41" s="59"/>
      <c r="F41" s="59"/>
      <c r="G41" s="59"/>
      <c r="H41" s="59"/>
    </row>
    <row r="42" spans="1:8" ht="33">
      <c r="A42" s="52" t="s">
        <v>73</v>
      </c>
      <c r="B42" s="53">
        <v>0</v>
      </c>
      <c r="C42" s="52" t="s">
        <v>74</v>
      </c>
      <c r="D42" s="53">
        <v>240</v>
      </c>
      <c r="E42" s="59"/>
      <c r="F42" s="59"/>
      <c r="G42" s="59"/>
      <c r="H42" s="59"/>
    </row>
    <row r="43" spans="1:8">
      <c r="A43" s="59"/>
      <c r="B43" s="59"/>
      <c r="C43" s="59"/>
      <c r="D43" s="59"/>
      <c r="E43" s="59"/>
      <c r="F43" s="59"/>
      <c r="G43" s="59"/>
      <c r="H43" s="59"/>
    </row>
    <row r="44" spans="1:8" ht="16.5" customHeight="1">
      <c r="A44" s="78" t="s">
        <v>75</v>
      </c>
      <c r="B44" s="82"/>
      <c r="C44" s="82"/>
      <c r="D44" s="79"/>
      <c r="E44" s="59"/>
      <c r="F44" s="59"/>
      <c r="G44" s="59"/>
      <c r="H44" s="59"/>
    </row>
    <row r="45" spans="1:8">
      <c r="A45" s="52" t="s">
        <v>76</v>
      </c>
      <c r="B45" s="53">
        <v>0</v>
      </c>
      <c r="C45" s="52" t="s">
        <v>77</v>
      </c>
      <c r="D45" s="56">
        <v>15555560</v>
      </c>
      <c r="E45" s="59"/>
      <c r="F45" s="59"/>
      <c r="G45" s="59"/>
      <c r="H45" s="59"/>
    </row>
    <row r="46" spans="1:8">
      <c r="A46" s="59"/>
      <c r="B46" s="59"/>
      <c r="C46" s="59"/>
      <c r="D46" s="59"/>
      <c r="E46" s="59"/>
      <c r="F46" s="59"/>
      <c r="G46" s="59"/>
      <c r="H46" s="59"/>
    </row>
    <row r="47" spans="1:8">
      <c r="A47" s="59"/>
      <c r="B47" s="59"/>
      <c r="C47" s="59"/>
      <c r="D47" s="59"/>
      <c r="E47" s="59"/>
      <c r="F47" s="59"/>
      <c r="G47" s="59"/>
      <c r="H47" s="59"/>
    </row>
    <row r="48" spans="1:8">
      <c r="A48" s="58" t="s">
        <v>78</v>
      </c>
      <c r="B48" s="58" t="s">
        <v>79</v>
      </c>
      <c r="C48" s="78" t="s">
        <v>80</v>
      </c>
      <c r="D48" s="79"/>
      <c r="E48" s="59"/>
      <c r="F48" s="59"/>
      <c r="G48" s="59"/>
      <c r="H48" s="59"/>
    </row>
    <row r="49" spans="1:8" ht="16.5" customHeight="1">
      <c r="A49" s="53" t="s">
        <v>81</v>
      </c>
      <c r="B49" s="53" t="s">
        <v>119</v>
      </c>
      <c r="C49" s="71" t="s">
        <v>122</v>
      </c>
      <c r="D49" s="72"/>
      <c r="E49" s="59"/>
      <c r="F49" s="59"/>
      <c r="G49" s="59"/>
      <c r="H49" s="59"/>
    </row>
    <row r="50" spans="1:8" ht="16.5" customHeight="1">
      <c r="A50" s="53"/>
      <c r="B50" s="53" t="s">
        <v>61</v>
      </c>
      <c r="C50" s="71" t="s">
        <v>82</v>
      </c>
      <c r="D50" s="72"/>
      <c r="E50" s="59"/>
      <c r="F50" s="59"/>
      <c r="G50" s="59"/>
      <c r="H50" s="59"/>
    </row>
    <row r="51" spans="1:8" ht="16.5" customHeight="1">
      <c r="A51" s="53"/>
      <c r="B51" s="53" t="s">
        <v>62</v>
      </c>
      <c r="C51" s="71" t="s">
        <v>83</v>
      </c>
      <c r="D51" s="72"/>
      <c r="E51" s="59"/>
      <c r="F51" s="59"/>
      <c r="G51" s="59"/>
      <c r="H51" s="59"/>
    </row>
    <row r="52" spans="1:8" ht="16.5" customHeight="1">
      <c r="A52" s="53"/>
      <c r="B52" s="53" t="s">
        <v>61</v>
      </c>
      <c r="C52" s="71" t="s">
        <v>82</v>
      </c>
      <c r="D52" s="72"/>
      <c r="E52" s="59"/>
      <c r="F52" s="59"/>
      <c r="G52" s="59"/>
      <c r="H52" s="59"/>
    </row>
    <row r="53" spans="1:8" ht="16.5" customHeight="1">
      <c r="A53" s="53"/>
      <c r="B53" s="53" t="s">
        <v>62</v>
      </c>
      <c r="C53" s="71" t="s">
        <v>83</v>
      </c>
      <c r="D53" s="72"/>
      <c r="E53" s="59"/>
      <c r="F53" s="59"/>
      <c r="G53" s="59"/>
      <c r="H53" s="59"/>
    </row>
    <row r="78" spans="1:2">
      <c r="B78" s="27"/>
    </row>
    <row r="79" spans="1:2">
      <c r="A79" s="27"/>
      <c r="B79" s="49"/>
    </row>
    <row r="80" spans="1:2">
      <c r="A80" s="49"/>
    </row>
    <row r="86" spans="1:2">
      <c r="B86" s="27"/>
    </row>
    <row r="87" spans="1:2">
      <c r="A87" s="27"/>
      <c r="B87" s="27"/>
    </row>
    <row r="88" spans="1:2">
      <c r="A88" s="27"/>
      <c r="B88" s="27"/>
    </row>
    <row r="89" spans="1:2">
      <c r="A89" s="27"/>
      <c r="B89" s="27"/>
    </row>
    <row r="90" spans="1:2">
      <c r="A90" s="27"/>
      <c r="B90" s="27"/>
    </row>
    <row r="91" spans="1:2">
      <c r="A91" s="27"/>
      <c r="B91" s="27"/>
    </row>
    <row r="92" spans="1:2">
      <c r="A92" s="27"/>
      <c r="B92" s="27"/>
    </row>
    <row r="93" spans="1:2">
      <c r="A93" s="27"/>
    </row>
    <row r="100" spans="1:2">
      <c r="B100" s="27"/>
    </row>
    <row r="101" spans="1:2">
      <c r="A101" s="27"/>
      <c r="B101" s="27"/>
    </row>
    <row r="102" spans="1:2">
      <c r="A102" s="27"/>
    </row>
    <row r="134" spans="1:2">
      <c r="B134" s="27"/>
    </row>
    <row r="135" spans="1:2">
      <c r="A135" s="27"/>
    </row>
  </sheetData>
  <mergeCells count="21">
    <mergeCell ref="F5:G5"/>
    <mergeCell ref="A6:H6"/>
    <mergeCell ref="A15:H15"/>
    <mergeCell ref="A31:H31"/>
    <mergeCell ref="A35:D35"/>
    <mergeCell ref="B24:C24"/>
    <mergeCell ref="D24:F24"/>
    <mergeCell ref="B25:C25"/>
    <mergeCell ref="D25:F25"/>
    <mergeCell ref="A26:H26"/>
    <mergeCell ref="C53:D53"/>
    <mergeCell ref="C52:D52"/>
    <mergeCell ref="J26:K26"/>
    <mergeCell ref="J10:U10"/>
    <mergeCell ref="J15:U15"/>
    <mergeCell ref="C51:D51"/>
    <mergeCell ref="C48:D48"/>
    <mergeCell ref="C49:D49"/>
    <mergeCell ref="C50:D50"/>
    <mergeCell ref="A39:D39"/>
    <mergeCell ref="A44:D44"/>
  </mergeCells>
  <phoneticPr fontId="2" type="noConversion"/>
  <pageMargins left="0.7" right="0.7" top="0.75" bottom="0.75" header="0.3" footer="0.3"/>
  <pageSetup paperSize="9" orientation="portrait" r:id="rId1"/>
  <headerFooter>
    <oddFooter>&amp;C_x000D_&amp;1#&amp;"Arial"&amp;8&amp;K000000 Internal</oddFooter>
  </headerFooter>
  <drawing r:id="rId2"/>
  <legacyDrawing r:id="rId3"/>
  <controls>
    <mc:AlternateContent xmlns:mc="http://schemas.openxmlformats.org/markup-compatibility/2006">
      <mc:Choice Requires="x14">
        <control shapeId="1025" r:id="rId4" name="LoadHTM">
          <controlPr defaultSize="0" autoLine="0" autoPict="0" r:id="rId5">
            <anchor moveWithCells="1">
              <from>
                <xdr:col>8</xdr:col>
                <xdr:colOff>676275</xdr:colOff>
                <xdr:row>4</xdr:row>
                <xdr:rowOff>200025</xdr:rowOff>
              </from>
              <to>
                <xdr:col>11</xdr:col>
                <xdr:colOff>114300</xdr:colOff>
                <xdr:row>7</xdr:row>
                <xdr:rowOff>200025</xdr:rowOff>
              </to>
            </anchor>
          </controlPr>
        </control>
      </mc:Choice>
      <mc:Fallback>
        <control shapeId="1025" r:id="rId4" name="LoadHTM"/>
      </mc:Fallback>
    </mc:AlternateContent>
    <mc:AlternateContent xmlns:mc="http://schemas.openxmlformats.org/markup-compatibility/2006">
      <mc:Choice Requires="x14">
        <control shapeId="1028" r:id="rId6" name="AddHTM">
          <controlPr defaultSize="0" autoLine="0" r:id="rId7">
            <anchor moveWithCells="1">
              <from>
                <xdr:col>12</xdr:col>
                <xdr:colOff>9525</xdr:colOff>
                <xdr:row>5</xdr:row>
                <xdr:rowOff>0</xdr:rowOff>
              </from>
              <to>
                <xdr:col>13</xdr:col>
                <xdr:colOff>923925</xdr:colOff>
                <xdr:row>8</xdr:row>
                <xdr:rowOff>0</xdr:rowOff>
              </to>
            </anchor>
          </controlPr>
        </control>
      </mc:Choice>
      <mc:Fallback>
        <control shapeId="1028" r:id="rId6" name="AddHTM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D8390-C215-4E79-8E62-22594C3B02C9}">
  <sheetPr codeName="Sheet3"/>
  <dimension ref="A1:H50"/>
  <sheetViews>
    <sheetView workbookViewId="0">
      <selection activeCell="M15" sqref="M15"/>
    </sheetView>
  </sheetViews>
  <sheetFormatPr defaultRowHeight="16.5"/>
  <sheetData>
    <row r="1" spans="1:8" ht="99">
      <c r="A1" s="50" t="s">
        <v>126</v>
      </c>
      <c r="B1" s="59"/>
      <c r="C1" s="59"/>
      <c r="D1" s="59"/>
      <c r="E1" s="59"/>
      <c r="F1" s="59"/>
      <c r="G1" s="59"/>
      <c r="H1" s="59"/>
    </row>
    <row r="2" spans="1:8" ht="54">
      <c r="A2" s="51" t="s">
        <v>127</v>
      </c>
      <c r="B2" s="59"/>
      <c r="C2" s="59"/>
      <c r="D2" s="59"/>
      <c r="E2" s="59"/>
      <c r="F2" s="59"/>
      <c r="G2" s="59"/>
      <c r="H2" s="59"/>
    </row>
    <row r="3" spans="1:8">
      <c r="A3" s="59"/>
      <c r="B3" s="59"/>
      <c r="C3" s="59"/>
      <c r="D3" s="59"/>
      <c r="E3" s="59"/>
      <c r="F3" s="59"/>
      <c r="G3" s="59"/>
      <c r="H3" s="59"/>
    </row>
    <row r="4" spans="1:8">
      <c r="A4" s="59"/>
      <c r="B4" s="59"/>
      <c r="C4" s="59"/>
      <c r="D4" s="59"/>
      <c r="E4" s="59"/>
      <c r="F4" s="59"/>
      <c r="G4" s="59"/>
      <c r="H4" s="59"/>
    </row>
    <row r="5" spans="1:8">
      <c r="A5" s="52" t="s">
        <v>87</v>
      </c>
      <c r="B5" s="53" t="s">
        <v>88</v>
      </c>
      <c r="C5" s="52" t="s">
        <v>89</v>
      </c>
      <c r="D5" s="53" t="s">
        <v>90</v>
      </c>
      <c r="E5" s="52" t="s">
        <v>91</v>
      </c>
      <c r="F5" s="80" t="s">
        <v>92</v>
      </c>
      <c r="G5" s="81"/>
      <c r="H5" s="54"/>
    </row>
    <row r="6" spans="1:8" ht="16.5" customHeight="1">
      <c r="A6" s="78" t="s">
        <v>93</v>
      </c>
      <c r="B6" s="82"/>
      <c r="C6" s="82"/>
      <c r="D6" s="82"/>
      <c r="E6" s="82"/>
      <c r="F6" s="82"/>
      <c r="G6" s="82"/>
      <c r="H6" s="79"/>
    </row>
    <row r="7" spans="1:8" ht="33">
      <c r="A7" s="52" t="s">
        <v>94</v>
      </c>
      <c r="B7" s="52" t="s">
        <v>123</v>
      </c>
      <c r="C7" s="52" t="s">
        <v>61</v>
      </c>
      <c r="D7" s="52" t="s">
        <v>62</v>
      </c>
      <c r="E7" s="52"/>
      <c r="F7" s="52"/>
      <c r="G7" s="52"/>
      <c r="H7" s="55"/>
    </row>
    <row r="8" spans="1:8">
      <c r="A8" s="56">
        <v>2805585</v>
      </c>
      <c r="B8" s="56">
        <v>60000</v>
      </c>
      <c r="C8" s="56">
        <v>935195</v>
      </c>
      <c r="D8" s="56">
        <v>467598</v>
      </c>
      <c r="E8" s="53"/>
      <c r="F8" s="53"/>
      <c r="G8" s="53"/>
      <c r="H8" s="55"/>
    </row>
    <row r="9" spans="1:8">
      <c r="A9" s="52"/>
      <c r="B9" s="52"/>
      <c r="C9" s="52"/>
      <c r="D9" s="52"/>
      <c r="E9" s="52"/>
      <c r="F9" s="52"/>
      <c r="G9" s="52"/>
      <c r="H9" s="55"/>
    </row>
    <row r="10" spans="1:8">
      <c r="A10" s="53"/>
      <c r="B10" s="53"/>
      <c r="C10" s="53"/>
      <c r="D10" s="53"/>
      <c r="E10" s="53"/>
      <c r="F10" s="53"/>
      <c r="G10" s="53"/>
      <c r="H10" s="55"/>
    </row>
    <row r="11" spans="1:8">
      <c r="A11" s="52"/>
      <c r="B11" s="52"/>
      <c r="C11" s="52"/>
      <c r="D11" s="52"/>
      <c r="E11" s="52"/>
      <c r="F11" s="52"/>
      <c r="G11" s="52"/>
      <c r="H11" s="55"/>
    </row>
    <row r="12" spans="1:8">
      <c r="A12" s="53"/>
      <c r="B12" s="53"/>
      <c r="C12" s="53"/>
      <c r="D12" s="53"/>
      <c r="E12" s="53"/>
      <c r="F12" s="53"/>
      <c r="G12" s="53"/>
      <c r="H12" s="55"/>
    </row>
    <row r="13" spans="1:8">
      <c r="A13" s="52"/>
      <c r="B13" s="52"/>
      <c r="C13" s="52"/>
      <c r="D13" s="52"/>
      <c r="E13" s="52"/>
      <c r="F13" s="52"/>
      <c r="G13" s="52" t="s">
        <v>95</v>
      </c>
      <c r="H13" s="55"/>
    </row>
    <row r="14" spans="1:8">
      <c r="A14" s="53"/>
      <c r="B14" s="53"/>
      <c r="C14" s="53"/>
      <c r="D14" s="53"/>
      <c r="E14" s="53"/>
      <c r="F14" s="53"/>
      <c r="G14" s="56">
        <v>4268378</v>
      </c>
      <c r="H14" s="55"/>
    </row>
    <row r="15" spans="1:8" ht="16.5" customHeight="1">
      <c r="A15" s="78" t="s">
        <v>96</v>
      </c>
      <c r="B15" s="82"/>
      <c r="C15" s="82"/>
      <c r="D15" s="82"/>
      <c r="E15" s="82"/>
      <c r="F15" s="82"/>
      <c r="G15" s="82"/>
      <c r="H15" s="79"/>
    </row>
    <row r="16" spans="1:8" ht="33">
      <c r="A16" s="52" t="s">
        <v>97</v>
      </c>
      <c r="B16" s="52" t="s">
        <v>98</v>
      </c>
      <c r="C16" s="52" t="s">
        <v>108</v>
      </c>
      <c r="D16" s="52" t="s">
        <v>109</v>
      </c>
      <c r="E16" s="52" t="s">
        <v>99</v>
      </c>
      <c r="F16" s="52" t="s">
        <v>110</v>
      </c>
      <c r="G16" s="52" t="s">
        <v>111</v>
      </c>
      <c r="H16" s="55"/>
    </row>
    <row r="17" spans="1:8">
      <c r="A17" s="56">
        <v>294800</v>
      </c>
      <c r="B17" s="56">
        <v>29480</v>
      </c>
      <c r="C17" s="56">
        <v>202770</v>
      </c>
      <c r="D17" s="56">
        <v>159670</v>
      </c>
      <c r="E17" s="56">
        <v>38410</v>
      </c>
      <c r="F17" s="56">
        <v>19590</v>
      </c>
      <c r="G17" s="56">
        <v>6500</v>
      </c>
      <c r="H17" s="55"/>
    </row>
    <row r="18" spans="1:8" ht="33">
      <c r="A18" s="52" t="s">
        <v>112</v>
      </c>
      <c r="B18" s="52" t="s">
        <v>113</v>
      </c>
      <c r="C18" s="52"/>
      <c r="D18" s="52"/>
      <c r="E18" s="52"/>
      <c r="F18" s="52"/>
      <c r="G18" s="52"/>
      <c r="H18" s="55"/>
    </row>
    <row r="19" spans="1:8">
      <c r="A19" s="56">
        <v>185185</v>
      </c>
      <c r="B19" s="56">
        <v>12110</v>
      </c>
      <c r="C19" s="53"/>
      <c r="D19" s="53"/>
      <c r="E19" s="53"/>
      <c r="F19" s="53"/>
      <c r="G19" s="53"/>
      <c r="H19" s="55"/>
    </row>
    <row r="20" spans="1:8">
      <c r="A20" s="52"/>
      <c r="B20" s="52"/>
      <c r="C20" s="52"/>
      <c r="D20" s="52"/>
      <c r="E20" s="52"/>
      <c r="F20" s="52"/>
      <c r="G20" s="52"/>
      <c r="H20" s="55"/>
    </row>
    <row r="21" spans="1:8">
      <c r="A21" s="53"/>
      <c r="B21" s="53"/>
      <c r="C21" s="53"/>
      <c r="D21" s="53"/>
      <c r="E21" s="53"/>
      <c r="F21" s="53"/>
      <c r="G21" s="53"/>
      <c r="H21" s="55"/>
    </row>
    <row r="22" spans="1:8">
      <c r="A22" s="52"/>
      <c r="B22" s="52"/>
      <c r="C22" s="52"/>
      <c r="D22" s="52"/>
      <c r="E22" s="52"/>
      <c r="F22" s="52"/>
      <c r="G22" s="52" t="s">
        <v>100</v>
      </c>
      <c r="H22" s="55"/>
    </row>
    <row r="23" spans="1:8">
      <c r="A23" s="53"/>
      <c r="B23" s="53"/>
      <c r="C23" s="53"/>
      <c r="D23" s="53"/>
      <c r="E23" s="53"/>
      <c r="F23" s="53"/>
      <c r="G23" s="56">
        <v>948515</v>
      </c>
      <c r="H23" s="55"/>
    </row>
    <row r="24" spans="1:8">
      <c r="A24" s="52" t="s">
        <v>101</v>
      </c>
      <c r="B24" s="85" t="s">
        <v>102</v>
      </c>
      <c r="C24" s="86"/>
      <c r="D24" s="87"/>
      <c r="E24" s="88"/>
      <c r="F24" s="89"/>
      <c r="G24" s="52" t="s">
        <v>103</v>
      </c>
      <c r="H24" s="55"/>
    </row>
    <row r="25" spans="1:8" ht="16.5" customHeight="1">
      <c r="A25" s="53" t="s">
        <v>104</v>
      </c>
      <c r="B25" s="80" t="s">
        <v>105</v>
      </c>
      <c r="C25" s="81"/>
      <c r="D25" s="90" t="s">
        <v>106</v>
      </c>
      <c r="E25" s="91"/>
      <c r="F25" s="92"/>
      <c r="G25" s="56">
        <v>3319863</v>
      </c>
      <c r="H25" s="55"/>
    </row>
    <row r="26" spans="1:8">
      <c r="A26" s="93"/>
      <c r="B26" s="94"/>
      <c r="C26" s="94"/>
      <c r="D26" s="94"/>
      <c r="E26" s="94"/>
      <c r="F26" s="94"/>
      <c r="G26" s="94"/>
      <c r="H26" s="95"/>
    </row>
    <row r="27" spans="1:8">
      <c r="A27" s="59"/>
      <c r="B27" s="59"/>
      <c r="C27" s="59"/>
      <c r="D27" s="59"/>
      <c r="E27" s="59"/>
      <c r="F27" s="59"/>
      <c r="G27" s="59"/>
      <c r="H27" s="59"/>
    </row>
    <row r="28" spans="1:8">
      <c r="A28" s="59"/>
      <c r="B28" s="59"/>
      <c r="C28" s="59"/>
      <c r="D28" s="59"/>
      <c r="E28" s="59"/>
      <c r="F28" s="59"/>
      <c r="G28" s="59"/>
      <c r="H28" s="59"/>
    </row>
    <row r="29" spans="1:8">
      <c r="A29" s="57" t="s">
        <v>64</v>
      </c>
      <c r="B29" s="59"/>
      <c r="C29" s="59"/>
      <c r="D29" s="59"/>
      <c r="E29" s="59"/>
      <c r="F29" s="59"/>
      <c r="G29" s="59"/>
      <c r="H29" s="59"/>
    </row>
    <row r="30" spans="1:8">
      <c r="A30" s="59"/>
      <c r="B30" s="59"/>
      <c r="C30" s="59"/>
      <c r="D30" s="59"/>
      <c r="E30" s="59"/>
      <c r="F30" s="59"/>
      <c r="G30" s="59"/>
      <c r="H30" s="59"/>
    </row>
    <row r="31" spans="1:8" ht="16.5" customHeight="1">
      <c r="A31" s="83" t="s">
        <v>65</v>
      </c>
      <c r="B31" s="84"/>
      <c r="C31" s="84"/>
      <c r="D31" s="84"/>
      <c r="E31" s="84"/>
      <c r="F31" s="84"/>
      <c r="G31" s="84"/>
      <c r="H31" s="84"/>
    </row>
    <row r="32" spans="1:8">
      <c r="A32" s="59"/>
      <c r="B32" s="59"/>
      <c r="C32" s="59"/>
      <c r="D32" s="59"/>
      <c r="E32" s="59"/>
      <c r="F32" s="59"/>
      <c r="G32" s="59"/>
      <c r="H32" s="59"/>
    </row>
    <row r="33" spans="1:8">
      <c r="A33" s="59"/>
      <c r="B33" s="59"/>
      <c r="C33" s="59"/>
      <c r="D33" s="59"/>
      <c r="E33" s="59"/>
      <c r="F33" s="59"/>
      <c r="G33" s="59"/>
      <c r="H33" s="59"/>
    </row>
    <row r="34" spans="1:8">
      <c r="A34" s="59"/>
      <c r="B34" s="59"/>
      <c r="C34" s="59"/>
      <c r="D34" s="59"/>
      <c r="E34" s="59"/>
      <c r="F34" s="59"/>
      <c r="G34" s="59"/>
      <c r="H34" s="59"/>
    </row>
    <row r="35" spans="1:8" ht="16.5" customHeight="1">
      <c r="A35" s="78" t="s">
        <v>66</v>
      </c>
      <c r="B35" s="82"/>
      <c r="C35" s="82"/>
      <c r="D35" s="79"/>
      <c r="E35" s="59"/>
      <c r="F35" s="59"/>
      <c r="G35" s="59"/>
      <c r="H35" s="59"/>
    </row>
    <row r="36" spans="1:8" ht="33">
      <c r="A36" s="52" t="s">
        <v>67</v>
      </c>
      <c r="B36" s="53" t="s">
        <v>68</v>
      </c>
      <c r="C36" s="52" t="s">
        <v>69</v>
      </c>
      <c r="D36" s="53" t="s">
        <v>121</v>
      </c>
      <c r="E36" s="59"/>
      <c r="F36" s="59"/>
      <c r="G36" s="59"/>
      <c r="H36" s="59"/>
    </row>
    <row r="37" spans="1:8">
      <c r="A37" s="52" t="s">
        <v>70</v>
      </c>
      <c r="B37" s="56">
        <v>124693</v>
      </c>
      <c r="C37" s="52"/>
      <c r="D37" s="53"/>
      <c r="E37" s="59"/>
      <c r="F37" s="59"/>
      <c r="G37" s="59"/>
      <c r="H37" s="59"/>
    </row>
    <row r="38" spans="1:8">
      <c r="A38" s="59"/>
      <c r="B38" s="59"/>
      <c r="C38" s="59"/>
      <c r="D38" s="59"/>
      <c r="E38" s="59"/>
      <c r="F38" s="59"/>
      <c r="G38" s="59"/>
      <c r="H38" s="59"/>
    </row>
    <row r="39" spans="1:8" ht="16.5" customHeight="1">
      <c r="A39" s="78" t="s">
        <v>114</v>
      </c>
      <c r="B39" s="82"/>
      <c r="C39" s="82"/>
      <c r="D39" s="79"/>
      <c r="E39" s="59"/>
      <c r="F39" s="59"/>
      <c r="G39" s="59"/>
      <c r="H39" s="59"/>
    </row>
    <row r="40" spans="1:8">
      <c r="A40" s="52" t="s">
        <v>115</v>
      </c>
      <c r="B40" s="53">
        <v>19</v>
      </c>
      <c r="C40" s="52" t="s">
        <v>116</v>
      </c>
      <c r="D40" s="53">
        <v>4</v>
      </c>
      <c r="E40" s="59"/>
      <c r="F40" s="59"/>
      <c r="G40" s="59"/>
      <c r="H40" s="59"/>
    </row>
    <row r="41" spans="1:8" ht="33">
      <c r="A41" s="52" t="s">
        <v>71</v>
      </c>
      <c r="B41" s="53">
        <v>7</v>
      </c>
      <c r="C41" s="52" t="s">
        <v>72</v>
      </c>
      <c r="D41" s="53">
        <v>0</v>
      </c>
      <c r="E41" s="59"/>
      <c r="F41" s="59"/>
      <c r="G41" s="59"/>
      <c r="H41" s="59"/>
    </row>
    <row r="42" spans="1:8" ht="33">
      <c r="A42" s="52" t="s">
        <v>73</v>
      </c>
      <c r="B42" s="53">
        <v>0</v>
      </c>
      <c r="C42" s="52" t="s">
        <v>74</v>
      </c>
      <c r="D42" s="53">
        <v>240</v>
      </c>
      <c r="E42" s="59"/>
      <c r="F42" s="59"/>
      <c r="G42" s="59"/>
      <c r="H42" s="59"/>
    </row>
    <row r="43" spans="1:8">
      <c r="A43" s="59"/>
      <c r="B43" s="59"/>
      <c r="C43" s="59"/>
      <c r="D43" s="59"/>
      <c r="E43" s="59"/>
      <c r="F43" s="59"/>
      <c r="G43" s="59"/>
      <c r="H43" s="59"/>
    </row>
    <row r="44" spans="1:8" ht="16.5" customHeight="1">
      <c r="A44" s="78" t="s">
        <v>75</v>
      </c>
      <c r="B44" s="82"/>
      <c r="C44" s="82"/>
      <c r="D44" s="79"/>
      <c r="E44" s="59"/>
      <c r="F44" s="59"/>
      <c r="G44" s="59"/>
      <c r="H44" s="59"/>
    </row>
    <row r="45" spans="1:8">
      <c r="A45" s="52" t="s">
        <v>76</v>
      </c>
      <c r="B45" s="53">
        <v>0</v>
      </c>
      <c r="C45" s="52" t="s">
        <v>77</v>
      </c>
      <c r="D45" s="56">
        <v>14074080</v>
      </c>
      <c r="E45" s="59"/>
      <c r="F45" s="59"/>
      <c r="G45" s="59"/>
      <c r="H45" s="59"/>
    </row>
    <row r="46" spans="1:8">
      <c r="A46" s="59"/>
      <c r="B46" s="59"/>
      <c r="C46" s="59"/>
      <c r="D46" s="59"/>
      <c r="E46" s="59"/>
      <c r="F46" s="59"/>
      <c r="G46" s="59"/>
      <c r="H46" s="59"/>
    </row>
    <row r="47" spans="1:8">
      <c r="A47" s="59"/>
      <c r="B47" s="59"/>
      <c r="C47" s="59"/>
      <c r="D47" s="59"/>
      <c r="E47" s="59"/>
      <c r="F47" s="59"/>
      <c r="G47" s="59"/>
      <c r="H47" s="59"/>
    </row>
    <row r="48" spans="1:8">
      <c r="A48" s="58" t="s">
        <v>78</v>
      </c>
      <c r="B48" s="58" t="s">
        <v>79</v>
      </c>
      <c r="C48" s="78" t="s">
        <v>80</v>
      </c>
      <c r="D48" s="79"/>
      <c r="E48" s="59"/>
      <c r="F48" s="59"/>
      <c r="G48" s="59"/>
      <c r="H48" s="59"/>
    </row>
    <row r="49" spans="1:8" ht="16.5" customHeight="1">
      <c r="A49" s="53" t="s">
        <v>81</v>
      </c>
      <c r="B49" s="53" t="s">
        <v>61</v>
      </c>
      <c r="C49" s="71" t="s">
        <v>82</v>
      </c>
      <c r="D49" s="72"/>
      <c r="E49" s="59"/>
      <c r="F49" s="59"/>
      <c r="G49" s="59"/>
      <c r="H49" s="59"/>
    </row>
    <row r="50" spans="1:8" ht="16.5" customHeight="1">
      <c r="A50" s="53"/>
      <c r="B50" s="53" t="s">
        <v>62</v>
      </c>
      <c r="C50" s="71" t="s">
        <v>83</v>
      </c>
      <c r="D50" s="72"/>
      <c r="E50" s="59"/>
      <c r="F50" s="59"/>
      <c r="G50" s="59"/>
      <c r="H50" s="59"/>
    </row>
  </sheetData>
  <mergeCells count="15">
    <mergeCell ref="B25:C25"/>
    <mergeCell ref="D25:F25"/>
    <mergeCell ref="F5:G5"/>
    <mergeCell ref="A6:H6"/>
    <mergeCell ref="A15:H15"/>
    <mergeCell ref="B24:C24"/>
    <mergeCell ref="D24:F24"/>
    <mergeCell ref="C49:D49"/>
    <mergeCell ref="C50:D50"/>
    <mergeCell ref="A26:H26"/>
    <mergeCell ref="A31:H31"/>
    <mergeCell ref="A35:D35"/>
    <mergeCell ref="A39:D39"/>
    <mergeCell ref="A44:D44"/>
    <mergeCell ref="C48:D48"/>
  </mergeCells>
  <phoneticPr fontId="2" type="noConversion"/>
  <pageMargins left="0.7" right="0.7" top="0.75" bottom="0.75" header="0.3" footer="0.3"/>
  <pageSetup paperSize="9" orientation="portrait" r:id="rId1"/>
</worksheet>
</file>

<file path=docMetadata/LabelInfo.xml><?xml version="1.0" encoding="utf-8"?>
<clbl:labelList xmlns:clbl="http://schemas.microsoft.com/office/2020/mipLabelMetadata">
  <clbl:label id="{6006a9c5-d130-408c-bc8e-3b5ecdb17aa0}" enabled="1" method="Standard" siteId="{8d4b558f-7b2e-40ba-ad1f-e04d79e6265a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정리</vt:lpstr>
      <vt:lpstr>명세서</vt:lpstr>
      <vt:lpstr>보너스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Ha, YuJin</dc:creator>
  <cp:lastModifiedBy>Chun, SaeWon</cp:lastModifiedBy>
  <dcterms:created xsi:type="dcterms:W3CDTF">2024-01-17T01:38:43Z</dcterms:created>
  <dcterms:modified xsi:type="dcterms:W3CDTF">2024-01-18T09:15:33Z</dcterms:modified>
</cp:coreProperties>
</file>