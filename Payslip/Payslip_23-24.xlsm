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csw\others\급여\"/>
    </mc:Choice>
  </mc:AlternateContent>
  <xr:revisionPtr revIDLastSave="0" documentId="13_ncr:1_{B5676A1A-51CA-475B-BC34-A11E936E62AC}" xr6:coauthVersionLast="47" xr6:coauthVersionMax="47" xr10:uidLastSave="{00000000-0000-0000-0000-000000000000}"/>
  <bookViews>
    <workbookView xWindow="-120" yWindow="-120" windowWidth="29040" windowHeight="1584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" i="2" l="1"/>
  <c r="P3" i="2"/>
  <c r="AB3" i="2" s="1"/>
  <c r="O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AC24" i="2" s="1"/>
  <c r="O25" i="2"/>
  <c r="AC25" i="2" s="1"/>
  <c r="O26" i="2"/>
  <c r="O27" i="2"/>
  <c r="O28" i="2"/>
  <c r="O29" i="2"/>
  <c r="O30" i="2"/>
  <c r="O8" i="2"/>
  <c r="O9" i="2"/>
  <c r="O10" i="2"/>
  <c r="O11" i="2"/>
  <c r="O12" i="2"/>
  <c r="O13" i="2"/>
  <c r="O14" i="2"/>
  <c r="O15" i="2"/>
  <c r="AC7" i="2" l="1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G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5" i="2"/>
  <c r="AC15" i="2" s="1"/>
  <c r="AB14" i="2"/>
  <c r="AB13" i="2"/>
  <c r="AB12" i="2"/>
  <c r="AC12" i="2" s="1"/>
  <c r="AB11" i="2"/>
  <c r="AC11" i="2" s="1"/>
  <c r="AB10" i="2"/>
  <c r="AB9" i="2"/>
  <c r="AB5" i="2"/>
  <c r="O5" i="2"/>
  <c r="AC46" i="2" l="1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32" i="2"/>
  <c r="C49" i="2" s="1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O31" i="2"/>
  <c r="AB16" i="2"/>
  <c r="O16" i="2"/>
  <c r="AC48" i="2" l="1"/>
  <c r="AB49" i="2"/>
  <c r="AC31" i="2"/>
  <c r="AC16" i="2"/>
  <c r="AB32" i="2"/>
  <c r="O49" i="2"/>
  <c r="O32" i="2"/>
  <c r="AC32" i="2" l="1"/>
  <c r="AC49" i="2"/>
</calcChain>
</file>

<file path=xl/sharedStrings.xml><?xml version="1.0" encoding="utf-8"?>
<sst xmlns="http://schemas.openxmlformats.org/spreadsheetml/2006/main" count="89" uniqueCount="71">
  <si>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</si>
  <si>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</si>
  <si>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</si>
  <si>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</si>
  <si>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</si>
  <si>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</si>
  <si>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</si>
  <si>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</si>
  <si>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</si>
  <si>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</si>
  <si>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</si>
  <si>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</si>
  <si>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</si>
  <si>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</si>
  <si>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</si>
  <si>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</si>
  <si>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</si>
  <si>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</si>
  <si>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</si>
  <si>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</si>
  <si>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</si>
  <si>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</si>
  <si>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</si>
  <si>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</si>
  <si>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</si>
  <si>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</si>
  <si>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</si>
  <si>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</si>
  <si>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</si>
  <si>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</si>
  <si>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</si>
  <si>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</si>
  <si>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연말정산</t>
    <phoneticPr fontId="2" type="noConversion"/>
  </si>
  <si>
    <t>휴가비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</si>
  <si>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</si>
  <si>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</si>
  <si>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</si>
  <si>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</si>
  <si>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</si>
  <si>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</si>
  <si>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</si>
  <si>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</si>
  <si>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</si>
  <si>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</si>
  <si>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</si>
  <si>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</si>
  <si>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</si>
  <si>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</si>
  <si>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</si>
  <si>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</si>
  <si>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</si>
  <si>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</si>
  <si>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</si>
  <si>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</si>
  <si>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</si>
  <si>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</si>
  <si>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</si>
  <si>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</si>
  <si>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</si>
  <si>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</si>
  <si>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</si>
  <si>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</si>
  <si>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</si>
  <si>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</si>
  <si>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file:///C:/Users/uidk3743/AppData/Local/Microsoft/Windows/INetCache/Content.Outlook/17RQU6BN/salary.htm</t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</si>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</sst>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굴림체 Arial"/>
      <family val="3"/>
      <charset val="129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 wrapText="1"/>
    </xf>
    <xf numFmtId="0" fontId="8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3" fontId="5" fillId="15" borderId="10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3" fontId="10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1" fillId="0" borderId="20" xfId="3" applyBorder="1" applyAlignment="1">
      <alignment vertical="center"/>
    </xf>
    <xf numFmtId="0" fontId="11" fillId="0" borderId="21" xfId="3" applyBorder="1" applyAlignment="1">
      <alignment vertical="center"/>
    </xf>
    <xf numFmtId="0" fontId="11" fillId="16" borderId="22" xfId="3" applyFill="1" applyBorder="1" applyAlignment="1">
      <alignment vertical="center"/>
    </xf>
    <xf numFmtId="0" fontId="11" fillId="16" borderId="23" xfId="3" applyFill="1" applyBorder="1" applyAlignment="1">
      <alignment vertical="center"/>
    </xf>
    <xf numFmtId="0" fontId="0" fillId="0" borderId="19" xfId="0" applyFill="1" applyBorder="1">
      <alignment vertical="center"/>
    </xf>
    <xf numFmtId="0" fontId="0" fillId="12" borderId="9" xfId="0" applyFill="1" applyBorder="1" applyAlignment="1">
      <alignment horizontal="center" vertical="center"/>
    </xf>
    <xf numFmtId="0" fontId="11" fillId="16" borderId="0" xfId="3" applyFill="1" applyBorder="1" applyAlignment="1">
      <alignment vertical="center"/>
    </xf>
    <xf numFmtId="0" fontId="11" fillId="16" borderId="24" xfId="3" applyFill="1" applyBorder="1" applyAlignment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19</xdr:col>
      <xdr:colOff>353154</xdr:colOff>
      <xdr:row>3</xdr:row>
      <xdr:rowOff>171503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72550" y="419100"/>
          <a:ext cx="5220429" cy="3810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4</xdr:row>
          <xdr:rowOff>200025</xdr:rowOff>
        </xdr:from>
        <xdr:to>
          <xdr:col>11</xdr:col>
          <xdr:colOff>114300</xdr:colOff>
          <xdr:row>7</xdr:row>
          <xdr:rowOff>200025</xdr:rowOff>
        </xdr:to>
        <xdr:sp macro="" textlink="">
          <xdr:nvSpPr>
            <xdr:cNvPr id="1025" name="LoadHT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0</xdr:rowOff>
        </xdr:from>
        <xdr:to>
          <xdr:col>13</xdr:col>
          <xdr:colOff>923925</xdr:colOff>
          <xdr:row>8</xdr:row>
          <xdr:rowOff>0</xdr:rowOff>
        </xdr:to>
        <xdr:sp macro="" textlink="">
          <xdr:nvSpPr>
            <xdr:cNvPr id="1028" name="AddHT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O14" activePane="bottomRight" state="frozen"/>
      <selection pane="topRight" activeCell="O1" sqref="O1"/>
      <selection pane="bottomLeft" activeCell="A5" sqref="A5"/>
      <selection pane="bottomRight" activeCell="AC27" sqref="AC27"/>
    </sheetView>
  </sheetViews>
  <sheetFormatPr defaultRowHeight="16.5" outlineLevelCol="1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>
      <c r="C1" s="37"/>
      <c r="P1" s="37" t="s">
        <v>53</v>
      </c>
    </row>
    <row r="2" spans="2:35">
      <c r="C2" s="36"/>
      <c r="D2" s="34"/>
      <c r="E2" s="34"/>
      <c r="P2" s="35">
        <f>IFERROR((-(C33-P33)/C33)*100,0)</f>
        <v>9.9993569545366849</v>
      </c>
      <c r="Q2" s="34"/>
      <c r="R2" s="34"/>
    </row>
    <row r="3" spans="2:35" ht="17.25" thickBot="1">
      <c r="B3" s="14"/>
      <c r="C3" s="61">
        <v>2023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33">
        <f>C3</f>
        <v>2023</v>
      </c>
      <c r="P3" s="61">
        <f>C3+1</f>
        <v>2024</v>
      </c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33">
        <f>P3</f>
        <v>2024</v>
      </c>
      <c r="AC3" t="s">
        <v>52</v>
      </c>
    </row>
    <row r="4" spans="2:35" ht="17.25">
      <c r="B4" s="16" t="s">
        <v>51</v>
      </c>
      <c r="C4" s="31" t="s">
        <v>50</v>
      </c>
      <c r="D4" s="31" t="s">
        <v>49</v>
      </c>
      <c r="E4" s="31" t="s">
        <v>48</v>
      </c>
      <c r="F4" s="31" t="s">
        <v>47</v>
      </c>
      <c r="G4" s="31" t="s">
        <v>46</v>
      </c>
      <c r="H4" s="31" t="s">
        <v>45</v>
      </c>
      <c r="I4" s="31" t="s">
        <v>44</v>
      </c>
      <c r="J4" s="31" t="s">
        <v>43</v>
      </c>
      <c r="K4" s="31" t="s">
        <v>42</v>
      </c>
      <c r="L4" s="31" t="s">
        <v>41</v>
      </c>
      <c r="M4" s="31" t="s">
        <v>40</v>
      </c>
      <c r="N4" s="31" t="s">
        <v>39</v>
      </c>
      <c r="O4" s="32" t="s">
        <v>38</v>
      </c>
      <c r="P4" s="31" t="s">
        <v>50</v>
      </c>
      <c r="Q4" s="31" t="s">
        <v>49</v>
      </c>
      <c r="R4" s="31" t="s">
        <v>48</v>
      </c>
      <c r="S4" s="31" t="s">
        <v>47</v>
      </c>
      <c r="T4" s="31" t="s">
        <v>46</v>
      </c>
      <c r="U4" s="31" t="s">
        <v>45</v>
      </c>
      <c r="V4" s="31" t="s">
        <v>44</v>
      </c>
      <c r="W4" s="31" t="s">
        <v>43</v>
      </c>
      <c r="X4" s="31" t="s">
        <v>42</v>
      </c>
      <c r="Y4" s="31" t="s">
        <v>41</v>
      </c>
      <c r="Z4" s="31" t="s">
        <v>40</v>
      </c>
      <c r="AA4" s="31" t="s">
        <v>39</v>
      </c>
      <c r="AB4" s="30" t="s">
        <v>38</v>
      </c>
      <c r="AC4" s="29" t="s">
        <v>38</v>
      </c>
    </row>
    <row r="5" spans="2:35">
      <c r="B5" s="14" t="s">
        <v>37</v>
      </c>
      <c r="C5" s="48">
        <v>4784924</v>
      </c>
      <c r="D5" s="48">
        <v>3189949</v>
      </c>
      <c r="E5" s="48">
        <v>3189949</v>
      </c>
      <c r="F5" s="48">
        <v>3189949</v>
      </c>
      <c r="G5" s="48">
        <v>3189949</v>
      </c>
      <c r="H5" s="48">
        <v>3189949</v>
      </c>
      <c r="I5" s="50">
        <v>4784924</v>
      </c>
      <c r="J5" s="48">
        <v>3189949</v>
      </c>
      <c r="K5" s="48">
        <v>4784924</v>
      </c>
      <c r="L5" s="48">
        <v>3189949</v>
      </c>
      <c r="M5" s="48">
        <v>3189949</v>
      </c>
      <c r="N5" s="50">
        <v>3189949</v>
      </c>
      <c r="O5" s="13">
        <f t="shared" ref="O5:O15" si="0">SUM(C5:N5)</f>
        <v>43064313</v>
      </c>
      <c r="P5" s="50">
        <v>3508923</v>
      </c>
      <c r="Q5" s="50">
        <v>5263385</v>
      </c>
      <c r="R5" s="50">
        <v>3508923</v>
      </c>
      <c r="S5" s="50">
        <v>3508923</v>
      </c>
      <c r="T5" s="50">
        <v>3508923</v>
      </c>
      <c r="U5" s="50">
        <v>3508923</v>
      </c>
      <c r="V5" s="50">
        <v>5263385</v>
      </c>
      <c r="W5" s="50">
        <v>3508923</v>
      </c>
      <c r="X5" s="50">
        <v>5263385</v>
      </c>
      <c r="Y5" s="50">
        <v>3508923</v>
      </c>
      <c r="Z5" s="50">
        <v>3508923</v>
      </c>
      <c r="AA5" s="50">
        <v>3508923</v>
      </c>
      <c r="AB5" s="12">
        <f t="shared" ref="AB5:AB15" si="1">SUM(P5:AA5)</f>
        <v>47370462</v>
      </c>
      <c r="AC5" s="50">
        <v>3508923</v>
      </c>
      <c r="AD5" s="17"/>
      <c r="AE5" s="17"/>
      <c r="AF5" s="17"/>
      <c r="AG5" s="17"/>
      <c r="AH5" s="17"/>
      <c r="AI5" s="17"/>
    </row>
    <row r="6" spans="2:35">
      <c r="B6" s="14" t="s">
        <v>65</v>
      </c>
      <c r="C6" s="48"/>
      <c r="D6" s="48"/>
      <c r="E6" s="48"/>
      <c r="F6" s="48"/>
      <c r="G6" s="48"/>
      <c r="H6" s="48"/>
      <c r="I6" s="50"/>
      <c r="J6" s="48"/>
      <c r="K6" s="48"/>
      <c r="L6" s="48"/>
      <c r="M6" s="48"/>
      <c r="N6" s="50"/>
      <c r="O6" s="13">
        <f t="shared" ref="O6:O7" si="2">SUM(C6:N6)</f>
        <v>0</v>
      </c>
      <c r="P6" s="1"/>
      <c r="Q6" s="1"/>
      <c r="R6" s="1"/>
      <c r="S6" s="50">
        <v>58482</v>
      </c>
      <c r="U6" s="1"/>
      <c r="V6" s="1"/>
      <c r="W6" s="1"/>
      <c r="X6" s="1"/>
      <c r="Y6" s="1"/>
      <c r="Z6" s="1"/>
      <c r="AA6" s="1"/>
      <c r="AB6" s="12">
        <f t="shared" si="1"/>
        <v>58482</v>
      </c>
      <c r="AC6" s="11">
        <f t="shared" ref="AC6:AC49" si="3">SUM(O6,AB6)</f>
        <v>58482</v>
      </c>
      <c r="AD6" s="17"/>
      <c r="AE6" s="17"/>
      <c r="AF6" s="17"/>
      <c r="AG6" s="17"/>
      <c r="AH6" s="17"/>
      <c r="AI6" s="17"/>
    </row>
    <row r="7" spans="2:35">
      <c r="B7" s="14" t="s">
        <v>66</v>
      </c>
      <c r="C7" s="48"/>
      <c r="D7" s="48"/>
      <c r="E7" s="48"/>
      <c r="F7" s="48"/>
      <c r="G7" s="48"/>
      <c r="H7" s="48"/>
      <c r="I7" s="50"/>
      <c r="J7" s="48"/>
      <c r="K7" s="48"/>
      <c r="L7" s="48"/>
      <c r="M7" s="48"/>
      <c r="N7" s="50"/>
      <c r="O7" s="13">
        <f t="shared" si="2"/>
        <v>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ref="AC7" si="5">SUM(O7,AB7)</f>
        <v>0</v>
      </c>
      <c r="AD7" s="17"/>
      <c r="AE7" s="17"/>
      <c r="AF7" s="17"/>
      <c r="AG7" s="17"/>
      <c r="AH7" s="17"/>
      <c r="AI7" s="17"/>
    </row>
    <row r="8" spans="2:35">
      <c r="B8" s="14" t="s">
        <v>36</v>
      </c>
      <c r="C8" s="48">
        <v>1063317</v>
      </c>
      <c r="D8" s="48">
        <v>1063317</v>
      </c>
      <c r="E8" s="48">
        <v>1063317</v>
      </c>
      <c r="F8" s="48">
        <v>1063317</v>
      </c>
      <c r="G8" s="48">
        <v>1063317</v>
      </c>
      <c r="H8" s="48">
        <v>1063317</v>
      </c>
      <c r="I8" s="50">
        <v>1063317</v>
      </c>
      <c r="J8" s="48">
        <v>1063317</v>
      </c>
      <c r="K8" s="48">
        <v>1063317</v>
      </c>
      <c r="L8" s="48">
        <v>1063317</v>
      </c>
      <c r="M8" s="48">
        <v>1063317</v>
      </c>
      <c r="N8" s="50">
        <v>1063317</v>
      </c>
      <c r="O8" s="13">
        <f t="shared" si="0"/>
        <v>12759804</v>
      </c>
      <c r="P8" s="50">
        <v>1169641</v>
      </c>
      <c r="Q8" s="50">
        <v>1169641</v>
      </c>
      <c r="R8" s="50">
        <v>1169641</v>
      </c>
      <c r="S8" s="50">
        <v>1169641</v>
      </c>
      <c r="T8" s="50">
        <v>1169641</v>
      </c>
      <c r="U8" s="50">
        <v>1169641</v>
      </c>
      <c r="V8" s="50">
        <v>1169641</v>
      </c>
      <c r="W8" s="50">
        <v>1169641</v>
      </c>
      <c r="X8" s="50">
        <v>1169641</v>
      </c>
      <c r="Y8" s="50">
        <v>1169641</v>
      </c>
      <c r="Z8" s="50">
        <v>1169641</v>
      </c>
      <c r="AA8" s="50">
        <v>1169641</v>
      </c>
      <c r="AB8" s="12">
        <f t="shared" si="1"/>
        <v>14035692</v>
      </c>
      <c r="AC8" s="50">
        <v>1169641</v>
      </c>
      <c r="AD8" s="17"/>
      <c r="AE8" s="17"/>
      <c r="AF8" s="17"/>
      <c r="AG8" s="17"/>
      <c r="AH8" s="17"/>
      <c r="AI8" s="17"/>
    </row>
    <row r="9" spans="2:35">
      <c r="B9" s="14" t="s">
        <v>35</v>
      </c>
      <c r="C9" s="48">
        <v>531659</v>
      </c>
      <c r="D9" s="48">
        <v>531659</v>
      </c>
      <c r="E9" s="48">
        <v>531659</v>
      </c>
      <c r="F9" s="48">
        <v>531659</v>
      </c>
      <c r="G9" s="48">
        <v>531659</v>
      </c>
      <c r="H9" s="48">
        <v>531659</v>
      </c>
      <c r="I9" s="50">
        <v>531659</v>
      </c>
      <c r="J9" s="48">
        <v>531659</v>
      </c>
      <c r="K9" s="48">
        <v>531659</v>
      </c>
      <c r="L9" s="48">
        <v>531659</v>
      </c>
      <c r="M9" s="48">
        <v>531659</v>
      </c>
      <c r="N9" s="50">
        <v>531659</v>
      </c>
      <c r="O9" s="13">
        <f t="shared" si="0"/>
        <v>6379908</v>
      </c>
      <c r="P9" s="50">
        <v>584821</v>
      </c>
      <c r="Q9" s="50">
        <v>584821</v>
      </c>
      <c r="R9" s="50">
        <v>584821</v>
      </c>
      <c r="S9" s="50">
        <v>584821</v>
      </c>
      <c r="T9" s="50">
        <v>584821</v>
      </c>
      <c r="U9" s="50">
        <v>584821</v>
      </c>
      <c r="V9" s="50">
        <v>584821</v>
      </c>
      <c r="W9" s="50">
        <v>584821</v>
      </c>
      <c r="X9" s="50">
        <v>584821</v>
      </c>
      <c r="Y9" s="50">
        <v>584821</v>
      </c>
      <c r="Z9" s="50">
        <v>584821</v>
      </c>
      <c r="AA9" s="50">
        <v>584821</v>
      </c>
      <c r="AB9" s="12">
        <f t="shared" si="1"/>
        <v>7017852</v>
      </c>
      <c r="AC9" s="50">
        <v>584821</v>
      </c>
    </row>
    <row r="10" spans="2:35">
      <c r="B10" s="14" t="s">
        <v>70</v>
      </c>
      <c r="C10" s="1"/>
      <c r="D10" s="1"/>
      <c r="E10" s="1"/>
      <c r="F10" s="1"/>
      <c r="G10" s="48">
        <v>30000</v>
      </c>
      <c r="H10" s="1"/>
      <c r="I10" s="1"/>
      <c r="J10" s="1"/>
      <c r="K10" s="1"/>
      <c r="L10" s="1"/>
      <c r="M10" s="1"/>
      <c r="N10" s="1"/>
      <c r="O10" s="13">
        <f t="shared" si="0"/>
        <v>30000</v>
      </c>
      <c r="P10" s="1"/>
      <c r="Q10" s="1"/>
      <c r="R10" s="1"/>
      <c r="S10" s="50">
        <v>58482</v>
      </c>
      <c r="U10" s="1"/>
      <c r="V10" s="1"/>
      <c r="W10" s="1"/>
      <c r="X10" s="1"/>
      <c r="Y10" s="1"/>
      <c r="Z10" s="1"/>
      <c r="AA10" s="1"/>
      <c r="AB10" s="12">
        <f t="shared" si="1"/>
        <v>58482</v>
      </c>
      <c r="AC10" s="11">
        <f t="shared" si="3"/>
        <v>88482</v>
      </c>
      <c r="AD10" s="17"/>
      <c r="AE10" s="17"/>
      <c r="AF10" s="17"/>
      <c r="AG10" s="17"/>
      <c r="AH10" s="17"/>
      <c r="AI10" s="17"/>
    </row>
    <row r="11" spans="2:35">
      <c r="B11" s="14" t="s">
        <v>60</v>
      </c>
      <c r="C11" s="1"/>
      <c r="D11" s="1"/>
      <c r="E11" s="1"/>
      <c r="F11" s="1"/>
      <c r="H11" s="1"/>
      <c r="I11" s="50">
        <v>8000</v>
      </c>
      <c r="J11" s="48">
        <v>27000</v>
      </c>
      <c r="K11" s="1"/>
      <c r="L11" s="1"/>
      <c r="M11" s="1"/>
      <c r="N11" s="1"/>
      <c r="O11" s="13">
        <f t="shared" si="0"/>
        <v>35000</v>
      </c>
      <c r="P11" s="1"/>
      <c r="Q11" s="50">
        <v>12000</v>
      </c>
      <c r="R11" s="1"/>
      <c r="S11" s="1"/>
      <c r="U11" s="50">
        <v>14000</v>
      </c>
      <c r="V11" s="50">
        <v>2000</v>
      </c>
      <c r="W11" s="1"/>
      <c r="X11" s="1"/>
      <c r="Y11" s="1"/>
      <c r="Z11" s="50">
        <v>2000</v>
      </c>
      <c r="AA11" s="50">
        <v>8000</v>
      </c>
      <c r="AB11" s="12">
        <f t="shared" si="1"/>
        <v>38000</v>
      </c>
      <c r="AC11" s="11">
        <f t="shared" si="3"/>
        <v>73000</v>
      </c>
    </row>
    <row r="12" spans="2:35">
      <c r="B12" s="14" t="s">
        <v>59</v>
      </c>
      <c r="C12" s="1"/>
      <c r="D12" s="1"/>
      <c r="E12" s="1"/>
      <c r="F12" s="48">
        <v>6926039</v>
      </c>
      <c r="H12" s="1"/>
      <c r="I12" s="1"/>
      <c r="J12" s="1"/>
      <c r="K12" s="1"/>
      <c r="L12" s="1"/>
      <c r="M12" s="1"/>
      <c r="N12" s="1"/>
      <c r="O12" s="13">
        <f t="shared" si="0"/>
        <v>6926039</v>
      </c>
      <c r="P12" s="1"/>
      <c r="Q12" s="1"/>
      <c r="R12" s="1"/>
      <c r="S12" s="50">
        <v>8290456</v>
      </c>
      <c r="U12" s="1"/>
      <c r="V12" s="1"/>
      <c r="W12" s="1"/>
      <c r="X12" s="1"/>
      <c r="Y12" s="1"/>
      <c r="Z12" s="1"/>
      <c r="AA12" s="1"/>
      <c r="AB12" s="12">
        <f t="shared" si="1"/>
        <v>8290456</v>
      </c>
      <c r="AC12" s="11">
        <f t="shared" si="3"/>
        <v>15216495</v>
      </c>
    </row>
    <row r="13" spans="2:35">
      <c r="B13" s="14" t="s">
        <v>34</v>
      </c>
      <c r="C13" s="48">
        <v>1324173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1324173</v>
      </c>
      <c r="P13" s="50">
        <v>828072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828072</v>
      </c>
      <c r="AC13" s="50">
        <v>828072</v>
      </c>
    </row>
    <row r="14" spans="2:35">
      <c r="B14" s="14" t="s">
        <v>33</v>
      </c>
      <c r="C14" s="48">
        <v>200000</v>
      </c>
      <c r="D14" s="27"/>
      <c r="E14" s="1"/>
      <c r="F14" s="1"/>
      <c r="H14" s="1"/>
      <c r="I14" s="50">
        <v>500000</v>
      </c>
      <c r="J14" s="1"/>
      <c r="K14" s="48">
        <v>200000</v>
      </c>
      <c r="M14" s="1"/>
      <c r="N14" s="1"/>
      <c r="O14" s="13">
        <f t="shared" si="0"/>
        <v>900000</v>
      </c>
      <c r="P14" s="1"/>
      <c r="Q14" s="50">
        <v>200000</v>
      </c>
      <c r="R14" s="1"/>
      <c r="S14" s="1"/>
      <c r="U14" s="1"/>
      <c r="V14" s="50">
        <v>500000</v>
      </c>
      <c r="W14" s="1"/>
      <c r="X14" s="50">
        <v>200000</v>
      </c>
      <c r="Y14" s="1"/>
      <c r="Z14" s="1"/>
      <c r="AA14" s="1"/>
      <c r="AB14" s="12">
        <f t="shared" si="1"/>
        <v>900000</v>
      </c>
      <c r="AC14" s="11">
        <f t="shared" si="3"/>
        <v>1800000</v>
      </c>
    </row>
    <row r="15" spans="2:35">
      <c r="B15" s="14" t="s">
        <v>32</v>
      </c>
      <c r="C15" s="1"/>
      <c r="D15" s="27"/>
      <c r="E15" s="1"/>
      <c r="F15" s="1"/>
      <c r="H15" s="1"/>
      <c r="I15" s="1"/>
      <c r="J15" s="1"/>
      <c r="K15" s="1"/>
      <c r="L15" s="1"/>
      <c r="M15" s="1"/>
      <c r="N15" s="1"/>
      <c r="O15" s="13">
        <f t="shared" si="0"/>
        <v>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 t="shared" si="1"/>
        <v>0</v>
      </c>
      <c r="AC15" s="11">
        <f t="shared" si="3"/>
        <v>0</v>
      </c>
    </row>
    <row r="16" spans="2:35">
      <c r="B16" s="6" t="s">
        <v>31</v>
      </c>
      <c r="C16" s="9">
        <f t="shared" ref="C16:N16" si="6">SUM(C5:C15)</f>
        <v>7904073</v>
      </c>
      <c r="D16" s="9">
        <f t="shared" si="6"/>
        <v>4784925</v>
      </c>
      <c r="E16" s="9">
        <f t="shared" si="6"/>
        <v>4784925</v>
      </c>
      <c r="F16" s="9">
        <f t="shared" si="6"/>
        <v>11710964</v>
      </c>
      <c r="G16" s="9">
        <f t="shared" si="6"/>
        <v>4814925</v>
      </c>
      <c r="H16" s="9">
        <f t="shared" si="6"/>
        <v>4784925</v>
      </c>
      <c r="I16" s="9">
        <f t="shared" si="6"/>
        <v>6887900</v>
      </c>
      <c r="J16" s="9">
        <f t="shared" si="6"/>
        <v>4811925</v>
      </c>
      <c r="K16" s="9">
        <f t="shared" si="6"/>
        <v>6579900</v>
      </c>
      <c r="L16" s="9">
        <f t="shared" si="6"/>
        <v>4784925</v>
      </c>
      <c r="M16" s="9">
        <f t="shared" si="6"/>
        <v>4784925</v>
      </c>
      <c r="N16" s="9">
        <f t="shared" si="6"/>
        <v>4784925</v>
      </c>
      <c r="O16" s="10">
        <f t="shared" ref="O16:AB16" si="7">SUM(O5:O15)</f>
        <v>71419237</v>
      </c>
      <c r="P16" s="9">
        <f t="shared" ref="P16:AA16" si="8">SUM(P5:P15)</f>
        <v>6091457</v>
      </c>
      <c r="Q16" s="9">
        <f t="shared" si="8"/>
        <v>7229847</v>
      </c>
      <c r="R16" s="9">
        <f t="shared" si="8"/>
        <v>5263385</v>
      </c>
      <c r="S16" s="9">
        <f t="shared" si="8"/>
        <v>13670805</v>
      </c>
      <c r="T16" s="9">
        <f t="shared" si="8"/>
        <v>5263385</v>
      </c>
      <c r="U16" s="9">
        <f t="shared" si="8"/>
        <v>5277385</v>
      </c>
      <c r="V16" s="9">
        <f t="shared" si="8"/>
        <v>7519847</v>
      </c>
      <c r="W16" s="9">
        <f t="shared" si="8"/>
        <v>5263385</v>
      </c>
      <c r="X16" s="9">
        <f t="shared" si="8"/>
        <v>7217847</v>
      </c>
      <c r="Y16" s="9">
        <f t="shared" si="8"/>
        <v>5263385</v>
      </c>
      <c r="Z16" s="9">
        <f t="shared" si="8"/>
        <v>5265385</v>
      </c>
      <c r="AA16" s="9">
        <f t="shared" si="8"/>
        <v>5271385</v>
      </c>
      <c r="AB16" s="8">
        <f t="shared" si="7"/>
        <v>78597498</v>
      </c>
      <c r="AC16" s="7">
        <f t="shared" si="3"/>
        <v>150016735</v>
      </c>
      <c r="AD16" s="28"/>
    </row>
    <row r="17" spans="2:30">
      <c r="B17" s="14" t="s">
        <v>30</v>
      </c>
      <c r="C17" s="48">
        <v>364970</v>
      </c>
      <c r="D17" s="48">
        <v>319610</v>
      </c>
      <c r="E17" s="48">
        <v>383530</v>
      </c>
      <c r="F17" s="48">
        <v>990860</v>
      </c>
      <c r="G17" s="48">
        <v>368900</v>
      </c>
      <c r="H17" s="48">
        <v>365530</v>
      </c>
      <c r="I17" s="50">
        <v>409520</v>
      </c>
      <c r="J17" s="48">
        <v>368900</v>
      </c>
      <c r="K17" s="48">
        <v>395350</v>
      </c>
      <c r="L17" s="48">
        <v>365530</v>
      </c>
      <c r="M17" s="48">
        <v>365530</v>
      </c>
      <c r="N17" s="50">
        <v>365530</v>
      </c>
      <c r="O17" s="13">
        <f t="shared" ref="O17:O47" si="9">SUM(C17:N17)</f>
        <v>5063760</v>
      </c>
      <c r="P17" s="50">
        <v>351510</v>
      </c>
      <c r="Q17" s="50">
        <v>482040</v>
      </c>
      <c r="R17" s="50">
        <v>446310</v>
      </c>
      <c r="S17" s="50">
        <v>1385710</v>
      </c>
      <c r="T17" s="50">
        <v>446310</v>
      </c>
      <c r="U17" s="50">
        <v>446310</v>
      </c>
      <c r="V17" s="50">
        <v>467350</v>
      </c>
      <c r="W17" s="50">
        <v>423070</v>
      </c>
      <c r="X17" s="50">
        <v>444850</v>
      </c>
      <c r="Y17" s="50">
        <v>409120</v>
      </c>
      <c r="Z17" s="50">
        <v>426910</v>
      </c>
      <c r="AA17" s="50">
        <v>424210</v>
      </c>
      <c r="AB17" s="12">
        <f t="shared" ref="AB17:AB47" si="10">SUM(P17:AA17)</f>
        <v>6153700</v>
      </c>
      <c r="AC17" s="50">
        <v>351510</v>
      </c>
    </row>
    <row r="18" spans="2:30">
      <c r="B18" s="14" t="s">
        <v>29</v>
      </c>
      <c r="C18" s="48">
        <v>36490</v>
      </c>
      <c r="D18" s="48">
        <v>31960</v>
      </c>
      <c r="E18" s="48">
        <v>38350</v>
      </c>
      <c r="F18" s="48">
        <v>99080</v>
      </c>
      <c r="G18" s="48">
        <v>36890</v>
      </c>
      <c r="H18" s="48">
        <v>36550</v>
      </c>
      <c r="I18" s="50">
        <v>40940</v>
      </c>
      <c r="J18" s="48">
        <v>36890</v>
      </c>
      <c r="K18" s="48">
        <v>39530</v>
      </c>
      <c r="L18" s="48">
        <v>36550</v>
      </c>
      <c r="M18" s="48">
        <v>36550</v>
      </c>
      <c r="N18" s="50">
        <v>36550</v>
      </c>
      <c r="O18" s="13">
        <f t="shared" si="9"/>
        <v>506330</v>
      </c>
      <c r="P18" s="50">
        <v>35150</v>
      </c>
      <c r="Q18" s="50">
        <v>48200</v>
      </c>
      <c r="R18" s="50">
        <v>44630</v>
      </c>
      <c r="S18" s="50">
        <v>138570</v>
      </c>
      <c r="T18" s="50">
        <v>44630</v>
      </c>
      <c r="U18" s="50">
        <v>44630</v>
      </c>
      <c r="V18" s="50">
        <v>46730</v>
      </c>
      <c r="W18" s="50">
        <v>42300</v>
      </c>
      <c r="X18" s="50">
        <v>44480</v>
      </c>
      <c r="Y18" s="50">
        <v>40910</v>
      </c>
      <c r="Z18" s="50">
        <v>42690</v>
      </c>
      <c r="AA18" s="50">
        <v>42420</v>
      </c>
      <c r="AB18" s="12">
        <f t="shared" si="10"/>
        <v>615340</v>
      </c>
      <c r="AC18" s="50">
        <v>35150</v>
      </c>
    </row>
    <row r="19" spans="2:30">
      <c r="B19" s="14" t="s">
        <v>28</v>
      </c>
      <c r="C19" s="48">
        <v>202770</v>
      </c>
      <c r="D19" s="48">
        <v>202770</v>
      </c>
      <c r="E19" s="48">
        <v>202770</v>
      </c>
      <c r="F19" s="48">
        <v>202770</v>
      </c>
      <c r="G19" s="48">
        <v>202770</v>
      </c>
      <c r="H19" s="48">
        <v>202770</v>
      </c>
      <c r="I19" s="50">
        <v>234720</v>
      </c>
      <c r="J19" s="48">
        <v>234720</v>
      </c>
      <c r="K19" s="48">
        <v>234720</v>
      </c>
      <c r="L19" s="48">
        <v>234720</v>
      </c>
      <c r="M19" s="48">
        <v>234720</v>
      </c>
      <c r="N19" s="50">
        <v>234720</v>
      </c>
      <c r="O19" s="13">
        <f t="shared" si="9"/>
        <v>2624940</v>
      </c>
      <c r="P19" s="50">
        <v>234720</v>
      </c>
      <c r="Q19" s="50">
        <v>234720</v>
      </c>
      <c r="R19" s="50">
        <v>234720</v>
      </c>
      <c r="S19" s="50">
        <v>234720</v>
      </c>
      <c r="T19" s="50">
        <v>234720</v>
      </c>
      <c r="U19" s="50">
        <v>234720</v>
      </c>
      <c r="V19" s="50">
        <v>264460</v>
      </c>
      <c r="W19" s="50">
        <v>264460</v>
      </c>
      <c r="X19" s="50">
        <v>264460</v>
      </c>
      <c r="Y19" s="50">
        <v>264460</v>
      </c>
      <c r="Z19" s="50">
        <v>264460</v>
      </c>
      <c r="AA19" s="50">
        <v>264460</v>
      </c>
      <c r="AB19" s="12">
        <f t="shared" si="10"/>
        <v>2995080</v>
      </c>
      <c r="AC19" s="50">
        <v>234720</v>
      </c>
    </row>
    <row r="20" spans="2:30">
      <c r="B20" s="14" t="s">
        <v>27</v>
      </c>
      <c r="C20" s="48">
        <v>161950</v>
      </c>
      <c r="D20" s="48">
        <v>161950</v>
      </c>
      <c r="E20" s="48">
        <v>161950</v>
      </c>
      <c r="F20" s="48">
        <v>187470</v>
      </c>
      <c r="G20" s="48">
        <v>187470</v>
      </c>
      <c r="H20" s="48">
        <v>187470</v>
      </c>
      <c r="I20" s="50">
        <v>187470</v>
      </c>
      <c r="J20" s="48">
        <v>187470</v>
      </c>
      <c r="K20" s="48">
        <v>187470</v>
      </c>
      <c r="L20" s="48">
        <v>187470</v>
      </c>
      <c r="M20" s="48">
        <v>187470</v>
      </c>
      <c r="N20" s="50">
        <v>187470</v>
      </c>
      <c r="O20" s="13">
        <f t="shared" si="9"/>
        <v>2173080</v>
      </c>
      <c r="P20" s="50">
        <v>187470</v>
      </c>
      <c r="Q20" s="50">
        <v>187470</v>
      </c>
      <c r="R20" s="50">
        <v>187470</v>
      </c>
      <c r="S20" s="50">
        <v>211260</v>
      </c>
      <c r="T20" s="50">
        <v>211260</v>
      </c>
      <c r="U20" s="50">
        <v>211260</v>
      </c>
      <c r="V20" s="50">
        <v>211260</v>
      </c>
      <c r="W20" s="50">
        <v>211260</v>
      </c>
      <c r="X20" s="50">
        <v>211260</v>
      </c>
      <c r="Y20" s="50">
        <v>211260</v>
      </c>
      <c r="Z20" s="50">
        <v>211260</v>
      </c>
      <c r="AA20" s="50">
        <v>211260</v>
      </c>
      <c r="AB20" s="12">
        <f t="shared" si="10"/>
        <v>2463750</v>
      </c>
      <c r="AC20" s="50">
        <v>187470</v>
      </c>
    </row>
    <row r="21" spans="2:30">
      <c r="B21" s="14" t="s">
        <v>26</v>
      </c>
      <c r="C21" s="48">
        <v>71970</v>
      </c>
      <c r="D21" s="48">
        <v>43060</v>
      </c>
      <c r="E21" s="48">
        <v>43060</v>
      </c>
      <c r="F21" s="48">
        <v>105390</v>
      </c>
      <c r="G21" s="48">
        <v>43330</v>
      </c>
      <c r="H21" s="48">
        <v>43060</v>
      </c>
      <c r="I21" s="50">
        <v>61980</v>
      </c>
      <c r="J21" s="48">
        <v>43300</v>
      </c>
      <c r="K21" s="48">
        <v>59210</v>
      </c>
      <c r="L21" s="48">
        <v>43060</v>
      </c>
      <c r="M21" s="48">
        <v>43060</v>
      </c>
      <c r="N21" s="50">
        <v>43060</v>
      </c>
      <c r="O21" s="13">
        <f t="shared" si="9"/>
        <v>643540</v>
      </c>
      <c r="P21" s="50">
        <v>54820</v>
      </c>
      <c r="Q21" s="50">
        <v>65060</v>
      </c>
      <c r="R21" s="50">
        <v>47370</v>
      </c>
      <c r="S21" s="50">
        <v>122510</v>
      </c>
      <c r="T21" s="50">
        <v>47370</v>
      </c>
      <c r="U21" s="50">
        <v>47490</v>
      </c>
      <c r="V21" s="50">
        <v>67670</v>
      </c>
      <c r="W21" s="50">
        <v>47370</v>
      </c>
      <c r="X21" s="50">
        <v>64960</v>
      </c>
      <c r="Y21" s="50">
        <v>47370</v>
      </c>
      <c r="Z21" s="50">
        <v>47610</v>
      </c>
      <c r="AA21" s="50">
        <v>47440</v>
      </c>
      <c r="AB21" s="12">
        <f t="shared" si="10"/>
        <v>707040</v>
      </c>
      <c r="AC21" s="50">
        <v>54820</v>
      </c>
    </row>
    <row r="22" spans="2:30">
      <c r="B22" s="14" t="s">
        <v>25</v>
      </c>
      <c r="C22" s="48">
        <v>20740</v>
      </c>
      <c r="D22" s="48">
        <v>20740</v>
      </c>
      <c r="E22" s="48">
        <v>20740</v>
      </c>
      <c r="F22" s="48">
        <v>24010</v>
      </c>
      <c r="G22" s="48">
        <v>24010</v>
      </c>
      <c r="H22" s="48">
        <v>24010</v>
      </c>
      <c r="I22" s="50">
        <v>24010</v>
      </c>
      <c r="J22" s="48">
        <v>24010</v>
      </c>
      <c r="K22" s="48">
        <v>24010</v>
      </c>
      <c r="L22" s="48">
        <v>24010</v>
      </c>
      <c r="M22" s="48">
        <v>24010</v>
      </c>
      <c r="N22" s="50">
        <v>24010</v>
      </c>
      <c r="O22" s="13">
        <f t="shared" si="9"/>
        <v>278310</v>
      </c>
      <c r="P22" s="50">
        <v>24270</v>
      </c>
      <c r="Q22" s="50">
        <v>24270</v>
      </c>
      <c r="R22" s="50">
        <v>24270</v>
      </c>
      <c r="S22" s="50">
        <v>27350</v>
      </c>
      <c r="T22" s="50">
        <v>27350</v>
      </c>
      <c r="U22" s="50">
        <v>27350</v>
      </c>
      <c r="V22" s="50">
        <v>27350</v>
      </c>
      <c r="W22" s="50">
        <v>27350</v>
      </c>
      <c r="X22" s="50">
        <v>27350</v>
      </c>
      <c r="Y22" s="50">
        <v>27350</v>
      </c>
      <c r="Z22" s="50">
        <v>27350</v>
      </c>
      <c r="AA22" s="50">
        <v>27350</v>
      </c>
      <c r="AB22" s="12">
        <f t="shared" si="10"/>
        <v>318960</v>
      </c>
      <c r="AC22" s="50">
        <v>24270</v>
      </c>
    </row>
    <row r="23" spans="2:30">
      <c r="B23" s="14" t="s">
        <v>24</v>
      </c>
      <c r="C23" s="48">
        <v>6500</v>
      </c>
      <c r="D23" s="48">
        <v>6500</v>
      </c>
      <c r="E23" s="48">
        <v>6500</v>
      </c>
      <c r="F23" s="48">
        <v>6500</v>
      </c>
      <c r="G23" s="48">
        <v>6500</v>
      </c>
      <c r="H23" s="48">
        <v>6500</v>
      </c>
      <c r="I23" s="50">
        <v>6500</v>
      </c>
      <c r="J23" s="48">
        <v>6500</v>
      </c>
      <c r="K23" s="48">
        <v>6500</v>
      </c>
      <c r="L23" s="48">
        <v>6500</v>
      </c>
      <c r="M23" s="48">
        <v>6500</v>
      </c>
      <c r="N23" s="50">
        <v>6500</v>
      </c>
      <c r="O23" s="13">
        <f t="shared" si="9"/>
        <v>78000</v>
      </c>
      <c r="P23" s="50">
        <v>6500</v>
      </c>
      <c r="Q23" s="50">
        <v>6500</v>
      </c>
      <c r="R23" s="50">
        <v>6500</v>
      </c>
      <c r="S23" s="50">
        <v>6500</v>
      </c>
      <c r="T23" s="50">
        <v>6500</v>
      </c>
      <c r="U23" s="50">
        <v>6500</v>
      </c>
      <c r="V23" s="50">
        <v>6500</v>
      </c>
      <c r="W23" s="50">
        <v>6500</v>
      </c>
      <c r="X23" s="50">
        <v>6500</v>
      </c>
      <c r="Y23" s="50">
        <v>6500</v>
      </c>
      <c r="Z23" s="50">
        <v>6500</v>
      </c>
      <c r="AA23" s="50">
        <v>6500</v>
      </c>
      <c r="AB23" s="12">
        <f t="shared" si="10"/>
        <v>78000</v>
      </c>
      <c r="AC23" s="50">
        <v>6500</v>
      </c>
    </row>
    <row r="24" spans="2:30">
      <c r="B24" s="14" t="s">
        <v>57</v>
      </c>
      <c r="C24" s="1"/>
      <c r="D24" s="48">
        <v>48060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48060</v>
      </c>
      <c r="P24" s="1"/>
      <c r="Q24" s="50">
        <v>228900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228900</v>
      </c>
      <c r="AC24" s="11">
        <f t="shared" si="3"/>
        <v>276960</v>
      </c>
    </row>
    <row r="25" spans="2:30">
      <c r="B25" s="14" t="s">
        <v>58</v>
      </c>
      <c r="C25" s="1"/>
      <c r="D25" s="48">
        <v>4870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4870</v>
      </c>
      <c r="P25" s="1"/>
      <c r="Q25" s="50">
        <v>22930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22930</v>
      </c>
      <c r="AC25" s="11">
        <f t="shared" si="3"/>
        <v>27800</v>
      </c>
    </row>
    <row r="26" spans="2:30">
      <c r="B26" s="14" t="s">
        <v>23</v>
      </c>
      <c r="C26" s="48">
        <v>185185</v>
      </c>
      <c r="D26" s="48">
        <v>185185</v>
      </c>
      <c r="E26" s="48">
        <v>185185</v>
      </c>
      <c r="F26" s="48">
        <v>185185</v>
      </c>
      <c r="G26" s="48">
        <v>185185</v>
      </c>
      <c r="H26" s="48">
        <v>185185</v>
      </c>
      <c r="I26" s="50">
        <v>185185</v>
      </c>
      <c r="J26" s="48">
        <v>185185</v>
      </c>
      <c r="K26" s="48">
        <v>185185</v>
      </c>
      <c r="L26" s="48">
        <v>185185</v>
      </c>
      <c r="M26" s="48">
        <v>185185</v>
      </c>
      <c r="N26" s="50">
        <v>185185</v>
      </c>
      <c r="O26" s="13">
        <f t="shared" si="9"/>
        <v>2222220</v>
      </c>
      <c r="P26" s="50">
        <v>185185</v>
      </c>
      <c r="Q26" s="50">
        <v>185185</v>
      </c>
      <c r="R26" s="50">
        <v>185185</v>
      </c>
      <c r="S26" s="50">
        <v>185185</v>
      </c>
      <c r="T26" s="50">
        <v>185185</v>
      </c>
      <c r="U26" s="50">
        <v>185185</v>
      </c>
      <c r="V26" s="50">
        <v>185185</v>
      </c>
      <c r="W26" s="50">
        <v>185185</v>
      </c>
      <c r="X26" s="50">
        <v>185185</v>
      </c>
      <c r="Y26" s="50">
        <v>185185</v>
      </c>
      <c r="Z26" s="50">
        <v>185185</v>
      </c>
      <c r="AA26" s="50">
        <v>185185</v>
      </c>
      <c r="AB26" s="12">
        <f t="shared" si="10"/>
        <v>2222220</v>
      </c>
      <c r="AC26" s="50">
        <v>185185</v>
      </c>
    </row>
    <row r="27" spans="2:30">
      <c r="B27" s="14" t="s">
        <v>22</v>
      </c>
      <c r="C27" s="48">
        <v>11481</v>
      </c>
      <c r="D27" s="48">
        <v>11324</v>
      </c>
      <c r="E27" s="48">
        <v>10086</v>
      </c>
      <c r="F27" s="48">
        <v>11009</v>
      </c>
      <c r="G27" s="48">
        <v>10502</v>
      </c>
      <c r="H27" s="48">
        <v>10695</v>
      </c>
      <c r="I27" s="50">
        <v>10197</v>
      </c>
      <c r="J27" s="48">
        <v>10380</v>
      </c>
      <c r="K27" s="48">
        <v>10223</v>
      </c>
      <c r="L27" s="48">
        <v>9741</v>
      </c>
      <c r="M27" s="48">
        <v>9908</v>
      </c>
      <c r="N27" s="50">
        <v>9436</v>
      </c>
      <c r="O27" s="13">
        <f t="shared" si="9"/>
        <v>124982</v>
      </c>
      <c r="P27" s="50">
        <v>9594</v>
      </c>
      <c r="Q27" s="50">
        <v>9436</v>
      </c>
      <c r="R27" s="50">
        <v>8680</v>
      </c>
      <c r="S27" s="50">
        <v>9122</v>
      </c>
      <c r="T27" s="50">
        <v>8675</v>
      </c>
      <c r="U27" s="50">
        <v>8807</v>
      </c>
      <c r="V27" s="50">
        <v>8371</v>
      </c>
      <c r="W27" s="50">
        <v>8493</v>
      </c>
      <c r="X27" s="50">
        <v>8335</v>
      </c>
      <c r="Y27" s="50">
        <v>7914</v>
      </c>
      <c r="Z27" s="50">
        <v>8021</v>
      </c>
      <c r="AA27" s="50">
        <v>7610</v>
      </c>
      <c r="AB27" s="12">
        <f t="shared" si="10"/>
        <v>103058</v>
      </c>
      <c r="AC27" s="50">
        <v>9594</v>
      </c>
      <c r="AD27" s="26"/>
    </row>
    <row r="28" spans="2:30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27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3"/>
        <v>0</v>
      </c>
      <c r="AD28" s="26"/>
    </row>
    <row r="29" spans="2:30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50">
        <v>30000</v>
      </c>
      <c r="O29" s="13">
        <f t="shared" si="9"/>
        <v>30000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50">
        <v>50000</v>
      </c>
      <c r="AB29" s="12">
        <f t="shared" si="10"/>
        <v>50000</v>
      </c>
      <c r="AC29" s="11">
        <f t="shared" si="3"/>
        <v>80000</v>
      </c>
    </row>
    <row r="30" spans="2:30">
      <c r="B30" s="14" t="s">
        <v>19</v>
      </c>
      <c r="C30" s="1"/>
      <c r="D30" s="1"/>
      <c r="E30" s="1"/>
      <c r="F30" s="48">
        <v>349320</v>
      </c>
      <c r="H30" s="1"/>
      <c r="K30" s="1"/>
      <c r="L30" s="1"/>
      <c r="M30" s="1"/>
      <c r="N30" s="1"/>
      <c r="O30" s="13">
        <f t="shared" si="9"/>
        <v>349320</v>
      </c>
      <c r="P30" s="1"/>
      <c r="Q30" s="1"/>
      <c r="R30" s="1"/>
      <c r="S30" s="50">
        <v>408450</v>
      </c>
      <c r="U30" s="1"/>
      <c r="V30" s="1"/>
      <c r="W30" s="1"/>
      <c r="X30" s="1"/>
      <c r="Y30" s="1"/>
      <c r="Z30" s="1"/>
      <c r="AA30" s="1"/>
      <c r="AB30" s="12">
        <f t="shared" si="10"/>
        <v>408450</v>
      </c>
      <c r="AC30" s="11">
        <f t="shared" si="3"/>
        <v>757770</v>
      </c>
    </row>
    <row r="31" spans="2:30">
      <c r="B31" s="6" t="s">
        <v>18</v>
      </c>
      <c r="C31" s="9">
        <f>SUM(C17:C30)</f>
        <v>1062056</v>
      </c>
      <c r="D31" s="9">
        <f>SUM(D17:D30)</f>
        <v>1036029</v>
      </c>
      <c r="E31" s="9">
        <f>SUM(E17:E30)</f>
        <v>1052171</v>
      </c>
      <c r="F31" s="9">
        <f>SUM(F17:F30)</f>
        <v>2161594</v>
      </c>
      <c r="G31" s="9">
        <f>SUM(G18:G30)</f>
        <v>696657</v>
      </c>
      <c r="H31" s="9">
        <f t="shared" ref="H31:N31" si="11">SUM(H17:H30)</f>
        <v>1061770</v>
      </c>
      <c r="I31" s="9">
        <f t="shared" si="11"/>
        <v>1160522</v>
      </c>
      <c r="J31" s="9">
        <f t="shared" si="11"/>
        <v>1097355</v>
      </c>
      <c r="K31" s="9">
        <f t="shared" si="11"/>
        <v>1142198</v>
      </c>
      <c r="L31" s="9">
        <f t="shared" si="11"/>
        <v>1092766</v>
      </c>
      <c r="M31" s="9">
        <f t="shared" si="11"/>
        <v>1092933</v>
      </c>
      <c r="N31" s="9">
        <f t="shared" si="11"/>
        <v>1122461</v>
      </c>
      <c r="O31" s="25">
        <f t="shared" si="9"/>
        <v>13778512</v>
      </c>
      <c r="P31" s="9">
        <f>SUM(P17:P30)</f>
        <v>1089219</v>
      </c>
      <c r="Q31" s="9">
        <f>SUM(Q17:Q30)</f>
        <v>1494711</v>
      </c>
      <c r="R31" s="9">
        <f>SUM(R17:R30)</f>
        <v>1185135</v>
      </c>
      <c r="S31" s="9">
        <f>SUM(S17:S30)</f>
        <v>2729377</v>
      </c>
      <c r="T31" s="9">
        <f>SUM(T17:T30)</f>
        <v>1212000</v>
      </c>
      <c r="U31" s="9">
        <f t="shared" ref="U31:AA31" si="12">SUM(U17:U30)</f>
        <v>1212252</v>
      </c>
      <c r="V31" s="9">
        <f t="shared" si="12"/>
        <v>1284876</v>
      </c>
      <c r="W31" s="9">
        <f t="shared" si="12"/>
        <v>1215988</v>
      </c>
      <c r="X31" s="9">
        <f t="shared" si="12"/>
        <v>1257380</v>
      </c>
      <c r="Y31" s="9">
        <f t="shared" si="12"/>
        <v>1200069</v>
      </c>
      <c r="Z31" s="9">
        <f t="shared" si="12"/>
        <v>1219986</v>
      </c>
      <c r="AA31" s="9">
        <f t="shared" si="12"/>
        <v>1266435</v>
      </c>
      <c r="AB31" s="24">
        <f t="shared" si="10"/>
        <v>16367428</v>
      </c>
      <c r="AC31" s="23">
        <f t="shared" si="3"/>
        <v>30145940</v>
      </c>
    </row>
    <row r="32" spans="2:30">
      <c r="B32" s="6" t="s">
        <v>17</v>
      </c>
      <c r="C32" s="21">
        <f t="shared" ref="C32:N32" si="13">C16-C31</f>
        <v>6842017</v>
      </c>
      <c r="D32" s="21">
        <f t="shared" si="13"/>
        <v>3748896</v>
      </c>
      <c r="E32" s="21">
        <f t="shared" si="13"/>
        <v>3732754</v>
      </c>
      <c r="F32" s="21">
        <f t="shared" si="13"/>
        <v>9549370</v>
      </c>
      <c r="G32" s="21">
        <f t="shared" si="13"/>
        <v>4118268</v>
      </c>
      <c r="H32" s="21">
        <f t="shared" si="13"/>
        <v>3723155</v>
      </c>
      <c r="I32" s="21">
        <f t="shared" si="13"/>
        <v>5727378</v>
      </c>
      <c r="J32" s="21">
        <f t="shared" si="13"/>
        <v>3714570</v>
      </c>
      <c r="K32" s="21">
        <f t="shared" si="13"/>
        <v>5437702</v>
      </c>
      <c r="L32" s="21">
        <f t="shared" si="13"/>
        <v>3692159</v>
      </c>
      <c r="M32" s="21">
        <f t="shared" si="13"/>
        <v>3691992</v>
      </c>
      <c r="N32" s="21">
        <f t="shared" si="13"/>
        <v>3662464</v>
      </c>
      <c r="O32" s="22">
        <f t="shared" si="9"/>
        <v>57640725</v>
      </c>
      <c r="P32" s="21">
        <f t="shared" ref="P32:AA32" si="14">P16-P31</f>
        <v>5002238</v>
      </c>
      <c r="Q32" s="21">
        <f t="shared" si="14"/>
        <v>5735136</v>
      </c>
      <c r="R32" s="21">
        <f t="shared" si="14"/>
        <v>4078250</v>
      </c>
      <c r="S32" s="21">
        <f t="shared" si="14"/>
        <v>10941428</v>
      </c>
      <c r="T32" s="21">
        <f t="shared" si="14"/>
        <v>4051385</v>
      </c>
      <c r="U32" s="21">
        <f t="shared" si="14"/>
        <v>4065133</v>
      </c>
      <c r="V32" s="21">
        <f t="shared" si="14"/>
        <v>6234971</v>
      </c>
      <c r="W32" s="21">
        <f t="shared" si="14"/>
        <v>4047397</v>
      </c>
      <c r="X32" s="21">
        <f t="shared" si="14"/>
        <v>5960467</v>
      </c>
      <c r="Y32" s="21">
        <f t="shared" si="14"/>
        <v>4063316</v>
      </c>
      <c r="Z32" s="21">
        <f t="shared" si="14"/>
        <v>4045399</v>
      </c>
      <c r="AA32" s="21">
        <f t="shared" si="14"/>
        <v>4004950</v>
      </c>
      <c r="AB32" s="20">
        <f t="shared" si="10"/>
        <v>62230070</v>
      </c>
      <c r="AC32" s="19">
        <f t="shared" si="3"/>
        <v>119870795</v>
      </c>
    </row>
    <row r="33" spans="2:30">
      <c r="B33" s="14" t="s">
        <v>16</v>
      </c>
      <c r="C33" s="18">
        <v>62204000</v>
      </c>
      <c r="D33" s="1"/>
      <c r="O33" s="13">
        <f t="shared" si="9"/>
        <v>62204000</v>
      </c>
      <c r="P33" s="18">
        <v>68424000</v>
      </c>
      <c r="Q33" s="1"/>
      <c r="AB33" s="12">
        <f t="shared" si="10"/>
        <v>68424000</v>
      </c>
      <c r="AC33" s="11">
        <f t="shared" si="3"/>
        <v>130628000</v>
      </c>
      <c r="AD33" s="17"/>
    </row>
    <row r="34" spans="2:30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>
      <c r="B49" s="6" t="s">
        <v>0</v>
      </c>
      <c r="C49" s="4">
        <f t="shared" ref="C49:N49" si="19">C32-C48</f>
        <v>6842017</v>
      </c>
      <c r="D49" s="4">
        <f t="shared" si="19"/>
        <v>3748896</v>
      </c>
      <c r="E49" s="4">
        <f t="shared" si="19"/>
        <v>3732754</v>
      </c>
      <c r="F49" s="4">
        <f t="shared" si="19"/>
        <v>9549370</v>
      </c>
      <c r="G49" s="4">
        <f t="shared" si="19"/>
        <v>4118268</v>
      </c>
      <c r="H49" s="4">
        <f t="shared" si="19"/>
        <v>3723155</v>
      </c>
      <c r="I49" s="4">
        <f t="shared" si="19"/>
        <v>5727378</v>
      </c>
      <c r="J49" s="4">
        <f t="shared" si="19"/>
        <v>3714570</v>
      </c>
      <c r="K49" s="4">
        <f t="shared" si="19"/>
        <v>5437702</v>
      </c>
      <c r="L49" s="4">
        <f t="shared" si="19"/>
        <v>3692159</v>
      </c>
      <c r="M49" s="4">
        <f t="shared" si="19"/>
        <v>3691992</v>
      </c>
      <c r="N49" s="4">
        <f t="shared" si="19"/>
        <v>3662464</v>
      </c>
      <c r="O49" s="5">
        <f t="shared" si="16"/>
        <v>57640725</v>
      </c>
      <c r="P49" s="4">
        <f t="shared" ref="P49:AA49" si="20">P32-P48</f>
        <v>5002238</v>
      </c>
      <c r="Q49" s="4">
        <f t="shared" si="20"/>
        <v>5735136</v>
      </c>
      <c r="R49" s="4">
        <f t="shared" si="20"/>
        <v>4078250</v>
      </c>
      <c r="S49" s="4">
        <f t="shared" si="20"/>
        <v>10941428</v>
      </c>
      <c r="T49" s="4">
        <f t="shared" si="20"/>
        <v>4051385</v>
      </c>
      <c r="U49" s="4">
        <f t="shared" si="20"/>
        <v>4065133</v>
      </c>
      <c r="V49" s="4">
        <f t="shared" si="20"/>
        <v>6234971</v>
      </c>
      <c r="W49" s="4">
        <f t="shared" si="20"/>
        <v>4047397</v>
      </c>
      <c r="X49" s="4">
        <f t="shared" si="20"/>
        <v>5960467</v>
      </c>
      <c r="Y49" s="4">
        <f t="shared" si="20"/>
        <v>4063316</v>
      </c>
      <c r="Z49" s="4">
        <f t="shared" si="20"/>
        <v>4045399</v>
      </c>
      <c r="AA49" s="4">
        <f t="shared" si="20"/>
        <v>4004950</v>
      </c>
      <c r="AB49" s="3">
        <f t="shared" si="18"/>
        <v>62230070</v>
      </c>
      <c r="AC49" s="2">
        <f t="shared" si="3"/>
        <v>119870795</v>
      </c>
    </row>
    <row r="50" spans="2:29">
      <c r="C50" s="1"/>
      <c r="P50" s="1"/>
    </row>
    <row r="51" spans="2:29">
      <c r="C51" s="1"/>
      <c r="P51" s="1"/>
    </row>
    <row r="52" spans="2:29">
      <c r="C52" s="1"/>
      <c r="P52" s="1"/>
    </row>
    <row r="53" spans="2:29">
      <c r="C53" s="1"/>
      <c r="P53" s="1"/>
    </row>
    <row r="54" spans="2:29">
      <c r="C54" s="1"/>
      <c r="P54" s="1"/>
    </row>
    <row r="55" spans="2:29">
      <c r="C55" s="1"/>
      <c r="P55" s="1"/>
    </row>
    <row r="56" spans="2:29">
      <c r="C56" s="1"/>
      <c r="P56" s="1"/>
    </row>
    <row r="57" spans="2:29">
      <c r="C57" s="1"/>
      <c r="P57" s="1"/>
    </row>
    <row r="58" spans="2:29">
      <c r="C58" s="1"/>
      <c r="P58" s="1"/>
    </row>
    <row r="59" spans="2:29">
      <c r="C59" s="1"/>
      <c r="P59" s="1"/>
    </row>
    <row r="60" spans="2:29">
      <c r="C60" s="1"/>
      <c r="P60" s="1"/>
    </row>
    <row r="61" spans="2:29">
      <c r="C61" s="1"/>
      <c r="P61" s="1"/>
    </row>
    <row r="62" spans="2:29">
      <c r="C62" s="1"/>
      <c r="P62" s="1"/>
    </row>
    <row r="63" spans="2:29">
      <c r="C63" s="1"/>
      <c r="P63" s="1"/>
    </row>
    <row r="64" spans="2:29">
      <c r="C64" s="1"/>
      <c r="P64" s="1"/>
    </row>
    <row r="65" spans="3:16">
      <c r="C65" s="1"/>
      <c r="P65" s="1"/>
    </row>
    <row r="66" spans="3:16">
      <c r="C66" s="1"/>
      <c r="P66" s="1"/>
    </row>
    <row r="67" spans="3:16">
      <c r="C67" s="1"/>
      <c r="P67" s="1"/>
    </row>
    <row r="68" spans="3:16">
      <c r="C68" s="1"/>
      <c r="P68" s="1"/>
    </row>
    <row r="69" spans="3:16">
      <c r="C69" s="1"/>
      <c r="P69" s="1"/>
    </row>
    <row r="70" spans="3:16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E20" sqref="E20"/>
    </sheetView>
  </sheetViews>
  <sheetFormatPr defaultRowHeight="16.5"/>
  <cols>
    <col min="1" max="1" width="11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8" max="18" width="9.25" bestFit="1" customWidth="1"/>
    <col min="19" max="19" width="15.375" customWidth="1"/>
  </cols>
  <sheetData>
    <row r="1" spans="10:21" ht="16.5" customHeight="1"/>
    <row r="2" spans="10:21" ht="54" customHeight="1">
      <c r="N2" s="43" t="s">
        <v>56</v>
      </c>
      <c r="O2" s="41"/>
      <c r="P2" s="41"/>
      <c r="Q2" s="41"/>
      <c r="R2" s="41"/>
      <c r="S2" s="41"/>
      <c r="T2" s="41"/>
      <c r="U2" s="40"/>
    </row>
    <row r="3" spans="10:21" ht="16.5" customHeight="1">
      <c r="J3" s="38" t="s">
        <v>54</v>
      </c>
      <c r="K3" s="39">
        <v>2024</v>
      </c>
      <c r="N3" s="41"/>
      <c r="O3" s="41"/>
      <c r="P3" s="41"/>
      <c r="Q3" s="41"/>
      <c r="R3" s="41"/>
      <c r="S3" s="41"/>
      <c r="T3" s="41"/>
      <c r="U3" s="40"/>
    </row>
    <row r="4" spans="10:21">
      <c r="J4" s="38" t="s">
        <v>55</v>
      </c>
      <c r="K4" s="39">
        <v>12</v>
      </c>
      <c r="N4" s="42"/>
      <c r="O4" s="42"/>
      <c r="P4" s="42"/>
      <c r="Q4" s="42"/>
      <c r="R4" s="42"/>
      <c r="S4" s="42"/>
      <c r="T4" s="42"/>
      <c r="U4" s="40"/>
    </row>
    <row r="6" spans="10:21" ht="16.5" customHeight="1"/>
    <row r="9" spans="10:21" ht="17.25" thickBot="1"/>
    <row r="10" spans="10:21" ht="17.25" customHeight="1" thickBot="1">
      <c r="J10" s="64" t="s">
        <v>68</v>
      </c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6"/>
    </row>
    <row r="11" spans="10:21" ht="16.5" customHeight="1" thickBot="1">
      <c r="J11" s="52" t="s">
        <v>62</v>
      </c>
      <c r="K11" s="57" t="s">
        <v>64</v>
      </c>
      <c r="L11" s="53"/>
      <c r="M11" s="53"/>
      <c r="N11" s="53"/>
      <c r="O11" s="53"/>
      <c r="P11" s="53"/>
      <c r="Q11" s="53"/>
      <c r="R11" s="53"/>
      <c r="S11" s="53"/>
      <c r="T11" s="53"/>
      <c r="U11" s="54"/>
    </row>
    <row r="12" spans="10:21" ht="16.5" customHeight="1">
      <c r="J12" s="51" t="s">
        <v>63</v>
      </c>
      <c r="K12" s="55" t="str">
        <f>SUBSTITUTE(K11,"file:///","")</f>
        <v>C:/Users/uidk3743/AppData/Local/Microsoft/Windows/INetCache/Content.Outlook/17RQU6BN/salary.htm</v>
      </c>
      <c r="L12" s="55"/>
      <c r="M12" s="55"/>
      <c r="N12" s="55"/>
      <c r="O12" s="55"/>
      <c r="P12" s="55"/>
      <c r="Q12" s="55"/>
      <c r="R12" s="55"/>
      <c r="S12" s="55"/>
      <c r="T12" s="55"/>
      <c r="U12" s="56"/>
    </row>
    <row r="13" spans="10:21" ht="16.5" customHeight="1">
      <c r="J13" s="58" t="s">
        <v>61</v>
      </c>
      <c r="K13" s="59" t="str">
        <f>SUBSTITUTE(K12,"/","\")</f>
        <v>C:\Users\uidk3743\AppData\Local\Microsoft\Windows\INetCache\Content.Outlook\17RQU6BN\salary.htm</v>
      </c>
      <c r="L13" s="59"/>
      <c r="M13" s="59"/>
      <c r="N13" s="59"/>
      <c r="O13" s="59"/>
      <c r="P13" s="59"/>
      <c r="Q13" s="59"/>
      <c r="R13" s="59"/>
      <c r="S13" s="59"/>
      <c r="T13" s="59"/>
      <c r="U13" s="60"/>
    </row>
    <row r="14" spans="10:21" ht="17.25" thickBot="1"/>
    <row r="15" spans="10:21" ht="16.5" customHeight="1" thickBot="1">
      <c r="J15" s="64" t="s">
        <v>69</v>
      </c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6"/>
    </row>
    <row r="16" spans="10:21" ht="17.25" thickBot="1">
      <c r="J16" s="52" t="s">
        <v>62</v>
      </c>
      <c r="K16" s="57" t="s">
        <v>64</v>
      </c>
      <c r="L16" s="53"/>
      <c r="M16" s="53"/>
      <c r="N16" s="53"/>
      <c r="O16" s="53"/>
      <c r="P16" s="53"/>
      <c r="Q16" s="53"/>
      <c r="R16" s="53"/>
      <c r="S16" s="53"/>
      <c r="T16" s="53"/>
      <c r="U16" s="54"/>
    </row>
    <row r="17" spans="10:21">
      <c r="J17" s="51" t="s">
        <v>63</v>
      </c>
      <c r="K17" s="55" t="str">
        <f>SUBSTITUTE(K16,"file:///","")</f>
        <v>C:/Users/uidk3743/AppData/Local/Microsoft/Windows/INetCache/Content.Outlook/17RQU6BN/salary.htm</v>
      </c>
      <c r="L17" s="55"/>
      <c r="M17" s="55"/>
      <c r="N17" s="55"/>
      <c r="O17" s="55"/>
      <c r="P17" s="55"/>
      <c r="Q17" s="55"/>
      <c r="R17" s="55"/>
      <c r="S17" s="55"/>
      <c r="T17" s="55"/>
      <c r="U17" s="56"/>
    </row>
    <row r="18" spans="10:21">
      <c r="J18" s="38" t="s">
        <v>61</v>
      </c>
      <c r="K18" s="55" t="str">
        <f>SUBSTITUTE(K17,"/","\")</f>
        <v>C:\Users\uidk3743\AppData\Local\Microsoft\Windows\INetCache\Content.Outlook\17RQU6BN\salary.htm</v>
      </c>
      <c r="L18" s="55"/>
      <c r="M18" s="55"/>
      <c r="N18" s="55"/>
      <c r="O18" s="55"/>
      <c r="P18" s="55"/>
      <c r="Q18" s="55"/>
      <c r="R18" s="55"/>
      <c r="S18" s="55"/>
      <c r="T18" s="55"/>
      <c r="U18" s="56"/>
    </row>
    <row r="20" spans="10:21" ht="16.5" customHeight="1"/>
    <row r="21" spans="10:21" ht="16.5" customHeight="1" thickBot="1"/>
    <row r="22" spans="10:21">
      <c r="J22" s="44"/>
      <c r="K22" s="45"/>
    </row>
    <row r="23" spans="10:21">
      <c r="J23" s="46"/>
      <c r="K23" s="47"/>
    </row>
    <row r="24" spans="10:21">
      <c r="J24" s="46"/>
      <c r="K24" s="47"/>
    </row>
    <row r="25" spans="10:21" ht="16.5" customHeight="1">
      <c r="J25" s="46"/>
      <c r="K25" s="47"/>
    </row>
    <row r="26" spans="10:21" ht="16.5" customHeight="1" thickBot="1">
      <c r="J26" s="62" t="s">
        <v>67</v>
      </c>
      <c r="K26" s="63"/>
    </row>
    <row r="31" spans="10:21" ht="16.5" customHeight="1"/>
    <row r="35" ht="16.5" customHeight="1"/>
    <row r="37" ht="16.5" customHeight="1"/>
    <row r="39" ht="16.5" customHeight="1"/>
    <row r="41" ht="16.5" customHeight="1"/>
    <row r="44" ht="16.5" customHeight="1"/>
    <row r="49" ht="16.5" customHeight="1"/>
    <row r="50" ht="16.5" customHeight="1"/>
    <row r="51" ht="16.5" customHeight="1"/>
    <row r="52" ht="16.5" customHeight="1"/>
    <row r="53" ht="16.5" customHeight="1"/>
    <row r="78" spans="1:2">
      <c r="B78" s="27"/>
    </row>
    <row r="79" spans="1:2">
      <c r="A79" s="27"/>
      <c r="B79" s="49"/>
    </row>
    <row r="80" spans="1:2">
      <c r="A80" s="49"/>
    </row>
    <row r="86" spans="1:2">
      <c r="B86" s="27"/>
    </row>
    <row r="87" spans="1:2">
      <c r="A87" s="27"/>
      <c r="B87" s="27"/>
    </row>
    <row r="88" spans="1:2">
      <c r="A88" s="27"/>
      <c r="B88" s="27"/>
    </row>
    <row r="89" spans="1:2">
      <c r="A89" s="27"/>
      <c r="B89" s="27"/>
    </row>
    <row r="90" spans="1:2">
      <c r="A90" s="27"/>
      <c r="B90" s="27"/>
    </row>
    <row r="91" spans="1:2">
      <c r="A91" s="27"/>
      <c r="B91" s="27"/>
    </row>
    <row r="92" spans="1:2">
      <c r="A92" s="27"/>
      <c r="B92" s="27"/>
    </row>
    <row r="93" spans="1:2">
      <c r="A93" s="27"/>
    </row>
    <row r="100" spans="1:2">
      <c r="B100" s="27"/>
    </row>
    <row r="101" spans="1:2">
      <c r="A101" s="27"/>
      <c r="B101" s="27"/>
    </row>
    <row r="102" spans="1:2">
      <c r="A102" s="27"/>
    </row>
    <row r="134" spans="1:2">
      <c r="B134" s="27"/>
    </row>
    <row r="135" spans="1:2">
      <c r="A135" s="27"/>
    </row>
  </sheetData>
  <mergeCells count="3">
    <mergeCell ref="J26:K26"/>
    <mergeCell ref="J10:U10"/>
    <mergeCell ref="J15:U15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LoadHTM">
          <controlPr defaultSize="0" autoLine="0" autoPict="0" r:id="rId5">
            <anchor moveWithCells="1">
              <from>
                <xdr:col>8</xdr:col>
                <xdr:colOff>676275</xdr:colOff>
                <xdr:row>4</xdr:row>
                <xdr:rowOff>200025</xdr:rowOff>
              </from>
              <to>
                <xdr:col>11</xdr:col>
                <xdr:colOff>114300</xdr:colOff>
                <xdr:row>7</xdr:row>
                <xdr:rowOff>200025</xdr:rowOff>
              </to>
            </anchor>
          </controlPr>
        </control>
      </mc:Choice>
      <mc:Fallback>
        <control shapeId="1025" r:id="rId4" name="LoadHTM"/>
      </mc:Fallback>
    </mc:AlternateContent>
    <mc:AlternateContent xmlns:mc="http://schemas.openxmlformats.org/markup-compatibility/2006">
      <mc:Choice Requires="x14">
        <control shapeId="1028" r:id="rId6" name="AddHTM">
          <controlPr defaultSize="0" autoLine="0" r:id="rId7">
            <anchor moveWithCells="1">
              <from>
                <xdr:col>12</xdr:col>
                <xdr:colOff>9525</xdr:colOff>
                <xdr:row>5</xdr:row>
                <xdr:rowOff>0</xdr:rowOff>
              </from>
              <to>
                <xdr:col>13</xdr:col>
                <xdr:colOff>923925</xdr:colOff>
                <xdr:row>8</xdr:row>
                <xdr:rowOff>0</xdr:rowOff>
              </to>
            </anchor>
          </controlPr>
        </control>
      </mc:Choice>
      <mc:Fallback>
        <control shapeId="1028" r:id="rId6" name="AddHT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A16" sqref="A16"/>
    </sheetView>
  </sheetViews>
  <sheetFormatPr defaultRowHeight="16.5"/>
  <sheetData>
    <row r="6" ht="16.5" customHeight="1"/>
    <row r="15" ht="16.5" customHeight="1"/>
    <row r="25" ht="16.5" customHeight="1"/>
    <row r="31" ht="16.5" customHeight="1"/>
    <row r="35" ht="16.5" customHeight="1"/>
    <row r="39" ht="16.5" customHeight="1"/>
    <row r="44" ht="16.5" customHeight="1"/>
    <row r="49" ht="16.5" customHeight="1"/>
    <row r="50" ht="16.5" customHeight="1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2024-12-24T06:13:16Z</dcterms:modified>
</cp:coreProperties>
</file>