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7F50C711-321B-417B-8D13-341619704E94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2" l="1"/>
  <c r="AC14" i="2"/>
  <c r="AC13" i="2"/>
  <c r="AC12" i="2"/>
  <c r="AC11" i="2"/>
  <c r="AC10" i="2"/>
  <c r="AC9" i="2"/>
  <c r="AC8" i="2"/>
  <c r="AC7" i="2"/>
  <c r="AC6" i="2"/>
  <c r="AC5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B15" i="2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B11" i="2"/>
  <c r="AB10" i="2"/>
  <c r="AB9" i="2"/>
  <c r="AB5" i="2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<sst xmlns="http://schemas.openxmlformats.org/spreadsheetml/2006/main" count="91" uniqueCount="73">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</sst>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O5" activePane="bottomRight" state="frozen"/>
      <selection pane="topRight" activeCell="O1" sqref="O1"/>
      <selection pane="bottomLeft" activeCell="A5" sqref="A5"/>
      <selection pane="bottomRight" activeCell="AC8" sqref="AC8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47">
        <v>3656308</v>
      </c>
      <c r="AA5" s="47">
        <v>3656308</v>
      </c>
      <c r="AB5" s="12">
        <f t="shared" ref="AB5:AB14" si="1">SUM(P5:AA5)</f>
        <v>47532004</v>
      </c>
      <c r="AC5" s="11">
        <f>SUM(O5,AB5)</f>
        <v>95064008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si="3"/>
        <v>1604920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47">
        <v>1218770</v>
      </c>
      <c r="AA8" s="47">
        <v>1218770</v>
      </c>
      <c r="AB8" s="12">
        <f t="shared" si="1"/>
        <v>14625240</v>
      </c>
      <c r="AC8" s="11">
        <f t="shared" si="3"/>
        <v>29250480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47">
        <v>609385</v>
      </c>
      <c r="AA9" s="47">
        <v>609385</v>
      </c>
      <c r="AB9" s="12">
        <f t="shared" si="1"/>
        <v>7312620</v>
      </c>
      <c r="AC9" s="11">
        <f t="shared" si="3"/>
        <v>14625240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1"/>
      <c r="S11" s="1"/>
      <c r="U11" s="1"/>
      <c r="V11" s="1"/>
      <c r="W11" s="1"/>
      <c r="X11" s="1"/>
      <c r="Y11" s="1"/>
      <c r="Z11" s="1"/>
      <c r="AA11" s="1"/>
      <c r="AB11" s="12">
        <f t="shared" si="1"/>
        <v>0</v>
      </c>
      <c r="AC11" s="11">
        <f t="shared" si="3"/>
        <v>126000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1"/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0</v>
      </c>
      <c r="AC13" s="11">
        <f t="shared" si="3"/>
        <v>496838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1"/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0</v>
      </c>
      <c r="AC14" s="11">
        <f t="shared" si="3"/>
        <v>700000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si="3"/>
        <v>476650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7312617</v>
      </c>
      <c r="Q16" s="9">
        <f t="shared" si="6"/>
        <v>5484463</v>
      </c>
      <c r="R16" s="9">
        <f t="shared" si="6"/>
        <v>5484463</v>
      </c>
      <c r="S16" s="9">
        <f t="shared" si="6"/>
        <v>6286923</v>
      </c>
      <c r="T16" s="9">
        <f t="shared" si="6"/>
        <v>5484463</v>
      </c>
      <c r="U16" s="9">
        <f t="shared" si="6"/>
        <v>5484463</v>
      </c>
      <c r="V16" s="9">
        <f t="shared" si="6"/>
        <v>7312617</v>
      </c>
      <c r="W16" s="9">
        <f t="shared" si="6"/>
        <v>5484463</v>
      </c>
      <c r="X16" s="9">
        <f t="shared" si="6"/>
        <v>5484463</v>
      </c>
      <c r="Y16" s="9">
        <f t="shared" si="6"/>
        <v>5484463</v>
      </c>
      <c r="Z16" s="9">
        <f t="shared" si="6"/>
        <v>5484463</v>
      </c>
      <c r="AA16" s="9">
        <f>SUM(AA5:AA15)</f>
        <v>5484463</v>
      </c>
      <c r="AB16" s="8">
        <f t="shared" si="6"/>
        <v>70272324</v>
      </c>
      <c r="AC16" s="7">
        <f t="shared" ref="AC6:AC49" si="7">SUM(O16,AB16)</f>
        <v>150223981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1"/>
      <c r="Q17" s="1"/>
      <c r="R17" s="1"/>
      <c r="S17" s="1"/>
      <c r="U17" s="1"/>
      <c r="V17" s="1"/>
      <c r="W17" s="1"/>
      <c r="X17" s="1"/>
      <c r="Y17" s="1"/>
      <c r="Z17" s="1"/>
      <c r="AA17" s="1"/>
      <c r="AB17" s="12">
        <f t="shared" ref="AB17:AB47" si="9">SUM(P17:AA17)</f>
        <v>0</v>
      </c>
      <c r="AC17" s="11">
        <f t="shared" si="7"/>
        <v>6647060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1"/>
      <c r="Q18" s="1"/>
      <c r="R18" s="1"/>
      <c r="S18" s="1"/>
      <c r="U18" s="1"/>
      <c r="V18" s="1"/>
      <c r="W18" s="1"/>
      <c r="X18" s="1"/>
      <c r="Y18" s="1"/>
      <c r="Z18" s="1"/>
      <c r="AA18" s="1"/>
      <c r="AB18" s="12">
        <f t="shared" si="9"/>
        <v>0</v>
      </c>
      <c r="AC18" s="11">
        <f t="shared" si="7"/>
        <v>664630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1"/>
      <c r="Q19" s="1"/>
      <c r="R19" s="1"/>
      <c r="S19" s="1"/>
      <c r="U19" s="1"/>
      <c r="V19" s="1"/>
      <c r="W19" s="1"/>
      <c r="X19" s="1"/>
      <c r="Y19" s="1"/>
      <c r="Z19" s="1"/>
      <c r="AA19" s="1"/>
      <c r="AB19" s="12">
        <f t="shared" si="9"/>
        <v>0</v>
      </c>
      <c r="AC19" s="11">
        <f t="shared" si="7"/>
        <v>3306660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1"/>
      <c r="Q20" s="1"/>
      <c r="R20" s="1"/>
      <c r="S20" s="1"/>
      <c r="U20" s="1"/>
      <c r="V20" s="1"/>
      <c r="W20" s="1"/>
      <c r="X20" s="1"/>
      <c r="Y20" s="1"/>
      <c r="Z20" s="1"/>
      <c r="AA20" s="1"/>
      <c r="AB20" s="12">
        <f t="shared" si="9"/>
        <v>0</v>
      </c>
      <c r="AC20" s="11">
        <f t="shared" si="7"/>
        <v>2722590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1"/>
      <c r="Q21" s="1"/>
      <c r="R21" s="1"/>
      <c r="S21" s="1"/>
      <c r="U21" s="1"/>
      <c r="V21" s="1"/>
      <c r="W21" s="1"/>
      <c r="X21" s="1"/>
      <c r="Y21" s="1"/>
      <c r="Z21" s="1"/>
      <c r="AA21" s="1"/>
      <c r="AB21" s="12">
        <f t="shared" si="9"/>
        <v>0</v>
      </c>
      <c r="AC21" s="11">
        <f t="shared" si="7"/>
        <v>720000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1"/>
      <c r="Q22" s="1"/>
      <c r="R22" s="1"/>
      <c r="S22" s="1"/>
      <c r="U22" s="1"/>
      <c r="V22" s="1"/>
      <c r="W22" s="1"/>
      <c r="X22" s="1"/>
      <c r="Y22" s="1"/>
      <c r="Z22" s="1"/>
      <c r="AA22" s="1"/>
      <c r="AB22" s="12">
        <f t="shared" si="9"/>
        <v>0</v>
      </c>
      <c r="AC22" s="11">
        <f t="shared" si="7"/>
        <v>352500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1"/>
      <c r="Q23" s="1"/>
      <c r="R23" s="1"/>
      <c r="S23" s="1"/>
      <c r="U23" s="1"/>
      <c r="V23" s="1"/>
      <c r="W23" s="1"/>
      <c r="X23" s="1"/>
      <c r="Y23" s="1"/>
      <c r="Z23" s="1"/>
      <c r="AA23" s="1"/>
      <c r="AB23" s="12">
        <f t="shared" si="9"/>
        <v>0</v>
      </c>
      <c r="AC23" s="11">
        <f t="shared" si="7"/>
        <v>78000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1"/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0</v>
      </c>
      <c r="AC24" s="11">
        <f t="shared" si="7"/>
        <v>-20150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1"/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0</v>
      </c>
      <c r="AC25" s="11">
        <f t="shared" si="7"/>
        <v>-1980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1"/>
      <c r="Q26" s="1"/>
      <c r="R26" s="1"/>
      <c r="S26" s="1"/>
      <c r="U26" s="1"/>
      <c r="V26" s="1"/>
      <c r="W26" s="1"/>
      <c r="X26" s="1"/>
      <c r="Y26" s="1"/>
      <c r="Z26" s="1"/>
      <c r="AA26" s="1"/>
      <c r="AB26" s="12">
        <f t="shared" si="9"/>
        <v>0</v>
      </c>
      <c r="AC26" s="11">
        <f t="shared" si="7"/>
        <v>2222220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1"/>
      <c r="Q27" s="1"/>
      <c r="R27" s="1"/>
      <c r="S27" s="1"/>
      <c r="U27" s="1"/>
      <c r="V27" s="1"/>
      <c r="W27" s="1"/>
      <c r="X27" s="1"/>
      <c r="Y27" s="1"/>
      <c r="Z27" s="1"/>
      <c r="AA27" s="1"/>
      <c r="AB27" s="12">
        <f t="shared" si="9"/>
        <v>0</v>
      </c>
      <c r="AC27" s="11">
        <f t="shared" si="7"/>
        <v>80535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9"/>
        <v>0</v>
      </c>
      <c r="AC30" s="11">
        <f t="shared" si="7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0</v>
      </c>
      <c r="Q31" s="9">
        <f>SUM(Q17:Q30)</f>
        <v>0</v>
      </c>
      <c r="R31" s="9">
        <f>SUM(R17:R30)</f>
        <v>0</v>
      </c>
      <c r="S31" s="9">
        <f>SUM(S17:S30)</f>
        <v>0</v>
      </c>
      <c r="T31" s="9">
        <f>SUM(T17:T30)</f>
        <v>0</v>
      </c>
      <c r="U31" s="9">
        <f t="shared" ref="U31:AA31" si="11">SUM(U17:U30)</f>
        <v>0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0</v>
      </c>
      <c r="AC31" s="23">
        <f t="shared" si="7"/>
        <v>17135035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7312617</v>
      </c>
      <c r="Q32" s="21">
        <f t="shared" si="13"/>
        <v>5484463</v>
      </c>
      <c r="R32" s="21">
        <f t="shared" si="13"/>
        <v>5484463</v>
      </c>
      <c r="S32" s="21">
        <f t="shared" si="13"/>
        <v>6286923</v>
      </c>
      <c r="T32" s="21">
        <f t="shared" si="13"/>
        <v>5484463</v>
      </c>
      <c r="U32" s="21">
        <f t="shared" si="13"/>
        <v>5484463</v>
      </c>
      <c r="V32" s="21">
        <f t="shared" si="13"/>
        <v>7312617</v>
      </c>
      <c r="W32" s="21">
        <f t="shared" si="13"/>
        <v>5484463</v>
      </c>
      <c r="X32" s="21">
        <f t="shared" si="13"/>
        <v>5484463</v>
      </c>
      <c r="Y32" s="21">
        <f t="shared" si="13"/>
        <v>5484463</v>
      </c>
      <c r="Z32" s="21">
        <f t="shared" si="13"/>
        <v>5484463</v>
      </c>
      <c r="AA32" s="21">
        <f t="shared" si="13"/>
        <v>5484463</v>
      </c>
      <c r="AB32" s="20">
        <f t="shared" si="9"/>
        <v>70272324</v>
      </c>
      <c r="AC32" s="19">
        <f t="shared" si="7"/>
        <v>133088946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7312617</v>
      </c>
      <c r="Q49" s="4">
        <f t="shared" si="19"/>
        <v>5484463</v>
      </c>
      <c r="R49" s="4">
        <f t="shared" si="19"/>
        <v>5484463</v>
      </c>
      <c r="S49" s="4">
        <f t="shared" si="19"/>
        <v>6286923</v>
      </c>
      <c r="T49" s="4">
        <f t="shared" si="19"/>
        <v>5484463</v>
      </c>
      <c r="U49" s="4">
        <f t="shared" si="19"/>
        <v>5484463</v>
      </c>
      <c r="V49" s="4">
        <f t="shared" si="19"/>
        <v>7312617</v>
      </c>
      <c r="W49" s="4">
        <f t="shared" si="19"/>
        <v>5484463</v>
      </c>
      <c r="X49" s="4">
        <f t="shared" si="19"/>
        <v>5484463</v>
      </c>
      <c r="Y49" s="4">
        <f t="shared" si="19"/>
        <v>5484463</v>
      </c>
      <c r="Z49" s="4">
        <f t="shared" si="19"/>
        <v>5484463</v>
      </c>
      <c r="AA49" s="4">
        <f t="shared" si="19"/>
        <v>5484463</v>
      </c>
      <c r="AB49" s="3">
        <f t="shared" si="17"/>
        <v>70272324</v>
      </c>
      <c r="AC49" s="2">
        <f t="shared" si="7"/>
        <v>133088946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F21" sqref="F21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2026-01-22T07:06:28Z</dcterms:modified>
</cp:coreProperties>
</file>