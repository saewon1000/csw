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A034BD1A-4B63-47D3-8195-E96790EA7C1E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5" i="2" l="1"/>
  <c r="AC12" i="2"/>
  <c r="AC11" i="2"/>
  <c r="AC10" i="2"/>
  <c r="AC6" i="2"/>
  <c r="AC30" i="2"/>
  <c r="AC29" i="2"/>
  <c r="AC28" i="2"/>
  <c r="AB15" i="2"/>
  <c r="O15" i="2"/>
  <c r="G31" i="2"/>
  <c r="T31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AC7" i="2" s="1"/>
  <c r="O7" i="2"/>
  <c r="O47" i="2"/>
  <c r="AB47" i="2"/>
  <c r="AB25" i="2"/>
  <c r="AC25" i="2" s="1"/>
  <c r="AB24" i="2"/>
  <c r="AC24" i="2" s="1"/>
  <c r="AB8" i="2"/>
  <c r="AC8" i="2" s="1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B27" i="2"/>
  <c r="AC27" i="2" s="1"/>
  <c r="AB26" i="2"/>
  <c r="AC26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O17" i="2"/>
  <c r="AB14" i="2"/>
  <c r="AC14" i="2" s="1"/>
  <c r="AB13" i="2"/>
  <c r="AC13" i="2" s="1"/>
  <c r="AB12" i="2"/>
  <c r="AB11" i="2"/>
  <c r="AB10" i="2"/>
  <c r="AB9" i="2"/>
  <c r="AC9" i="2" s="1"/>
  <c r="AB5" i="2"/>
  <c r="AC5" i="2" s="1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<sst xmlns="http://schemas.openxmlformats.org/spreadsheetml/2006/main" count="91" uniqueCount="73">
  <si>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</si>
  <si>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</si>
  <si>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</si>
  <si>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</si>
  <si>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</si>
  <si>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</si>
  <si>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</si>
  <si>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</si>
  <si>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</si>
  <si>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</si>
  <si>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</si>
  <si>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</si>
  <si>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</si>
  <si>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</si>
  <si>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</si>
  <si>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</si>
  <si>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</si>
  <si>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</si>
  <si>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</si>
  <si>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</si>
  <si>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</si>
  <si>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</si>
  <si>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</si>
  <si>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</si>
  <si>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</si>
  <si>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</si>
  <si>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</si>
  <si>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</si>
  <si>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</si>
  <si>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</si>
  <si>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</si>
  <si>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</si>
  <si>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</si>
  <si>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</si>
  <si>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</si>
  <si>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</si>
  <si>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</si>
  <si>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</si>
  <si>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</si>
  <si>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</si>
  <si>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</si>
  <si>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</si>
  <si>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</si>
  <si>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</si>
  <si>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</si>
  <si>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</si>
  <si>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</si>
  <si>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</si>
  <si>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</si>
  <si>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</si>
  <si>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</si>
  <si>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</si>
  <si>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</si>
  <si>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</si>
  <si>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</si>
  <si>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</si>
  <si>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</si>
  <si>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</si>
  <si>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</si>
  <si>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</si>
  <si>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</si>
  <si>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</si>
  <si>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</si>
  <si>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</si>
  <si>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</si>
  <si>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</si>
  <si>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</si>
  <si>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</si>
  <si>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</si>
  <si>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</si>
  <si>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</si>
  <si>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</si>
  <si>
    <t>file:///C:/Users/uidk3743/AppData/Local/Microsoft/Olk/Attachments/ooa-62643974-b48c-4dcd-97f0-c1a45bf950c2/cd82e8586f6cd507419462776577ced7915f8d2fdb92cceb6e859139a8593278/salary.htm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</si>
</sst>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Olk\Attachments\ooa-62643974-b48c-4dcd-97f0-c1a45bf950c2\cd82e8586f6cd507419462776577ced7915f8d2fdb92cceb6e859139a8593278\salary.htm" TargetMode="External"/><Relationship Id="rId1" Type="http://schemas.openxmlformats.org/officeDocument/2006/relationships/hyperlink" Target="file:///C:\Users\uidk3743\AppData\Local\Microsoft\Olk\Attachments\ooa-62643974-b48c-4dcd-97f0-c1a45bf950c2\cd82e8586f6cd507419462776577ced7915f8d2fdb92cceb6e859139a8593278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H5" activePane="bottomRight" state="frozen"/>
      <selection pane="topRight" activeCell="O1" sqref="O1"/>
      <selection pane="bottomLeft" activeCell="A5" sqref="A5"/>
      <selection pane="bottomRight" activeCell="S14" sqref="S14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6357417</v>
      </c>
      <c r="Q5" s="47">
        <v>6357417</v>
      </c>
      <c r="R5" s="1"/>
      <c r="S5" s="1"/>
      <c r="U5" s="1"/>
      <c r="V5" s="1"/>
      <c r="W5" s="1"/>
      <c r="X5" s="1"/>
      <c r="Y5" s="1"/>
      <c r="Z5" s="1"/>
      <c r="AA5" s="1"/>
      <c r="AB5" s="12">
        <f t="shared" ref="AB5:AB14" si="1">SUM(P5:AA5)</f>
        <v>12714834</v>
      </c>
      <c r="AC5" s="11">
        <f>SUM(O5,AB5)</f>
        <v>60246838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si="3"/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1"/>
      <c r="Q8" s="1"/>
      <c r="R8" s="1"/>
      <c r="S8" s="1"/>
      <c r="U8" s="1"/>
      <c r="V8" s="1"/>
      <c r="W8" s="1"/>
      <c r="X8" s="1"/>
      <c r="Y8" s="1"/>
      <c r="Z8" s="1"/>
      <c r="AA8" s="1"/>
      <c r="AB8" s="12">
        <f t="shared" si="1"/>
        <v>0</v>
      </c>
      <c r="AC8" s="11">
        <f t="shared" si="3"/>
        <v>14625240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1"/>
      <c r="Q9" s="1"/>
      <c r="R9" s="1"/>
      <c r="S9" s="1"/>
      <c r="U9" s="1"/>
      <c r="V9" s="1"/>
      <c r="W9" s="1"/>
      <c r="X9" s="1"/>
      <c r="Y9" s="1"/>
      <c r="Z9" s="1"/>
      <c r="AA9" s="1"/>
      <c r="AB9" s="12">
        <f t="shared" si="1"/>
        <v>0</v>
      </c>
      <c r="AC9" s="11">
        <f t="shared" si="3"/>
        <v>7312620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1"/>
      <c r="S11" s="1"/>
      <c r="U11" s="1"/>
      <c r="V11" s="1"/>
      <c r="W11" s="1"/>
      <c r="X11" s="1"/>
      <c r="Y11" s="1"/>
      <c r="Z11" s="1"/>
      <c r="AA11" s="1"/>
      <c r="AB11" s="12">
        <f t="shared" si="1"/>
        <v>0</v>
      </c>
      <c r="AC11" s="11">
        <f t="shared" si="3"/>
        <v>126000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1"/>
      <c r="U12" s="1"/>
      <c r="V12" s="1"/>
      <c r="W12" s="1"/>
      <c r="X12" s="1"/>
      <c r="Y12" s="1"/>
      <c r="Z12" s="1"/>
      <c r="AA12" s="1"/>
      <c r="AB12" s="12">
        <f t="shared" si="1"/>
        <v>0</v>
      </c>
      <c r="AC12" s="11">
        <f t="shared" si="3"/>
        <v>7879845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47">
        <v>851894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851894</v>
      </c>
      <c r="AC13" s="11">
        <f t="shared" si="3"/>
        <v>1348732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47">
        <v>200000</v>
      </c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200000</v>
      </c>
      <c r="AC14" s="11">
        <f t="shared" si="3"/>
        <v>900000</v>
      </c>
    </row>
    <row r="15" spans="2:35" x14ac:dyDescent="0.3">
      <c r="B15" s="14" t="s">
        <v>70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5">SUM(C15:N15)</f>
        <v>476650</v>
      </c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2">
        <f>SUM(P15:AA15)</f>
        <v>0</v>
      </c>
      <c r="AC15" s="11">
        <f t="shared" si="3"/>
        <v>476650</v>
      </c>
    </row>
    <row r="16" spans="2:35" x14ac:dyDescent="0.3">
      <c r="B16" s="6" t="s">
        <v>31</v>
      </c>
      <c r="C16" s="9">
        <f t="shared" ref="C16:AB16" si="6">SUM(C5:C15)</f>
        <v>8009455</v>
      </c>
      <c r="D16" s="9">
        <f t="shared" si="6"/>
        <v>5484463</v>
      </c>
      <c r="E16" s="9">
        <f t="shared" si="6"/>
        <v>5484463</v>
      </c>
      <c r="F16" s="9">
        <f t="shared" si="6"/>
        <v>14172768</v>
      </c>
      <c r="G16" s="9">
        <f t="shared" si="6"/>
        <v>5484463</v>
      </c>
      <c r="H16" s="9">
        <f t="shared" si="6"/>
        <v>5484463</v>
      </c>
      <c r="I16" s="9">
        <f t="shared" si="6"/>
        <v>7812617</v>
      </c>
      <c r="J16" s="9">
        <f t="shared" si="6"/>
        <v>5484463</v>
      </c>
      <c r="K16" s="9">
        <f t="shared" si="6"/>
        <v>5961113</v>
      </c>
      <c r="L16" s="9">
        <f t="shared" si="6"/>
        <v>5604463</v>
      </c>
      <c r="M16" s="9">
        <f t="shared" si="6"/>
        <v>5484463</v>
      </c>
      <c r="N16" s="9">
        <f t="shared" si="6"/>
        <v>5484463</v>
      </c>
      <c r="O16" s="10">
        <f t="shared" si="6"/>
        <v>79951657</v>
      </c>
      <c r="P16" s="9">
        <f t="shared" si="6"/>
        <v>7209311</v>
      </c>
      <c r="Q16" s="9">
        <f t="shared" si="6"/>
        <v>6557417</v>
      </c>
      <c r="R16" s="9">
        <f t="shared" si="6"/>
        <v>0</v>
      </c>
      <c r="S16" s="9">
        <f t="shared" si="6"/>
        <v>0</v>
      </c>
      <c r="T16" s="9">
        <f t="shared" si="6"/>
        <v>0</v>
      </c>
      <c r="U16" s="9">
        <f t="shared" si="6"/>
        <v>0</v>
      </c>
      <c r="V16" s="9">
        <f t="shared" si="6"/>
        <v>0</v>
      </c>
      <c r="W16" s="9">
        <f t="shared" si="6"/>
        <v>0</v>
      </c>
      <c r="X16" s="9">
        <f t="shared" si="6"/>
        <v>0</v>
      </c>
      <c r="Y16" s="9">
        <f t="shared" si="6"/>
        <v>0</v>
      </c>
      <c r="Z16" s="9">
        <f t="shared" si="6"/>
        <v>0</v>
      </c>
      <c r="AA16" s="9">
        <f>SUM(AA5:AA15)</f>
        <v>0</v>
      </c>
      <c r="AB16" s="8">
        <f t="shared" si="6"/>
        <v>13766728</v>
      </c>
      <c r="AC16" s="7">
        <f t="shared" ref="AC16:AC49" si="7">SUM(O16,AB16)</f>
        <v>93718385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8">SUM(C17:N17)</f>
        <v>6647060</v>
      </c>
      <c r="P17" s="47">
        <v>535880</v>
      </c>
      <c r="Q17" s="47">
        <v>630200</v>
      </c>
      <c r="R17" s="1"/>
      <c r="S17" s="1"/>
      <c r="U17" s="1"/>
      <c r="V17" s="1"/>
      <c r="W17" s="1"/>
      <c r="X17" s="1"/>
      <c r="Y17" s="1"/>
      <c r="Z17" s="1"/>
      <c r="AA17" s="1"/>
      <c r="AB17" s="12">
        <f t="shared" ref="AB17:AB47" si="9">SUM(P17:AA17)</f>
        <v>1166080</v>
      </c>
      <c r="AC17" s="11">
        <f t="shared" si="7"/>
        <v>7813140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8"/>
        <v>664630</v>
      </c>
      <c r="P18" s="47">
        <v>53580</v>
      </c>
      <c r="Q18" s="47">
        <v>63020</v>
      </c>
      <c r="R18" s="1"/>
      <c r="S18" s="1"/>
      <c r="U18" s="1"/>
      <c r="V18" s="1"/>
      <c r="W18" s="1"/>
      <c r="X18" s="1"/>
      <c r="Y18" s="1"/>
      <c r="Z18" s="1"/>
      <c r="AA18" s="1"/>
      <c r="AB18" s="12">
        <f t="shared" si="9"/>
        <v>116600</v>
      </c>
      <c r="AC18" s="11">
        <f t="shared" si="7"/>
        <v>781230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8"/>
        <v>3306660</v>
      </c>
      <c r="P19" s="47">
        <v>302570</v>
      </c>
      <c r="Q19" s="47">
        <v>302570</v>
      </c>
      <c r="R19" s="1"/>
      <c r="S19" s="1"/>
      <c r="U19" s="1"/>
      <c r="V19" s="1"/>
      <c r="W19" s="1"/>
      <c r="X19" s="1"/>
      <c r="Y19" s="1"/>
      <c r="Z19" s="1"/>
      <c r="AA19" s="1"/>
      <c r="AB19" s="12">
        <f t="shared" si="9"/>
        <v>605140</v>
      </c>
      <c r="AC19" s="11">
        <f t="shared" si="7"/>
        <v>3911800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8"/>
        <v>2722590</v>
      </c>
      <c r="P20" s="47">
        <v>235360</v>
      </c>
      <c r="Q20" s="47">
        <v>235360</v>
      </c>
      <c r="R20" s="1"/>
      <c r="S20" s="1"/>
      <c r="U20" s="1"/>
      <c r="V20" s="1"/>
      <c r="W20" s="1"/>
      <c r="X20" s="1"/>
      <c r="Y20" s="1"/>
      <c r="Z20" s="1"/>
      <c r="AA20" s="1"/>
      <c r="AB20" s="12">
        <f t="shared" si="9"/>
        <v>470720</v>
      </c>
      <c r="AC20" s="11">
        <f t="shared" si="7"/>
        <v>3193310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8"/>
        <v>720000</v>
      </c>
      <c r="P21" s="47">
        <v>64880</v>
      </c>
      <c r="Q21" s="47">
        <v>59010</v>
      </c>
      <c r="R21" s="1"/>
      <c r="S21" s="1"/>
      <c r="U21" s="1"/>
      <c r="V21" s="1"/>
      <c r="W21" s="1"/>
      <c r="X21" s="1"/>
      <c r="Y21" s="1"/>
      <c r="Z21" s="1"/>
      <c r="AA21" s="1"/>
      <c r="AB21" s="12">
        <f t="shared" si="9"/>
        <v>123890</v>
      </c>
      <c r="AC21" s="11">
        <f t="shared" si="7"/>
        <v>843890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8"/>
        <v>352500</v>
      </c>
      <c r="P22" s="47">
        <v>30920</v>
      </c>
      <c r="Q22" s="47">
        <v>30920</v>
      </c>
      <c r="R22" s="1"/>
      <c r="S22" s="1"/>
      <c r="U22" s="1"/>
      <c r="V22" s="1"/>
      <c r="W22" s="1"/>
      <c r="X22" s="1"/>
      <c r="Y22" s="1"/>
      <c r="Z22" s="1"/>
      <c r="AA22" s="1"/>
      <c r="AB22" s="12">
        <f t="shared" si="9"/>
        <v>61840</v>
      </c>
      <c r="AC22" s="11">
        <f t="shared" si="7"/>
        <v>414340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8"/>
        <v>78000</v>
      </c>
      <c r="P23" s="47">
        <v>6500</v>
      </c>
      <c r="Q23" s="47">
        <v>6500</v>
      </c>
      <c r="R23" s="1"/>
      <c r="S23" s="1"/>
      <c r="U23" s="1"/>
      <c r="V23" s="1"/>
      <c r="W23" s="1"/>
      <c r="X23" s="1"/>
      <c r="Y23" s="1"/>
      <c r="Z23" s="1"/>
      <c r="AA23" s="1"/>
      <c r="AB23" s="12">
        <f t="shared" si="9"/>
        <v>13000</v>
      </c>
      <c r="AC23" s="11">
        <f t="shared" si="7"/>
        <v>91000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8"/>
        <v>-20150</v>
      </c>
      <c r="P24" s="1"/>
      <c r="Q24" s="47">
        <v>991710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9"/>
        <v>991710</v>
      </c>
      <c r="AC24" s="11">
        <f t="shared" si="7"/>
        <v>971560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8"/>
        <v>-1980</v>
      </c>
      <c r="P25" s="1"/>
      <c r="Q25" s="47">
        <v>99240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9"/>
        <v>99240</v>
      </c>
      <c r="AC25" s="11">
        <f t="shared" si="7"/>
        <v>97260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8"/>
        <v>2222220</v>
      </c>
      <c r="P26" s="47">
        <v>185185</v>
      </c>
      <c r="Q26" s="47">
        <v>518518</v>
      </c>
      <c r="R26" s="1"/>
      <c r="S26" s="1"/>
      <c r="U26" s="1"/>
      <c r="V26" s="1"/>
      <c r="W26" s="1"/>
      <c r="X26" s="1"/>
      <c r="Y26" s="1"/>
      <c r="Z26" s="1"/>
      <c r="AA26" s="1"/>
      <c r="AB26" s="12">
        <f t="shared" si="9"/>
        <v>703703</v>
      </c>
      <c r="AC26" s="11">
        <f t="shared" si="7"/>
        <v>2925923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8"/>
        <v>80535</v>
      </c>
      <c r="P27" s="47">
        <v>5819</v>
      </c>
      <c r="Q27" s="47">
        <v>8292</v>
      </c>
      <c r="R27" s="1"/>
      <c r="S27" s="1"/>
      <c r="U27" s="1"/>
      <c r="V27" s="1"/>
      <c r="W27" s="1"/>
      <c r="X27" s="1"/>
      <c r="Y27" s="1"/>
      <c r="Z27" s="1"/>
      <c r="AA27" s="1"/>
      <c r="AB27" s="12">
        <f t="shared" si="9"/>
        <v>14111</v>
      </c>
      <c r="AC27" s="11">
        <f t="shared" si="7"/>
        <v>94646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8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9"/>
        <v>0</v>
      </c>
      <c r="AC28" s="11">
        <f t="shared" si="7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8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9"/>
        <v>0</v>
      </c>
      <c r="AC29" s="11">
        <f t="shared" si="7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8"/>
        <v>362970</v>
      </c>
      <c r="P30" s="1"/>
      <c r="Q30" s="1"/>
      <c r="R30" s="1"/>
      <c r="S30" s="1"/>
      <c r="U30" s="1"/>
      <c r="V30" s="1"/>
      <c r="W30" s="1"/>
      <c r="X30" s="1"/>
      <c r="Y30" s="1"/>
      <c r="Z30" s="1"/>
      <c r="AA30" s="1"/>
      <c r="AB30" s="12">
        <f t="shared" si="9"/>
        <v>0</v>
      </c>
      <c r="AC30" s="11">
        <f t="shared" si="7"/>
        <v>362970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0">SUM(H17:H30)</f>
        <v>1261925</v>
      </c>
      <c r="I31" s="9">
        <f t="shared" si="10"/>
        <v>1384289</v>
      </c>
      <c r="J31" s="9">
        <f t="shared" si="10"/>
        <v>1283800</v>
      </c>
      <c r="K31" s="9">
        <f t="shared" si="10"/>
        <v>1398603</v>
      </c>
      <c r="L31" s="9">
        <f t="shared" si="10"/>
        <v>1287753</v>
      </c>
      <c r="M31" s="9">
        <f t="shared" si="10"/>
        <v>1283328</v>
      </c>
      <c r="N31" s="9">
        <f t="shared" si="10"/>
        <v>1282978</v>
      </c>
      <c r="O31" s="25">
        <f t="shared" si="8"/>
        <v>17135035</v>
      </c>
      <c r="P31" s="9">
        <f>SUM(P17:P30)</f>
        <v>1420694</v>
      </c>
      <c r="Q31" s="9">
        <f>SUM(Q17:Q30)</f>
        <v>2945340</v>
      </c>
      <c r="R31" s="9">
        <f>SUM(R17:R30)</f>
        <v>0</v>
      </c>
      <c r="S31" s="9">
        <f>SUM(S17:S30)</f>
        <v>0</v>
      </c>
      <c r="T31" s="9">
        <f>SUM(T17:T30)</f>
        <v>0</v>
      </c>
      <c r="U31" s="9">
        <f t="shared" ref="U31:AA31" si="11">SUM(U17:U30)</f>
        <v>0</v>
      </c>
      <c r="V31" s="9">
        <f t="shared" si="11"/>
        <v>0</v>
      </c>
      <c r="W31" s="9">
        <f t="shared" si="11"/>
        <v>0</v>
      </c>
      <c r="X31" s="9">
        <f t="shared" si="11"/>
        <v>0</v>
      </c>
      <c r="Y31" s="9">
        <f t="shared" si="11"/>
        <v>0</v>
      </c>
      <c r="Z31" s="9">
        <f t="shared" si="11"/>
        <v>0</v>
      </c>
      <c r="AA31" s="9">
        <f t="shared" si="11"/>
        <v>0</v>
      </c>
      <c r="AB31" s="24">
        <f t="shared" si="9"/>
        <v>4366034</v>
      </c>
      <c r="AC31" s="23">
        <f t="shared" si="7"/>
        <v>21501069</v>
      </c>
    </row>
    <row r="32" spans="2:30" x14ac:dyDescent="0.3">
      <c r="B32" s="6" t="s">
        <v>17</v>
      </c>
      <c r="C32" s="21">
        <f t="shared" ref="C32:N32" si="12">C16-C31</f>
        <v>6766454</v>
      </c>
      <c r="D32" s="21">
        <f t="shared" si="12"/>
        <v>4246609</v>
      </c>
      <c r="E32" s="21">
        <f t="shared" si="12"/>
        <v>4233652</v>
      </c>
      <c r="F32" s="21">
        <f t="shared" si="12"/>
        <v>11226589</v>
      </c>
      <c r="G32" s="21">
        <f t="shared" si="12"/>
        <v>4209949</v>
      </c>
      <c r="H32" s="21">
        <f t="shared" si="12"/>
        <v>4222538</v>
      </c>
      <c r="I32" s="21">
        <f t="shared" si="12"/>
        <v>6428328</v>
      </c>
      <c r="J32" s="21">
        <f t="shared" si="12"/>
        <v>4200663</v>
      </c>
      <c r="K32" s="21">
        <f t="shared" si="12"/>
        <v>4562510</v>
      </c>
      <c r="L32" s="21">
        <f t="shared" si="12"/>
        <v>4316710</v>
      </c>
      <c r="M32" s="21">
        <f t="shared" si="12"/>
        <v>4201135</v>
      </c>
      <c r="N32" s="21">
        <f t="shared" si="12"/>
        <v>4201485</v>
      </c>
      <c r="O32" s="22">
        <f t="shared" si="8"/>
        <v>62816622</v>
      </c>
      <c r="P32" s="21">
        <f t="shared" ref="P32:AA32" si="13">P16-P31</f>
        <v>5788617</v>
      </c>
      <c r="Q32" s="21">
        <f t="shared" si="13"/>
        <v>3612077</v>
      </c>
      <c r="R32" s="21">
        <f t="shared" si="13"/>
        <v>0</v>
      </c>
      <c r="S32" s="21">
        <f t="shared" si="13"/>
        <v>0</v>
      </c>
      <c r="T32" s="21">
        <f t="shared" si="13"/>
        <v>0</v>
      </c>
      <c r="U32" s="21">
        <f t="shared" si="13"/>
        <v>0</v>
      </c>
      <c r="V32" s="21">
        <f t="shared" si="13"/>
        <v>0</v>
      </c>
      <c r="W32" s="21">
        <f t="shared" si="13"/>
        <v>0</v>
      </c>
      <c r="X32" s="21">
        <f t="shared" si="13"/>
        <v>0</v>
      </c>
      <c r="Y32" s="21">
        <f t="shared" si="13"/>
        <v>0</v>
      </c>
      <c r="Z32" s="21">
        <f t="shared" si="13"/>
        <v>0</v>
      </c>
      <c r="AA32" s="21">
        <f t="shared" si="13"/>
        <v>0</v>
      </c>
      <c r="AB32" s="20">
        <f t="shared" si="9"/>
        <v>9400694</v>
      </c>
      <c r="AC32" s="19">
        <f t="shared" si="7"/>
        <v>72217316</v>
      </c>
    </row>
    <row r="33" spans="2:30" x14ac:dyDescent="0.3">
      <c r="B33" s="14" t="s">
        <v>16</v>
      </c>
      <c r="C33" s="18">
        <v>71298000</v>
      </c>
      <c r="D33" s="1"/>
      <c r="O33" s="13">
        <f t="shared" si="8"/>
        <v>71298000</v>
      </c>
      <c r="P33" s="18">
        <v>76289000</v>
      </c>
      <c r="Q33" s="1"/>
      <c r="AB33" s="12">
        <f t="shared" si="9"/>
        <v>76289000</v>
      </c>
      <c r="AC33" s="11">
        <f t="shared" si="7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8"/>
        <v>0</v>
      </c>
      <c r="P34" s="1"/>
      <c r="Q34" s="1"/>
      <c r="AB34" s="12">
        <f t="shared" si="9"/>
        <v>0</v>
      </c>
      <c r="AC34" s="11">
        <f t="shared" si="7"/>
        <v>0</v>
      </c>
    </row>
    <row r="35" spans="2:30" ht="17.25" x14ac:dyDescent="0.3">
      <c r="B35" s="16" t="s">
        <v>14</v>
      </c>
      <c r="C35" s="1"/>
      <c r="D35" s="1"/>
      <c r="O35" s="13">
        <f t="shared" si="8"/>
        <v>0</v>
      </c>
      <c r="P35" s="1"/>
      <c r="Q35" s="1"/>
      <c r="AB35" s="12">
        <f t="shared" si="9"/>
        <v>0</v>
      </c>
      <c r="AC35" s="11">
        <f t="shared" si="7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8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9"/>
        <v>0</v>
      </c>
      <c r="AC36" s="11">
        <f t="shared" si="7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8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9"/>
        <v>0</v>
      </c>
      <c r="AC37" s="11">
        <f t="shared" si="7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8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9"/>
        <v>0</v>
      </c>
      <c r="AC38" s="11">
        <f t="shared" si="7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8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9"/>
        <v>0</v>
      </c>
      <c r="AC39" s="11">
        <f t="shared" si="7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8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9"/>
        <v>0</v>
      </c>
      <c r="AC40" s="11">
        <f t="shared" si="7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8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9"/>
        <v>0</v>
      </c>
      <c r="AC41" s="11">
        <f t="shared" si="7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8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9"/>
        <v>0</v>
      </c>
      <c r="AC42" s="11">
        <f t="shared" si="7"/>
        <v>0</v>
      </c>
    </row>
    <row r="43" spans="2:30" x14ac:dyDescent="0.3">
      <c r="B43" s="14" t="s">
        <v>6</v>
      </c>
      <c r="C43" s="1"/>
      <c r="D43" s="1"/>
      <c r="O43" s="13">
        <f t="shared" si="8"/>
        <v>0</v>
      </c>
      <c r="P43" s="1"/>
      <c r="Q43" s="1"/>
      <c r="AB43" s="12">
        <f t="shared" si="9"/>
        <v>0</v>
      </c>
      <c r="AC43" s="11">
        <f t="shared" si="7"/>
        <v>0</v>
      </c>
    </row>
    <row r="44" spans="2:30" x14ac:dyDescent="0.3">
      <c r="B44" s="14" t="s">
        <v>5</v>
      </c>
      <c r="C44" s="1"/>
      <c r="D44" s="1"/>
      <c r="O44" s="13">
        <f t="shared" si="8"/>
        <v>0</v>
      </c>
      <c r="P44" s="1"/>
      <c r="Q44" s="1"/>
      <c r="AB44" s="12">
        <f t="shared" si="9"/>
        <v>0</v>
      </c>
      <c r="AC44" s="11">
        <f t="shared" si="7"/>
        <v>0</v>
      </c>
    </row>
    <row r="45" spans="2:30" x14ac:dyDescent="0.3">
      <c r="B45" s="14" t="s">
        <v>4</v>
      </c>
      <c r="C45" s="1"/>
      <c r="D45" s="1"/>
      <c r="O45" s="13">
        <f t="shared" si="8"/>
        <v>0</v>
      </c>
      <c r="P45" s="1"/>
      <c r="Q45" s="1"/>
      <c r="AB45" s="12">
        <f t="shared" si="9"/>
        <v>0</v>
      </c>
      <c r="AC45" s="11">
        <f t="shared" si="7"/>
        <v>0</v>
      </c>
    </row>
    <row r="46" spans="2:30" x14ac:dyDescent="0.3">
      <c r="B46" s="14" t="s">
        <v>3</v>
      </c>
      <c r="C46" s="1"/>
      <c r="D46" s="1"/>
      <c r="O46" s="13">
        <f t="shared" si="8"/>
        <v>0</v>
      </c>
      <c r="P46" s="1"/>
      <c r="Q46" s="1"/>
      <c r="AB46" s="12">
        <f t="shared" si="9"/>
        <v>0</v>
      </c>
      <c r="AC46" s="11">
        <f t="shared" si="7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8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9"/>
        <v>0</v>
      </c>
      <c r="AC47" s="11">
        <f t="shared" si="7"/>
        <v>0</v>
      </c>
    </row>
    <row r="48" spans="2:30" x14ac:dyDescent="0.3">
      <c r="B48" s="6" t="s">
        <v>1</v>
      </c>
      <c r="C48" s="9">
        <f t="shared" ref="C48:N48" si="14">SUM(C35:C47)</f>
        <v>0</v>
      </c>
      <c r="D48" s="9">
        <f t="shared" si="14"/>
        <v>0</v>
      </c>
      <c r="E48" s="9">
        <f t="shared" si="14"/>
        <v>0</v>
      </c>
      <c r="F48" s="9">
        <f t="shared" si="14"/>
        <v>0</v>
      </c>
      <c r="G48" s="9">
        <f t="shared" si="14"/>
        <v>0</v>
      </c>
      <c r="H48" s="9">
        <f t="shared" si="14"/>
        <v>0</v>
      </c>
      <c r="I48" s="9">
        <f t="shared" si="14"/>
        <v>0</v>
      </c>
      <c r="J48" s="9">
        <f t="shared" si="14"/>
        <v>0</v>
      </c>
      <c r="K48" s="9">
        <f t="shared" si="14"/>
        <v>0</v>
      </c>
      <c r="L48" s="9">
        <f t="shared" si="14"/>
        <v>0</v>
      </c>
      <c r="M48" s="9">
        <f t="shared" si="14"/>
        <v>0</v>
      </c>
      <c r="N48" s="9">
        <f t="shared" si="14"/>
        <v>0</v>
      </c>
      <c r="O48" s="10">
        <f t="shared" ref="O48:O49" si="15">SUM(C48:N48)</f>
        <v>0</v>
      </c>
      <c r="P48" s="9">
        <f t="shared" ref="P48:AA48" si="16">SUM(P35:P47)</f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8">
        <f t="shared" ref="AB48:AB49" si="17">SUM(P48:AA48)</f>
        <v>0</v>
      </c>
      <c r="AC48" s="7">
        <f t="shared" si="7"/>
        <v>0</v>
      </c>
    </row>
    <row r="49" spans="2:29" ht="17.25" thickBot="1" x14ac:dyDescent="0.35">
      <c r="B49" s="6" t="s">
        <v>0</v>
      </c>
      <c r="C49" s="4">
        <f t="shared" ref="C49:N49" si="18">C32-C48</f>
        <v>6766454</v>
      </c>
      <c r="D49" s="4">
        <f t="shared" si="18"/>
        <v>4246609</v>
      </c>
      <c r="E49" s="4">
        <f t="shared" si="18"/>
        <v>4233652</v>
      </c>
      <c r="F49" s="4">
        <f t="shared" si="18"/>
        <v>11226589</v>
      </c>
      <c r="G49" s="4">
        <f t="shared" si="18"/>
        <v>4209949</v>
      </c>
      <c r="H49" s="4">
        <f t="shared" si="18"/>
        <v>4222538</v>
      </c>
      <c r="I49" s="4">
        <f t="shared" si="18"/>
        <v>6428328</v>
      </c>
      <c r="J49" s="4">
        <f t="shared" si="18"/>
        <v>4200663</v>
      </c>
      <c r="K49" s="4">
        <f t="shared" si="18"/>
        <v>4562510</v>
      </c>
      <c r="L49" s="4">
        <f t="shared" si="18"/>
        <v>4316710</v>
      </c>
      <c r="M49" s="4">
        <f t="shared" si="18"/>
        <v>4201135</v>
      </c>
      <c r="N49" s="4">
        <f t="shared" si="18"/>
        <v>4201485</v>
      </c>
      <c r="O49" s="5">
        <f t="shared" si="15"/>
        <v>62816622</v>
      </c>
      <c r="P49" s="4">
        <f t="shared" ref="P49:AA49" si="19">P32-P48</f>
        <v>5788617</v>
      </c>
      <c r="Q49" s="4">
        <f t="shared" si="19"/>
        <v>3612077</v>
      </c>
      <c r="R49" s="4">
        <f t="shared" si="19"/>
        <v>0</v>
      </c>
      <c r="S49" s="4">
        <f t="shared" si="19"/>
        <v>0</v>
      </c>
      <c r="T49" s="4">
        <f t="shared" si="19"/>
        <v>0</v>
      </c>
      <c r="U49" s="4">
        <f t="shared" si="19"/>
        <v>0</v>
      </c>
      <c r="V49" s="4">
        <f t="shared" si="19"/>
        <v>0</v>
      </c>
      <c r="W49" s="4">
        <f t="shared" si="19"/>
        <v>0</v>
      </c>
      <c r="X49" s="4">
        <f t="shared" si="19"/>
        <v>0</v>
      </c>
      <c r="Y49" s="4">
        <f t="shared" si="19"/>
        <v>0</v>
      </c>
      <c r="Z49" s="4">
        <f t="shared" si="19"/>
        <v>0</v>
      </c>
      <c r="AA49" s="4">
        <f t="shared" si="19"/>
        <v>0</v>
      </c>
      <c r="AB49" s="3">
        <f t="shared" si="17"/>
        <v>9400694</v>
      </c>
      <c r="AC49" s="2">
        <f t="shared" si="7"/>
        <v>72217316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topLeftCell="A2" workbookViewId="0">
      <selection activeCell="I10" sqref="I10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2026</v>
      </c>
      <c r="N3" s="59" t="s">
        <v>71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2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72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C:/Users/uidk3743/AppData/Local/Microsoft/Olk/Attachments/ooa-62643974-b48c-4dcd-97f0-c1a45bf950c2/cd82e8586f6cd507419462776577ced7915f8d2fdb92cceb6e859139a8593278/salary.htm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C:\Users\uidk3743\AppData\Local\Microsoft\Olk\Attachments\ooa-62643974-b48c-4dcd-97f0-c1a45bf950c2\cd82e8586f6cd507419462776577ced7915f8d2fdb92cceb6e859139a8593278\salary.htm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72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C:/Users/uidk3743/AppData/Local/Microsoft/Olk/Attachments/ooa-62643974-b48c-4dcd-97f0-c1a45bf950c2/cd82e8586f6cd507419462776577ced7915f8d2fdb92cceb6e859139a8593278/salary.htm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C:\Users\uidk3743\AppData\Local\Microsoft\Olk\Attachments\ooa-62643974-b48c-4dcd-97f0-c1a45bf950c2\cd82e8586f6cd507419462776577ced7915f8d2fdb92cceb6e859139a8593278\salary.htm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0" ht="16.5" customHeight="1" x14ac:dyDescent="0.3"/>
    <row r="41" ht="16.5" customHeight="1" x14ac:dyDescent="0.3"/>
    <row r="44" ht="16.5" customHeight="1" x14ac:dyDescent="0.3"/>
    <row r="45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6" r:id="rId1" xr:uid="{A6745C96-AB45-4107-A24B-170A01D72421}"/>
    <hyperlink ref="K11" r:id="rId2" xr:uid="{40837852-8141-4F84-B935-24AA1D1321FA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2026-02-25T01:55:50Z</dcterms:modified>
</cp:coreProperties>
</file>