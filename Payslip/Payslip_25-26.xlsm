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12E92412-0BEC-4669-A567-12960E5FD6A7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5" i="2" l="1"/>
  <c r="AC14" i="2"/>
  <c r="AC12" i="2"/>
  <c r="AC11" i="2"/>
  <c r="AC10" i="2"/>
  <c r="AC6" i="2"/>
  <c r="AC30" i="2"/>
  <c r="AC29" i="2"/>
  <c r="AC28" i="2"/>
  <c r="AC25" i="2"/>
  <c r="AC24" i="2"/>
  <c r="AB15" i="2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B24" i="2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B13" i="2"/>
  <c r="AC13" i="2" s="1"/>
  <c r="AB12" i="2"/>
  <c r="AB11" i="2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<sst xmlns="http://schemas.openxmlformats.org/spreadsheetml/2006/main" count="91" uniqueCount="73">
  <si>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</si>
  <si>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</si>
  <si>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</si>
  <si>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</si>
  <si>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</si>
  <si>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</si>
  <si>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</si>
  <si>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</si>
  <si>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</si>
  <si>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</si>
  <si>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</si>
  <si>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</si>
  <si>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</si>
  <si>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</si>
  <si>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</si>
  <si>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</si>
  <si>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</si>
  <si>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</si>
  <si>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</si>
  <si>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</si>
  <si>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</si>
  <si>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</si>
  <si>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</si>
  <si>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</si>
  <si>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</si>
  <si>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</si>
  <si>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</si>
  <si>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</si>
  <si>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</si>
  <si>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</si>
  <si>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</si>
  <si>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</si>
  <si>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</si>
  <si>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</si>
  <si>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</si>
  <si>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</si>
  <si>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</si>
  <si>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</si>
  <si>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</si>
  <si>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</si>
  <si>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</si>
  <si>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</si>
  <si>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</si>
  <si>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</si>
  <si>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</si>
  <si>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</si>
  <si>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</si>
  <si>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</si>
  <si>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</si>
  <si>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</si>
  <si>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</si>
  <si>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</si>
  <si>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</si>
  <si>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</si>
  <si>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</si>
  <si>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</si>
  <si>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</si>
  <si>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</si>
  <si>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</si>
  <si>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</si>
  <si>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</si>
  <si>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</si>
  <si>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</si>
  <si>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</si>
  <si>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</si>
  <si>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</si>
  <si>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</si>
  <si>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</si>
  <si>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</si>
  <si>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</si>
  <si>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file:///C:/Users/uidk3743/AppData/Local/Microsoft/Windows/INetCache/Content.Outlook/Y9X6OYUT/salary.htm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</si>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</sst>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Y9X6OYUT\salary.htm" TargetMode="External"/><Relationship Id="rId1" Type="http://schemas.openxmlformats.org/officeDocument/2006/relationships/hyperlink" Target="file:///C:\Users\uidk3743\AppData\Local\Microsoft\Windows\INetCache\Content.Outlook\Y9X6OYUT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L14" activePane="bottomRight" state="frozen"/>
      <selection pane="topRight" activeCell="O1" sqref="O1"/>
      <selection pane="bottomLeft" activeCell="A5" sqref="A5"/>
      <selection pane="bottomRight" activeCell="R28" sqref="R28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1"/>
      <c r="R5" s="1"/>
      <c r="S5" s="1"/>
      <c r="U5" s="1"/>
      <c r="V5" s="1"/>
      <c r="W5" s="1"/>
      <c r="X5" s="1"/>
      <c r="Y5" s="1"/>
      <c r="Z5" s="1"/>
      <c r="AA5" s="1"/>
      <c r="AB5" s="12">
        <f t="shared" ref="AB5:AB14" si="1">SUM(P5:AA5)</f>
        <v>6357417</v>
      </c>
      <c r="AC5" s="11">
        <f>SUM(O5,AB5)</f>
        <v>53889421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1"/>
      <c r="S11" s="1"/>
      <c r="U11" s="1"/>
      <c r="V11" s="1"/>
      <c r="W11" s="1"/>
      <c r="X11" s="1"/>
      <c r="Y11" s="1"/>
      <c r="Z11" s="1"/>
      <c r="AA11" s="1"/>
      <c r="AB11" s="12">
        <f t="shared" si="1"/>
        <v>0</v>
      </c>
      <c r="AC11" s="11">
        <f t="shared" si="3"/>
        <v>126000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1"/>
      <c r="U12" s="1"/>
      <c r="V12" s="1"/>
      <c r="W12" s="1"/>
      <c r="X12" s="1"/>
      <c r="Y12" s="1"/>
      <c r="Z12" s="1"/>
      <c r="AA12" s="1"/>
      <c r="AB12" s="12">
        <f t="shared" si="1"/>
        <v>0</v>
      </c>
      <c r="AC12" s="11">
        <f t="shared" si="3"/>
        <v>7879845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1"/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0</v>
      </c>
      <c r="AC14" s="11">
        <f t="shared" si="3"/>
        <v>700000</v>
      </c>
    </row>
    <row r="15" spans="2:35" x14ac:dyDescent="0.3">
      <c r="B15" s="14" t="s">
        <v>71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>SUM(P15:AA15)</f>
        <v>0</v>
      </c>
      <c r="AC15" s="11">
        <f t="shared" si="3"/>
        <v>476650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0</v>
      </c>
      <c r="R16" s="9">
        <f t="shared" si="6"/>
        <v>0</v>
      </c>
      <c r="S16" s="9">
        <f t="shared" si="6"/>
        <v>0</v>
      </c>
      <c r="T16" s="9">
        <f t="shared" si="6"/>
        <v>0</v>
      </c>
      <c r="U16" s="9">
        <f t="shared" si="6"/>
        <v>0</v>
      </c>
      <c r="V16" s="9">
        <f t="shared" si="6"/>
        <v>0</v>
      </c>
      <c r="W16" s="9">
        <f t="shared" si="6"/>
        <v>0</v>
      </c>
      <c r="X16" s="9">
        <f t="shared" si="6"/>
        <v>0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7209311</v>
      </c>
      <c r="AC16" s="7">
        <f t="shared" ref="AC16:AC49" si="7">SUM(O16,AB16)</f>
        <v>87160968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1"/>
      <c r="R17" s="1"/>
      <c r="S17" s="1"/>
      <c r="U17" s="1"/>
      <c r="V17" s="1"/>
      <c r="W17" s="1"/>
      <c r="X17" s="1"/>
      <c r="Y17" s="1"/>
      <c r="Z17" s="1"/>
      <c r="AA17" s="1"/>
      <c r="AB17" s="12">
        <f t="shared" ref="AB17:AB47" si="9">SUM(P17:AA17)</f>
        <v>535880</v>
      </c>
      <c r="AC17" s="11">
        <f t="shared" si="7"/>
        <v>7182940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1"/>
      <c r="R18" s="1"/>
      <c r="S18" s="1"/>
      <c r="U18" s="1"/>
      <c r="V18" s="1"/>
      <c r="W18" s="1"/>
      <c r="X18" s="1"/>
      <c r="Y18" s="1"/>
      <c r="Z18" s="1"/>
      <c r="AA18" s="1"/>
      <c r="AB18" s="12">
        <f t="shared" si="9"/>
        <v>53580</v>
      </c>
      <c r="AC18" s="11">
        <f t="shared" si="7"/>
        <v>718210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1"/>
      <c r="R19" s="1"/>
      <c r="S19" s="1"/>
      <c r="U19" s="1"/>
      <c r="V19" s="1"/>
      <c r="W19" s="1"/>
      <c r="X19" s="1"/>
      <c r="Y19" s="1"/>
      <c r="Z19" s="1"/>
      <c r="AA19" s="1"/>
      <c r="AB19" s="12">
        <f t="shared" si="9"/>
        <v>302570</v>
      </c>
      <c r="AC19" s="11">
        <f t="shared" si="7"/>
        <v>3609230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1"/>
      <c r="R20" s="1"/>
      <c r="S20" s="1"/>
      <c r="U20" s="1"/>
      <c r="V20" s="1"/>
      <c r="W20" s="1"/>
      <c r="X20" s="1"/>
      <c r="Y20" s="1"/>
      <c r="Z20" s="1"/>
      <c r="AA20" s="1"/>
      <c r="AB20" s="12">
        <f t="shared" si="9"/>
        <v>235360</v>
      </c>
      <c r="AC20" s="11">
        <f t="shared" si="7"/>
        <v>2957950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1"/>
      <c r="R21" s="1"/>
      <c r="S21" s="1"/>
      <c r="U21" s="1"/>
      <c r="V21" s="1"/>
      <c r="W21" s="1"/>
      <c r="X21" s="1"/>
      <c r="Y21" s="1"/>
      <c r="Z21" s="1"/>
      <c r="AA21" s="1"/>
      <c r="AB21" s="12">
        <f t="shared" si="9"/>
        <v>64880</v>
      </c>
      <c r="AC21" s="11">
        <f t="shared" si="7"/>
        <v>784880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1"/>
      <c r="R22" s="1"/>
      <c r="S22" s="1"/>
      <c r="U22" s="1"/>
      <c r="V22" s="1"/>
      <c r="W22" s="1"/>
      <c r="X22" s="1"/>
      <c r="Y22" s="1"/>
      <c r="Z22" s="1"/>
      <c r="AA22" s="1"/>
      <c r="AB22" s="12">
        <f t="shared" si="9"/>
        <v>30920</v>
      </c>
      <c r="AC22" s="11">
        <f t="shared" si="7"/>
        <v>383420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1"/>
      <c r="R23" s="1"/>
      <c r="S23" s="1"/>
      <c r="U23" s="1"/>
      <c r="V23" s="1"/>
      <c r="W23" s="1"/>
      <c r="X23" s="1"/>
      <c r="Y23" s="1"/>
      <c r="Z23" s="1"/>
      <c r="AA23" s="1"/>
      <c r="AB23" s="12">
        <f t="shared" si="9"/>
        <v>6500</v>
      </c>
      <c r="AC23" s="11">
        <f t="shared" si="7"/>
        <v>84500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1"/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0</v>
      </c>
      <c r="AC24" s="11">
        <f t="shared" si="7"/>
        <v>-20150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1"/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0</v>
      </c>
      <c r="AC25" s="11">
        <f t="shared" si="7"/>
        <v>-1980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1"/>
      <c r="R26" s="1"/>
      <c r="S26" s="1"/>
      <c r="U26" s="1"/>
      <c r="V26" s="1"/>
      <c r="W26" s="1"/>
      <c r="X26" s="1"/>
      <c r="Y26" s="1"/>
      <c r="Z26" s="1"/>
      <c r="AA26" s="1"/>
      <c r="AB26" s="12">
        <f t="shared" si="9"/>
        <v>185185</v>
      </c>
      <c r="AC26" s="11">
        <f t="shared" si="7"/>
        <v>2407405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1"/>
      <c r="R27" s="1"/>
      <c r="S27" s="1"/>
      <c r="U27" s="1"/>
      <c r="V27" s="1"/>
      <c r="W27" s="1"/>
      <c r="X27" s="1"/>
      <c r="Y27" s="1"/>
      <c r="Z27" s="1"/>
      <c r="AA27" s="1"/>
      <c r="AB27" s="12">
        <f t="shared" si="9"/>
        <v>5819</v>
      </c>
      <c r="AC27" s="11">
        <f t="shared" si="7"/>
        <v>86354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1"/>
      <c r="U30" s="1"/>
      <c r="V30" s="1"/>
      <c r="W30" s="1"/>
      <c r="X30" s="1"/>
      <c r="Y30" s="1"/>
      <c r="Z30" s="1"/>
      <c r="AA30" s="1"/>
      <c r="AB30" s="12">
        <f t="shared" si="9"/>
        <v>0</v>
      </c>
      <c r="AC30" s="11">
        <f t="shared" si="7"/>
        <v>362970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0</v>
      </c>
      <c r="R31" s="9">
        <f>SUM(R17:R30)</f>
        <v>0</v>
      </c>
      <c r="S31" s="9">
        <f>SUM(S17:S30)</f>
        <v>0</v>
      </c>
      <c r="T31" s="9">
        <f>SUM(T17:T30)</f>
        <v>0</v>
      </c>
      <c r="U31" s="9">
        <f t="shared" ref="U31:AA31" si="11">SUM(U17:U30)</f>
        <v>0</v>
      </c>
      <c r="V31" s="9">
        <f t="shared" si="11"/>
        <v>0</v>
      </c>
      <c r="W31" s="9">
        <f t="shared" si="11"/>
        <v>0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1420694</v>
      </c>
      <c r="AC31" s="23">
        <f t="shared" si="7"/>
        <v>18555729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0</v>
      </c>
      <c r="R32" s="21">
        <f t="shared" si="13"/>
        <v>0</v>
      </c>
      <c r="S32" s="21">
        <f t="shared" si="13"/>
        <v>0</v>
      </c>
      <c r="T32" s="21">
        <f t="shared" si="13"/>
        <v>0</v>
      </c>
      <c r="U32" s="21">
        <f t="shared" si="13"/>
        <v>0</v>
      </c>
      <c r="V32" s="21">
        <f t="shared" si="13"/>
        <v>0</v>
      </c>
      <c r="W32" s="21">
        <f t="shared" si="13"/>
        <v>0</v>
      </c>
      <c r="X32" s="21">
        <f t="shared" si="13"/>
        <v>0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5788617</v>
      </c>
      <c r="AC32" s="19">
        <f t="shared" si="7"/>
        <v>68605239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0</v>
      </c>
      <c r="R49" s="4">
        <f t="shared" si="19"/>
        <v>0</v>
      </c>
      <c r="S49" s="4">
        <f t="shared" si="19"/>
        <v>0</v>
      </c>
      <c r="T49" s="4">
        <f t="shared" si="19"/>
        <v>0</v>
      </c>
      <c r="U49" s="4">
        <f t="shared" si="19"/>
        <v>0</v>
      </c>
      <c r="V49" s="4">
        <f t="shared" si="19"/>
        <v>0</v>
      </c>
      <c r="W49" s="4">
        <f t="shared" si="19"/>
        <v>0</v>
      </c>
      <c r="X49" s="4">
        <f t="shared" si="19"/>
        <v>0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5788617</v>
      </c>
      <c r="AC49" s="2">
        <f t="shared" si="7"/>
        <v>68605239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G21" sqref="G21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72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1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70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C:/Users/uidk3743/AppData/Local/Microsoft/Windows/INetCache/Content.Outlook/Y9X6OYUT/salary.htm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C:\Users\uidk3743\AppData\Local\Microsoft\Windows\INetCache\Content.Outlook\Y9X6OYUT\salary.htm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70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C:/Users/uidk3743/AppData/Local/Microsoft/Windows/INetCache/Content.Outlook/Y9X6OYUT/salary.htm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C:\Users\uidk3743\AppData\Local\Microsoft\Windows\INetCache\Content.Outlook\Y9X6OYUT\salary.htm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2026-01-23T01:04:29Z</dcterms:modified>
</cp:coreProperties>
</file>