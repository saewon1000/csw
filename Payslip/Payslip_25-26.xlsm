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3BECCF20-0D3A-4E1B-BFCC-B3ED69ABB973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2" l="1"/>
  <c r="AC6" i="2"/>
  <c r="AC29" i="2"/>
  <c r="AC28" i="2"/>
  <c r="AB15" i="2"/>
  <c r="AC15" i="2" s="1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C30" i="2" s="1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C12" i="2" s="1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<sst xmlns="http://schemas.openxmlformats.org/spreadsheetml/2006/main" count="91" uniqueCount="74">
  <si>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</si>
  <si>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</si>
  <si>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</si>
  <si>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</si>
  <si>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</si>
  <si>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</si>
  <si>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</si>
  <si>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</si>
  <si>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</si>
  <si>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</si>
  <si>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</si>
  <si>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</si>
  <si>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</si>
  <si>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</si>
  <si>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</si>
  <si>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</si>
  <si>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</si>
  <si>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</si>
  <si>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</si>
  <si>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</si>
  <si>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</si>
  <si>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</si>
  <si>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</si>
  <si>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</si>
  <si>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</si>
  <si>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</si>
  <si>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</si>
  <si>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</si>
  <si>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</si>
  <si>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</si>
  <si>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</si>
  <si>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</si>
  <si>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</si>
  <si>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</si>
  <si>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</si>
  <si>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</si>
  <si>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</si>
  <si>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</si>
  <si>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</si>
  <si>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</si>
  <si>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</si>
  <si>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</si>
  <si>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</si>
  <si>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</si>
  <si>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</si>
  <si>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</si>
  <si>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</si>
  <si>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</si>
  <si>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</si>
  <si>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</si>
  <si>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</si>
  <si>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</si>
  <si>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</si>
  <si>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</si>
  <si>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</si>
  <si>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</si>
  <si>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</si>
  <si>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</si>
  <si>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</si>
  <si>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</si>
  <si>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</si>
  <si>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</si>
  <si>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</si>
  <si>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</si>
  <si>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</si>
  <si>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</si>
  <si>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</si>
  <si>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</si>
  <si>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</si>
  <si>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</si>
  <si>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</si>
  <si>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</si>
  <si>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</si>
  <si>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file:///C:/Users/uidk3743/AppData/Local/Microsoft/Olk/Attachments/ooa-62643974-b48c-4dcd-97f0-c1a45bf950c2/2e1d841c71bbfcaa7b83c61ac2e54a954ee9da1f9e8b58b4209d90d1e718e3c4/salary.htm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</si>
</sst>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6" fillId="13" borderId="0" xfId="0" applyFont="1" applyFill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2e1d841c71bbfcaa7b83c61ac2e54a954ee9da1f9e8b58b4209d90d1e718e3c4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D17" activePane="bottomRight" state="frozen"/>
      <selection pane="topRight" activeCell="O1" sqref="O1"/>
      <selection pane="bottomLeft" activeCell="A5" sqref="A5"/>
      <selection pane="bottomRight" activeCell="S26" sqref="S26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47">
        <v>6357417</v>
      </c>
      <c r="T5" s="47">
        <v>6357417</v>
      </c>
      <c r="U5" s="47">
        <v>6357417</v>
      </c>
      <c r="V5" s="47">
        <v>6357417</v>
      </c>
      <c r="W5" s="47">
        <v>6357417</v>
      </c>
      <c r="X5" s="47">
        <v>6357417</v>
      </c>
      <c r="Y5" s="1"/>
      <c r="Z5" s="1"/>
      <c r="AA5" s="1"/>
      <c r="AB5" s="12">
        <f t="shared" ref="AB5:AB14" si="1">SUM(P5:AA5)</f>
        <v>57216753</v>
      </c>
      <c r="AC5" s="11">
        <f>SUM(O5,AB5)</f>
        <v>104748757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47">
        <v>304000</v>
      </c>
      <c r="X11" s="1"/>
      <c r="Y11" s="1"/>
      <c r="Z11" s="1"/>
      <c r="AA11" s="1"/>
      <c r="AB11" s="12">
        <f t="shared" si="1"/>
        <v>308000</v>
      </c>
      <c r="AC11" s="11">
        <f t="shared" si="3"/>
        <v>434000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47">
        <v>11821208</v>
      </c>
      <c r="U12" s="1"/>
      <c r="V12" s="1"/>
      <c r="W12" s="1"/>
      <c r="X12" s="1"/>
      <c r="Y12" s="1"/>
      <c r="Z12" s="1"/>
      <c r="AA12" s="1"/>
      <c r="AB12" s="12">
        <f t="shared" si="1"/>
        <v>11821208</v>
      </c>
      <c r="AC12" s="11">
        <f t="shared" si="3"/>
        <v>19701053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47">
        <v>869650</v>
      </c>
      <c r="U15" s="1"/>
      <c r="V15" s="47">
        <v>321621</v>
      </c>
      <c r="W15" s="1"/>
      <c r="X15" s="1"/>
      <c r="Y15" s="1"/>
      <c r="Z15" s="1"/>
      <c r="AA15" s="1"/>
      <c r="AB15" s="12">
        <f>SUM(P15:AA15)</f>
        <v>1191271</v>
      </c>
      <c r="AC15" s="11">
        <f t="shared" si="3"/>
        <v>1667921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19048275</v>
      </c>
      <c r="T16" s="9">
        <f t="shared" si="6"/>
        <v>6357417</v>
      </c>
      <c r="U16" s="9">
        <f t="shared" si="6"/>
        <v>6357417</v>
      </c>
      <c r="V16" s="9">
        <f t="shared" si="6"/>
        <v>6679038</v>
      </c>
      <c r="W16" s="9">
        <f t="shared" si="6"/>
        <v>6661417</v>
      </c>
      <c r="X16" s="9">
        <f t="shared" si="6"/>
        <v>6357417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71589126</v>
      </c>
      <c r="AC16" s="7">
        <f t="shared" ref="AC16:AC49" si="7">SUM(O16,AB16)</f>
        <v>151540783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47">
        <v>2315520</v>
      </c>
      <c r="T17" s="47">
        <v>641320</v>
      </c>
      <c r="U17" s="47">
        <v>630200</v>
      </c>
      <c r="V17" s="47">
        <v>701030</v>
      </c>
      <c r="W17" s="47">
        <v>697010</v>
      </c>
      <c r="X17" s="47">
        <v>627700</v>
      </c>
      <c r="Y17" s="1"/>
      <c r="Z17" s="1"/>
      <c r="AA17" s="1"/>
      <c r="AB17" s="12">
        <f t="shared" ref="AB17:AB47" si="9">SUM(P17:AA17)</f>
        <v>7409060</v>
      </c>
      <c r="AC17" s="11">
        <f t="shared" si="7"/>
        <v>14056120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47">
        <v>231550</v>
      </c>
      <c r="T18" s="47">
        <v>64130</v>
      </c>
      <c r="U18" s="47">
        <v>63020</v>
      </c>
      <c r="V18" s="47">
        <v>70100</v>
      </c>
      <c r="W18" s="47">
        <v>69700</v>
      </c>
      <c r="X18" s="47">
        <v>62770</v>
      </c>
      <c r="Y18" s="1"/>
      <c r="Z18" s="1"/>
      <c r="AA18" s="1"/>
      <c r="AB18" s="12">
        <f t="shared" si="9"/>
        <v>740890</v>
      </c>
      <c r="AC18" s="11">
        <f t="shared" si="7"/>
        <v>1405520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47">
        <v>302570</v>
      </c>
      <c r="T19" s="47">
        <v>302570</v>
      </c>
      <c r="U19" s="47">
        <v>302570</v>
      </c>
      <c r="V19" s="47">
        <v>313020</v>
      </c>
      <c r="W19" s="47">
        <v>313020</v>
      </c>
      <c r="X19" s="47">
        <v>313020</v>
      </c>
      <c r="Y19" s="1"/>
      <c r="Z19" s="1"/>
      <c r="AA19" s="1"/>
      <c r="AB19" s="12">
        <f t="shared" si="9"/>
        <v>2754480</v>
      </c>
      <c r="AC19" s="11">
        <f t="shared" si="7"/>
        <v>6061140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47">
        <v>245740</v>
      </c>
      <c r="T20" s="47">
        <v>245740</v>
      </c>
      <c r="U20" s="47">
        <v>245740</v>
      </c>
      <c r="V20" s="47">
        <v>245740</v>
      </c>
      <c r="W20" s="47">
        <v>245740</v>
      </c>
      <c r="X20" s="47">
        <v>245740</v>
      </c>
      <c r="Y20" s="1"/>
      <c r="Z20" s="1"/>
      <c r="AA20" s="1"/>
      <c r="AB20" s="12">
        <f t="shared" si="9"/>
        <v>2180520</v>
      </c>
      <c r="AC20" s="11">
        <f t="shared" si="7"/>
        <v>4903110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47">
        <v>171430</v>
      </c>
      <c r="T21" s="47">
        <v>57210</v>
      </c>
      <c r="U21" s="47">
        <v>57210</v>
      </c>
      <c r="V21" s="47">
        <v>60110</v>
      </c>
      <c r="W21" s="47">
        <v>59950</v>
      </c>
      <c r="X21" s="47">
        <v>63510</v>
      </c>
      <c r="Y21" s="1"/>
      <c r="Z21" s="1"/>
      <c r="AA21" s="1"/>
      <c r="AB21" s="12">
        <f t="shared" si="9"/>
        <v>650560</v>
      </c>
      <c r="AC21" s="11">
        <f t="shared" si="7"/>
        <v>1370560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47">
        <v>32290</v>
      </c>
      <c r="T22" s="47">
        <v>32290</v>
      </c>
      <c r="U22" s="47">
        <v>32290</v>
      </c>
      <c r="V22" s="47">
        <v>32290</v>
      </c>
      <c r="W22" s="47">
        <v>32290</v>
      </c>
      <c r="X22" s="47">
        <v>32290</v>
      </c>
      <c r="Y22" s="1"/>
      <c r="Z22" s="1"/>
      <c r="AA22" s="1"/>
      <c r="AB22" s="12">
        <f t="shared" si="9"/>
        <v>286500</v>
      </c>
      <c r="AC22" s="11">
        <f t="shared" si="7"/>
        <v>639000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47">
        <v>6500</v>
      </c>
      <c r="Y23" s="1"/>
      <c r="Z23" s="1"/>
      <c r="AA23" s="1"/>
      <c r="AB23" s="12">
        <f t="shared" si="9"/>
        <v>58500</v>
      </c>
      <c r="AC23" s="11">
        <f t="shared" si="7"/>
        <v>136500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47">
        <v>518518</v>
      </c>
      <c r="T26" s="47">
        <v>518518</v>
      </c>
      <c r="U26" s="47">
        <v>518518</v>
      </c>
      <c r="V26" s="47">
        <v>518518</v>
      </c>
      <c r="W26" s="47">
        <v>518518</v>
      </c>
      <c r="X26" s="47">
        <v>518518</v>
      </c>
      <c r="Y26" s="1"/>
      <c r="Z26" s="1"/>
      <c r="AA26" s="1"/>
      <c r="AB26" s="12">
        <f t="shared" si="9"/>
        <v>4333329</v>
      </c>
      <c r="AC26" s="11">
        <f t="shared" si="7"/>
        <v>6555549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47">
        <v>11575</v>
      </c>
      <c r="T27" s="47">
        <v>10775</v>
      </c>
      <c r="U27" s="47">
        <v>10694</v>
      </c>
      <c r="V27" s="47">
        <v>9923</v>
      </c>
      <c r="W27" s="47">
        <v>9813</v>
      </c>
      <c r="X27" s="47">
        <v>9373</v>
      </c>
      <c r="Y27" s="1"/>
      <c r="Z27" s="1"/>
      <c r="AA27" s="1"/>
      <c r="AB27" s="12">
        <f t="shared" si="9"/>
        <v>87117</v>
      </c>
      <c r="AC27" s="11">
        <f t="shared" si="7"/>
        <v>167652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47">
        <v>209310</v>
      </c>
      <c r="U30" s="1"/>
      <c r="V30" s="1"/>
      <c r="W30" s="1"/>
      <c r="X30" s="1"/>
      <c r="Y30" s="1"/>
      <c r="Z30" s="1"/>
      <c r="AA30" s="1"/>
      <c r="AB30" s="12">
        <f t="shared" si="9"/>
        <v>209310</v>
      </c>
      <c r="AC30" s="11">
        <f t="shared" si="7"/>
        <v>572280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4045003</v>
      </c>
      <c r="T31" s="9">
        <f>SUM(T17:T30)</f>
        <v>1879053</v>
      </c>
      <c r="U31" s="9">
        <f t="shared" ref="U31:AA31" si="11">SUM(U17:U30)</f>
        <v>1866742</v>
      </c>
      <c r="V31" s="9">
        <f t="shared" si="11"/>
        <v>1957231</v>
      </c>
      <c r="W31" s="9">
        <f t="shared" si="11"/>
        <v>1952541</v>
      </c>
      <c r="X31" s="9">
        <f t="shared" si="11"/>
        <v>1879421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19801216</v>
      </c>
      <c r="AC31" s="23">
        <f t="shared" si="7"/>
        <v>36936251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15003272</v>
      </c>
      <c r="T32" s="21">
        <f t="shared" si="13"/>
        <v>4478364</v>
      </c>
      <c r="U32" s="21">
        <f t="shared" si="13"/>
        <v>4490675</v>
      </c>
      <c r="V32" s="21">
        <f t="shared" si="13"/>
        <v>4721807</v>
      </c>
      <c r="W32" s="21">
        <f t="shared" si="13"/>
        <v>4708876</v>
      </c>
      <c r="X32" s="21">
        <f t="shared" si="13"/>
        <v>4477996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51787910</v>
      </c>
      <c r="AC32" s="19">
        <f t="shared" si="7"/>
        <v>114604532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15003272</v>
      </c>
      <c r="T49" s="4">
        <f t="shared" si="19"/>
        <v>4478364</v>
      </c>
      <c r="U49" s="4">
        <f t="shared" si="19"/>
        <v>4490675</v>
      </c>
      <c r="V49" s="4">
        <f t="shared" si="19"/>
        <v>4721807</v>
      </c>
      <c r="W49" s="4">
        <f t="shared" si="19"/>
        <v>4708876</v>
      </c>
      <c r="X49" s="4">
        <f t="shared" si="19"/>
        <v>4477996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51787910</v>
      </c>
      <c r="AC49" s="2">
        <f t="shared" si="7"/>
        <v>114604532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L11" sqref="L11"/>
    </sheetView>
  </sheetViews>
  <sheetFormatPr defaultRowHeight="16.5" x14ac:dyDescent="0.3"/>
  <cols>
    <col min="1" max="1" width="11.375" bestFit="1" customWidth="1"/>
    <col min="2" max="2" width="10.25" bestFit="1" customWidth="1"/>
    <col min="4" max="4" width="9.375" bestFit="1" customWidth="1"/>
    <col min="6" max="6" width="9.25" bestFit="1" customWidth="1"/>
    <col min="7" max="7" width="10.2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9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C:/Users/uidk3743/AppData/Local/Microsoft/Olk/Attachments/ooa-62643974-b48c-4dcd-97f0-c1a45bf950c2/2e1d841c71bbfcaa7b83c61ac2e54a954ee9da1f9e8b58b4209d90d1e718e3c4/salary.htm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C:\Users\uidk3743\AppData\Local\Microsoft\Olk\Attachments\ooa-62643974-b48c-4dcd-97f0-c1a45bf950c2\2e1d841c71bbfcaa7b83c61ac2e54a954ee9da1f9e8b58b4209d90d1e718e3c4\salary.htm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6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2026-09-29T08:19:03Z</dcterms:modified>
</cp:coreProperties>
</file>