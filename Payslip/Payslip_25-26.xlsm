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csw\Payslip\"/>
    </mc:Choice>
  </mc:AlternateContent>
  <xr:revisionPtr revIDLastSave="0" documentId="13_ncr:1_{EA5B7F1E-7356-4828-9294-882F69CA412A}" xr6:coauthVersionLast="47" xr6:coauthVersionMax="47" xr10:uidLastSave="{00000000-0000-0000-0000-000000000000}"/>
  <bookViews>
    <workbookView xWindow="-120" yWindow="-120" windowWidth="29040" windowHeight="15720" xr2:uid="{EC0B668B-FCDA-4ECD-9209-E5C8818E2784}"/>
  </bookViews>
  <sheets>
    <sheet name="정리" sheetId="2" r:id="rId1"/>
    <sheet name="명세서" sheetId="1" r:id="rId2"/>
    <sheet name="보너스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0" i="2" l="1"/>
  <c r="AC6" i="2"/>
  <c r="AC29" i="2"/>
  <c r="AC28" i="2"/>
  <c r="AB15" i="2"/>
  <c r="AC15" i="2" s="1"/>
  <c r="O15" i="2"/>
  <c r="G31" i="2"/>
  <c r="T31" i="2"/>
  <c r="P2" i="2"/>
  <c r="N16" i="2" l="1"/>
  <c r="M16" i="2"/>
  <c r="L16" i="2"/>
  <c r="K16" i="2"/>
  <c r="J16" i="2"/>
  <c r="I16" i="2"/>
  <c r="H16" i="2"/>
  <c r="G16" i="2"/>
  <c r="F16" i="2"/>
  <c r="E16" i="2"/>
  <c r="D16" i="2"/>
  <c r="C16" i="2"/>
  <c r="K17" i="1"/>
  <c r="K18" i="1" s="1"/>
  <c r="AB7" i="2"/>
  <c r="AC7" i="2" s="1"/>
  <c r="O7" i="2"/>
  <c r="O47" i="2"/>
  <c r="AB47" i="2"/>
  <c r="AB25" i="2"/>
  <c r="AC25" i="2" s="1"/>
  <c r="AB24" i="2"/>
  <c r="AC24" i="2" s="1"/>
  <c r="AB8" i="2"/>
  <c r="AC8" i="2" s="1"/>
  <c r="AB6" i="2"/>
  <c r="O6" i="2"/>
  <c r="AA16" i="2"/>
  <c r="Z16" i="2"/>
  <c r="Y16" i="2"/>
  <c r="X16" i="2"/>
  <c r="W16" i="2"/>
  <c r="V16" i="2"/>
  <c r="U16" i="2"/>
  <c r="T16" i="2"/>
  <c r="S16" i="2"/>
  <c r="R16" i="2"/>
  <c r="Q16" i="2"/>
  <c r="P16" i="2"/>
  <c r="K12" i="1"/>
  <c r="K13" i="1" s="1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8" i="2"/>
  <c r="O9" i="2"/>
  <c r="O10" i="2"/>
  <c r="O11" i="2"/>
  <c r="O12" i="2"/>
  <c r="O13" i="2"/>
  <c r="O14" i="2"/>
  <c r="AA48" i="2" l="1"/>
  <c r="Z48" i="2"/>
  <c r="Y48" i="2"/>
  <c r="X48" i="2"/>
  <c r="W48" i="2"/>
  <c r="V48" i="2"/>
  <c r="U48" i="2"/>
  <c r="T48" i="2"/>
  <c r="S48" i="2"/>
  <c r="R48" i="2"/>
  <c r="Q48" i="2"/>
  <c r="P48" i="2"/>
  <c r="N48" i="2"/>
  <c r="M48" i="2"/>
  <c r="L48" i="2"/>
  <c r="K48" i="2"/>
  <c r="J48" i="2"/>
  <c r="I48" i="2"/>
  <c r="H48" i="2"/>
  <c r="G48" i="2"/>
  <c r="F48" i="2"/>
  <c r="E48" i="2"/>
  <c r="D48" i="2"/>
  <c r="C48" i="2"/>
  <c r="AC47" i="2"/>
  <c r="AB46" i="2"/>
  <c r="O46" i="2"/>
  <c r="AB45" i="2"/>
  <c r="O45" i="2"/>
  <c r="AB44" i="2"/>
  <c r="O44" i="2"/>
  <c r="AC44" i="2" s="1"/>
  <c r="AB43" i="2"/>
  <c r="O43" i="2"/>
  <c r="AB42" i="2"/>
  <c r="O42" i="2"/>
  <c r="AB41" i="2"/>
  <c r="O41" i="2"/>
  <c r="AB40" i="2"/>
  <c r="O40" i="2"/>
  <c r="AC40" i="2" s="1"/>
  <c r="AB39" i="2"/>
  <c r="O39" i="2"/>
  <c r="AC39" i="2" s="1"/>
  <c r="AB38" i="2"/>
  <c r="O38" i="2"/>
  <c r="AB37" i="2"/>
  <c r="O37" i="2"/>
  <c r="AB36" i="2"/>
  <c r="O36" i="2"/>
  <c r="AB35" i="2"/>
  <c r="O35" i="2"/>
  <c r="AB34" i="2"/>
  <c r="O34" i="2"/>
  <c r="AC34" i="2" s="1"/>
  <c r="AB33" i="2"/>
  <c r="O33" i="2"/>
  <c r="AA31" i="2"/>
  <c r="AA32" i="2" s="1"/>
  <c r="Z31" i="2"/>
  <c r="Y31" i="2"/>
  <c r="X31" i="2"/>
  <c r="W31" i="2"/>
  <c r="V31" i="2"/>
  <c r="U31" i="2"/>
  <c r="S31" i="2"/>
  <c r="R31" i="2"/>
  <c r="Q31" i="2"/>
  <c r="P31" i="2"/>
  <c r="N31" i="2"/>
  <c r="M31" i="2"/>
  <c r="L31" i="2"/>
  <c r="K31" i="2"/>
  <c r="J31" i="2"/>
  <c r="I31" i="2"/>
  <c r="H31" i="2"/>
  <c r="F31" i="2"/>
  <c r="E31" i="2"/>
  <c r="D31" i="2"/>
  <c r="C31" i="2"/>
  <c r="AB30" i="2"/>
  <c r="AC30" i="2" s="1"/>
  <c r="AB29" i="2"/>
  <c r="AB28" i="2"/>
  <c r="AB27" i="2"/>
  <c r="AC27" i="2" s="1"/>
  <c r="AB26" i="2"/>
  <c r="AC26" i="2" s="1"/>
  <c r="AB23" i="2"/>
  <c r="AC23" i="2" s="1"/>
  <c r="AB22" i="2"/>
  <c r="AC22" i="2" s="1"/>
  <c r="AB21" i="2"/>
  <c r="AC21" i="2" s="1"/>
  <c r="AB20" i="2"/>
  <c r="AC20" i="2" s="1"/>
  <c r="AB19" i="2"/>
  <c r="AC19" i="2" s="1"/>
  <c r="AB18" i="2"/>
  <c r="AC18" i="2" s="1"/>
  <c r="AB17" i="2"/>
  <c r="AC17" i="2" s="1"/>
  <c r="O17" i="2"/>
  <c r="AB14" i="2"/>
  <c r="AC14" i="2" s="1"/>
  <c r="AB13" i="2"/>
  <c r="AC13" i="2" s="1"/>
  <c r="AB12" i="2"/>
  <c r="AC12" i="2" s="1"/>
  <c r="AB11" i="2"/>
  <c r="AC11" i="2" s="1"/>
  <c r="AB10" i="2"/>
  <c r="AB9" i="2"/>
  <c r="AC9" i="2" s="1"/>
  <c r="AB5" i="2"/>
  <c r="AC5" i="2" s="1"/>
  <c r="O5" i="2"/>
  <c r="O31" i="2" l="1"/>
  <c r="C32" i="2"/>
  <c r="AC46" i="2"/>
  <c r="U32" i="2"/>
  <c r="U49" i="2" s="1"/>
  <c r="D32" i="2"/>
  <c r="D49" i="2" s="1"/>
  <c r="AC41" i="2"/>
  <c r="L32" i="2"/>
  <c r="L49" i="2" s="1"/>
  <c r="H32" i="2"/>
  <c r="H49" i="2" s="1"/>
  <c r="Y32" i="2"/>
  <c r="Y49" i="2" s="1"/>
  <c r="N32" i="2"/>
  <c r="N49" i="2" s="1"/>
  <c r="G32" i="2"/>
  <c r="G49" i="2" s="1"/>
  <c r="C49" i="2"/>
  <c r="O49" i="2" s="1"/>
  <c r="AA49" i="2"/>
  <c r="P32" i="2"/>
  <c r="P49" i="2" s="1"/>
  <c r="Q32" i="2"/>
  <c r="Q49" i="2" s="1"/>
  <c r="R32" i="2"/>
  <c r="R49" i="2" s="1"/>
  <c r="AC38" i="2"/>
  <c r="AC33" i="2"/>
  <c r="AB48" i="2"/>
  <c r="F32" i="2"/>
  <c r="F49" i="2" s="1"/>
  <c r="W32" i="2"/>
  <c r="W49" i="2" s="1"/>
  <c r="AC42" i="2"/>
  <c r="X32" i="2"/>
  <c r="X49" i="2" s="1"/>
  <c r="AC35" i="2"/>
  <c r="E32" i="2"/>
  <c r="E49" i="2" s="1"/>
  <c r="V32" i="2"/>
  <c r="V49" i="2" s="1"/>
  <c r="AC37" i="2"/>
  <c r="AC45" i="2"/>
  <c r="Z32" i="2"/>
  <c r="Z49" i="2" s="1"/>
  <c r="K32" i="2"/>
  <c r="K49" i="2" s="1"/>
  <c r="AB31" i="2"/>
  <c r="M32" i="2"/>
  <c r="M49" i="2" s="1"/>
  <c r="S32" i="2"/>
  <c r="S49" i="2" s="1"/>
  <c r="O48" i="2"/>
  <c r="T32" i="2"/>
  <c r="T49" i="2" s="1"/>
  <c r="AC36" i="2"/>
  <c r="AC43" i="2"/>
  <c r="J32" i="2"/>
  <c r="J49" i="2" s="1"/>
  <c r="I32" i="2"/>
  <c r="I49" i="2" s="1"/>
  <c r="AB16" i="2"/>
  <c r="O16" i="2"/>
  <c r="AC48" i="2" l="1"/>
  <c r="AB49" i="2"/>
  <c r="AC31" i="2"/>
  <c r="AC16" i="2"/>
  <c r="AB32" i="2"/>
  <c r="O32" i="2"/>
  <c r="AC32" i="2" l="1"/>
  <c r="AC49" i="2"/>
</calcChain>
</file>

<file path=xl/sharedStrings.xml><?xml version="1.0" encoding="utf-8"?>
<sst xmlns="http://schemas.openxmlformats.org/spreadsheetml/2006/main" count="91" uniqueCount="74">
  <si>
    <t>잔액</t>
    <phoneticPr fontId="2" type="noConversion"/>
  </si>
  <si>
    <t>비용총액</t>
    <phoneticPr fontId="2" type="noConversion"/>
  </si>
  <si>
    <t>대출이자</t>
    <phoneticPr fontId="2" type="noConversion"/>
  </si>
  <si>
    <t>자동차보험</t>
    <phoneticPr fontId="2" type="noConversion"/>
  </si>
  <si>
    <t>핸드폰</t>
    <phoneticPr fontId="2" type="noConversion"/>
  </si>
  <si>
    <t>현금</t>
    <phoneticPr fontId="2" type="noConversion"/>
  </si>
  <si>
    <t>체크카드</t>
    <phoneticPr fontId="2" type="noConversion"/>
  </si>
  <si>
    <t>신용카드(c)</t>
    <phoneticPr fontId="2" type="noConversion"/>
  </si>
  <si>
    <t>신용카드(b)</t>
    <phoneticPr fontId="2" type="noConversion"/>
  </si>
  <si>
    <t>신용카드(a)</t>
    <phoneticPr fontId="2" type="noConversion"/>
  </si>
  <si>
    <t>방값/관리비</t>
    <phoneticPr fontId="2" type="noConversion"/>
  </si>
  <si>
    <t>자율적금</t>
    <phoneticPr fontId="2" type="noConversion"/>
  </si>
  <si>
    <t>실비보험</t>
    <phoneticPr fontId="2" type="noConversion"/>
  </si>
  <si>
    <t>연금보험</t>
    <phoneticPr fontId="2" type="noConversion"/>
  </si>
  <si>
    <t>&lt;Expense&gt;</t>
    <phoneticPr fontId="2" type="noConversion"/>
  </si>
  <si>
    <t>증가금액</t>
    <phoneticPr fontId="2" type="noConversion"/>
  </si>
  <si>
    <t>연봉</t>
    <phoneticPr fontId="2" type="noConversion"/>
  </si>
  <si>
    <t>실지급액</t>
    <phoneticPr fontId="2" type="noConversion"/>
  </si>
  <si>
    <t>공제총액</t>
    <phoneticPr fontId="2" type="noConversion"/>
  </si>
  <si>
    <t>건보료 연말정산</t>
    <phoneticPr fontId="2" type="noConversion"/>
  </si>
  <si>
    <t>연말기부금</t>
    <phoneticPr fontId="2" type="noConversion"/>
  </si>
  <si>
    <t>연금저축(회사)</t>
    <phoneticPr fontId="2" type="noConversion"/>
  </si>
  <si>
    <t>복지기금이자</t>
    <phoneticPr fontId="2" type="noConversion"/>
  </si>
  <si>
    <t>복지기금원금</t>
    <phoneticPr fontId="2" type="noConversion"/>
  </si>
  <si>
    <t>상조회비</t>
    <phoneticPr fontId="2" type="noConversion"/>
  </si>
  <si>
    <t>노인장기요양보험</t>
    <phoneticPr fontId="2" type="noConversion"/>
  </si>
  <si>
    <t>고용보험</t>
    <phoneticPr fontId="2" type="noConversion"/>
  </si>
  <si>
    <t>건강보험</t>
    <phoneticPr fontId="2" type="noConversion"/>
  </si>
  <si>
    <t>국민연금</t>
    <phoneticPr fontId="2" type="noConversion"/>
  </si>
  <si>
    <t>지방소득세</t>
    <phoneticPr fontId="2" type="noConversion"/>
  </si>
  <si>
    <t>소득세</t>
    <phoneticPr fontId="2" type="noConversion"/>
  </si>
  <si>
    <t>지급총액</t>
    <phoneticPr fontId="2" type="noConversion"/>
  </si>
  <si>
    <t>연차수당</t>
    <phoneticPr fontId="2" type="noConversion"/>
  </si>
  <si>
    <t>특별상여</t>
    <phoneticPr fontId="2" type="noConversion"/>
  </si>
  <si>
    <t>정기상여</t>
    <phoneticPr fontId="2" type="noConversion"/>
  </si>
  <si>
    <t>월봉</t>
    <phoneticPr fontId="2" type="noConversion"/>
  </si>
  <si>
    <t>SUM</t>
    <phoneticPr fontId="2" type="noConversion"/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</si>
  <si>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</si>
  <si>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</si>
  <si>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</si>
  <si>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</si>
  <si>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</si>
  <si>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</si>
  <si>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</si>
  <si>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</si>
  <si>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</si>
  <si>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</si>
  <si>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</si>
  <si>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  <phoneticPr fontId="2" type="noConversion"/>
  </si>
  <si>
    <t>&lt;Revenue&gt;</t>
    <phoneticPr fontId="2" type="noConversion"/>
  </si>
  <si>
    <t>TOTAL</t>
    <phoneticPr fontId="2" type="noConversion"/>
  </si>
  <si>
    <t>인상률</t>
    <phoneticPr fontId="2" type="noConversion"/>
  </si>
  <si>
    <t>년</t>
    <phoneticPr fontId="2" type="noConversion"/>
  </si>
  <si>
    <t>월</t>
    <phoneticPr fontId="2" type="noConversion"/>
  </si>
  <si>
    <t>현재 가능한 항목들 (이 외 리스트는 추가 필요)</t>
    <phoneticPr fontId="2" type="noConversion"/>
  </si>
  <si>
    <t>정산소득세</t>
    <phoneticPr fontId="2" type="noConversion"/>
  </si>
  <si>
    <t>정산지방소득세</t>
    <phoneticPr fontId="2" type="noConversion"/>
  </si>
  <si>
    <t>성과급/STI</t>
    <phoneticPr fontId="2" type="noConversion"/>
  </si>
  <si>
    <t>CIM/특허</t>
    <phoneticPr fontId="2" type="noConversion"/>
  </si>
  <si>
    <t>Path</t>
    <phoneticPr fontId="2" type="noConversion"/>
  </si>
  <si>
    <t>Copy Path</t>
    <phoneticPr fontId="2" type="noConversion"/>
  </si>
  <si>
    <t>temp Path</t>
    <phoneticPr fontId="2" type="noConversion"/>
  </si>
  <si>
    <t>휴일근로수당</t>
    <phoneticPr fontId="2" type="noConversion"/>
  </si>
  <si>
    <t>Special Bonus</t>
    <phoneticPr fontId="2" type="noConversion"/>
  </si>
  <si>
    <t>Copy Table</t>
    <phoneticPr fontId="2" type="noConversion"/>
  </si>
  <si>
    <t>Salary</t>
    <phoneticPr fontId="2" type="noConversion"/>
  </si>
  <si>
    <t>Bonus</t>
    <phoneticPr fontId="2" type="noConversion"/>
  </si>
  <si>
    <t>특근/OT</t>
    <phoneticPr fontId="2" type="noConversion"/>
  </si>
  <si>
    <t>소득세 지방소득세 국민연금 건강보험 고용보험 노인장기요양보험 상조회비 복지기금원금 복지기금 이자</t>
    <phoneticPr fontId="2" type="noConversion"/>
  </si>
  <si>
    <t>귀향비/휴가비</t>
    <phoneticPr fontId="2" type="noConversion"/>
  </si>
  <si>
    <t>기타</t>
    <phoneticPr fontId="2" type="noConversion"/>
  </si>
  <si>
    <t>월봉 정기상여 특별상여 CIM 특허포상금 하기휴가비</t>
    <phoneticPr fontId="2" type="noConversion"/>
  </si>
  <si>
    <t>file:///C:/Users/uidk3743/AppData/Local/Microsoft/Olk/Attachments/ooa-62643974-b48c-4dcd-97f0-c1a45bf950c2/cd82e8586f6cd507419462776577ced7915f8d2fdb92cceb6e859139a8593278/salary.htm</t>
    <phoneticPr fontId="2" type="noConversion"/>
  </si>
  <si>
    <t>file:///C:/Users/uidk3743/AppData/Local/Microsoft/Olk/Attachments/ooa-62643974-b48c-4dcd-97f0-c1a45bf950c2/52cce476c5fa3ee95bb406f6bc4b66c57d32af13c0a47b611a6df6f806276f79/salary.htm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</si>
</sst>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76" formatCode="_-* #,##0.0000_-;\-* #,##0.0000_-;_-* &quot;-&quot;??_-;_-@_-"/>
    <numFmt numFmtId="177" formatCode="_-* #,##0.00000_-;\-* #,##0.00000_-;_-* &quot;-&quot;??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1"/>
      <name val="Malgun Gothic Semilight"/>
      <family val="2"/>
      <charset val="129"/>
    </font>
    <font>
      <sz val="10"/>
      <color theme="1"/>
      <name val="Malgun Gothic Semilight"/>
      <family val="3"/>
      <charset val="129"/>
    </font>
    <font>
      <b/>
      <sz val="10"/>
      <color theme="9"/>
      <name val="Malgun Gothic Semilight"/>
      <family val="2"/>
      <charset val="129"/>
    </font>
    <font>
      <b/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BE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1" fontId="0" fillId="0" borderId="0" xfId="1" applyFont="1">
      <alignment vertical="center"/>
    </xf>
    <xf numFmtId="41" fontId="3" fillId="2" borderId="1" xfId="0" applyNumberFormat="1" applyFont="1" applyFill="1" applyBorder="1">
      <alignment vertical="center"/>
    </xf>
    <xf numFmtId="41" fontId="3" fillId="2" borderId="2" xfId="1" applyFont="1" applyFill="1" applyBorder="1">
      <alignment vertical="center"/>
    </xf>
    <xf numFmtId="41" fontId="3" fillId="2" borderId="0" xfId="1" applyFont="1" applyFill="1">
      <alignment vertical="center"/>
    </xf>
    <xf numFmtId="41" fontId="3" fillId="2" borderId="3" xfId="1" applyFont="1" applyFill="1" applyBorder="1">
      <alignment vertical="center"/>
    </xf>
    <xf numFmtId="0" fontId="3" fillId="3" borderId="0" xfId="0" applyFont="1" applyFill="1" applyAlignment="1">
      <alignment horizontal="center" vertical="center"/>
    </xf>
    <xf numFmtId="41" fontId="3" fillId="4" borderId="4" xfId="0" applyNumberFormat="1" applyFont="1" applyFill="1" applyBorder="1">
      <alignment vertical="center"/>
    </xf>
    <xf numFmtId="41" fontId="3" fillId="4" borderId="5" xfId="1" applyFont="1" applyFill="1" applyBorder="1">
      <alignment vertical="center"/>
    </xf>
    <xf numFmtId="41" fontId="0" fillId="4" borderId="0" xfId="1" applyFont="1" applyFill="1">
      <alignment vertical="center"/>
    </xf>
    <xf numFmtId="41" fontId="3" fillId="4" borderId="6" xfId="1" applyFont="1" applyFill="1" applyBorder="1">
      <alignment vertical="center"/>
    </xf>
    <xf numFmtId="41" fontId="0" fillId="5" borderId="4" xfId="0" applyNumberFormat="1" applyFill="1" applyBorder="1">
      <alignment vertical="center"/>
    </xf>
    <xf numFmtId="41" fontId="0" fillId="6" borderId="5" xfId="1" applyFont="1" applyFill="1" applyBorder="1">
      <alignment vertical="center"/>
    </xf>
    <xf numFmtId="41" fontId="0" fillId="6" borderId="6" xfId="1" applyFon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0" borderId="0" xfId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43" fontId="0" fillId="0" borderId="0" xfId="0" applyNumberFormat="1">
      <alignment vertical="center"/>
    </xf>
    <xf numFmtId="41" fontId="0" fillId="7" borderId="0" xfId="1" applyFont="1" applyFill="1">
      <alignment vertical="center"/>
    </xf>
    <xf numFmtId="41" fontId="3" fillId="8" borderId="4" xfId="0" applyNumberFormat="1" applyFont="1" applyFill="1" applyBorder="1">
      <alignment vertical="center"/>
    </xf>
    <xf numFmtId="41" fontId="3" fillId="8" borderId="5" xfId="1" applyFont="1" applyFill="1" applyBorder="1">
      <alignment vertical="center"/>
    </xf>
    <xf numFmtId="41" fontId="3" fillId="8" borderId="0" xfId="1" applyFont="1" applyFill="1">
      <alignment vertical="center"/>
    </xf>
    <xf numFmtId="41" fontId="3" fillId="8" borderId="6" xfId="1" applyFont="1" applyFill="1" applyBorder="1">
      <alignment vertical="center"/>
    </xf>
    <xf numFmtId="41" fontId="0" fillId="4" borderId="4" xfId="0" applyNumberFormat="1" applyFill="1" applyBorder="1">
      <alignment vertical="center"/>
    </xf>
    <xf numFmtId="41" fontId="0" fillId="4" borderId="5" xfId="1" applyFont="1" applyFill="1" applyBorder="1">
      <alignment vertical="center"/>
    </xf>
    <xf numFmtId="41" fontId="0" fillId="4" borderId="6" xfId="1" applyFont="1" applyFill="1" applyBorder="1">
      <alignment vertical="center"/>
    </xf>
    <xf numFmtId="0" fontId="3" fillId="0" borderId="0" xfId="0" applyFont="1">
      <alignment vertical="center"/>
    </xf>
    <xf numFmtId="3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3" fillId="9" borderId="7" xfId="1" applyFont="1" applyFill="1" applyBorder="1" applyAlignment="1">
      <alignment horizontal="center" vertical="center"/>
    </xf>
    <xf numFmtId="41" fontId="3" fillId="6" borderId="8" xfId="1" applyFont="1" applyFill="1" applyBorder="1" applyAlignment="1">
      <alignment horizontal="center" vertical="center"/>
    </xf>
    <xf numFmtId="41" fontId="3" fillId="10" borderId="0" xfId="1" applyFont="1" applyFill="1" applyAlignment="1">
      <alignment horizontal="center" vertical="center"/>
    </xf>
    <xf numFmtId="41" fontId="3" fillId="6" borderId="9" xfId="1" applyFont="1" applyFill="1" applyBorder="1" applyAlignment="1">
      <alignment horizontal="center" vertical="center"/>
    </xf>
    <xf numFmtId="0" fontId="0" fillId="11" borderId="0" xfId="1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0" fontId="3" fillId="0" borderId="0" xfId="2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4" borderId="12" xfId="0" applyFill="1" applyBorder="1">
      <alignment vertical="center"/>
    </xf>
    <xf numFmtId="0" fontId="0" fillId="14" borderId="13" xfId="0" applyFill="1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8" fillId="0" borderId="0" xfId="0" applyFont="1">
      <alignment vertical="center"/>
    </xf>
    <xf numFmtId="3" fontId="9" fillId="15" borderId="10" xfId="0" applyNumberFormat="1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10" fillId="0" borderId="20" xfId="3" applyBorder="1" applyAlignment="1">
      <alignment vertical="center"/>
    </xf>
    <xf numFmtId="0" fontId="10" fillId="0" borderId="21" xfId="3" applyBorder="1" applyAlignment="1">
      <alignment vertical="center"/>
    </xf>
    <xf numFmtId="0" fontId="10" fillId="16" borderId="22" xfId="3" applyFill="1" applyBorder="1" applyAlignment="1">
      <alignment vertical="center"/>
    </xf>
    <xf numFmtId="0" fontId="10" fillId="16" borderId="23" xfId="3" applyFill="1" applyBorder="1" applyAlignment="1">
      <alignment vertical="center"/>
    </xf>
    <xf numFmtId="0" fontId="0" fillId="12" borderId="9" xfId="0" applyFill="1" applyBorder="1" applyAlignment="1">
      <alignment horizontal="center" vertical="center"/>
    </xf>
    <xf numFmtId="0" fontId="10" fillId="16" borderId="0" xfId="3" applyFill="1" applyBorder="1" applyAlignment="1">
      <alignment vertical="center"/>
    </xf>
    <xf numFmtId="0" fontId="10" fillId="16" borderId="24" xfId="3" applyFill="1" applyBorder="1" applyAlignment="1">
      <alignment vertical="center"/>
    </xf>
    <xf numFmtId="0" fontId="10" fillId="0" borderId="19" xfId="3" applyFill="1" applyBorder="1">
      <alignment vertical="center"/>
    </xf>
    <xf numFmtId="0" fontId="0" fillId="11" borderId="0" xfId="1" applyNumberFormat="1" applyFont="1" applyFill="1" applyAlignment="1">
      <alignment horizontal="center" vertical="center"/>
    </xf>
    <xf numFmtId="0" fontId="5" fillId="13" borderId="0" xfId="0" applyFont="1" applyFill="1" applyAlignment="1">
      <alignment horizontal="left" vertical="center"/>
    </xf>
    <xf numFmtId="0" fontId="6" fillId="13" borderId="0" xfId="0" applyFont="1" applyFill="1" applyAlignment="1">
      <alignment horizontal="left" vertical="center" wrapText="1"/>
    </xf>
    <xf numFmtId="0" fontId="3" fillId="14" borderId="16" xfId="0" applyFont="1" applyFill="1" applyBorder="1" applyAlignment="1">
      <alignment horizontal="center" vertical="center"/>
    </xf>
    <xf numFmtId="0" fontId="3" fillId="14" borderId="17" xfId="0" applyFont="1" applyFill="1" applyBorder="1" applyAlignment="1">
      <alignment horizontal="center" vertical="center"/>
    </xf>
    <xf numFmtId="0" fontId="3" fillId="17" borderId="19" xfId="0" applyFont="1" applyFill="1" applyBorder="1" applyAlignment="1">
      <alignment horizontal="center" vertical="center"/>
    </xf>
    <xf numFmtId="0" fontId="3" fillId="17" borderId="20" xfId="0" applyFont="1" applyFill="1" applyBorder="1" applyAlignment="1">
      <alignment horizontal="center" vertical="center"/>
    </xf>
    <xf numFmtId="0" fontId="3" fillId="17" borderId="21" xfId="0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238125</xdr:colOff>
      <xdr:row>21</xdr:row>
      <xdr:rowOff>38100</xdr:rowOff>
    </xdr:from>
    <xdr:to>
      <xdr:col>10</xdr:col>
      <xdr:colOff>361950</xdr:colOff>
      <xdr:row>25</xdr:row>
      <xdr:rowOff>114300</xdr:rowOff>
    </xdr:to>
    <xdr:pic macro="[0]!CopyDataToAnotherSheet">
      <xdr:nvPicPr>
        <xdr:cNvPr id="3" name="그래픽 2" descr="돈 봉투 단색으로 채워진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67475" y="1095375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76200</xdr:rowOff>
        </xdr:from>
        <xdr:to>
          <xdr:col>10</xdr:col>
          <xdr:colOff>561975</xdr:colOff>
          <xdr:row>7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Load HTM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5</xdr:row>
          <xdr:rowOff>95250</xdr:rowOff>
        </xdr:from>
        <xdr:to>
          <xdr:col>14</xdr:col>
          <xdr:colOff>257175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Add HTM (Bonus)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2.xml"/><Relationship Id="rId2" Type="http://schemas.openxmlformats.org/officeDocument/2006/relationships/hyperlink" Target="file:///C:\Users\uidk3743\AppData\Local\Microsoft\Olk\Attachments\ooa-62643974-b48c-4dcd-97f0-c1a45bf950c2\52cce476c5fa3ee95bb406f6bc4b66c57d32af13c0a47b611a6df6f806276f79\salary.htm" TargetMode="External"/><Relationship Id="rId1" Type="http://schemas.openxmlformats.org/officeDocument/2006/relationships/hyperlink" Target="file:///C:\Users\uidk3743\AppData\Local\Microsoft\Olk\Attachments\ooa-62643974-b48c-4dcd-97f0-c1a45bf950c2\cd82e8586f6cd507419462776577ced7915f8d2fdb92cceb6e859139a8593278\salary.ht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C953-A78C-40E3-B541-0D8A619AE6B5}">
  <sheetPr codeName="Sheet2"/>
  <dimension ref="B1:AI70"/>
  <sheetViews>
    <sheetView showGridLines="0" tabSelected="1" zoomScaleNormal="100" workbookViewId="0">
      <pane xSplit="2" ySplit="4" topLeftCell="I8" activePane="bottomRight" state="frozen"/>
      <selection pane="topRight" activeCell="O1" sqref="O1"/>
      <selection pane="bottomLeft" activeCell="A5" sqref="A5"/>
      <selection pane="bottomRight" activeCell="V12" sqref="V12"/>
    </sheetView>
  </sheetViews>
  <sheetFormatPr defaultRowHeight="16.5" outlineLevelCol="1" x14ac:dyDescent="0.3"/>
  <cols>
    <col min="1" max="1" width="3.25" customWidth="1"/>
    <col min="2" max="2" width="17.25" bestFit="1" customWidth="1"/>
    <col min="3" max="4" width="13" customWidth="1" outlineLevel="1"/>
    <col min="5" max="6" width="12.375" customWidth="1" outlineLevel="1"/>
    <col min="7" max="7" width="12.375" style="1" customWidth="1" outlineLevel="1"/>
    <col min="8" max="14" width="12.375" customWidth="1" outlineLevel="1"/>
    <col min="15" max="15" width="13.625" style="1" bestFit="1" customWidth="1"/>
    <col min="16" max="17" width="13" customWidth="1"/>
    <col min="18" max="19" width="12.375" customWidth="1"/>
    <col min="20" max="20" width="12.375" style="1" customWidth="1"/>
    <col min="21" max="27" width="12.375" customWidth="1"/>
    <col min="28" max="28" width="13.625" style="1" bestFit="1" customWidth="1"/>
    <col min="29" max="29" width="14.875" bestFit="1" customWidth="1"/>
    <col min="30" max="30" width="14.625" bestFit="1" customWidth="1"/>
    <col min="31" max="31" width="14.25" bestFit="1" customWidth="1"/>
    <col min="32" max="32" width="11.75" bestFit="1" customWidth="1"/>
    <col min="33" max="35" width="13" bestFit="1" customWidth="1"/>
  </cols>
  <sheetData>
    <row r="1" spans="2:35" x14ac:dyDescent="0.3">
      <c r="C1" s="37"/>
      <c r="P1" s="37" t="s">
        <v>51</v>
      </c>
    </row>
    <row r="2" spans="2:35" x14ac:dyDescent="0.3">
      <c r="C2" s="36"/>
      <c r="D2" s="34"/>
      <c r="E2" s="34"/>
      <c r="P2" s="35">
        <f>IFERROR((-(C33-P33)/C33)*100,0)</f>
        <v>7.0001963589441498</v>
      </c>
      <c r="Q2" s="34"/>
      <c r="R2" s="34"/>
    </row>
    <row r="3" spans="2:35" ht="17.25" thickBot="1" x14ac:dyDescent="0.35">
      <c r="B3" s="14"/>
      <c r="C3" s="58">
        <v>2025</v>
      </c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33">
        <v>2025</v>
      </c>
      <c r="P3" s="58">
        <v>2026</v>
      </c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33">
        <v>2026</v>
      </c>
      <c r="AC3" t="s">
        <v>50</v>
      </c>
    </row>
    <row r="4" spans="2:35" ht="17.25" x14ac:dyDescent="0.3">
      <c r="B4" s="16" t="s">
        <v>49</v>
      </c>
      <c r="C4" s="31" t="s">
        <v>48</v>
      </c>
      <c r="D4" s="31" t="s">
        <v>47</v>
      </c>
      <c r="E4" s="31" t="s">
        <v>46</v>
      </c>
      <c r="F4" s="31" t="s">
        <v>45</v>
      </c>
      <c r="G4" s="31" t="s">
        <v>44</v>
      </c>
      <c r="H4" s="31" t="s">
        <v>43</v>
      </c>
      <c r="I4" s="31" t="s">
        <v>42</v>
      </c>
      <c r="J4" s="31" t="s">
        <v>41</v>
      </c>
      <c r="K4" s="31" t="s">
        <v>40</v>
      </c>
      <c r="L4" s="31" t="s">
        <v>39</v>
      </c>
      <c r="M4" s="31" t="s">
        <v>38</v>
      </c>
      <c r="N4" s="31" t="s">
        <v>37</v>
      </c>
      <c r="O4" s="32" t="s">
        <v>36</v>
      </c>
      <c r="P4" s="31" t="s">
        <v>48</v>
      </c>
      <c r="Q4" s="31" t="s">
        <v>47</v>
      </c>
      <c r="R4" s="31" t="s">
        <v>46</v>
      </c>
      <c r="S4" s="31" t="s">
        <v>45</v>
      </c>
      <c r="T4" s="31" t="s">
        <v>44</v>
      </c>
      <c r="U4" s="31" t="s">
        <v>43</v>
      </c>
      <c r="V4" s="31" t="s">
        <v>42</v>
      </c>
      <c r="W4" s="31" t="s">
        <v>41</v>
      </c>
      <c r="X4" s="31" t="s">
        <v>40</v>
      </c>
      <c r="Y4" s="31" t="s">
        <v>39</v>
      </c>
      <c r="Z4" s="31" t="s">
        <v>38</v>
      </c>
      <c r="AA4" s="31" t="s">
        <v>37</v>
      </c>
      <c r="AB4" s="30" t="s">
        <v>36</v>
      </c>
      <c r="AC4" s="29" t="s">
        <v>36</v>
      </c>
    </row>
    <row r="5" spans="2:35" x14ac:dyDescent="0.3">
      <c r="B5" s="14" t="s">
        <v>35</v>
      </c>
      <c r="C5" s="47">
        <v>5484462</v>
      </c>
      <c r="D5" s="47">
        <v>3656308</v>
      </c>
      <c r="E5" s="47">
        <v>3656308</v>
      </c>
      <c r="F5" s="47">
        <v>3656308</v>
      </c>
      <c r="G5" s="47">
        <v>3656308</v>
      </c>
      <c r="H5" s="47">
        <v>3656308</v>
      </c>
      <c r="I5" s="47">
        <v>5484462</v>
      </c>
      <c r="J5" s="47">
        <v>3656308</v>
      </c>
      <c r="K5" s="47">
        <v>3656308</v>
      </c>
      <c r="L5" s="47">
        <v>3656308</v>
      </c>
      <c r="M5" s="47">
        <v>3656308</v>
      </c>
      <c r="N5" s="47">
        <v>3656308</v>
      </c>
      <c r="O5" s="13">
        <f t="shared" ref="O5:O14" si="0">SUM(C5:N5)</f>
        <v>47532004</v>
      </c>
      <c r="P5" s="47">
        <v>6357417</v>
      </c>
      <c r="Q5" s="47">
        <v>6357417</v>
      </c>
      <c r="R5" s="47">
        <v>6357417</v>
      </c>
      <c r="S5" s="47">
        <v>6357417</v>
      </c>
      <c r="T5" s="47">
        <v>6357417</v>
      </c>
      <c r="U5" s="47">
        <v>6357417</v>
      </c>
      <c r="V5" s="47">
        <v>6357417</v>
      </c>
      <c r="W5" s="47">
        <v>6357417</v>
      </c>
      <c r="X5" s="1"/>
      <c r="Y5" s="1"/>
      <c r="Z5" s="1"/>
      <c r="AA5" s="1"/>
      <c r="AB5" s="12">
        <f t="shared" ref="AB5:AB14" si="1">SUM(P5:AA5)</f>
        <v>50859336</v>
      </c>
      <c r="AC5" s="11">
        <f>SUM(O5,AB5)</f>
        <v>98391340</v>
      </c>
      <c r="AD5" s="17"/>
      <c r="AE5" s="17"/>
      <c r="AF5" s="17"/>
      <c r="AG5" s="17"/>
      <c r="AH5" s="17"/>
      <c r="AI5" s="17"/>
    </row>
    <row r="6" spans="2:35" x14ac:dyDescent="0.3">
      <c r="B6" s="14" t="s">
        <v>62</v>
      </c>
      <c r="C6" s="1"/>
      <c r="D6" s="1"/>
      <c r="E6" s="1"/>
      <c r="F6" s="1"/>
      <c r="H6" s="1"/>
      <c r="I6" s="1"/>
      <c r="J6" s="1"/>
      <c r="K6" s="1"/>
      <c r="L6" s="1"/>
      <c r="M6" s="1"/>
      <c r="N6" s="1"/>
      <c r="O6" s="13">
        <f t="shared" ref="O6:O7" si="2">SUM(C6:N6)</f>
        <v>0</v>
      </c>
      <c r="P6" s="1"/>
      <c r="Q6" s="1"/>
      <c r="R6" s="1"/>
      <c r="S6" s="1"/>
      <c r="U6" s="1"/>
      <c r="V6" s="1"/>
      <c r="W6" s="1"/>
      <c r="X6" s="1"/>
      <c r="Y6" s="1"/>
      <c r="Z6" s="1"/>
      <c r="AA6" s="1"/>
      <c r="AB6" s="12">
        <f t="shared" si="1"/>
        <v>0</v>
      </c>
      <c r="AC6" s="11">
        <f t="shared" ref="AC6:AC15" si="3">SUM(O6,AB6)</f>
        <v>0</v>
      </c>
      <c r="AD6" s="17"/>
      <c r="AE6" s="17"/>
      <c r="AF6" s="17"/>
      <c r="AG6" s="17"/>
      <c r="AH6" s="17"/>
      <c r="AI6" s="17"/>
    </row>
    <row r="7" spans="2:35" x14ac:dyDescent="0.3">
      <c r="B7" s="14" t="s">
        <v>63</v>
      </c>
      <c r="C7" s="1"/>
      <c r="D7" s="1"/>
      <c r="E7" s="1"/>
      <c r="F7" s="47">
        <v>802460</v>
      </c>
      <c r="H7" s="1"/>
      <c r="I7" s="1"/>
      <c r="J7" s="1"/>
      <c r="K7" s="1"/>
      <c r="L7" s="1"/>
      <c r="M7" s="1"/>
      <c r="N7" s="1"/>
      <c r="O7" s="13">
        <f t="shared" si="2"/>
        <v>802460</v>
      </c>
      <c r="P7" s="1"/>
      <c r="Q7" s="1"/>
      <c r="R7" s="1"/>
      <c r="S7" s="1"/>
      <c r="U7" s="1"/>
      <c r="V7" s="1"/>
      <c r="W7" s="1"/>
      <c r="X7" s="1"/>
      <c r="Y7" s="1"/>
      <c r="Z7" s="1"/>
      <c r="AA7" s="1"/>
      <c r="AB7" s="12">
        <f t="shared" ref="AB7" si="4">SUM(P7:AA7)</f>
        <v>0</v>
      </c>
      <c r="AC7" s="11">
        <f t="shared" si="3"/>
        <v>802460</v>
      </c>
      <c r="AD7" s="17"/>
      <c r="AE7" s="17"/>
      <c r="AF7" s="17"/>
      <c r="AG7" s="17"/>
      <c r="AH7" s="17"/>
      <c r="AI7" s="17"/>
    </row>
    <row r="8" spans="2:35" x14ac:dyDescent="0.3">
      <c r="B8" s="14" t="s">
        <v>34</v>
      </c>
      <c r="C8" s="47">
        <v>1218770</v>
      </c>
      <c r="D8" s="47">
        <v>1218770</v>
      </c>
      <c r="E8" s="47">
        <v>1218770</v>
      </c>
      <c r="F8" s="47">
        <v>1218770</v>
      </c>
      <c r="G8" s="47">
        <v>1218770</v>
      </c>
      <c r="H8" s="47">
        <v>1218770</v>
      </c>
      <c r="I8" s="47">
        <v>1218770</v>
      </c>
      <c r="J8" s="47">
        <v>1218770</v>
      </c>
      <c r="K8" s="47">
        <v>1218770</v>
      </c>
      <c r="L8" s="47">
        <v>1218770</v>
      </c>
      <c r="M8" s="47">
        <v>1218770</v>
      </c>
      <c r="N8" s="47">
        <v>1218770</v>
      </c>
      <c r="O8" s="13">
        <f t="shared" si="0"/>
        <v>14625240</v>
      </c>
      <c r="P8" s="1"/>
      <c r="Q8" s="1"/>
      <c r="R8" s="1"/>
      <c r="S8" s="1"/>
      <c r="U8" s="1"/>
      <c r="V8" s="1"/>
      <c r="W8" s="1"/>
      <c r="X8" s="1"/>
      <c r="Y8" s="1"/>
      <c r="Z8" s="1"/>
      <c r="AA8" s="1"/>
      <c r="AB8" s="12">
        <f t="shared" si="1"/>
        <v>0</v>
      </c>
      <c r="AC8" s="11">
        <f t="shared" si="3"/>
        <v>14625240</v>
      </c>
      <c r="AD8" s="17"/>
      <c r="AE8" s="17"/>
      <c r="AF8" s="17"/>
      <c r="AG8" s="17"/>
      <c r="AH8" s="17"/>
      <c r="AI8" s="17"/>
    </row>
    <row r="9" spans="2:35" x14ac:dyDescent="0.3">
      <c r="B9" s="14" t="s">
        <v>33</v>
      </c>
      <c r="C9" s="47">
        <v>609385</v>
      </c>
      <c r="D9" s="47">
        <v>609385</v>
      </c>
      <c r="E9" s="47">
        <v>609385</v>
      </c>
      <c r="F9" s="47">
        <v>609385</v>
      </c>
      <c r="G9" s="47">
        <v>609385</v>
      </c>
      <c r="H9" s="47">
        <v>609385</v>
      </c>
      <c r="I9" s="47">
        <v>609385</v>
      </c>
      <c r="J9" s="47">
        <v>609385</v>
      </c>
      <c r="K9" s="47">
        <v>609385</v>
      </c>
      <c r="L9" s="47">
        <v>609385</v>
      </c>
      <c r="M9" s="47">
        <v>609385</v>
      </c>
      <c r="N9" s="47">
        <v>609385</v>
      </c>
      <c r="O9" s="13">
        <f t="shared" si="0"/>
        <v>7312620</v>
      </c>
      <c r="P9" s="1"/>
      <c r="Q9" s="1"/>
      <c r="R9" s="1"/>
      <c r="S9" s="1"/>
      <c r="U9" s="1"/>
      <c r="V9" s="1"/>
      <c r="W9" s="1"/>
      <c r="X9" s="1"/>
      <c r="Y9" s="1"/>
      <c r="Z9" s="1"/>
      <c r="AA9" s="1"/>
      <c r="AB9" s="12">
        <f t="shared" si="1"/>
        <v>0</v>
      </c>
      <c r="AC9" s="11">
        <f t="shared" si="3"/>
        <v>7312620</v>
      </c>
    </row>
    <row r="10" spans="2:35" x14ac:dyDescent="0.3">
      <c r="B10" s="14" t="s">
        <v>67</v>
      </c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  <c r="O10" s="13">
        <f t="shared" si="0"/>
        <v>0</v>
      </c>
      <c r="P10" s="1"/>
      <c r="Q10" s="1"/>
      <c r="R10" s="1"/>
      <c r="S10" s="1"/>
      <c r="U10" s="1"/>
      <c r="V10" s="1"/>
      <c r="W10" s="1"/>
      <c r="X10" s="1"/>
      <c r="Y10" s="1"/>
      <c r="Z10" s="1"/>
      <c r="AA10" s="1"/>
      <c r="AB10" s="12">
        <f t="shared" si="1"/>
        <v>0</v>
      </c>
      <c r="AC10" s="11">
        <f t="shared" si="3"/>
        <v>0</v>
      </c>
      <c r="AD10" s="17"/>
      <c r="AE10" s="17"/>
      <c r="AF10" s="17"/>
      <c r="AG10" s="17"/>
      <c r="AH10" s="17"/>
      <c r="AI10" s="17"/>
    </row>
    <row r="11" spans="2:35" x14ac:dyDescent="0.3">
      <c r="B11" s="14" t="s">
        <v>58</v>
      </c>
      <c r="C11" s="1"/>
      <c r="D11" s="1"/>
      <c r="E11" s="1"/>
      <c r="F11" s="47">
        <v>6000</v>
      </c>
      <c r="H11" s="1"/>
      <c r="I11" s="1"/>
      <c r="J11" s="1"/>
      <c r="K11" s="1"/>
      <c r="L11" s="47">
        <v>120000</v>
      </c>
      <c r="M11" s="1"/>
      <c r="N11" s="1"/>
      <c r="O11" s="13">
        <f t="shared" si="0"/>
        <v>126000</v>
      </c>
      <c r="P11" s="1"/>
      <c r="Q11" s="1"/>
      <c r="R11" s="47">
        <v>4000</v>
      </c>
      <c r="S11" s="1"/>
      <c r="U11" s="1"/>
      <c r="V11" s="1"/>
      <c r="W11" s="47">
        <v>304000</v>
      </c>
      <c r="X11" s="1"/>
      <c r="Y11" s="1"/>
      <c r="Z11" s="1"/>
      <c r="AA11" s="1"/>
      <c r="AB11" s="12">
        <f t="shared" si="1"/>
        <v>308000</v>
      </c>
      <c r="AC11" s="11">
        <f t="shared" si="3"/>
        <v>434000</v>
      </c>
    </row>
    <row r="12" spans="2:35" x14ac:dyDescent="0.3">
      <c r="B12" s="14" t="s">
        <v>57</v>
      </c>
      <c r="C12" s="1"/>
      <c r="D12" s="1"/>
      <c r="E12" s="1"/>
      <c r="F12" s="47">
        <v>7879845</v>
      </c>
      <c r="H12" s="1"/>
      <c r="I12" s="1"/>
      <c r="J12" s="1"/>
      <c r="K12" s="1"/>
      <c r="L12" s="1"/>
      <c r="M12" s="1"/>
      <c r="N12" s="1"/>
      <c r="O12" s="13">
        <f t="shared" si="0"/>
        <v>7879845</v>
      </c>
      <c r="P12" s="1"/>
      <c r="Q12" s="1"/>
      <c r="R12" s="1"/>
      <c r="S12" s="47">
        <v>11821208</v>
      </c>
      <c r="U12" s="1"/>
      <c r="V12" s="1"/>
      <c r="W12" s="1"/>
      <c r="X12" s="1"/>
      <c r="Y12" s="1"/>
      <c r="Z12" s="1"/>
      <c r="AA12" s="1"/>
      <c r="AB12" s="12">
        <f t="shared" si="1"/>
        <v>11821208</v>
      </c>
      <c r="AC12" s="11">
        <f t="shared" si="3"/>
        <v>19701053</v>
      </c>
    </row>
    <row r="13" spans="2:35" x14ac:dyDescent="0.3">
      <c r="B13" s="14" t="s">
        <v>32</v>
      </c>
      <c r="C13" s="47">
        <v>496838</v>
      </c>
      <c r="D13" s="1"/>
      <c r="E13" s="1"/>
      <c r="F13" s="1"/>
      <c r="H13" s="1"/>
      <c r="I13" s="1"/>
      <c r="J13" s="1"/>
      <c r="K13" s="1"/>
      <c r="L13" s="1"/>
      <c r="M13" s="1"/>
      <c r="N13" s="1"/>
      <c r="O13" s="13">
        <f t="shared" si="0"/>
        <v>496838</v>
      </c>
      <c r="P13" s="47">
        <v>851894</v>
      </c>
      <c r="Q13" s="1"/>
      <c r="R13" s="1"/>
      <c r="S13" s="1"/>
      <c r="U13" s="1"/>
      <c r="V13" s="1"/>
      <c r="W13" s="1"/>
      <c r="X13" s="1"/>
      <c r="Y13" s="1"/>
      <c r="Z13" s="1"/>
      <c r="AA13" s="1"/>
      <c r="AB13" s="12">
        <f t="shared" si="1"/>
        <v>851894</v>
      </c>
      <c r="AC13" s="11">
        <f t="shared" si="3"/>
        <v>1348732</v>
      </c>
    </row>
    <row r="14" spans="2:35" x14ac:dyDescent="0.3">
      <c r="B14" s="14" t="s">
        <v>69</v>
      </c>
      <c r="C14" s="47">
        <v>200000</v>
      </c>
      <c r="D14" s="1"/>
      <c r="E14" s="1"/>
      <c r="F14" s="1"/>
      <c r="H14" s="1"/>
      <c r="I14" s="47">
        <v>500000</v>
      </c>
      <c r="J14" s="1"/>
      <c r="K14" s="1"/>
      <c r="L14" s="1"/>
      <c r="M14" s="1"/>
      <c r="N14" s="1"/>
      <c r="O14" s="13">
        <f t="shared" si="0"/>
        <v>700000</v>
      </c>
      <c r="P14" s="1"/>
      <c r="Q14" s="47">
        <v>200000</v>
      </c>
      <c r="R14" s="1"/>
      <c r="S14" s="1"/>
      <c r="U14" s="1"/>
      <c r="V14" s="1"/>
      <c r="W14" s="1"/>
      <c r="X14" s="1"/>
      <c r="Y14" s="1"/>
      <c r="Z14" s="1"/>
      <c r="AA14" s="1"/>
      <c r="AB14" s="12">
        <f t="shared" si="1"/>
        <v>200000</v>
      </c>
      <c r="AC14" s="11">
        <f t="shared" si="3"/>
        <v>900000</v>
      </c>
    </row>
    <row r="15" spans="2:35" x14ac:dyDescent="0.3">
      <c r="B15" s="14" t="s">
        <v>70</v>
      </c>
      <c r="C15" s="1"/>
      <c r="D15" s="1"/>
      <c r="E15" s="1"/>
      <c r="F15" s="1"/>
      <c r="H15" s="1"/>
      <c r="I15" s="1"/>
      <c r="J15" s="1"/>
      <c r="K15" s="47">
        <v>476650</v>
      </c>
      <c r="L15" s="1"/>
      <c r="M15" s="1"/>
      <c r="N15" s="1"/>
      <c r="O15" s="13">
        <f t="shared" ref="O15" si="5">SUM(C15:N15)</f>
        <v>476650</v>
      </c>
      <c r="P15" s="1"/>
      <c r="Q15" s="1"/>
      <c r="R15" s="1"/>
      <c r="S15" s="47">
        <v>869650</v>
      </c>
      <c r="U15" s="1"/>
      <c r="V15" s="47">
        <v>321621</v>
      </c>
      <c r="W15" s="1"/>
      <c r="X15" s="1"/>
      <c r="Y15" s="1"/>
      <c r="Z15" s="1"/>
      <c r="AA15" s="1"/>
      <c r="AB15" s="12">
        <f>SUM(P15:AA15)</f>
        <v>1191271</v>
      </c>
      <c r="AC15" s="11">
        <f t="shared" si="3"/>
        <v>1667921</v>
      </c>
    </row>
    <row r="16" spans="2:35" x14ac:dyDescent="0.3">
      <c r="B16" s="6" t="s">
        <v>31</v>
      </c>
      <c r="C16" s="9">
        <f t="shared" ref="C16:AB16" si="6">SUM(C5:C15)</f>
        <v>8009455</v>
      </c>
      <c r="D16" s="9">
        <f t="shared" si="6"/>
        <v>5484463</v>
      </c>
      <c r="E16" s="9">
        <f t="shared" si="6"/>
        <v>5484463</v>
      </c>
      <c r="F16" s="9">
        <f t="shared" si="6"/>
        <v>14172768</v>
      </c>
      <c r="G16" s="9">
        <f t="shared" si="6"/>
        <v>5484463</v>
      </c>
      <c r="H16" s="9">
        <f t="shared" si="6"/>
        <v>5484463</v>
      </c>
      <c r="I16" s="9">
        <f t="shared" si="6"/>
        <v>7812617</v>
      </c>
      <c r="J16" s="9">
        <f t="shared" si="6"/>
        <v>5484463</v>
      </c>
      <c r="K16" s="9">
        <f t="shared" si="6"/>
        <v>5961113</v>
      </c>
      <c r="L16" s="9">
        <f t="shared" si="6"/>
        <v>5604463</v>
      </c>
      <c r="M16" s="9">
        <f t="shared" si="6"/>
        <v>5484463</v>
      </c>
      <c r="N16" s="9">
        <f t="shared" si="6"/>
        <v>5484463</v>
      </c>
      <c r="O16" s="10">
        <f t="shared" si="6"/>
        <v>79951657</v>
      </c>
      <c r="P16" s="9">
        <f t="shared" si="6"/>
        <v>7209311</v>
      </c>
      <c r="Q16" s="9">
        <f t="shared" si="6"/>
        <v>6557417</v>
      </c>
      <c r="R16" s="9">
        <f t="shared" si="6"/>
        <v>6361417</v>
      </c>
      <c r="S16" s="9">
        <f t="shared" si="6"/>
        <v>19048275</v>
      </c>
      <c r="T16" s="9">
        <f t="shared" si="6"/>
        <v>6357417</v>
      </c>
      <c r="U16" s="9">
        <f t="shared" si="6"/>
        <v>6357417</v>
      </c>
      <c r="V16" s="9">
        <f t="shared" si="6"/>
        <v>6679038</v>
      </c>
      <c r="W16" s="9">
        <f t="shared" si="6"/>
        <v>6661417</v>
      </c>
      <c r="X16" s="9">
        <f t="shared" si="6"/>
        <v>0</v>
      </c>
      <c r="Y16" s="9">
        <f t="shared" si="6"/>
        <v>0</v>
      </c>
      <c r="Z16" s="9">
        <f t="shared" si="6"/>
        <v>0</v>
      </c>
      <c r="AA16" s="9">
        <f>SUM(AA5:AA15)</f>
        <v>0</v>
      </c>
      <c r="AB16" s="8">
        <f t="shared" si="6"/>
        <v>65231709</v>
      </c>
      <c r="AC16" s="7">
        <f t="shared" ref="AC16:AC49" si="7">SUM(O16,AB16)</f>
        <v>145183366</v>
      </c>
      <c r="AD16" s="28"/>
    </row>
    <row r="17" spans="2:30" x14ac:dyDescent="0.3">
      <c r="B17" s="14" t="s">
        <v>30</v>
      </c>
      <c r="C17" s="47">
        <v>425880</v>
      </c>
      <c r="D17" s="47">
        <v>461700</v>
      </c>
      <c r="E17" s="47">
        <v>454570</v>
      </c>
      <c r="F17" s="47">
        <v>1572860</v>
      </c>
      <c r="G17" s="47">
        <v>454570</v>
      </c>
      <c r="H17" s="47">
        <v>443060</v>
      </c>
      <c r="I17" s="47">
        <v>515430</v>
      </c>
      <c r="J17" s="47">
        <v>443060</v>
      </c>
      <c r="K17" s="47">
        <v>543670</v>
      </c>
      <c r="L17" s="47">
        <v>446140</v>
      </c>
      <c r="M17" s="47">
        <v>443060</v>
      </c>
      <c r="N17" s="47">
        <v>443060</v>
      </c>
      <c r="O17" s="13">
        <f t="shared" ref="O17:O47" si="8">SUM(C17:N17)</f>
        <v>6647060</v>
      </c>
      <c r="P17" s="47">
        <v>535880</v>
      </c>
      <c r="Q17" s="47">
        <v>630200</v>
      </c>
      <c r="R17" s="47">
        <v>630200</v>
      </c>
      <c r="S17" s="47">
        <v>2315520</v>
      </c>
      <c r="T17" s="47">
        <v>641320</v>
      </c>
      <c r="U17" s="47">
        <v>630200</v>
      </c>
      <c r="V17" s="47">
        <v>701030</v>
      </c>
      <c r="W17" s="47">
        <v>697010</v>
      </c>
      <c r="X17" s="1"/>
      <c r="Y17" s="1"/>
      <c r="Z17" s="1"/>
      <c r="AA17" s="1"/>
      <c r="AB17" s="12">
        <f t="shared" ref="AB17:AB47" si="9">SUM(P17:AA17)</f>
        <v>6781360</v>
      </c>
      <c r="AC17" s="11">
        <f t="shared" si="7"/>
        <v>13428420</v>
      </c>
    </row>
    <row r="18" spans="2:30" x14ac:dyDescent="0.3">
      <c r="B18" s="14" t="s">
        <v>29</v>
      </c>
      <c r="C18" s="47">
        <v>42580</v>
      </c>
      <c r="D18" s="47">
        <v>46170</v>
      </c>
      <c r="E18" s="47">
        <v>45450</v>
      </c>
      <c r="F18" s="47">
        <v>157280</v>
      </c>
      <c r="G18" s="47">
        <v>45450</v>
      </c>
      <c r="H18" s="47">
        <v>44300</v>
      </c>
      <c r="I18" s="47">
        <v>51530</v>
      </c>
      <c r="J18" s="47">
        <v>44300</v>
      </c>
      <c r="K18" s="47">
        <v>54360</v>
      </c>
      <c r="L18" s="47">
        <v>44610</v>
      </c>
      <c r="M18" s="47">
        <v>44300</v>
      </c>
      <c r="N18" s="47">
        <v>44300</v>
      </c>
      <c r="O18" s="13">
        <f t="shared" si="8"/>
        <v>664630</v>
      </c>
      <c r="P18" s="47">
        <v>53580</v>
      </c>
      <c r="Q18" s="47">
        <v>63020</v>
      </c>
      <c r="R18" s="47">
        <v>63020</v>
      </c>
      <c r="S18" s="47">
        <v>231550</v>
      </c>
      <c r="T18" s="47">
        <v>64130</v>
      </c>
      <c r="U18" s="47">
        <v>63020</v>
      </c>
      <c r="V18" s="47">
        <v>70100</v>
      </c>
      <c r="W18" s="47">
        <v>69700</v>
      </c>
      <c r="X18" s="1"/>
      <c r="Y18" s="1"/>
      <c r="Z18" s="1"/>
      <c r="AA18" s="1"/>
      <c r="AB18" s="12">
        <f t="shared" si="9"/>
        <v>678120</v>
      </c>
      <c r="AC18" s="11">
        <f t="shared" si="7"/>
        <v>1342750</v>
      </c>
    </row>
    <row r="19" spans="2:30" x14ac:dyDescent="0.3">
      <c r="B19" s="14" t="s">
        <v>28</v>
      </c>
      <c r="C19" s="47">
        <v>264460</v>
      </c>
      <c r="D19" s="47">
        <v>264460</v>
      </c>
      <c r="E19" s="47">
        <v>264460</v>
      </c>
      <c r="F19" s="47">
        <v>264460</v>
      </c>
      <c r="G19" s="47">
        <v>264460</v>
      </c>
      <c r="H19" s="47">
        <v>264460</v>
      </c>
      <c r="I19" s="47">
        <v>286650</v>
      </c>
      <c r="J19" s="47">
        <v>286650</v>
      </c>
      <c r="K19" s="47">
        <v>286650</v>
      </c>
      <c r="L19" s="47">
        <v>286650</v>
      </c>
      <c r="M19" s="47">
        <v>286650</v>
      </c>
      <c r="N19" s="47">
        <v>286650</v>
      </c>
      <c r="O19" s="13">
        <f t="shared" si="8"/>
        <v>3306660</v>
      </c>
      <c r="P19" s="47">
        <v>302570</v>
      </c>
      <c r="Q19" s="47">
        <v>302570</v>
      </c>
      <c r="R19" s="47">
        <v>302570</v>
      </c>
      <c r="S19" s="47">
        <v>302570</v>
      </c>
      <c r="T19" s="47">
        <v>302570</v>
      </c>
      <c r="U19" s="47">
        <v>302570</v>
      </c>
      <c r="V19" s="47">
        <v>313020</v>
      </c>
      <c r="W19" s="47">
        <v>313020</v>
      </c>
      <c r="X19" s="1"/>
      <c r="Y19" s="1"/>
      <c r="Z19" s="1"/>
      <c r="AA19" s="1"/>
      <c r="AB19" s="12">
        <f t="shared" si="9"/>
        <v>2441460</v>
      </c>
      <c r="AC19" s="11">
        <f t="shared" si="7"/>
        <v>5748120</v>
      </c>
    </row>
    <row r="20" spans="2:30" x14ac:dyDescent="0.3">
      <c r="B20" s="14" t="s">
        <v>27</v>
      </c>
      <c r="C20" s="47">
        <v>211260</v>
      </c>
      <c r="D20" s="47">
        <v>211260</v>
      </c>
      <c r="E20" s="47">
        <v>211260</v>
      </c>
      <c r="F20" s="47">
        <v>232090</v>
      </c>
      <c r="G20" s="47">
        <v>232090</v>
      </c>
      <c r="H20" s="47">
        <v>232090</v>
      </c>
      <c r="I20" s="47">
        <v>232090</v>
      </c>
      <c r="J20" s="47">
        <v>232090</v>
      </c>
      <c r="K20" s="47">
        <v>232090</v>
      </c>
      <c r="L20" s="47">
        <v>232090</v>
      </c>
      <c r="M20" s="47">
        <v>232090</v>
      </c>
      <c r="N20" s="47">
        <v>232090</v>
      </c>
      <c r="O20" s="13">
        <f t="shared" si="8"/>
        <v>2722590</v>
      </c>
      <c r="P20" s="47">
        <v>235360</v>
      </c>
      <c r="Q20" s="47">
        <v>235360</v>
      </c>
      <c r="R20" s="47">
        <v>235360</v>
      </c>
      <c r="S20" s="47">
        <v>245740</v>
      </c>
      <c r="T20" s="47">
        <v>245740</v>
      </c>
      <c r="U20" s="47">
        <v>245740</v>
      </c>
      <c r="V20" s="47">
        <v>245740</v>
      </c>
      <c r="W20" s="47">
        <v>245740</v>
      </c>
      <c r="X20" s="1"/>
      <c r="Y20" s="1"/>
      <c r="Z20" s="1"/>
      <c r="AA20" s="1"/>
      <c r="AB20" s="12">
        <f t="shared" si="9"/>
        <v>1934780</v>
      </c>
      <c r="AC20" s="11">
        <f t="shared" si="7"/>
        <v>4657370</v>
      </c>
    </row>
    <row r="21" spans="2:30" x14ac:dyDescent="0.3">
      <c r="B21" s="14" t="s">
        <v>26</v>
      </c>
      <c r="C21" s="47">
        <v>72080</v>
      </c>
      <c r="D21" s="47">
        <v>49810</v>
      </c>
      <c r="E21" s="47">
        <v>49360</v>
      </c>
      <c r="F21" s="47">
        <v>127550</v>
      </c>
      <c r="G21" s="47">
        <v>49360</v>
      </c>
      <c r="H21" s="47">
        <v>49360</v>
      </c>
      <c r="I21" s="47">
        <v>70310</v>
      </c>
      <c r="J21" s="47">
        <v>49360</v>
      </c>
      <c r="K21" s="47">
        <v>53650</v>
      </c>
      <c r="L21" s="47">
        <v>50440</v>
      </c>
      <c r="M21" s="47">
        <v>49360</v>
      </c>
      <c r="N21" s="47">
        <v>49360</v>
      </c>
      <c r="O21" s="13">
        <f t="shared" si="8"/>
        <v>720000</v>
      </c>
      <c r="P21" s="47">
        <v>64880</v>
      </c>
      <c r="Q21" s="47">
        <v>59010</v>
      </c>
      <c r="R21" s="47">
        <v>57250</v>
      </c>
      <c r="S21" s="47">
        <v>171430</v>
      </c>
      <c r="T21" s="47">
        <v>57210</v>
      </c>
      <c r="U21" s="47">
        <v>57210</v>
      </c>
      <c r="V21" s="47">
        <v>60110</v>
      </c>
      <c r="W21" s="47">
        <v>59950</v>
      </c>
      <c r="X21" s="1"/>
      <c r="Y21" s="1"/>
      <c r="Z21" s="1"/>
      <c r="AA21" s="1"/>
      <c r="AB21" s="12">
        <f t="shared" si="9"/>
        <v>587050</v>
      </c>
      <c r="AC21" s="11">
        <f t="shared" si="7"/>
        <v>1307050</v>
      </c>
    </row>
    <row r="22" spans="2:30" x14ac:dyDescent="0.3">
      <c r="B22" s="14" t="s">
        <v>25</v>
      </c>
      <c r="C22" s="47">
        <v>27350</v>
      </c>
      <c r="D22" s="47">
        <v>27350</v>
      </c>
      <c r="E22" s="47">
        <v>27350</v>
      </c>
      <c r="F22" s="47">
        <v>30050</v>
      </c>
      <c r="G22" s="47">
        <v>30050</v>
      </c>
      <c r="H22" s="47">
        <v>30050</v>
      </c>
      <c r="I22" s="47">
        <v>30050</v>
      </c>
      <c r="J22" s="47">
        <v>30050</v>
      </c>
      <c r="K22" s="47">
        <v>30050</v>
      </c>
      <c r="L22" s="47">
        <v>30050</v>
      </c>
      <c r="M22" s="47">
        <v>30050</v>
      </c>
      <c r="N22" s="47">
        <v>30050</v>
      </c>
      <c r="O22" s="13">
        <f t="shared" si="8"/>
        <v>352500</v>
      </c>
      <c r="P22" s="47">
        <v>30920</v>
      </c>
      <c r="Q22" s="47">
        <v>30920</v>
      </c>
      <c r="R22" s="47">
        <v>30920</v>
      </c>
      <c r="S22" s="47">
        <v>32290</v>
      </c>
      <c r="T22" s="47">
        <v>32290</v>
      </c>
      <c r="U22" s="47">
        <v>32290</v>
      </c>
      <c r="V22" s="47">
        <v>32290</v>
      </c>
      <c r="W22" s="47">
        <v>32290</v>
      </c>
      <c r="X22" s="1"/>
      <c r="Y22" s="1"/>
      <c r="Z22" s="1"/>
      <c r="AA22" s="1"/>
      <c r="AB22" s="12">
        <f t="shared" si="9"/>
        <v>254210</v>
      </c>
      <c r="AC22" s="11">
        <f t="shared" si="7"/>
        <v>606710</v>
      </c>
    </row>
    <row r="23" spans="2:30" x14ac:dyDescent="0.3">
      <c r="B23" s="14" t="s">
        <v>24</v>
      </c>
      <c r="C23" s="47">
        <v>6500</v>
      </c>
      <c r="D23" s="47">
        <v>6500</v>
      </c>
      <c r="E23" s="47">
        <v>6500</v>
      </c>
      <c r="F23" s="47">
        <v>6500</v>
      </c>
      <c r="G23" s="47">
        <v>6500</v>
      </c>
      <c r="H23" s="47">
        <v>6500</v>
      </c>
      <c r="I23" s="47">
        <v>6500</v>
      </c>
      <c r="J23" s="47">
        <v>6500</v>
      </c>
      <c r="K23" s="47">
        <v>6500</v>
      </c>
      <c r="L23" s="47">
        <v>6500</v>
      </c>
      <c r="M23" s="47">
        <v>6500</v>
      </c>
      <c r="N23" s="47">
        <v>6500</v>
      </c>
      <c r="O23" s="13">
        <f t="shared" si="8"/>
        <v>78000</v>
      </c>
      <c r="P23" s="47">
        <v>6500</v>
      </c>
      <c r="Q23" s="47">
        <v>6500</v>
      </c>
      <c r="R23" s="47">
        <v>6500</v>
      </c>
      <c r="S23" s="47">
        <v>6500</v>
      </c>
      <c r="T23" s="47">
        <v>6500</v>
      </c>
      <c r="U23" s="47">
        <v>6500</v>
      </c>
      <c r="V23" s="47">
        <v>6500</v>
      </c>
      <c r="W23" s="47">
        <v>6500</v>
      </c>
      <c r="X23" s="1"/>
      <c r="Y23" s="1"/>
      <c r="Z23" s="1"/>
      <c r="AA23" s="1"/>
      <c r="AB23" s="12">
        <f t="shared" si="9"/>
        <v>52000</v>
      </c>
      <c r="AC23" s="11">
        <f t="shared" si="7"/>
        <v>130000</v>
      </c>
    </row>
    <row r="24" spans="2:30" x14ac:dyDescent="0.3">
      <c r="B24" s="14" t="s">
        <v>55</v>
      </c>
      <c r="C24" s="1"/>
      <c r="D24" s="47">
        <v>-20150</v>
      </c>
      <c r="E24" s="1"/>
      <c r="F24" s="1"/>
      <c r="H24" s="1"/>
      <c r="I24" s="1"/>
      <c r="J24" s="1"/>
      <c r="K24" s="1"/>
      <c r="L24" s="1"/>
      <c r="M24" s="1"/>
      <c r="N24" s="1"/>
      <c r="O24" s="13">
        <f t="shared" si="8"/>
        <v>-20150</v>
      </c>
      <c r="P24" s="1"/>
      <c r="Q24" s="47">
        <v>991710</v>
      </c>
      <c r="R24" s="1"/>
      <c r="S24" s="1"/>
      <c r="U24" s="1"/>
      <c r="V24" s="1"/>
      <c r="W24" s="1"/>
      <c r="X24" s="1"/>
      <c r="Y24" s="1"/>
      <c r="Z24" s="1"/>
      <c r="AA24" s="1"/>
      <c r="AB24" s="12">
        <f t="shared" si="9"/>
        <v>991710</v>
      </c>
      <c r="AC24" s="11">
        <f t="shared" si="7"/>
        <v>971560</v>
      </c>
    </row>
    <row r="25" spans="2:30" x14ac:dyDescent="0.3">
      <c r="B25" s="14" t="s">
        <v>56</v>
      </c>
      <c r="C25" s="1"/>
      <c r="D25" s="47">
        <v>-1980</v>
      </c>
      <c r="E25" s="1"/>
      <c r="F25" s="1"/>
      <c r="H25" s="1"/>
      <c r="I25" s="1"/>
      <c r="J25" s="1"/>
      <c r="K25" s="1"/>
      <c r="L25" s="1"/>
      <c r="M25" s="1"/>
      <c r="N25" s="1"/>
      <c r="O25" s="13">
        <f t="shared" si="8"/>
        <v>-1980</v>
      </c>
      <c r="P25" s="1"/>
      <c r="Q25" s="47">
        <v>99240</v>
      </c>
      <c r="R25" s="1"/>
      <c r="S25" s="1"/>
      <c r="U25" s="1"/>
      <c r="V25" s="1"/>
      <c r="W25" s="1"/>
      <c r="X25" s="1"/>
      <c r="Y25" s="1"/>
      <c r="Z25" s="1"/>
      <c r="AA25" s="1"/>
      <c r="AB25" s="12">
        <f t="shared" si="9"/>
        <v>99240</v>
      </c>
      <c r="AC25" s="11">
        <f t="shared" si="7"/>
        <v>97260</v>
      </c>
    </row>
    <row r="26" spans="2:30" x14ac:dyDescent="0.3">
      <c r="B26" s="14" t="s">
        <v>23</v>
      </c>
      <c r="C26" s="47">
        <v>185185</v>
      </c>
      <c r="D26" s="47">
        <v>185185</v>
      </c>
      <c r="E26" s="47">
        <v>185185</v>
      </c>
      <c r="F26" s="47">
        <v>185185</v>
      </c>
      <c r="G26" s="47">
        <v>185185</v>
      </c>
      <c r="H26" s="47">
        <v>185185</v>
      </c>
      <c r="I26" s="47">
        <v>185185</v>
      </c>
      <c r="J26" s="47">
        <v>185185</v>
      </c>
      <c r="K26" s="47">
        <v>185185</v>
      </c>
      <c r="L26" s="47">
        <v>185185</v>
      </c>
      <c r="M26" s="47">
        <v>185185</v>
      </c>
      <c r="N26" s="47">
        <v>185185</v>
      </c>
      <c r="O26" s="13">
        <f t="shared" si="8"/>
        <v>2222220</v>
      </c>
      <c r="P26" s="47">
        <v>185185</v>
      </c>
      <c r="Q26" s="47">
        <v>518518</v>
      </c>
      <c r="R26" s="47">
        <v>518518</v>
      </c>
      <c r="S26" s="47">
        <v>518518</v>
      </c>
      <c r="T26" s="47">
        <v>518518</v>
      </c>
      <c r="U26" s="47">
        <v>518518</v>
      </c>
      <c r="V26" s="47">
        <v>518518</v>
      </c>
      <c r="W26" s="47">
        <v>518518</v>
      </c>
      <c r="X26" s="1"/>
      <c r="Y26" s="1"/>
      <c r="Z26" s="1"/>
      <c r="AA26" s="1"/>
      <c r="AB26" s="12">
        <f t="shared" si="9"/>
        <v>3814811</v>
      </c>
      <c r="AC26" s="11">
        <f t="shared" si="7"/>
        <v>6037031</v>
      </c>
    </row>
    <row r="27" spans="2:30" x14ac:dyDescent="0.3">
      <c r="B27" s="14" t="s">
        <v>22</v>
      </c>
      <c r="C27" s="47">
        <v>7706</v>
      </c>
      <c r="D27" s="47">
        <v>7549</v>
      </c>
      <c r="E27" s="47">
        <v>6676</v>
      </c>
      <c r="F27" s="47">
        <v>7234</v>
      </c>
      <c r="G27" s="47">
        <v>6849</v>
      </c>
      <c r="H27" s="47">
        <v>6920</v>
      </c>
      <c r="I27" s="47">
        <v>6544</v>
      </c>
      <c r="J27" s="47">
        <v>6605</v>
      </c>
      <c r="K27" s="47">
        <v>6448</v>
      </c>
      <c r="L27" s="47">
        <v>6088</v>
      </c>
      <c r="M27" s="47">
        <v>6133</v>
      </c>
      <c r="N27" s="47">
        <v>5783</v>
      </c>
      <c r="O27" s="13">
        <f t="shared" si="8"/>
        <v>80535</v>
      </c>
      <c r="P27" s="47">
        <v>5819</v>
      </c>
      <c r="Q27" s="47">
        <v>8292</v>
      </c>
      <c r="R27" s="47">
        <v>10853</v>
      </c>
      <c r="S27" s="47">
        <v>11575</v>
      </c>
      <c r="T27" s="47">
        <v>10775</v>
      </c>
      <c r="U27" s="47">
        <v>10694</v>
      </c>
      <c r="V27" s="47">
        <v>9923</v>
      </c>
      <c r="W27" s="47">
        <v>9813</v>
      </c>
      <c r="X27" s="1"/>
      <c r="Y27" s="1"/>
      <c r="Z27" s="1"/>
      <c r="AA27" s="1"/>
      <c r="AB27" s="12">
        <f t="shared" si="9"/>
        <v>77744</v>
      </c>
      <c r="AC27" s="11">
        <f t="shared" si="7"/>
        <v>158279</v>
      </c>
      <c r="AD27" s="26"/>
    </row>
    <row r="28" spans="2:30" x14ac:dyDescent="0.3">
      <c r="B28" s="14" t="s">
        <v>21</v>
      </c>
      <c r="C28" s="1"/>
      <c r="D28" s="1"/>
      <c r="E28" s="1"/>
      <c r="F28" s="1"/>
      <c r="H28" s="1"/>
      <c r="I28" s="1"/>
      <c r="J28" s="1"/>
      <c r="K28" s="1"/>
      <c r="L28" s="1"/>
      <c r="M28" s="1"/>
      <c r="N28" s="1"/>
      <c r="O28" s="13">
        <f t="shared" si="8"/>
        <v>0</v>
      </c>
      <c r="P28" s="1"/>
      <c r="Q28" s="1"/>
      <c r="R28" s="1"/>
      <c r="S28" s="1"/>
      <c r="U28" s="1"/>
      <c r="V28" s="1"/>
      <c r="W28" s="1"/>
      <c r="X28" s="1"/>
      <c r="Y28" s="1"/>
      <c r="Z28" s="1"/>
      <c r="AA28" s="1"/>
      <c r="AB28" s="12">
        <f t="shared" si="9"/>
        <v>0</v>
      </c>
      <c r="AC28" s="11">
        <f t="shared" si="7"/>
        <v>0</v>
      </c>
      <c r="AD28" s="26"/>
    </row>
    <row r="29" spans="2:30" x14ac:dyDescent="0.3">
      <c r="B29" s="14" t="s">
        <v>20</v>
      </c>
      <c r="C29" s="1"/>
      <c r="D29" s="1"/>
      <c r="E29" s="1"/>
      <c r="F29" s="1"/>
      <c r="H29" s="1"/>
      <c r="I29" s="1"/>
      <c r="J29" s="1"/>
      <c r="K29" s="1"/>
      <c r="L29" s="1"/>
      <c r="M29" s="1"/>
      <c r="N29" s="1"/>
      <c r="O29" s="13">
        <f t="shared" si="8"/>
        <v>0</v>
      </c>
      <c r="P29" s="1"/>
      <c r="Q29" s="1"/>
      <c r="R29" s="1"/>
      <c r="S29" s="1"/>
      <c r="U29" s="1"/>
      <c r="V29" s="1"/>
      <c r="W29" s="1"/>
      <c r="X29" s="1"/>
      <c r="Y29" s="1"/>
      <c r="Z29" s="1"/>
      <c r="AA29" s="1"/>
      <c r="AB29" s="12">
        <f t="shared" si="9"/>
        <v>0</v>
      </c>
      <c r="AC29" s="11">
        <f t="shared" si="7"/>
        <v>0</v>
      </c>
    </row>
    <row r="30" spans="2:30" x14ac:dyDescent="0.3">
      <c r="B30" s="14" t="s">
        <v>19</v>
      </c>
      <c r="C30" s="1"/>
      <c r="D30" s="1"/>
      <c r="E30" s="1"/>
      <c r="F30" s="47">
        <v>362970</v>
      </c>
      <c r="H30" s="1"/>
      <c r="I30" s="1"/>
      <c r="J30" s="1"/>
      <c r="K30" s="1"/>
      <c r="L30" s="1"/>
      <c r="M30" s="1"/>
      <c r="N30" s="1"/>
      <c r="O30" s="13">
        <f t="shared" si="8"/>
        <v>362970</v>
      </c>
      <c r="P30" s="1"/>
      <c r="Q30" s="1"/>
      <c r="R30" s="1"/>
      <c r="S30" s="47">
        <v>209310</v>
      </c>
      <c r="U30" s="1"/>
      <c r="V30" s="1"/>
      <c r="W30" s="1"/>
      <c r="X30" s="1"/>
      <c r="Y30" s="1"/>
      <c r="Z30" s="1"/>
      <c r="AA30" s="1"/>
      <c r="AB30" s="12">
        <f t="shared" si="9"/>
        <v>209310</v>
      </c>
      <c r="AC30" s="11">
        <f t="shared" si="7"/>
        <v>572280</v>
      </c>
    </row>
    <row r="31" spans="2:30" x14ac:dyDescent="0.3">
      <c r="B31" s="6" t="s">
        <v>18</v>
      </c>
      <c r="C31" s="9">
        <f>SUM(C17:C30)</f>
        <v>1243001</v>
      </c>
      <c r="D31" s="9">
        <f>SUM(D17:D30)</f>
        <v>1237854</v>
      </c>
      <c r="E31" s="9">
        <f>SUM(E17:E30)</f>
        <v>1250811</v>
      </c>
      <c r="F31" s="9">
        <f>SUM(F17:F30)</f>
        <v>2946179</v>
      </c>
      <c r="G31" s="9">
        <f>SUM(G17:G30)</f>
        <v>1274514</v>
      </c>
      <c r="H31" s="9">
        <f t="shared" ref="H31:N31" si="10">SUM(H17:H30)</f>
        <v>1261925</v>
      </c>
      <c r="I31" s="9">
        <f t="shared" si="10"/>
        <v>1384289</v>
      </c>
      <c r="J31" s="9">
        <f t="shared" si="10"/>
        <v>1283800</v>
      </c>
      <c r="K31" s="9">
        <f t="shared" si="10"/>
        <v>1398603</v>
      </c>
      <c r="L31" s="9">
        <f t="shared" si="10"/>
        <v>1287753</v>
      </c>
      <c r="M31" s="9">
        <f t="shared" si="10"/>
        <v>1283328</v>
      </c>
      <c r="N31" s="9">
        <f t="shared" si="10"/>
        <v>1282978</v>
      </c>
      <c r="O31" s="25">
        <f t="shared" si="8"/>
        <v>17135035</v>
      </c>
      <c r="P31" s="9">
        <f>SUM(P17:P30)</f>
        <v>1420694</v>
      </c>
      <c r="Q31" s="9">
        <f>SUM(Q17:Q30)</f>
        <v>2945340</v>
      </c>
      <c r="R31" s="9">
        <f>SUM(R17:R30)</f>
        <v>1855191</v>
      </c>
      <c r="S31" s="9">
        <f>SUM(S17:S30)</f>
        <v>4045003</v>
      </c>
      <c r="T31" s="9">
        <f>SUM(T17:T30)</f>
        <v>1879053</v>
      </c>
      <c r="U31" s="9">
        <f t="shared" ref="U31:AA31" si="11">SUM(U17:U30)</f>
        <v>1866742</v>
      </c>
      <c r="V31" s="9">
        <f t="shared" si="11"/>
        <v>1957231</v>
      </c>
      <c r="W31" s="9">
        <f t="shared" si="11"/>
        <v>1952541</v>
      </c>
      <c r="X31" s="9">
        <f t="shared" si="11"/>
        <v>0</v>
      </c>
      <c r="Y31" s="9">
        <f t="shared" si="11"/>
        <v>0</v>
      </c>
      <c r="Z31" s="9">
        <f t="shared" si="11"/>
        <v>0</v>
      </c>
      <c r="AA31" s="9">
        <f t="shared" si="11"/>
        <v>0</v>
      </c>
      <c r="AB31" s="24">
        <f t="shared" si="9"/>
        <v>17921795</v>
      </c>
      <c r="AC31" s="23">
        <f t="shared" si="7"/>
        <v>35056830</v>
      </c>
    </row>
    <row r="32" spans="2:30" x14ac:dyDescent="0.3">
      <c r="B32" s="6" t="s">
        <v>17</v>
      </c>
      <c r="C32" s="21">
        <f t="shared" ref="C32:N32" si="12">C16-C31</f>
        <v>6766454</v>
      </c>
      <c r="D32" s="21">
        <f t="shared" si="12"/>
        <v>4246609</v>
      </c>
      <c r="E32" s="21">
        <f t="shared" si="12"/>
        <v>4233652</v>
      </c>
      <c r="F32" s="21">
        <f t="shared" si="12"/>
        <v>11226589</v>
      </c>
      <c r="G32" s="21">
        <f t="shared" si="12"/>
        <v>4209949</v>
      </c>
      <c r="H32" s="21">
        <f t="shared" si="12"/>
        <v>4222538</v>
      </c>
      <c r="I32" s="21">
        <f t="shared" si="12"/>
        <v>6428328</v>
      </c>
      <c r="J32" s="21">
        <f t="shared" si="12"/>
        <v>4200663</v>
      </c>
      <c r="K32" s="21">
        <f t="shared" si="12"/>
        <v>4562510</v>
      </c>
      <c r="L32" s="21">
        <f t="shared" si="12"/>
        <v>4316710</v>
      </c>
      <c r="M32" s="21">
        <f t="shared" si="12"/>
        <v>4201135</v>
      </c>
      <c r="N32" s="21">
        <f t="shared" si="12"/>
        <v>4201485</v>
      </c>
      <c r="O32" s="22">
        <f t="shared" si="8"/>
        <v>62816622</v>
      </c>
      <c r="P32" s="21">
        <f t="shared" ref="P32:AA32" si="13">P16-P31</f>
        <v>5788617</v>
      </c>
      <c r="Q32" s="21">
        <f t="shared" si="13"/>
        <v>3612077</v>
      </c>
      <c r="R32" s="21">
        <f t="shared" si="13"/>
        <v>4506226</v>
      </c>
      <c r="S32" s="21">
        <f t="shared" si="13"/>
        <v>15003272</v>
      </c>
      <c r="T32" s="21">
        <f t="shared" si="13"/>
        <v>4478364</v>
      </c>
      <c r="U32" s="21">
        <f t="shared" si="13"/>
        <v>4490675</v>
      </c>
      <c r="V32" s="21">
        <f t="shared" si="13"/>
        <v>4721807</v>
      </c>
      <c r="W32" s="21">
        <f t="shared" si="13"/>
        <v>4708876</v>
      </c>
      <c r="X32" s="21">
        <f t="shared" si="13"/>
        <v>0</v>
      </c>
      <c r="Y32" s="21">
        <f t="shared" si="13"/>
        <v>0</v>
      </c>
      <c r="Z32" s="21">
        <f t="shared" si="13"/>
        <v>0</v>
      </c>
      <c r="AA32" s="21">
        <f t="shared" si="13"/>
        <v>0</v>
      </c>
      <c r="AB32" s="20">
        <f t="shared" si="9"/>
        <v>47309914</v>
      </c>
      <c r="AC32" s="19">
        <f t="shared" si="7"/>
        <v>110126536</v>
      </c>
    </row>
    <row r="33" spans="2:30" x14ac:dyDescent="0.3">
      <c r="B33" s="14" t="s">
        <v>16</v>
      </c>
      <c r="C33" s="18">
        <v>71298000</v>
      </c>
      <c r="D33" s="1"/>
      <c r="O33" s="13">
        <f t="shared" si="8"/>
        <v>71298000</v>
      </c>
      <c r="P33" s="18">
        <v>76289000</v>
      </c>
      <c r="Q33" s="1"/>
      <c r="AB33" s="12">
        <f t="shared" si="9"/>
        <v>76289000</v>
      </c>
      <c r="AC33" s="11">
        <f t="shared" si="7"/>
        <v>147587000</v>
      </c>
      <c r="AD33" s="17"/>
    </row>
    <row r="34" spans="2:30" x14ac:dyDescent="0.3">
      <c r="B34" s="14" t="s">
        <v>15</v>
      </c>
      <c r="C34" s="1"/>
      <c r="D34" s="1"/>
      <c r="O34" s="13">
        <f t="shared" si="8"/>
        <v>0</v>
      </c>
      <c r="P34" s="1"/>
      <c r="Q34" s="1"/>
      <c r="AB34" s="12">
        <f t="shared" si="9"/>
        <v>0</v>
      </c>
      <c r="AC34" s="11">
        <f t="shared" si="7"/>
        <v>0</v>
      </c>
    </row>
    <row r="35" spans="2:30" ht="17.25" x14ac:dyDescent="0.3">
      <c r="B35" s="16" t="s">
        <v>14</v>
      </c>
      <c r="C35" s="1"/>
      <c r="D35" s="1"/>
      <c r="O35" s="13">
        <f t="shared" si="8"/>
        <v>0</v>
      </c>
      <c r="P35" s="1"/>
      <c r="Q35" s="1"/>
      <c r="AB35" s="12">
        <f t="shared" si="9"/>
        <v>0</v>
      </c>
      <c r="AC35" s="11">
        <f t="shared" si="7"/>
        <v>0</v>
      </c>
    </row>
    <row r="36" spans="2:30" x14ac:dyDescent="0.3">
      <c r="B36" s="14" t="s">
        <v>13</v>
      </c>
      <c r="C36" s="1"/>
      <c r="D36" s="1"/>
      <c r="E36" s="1"/>
      <c r="F36" s="1"/>
      <c r="H36" s="1"/>
      <c r="I36" s="1"/>
      <c r="J36" s="1"/>
      <c r="K36" s="1"/>
      <c r="L36" s="1"/>
      <c r="M36" s="1"/>
      <c r="N36" s="1"/>
      <c r="O36" s="13">
        <f t="shared" si="8"/>
        <v>0</v>
      </c>
      <c r="P36" s="1"/>
      <c r="Q36" s="1"/>
      <c r="R36" s="1"/>
      <c r="S36" s="1"/>
      <c r="U36" s="1"/>
      <c r="V36" s="1"/>
      <c r="W36" s="1"/>
      <c r="X36" s="1"/>
      <c r="Y36" s="1"/>
      <c r="Z36" s="1"/>
      <c r="AA36" s="1"/>
      <c r="AB36" s="12">
        <f t="shared" si="9"/>
        <v>0</v>
      </c>
      <c r="AC36" s="11">
        <f t="shared" si="7"/>
        <v>0</v>
      </c>
    </row>
    <row r="37" spans="2:30" x14ac:dyDescent="0.3">
      <c r="B37" s="14" t="s">
        <v>12</v>
      </c>
      <c r="C37" s="1"/>
      <c r="D37" s="1"/>
      <c r="E37" s="1"/>
      <c r="F37" s="1"/>
      <c r="H37" s="1"/>
      <c r="I37" s="1"/>
      <c r="J37" s="1"/>
      <c r="K37" s="1"/>
      <c r="L37" s="1"/>
      <c r="M37" s="1"/>
      <c r="N37" s="1"/>
      <c r="O37" s="13">
        <f t="shared" si="8"/>
        <v>0</v>
      </c>
      <c r="P37" s="1"/>
      <c r="Q37" s="1"/>
      <c r="R37" s="1"/>
      <c r="S37" s="1"/>
      <c r="U37" s="1"/>
      <c r="V37" s="1"/>
      <c r="W37" s="1"/>
      <c r="X37" s="1"/>
      <c r="Y37" s="1"/>
      <c r="Z37" s="1"/>
      <c r="AA37" s="1"/>
      <c r="AB37" s="12">
        <f t="shared" si="9"/>
        <v>0</v>
      </c>
      <c r="AC37" s="11">
        <f t="shared" si="7"/>
        <v>0</v>
      </c>
    </row>
    <row r="38" spans="2:30" x14ac:dyDescent="0.3">
      <c r="B38" s="14" t="s">
        <v>11</v>
      </c>
      <c r="C38" s="1"/>
      <c r="D38" s="1"/>
      <c r="E38" s="1"/>
      <c r="F38" s="1"/>
      <c r="H38" s="1"/>
      <c r="I38" s="1"/>
      <c r="J38" s="1"/>
      <c r="K38" s="1"/>
      <c r="L38" s="1"/>
      <c r="M38" s="1"/>
      <c r="N38" s="1"/>
      <c r="O38" s="13">
        <f t="shared" si="8"/>
        <v>0</v>
      </c>
      <c r="P38" s="1"/>
      <c r="Q38" s="1"/>
      <c r="R38" s="1"/>
      <c r="S38" s="1"/>
      <c r="U38" s="1"/>
      <c r="V38" s="1"/>
      <c r="W38" s="1"/>
      <c r="X38" s="1"/>
      <c r="Y38" s="1"/>
      <c r="Z38" s="1"/>
      <c r="AA38" s="1"/>
      <c r="AB38" s="12">
        <f t="shared" si="9"/>
        <v>0</v>
      </c>
      <c r="AC38" s="11">
        <f t="shared" si="7"/>
        <v>0</v>
      </c>
    </row>
    <row r="39" spans="2:30" x14ac:dyDescent="0.3">
      <c r="B39" s="14" t="s">
        <v>10</v>
      </c>
      <c r="C39" s="1"/>
      <c r="D39" s="1"/>
      <c r="E39" s="1"/>
      <c r="F39" s="1"/>
      <c r="H39" s="1"/>
      <c r="I39" s="1"/>
      <c r="J39" s="1"/>
      <c r="K39" s="1"/>
      <c r="L39" s="1"/>
      <c r="M39" s="1"/>
      <c r="N39" s="1"/>
      <c r="O39" s="13">
        <f t="shared" si="8"/>
        <v>0</v>
      </c>
      <c r="P39" s="1"/>
      <c r="Q39" s="1"/>
      <c r="R39" s="1"/>
      <c r="S39" s="1"/>
      <c r="U39" s="1"/>
      <c r="V39" s="1"/>
      <c r="W39" s="1"/>
      <c r="X39" s="1"/>
      <c r="Y39" s="1"/>
      <c r="Z39" s="1"/>
      <c r="AA39" s="1"/>
      <c r="AB39" s="12">
        <f t="shared" si="9"/>
        <v>0</v>
      </c>
      <c r="AC39" s="11">
        <f t="shared" si="7"/>
        <v>0</v>
      </c>
    </row>
    <row r="40" spans="2:30" x14ac:dyDescent="0.3">
      <c r="B40" s="14" t="s">
        <v>9</v>
      </c>
      <c r="C40" s="1"/>
      <c r="D40" s="1"/>
      <c r="E40" s="15"/>
      <c r="F40" s="15"/>
      <c r="H40" s="1"/>
      <c r="I40" s="15"/>
      <c r="J40" s="15"/>
      <c r="K40" s="15"/>
      <c r="L40" s="15"/>
      <c r="M40" s="15"/>
      <c r="N40" s="15"/>
      <c r="O40" s="13">
        <f t="shared" si="8"/>
        <v>0</v>
      </c>
      <c r="P40" s="1"/>
      <c r="Q40" s="1"/>
      <c r="R40" s="15"/>
      <c r="S40" s="15"/>
      <c r="U40" s="1"/>
      <c r="V40" s="15"/>
      <c r="W40" s="15"/>
      <c r="X40" s="15"/>
      <c r="Y40" s="15"/>
      <c r="Z40" s="15"/>
      <c r="AA40" s="15"/>
      <c r="AB40" s="12">
        <f t="shared" si="9"/>
        <v>0</v>
      </c>
      <c r="AC40" s="11">
        <f t="shared" si="7"/>
        <v>0</v>
      </c>
    </row>
    <row r="41" spans="2:30" x14ac:dyDescent="0.3">
      <c r="B41" s="14" t="s">
        <v>8</v>
      </c>
      <c r="C41" s="1"/>
      <c r="D41" s="1"/>
      <c r="E41" s="15"/>
      <c r="F41" s="15"/>
      <c r="H41" s="15"/>
      <c r="I41" s="15"/>
      <c r="J41" s="15"/>
      <c r="K41" s="15"/>
      <c r="L41" s="15"/>
      <c r="M41" s="15"/>
      <c r="N41" s="15"/>
      <c r="O41" s="13">
        <f t="shared" si="8"/>
        <v>0</v>
      </c>
      <c r="P41" s="1"/>
      <c r="Q41" s="1"/>
      <c r="R41" s="15"/>
      <c r="S41" s="15"/>
      <c r="U41" s="15"/>
      <c r="V41" s="15"/>
      <c r="W41" s="15"/>
      <c r="X41" s="15"/>
      <c r="Y41" s="15"/>
      <c r="Z41" s="15"/>
      <c r="AA41" s="15"/>
      <c r="AB41" s="12">
        <f t="shared" si="9"/>
        <v>0</v>
      </c>
      <c r="AC41" s="11">
        <f t="shared" si="7"/>
        <v>0</v>
      </c>
    </row>
    <row r="42" spans="2:30" x14ac:dyDescent="0.3">
      <c r="B42" s="14" t="s">
        <v>7</v>
      </c>
      <c r="C42" s="1"/>
      <c r="D42" s="1"/>
      <c r="E42" s="15"/>
      <c r="F42" s="15"/>
      <c r="I42" s="15"/>
      <c r="J42" s="15"/>
      <c r="K42" s="15"/>
      <c r="L42" s="15"/>
      <c r="M42" s="15"/>
      <c r="N42" s="15"/>
      <c r="O42" s="13">
        <f t="shared" si="8"/>
        <v>0</v>
      </c>
      <c r="P42" s="1"/>
      <c r="Q42" s="1"/>
      <c r="R42" s="15"/>
      <c r="S42" s="15"/>
      <c r="V42" s="15"/>
      <c r="W42" s="15"/>
      <c r="X42" s="15"/>
      <c r="Y42" s="15"/>
      <c r="Z42" s="15"/>
      <c r="AA42" s="15"/>
      <c r="AB42" s="12">
        <f t="shared" si="9"/>
        <v>0</v>
      </c>
      <c r="AC42" s="11">
        <f t="shared" si="7"/>
        <v>0</v>
      </c>
    </row>
    <row r="43" spans="2:30" x14ac:dyDescent="0.3">
      <c r="B43" s="14" t="s">
        <v>6</v>
      </c>
      <c r="C43" s="1"/>
      <c r="D43" s="1"/>
      <c r="O43" s="13">
        <f t="shared" si="8"/>
        <v>0</v>
      </c>
      <c r="P43" s="1"/>
      <c r="Q43" s="1"/>
      <c r="AB43" s="12">
        <f t="shared" si="9"/>
        <v>0</v>
      </c>
      <c r="AC43" s="11">
        <f t="shared" si="7"/>
        <v>0</v>
      </c>
    </row>
    <row r="44" spans="2:30" x14ac:dyDescent="0.3">
      <c r="B44" s="14" t="s">
        <v>5</v>
      </c>
      <c r="C44" s="1"/>
      <c r="D44" s="1"/>
      <c r="O44" s="13">
        <f t="shared" si="8"/>
        <v>0</v>
      </c>
      <c r="P44" s="1"/>
      <c r="Q44" s="1"/>
      <c r="AB44" s="12">
        <f t="shared" si="9"/>
        <v>0</v>
      </c>
      <c r="AC44" s="11">
        <f t="shared" si="7"/>
        <v>0</v>
      </c>
    </row>
    <row r="45" spans="2:30" x14ac:dyDescent="0.3">
      <c r="B45" s="14" t="s">
        <v>4</v>
      </c>
      <c r="C45" s="1"/>
      <c r="D45" s="1"/>
      <c r="O45" s="13">
        <f t="shared" si="8"/>
        <v>0</v>
      </c>
      <c r="P45" s="1"/>
      <c r="Q45" s="1"/>
      <c r="AB45" s="12">
        <f t="shared" si="9"/>
        <v>0</v>
      </c>
      <c r="AC45" s="11">
        <f t="shared" si="7"/>
        <v>0</v>
      </c>
    </row>
    <row r="46" spans="2:30" x14ac:dyDescent="0.3">
      <c r="B46" s="14" t="s">
        <v>3</v>
      </c>
      <c r="C46" s="1"/>
      <c r="D46" s="1"/>
      <c r="O46" s="13">
        <f t="shared" si="8"/>
        <v>0</v>
      </c>
      <c r="P46" s="1"/>
      <c r="Q46" s="1"/>
      <c r="AB46" s="12">
        <f t="shared" si="9"/>
        <v>0</v>
      </c>
      <c r="AC46" s="11">
        <f t="shared" si="7"/>
        <v>0</v>
      </c>
    </row>
    <row r="47" spans="2:30" x14ac:dyDescent="0.3">
      <c r="B47" s="14" t="s">
        <v>2</v>
      </c>
      <c r="C47" s="1"/>
      <c r="D47" s="1"/>
      <c r="E47" s="1"/>
      <c r="F47" s="1"/>
      <c r="H47" s="1"/>
      <c r="I47" s="1"/>
      <c r="J47" s="1"/>
      <c r="K47" s="1"/>
      <c r="L47" s="1"/>
      <c r="M47" s="1"/>
      <c r="N47" s="1"/>
      <c r="O47" s="13">
        <f t="shared" si="8"/>
        <v>0</v>
      </c>
      <c r="P47" s="1"/>
      <c r="Q47" s="1"/>
      <c r="R47" s="1"/>
      <c r="S47" s="1"/>
      <c r="U47" s="1"/>
      <c r="V47" s="1"/>
      <c r="W47" s="1"/>
      <c r="X47" s="1"/>
      <c r="Y47" s="1"/>
      <c r="Z47" s="1"/>
      <c r="AA47" s="1"/>
      <c r="AB47" s="12">
        <f t="shared" si="9"/>
        <v>0</v>
      </c>
      <c r="AC47" s="11">
        <f t="shared" si="7"/>
        <v>0</v>
      </c>
    </row>
    <row r="48" spans="2:30" x14ac:dyDescent="0.3">
      <c r="B48" s="6" t="s">
        <v>1</v>
      </c>
      <c r="C48" s="9">
        <f t="shared" ref="C48:N48" si="14">SUM(C35:C47)</f>
        <v>0</v>
      </c>
      <c r="D48" s="9">
        <f t="shared" si="14"/>
        <v>0</v>
      </c>
      <c r="E48" s="9">
        <f t="shared" si="14"/>
        <v>0</v>
      </c>
      <c r="F48" s="9">
        <f t="shared" si="14"/>
        <v>0</v>
      </c>
      <c r="G48" s="9">
        <f t="shared" si="14"/>
        <v>0</v>
      </c>
      <c r="H48" s="9">
        <f t="shared" si="14"/>
        <v>0</v>
      </c>
      <c r="I48" s="9">
        <f t="shared" si="14"/>
        <v>0</v>
      </c>
      <c r="J48" s="9">
        <f t="shared" si="14"/>
        <v>0</v>
      </c>
      <c r="K48" s="9">
        <f t="shared" si="14"/>
        <v>0</v>
      </c>
      <c r="L48" s="9">
        <f t="shared" si="14"/>
        <v>0</v>
      </c>
      <c r="M48" s="9">
        <f t="shared" si="14"/>
        <v>0</v>
      </c>
      <c r="N48" s="9">
        <f t="shared" si="14"/>
        <v>0</v>
      </c>
      <c r="O48" s="10">
        <f t="shared" ref="O48:O49" si="15">SUM(C48:N48)</f>
        <v>0</v>
      </c>
      <c r="P48" s="9">
        <f t="shared" ref="P48:AA48" si="16">SUM(P35:P47)</f>
        <v>0</v>
      </c>
      <c r="Q48" s="9">
        <f t="shared" si="16"/>
        <v>0</v>
      </c>
      <c r="R48" s="9">
        <f t="shared" si="16"/>
        <v>0</v>
      </c>
      <c r="S48" s="9">
        <f t="shared" si="16"/>
        <v>0</v>
      </c>
      <c r="T48" s="9">
        <f t="shared" si="16"/>
        <v>0</v>
      </c>
      <c r="U48" s="9">
        <f t="shared" si="16"/>
        <v>0</v>
      </c>
      <c r="V48" s="9">
        <f t="shared" si="16"/>
        <v>0</v>
      </c>
      <c r="W48" s="9">
        <f t="shared" si="16"/>
        <v>0</v>
      </c>
      <c r="X48" s="9">
        <f t="shared" si="16"/>
        <v>0</v>
      </c>
      <c r="Y48" s="9">
        <f t="shared" si="16"/>
        <v>0</v>
      </c>
      <c r="Z48" s="9">
        <f t="shared" si="16"/>
        <v>0</v>
      </c>
      <c r="AA48" s="9">
        <f t="shared" si="16"/>
        <v>0</v>
      </c>
      <c r="AB48" s="8">
        <f t="shared" ref="AB48:AB49" si="17">SUM(P48:AA48)</f>
        <v>0</v>
      </c>
      <c r="AC48" s="7">
        <f t="shared" si="7"/>
        <v>0</v>
      </c>
    </row>
    <row r="49" spans="2:29" ht="17.25" thickBot="1" x14ac:dyDescent="0.35">
      <c r="B49" s="6" t="s">
        <v>0</v>
      </c>
      <c r="C49" s="4">
        <f t="shared" ref="C49:N49" si="18">C32-C48</f>
        <v>6766454</v>
      </c>
      <c r="D49" s="4">
        <f t="shared" si="18"/>
        <v>4246609</v>
      </c>
      <c r="E49" s="4">
        <f t="shared" si="18"/>
        <v>4233652</v>
      </c>
      <c r="F49" s="4">
        <f t="shared" si="18"/>
        <v>11226589</v>
      </c>
      <c r="G49" s="4">
        <f t="shared" si="18"/>
        <v>4209949</v>
      </c>
      <c r="H49" s="4">
        <f t="shared" si="18"/>
        <v>4222538</v>
      </c>
      <c r="I49" s="4">
        <f t="shared" si="18"/>
        <v>6428328</v>
      </c>
      <c r="J49" s="4">
        <f t="shared" si="18"/>
        <v>4200663</v>
      </c>
      <c r="K49" s="4">
        <f t="shared" si="18"/>
        <v>4562510</v>
      </c>
      <c r="L49" s="4">
        <f t="shared" si="18"/>
        <v>4316710</v>
      </c>
      <c r="M49" s="4">
        <f t="shared" si="18"/>
        <v>4201135</v>
      </c>
      <c r="N49" s="4">
        <f t="shared" si="18"/>
        <v>4201485</v>
      </c>
      <c r="O49" s="5">
        <f t="shared" si="15"/>
        <v>62816622</v>
      </c>
      <c r="P49" s="4">
        <f t="shared" ref="P49:AA49" si="19">P32-P48</f>
        <v>5788617</v>
      </c>
      <c r="Q49" s="4">
        <f t="shared" si="19"/>
        <v>3612077</v>
      </c>
      <c r="R49" s="4">
        <f t="shared" si="19"/>
        <v>4506226</v>
      </c>
      <c r="S49" s="4">
        <f t="shared" si="19"/>
        <v>15003272</v>
      </c>
      <c r="T49" s="4">
        <f t="shared" si="19"/>
        <v>4478364</v>
      </c>
      <c r="U49" s="4">
        <f t="shared" si="19"/>
        <v>4490675</v>
      </c>
      <c r="V49" s="4">
        <f t="shared" si="19"/>
        <v>4721807</v>
      </c>
      <c r="W49" s="4">
        <f t="shared" si="19"/>
        <v>4708876</v>
      </c>
      <c r="X49" s="4">
        <f t="shared" si="19"/>
        <v>0</v>
      </c>
      <c r="Y49" s="4">
        <f t="shared" si="19"/>
        <v>0</v>
      </c>
      <c r="Z49" s="4">
        <f t="shared" si="19"/>
        <v>0</v>
      </c>
      <c r="AA49" s="4">
        <f t="shared" si="19"/>
        <v>0</v>
      </c>
      <c r="AB49" s="3">
        <f t="shared" si="17"/>
        <v>47309914</v>
      </c>
      <c r="AC49" s="2">
        <f t="shared" si="7"/>
        <v>110126536</v>
      </c>
    </row>
    <row r="50" spans="2:29" x14ac:dyDescent="0.3">
      <c r="C50" s="1"/>
      <c r="P50" s="1"/>
    </row>
    <row r="51" spans="2:29" x14ac:dyDescent="0.3">
      <c r="C51" s="1"/>
      <c r="P51" s="1"/>
    </row>
    <row r="52" spans="2:29" x14ac:dyDescent="0.3">
      <c r="C52" s="1"/>
      <c r="P52" s="1"/>
    </row>
    <row r="53" spans="2:29" x14ac:dyDescent="0.3">
      <c r="C53" s="1"/>
      <c r="P53" s="1"/>
    </row>
    <row r="54" spans="2:29" x14ac:dyDescent="0.3">
      <c r="C54" s="1"/>
      <c r="P54" s="1"/>
    </row>
    <row r="55" spans="2:29" x14ac:dyDescent="0.3">
      <c r="C55" s="1"/>
      <c r="P55" s="1"/>
    </row>
    <row r="56" spans="2:29" x14ac:dyDescent="0.3">
      <c r="C56" s="1"/>
      <c r="P56" s="1"/>
    </row>
    <row r="57" spans="2:29" x14ac:dyDescent="0.3">
      <c r="C57" s="1"/>
      <c r="P57" s="1"/>
    </row>
    <row r="58" spans="2:29" x14ac:dyDescent="0.3">
      <c r="C58" s="1"/>
      <c r="P58" s="1"/>
    </row>
    <row r="59" spans="2:29" x14ac:dyDescent="0.3">
      <c r="C59" s="1"/>
      <c r="P59" s="1"/>
    </row>
    <row r="60" spans="2:29" x14ac:dyDescent="0.3">
      <c r="C60" s="1"/>
      <c r="P60" s="1"/>
    </row>
    <row r="61" spans="2:29" x14ac:dyDescent="0.3">
      <c r="C61" s="1"/>
      <c r="P61" s="1"/>
    </row>
    <row r="62" spans="2:29" x14ac:dyDescent="0.3">
      <c r="C62" s="1"/>
      <c r="P62" s="1"/>
    </row>
    <row r="63" spans="2:29" x14ac:dyDescent="0.3">
      <c r="C63" s="1"/>
      <c r="P63" s="1"/>
    </row>
    <row r="64" spans="2:29" x14ac:dyDescent="0.3">
      <c r="C64" s="1"/>
      <c r="P64" s="1"/>
    </row>
    <row r="65" spans="3:16" x14ac:dyDescent="0.3">
      <c r="C65" s="1"/>
      <c r="P65" s="1"/>
    </row>
    <row r="66" spans="3:16" x14ac:dyDescent="0.3">
      <c r="C66" s="1"/>
      <c r="P66" s="1"/>
    </row>
    <row r="67" spans="3:16" x14ac:dyDescent="0.3">
      <c r="C67" s="1"/>
      <c r="P67" s="1"/>
    </row>
    <row r="68" spans="3:16" x14ac:dyDescent="0.3">
      <c r="C68" s="1"/>
      <c r="P68" s="1"/>
    </row>
    <row r="69" spans="3:16" x14ac:dyDescent="0.3">
      <c r="C69" s="1"/>
      <c r="P69" s="1"/>
    </row>
    <row r="70" spans="3:16" x14ac:dyDescent="0.3">
      <c r="C70" s="1"/>
      <c r="P70" s="1"/>
    </row>
  </sheetData>
  <mergeCells count="2">
    <mergeCell ref="C3:N3"/>
    <mergeCell ref="P3:AA3"/>
  </mergeCells>
  <phoneticPr fontId="2" type="noConversion"/>
  <pageMargins left="0.7" right="0.7" top="0.75" bottom="0.75" header="0.3" footer="0.3"/>
  <pageSetup paperSize="9" orientation="portrait" r:id="rId1"/>
  <headerFooter>
    <oddFooter>&amp;C_x000D_&amp;1#&amp;"Arial"&amp;8&amp;K000000 Internal</oddFooter>
  </headerFooter>
  <ignoredErrors>
    <ignoredError sqref="O31:O3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5C9E9-71B2-460B-85CA-7968F06A979E}">
  <sheetPr codeName="Sheet1"/>
  <dimension ref="A1:U135"/>
  <sheetViews>
    <sheetView topLeftCell="A4" workbookViewId="0">
      <selection activeCell="K12" sqref="K12"/>
    </sheetView>
  </sheetViews>
  <sheetFormatPr defaultRowHeight="16.5" x14ac:dyDescent="0.3"/>
  <cols>
    <col min="1" max="1" width="11.375" bestFit="1" customWidth="1"/>
    <col min="2" max="2" width="10.25" bestFit="1" customWidth="1"/>
    <col min="4" max="4" width="9.375" bestFit="1" customWidth="1"/>
    <col min="6" max="6" width="9.25" bestFit="1" customWidth="1"/>
    <col min="7" max="7" width="10.25" bestFit="1" customWidth="1"/>
    <col min="10" max="10" width="10.375" bestFit="1" customWidth="1"/>
    <col min="11" max="13" width="9.25" bestFit="1" customWidth="1"/>
    <col min="14" max="14" width="12.25" customWidth="1"/>
    <col min="16" max="16" width="9.25" bestFit="1" customWidth="1"/>
    <col min="18" max="18" width="9.25" bestFit="1" customWidth="1"/>
    <col min="19" max="19" width="15.375" customWidth="1"/>
  </cols>
  <sheetData>
    <row r="1" spans="10:21" ht="16.5" customHeight="1" x14ac:dyDescent="0.3"/>
    <row r="2" spans="10:21" ht="54" customHeight="1" x14ac:dyDescent="0.3">
      <c r="N2" s="41" t="s">
        <v>54</v>
      </c>
      <c r="O2" s="40"/>
      <c r="P2" s="40"/>
      <c r="Q2" s="40"/>
      <c r="R2" s="40"/>
      <c r="S2" s="40"/>
      <c r="T2" s="40"/>
      <c r="U2" s="40"/>
    </row>
    <row r="3" spans="10:21" ht="16.5" customHeight="1" x14ac:dyDescent="0.3">
      <c r="J3" s="38" t="s">
        <v>52</v>
      </c>
      <c r="K3" s="39">
        <v>2026</v>
      </c>
      <c r="N3" s="59" t="s">
        <v>71</v>
      </c>
      <c r="O3" s="59"/>
      <c r="P3" s="59"/>
      <c r="Q3" s="59"/>
      <c r="R3" s="59"/>
      <c r="S3" s="59"/>
      <c r="T3" s="59"/>
      <c r="U3" s="59"/>
    </row>
    <row r="4" spans="10:21" ht="16.5" customHeight="1" x14ac:dyDescent="0.3">
      <c r="J4" s="38" t="s">
        <v>53</v>
      </c>
      <c r="K4" s="39">
        <v>8</v>
      </c>
      <c r="N4" s="60" t="s">
        <v>68</v>
      </c>
      <c r="O4" s="60"/>
      <c r="P4" s="60"/>
      <c r="Q4" s="60"/>
      <c r="R4" s="60"/>
      <c r="S4" s="60"/>
      <c r="T4" s="60"/>
      <c r="U4" s="60"/>
    </row>
    <row r="6" spans="10:21" ht="16.5" customHeight="1" x14ac:dyDescent="0.3"/>
    <row r="9" spans="10:21" ht="17.25" thickBot="1" x14ac:dyDescent="0.35"/>
    <row r="10" spans="10:21" ht="17.25" customHeight="1" thickBot="1" x14ac:dyDescent="0.35">
      <c r="J10" s="63" t="s">
        <v>65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5"/>
    </row>
    <row r="11" spans="10:21" ht="16.5" customHeight="1" thickBot="1" x14ac:dyDescent="0.35">
      <c r="J11" s="49" t="s">
        <v>60</v>
      </c>
      <c r="K11" s="57" t="s">
        <v>73</v>
      </c>
      <c r="L11" s="50"/>
      <c r="M11" s="50"/>
      <c r="N11" s="50"/>
      <c r="O11" s="50"/>
      <c r="P11" s="50"/>
      <c r="Q11" s="50"/>
      <c r="R11" s="50"/>
      <c r="S11" s="50"/>
      <c r="T11" s="50"/>
      <c r="U11" s="51"/>
    </row>
    <row r="12" spans="10:21" ht="16.5" customHeight="1" x14ac:dyDescent="0.3">
      <c r="J12" s="48" t="s">
        <v>61</v>
      </c>
      <c r="K12" s="52" t="str">
        <f>SUBSTITUTE(K11,"file:///","")</f>
        <v>C:/Users/uidk3743/AppData/Local/Microsoft/Olk/Attachments/ooa-62643974-b48c-4dcd-97f0-c1a45bf950c2/52cce476c5fa3ee95bb406f6bc4b66c57d32af13c0a47b611a6df6f806276f79/salary.htm</v>
      </c>
      <c r="L12" s="52"/>
      <c r="M12" s="52"/>
      <c r="N12" s="52"/>
      <c r="O12" s="52"/>
      <c r="P12" s="52"/>
      <c r="Q12" s="52"/>
      <c r="R12" s="52"/>
      <c r="S12" s="52"/>
      <c r="T12" s="52"/>
      <c r="U12" s="53"/>
    </row>
    <row r="13" spans="10:21" ht="16.5" customHeight="1" x14ac:dyDescent="0.3">
      <c r="J13" s="54" t="s">
        <v>59</v>
      </c>
      <c r="K13" s="55" t="str">
        <f>SUBSTITUTE(K12,"/","\")</f>
        <v>C:\Users\uidk3743\AppData\Local\Microsoft\Olk\Attachments\ooa-62643974-b48c-4dcd-97f0-c1a45bf950c2\52cce476c5fa3ee95bb406f6bc4b66c57d32af13c0a47b611a6df6f806276f79\salary.htm</v>
      </c>
      <c r="L13" s="55"/>
      <c r="M13" s="55"/>
      <c r="N13" s="55"/>
      <c r="O13" s="55"/>
      <c r="P13" s="55"/>
      <c r="Q13" s="55"/>
      <c r="R13" s="55"/>
      <c r="S13" s="55"/>
      <c r="T13" s="55"/>
      <c r="U13" s="56"/>
    </row>
    <row r="14" spans="10:21" ht="17.25" thickBot="1" x14ac:dyDescent="0.35"/>
    <row r="15" spans="10:21" ht="16.5" customHeight="1" thickBot="1" x14ac:dyDescent="0.35">
      <c r="J15" s="63" t="s">
        <v>66</v>
      </c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5"/>
    </row>
    <row r="16" spans="10:21" ht="17.25" thickBot="1" x14ac:dyDescent="0.35">
      <c r="J16" s="49" t="s">
        <v>60</v>
      </c>
      <c r="K16" s="57" t="s">
        <v>72</v>
      </c>
      <c r="L16" s="50"/>
      <c r="M16" s="50"/>
      <c r="N16" s="50"/>
      <c r="O16" s="50"/>
      <c r="P16" s="50"/>
      <c r="Q16" s="50"/>
      <c r="R16" s="50"/>
      <c r="S16" s="50"/>
      <c r="T16" s="50"/>
      <c r="U16" s="51"/>
    </row>
    <row r="17" spans="10:21" x14ac:dyDescent="0.3">
      <c r="J17" s="48" t="s">
        <v>61</v>
      </c>
      <c r="K17" s="52" t="str">
        <f>SUBSTITUTE(K16,"file:///","")</f>
        <v>C:/Users/uidk3743/AppData/Local/Microsoft/Olk/Attachments/ooa-62643974-b48c-4dcd-97f0-c1a45bf950c2/cd82e8586f6cd507419462776577ced7915f8d2fdb92cceb6e859139a8593278/salary.htm</v>
      </c>
      <c r="L17" s="52"/>
      <c r="M17" s="52"/>
      <c r="N17" s="52"/>
      <c r="O17" s="52"/>
      <c r="P17" s="52"/>
      <c r="Q17" s="52"/>
      <c r="R17" s="52"/>
      <c r="S17" s="52"/>
      <c r="T17" s="52"/>
      <c r="U17" s="53"/>
    </row>
    <row r="18" spans="10:21" x14ac:dyDescent="0.3">
      <c r="J18" s="38" t="s">
        <v>59</v>
      </c>
      <c r="K18" s="52" t="str">
        <f>SUBSTITUTE(K17,"/","\")</f>
        <v>C:\Users\uidk3743\AppData\Local\Microsoft\Olk\Attachments\ooa-62643974-b48c-4dcd-97f0-c1a45bf950c2\cd82e8586f6cd507419462776577ced7915f8d2fdb92cceb6e859139a8593278\salary.htm</v>
      </c>
      <c r="L18" s="52"/>
      <c r="M18" s="52"/>
      <c r="N18" s="52"/>
      <c r="O18" s="52"/>
      <c r="P18" s="52"/>
      <c r="Q18" s="52"/>
      <c r="R18" s="52"/>
      <c r="S18" s="52"/>
      <c r="T18" s="52"/>
      <c r="U18" s="53"/>
    </row>
    <row r="20" spans="10:21" ht="16.5" customHeight="1" x14ac:dyDescent="0.3"/>
    <row r="21" spans="10:21" ht="16.5" customHeight="1" thickBot="1" x14ac:dyDescent="0.35"/>
    <row r="22" spans="10:21" x14ac:dyDescent="0.3">
      <c r="J22" s="42"/>
      <c r="K22" s="43"/>
    </row>
    <row r="23" spans="10:21" x14ac:dyDescent="0.3">
      <c r="J23" s="44"/>
      <c r="K23" s="45"/>
      <c r="P23" s="27"/>
    </row>
    <row r="24" spans="10:21" x14ac:dyDescent="0.3">
      <c r="J24" s="44"/>
      <c r="K24" s="45"/>
    </row>
    <row r="25" spans="10:21" ht="16.5" customHeight="1" x14ac:dyDescent="0.3">
      <c r="J25" s="44"/>
      <c r="K25" s="45"/>
    </row>
    <row r="26" spans="10:21" ht="16.5" customHeight="1" thickBot="1" x14ac:dyDescent="0.35">
      <c r="J26" s="61" t="s">
        <v>64</v>
      </c>
      <c r="K26" s="62"/>
    </row>
    <row r="31" spans="10:21" ht="16.5" customHeight="1" x14ac:dyDescent="0.3"/>
    <row r="35" ht="16.5" customHeight="1" x14ac:dyDescent="0.3"/>
    <row r="37" ht="16.5" customHeight="1" x14ac:dyDescent="0.3"/>
    <row r="39" ht="16.5" customHeight="1" x14ac:dyDescent="0.3"/>
    <row r="40" ht="16.5" customHeight="1" x14ac:dyDescent="0.3"/>
    <row r="41" ht="16.5" customHeight="1" x14ac:dyDescent="0.3"/>
    <row r="44" ht="16.5" customHeight="1" x14ac:dyDescent="0.3"/>
    <row r="45" ht="16.5" customHeight="1" x14ac:dyDescent="0.3"/>
    <row r="46" ht="16.5" customHeight="1" x14ac:dyDescent="0.3"/>
    <row r="49" ht="16.5" customHeight="1" x14ac:dyDescent="0.3"/>
    <row r="50" ht="16.5" customHeight="1" x14ac:dyDescent="0.3"/>
    <row r="51" ht="16.5" customHeight="1" x14ac:dyDescent="0.3"/>
    <row r="52" ht="16.5" customHeight="1" x14ac:dyDescent="0.3"/>
    <row r="53" ht="16.5" customHeight="1" x14ac:dyDescent="0.3"/>
    <row r="78" spans="1:2" x14ac:dyDescent="0.3">
      <c r="B78" s="27"/>
    </row>
    <row r="79" spans="1:2" x14ac:dyDescent="0.3">
      <c r="A79" s="27"/>
      <c r="B79" s="46"/>
    </row>
    <row r="80" spans="1:2" x14ac:dyDescent="0.3">
      <c r="A80" s="46"/>
    </row>
    <row r="86" spans="1:2" x14ac:dyDescent="0.3">
      <c r="B86" s="27"/>
    </row>
    <row r="87" spans="1:2" x14ac:dyDescent="0.3">
      <c r="A87" s="27"/>
      <c r="B87" s="27"/>
    </row>
    <row r="88" spans="1:2" x14ac:dyDescent="0.3">
      <c r="A88" s="27"/>
      <c r="B88" s="27"/>
    </row>
    <row r="89" spans="1:2" x14ac:dyDescent="0.3">
      <c r="A89" s="27"/>
      <c r="B89" s="27"/>
    </row>
    <row r="90" spans="1:2" x14ac:dyDescent="0.3">
      <c r="A90" s="27"/>
      <c r="B90" s="27"/>
    </row>
    <row r="91" spans="1:2" x14ac:dyDescent="0.3">
      <c r="A91" s="27"/>
      <c r="B91" s="27"/>
    </row>
    <row r="92" spans="1:2" x14ac:dyDescent="0.3">
      <c r="A92" s="27"/>
      <c r="B92" s="27"/>
    </row>
    <row r="93" spans="1:2" x14ac:dyDescent="0.3">
      <c r="A93" s="27"/>
    </row>
    <row r="100" spans="1:2" x14ac:dyDescent="0.3">
      <c r="B100" s="27"/>
    </row>
    <row r="101" spans="1:2" x14ac:dyDescent="0.3">
      <c r="A101" s="27"/>
      <c r="B101" s="27"/>
    </row>
    <row r="102" spans="1:2" x14ac:dyDescent="0.3">
      <c r="A102" s="27"/>
    </row>
    <row r="134" spans="1:2" x14ac:dyDescent="0.3">
      <c r="B134" s="27"/>
    </row>
    <row r="135" spans="1:2" x14ac:dyDescent="0.3">
      <c r="A135" s="27"/>
    </row>
  </sheetData>
  <mergeCells count="5">
    <mergeCell ref="N3:U3"/>
    <mergeCell ref="N4:U4"/>
    <mergeCell ref="J26:K26"/>
    <mergeCell ref="J10:U10"/>
    <mergeCell ref="J15:U15"/>
  </mergeCells>
  <phoneticPr fontId="2" type="noConversion"/>
  <hyperlinks>
    <hyperlink ref="K16" r:id="rId1" xr:uid="{A6745C96-AB45-4107-A24B-170A01D72421}"/>
    <hyperlink ref="K11" r:id="rId2" xr:uid="{40837852-8141-4F84-B935-24AA1D1321FA}"/>
  </hyperlinks>
  <pageMargins left="0.7" right="0.7" top="0.75" bottom="0.75" header="0.3" footer="0.3"/>
  <pageSetup paperSize="9" orientation="portrait" r:id="rId3"/>
  <headerFooter>
    <oddFooter>&amp;C_x000D_&amp;1#&amp;"Arial"&amp;8&amp;K000000 Internal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LoadHTM.LoadHTM">
                <anchor moveWithCells="1" sizeWithCells="1">
                  <from>
                    <xdr:col>9</xdr:col>
                    <xdr:colOff>0</xdr:colOff>
                    <xdr:row>5</xdr:row>
                    <xdr:rowOff>76200</xdr:rowOff>
                  </from>
                  <to>
                    <xdr:col>10</xdr:col>
                    <xdr:colOff>561975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AddHTM.AddHTM">
                <anchor moveWithCells="1" sizeWithCells="1">
                  <from>
                    <xdr:col>12</xdr:col>
                    <xdr:colOff>0</xdr:colOff>
                    <xdr:row>5</xdr:row>
                    <xdr:rowOff>95250</xdr:rowOff>
                  </from>
                  <to>
                    <xdr:col>14</xdr:col>
                    <xdr:colOff>257175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8390-C215-4E79-8E62-22594C3B02C9}">
  <sheetPr codeName="Sheet3"/>
  <dimension ref="A6:A50"/>
  <sheetViews>
    <sheetView workbookViewId="0">
      <selection activeCell="N6" sqref="N6"/>
    </sheetView>
  </sheetViews>
  <sheetFormatPr defaultRowHeight="16.5" x14ac:dyDescent="0.3"/>
  <cols>
    <col min="1" max="1" width="9.25" bestFit="1" customWidth="1"/>
  </cols>
  <sheetData>
    <row r="6" ht="16.5" customHeight="1" x14ac:dyDescent="0.3"/>
    <row r="15" ht="16.5" customHeight="1" x14ac:dyDescent="0.3"/>
    <row r="25" ht="16.5" customHeight="1" x14ac:dyDescent="0.3"/>
    <row r="31" ht="16.5" customHeight="1" x14ac:dyDescent="0.3"/>
    <row r="35" ht="16.5" customHeight="1" x14ac:dyDescent="0.3"/>
    <row r="39" ht="16.5" customHeight="1" x14ac:dyDescent="0.3"/>
    <row r="44" ht="16.5" customHeight="1" x14ac:dyDescent="0.3"/>
    <row r="49" ht="16.5" customHeight="1" x14ac:dyDescent="0.3"/>
    <row r="50" ht="16.5" customHeight="1" x14ac:dyDescent="0.3"/>
  </sheetData>
  <phoneticPr fontId="2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정리</vt:lpstr>
      <vt:lpstr>명세서</vt:lpstr>
      <vt:lpstr>보너스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Ha, YuJin</dc:creator>
  <cp:lastModifiedBy>Chun, SaeWon</cp:lastModifiedBy>
  <dcterms:created xsi:type="dcterms:W3CDTF">2024-01-17T01:38:43Z</dcterms:created>
  <dcterms:modified xsi:type="dcterms:W3CDTF">2026-08-26T06:56:22Z</dcterms:modified>
</cp:coreProperties>
</file>