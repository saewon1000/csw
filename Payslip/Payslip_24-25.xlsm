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B1B0E7A6-1A15-4A19-B1BF-664042C42049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0" i="2" l="1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5" i="2"/>
  <c r="AC14" i="2"/>
  <c r="AC13" i="2"/>
  <c r="AC12" i="2"/>
  <c r="AC11" i="2"/>
  <c r="AC10" i="2"/>
  <c r="AC9" i="2"/>
  <c r="AC8" i="2"/>
  <c r="AC7" i="2"/>
  <c r="AC6" i="2"/>
  <c r="AC5" i="2"/>
  <c r="AB15" i="2" l="1"/>
  <c r="O15" i="2"/>
  <c r="G31" i="2"/>
  <c r="T31" i="2"/>
  <c r="AB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B27" i="2"/>
  <c r="AB26" i="2"/>
  <c r="AB23" i="2"/>
  <c r="AB22" i="2"/>
  <c r="AB21" i="2"/>
  <c r="AB20" i="2"/>
  <c r="AB19" i="2"/>
  <c r="AB18" i="2"/>
  <c r="AB17" i="2"/>
  <c r="O17" i="2"/>
  <c r="AB14" i="2"/>
  <c r="AB13" i="2"/>
  <c r="AB12" i="2"/>
  <c r="AB11" i="2"/>
  <c r="AB10" i="2"/>
  <c r="AB9" i="2"/>
  <c r="AB5" i="2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<sst xmlns="http://schemas.openxmlformats.org/spreadsheetml/2006/main" count="91" uniqueCount="73">
  <si>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</si>
  <si>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</si>
  <si>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</si>
  <si>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</si>
  <si>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</si>
  <si>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</si>
  <si>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</si>
  <si>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</si>
  <si>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</si>
  <si>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</si>
  <si>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</si>
  <si>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</si>
  <si>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</si>
  <si>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</si>
  <si>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</si>
  <si>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</si>
  <si>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</si>
  <si>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</si>
  <si>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</si>
  <si>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</si>
  <si>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</si>
  <si>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</si>
  <si>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</si>
  <si>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</si>
  <si>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</si>
  <si>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</si>
  <si>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</si>
  <si>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</si>
  <si>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</si>
  <si>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</si>
  <si>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</si>
  <si>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</si>
  <si>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</si>
  <si>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</si>
  <si>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</si>
  <si>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</si>
  <si>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</si>
  <si>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</si>
  <si>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</si>
  <si>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</si>
  <si>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</si>
  <si>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</si>
  <si>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</si>
  <si>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</si>
  <si>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</si>
  <si>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</si>
  <si>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</si>
  <si>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</si>
  <si>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</si>
  <si>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</si>
  <si>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</si>
  <si>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</si>
  <si>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</si>
  <si>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</si>
  <si>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</si>
  <si>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</si>
  <si>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</si>
  <si>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</si>
  <si>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</si>
  <si>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</si>
  <si>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</si>
  <si>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</si>
  <si>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</si>
  <si>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</si>
  <si>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</si>
  <si>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</si>
  <si>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</si>
  <si>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</si>
  <si>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</si>
  <si>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</si>
  <si>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file:///C:/Users/uidk3743/AppData/Local/Microsoft/Windows/INetCache/Content.Outlook/Y9X6OYUT/salary.htm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</si>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</sst>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Y9X6OYUT\salary.htm" TargetMode="External"/><Relationship Id="rId1" Type="http://schemas.openxmlformats.org/officeDocument/2006/relationships/hyperlink" Target="file:///C:\Users\uidk3743\AppData\Local\Microsoft\Windows\INetCache\Content.Outlook\Y9X6OYUT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P14" activePane="bottomRight" state="frozen"/>
      <selection pane="topRight" activeCell="O1" sqref="O1"/>
      <selection pane="bottomLeft" activeCell="A5" sqref="A5"/>
      <selection pane="bottomRight" activeCell="AD24" sqref="AD24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4.200280603297089</v>
      </c>
      <c r="Q2" s="34"/>
      <c r="R2" s="34"/>
    </row>
    <row r="3" spans="2:35" ht="17.25" thickBot="1" x14ac:dyDescent="0.35">
      <c r="B3" s="14"/>
      <c r="C3" s="58">
        <v>2024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2024</v>
      </c>
      <c r="P3" s="58">
        <v>2025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f>P3</f>
        <v>2025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3508923</v>
      </c>
      <c r="D5" s="47">
        <v>5263385</v>
      </c>
      <c r="E5" s="47">
        <v>3508923</v>
      </c>
      <c r="F5" s="47">
        <v>3508923</v>
      </c>
      <c r="G5" s="47">
        <v>3508923</v>
      </c>
      <c r="H5" s="47">
        <v>3508923</v>
      </c>
      <c r="I5" s="47">
        <v>5263385</v>
      </c>
      <c r="J5" s="47">
        <v>3508923</v>
      </c>
      <c r="K5" s="47">
        <v>5263385</v>
      </c>
      <c r="L5" s="47">
        <v>3508923</v>
      </c>
      <c r="M5" s="47">
        <v>3508923</v>
      </c>
      <c r="N5" s="47">
        <v>3508923</v>
      </c>
      <c r="O5" s="13">
        <f t="shared" ref="O5:O14" si="0">SUM(C5:N5)</f>
        <v>47370462</v>
      </c>
      <c r="P5" s="47">
        <v>5484462</v>
      </c>
      <c r="Q5" s="47">
        <v>3656308</v>
      </c>
      <c r="R5" s="47">
        <v>3656308</v>
      </c>
      <c r="S5" s="47">
        <v>3656308</v>
      </c>
      <c r="T5" s="47">
        <v>3656308</v>
      </c>
      <c r="U5" s="47">
        <v>3656308</v>
      </c>
      <c r="V5" s="47">
        <v>5484462</v>
      </c>
      <c r="W5" s="47">
        <v>3656308</v>
      </c>
      <c r="X5" s="47">
        <v>3656308</v>
      </c>
      <c r="Y5" s="47">
        <v>3656308</v>
      </c>
      <c r="Z5" s="47">
        <v>3656308</v>
      </c>
      <c r="AA5" s="47">
        <v>3656308</v>
      </c>
      <c r="AB5" s="12">
        <f t="shared" ref="AB5:AB14" si="1">SUM(P5:AA5)</f>
        <v>47532004</v>
      </c>
      <c r="AC5" s="11">
        <f>SUM(O5,AB5)</f>
        <v>94902466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47">
        <v>58482</v>
      </c>
      <c r="H6" s="1"/>
      <c r="I6" s="1"/>
      <c r="J6" s="1"/>
      <c r="K6" s="1"/>
      <c r="L6" s="1"/>
      <c r="M6" s="1"/>
      <c r="N6" s="1"/>
      <c r="O6" s="13">
        <f t="shared" ref="O6:O7" si="2">SUM(C6:N6)</f>
        <v>58482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58482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1"/>
      <c r="H7" s="1"/>
      <c r="I7" s="1"/>
      <c r="J7" s="1"/>
      <c r="K7" s="1"/>
      <c r="L7" s="1"/>
      <c r="M7" s="1"/>
      <c r="N7" s="1"/>
      <c r="O7" s="13">
        <f t="shared" si="2"/>
        <v>0</v>
      </c>
      <c r="P7" s="1"/>
      <c r="Q7" s="1"/>
      <c r="R7" s="1"/>
      <c r="S7" s="47">
        <v>802460</v>
      </c>
      <c r="U7" s="1"/>
      <c r="V7" s="1"/>
      <c r="W7" s="1"/>
      <c r="X7" s="1"/>
      <c r="Y7" s="1"/>
      <c r="Z7" s="1"/>
      <c r="AA7" s="1"/>
      <c r="AB7" s="12">
        <f t="shared" ref="AB7" si="4">SUM(P7:AA7)</f>
        <v>802460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1169641</v>
      </c>
      <c r="D8" s="47">
        <v>1169641</v>
      </c>
      <c r="E8" s="47">
        <v>1169641</v>
      </c>
      <c r="F8" s="47">
        <v>1169641</v>
      </c>
      <c r="G8" s="47">
        <v>1169641</v>
      </c>
      <c r="H8" s="47">
        <v>1169641</v>
      </c>
      <c r="I8" s="47">
        <v>1169641</v>
      </c>
      <c r="J8" s="47">
        <v>1169641</v>
      </c>
      <c r="K8" s="47">
        <v>1169641</v>
      </c>
      <c r="L8" s="47">
        <v>1169641</v>
      </c>
      <c r="M8" s="47">
        <v>1169641</v>
      </c>
      <c r="N8" s="47">
        <v>1169641</v>
      </c>
      <c r="O8" s="13">
        <f t="shared" si="0"/>
        <v>14035692</v>
      </c>
      <c r="P8" s="47">
        <v>1218770</v>
      </c>
      <c r="Q8" s="47">
        <v>1218770</v>
      </c>
      <c r="R8" s="47">
        <v>1218770</v>
      </c>
      <c r="S8" s="47">
        <v>1218770</v>
      </c>
      <c r="T8" s="47">
        <v>1218770</v>
      </c>
      <c r="U8" s="47">
        <v>1218770</v>
      </c>
      <c r="V8" s="47">
        <v>1218770</v>
      </c>
      <c r="W8" s="47">
        <v>1218770</v>
      </c>
      <c r="X8" s="47">
        <v>1218770</v>
      </c>
      <c r="Y8" s="47">
        <v>1218770</v>
      </c>
      <c r="Z8" s="47">
        <v>1218770</v>
      </c>
      <c r="AA8" s="47">
        <v>1218770</v>
      </c>
      <c r="AB8" s="12">
        <f t="shared" si="1"/>
        <v>14625240</v>
      </c>
      <c r="AC8" s="11">
        <f t="shared" si="3"/>
        <v>28660932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584821</v>
      </c>
      <c r="D9" s="47">
        <v>584821</v>
      </c>
      <c r="E9" s="47">
        <v>584821</v>
      </c>
      <c r="F9" s="47">
        <v>584821</v>
      </c>
      <c r="G9" s="47">
        <v>584821</v>
      </c>
      <c r="H9" s="47">
        <v>584821</v>
      </c>
      <c r="I9" s="47">
        <v>584821</v>
      </c>
      <c r="J9" s="47">
        <v>584821</v>
      </c>
      <c r="K9" s="47">
        <v>584821</v>
      </c>
      <c r="L9" s="47">
        <v>584821</v>
      </c>
      <c r="M9" s="47">
        <v>584821</v>
      </c>
      <c r="N9" s="47">
        <v>584821</v>
      </c>
      <c r="O9" s="13">
        <f t="shared" si="0"/>
        <v>7017852</v>
      </c>
      <c r="P9" s="47">
        <v>609385</v>
      </c>
      <c r="Q9" s="47">
        <v>609385</v>
      </c>
      <c r="R9" s="47">
        <v>609385</v>
      </c>
      <c r="S9" s="47">
        <v>609385</v>
      </c>
      <c r="T9" s="47">
        <v>609385</v>
      </c>
      <c r="U9" s="47">
        <v>609385</v>
      </c>
      <c r="V9" s="47">
        <v>609385</v>
      </c>
      <c r="W9" s="47">
        <v>609385</v>
      </c>
      <c r="X9" s="47">
        <v>609385</v>
      </c>
      <c r="Y9" s="47">
        <v>609385</v>
      </c>
      <c r="Z9" s="47">
        <v>609385</v>
      </c>
      <c r="AA9" s="47">
        <v>609385</v>
      </c>
      <c r="AB9" s="12">
        <f t="shared" si="1"/>
        <v>7312620</v>
      </c>
      <c r="AC9" s="11">
        <f t="shared" si="3"/>
        <v>14330472</v>
      </c>
    </row>
    <row r="10" spans="2:35" x14ac:dyDescent="0.3">
      <c r="B10" s="14" t="s">
        <v>67</v>
      </c>
      <c r="C10" s="1"/>
      <c r="D10" s="1"/>
      <c r="E10" s="1"/>
      <c r="F10" s="47">
        <v>58482</v>
      </c>
      <c r="H10" s="1"/>
      <c r="I10" s="1"/>
      <c r="J10" s="1"/>
      <c r="K10" s="1"/>
      <c r="L10" s="1"/>
      <c r="M10" s="1"/>
      <c r="N10" s="1"/>
      <c r="O10" s="13">
        <f t="shared" si="0"/>
        <v>58482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58482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47">
        <v>12000</v>
      </c>
      <c r="E11" s="1"/>
      <c r="F11" s="1"/>
      <c r="H11" s="47">
        <v>14000</v>
      </c>
      <c r="I11" s="47">
        <v>2000</v>
      </c>
      <c r="J11" s="1"/>
      <c r="K11" s="1"/>
      <c r="L11" s="1"/>
      <c r="M11" s="47">
        <v>2000</v>
      </c>
      <c r="N11" s="47">
        <v>8000</v>
      </c>
      <c r="O11" s="13">
        <f t="shared" si="0"/>
        <v>38000</v>
      </c>
      <c r="P11" s="1"/>
      <c r="Q11" s="1"/>
      <c r="R11" s="1"/>
      <c r="S11" s="47">
        <v>6000</v>
      </c>
      <c r="U11" s="1"/>
      <c r="V11" s="1"/>
      <c r="W11" s="1"/>
      <c r="X11" s="1"/>
      <c r="Y11" s="47">
        <v>120000</v>
      </c>
      <c r="Z11" s="1"/>
      <c r="AA11" s="1"/>
      <c r="AB11" s="12">
        <f t="shared" si="1"/>
        <v>126000</v>
      </c>
      <c r="AC11" s="11">
        <f t="shared" si="3"/>
        <v>164000</v>
      </c>
    </row>
    <row r="12" spans="2:35" x14ac:dyDescent="0.3">
      <c r="B12" s="14" t="s">
        <v>57</v>
      </c>
      <c r="C12" s="1"/>
      <c r="D12" s="1"/>
      <c r="E12" s="1"/>
      <c r="F12" s="47">
        <v>8290456</v>
      </c>
      <c r="H12" s="1"/>
      <c r="I12" s="1"/>
      <c r="J12" s="1"/>
      <c r="K12" s="1"/>
      <c r="L12" s="1"/>
      <c r="M12" s="1"/>
      <c r="N12" s="1"/>
      <c r="O12" s="13">
        <f t="shared" si="0"/>
        <v>8290456</v>
      </c>
      <c r="P12" s="1"/>
      <c r="Q12" s="1"/>
      <c r="R12" s="1"/>
      <c r="S12" s="47">
        <v>7879845</v>
      </c>
      <c r="U12" s="1"/>
      <c r="V12" s="1"/>
      <c r="W12" s="1"/>
      <c r="X12" s="1"/>
      <c r="Y12" s="1"/>
      <c r="Z12" s="1"/>
      <c r="AA12" s="1"/>
      <c r="AB12" s="12">
        <f t="shared" si="1"/>
        <v>7879845</v>
      </c>
      <c r="AC12" s="11">
        <f t="shared" si="3"/>
        <v>16170301</v>
      </c>
    </row>
    <row r="13" spans="2:35" x14ac:dyDescent="0.3">
      <c r="B13" s="14" t="s">
        <v>32</v>
      </c>
      <c r="C13" s="47">
        <v>828072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828072</v>
      </c>
      <c r="P13" s="47">
        <v>496838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496838</v>
      </c>
      <c r="AC13" s="11">
        <f t="shared" si="3"/>
        <v>1324910</v>
      </c>
    </row>
    <row r="14" spans="2:35" x14ac:dyDescent="0.3">
      <c r="B14" s="14" t="s">
        <v>69</v>
      </c>
      <c r="C14" s="1"/>
      <c r="D14" s="47">
        <v>200000</v>
      </c>
      <c r="E14" s="1"/>
      <c r="F14" s="1"/>
      <c r="H14" s="1"/>
      <c r="I14" s="47">
        <v>500000</v>
      </c>
      <c r="J14" s="1"/>
      <c r="K14" s="47">
        <v>200000</v>
      </c>
      <c r="L14" s="1"/>
      <c r="M14" s="1"/>
      <c r="N14" s="1"/>
      <c r="O14" s="13">
        <f t="shared" si="0"/>
        <v>900000</v>
      </c>
      <c r="P14" s="47">
        <v>200000</v>
      </c>
      <c r="Q14" s="1"/>
      <c r="R14" s="1"/>
      <c r="S14" s="1"/>
      <c r="U14" s="1"/>
      <c r="V14" s="47">
        <v>500000</v>
      </c>
      <c r="W14" s="1"/>
      <c r="X14" s="1"/>
      <c r="Y14" s="1"/>
      <c r="Z14" s="1"/>
      <c r="AA14" s="1"/>
      <c r="AB14" s="12">
        <f t="shared" si="1"/>
        <v>700000</v>
      </c>
      <c r="AC14" s="11">
        <f t="shared" si="3"/>
        <v>1600000</v>
      </c>
    </row>
    <row r="15" spans="2:35" x14ac:dyDescent="0.3">
      <c r="B15" s="14" t="s">
        <v>71</v>
      </c>
      <c r="C15" s="1"/>
      <c r="D15" s="1"/>
      <c r="E15" s="1"/>
      <c r="F15" s="1"/>
      <c r="H15" s="1"/>
      <c r="I15" s="1"/>
      <c r="J15" s="1"/>
      <c r="K15" s="1"/>
      <c r="L15" s="1"/>
      <c r="M15" s="1"/>
      <c r="N15" s="1"/>
      <c r="O15" s="13">
        <f t="shared" ref="O15" si="5">SUM(C15:N15)</f>
        <v>0</v>
      </c>
      <c r="P15" s="1"/>
      <c r="Q15" s="1"/>
      <c r="R15" s="1"/>
      <c r="S15" s="1"/>
      <c r="U15" s="1"/>
      <c r="V15" s="1"/>
      <c r="W15" s="1"/>
      <c r="X15" s="47">
        <v>476650</v>
      </c>
      <c r="Y15" s="1"/>
      <c r="Z15" s="1"/>
      <c r="AA15" s="1"/>
      <c r="AB15" s="12">
        <f t="shared" ref="AB15" si="6">SUM(P15:AA15)</f>
        <v>476650</v>
      </c>
      <c r="AC15" s="11">
        <f t="shared" si="3"/>
        <v>476650</v>
      </c>
    </row>
    <row r="16" spans="2:35" x14ac:dyDescent="0.3">
      <c r="B16" s="6" t="s">
        <v>31</v>
      </c>
      <c r="C16" s="9">
        <f t="shared" ref="C16:AB16" si="7">SUM(C5:C15)</f>
        <v>6091457</v>
      </c>
      <c r="D16" s="9">
        <f t="shared" si="7"/>
        <v>7229847</v>
      </c>
      <c r="E16" s="9">
        <f t="shared" si="7"/>
        <v>5263385</v>
      </c>
      <c r="F16" s="9">
        <f t="shared" si="7"/>
        <v>13670805</v>
      </c>
      <c r="G16" s="9">
        <f t="shared" si="7"/>
        <v>5263385</v>
      </c>
      <c r="H16" s="9">
        <f t="shared" si="7"/>
        <v>5277385</v>
      </c>
      <c r="I16" s="9">
        <f t="shared" si="7"/>
        <v>7519847</v>
      </c>
      <c r="J16" s="9">
        <f t="shared" si="7"/>
        <v>5263385</v>
      </c>
      <c r="K16" s="9">
        <f t="shared" si="7"/>
        <v>7217847</v>
      </c>
      <c r="L16" s="9">
        <f t="shared" si="7"/>
        <v>5263385</v>
      </c>
      <c r="M16" s="9">
        <f t="shared" si="7"/>
        <v>5265385</v>
      </c>
      <c r="N16" s="9">
        <f t="shared" si="7"/>
        <v>5271385</v>
      </c>
      <c r="O16" s="10">
        <f t="shared" si="7"/>
        <v>78597498</v>
      </c>
      <c r="P16" s="9">
        <f t="shared" si="7"/>
        <v>8009455</v>
      </c>
      <c r="Q16" s="9">
        <f t="shared" si="7"/>
        <v>5484463</v>
      </c>
      <c r="R16" s="9">
        <f t="shared" si="7"/>
        <v>5484463</v>
      </c>
      <c r="S16" s="9">
        <f t="shared" si="7"/>
        <v>14172768</v>
      </c>
      <c r="T16" s="9">
        <f t="shared" si="7"/>
        <v>5484463</v>
      </c>
      <c r="U16" s="9">
        <f t="shared" si="7"/>
        <v>5484463</v>
      </c>
      <c r="V16" s="9">
        <f t="shared" si="7"/>
        <v>7812617</v>
      </c>
      <c r="W16" s="9">
        <f t="shared" si="7"/>
        <v>5484463</v>
      </c>
      <c r="X16" s="9">
        <f t="shared" si="7"/>
        <v>5961113</v>
      </c>
      <c r="Y16" s="9">
        <f t="shared" si="7"/>
        <v>5604463</v>
      </c>
      <c r="Z16" s="9">
        <f t="shared" si="7"/>
        <v>5484463</v>
      </c>
      <c r="AA16" s="9">
        <f t="shared" si="7"/>
        <v>5484463</v>
      </c>
      <c r="AB16" s="8">
        <f t="shared" si="7"/>
        <v>79951657</v>
      </c>
      <c r="AC16" s="7">
        <f t="shared" ref="AC6:AC49" si="8">SUM(O16,AB16)</f>
        <v>158549155</v>
      </c>
      <c r="AD16" s="28"/>
    </row>
    <row r="17" spans="2:30" x14ac:dyDescent="0.3">
      <c r="B17" s="14" t="s">
        <v>30</v>
      </c>
      <c r="C17" s="47">
        <v>351510</v>
      </c>
      <c r="D17" s="47">
        <v>482040</v>
      </c>
      <c r="E17" s="47">
        <v>446310</v>
      </c>
      <c r="F17" s="47">
        <v>1385710</v>
      </c>
      <c r="G17" s="47">
        <v>446310</v>
      </c>
      <c r="H17" s="47">
        <v>446310</v>
      </c>
      <c r="I17" s="47">
        <v>467350</v>
      </c>
      <c r="J17" s="47">
        <v>423070</v>
      </c>
      <c r="K17" s="47">
        <v>444850</v>
      </c>
      <c r="L17" s="47">
        <v>409120</v>
      </c>
      <c r="M17" s="47">
        <v>426910</v>
      </c>
      <c r="N17" s="47">
        <v>424210</v>
      </c>
      <c r="O17" s="13">
        <f t="shared" ref="O17:O47" si="9">SUM(C17:N17)</f>
        <v>6153700</v>
      </c>
      <c r="P17" s="47">
        <v>425880</v>
      </c>
      <c r="Q17" s="47">
        <v>461700</v>
      </c>
      <c r="R17" s="47">
        <v>454570</v>
      </c>
      <c r="S17" s="47">
        <v>1572860</v>
      </c>
      <c r="T17" s="47">
        <v>454570</v>
      </c>
      <c r="U17" s="47">
        <v>443060</v>
      </c>
      <c r="V17" s="47">
        <v>515430</v>
      </c>
      <c r="W17" s="47">
        <v>443060</v>
      </c>
      <c r="X17" s="47">
        <v>543670</v>
      </c>
      <c r="Y17" s="47">
        <v>446140</v>
      </c>
      <c r="Z17" s="47">
        <v>443060</v>
      </c>
      <c r="AA17" s="47">
        <v>443060</v>
      </c>
      <c r="AB17" s="12">
        <f t="shared" ref="AB17:AB47" si="10">SUM(P17:AA17)</f>
        <v>6647060</v>
      </c>
      <c r="AC17" s="11">
        <f t="shared" si="8"/>
        <v>12800760</v>
      </c>
    </row>
    <row r="18" spans="2:30" x14ac:dyDescent="0.3">
      <c r="B18" s="14" t="s">
        <v>29</v>
      </c>
      <c r="C18" s="47">
        <v>35150</v>
      </c>
      <c r="D18" s="47">
        <v>48200</v>
      </c>
      <c r="E18" s="47">
        <v>44630</v>
      </c>
      <c r="F18" s="47">
        <v>138570</v>
      </c>
      <c r="G18" s="47">
        <v>44630</v>
      </c>
      <c r="H18" s="47">
        <v>44630</v>
      </c>
      <c r="I18" s="47">
        <v>46730</v>
      </c>
      <c r="J18" s="47">
        <v>42300</v>
      </c>
      <c r="K18" s="47">
        <v>44480</v>
      </c>
      <c r="L18" s="47">
        <v>40910</v>
      </c>
      <c r="M18" s="47">
        <v>42690</v>
      </c>
      <c r="N18" s="47">
        <v>42420</v>
      </c>
      <c r="O18" s="13">
        <f t="shared" si="9"/>
        <v>615340</v>
      </c>
      <c r="P18" s="47">
        <v>42580</v>
      </c>
      <c r="Q18" s="47">
        <v>46170</v>
      </c>
      <c r="R18" s="47">
        <v>45450</v>
      </c>
      <c r="S18" s="47">
        <v>157280</v>
      </c>
      <c r="T18" s="47">
        <v>45450</v>
      </c>
      <c r="U18" s="47">
        <v>44300</v>
      </c>
      <c r="V18" s="47">
        <v>51530</v>
      </c>
      <c r="W18" s="47">
        <v>44300</v>
      </c>
      <c r="X18" s="47">
        <v>54360</v>
      </c>
      <c r="Y18" s="47">
        <v>44610</v>
      </c>
      <c r="Z18" s="47">
        <v>44300</v>
      </c>
      <c r="AA18" s="47">
        <v>44300</v>
      </c>
      <c r="AB18" s="12">
        <f t="shared" si="10"/>
        <v>664630</v>
      </c>
      <c r="AC18" s="11">
        <f t="shared" si="8"/>
        <v>1279970</v>
      </c>
    </row>
    <row r="19" spans="2:30" x14ac:dyDescent="0.3">
      <c r="B19" s="14" t="s">
        <v>28</v>
      </c>
      <c r="C19" s="47">
        <v>234720</v>
      </c>
      <c r="D19" s="47">
        <v>234720</v>
      </c>
      <c r="E19" s="47">
        <v>234720</v>
      </c>
      <c r="F19" s="47">
        <v>234720</v>
      </c>
      <c r="G19" s="47">
        <v>234720</v>
      </c>
      <c r="H19" s="47">
        <v>234720</v>
      </c>
      <c r="I19" s="47">
        <v>264460</v>
      </c>
      <c r="J19" s="47">
        <v>264460</v>
      </c>
      <c r="K19" s="47">
        <v>264460</v>
      </c>
      <c r="L19" s="47">
        <v>264460</v>
      </c>
      <c r="M19" s="47">
        <v>264460</v>
      </c>
      <c r="N19" s="47">
        <v>264460</v>
      </c>
      <c r="O19" s="13">
        <f t="shared" si="9"/>
        <v>2995080</v>
      </c>
      <c r="P19" s="47">
        <v>264460</v>
      </c>
      <c r="Q19" s="47">
        <v>264460</v>
      </c>
      <c r="R19" s="47">
        <v>264460</v>
      </c>
      <c r="S19" s="47">
        <v>264460</v>
      </c>
      <c r="T19" s="47">
        <v>264460</v>
      </c>
      <c r="U19" s="47">
        <v>264460</v>
      </c>
      <c r="V19" s="47">
        <v>286650</v>
      </c>
      <c r="W19" s="47">
        <v>286650</v>
      </c>
      <c r="X19" s="47">
        <v>286650</v>
      </c>
      <c r="Y19" s="47">
        <v>286650</v>
      </c>
      <c r="Z19" s="47">
        <v>286650</v>
      </c>
      <c r="AA19" s="47">
        <v>286650</v>
      </c>
      <c r="AB19" s="12">
        <f t="shared" si="10"/>
        <v>3306660</v>
      </c>
      <c r="AC19" s="11">
        <f t="shared" si="8"/>
        <v>6301740</v>
      </c>
    </row>
    <row r="20" spans="2:30" x14ac:dyDescent="0.3">
      <c r="B20" s="14" t="s">
        <v>27</v>
      </c>
      <c r="C20" s="47">
        <v>187470</v>
      </c>
      <c r="D20" s="47">
        <v>187470</v>
      </c>
      <c r="E20" s="47">
        <v>187470</v>
      </c>
      <c r="F20" s="47">
        <v>211260</v>
      </c>
      <c r="G20" s="47">
        <v>211260</v>
      </c>
      <c r="H20" s="47">
        <v>211260</v>
      </c>
      <c r="I20" s="47">
        <v>211260</v>
      </c>
      <c r="J20" s="47">
        <v>211260</v>
      </c>
      <c r="K20" s="47">
        <v>211260</v>
      </c>
      <c r="L20" s="47">
        <v>211260</v>
      </c>
      <c r="M20" s="47">
        <v>211260</v>
      </c>
      <c r="N20" s="47">
        <v>211260</v>
      </c>
      <c r="O20" s="13">
        <f t="shared" si="9"/>
        <v>2463750</v>
      </c>
      <c r="P20" s="47">
        <v>211260</v>
      </c>
      <c r="Q20" s="47">
        <v>211260</v>
      </c>
      <c r="R20" s="47">
        <v>211260</v>
      </c>
      <c r="S20" s="47">
        <v>232090</v>
      </c>
      <c r="T20" s="47">
        <v>232090</v>
      </c>
      <c r="U20" s="47">
        <v>232090</v>
      </c>
      <c r="V20" s="47">
        <v>232090</v>
      </c>
      <c r="W20" s="47">
        <v>232090</v>
      </c>
      <c r="X20" s="47">
        <v>232090</v>
      </c>
      <c r="Y20" s="47">
        <v>232090</v>
      </c>
      <c r="Z20" s="47">
        <v>232090</v>
      </c>
      <c r="AA20" s="47">
        <v>232090</v>
      </c>
      <c r="AB20" s="12">
        <f t="shared" si="10"/>
        <v>2722590</v>
      </c>
      <c r="AC20" s="11">
        <f t="shared" si="8"/>
        <v>5186340</v>
      </c>
    </row>
    <row r="21" spans="2:30" x14ac:dyDescent="0.3">
      <c r="B21" s="14" t="s">
        <v>26</v>
      </c>
      <c r="C21" s="47">
        <v>54820</v>
      </c>
      <c r="D21" s="47">
        <v>65060</v>
      </c>
      <c r="E21" s="47">
        <v>47370</v>
      </c>
      <c r="F21" s="47">
        <v>122510</v>
      </c>
      <c r="G21" s="47">
        <v>47370</v>
      </c>
      <c r="H21" s="47">
        <v>47490</v>
      </c>
      <c r="I21" s="47">
        <v>67670</v>
      </c>
      <c r="J21" s="47">
        <v>47370</v>
      </c>
      <c r="K21" s="47">
        <v>64960</v>
      </c>
      <c r="L21" s="47">
        <v>47370</v>
      </c>
      <c r="M21" s="47">
        <v>47610</v>
      </c>
      <c r="N21" s="47">
        <v>47440</v>
      </c>
      <c r="O21" s="13">
        <f t="shared" si="9"/>
        <v>707040</v>
      </c>
      <c r="P21" s="47">
        <v>72080</v>
      </c>
      <c r="Q21" s="47">
        <v>49810</v>
      </c>
      <c r="R21" s="47">
        <v>49360</v>
      </c>
      <c r="S21" s="47">
        <v>127550</v>
      </c>
      <c r="T21" s="47">
        <v>49360</v>
      </c>
      <c r="U21" s="47">
        <v>49360</v>
      </c>
      <c r="V21" s="47">
        <v>70310</v>
      </c>
      <c r="W21" s="47">
        <v>49360</v>
      </c>
      <c r="X21" s="47">
        <v>53650</v>
      </c>
      <c r="Y21" s="47">
        <v>50440</v>
      </c>
      <c r="Z21" s="47">
        <v>49360</v>
      </c>
      <c r="AA21" s="47">
        <v>49360</v>
      </c>
      <c r="AB21" s="12">
        <f t="shared" si="10"/>
        <v>720000</v>
      </c>
      <c r="AC21" s="11">
        <f t="shared" si="8"/>
        <v>1427040</v>
      </c>
    </row>
    <row r="22" spans="2:30" x14ac:dyDescent="0.3">
      <c r="B22" s="14" t="s">
        <v>25</v>
      </c>
      <c r="C22" s="47">
        <v>24270</v>
      </c>
      <c r="D22" s="47">
        <v>24270</v>
      </c>
      <c r="E22" s="47">
        <v>24270</v>
      </c>
      <c r="F22" s="47">
        <v>27350</v>
      </c>
      <c r="G22" s="47">
        <v>27350</v>
      </c>
      <c r="H22" s="47">
        <v>27350</v>
      </c>
      <c r="I22" s="47">
        <v>27350</v>
      </c>
      <c r="J22" s="47">
        <v>27350</v>
      </c>
      <c r="K22" s="47">
        <v>27350</v>
      </c>
      <c r="L22" s="47">
        <v>27350</v>
      </c>
      <c r="M22" s="47">
        <v>27350</v>
      </c>
      <c r="N22" s="47">
        <v>27350</v>
      </c>
      <c r="O22" s="13">
        <f t="shared" si="9"/>
        <v>318960</v>
      </c>
      <c r="P22" s="47">
        <v>27350</v>
      </c>
      <c r="Q22" s="47">
        <v>27350</v>
      </c>
      <c r="R22" s="47">
        <v>27350</v>
      </c>
      <c r="S22" s="47">
        <v>30050</v>
      </c>
      <c r="T22" s="47">
        <v>30050</v>
      </c>
      <c r="U22" s="47">
        <v>30050</v>
      </c>
      <c r="V22" s="47">
        <v>30050</v>
      </c>
      <c r="W22" s="47">
        <v>30050</v>
      </c>
      <c r="X22" s="47">
        <v>30050</v>
      </c>
      <c r="Y22" s="47">
        <v>30050</v>
      </c>
      <c r="Z22" s="47">
        <v>30050</v>
      </c>
      <c r="AA22" s="47">
        <v>30050</v>
      </c>
      <c r="AB22" s="12">
        <f t="shared" si="10"/>
        <v>352500</v>
      </c>
      <c r="AC22" s="11">
        <f t="shared" si="8"/>
        <v>671460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9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47">
        <v>6500</v>
      </c>
      <c r="W23" s="47">
        <v>6500</v>
      </c>
      <c r="X23" s="47">
        <v>6500</v>
      </c>
      <c r="Y23" s="47">
        <v>6500</v>
      </c>
      <c r="Z23" s="47">
        <v>6500</v>
      </c>
      <c r="AA23" s="47">
        <v>6500</v>
      </c>
      <c r="AB23" s="12">
        <f t="shared" si="10"/>
        <v>78000</v>
      </c>
      <c r="AC23" s="11">
        <f t="shared" si="8"/>
        <v>156000</v>
      </c>
    </row>
    <row r="24" spans="2:30" x14ac:dyDescent="0.3">
      <c r="B24" s="14" t="s">
        <v>55</v>
      </c>
      <c r="C24" s="1"/>
      <c r="D24" s="47">
        <v>228900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228900</v>
      </c>
      <c r="P24" s="1"/>
      <c r="Q24" s="47">
        <v>-20150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-20150</v>
      </c>
      <c r="AC24" s="11">
        <f t="shared" si="8"/>
        <v>208750</v>
      </c>
    </row>
    <row r="25" spans="2:30" x14ac:dyDescent="0.3">
      <c r="B25" s="14" t="s">
        <v>56</v>
      </c>
      <c r="C25" s="1"/>
      <c r="D25" s="47">
        <v>22930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22930</v>
      </c>
      <c r="P25" s="1"/>
      <c r="Q25" s="47">
        <v>-1980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-1980</v>
      </c>
      <c r="AC25" s="11">
        <f t="shared" si="8"/>
        <v>20950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9"/>
        <v>2222220</v>
      </c>
      <c r="P26" s="47">
        <v>185185</v>
      </c>
      <c r="Q26" s="47">
        <v>185185</v>
      </c>
      <c r="R26" s="47">
        <v>185185</v>
      </c>
      <c r="S26" s="47">
        <v>185185</v>
      </c>
      <c r="T26" s="47">
        <v>185185</v>
      </c>
      <c r="U26" s="47">
        <v>185185</v>
      </c>
      <c r="V26" s="47">
        <v>185185</v>
      </c>
      <c r="W26" s="47">
        <v>185185</v>
      </c>
      <c r="X26" s="47">
        <v>185185</v>
      </c>
      <c r="Y26" s="47">
        <v>185185</v>
      </c>
      <c r="Z26" s="47">
        <v>185185</v>
      </c>
      <c r="AA26" s="47">
        <v>185185</v>
      </c>
      <c r="AB26" s="12">
        <f t="shared" si="10"/>
        <v>2222220</v>
      </c>
      <c r="AC26" s="11">
        <f t="shared" si="8"/>
        <v>4444440</v>
      </c>
    </row>
    <row r="27" spans="2:30" x14ac:dyDescent="0.3">
      <c r="B27" s="14" t="s">
        <v>22</v>
      </c>
      <c r="C27" s="47">
        <v>9594</v>
      </c>
      <c r="D27" s="47">
        <v>9436</v>
      </c>
      <c r="E27" s="47">
        <v>8680</v>
      </c>
      <c r="F27" s="47">
        <v>9122</v>
      </c>
      <c r="G27" s="47">
        <v>8675</v>
      </c>
      <c r="H27" s="47">
        <v>8807</v>
      </c>
      <c r="I27" s="47">
        <v>8371</v>
      </c>
      <c r="J27" s="47">
        <v>8493</v>
      </c>
      <c r="K27" s="47">
        <v>8335</v>
      </c>
      <c r="L27" s="47">
        <v>7914</v>
      </c>
      <c r="M27" s="47">
        <v>8021</v>
      </c>
      <c r="N27" s="47">
        <v>7610</v>
      </c>
      <c r="O27" s="13">
        <f t="shared" si="9"/>
        <v>103058</v>
      </c>
      <c r="P27" s="47">
        <v>7706</v>
      </c>
      <c r="Q27" s="47">
        <v>7549</v>
      </c>
      <c r="R27" s="47">
        <v>6676</v>
      </c>
      <c r="S27" s="47">
        <v>7234</v>
      </c>
      <c r="T27" s="47">
        <v>6849</v>
      </c>
      <c r="U27" s="47">
        <v>6920</v>
      </c>
      <c r="V27" s="47">
        <v>6544</v>
      </c>
      <c r="W27" s="47">
        <v>6605</v>
      </c>
      <c r="X27" s="47">
        <v>6448</v>
      </c>
      <c r="Y27" s="47">
        <v>6088</v>
      </c>
      <c r="Z27" s="47">
        <v>6133</v>
      </c>
      <c r="AA27" s="47">
        <v>5783</v>
      </c>
      <c r="AB27" s="12">
        <f t="shared" si="10"/>
        <v>80535</v>
      </c>
      <c r="AC27" s="11">
        <f t="shared" si="8"/>
        <v>183593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0"/>
        <v>0</v>
      </c>
      <c r="AC28" s="11">
        <f t="shared" si="8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47">
        <v>50000</v>
      </c>
      <c r="O29" s="13">
        <f t="shared" si="9"/>
        <v>50000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10"/>
        <v>0</v>
      </c>
      <c r="AC29" s="11">
        <f t="shared" si="8"/>
        <v>50000</v>
      </c>
    </row>
    <row r="30" spans="2:30" x14ac:dyDescent="0.3">
      <c r="B30" s="14" t="s">
        <v>19</v>
      </c>
      <c r="C30" s="1"/>
      <c r="D30" s="1"/>
      <c r="E30" s="1"/>
      <c r="F30" s="47">
        <v>408450</v>
      </c>
      <c r="H30" s="1"/>
      <c r="I30" s="1"/>
      <c r="J30" s="1"/>
      <c r="K30" s="1"/>
      <c r="L30" s="1"/>
      <c r="M30" s="1"/>
      <c r="N30" s="1"/>
      <c r="O30" s="13">
        <f t="shared" si="9"/>
        <v>408450</v>
      </c>
      <c r="P30" s="1"/>
      <c r="Q30" s="1"/>
      <c r="R30" s="1"/>
      <c r="S30" s="47">
        <v>362970</v>
      </c>
      <c r="U30" s="1"/>
      <c r="V30" s="1"/>
      <c r="W30" s="1"/>
      <c r="X30" s="1"/>
      <c r="Y30" s="1"/>
      <c r="Z30" s="1"/>
      <c r="AA30" s="1"/>
      <c r="AB30" s="12">
        <f t="shared" si="10"/>
        <v>362970</v>
      </c>
      <c r="AC30" s="11">
        <f t="shared" si="8"/>
        <v>771420</v>
      </c>
    </row>
    <row r="31" spans="2:30" x14ac:dyDescent="0.3">
      <c r="B31" s="6" t="s">
        <v>18</v>
      </c>
      <c r="C31" s="9">
        <f>SUM(C17:C30)</f>
        <v>1089219</v>
      </c>
      <c r="D31" s="9">
        <f>SUM(D17:D30)</f>
        <v>1494711</v>
      </c>
      <c r="E31" s="9">
        <f>SUM(E17:E30)</f>
        <v>1185135</v>
      </c>
      <c r="F31" s="9">
        <f>SUM(F17:F30)</f>
        <v>2729377</v>
      </c>
      <c r="G31" s="9">
        <f>SUM(G17:G30)</f>
        <v>1212000</v>
      </c>
      <c r="H31" s="9">
        <f t="shared" ref="H31:N31" si="11">SUM(H17:H30)</f>
        <v>1212252</v>
      </c>
      <c r="I31" s="9">
        <f t="shared" si="11"/>
        <v>1284876</v>
      </c>
      <c r="J31" s="9">
        <f t="shared" si="11"/>
        <v>1215988</v>
      </c>
      <c r="K31" s="9">
        <f t="shared" si="11"/>
        <v>1257380</v>
      </c>
      <c r="L31" s="9">
        <f t="shared" si="11"/>
        <v>1200069</v>
      </c>
      <c r="M31" s="9">
        <f t="shared" si="11"/>
        <v>1219986</v>
      </c>
      <c r="N31" s="9">
        <f t="shared" si="11"/>
        <v>1266435</v>
      </c>
      <c r="O31" s="25">
        <f t="shared" si="9"/>
        <v>16367428</v>
      </c>
      <c r="P31" s="9">
        <f>SUM(P17:P30)</f>
        <v>1243001</v>
      </c>
      <c r="Q31" s="9">
        <f>SUM(Q17:Q30)</f>
        <v>1237854</v>
      </c>
      <c r="R31" s="9">
        <f>SUM(R17:R30)</f>
        <v>1250811</v>
      </c>
      <c r="S31" s="9">
        <f>SUM(S17:S30)</f>
        <v>2946179</v>
      </c>
      <c r="T31" s="9">
        <f>SUM(T17:T30)</f>
        <v>1274514</v>
      </c>
      <c r="U31" s="9">
        <f t="shared" ref="U31:AA31" si="12">SUM(U17:U30)</f>
        <v>1261925</v>
      </c>
      <c r="V31" s="9">
        <f t="shared" si="12"/>
        <v>1384289</v>
      </c>
      <c r="W31" s="9">
        <f t="shared" si="12"/>
        <v>1283800</v>
      </c>
      <c r="X31" s="9">
        <f t="shared" si="12"/>
        <v>1398603</v>
      </c>
      <c r="Y31" s="9">
        <f t="shared" si="12"/>
        <v>1287753</v>
      </c>
      <c r="Z31" s="9">
        <f t="shared" si="12"/>
        <v>1283328</v>
      </c>
      <c r="AA31" s="9">
        <f t="shared" si="12"/>
        <v>1282978</v>
      </c>
      <c r="AB31" s="24">
        <f t="shared" si="10"/>
        <v>17135035</v>
      </c>
      <c r="AC31" s="23">
        <f t="shared" si="8"/>
        <v>33502463</v>
      </c>
    </row>
    <row r="32" spans="2:30" x14ac:dyDescent="0.3">
      <c r="B32" s="6" t="s">
        <v>17</v>
      </c>
      <c r="C32" s="21">
        <f t="shared" ref="C32:N32" si="13">C16-C31</f>
        <v>5002238</v>
      </c>
      <c r="D32" s="21">
        <f t="shared" si="13"/>
        <v>5735136</v>
      </c>
      <c r="E32" s="21">
        <f t="shared" si="13"/>
        <v>4078250</v>
      </c>
      <c r="F32" s="21">
        <f t="shared" si="13"/>
        <v>10941428</v>
      </c>
      <c r="G32" s="21">
        <f t="shared" si="13"/>
        <v>4051385</v>
      </c>
      <c r="H32" s="21">
        <f t="shared" si="13"/>
        <v>4065133</v>
      </c>
      <c r="I32" s="21">
        <f t="shared" si="13"/>
        <v>6234971</v>
      </c>
      <c r="J32" s="21">
        <f t="shared" si="13"/>
        <v>4047397</v>
      </c>
      <c r="K32" s="21">
        <f t="shared" si="13"/>
        <v>5960467</v>
      </c>
      <c r="L32" s="21">
        <f t="shared" si="13"/>
        <v>4063316</v>
      </c>
      <c r="M32" s="21">
        <f t="shared" si="13"/>
        <v>4045399</v>
      </c>
      <c r="N32" s="21">
        <f t="shared" si="13"/>
        <v>4004950</v>
      </c>
      <c r="O32" s="22">
        <f t="shared" si="9"/>
        <v>62230070</v>
      </c>
      <c r="P32" s="21">
        <f t="shared" ref="P32:AA32" si="14">P16-P31</f>
        <v>6766454</v>
      </c>
      <c r="Q32" s="21">
        <f t="shared" si="14"/>
        <v>4246609</v>
      </c>
      <c r="R32" s="21">
        <f t="shared" si="14"/>
        <v>4233652</v>
      </c>
      <c r="S32" s="21">
        <f t="shared" si="14"/>
        <v>11226589</v>
      </c>
      <c r="T32" s="21">
        <f t="shared" si="14"/>
        <v>4209949</v>
      </c>
      <c r="U32" s="21">
        <f t="shared" si="14"/>
        <v>4222538</v>
      </c>
      <c r="V32" s="21">
        <f t="shared" si="14"/>
        <v>6428328</v>
      </c>
      <c r="W32" s="21">
        <f t="shared" si="14"/>
        <v>4200663</v>
      </c>
      <c r="X32" s="21">
        <f t="shared" si="14"/>
        <v>4562510</v>
      </c>
      <c r="Y32" s="21">
        <f t="shared" si="14"/>
        <v>4316710</v>
      </c>
      <c r="Z32" s="21">
        <f t="shared" si="14"/>
        <v>4201135</v>
      </c>
      <c r="AA32" s="21">
        <f t="shared" si="14"/>
        <v>4201485</v>
      </c>
      <c r="AB32" s="20">
        <f t="shared" si="10"/>
        <v>62816622</v>
      </c>
      <c r="AC32" s="19">
        <f t="shared" si="8"/>
        <v>125046692</v>
      </c>
    </row>
    <row r="33" spans="2:30" x14ac:dyDescent="0.3">
      <c r="B33" s="14" t="s">
        <v>16</v>
      </c>
      <c r="C33" s="18">
        <v>68424000</v>
      </c>
      <c r="D33" s="1"/>
      <c r="O33" s="13">
        <f t="shared" si="9"/>
        <v>68424000</v>
      </c>
      <c r="P33" s="18">
        <v>71298000</v>
      </c>
      <c r="Q33" s="1"/>
      <c r="AB33" s="12">
        <f t="shared" si="10"/>
        <v>71298000</v>
      </c>
      <c r="AC33" s="11">
        <f t="shared" si="8"/>
        <v>139722000</v>
      </c>
      <c r="AD33" s="17"/>
    </row>
    <row r="34" spans="2:30" x14ac:dyDescent="0.3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8"/>
        <v>0</v>
      </c>
    </row>
    <row r="35" spans="2:30" ht="17.25" x14ac:dyDescent="0.3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8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8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8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8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8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8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8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8"/>
        <v>0</v>
      </c>
    </row>
    <row r="43" spans="2:30" x14ac:dyDescent="0.3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8"/>
        <v>0</v>
      </c>
    </row>
    <row r="44" spans="2:30" x14ac:dyDescent="0.3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8"/>
        <v>0</v>
      </c>
    </row>
    <row r="45" spans="2:30" x14ac:dyDescent="0.3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8"/>
        <v>0</v>
      </c>
    </row>
    <row r="46" spans="2:30" x14ac:dyDescent="0.3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8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8"/>
        <v>0</v>
      </c>
    </row>
    <row r="48" spans="2:30" x14ac:dyDescent="0.3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8"/>
        <v>0</v>
      </c>
    </row>
    <row r="49" spans="2:29" ht="17.25" thickBot="1" x14ac:dyDescent="0.35">
      <c r="B49" s="6" t="s">
        <v>0</v>
      </c>
      <c r="C49" s="4">
        <f t="shared" ref="C49:N49" si="19">C32-C48</f>
        <v>5002238</v>
      </c>
      <c r="D49" s="4">
        <f t="shared" si="19"/>
        <v>5735136</v>
      </c>
      <c r="E49" s="4">
        <f t="shared" si="19"/>
        <v>4078250</v>
      </c>
      <c r="F49" s="4">
        <f t="shared" si="19"/>
        <v>10941428</v>
      </c>
      <c r="G49" s="4">
        <f t="shared" si="19"/>
        <v>4051385</v>
      </c>
      <c r="H49" s="4">
        <f t="shared" si="19"/>
        <v>4065133</v>
      </c>
      <c r="I49" s="4">
        <f t="shared" si="19"/>
        <v>6234971</v>
      </c>
      <c r="J49" s="4">
        <f t="shared" si="19"/>
        <v>4047397</v>
      </c>
      <c r="K49" s="4">
        <f t="shared" si="19"/>
        <v>5960467</v>
      </c>
      <c r="L49" s="4">
        <f t="shared" si="19"/>
        <v>4063316</v>
      </c>
      <c r="M49" s="4">
        <f t="shared" si="19"/>
        <v>4045399</v>
      </c>
      <c r="N49" s="4">
        <f t="shared" si="19"/>
        <v>4004950</v>
      </c>
      <c r="O49" s="5">
        <f t="shared" si="16"/>
        <v>62230070</v>
      </c>
      <c r="P49" s="4">
        <f t="shared" ref="P49:AA49" si="20">P32-P48</f>
        <v>6766454</v>
      </c>
      <c r="Q49" s="4">
        <f t="shared" si="20"/>
        <v>4246609</v>
      </c>
      <c r="R49" s="4">
        <f t="shared" si="20"/>
        <v>4233652</v>
      </c>
      <c r="S49" s="4">
        <f t="shared" si="20"/>
        <v>11226589</v>
      </c>
      <c r="T49" s="4">
        <f t="shared" si="20"/>
        <v>4209949</v>
      </c>
      <c r="U49" s="4">
        <f t="shared" si="20"/>
        <v>4222538</v>
      </c>
      <c r="V49" s="4">
        <f t="shared" si="20"/>
        <v>6428328</v>
      </c>
      <c r="W49" s="4">
        <f t="shared" si="20"/>
        <v>4200663</v>
      </c>
      <c r="X49" s="4">
        <f t="shared" si="20"/>
        <v>4562510</v>
      </c>
      <c r="Y49" s="4">
        <f t="shared" si="20"/>
        <v>4316710</v>
      </c>
      <c r="Z49" s="4">
        <f t="shared" si="20"/>
        <v>4201135</v>
      </c>
      <c r="AA49" s="4">
        <f t="shared" si="20"/>
        <v>4201485</v>
      </c>
      <c r="AB49" s="3">
        <f t="shared" si="18"/>
        <v>62816622</v>
      </c>
      <c r="AC49" s="2">
        <f t="shared" si="8"/>
        <v>125046692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G14" sqref="G14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2025</v>
      </c>
      <c r="N3" s="59" t="s">
        <v>72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12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70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C:/Users/uidk3743/AppData/Local/Microsoft/Windows/INetCache/Content.Outlook/Y9X6OYUT/salary.htm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C:\Users\uidk3743\AppData\Local\Microsoft\Windows\INetCache\Content.Outlook\Y9X6OYUT\salary.htm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70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C:/Users/uidk3743/AppData/Local/Microsoft/Windows/INetCache/Content.Outlook/Y9X6OYUT/salary.htm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C:\Users\uidk3743\AppData\Local\Microsoft\Windows\INetCache\Content.Outlook\Y9X6OYUT\salary.htm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2026-01-22T07:06:09Z</dcterms:modified>
</cp:coreProperties>
</file>